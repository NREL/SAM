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showInkAnnotation="0" codeName="ThisWorkbook" defaultThemeVersion="124226"/>
  <bookViews>
    <workbookView xWindow="-15" yWindow="-15" windowWidth="19260" windowHeight="4200" tabRatio="734"/>
  </bookViews>
  <sheets>
    <sheet name="Inputs" sheetId="1" r:id="rId1"/>
    <sheet name="Results Summary" sheetId="8" r:id="rId2"/>
    <sheet name="Cash Flow" sheetId="7" r:id="rId3"/>
    <sheet name="Depreciation Schedules" sheetId="4" r:id="rId4"/>
    <sheet name="Intermediate Calculators" sheetId="9" r:id="rId5"/>
  </sheets>
  <definedNames>
    <definedName name="analysis_period">Inputs!$C$34</definedName>
    <definedName name="AnnualEnergyYear1">Inputs!$C$5</definedName>
    <definedName name="cbi_fed_amount">Inputs!$C$115</definedName>
    <definedName name="cbi_fed_deprbas_fed">Inputs!$G$115</definedName>
    <definedName name="cbi_fed_deprbas_sta">Inputs!$H$115</definedName>
    <definedName name="cbi_fed_maxvalue">Inputs!$D$115</definedName>
    <definedName name="cbi_fed_tax_fed">Inputs!$E$115</definedName>
    <definedName name="cbi_fed_tax_sta">Inputs!$F$115</definedName>
    <definedName name="cbi_oth_amount">Inputs!$C$118</definedName>
    <definedName name="cbi_oth_deprbas_fed">Inputs!$G$118</definedName>
    <definedName name="cbi_oth_deprbas_sta">Inputs!$H$118</definedName>
    <definedName name="cbi_oth_maxvalue">Inputs!$D$118</definedName>
    <definedName name="cbi_oth_tax_fed">Inputs!$E$118</definedName>
    <definedName name="cbi_oth_tax_sta">Inputs!$F$118</definedName>
    <definedName name="cbi_sta_amount">Inputs!$C$116</definedName>
    <definedName name="cbi_sta_deprbas_fed">Inputs!$G$116</definedName>
    <definedName name="cbi_sta_deprbas_sta">Inputs!$H$116</definedName>
    <definedName name="cbi_sta_maxvalue">Inputs!$D$116</definedName>
    <definedName name="cbi_sta_tax_fed">Inputs!$E$116</definedName>
    <definedName name="cbi_sta_tax_sta">Inputs!$F$116</definedName>
    <definedName name="cbi_uti_amount">Inputs!$C$117</definedName>
    <definedName name="cbi_uti_deprbas_fed">Inputs!$G$117</definedName>
    <definedName name="cbi_uti_deprbas_sta">Inputs!$H$117</definedName>
    <definedName name="cbi_uti_maxvalue">Inputs!$D$117</definedName>
    <definedName name="cbi_uti_tax_fed">Inputs!$E$117</definedName>
    <definedName name="cbi_uti_tax_sta">Inputs!$F$117</definedName>
    <definedName name="construction_financing_cost">Inputs!$C$68</definedName>
    <definedName name="cost_debt_closing">Inputs!$C$56</definedName>
    <definedName name="cost_debt_fee">Inputs!$C$57</definedName>
    <definedName name="cost_other_financing">Inputs!$C$65</definedName>
    <definedName name="Degradation">'Cash Flow'!$C$5</definedName>
    <definedName name="depr_alloc_macrs_15_percent">Inputs!$C$132</definedName>
    <definedName name="depr_alloc_macrs_5_percent">Inputs!$C$131</definedName>
    <definedName name="depr_alloc_sl_15_percent">Inputs!$C$134</definedName>
    <definedName name="depr_alloc_sl_20_percent">Inputs!$C$135</definedName>
    <definedName name="depr_alloc_sl_39_percent">Inputs!$C$136</definedName>
    <definedName name="depr_alloc_sl_5_percent">Inputs!$C$133</definedName>
    <definedName name="depr_bonus_fed">Inputs!$D$137</definedName>
    <definedName name="depr_bonus_fed_macrs_15">Inputs!$D$132</definedName>
    <definedName name="depr_bonus_fed_macrs_5">Inputs!$D$131</definedName>
    <definedName name="depr_bonus_fed_sl_15">Inputs!$D$134</definedName>
    <definedName name="depr_bonus_fed_sl_20">Inputs!$D$135</definedName>
    <definedName name="depr_bonus_fed_sl_39">Inputs!$D$136</definedName>
    <definedName name="depr_bonus_fed_sl_5">Inputs!$D$133</definedName>
    <definedName name="depr_bonus_sta">Inputs!$E$137</definedName>
    <definedName name="depr_bonus_sta_macrs_15">Inputs!$E$132</definedName>
    <definedName name="depr_bonus_sta_macrs_5">Inputs!$E$131</definedName>
    <definedName name="depr_bonus_sta_sl_15">Inputs!$E$134</definedName>
    <definedName name="depr_bonus_sta_sl_20">Inputs!$E$135</definedName>
    <definedName name="depr_bonus_sta_sl_39">Inputs!$E$136</definedName>
    <definedName name="depr_bonus_sta_sl_5">Inputs!$E$133</definedName>
    <definedName name="depr_itc_fed_macrs_15">Inputs!$F$132</definedName>
    <definedName name="depr_itc_fed_macrs_5">Inputs!$F$131</definedName>
    <definedName name="depr_itc_fed_sl_15">Inputs!$F$134</definedName>
    <definedName name="depr_itc_fed_sl_20">Inputs!$F$135</definedName>
    <definedName name="depr_itc_fed_sl_39">Inputs!$F$136</definedName>
    <definedName name="depr_itc_fed_sl_5">Inputs!$F$133</definedName>
    <definedName name="depr_itc_sta_macrs_15">Inputs!$G$132</definedName>
    <definedName name="depr_itc_sta_macrs_5">Inputs!$G$131</definedName>
    <definedName name="depr_itc_sta_sl_15">Inputs!$G$134</definedName>
    <definedName name="depr_itc_sta_sl_20">Inputs!$G$135</definedName>
    <definedName name="depr_itc_sta_sl_39">Inputs!$G$136</definedName>
    <definedName name="depr_itc_sta_sl_5">Inputs!$G$133</definedName>
    <definedName name="DeprAllocNone">Inputs!$C$137</definedName>
    <definedName name="dscr">Inputs!$C$53</definedName>
    <definedName name="dscr_reserve_months">Inputs!$C$79</definedName>
    <definedName name="equip_reserve_depr_fed">Inputs!$C$86</definedName>
    <definedName name="equip_reserve_depr_sta">Inputs!$C$87</definedName>
    <definedName name="equip1_reserve_cost">Inputs!$C$82</definedName>
    <definedName name="equip1_reserve_freq">Inputs!$E$82</definedName>
    <definedName name="equip2_reserve_cost">Inputs!$C$83</definedName>
    <definedName name="equip2_reserve_freq">Inputs!$E$83</definedName>
    <definedName name="equip3_reserve_cost">Inputs!$C$84</definedName>
    <definedName name="equip3_reserve_freq">Inputs!$E$84</definedName>
    <definedName name="FedBasisReduction">Inputs!$C$126</definedName>
    <definedName name="federal_tax_rate">Inputs!$C$39</definedName>
    <definedName name="flip_target_percent">Inputs!$C$30</definedName>
    <definedName name="flip_target_year">Inputs!$C$31</definedName>
    <definedName name="ibi_fed_amount">Inputs!$C$105</definedName>
    <definedName name="ibi_fed_amount_deprbas_fed">Inputs!$G$105</definedName>
    <definedName name="ibi_fed_amount_deprbas_sta">Inputs!$H$105</definedName>
    <definedName name="ibi_fed_amount_tax_fed">Inputs!$E$105</definedName>
    <definedName name="ibi_fed_amount_tax_sta">Inputs!$F$105</definedName>
    <definedName name="ibi_fed_percent">Inputs!$C$110</definedName>
    <definedName name="ibi_fed_percent_deprbas_fed">Inputs!$G$110</definedName>
    <definedName name="ibi_fed_percent_deprbas_sta">Inputs!$H$110</definedName>
    <definedName name="ibi_fed_percent_maxvalue">Inputs!$D$110</definedName>
    <definedName name="ibi_fed_percent_tax_fed">Inputs!$E$110</definedName>
    <definedName name="ibi_fed_percent_tax_sta">Inputs!$F$110</definedName>
    <definedName name="ibi_oth_amount">Inputs!$C$108</definedName>
    <definedName name="ibi_oth_amount_deprbas_fed">Inputs!$G$108</definedName>
    <definedName name="ibi_oth_amount_deprbas_sta">Inputs!$H$108</definedName>
    <definedName name="ibi_oth_amount_tax_fed">Inputs!$E$108</definedName>
    <definedName name="ibi_oth_amount_tax_sta">Inputs!$F$108</definedName>
    <definedName name="ibi_oth_percent">Inputs!$C$113</definedName>
    <definedName name="ibi_oth_percent_deprbas_fed">Inputs!$G$113</definedName>
    <definedName name="ibi_oth_percent_deprbas_sta">Inputs!$H$113</definedName>
    <definedName name="ibi_oth_percent_maxvalue">Inputs!$D$113</definedName>
    <definedName name="ibi_oth_percent_tax_fed">Inputs!$E$113</definedName>
    <definedName name="ibi_oth_percent_tax_sta">Inputs!$F$113</definedName>
    <definedName name="ibi_sta_amount">Inputs!$C$106</definedName>
    <definedName name="ibi_sta_amount_deprbas_fed">Inputs!$G$106</definedName>
    <definedName name="ibi_sta_amount_deprbas_sta">Inputs!$H$106</definedName>
    <definedName name="ibi_sta_amount_tax_fed">Inputs!$E$106</definedName>
    <definedName name="ibi_sta_amount_tax_sta">Inputs!$F$106</definedName>
    <definedName name="ibi_sta_percent">Inputs!$C$111</definedName>
    <definedName name="ibi_sta_percent_deprbas_fed">Inputs!$G$111</definedName>
    <definedName name="ibi_sta_percent_deprbas_sta">Inputs!$H$111</definedName>
    <definedName name="ibi_sta_percent_maxvalue">Inputs!$D$111</definedName>
    <definedName name="ibi_sta_percent_tax_fed">Inputs!$E$111</definedName>
    <definedName name="ibi_sta_percent_tax_sta">Inputs!$F$111</definedName>
    <definedName name="ibi_uti_amount">Inputs!$C$107</definedName>
    <definedName name="ibi_uti_amount_deprbas_fed">Inputs!$G$107</definedName>
    <definedName name="ibi_uti_amount_deprbas_sta">Inputs!$H$107</definedName>
    <definedName name="ibi_uti_amount_tax_fed">Inputs!$E$107</definedName>
    <definedName name="ibi_uti_amount_tax_sta">Inputs!$F$107</definedName>
    <definedName name="ibi_uti_percent">Inputs!$C$112</definedName>
    <definedName name="ibi_uti_percent_deprbas_fed">Inputs!$G$112</definedName>
    <definedName name="ibi_uti_percent_deprbas_sta">Inputs!$H$112</definedName>
    <definedName name="ibi_uti_percent_maxvalue">Inputs!$D$112</definedName>
    <definedName name="ibi_uti_percent_tax_fed">Inputs!$E$112</definedName>
    <definedName name="ibi_uti_percent_tax_sta">Inputs!$F$112</definedName>
    <definedName name="inflation_rate">Inputs!$C$35</definedName>
    <definedName name="insurance_rate">Inputs!$C$42</definedName>
    <definedName name="IRRInTargetYear">Inputs!$I$3</definedName>
    <definedName name="itc_fed_amount">Inputs!$C$93</definedName>
    <definedName name="itc_fed_amount_deprbas_fed">Inputs!$E$93</definedName>
    <definedName name="itc_fed_amount_deprbas_sta">Inputs!$F$93</definedName>
    <definedName name="itc_fed_percent">Inputs!$C$96</definedName>
    <definedName name="itc_fed_percent_deprbas_fed">Inputs!$E$96</definedName>
    <definedName name="itc_fed_percent_deprbas_sta">Inputs!$F$96</definedName>
    <definedName name="itc_fed_percent_maxvalue">Inputs!$D$96</definedName>
    <definedName name="itc_sta_amount">Inputs!$C$94</definedName>
    <definedName name="itc_sta_amount_deprbas_fed">Inputs!$E$94</definedName>
    <definedName name="itc_sta_amount_deprbas_sta">Inputs!$F$94</definedName>
    <definedName name="itc_sta_percent">Inputs!$C$97</definedName>
    <definedName name="itc_sta_percent_deprbas_fed">Inputs!$E$97</definedName>
    <definedName name="itc_sta_percent_deprbas_sta">Inputs!$F$97</definedName>
    <definedName name="itc_sta_percent_maxvalue">Inputs!$D$97</definedName>
    <definedName name="months_working_reserve">Inputs!$C$78</definedName>
    <definedName name="NominalDiscountRate">Inputs!$C$37</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Inputs!$C$120</definedName>
    <definedName name="pbi_fed_escal">Inputs!$E$120</definedName>
    <definedName name="pbi_fed_for_ds">Inputs!$H$120</definedName>
    <definedName name="pbi_fed_tax_fed">Inputs!$F$120</definedName>
    <definedName name="pbi_fed_tax_sta">Inputs!$G$120</definedName>
    <definedName name="pbi_fed_term">Inputs!$D$120</definedName>
    <definedName name="pbi_oth_amount">Inputs!$C$123</definedName>
    <definedName name="pbi_oth_escal">Inputs!$E$123</definedName>
    <definedName name="pbi_oth_for_ds">Inputs!$H$123</definedName>
    <definedName name="pbi_oth_tax_fed">Inputs!$F$123</definedName>
    <definedName name="pbi_oth_tax_sta">Inputs!$G$123</definedName>
    <definedName name="pbi_oth_term">Inputs!$D$123</definedName>
    <definedName name="pbi_sta_amount">Inputs!$C$121</definedName>
    <definedName name="pbi_sta_escal">Inputs!$E$121</definedName>
    <definedName name="pbi_sta_for_ds">Inputs!$H$121</definedName>
    <definedName name="pbi_sta_tax_fed">Inputs!$F$121</definedName>
    <definedName name="pbi_sta_tax_sta">Inputs!$G$121</definedName>
    <definedName name="pbi_sta_term">Inputs!$D$121</definedName>
    <definedName name="pbi_uti_amount">Inputs!$C$122</definedName>
    <definedName name="pbi_uti_escal">Inputs!$E$122</definedName>
    <definedName name="pbi_uti_for_ds">Inputs!$H$122</definedName>
    <definedName name="pbi_uti_tax_fed">Inputs!$F$122</definedName>
    <definedName name="pbi_uti_tax_sta">Inputs!$G$122</definedName>
    <definedName name="pbi_uti_term">Inputs!$D$122</definedName>
    <definedName name="ppa_escalation">Inputs!$C$32</definedName>
    <definedName name="PPAPrice">Inputs!$I$2</definedName>
    <definedName name="prop_tax_assessed_decline">Inputs!$C$46</definedName>
    <definedName name="prop_tax_cost_assessed_percent">Inputs!$C$44</definedName>
    <definedName name="property_tax_rate">Inputs!$C$47</definedName>
    <definedName name="PropertyTaxAssessedValue">Inputs!$C$45</definedName>
    <definedName name="ptc_fed_amount">Inputs!$C$99</definedName>
    <definedName name="ptc_fed_term">Inputs!$D$99</definedName>
    <definedName name="ptc_sta_amount">Inputs!$C$100</definedName>
    <definedName name="ptc_sta_term">Inputs!$D$100</definedName>
    <definedName name="real_discount_rate">Inputs!$C$36</definedName>
    <definedName name="reserves_interest">Inputs!$C$77</definedName>
    <definedName name="sales_tax_rate">Inputs!$C$41</definedName>
    <definedName name="salvage_percentage">Inputs!$C$49</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Inputs!$C$40</definedName>
    <definedName name="StateBasisReduction">Inputs!$C$127</definedName>
    <definedName name="system_capacity">Inputs!$C$3</definedName>
    <definedName name="system_heat_rate">Inputs!$C$4</definedName>
    <definedName name="term_int_rate">Inputs!$C$55</definedName>
    <definedName name="term_tenor">Inputs!$C$54</definedName>
    <definedName name="total_installed_cost">Inputs!$C$8</definedName>
  </definedNames>
  <calcPr calcId="152511" iterateDelta="1E-4"/>
</workbook>
</file>

<file path=xl/calcChain.xml><?xml version="1.0" encoding="utf-8"?>
<calcChain xmlns="http://schemas.openxmlformats.org/spreadsheetml/2006/main">
  <c r="H137" i="1" l="1"/>
  <c r="H138" i="1"/>
  <c r="H136" i="1"/>
  <c r="H135" i="1"/>
  <c r="H134" i="1"/>
  <c r="H133" i="1"/>
  <c r="H132" i="1"/>
  <c r="H131" i="1"/>
  <c r="AP658" i="7"/>
  <c r="AO658" i="7"/>
  <c r="AN658" i="7"/>
  <c r="AM658" i="7"/>
  <c r="AL658" i="7"/>
  <c r="AK658" i="7"/>
  <c r="AJ658" i="7"/>
  <c r="AI658" i="7"/>
  <c r="AH658" i="7"/>
  <c r="AG658" i="7"/>
  <c r="AF658" i="7"/>
  <c r="AE658" i="7"/>
  <c r="AD658" i="7"/>
  <c r="AC658" i="7"/>
  <c r="AB658" i="7"/>
  <c r="AA658" i="7"/>
  <c r="Z658" i="7"/>
  <c r="Y658" i="7"/>
  <c r="X658" i="7"/>
  <c r="W658" i="7"/>
  <c r="V658" i="7"/>
  <c r="U658" i="7"/>
  <c r="T658" i="7"/>
  <c r="S658" i="7"/>
  <c r="R658" i="7"/>
  <c r="Q658" i="7"/>
  <c r="P658" i="7"/>
  <c r="O658" i="7"/>
  <c r="N658" i="7"/>
  <c r="M658" i="7"/>
  <c r="L658" i="7"/>
  <c r="K658" i="7"/>
  <c r="J658" i="7"/>
  <c r="I658" i="7"/>
  <c r="H658" i="7"/>
  <c r="G658" i="7"/>
  <c r="F658" i="7"/>
  <c r="E658" i="7"/>
  <c r="D658" i="7"/>
  <c r="C658" i="7"/>
  <c r="AP657" i="7"/>
  <c r="AO657" i="7"/>
  <c r="AN657" i="7"/>
  <c r="AM657" i="7"/>
  <c r="AL657" i="7"/>
  <c r="AK657" i="7"/>
  <c r="AJ657" i="7"/>
  <c r="AI657" i="7"/>
  <c r="AH657" i="7"/>
  <c r="AG657" i="7"/>
  <c r="AF657" i="7"/>
  <c r="AE657" i="7"/>
  <c r="AD657" i="7"/>
  <c r="AC657" i="7"/>
  <c r="AB657" i="7"/>
  <c r="AA657" i="7"/>
  <c r="Z657" i="7"/>
  <c r="Y657" i="7"/>
  <c r="X657" i="7"/>
  <c r="W657" i="7"/>
  <c r="V657" i="7"/>
  <c r="U657" i="7"/>
  <c r="T657" i="7"/>
  <c r="S657" i="7"/>
  <c r="R657" i="7"/>
  <c r="Q657" i="7"/>
  <c r="P657" i="7"/>
  <c r="O657" i="7"/>
  <c r="N657" i="7"/>
  <c r="M657" i="7"/>
  <c r="L657" i="7"/>
  <c r="K657" i="7"/>
  <c r="J657" i="7"/>
  <c r="I657" i="7"/>
  <c r="H657" i="7"/>
  <c r="G657" i="7"/>
  <c r="F657" i="7"/>
  <c r="E657" i="7"/>
  <c r="D657" i="7"/>
  <c r="C657" i="7"/>
  <c r="AP656" i="7"/>
  <c r="AO656" i="7"/>
  <c r="AN656" i="7"/>
  <c r="AM656" i="7"/>
  <c r="AL656" i="7"/>
  <c r="AK656" i="7"/>
  <c r="AJ656" i="7"/>
  <c r="AI656" i="7"/>
  <c r="AH656" i="7"/>
  <c r="AG656" i="7"/>
  <c r="AF656" i="7"/>
  <c r="AE656" i="7"/>
  <c r="AD656" i="7"/>
  <c r="AC656" i="7"/>
  <c r="AB656" i="7"/>
  <c r="AA656" i="7"/>
  <c r="Z656" i="7"/>
  <c r="Y656" i="7"/>
  <c r="X656" i="7"/>
  <c r="W656" i="7"/>
  <c r="V656" i="7"/>
  <c r="U656" i="7"/>
  <c r="T656" i="7"/>
  <c r="S656" i="7"/>
  <c r="R656" i="7"/>
  <c r="Q656" i="7"/>
  <c r="P656" i="7"/>
  <c r="O656" i="7"/>
  <c r="N656" i="7"/>
  <c r="M656" i="7"/>
  <c r="L656" i="7"/>
  <c r="K656" i="7"/>
  <c r="J656" i="7"/>
  <c r="I656" i="7"/>
  <c r="H656" i="7"/>
  <c r="G656" i="7"/>
  <c r="F656" i="7"/>
  <c r="E656" i="7"/>
  <c r="D656" i="7"/>
  <c r="C656" i="7"/>
  <c r="AP655" i="7"/>
  <c r="AO655" i="7"/>
  <c r="AN655" i="7"/>
  <c r="AM655" i="7"/>
  <c r="AL655" i="7"/>
  <c r="AK655" i="7"/>
  <c r="AJ655" i="7"/>
  <c r="AI655" i="7"/>
  <c r="AH655" i="7"/>
  <c r="AG655" i="7"/>
  <c r="AF655" i="7"/>
  <c r="AE655" i="7"/>
  <c r="AD655" i="7"/>
  <c r="AC655" i="7"/>
  <c r="AB655" i="7"/>
  <c r="AA655" i="7"/>
  <c r="Z655" i="7"/>
  <c r="Y655" i="7"/>
  <c r="X655" i="7"/>
  <c r="W655" i="7"/>
  <c r="V655" i="7"/>
  <c r="U655" i="7"/>
  <c r="T655" i="7"/>
  <c r="S655" i="7"/>
  <c r="R655" i="7"/>
  <c r="Q655" i="7"/>
  <c r="P655" i="7"/>
  <c r="O655" i="7"/>
  <c r="N655" i="7"/>
  <c r="M655" i="7"/>
  <c r="L655" i="7"/>
  <c r="K655" i="7"/>
  <c r="J655" i="7"/>
  <c r="I655" i="7"/>
  <c r="H655" i="7"/>
  <c r="G655" i="7"/>
  <c r="F655" i="7"/>
  <c r="E655" i="7"/>
  <c r="D655" i="7"/>
  <c r="C655" i="7"/>
  <c r="AP654" i="7"/>
  <c r="AO654" i="7"/>
  <c r="AN654" i="7"/>
  <c r="AM654" i="7"/>
  <c r="AL654" i="7"/>
  <c r="AK654" i="7"/>
  <c r="AJ654" i="7"/>
  <c r="AI654" i="7"/>
  <c r="AH654" i="7"/>
  <c r="AG654" i="7"/>
  <c r="AF654" i="7"/>
  <c r="AE654" i="7"/>
  <c r="AD654" i="7"/>
  <c r="AC654" i="7"/>
  <c r="AB654" i="7"/>
  <c r="AA654" i="7"/>
  <c r="Z654" i="7"/>
  <c r="Y654" i="7"/>
  <c r="X654" i="7"/>
  <c r="W654" i="7"/>
  <c r="V654" i="7"/>
  <c r="U654" i="7"/>
  <c r="T654" i="7"/>
  <c r="S654" i="7"/>
  <c r="R654" i="7"/>
  <c r="Q654" i="7"/>
  <c r="P654" i="7"/>
  <c r="O654" i="7"/>
  <c r="N654" i="7"/>
  <c r="M654" i="7"/>
  <c r="L654" i="7"/>
  <c r="K654" i="7"/>
  <c r="J654" i="7"/>
  <c r="I654" i="7"/>
  <c r="H654" i="7"/>
  <c r="G654" i="7"/>
  <c r="F654" i="7"/>
  <c r="E654" i="7"/>
  <c r="D654" i="7"/>
  <c r="C654" i="7"/>
  <c r="AP653" i="7"/>
  <c r="AO653" i="7"/>
  <c r="AN653" i="7"/>
  <c r="AM653" i="7"/>
  <c r="AL653" i="7"/>
  <c r="AK653" i="7"/>
  <c r="AJ653" i="7"/>
  <c r="AI653" i="7"/>
  <c r="AH653" i="7"/>
  <c r="AG653" i="7"/>
  <c r="AF653" i="7"/>
  <c r="AE653" i="7"/>
  <c r="AD653" i="7"/>
  <c r="AC653" i="7"/>
  <c r="AB653" i="7"/>
  <c r="AA653" i="7"/>
  <c r="Z653" i="7"/>
  <c r="Y653" i="7"/>
  <c r="X653" i="7"/>
  <c r="W653" i="7"/>
  <c r="V653" i="7"/>
  <c r="U653" i="7"/>
  <c r="T653" i="7"/>
  <c r="S653" i="7"/>
  <c r="R653" i="7"/>
  <c r="Q653" i="7"/>
  <c r="P653" i="7"/>
  <c r="O653" i="7"/>
  <c r="N653" i="7"/>
  <c r="M653" i="7"/>
  <c r="L653" i="7"/>
  <c r="K653" i="7"/>
  <c r="J653" i="7"/>
  <c r="I653" i="7"/>
  <c r="H653" i="7"/>
  <c r="G653" i="7"/>
  <c r="F653" i="7"/>
  <c r="E653" i="7"/>
  <c r="D653" i="7"/>
  <c r="C653" i="7"/>
  <c r="AP652" i="7"/>
  <c r="AO652" i="7"/>
  <c r="AN652" i="7"/>
  <c r="AM652" i="7"/>
  <c r="AL652" i="7"/>
  <c r="AK652" i="7"/>
  <c r="AJ652" i="7"/>
  <c r="AI652" i="7"/>
  <c r="AH652" i="7"/>
  <c r="AG652" i="7"/>
  <c r="AF652" i="7"/>
  <c r="AE652" i="7"/>
  <c r="AD652" i="7"/>
  <c r="AC652" i="7"/>
  <c r="AB652" i="7"/>
  <c r="AA652" i="7"/>
  <c r="Z652" i="7"/>
  <c r="Y652" i="7"/>
  <c r="X652" i="7"/>
  <c r="W652" i="7"/>
  <c r="V652" i="7"/>
  <c r="U652" i="7"/>
  <c r="T652" i="7"/>
  <c r="S652" i="7"/>
  <c r="R652" i="7"/>
  <c r="Q652" i="7"/>
  <c r="P652" i="7"/>
  <c r="O652" i="7"/>
  <c r="N652" i="7"/>
  <c r="M652" i="7"/>
  <c r="L652" i="7"/>
  <c r="K652" i="7"/>
  <c r="J652" i="7"/>
  <c r="I652" i="7"/>
  <c r="H652" i="7"/>
  <c r="G652" i="7"/>
  <c r="F652" i="7"/>
  <c r="E652" i="7"/>
  <c r="D652" i="7"/>
  <c r="C652" i="7"/>
  <c r="AP651" i="7"/>
  <c r="AO651" i="7"/>
  <c r="AN651" i="7"/>
  <c r="AM651" i="7"/>
  <c r="AL651" i="7"/>
  <c r="AK651" i="7"/>
  <c r="AJ651" i="7"/>
  <c r="AI651" i="7"/>
  <c r="AH651" i="7"/>
  <c r="AG651" i="7"/>
  <c r="AF651" i="7"/>
  <c r="AE651" i="7"/>
  <c r="AD651" i="7"/>
  <c r="AC651" i="7"/>
  <c r="AB651" i="7"/>
  <c r="AA651" i="7"/>
  <c r="Z651" i="7"/>
  <c r="Y651" i="7"/>
  <c r="X651" i="7"/>
  <c r="W651" i="7"/>
  <c r="V651" i="7"/>
  <c r="U651" i="7"/>
  <c r="T651" i="7"/>
  <c r="S651" i="7"/>
  <c r="R651" i="7"/>
  <c r="Q651" i="7"/>
  <c r="P651" i="7"/>
  <c r="O651" i="7"/>
  <c r="N651" i="7"/>
  <c r="M651" i="7"/>
  <c r="L651" i="7"/>
  <c r="K651" i="7"/>
  <c r="J651" i="7"/>
  <c r="I651" i="7"/>
  <c r="H651" i="7"/>
  <c r="G651" i="7"/>
  <c r="F651" i="7"/>
  <c r="E651" i="7"/>
  <c r="D651" i="7"/>
  <c r="C651" i="7"/>
  <c r="AP650" i="7"/>
  <c r="AO650" i="7"/>
  <c r="AN650" i="7"/>
  <c r="AM650" i="7"/>
  <c r="AL650" i="7"/>
  <c r="AK650" i="7"/>
  <c r="AJ650" i="7"/>
  <c r="AI650" i="7"/>
  <c r="AH650" i="7"/>
  <c r="AG650" i="7"/>
  <c r="AF650" i="7"/>
  <c r="AE650" i="7"/>
  <c r="AD650" i="7"/>
  <c r="AC650" i="7"/>
  <c r="AB650" i="7"/>
  <c r="AA650" i="7"/>
  <c r="Z650" i="7"/>
  <c r="Y650" i="7"/>
  <c r="X650" i="7"/>
  <c r="W650" i="7"/>
  <c r="V650" i="7"/>
  <c r="U650" i="7"/>
  <c r="T650" i="7"/>
  <c r="S650" i="7"/>
  <c r="R650" i="7"/>
  <c r="Q650" i="7"/>
  <c r="P650" i="7"/>
  <c r="O650" i="7"/>
  <c r="N650" i="7"/>
  <c r="M650" i="7"/>
  <c r="L650" i="7"/>
  <c r="K650" i="7"/>
  <c r="J650" i="7"/>
  <c r="I650" i="7"/>
  <c r="H650" i="7"/>
  <c r="G650" i="7"/>
  <c r="F650" i="7"/>
  <c r="E650" i="7"/>
  <c r="D650" i="7"/>
  <c r="C650" i="7"/>
  <c r="AP649" i="7"/>
  <c r="AO649" i="7"/>
  <c r="AN649" i="7"/>
  <c r="AM649" i="7"/>
  <c r="AL649" i="7"/>
  <c r="AK649" i="7"/>
  <c r="AJ649" i="7"/>
  <c r="AI649" i="7"/>
  <c r="AH649" i="7"/>
  <c r="AG649" i="7"/>
  <c r="AF649" i="7"/>
  <c r="AE649" i="7"/>
  <c r="AD649" i="7"/>
  <c r="AC649" i="7"/>
  <c r="AB649" i="7"/>
  <c r="AA649" i="7"/>
  <c r="Z649" i="7"/>
  <c r="Y649" i="7"/>
  <c r="X649" i="7"/>
  <c r="W649" i="7"/>
  <c r="V649" i="7"/>
  <c r="U649" i="7"/>
  <c r="T649" i="7"/>
  <c r="S649" i="7"/>
  <c r="R649" i="7"/>
  <c r="Q649" i="7"/>
  <c r="P649" i="7"/>
  <c r="O649" i="7"/>
  <c r="N649" i="7"/>
  <c r="M649" i="7"/>
  <c r="L649" i="7"/>
  <c r="K649" i="7"/>
  <c r="J649" i="7"/>
  <c r="I649" i="7"/>
  <c r="H649" i="7"/>
  <c r="G649" i="7"/>
  <c r="F649" i="7"/>
  <c r="E649" i="7"/>
  <c r="D649" i="7"/>
  <c r="C649" i="7"/>
  <c r="AP626" i="7"/>
  <c r="AO626" i="7"/>
  <c r="AN626" i="7"/>
  <c r="AM626" i="7"/>
  <c r="AL626" i="7"/>
  <c r="AK626" i="7"/>
  <c r="AJ626" i="7"/>
  <c r="AI626" i="7"/>
  <c r="AH626" i="7"/>
  <c r="AG626" i="7"/>
  <c r="AF626" i="7"/>
  <c r="AE626" i="7"/>
  <c r="AD626" i="7"/>
  <c r="AC626" i="7"/>
  <c r="AB626" i="7"/>
  <c r="AA626" i="7"/>
  <c r="Z626" i="7"/>
  <c r="Y626" i="7"/>
  <c r="X626" i="7"/>
  <c r="W626" i="7"/>
  <c r="V626" i="7"/>
  <c r="U626" i="7"/>
  <c r="T626" i="7"/>
  <c r="S626" i="7"/>
  <c r="R626" i="7"/>
  <c r="Q626" i="7"/>
  <c r="P626" i="7"/>
  <c r="O626" i="7"/>
  <c r="N626" i="7"/>
  <c r="M626" i="7"/>
  <c r="L626" i="7"/>
  <c r="K626" i="7"/>
  <c r="J626" i="7"/>
  <c r="I626" i="7"/>
  <c r="H626" i="7"/>
  <c r="G626" i="7"/>
  <c r="F626" i="7"/>
  <c r="E626" i="7"/>
  <c r="D626" i="7"/>
  <c r="C626" i="7"/>
  <c r="AP625" i="7"/>
  <c r="AO625" i="7"/>
  <c r="AN625" i="7"/>
  <c r="AM625" i="7"/>
  <c r="AL625" i="7"/>
  <c r="AK625" i="7"/>
  <c r="AJ625" i="7"/>
  <c r="AI625" i="7"/>
  <c r="AH625" i="7"/>
  <c r="AG625" i="7"/>
  <c r="AF625" i="7"/>
  <c r="AE625" i="7"/>
  <c r="AD625" i="7"/>
  <c r="AC625" i="7"/>
  <c r="AB625" i="7"/>
  <c r="AA625" i="7"/>
  <c r="Z625" i="7"/>
  <c r="Y625" i="7"/>
  <c r="X625" i="7"/>
  <c r="W625" i="7"/>
  <c r="V625" i="7"/>
  <c r="U625" i="7"/>
  <c r="T625" i="7"/>
  <c r="S625" i="7"/>
  <c r="R625" i="7"/>
  <c r="Q625" i="7"/>
  <c r="P625" i="7"/>
  <c r="O625" i="7"/>
  <c r="N625" i="7"/>
  <c r="M625" i="7"/>
  <c r="L625" i="7"/>
  <c r="K625" i="7"/>
  <c r="J625" i="7"/>
  <c r="I625" i="7"/>
  <c r="H625" i="7"/>
  <c r="G625" i="7"/>
  <c r="F625" i="7"/>
  <c r="E625" i="7"/>
  <c r="D625" i="7"/>
  <c r="C625" i="7"/>
  <c r="AP624" i="7"/>
  <c r="AO624" i="7"/>
  <c r="AN624" i="7"/>
  <c r="AM624" i="7"/>
  <c r="AL624" i="7"/>
  <c r="AK624" i="7"/>
  <c r="AJ624" i="7"/>
  <c r="AI624" i="7"/>
  <c r="AH624" i="7"/>
  <c r="AG624" i="7"/>
  <c r="AF624" i="7"/>
  <c r="AE624" i="7"/>
  <c r="AD624" i="7"/>
  <c r="AC624" i="7"/>
  <c r="AB624" i="7"/>
  <c r="AA624" i="7"/>
  <c r="Z624" i="7"/>
  <c r="Y624" i="7"/>
  <c r="X624" i="7"/>
  <c r="W624" i="7"/>
  <c r="V624" i="7"/>
  <c r="U624" i="7"/>
  <c r="T624" i="7"/>
  <c r="S624" i="7"/>
  <c r="R624" i="7"/>
  <c r="Q624" i="7"/>
  <c r="P624" i="7"/>
  <c r="O624" i="7"/>
  <c r="N624" i="7"/>
  <c r="M624" i="7"/>
  <c r="L624" i="7"/>
  <c r="K624" i="7"/>
  <c r="J624" i="7"/>
  <c r="I624" i="7"/>
  <c r="H624" i="7"/>
  <c r="G624" i="7"/>
  <c r="F624" i="7"/>
  <c r="E624" i="7"/>
  <c r="D624" i="7"/>
  <c r="C624" i="7"/>
  <c r="AP623" i="7"/>
  <c r="AO623" i="7"/>
  <c r="AN623" i="7"/>
  <c r="AM623" i="7"/>
  <c r="AL623" i="7"/>
  <c r="AK623" i="7"/>
  <c r="AJ623" i="7"/>
  <c r="AI623" i="7"/>
  <c r="AH623" i="7"/>
  <c r="AG623" i="7"/>
  <c r="AF623" i="7"/>
  <c r="AE623" i="7"/>
  <c r="AD623" i="7"/>
  <c r="AC623" i="7"/>
  <c r="AB623" i="7"/>
  <c r="AA623" i="7"/>
  <c r="Z623" i="7"/>
  <c r="Y623" i="7"/>
  <c r="X623" i="7"/>
  <c r="W623" i="7"/>
  <c r="V623" i="7"/>
  <c r="U623" i="7"/>
  <c r="T623" i="7"/>
  <c r="S623" i="7"/>
  <c r="R623" i="7"/>
  <c r="Q623" i="7"/>
  <c r="P623" i="7"/>
  <c r="O623" i="7"/>
  <c r="N623" i="7"/>
  <c r="M623" i="7"/>
  <c r="L623" i="7"/>
  <c r="K623" i="7"/>
  <c r="J623" i="7"/>
  <c r="I623" i="7"/>
  <c r="H623" i="7"/>
  <c r="G623" i="7"/>
  <c r="F623" i="7"/>
  <c r="E623" i="7"/>
  <c r="D623" i="7"/>
  <c r="C623" i="7"/>
  <c r="AP622" i="7"/>
  <c r="AO622" i="7"/>
  <c r="AN622" i="7"/>
  <c r="AM622" i="7"/>
  <c r="AL622" i="7"/>
  <c r="AK622" i="7"/>
  <c r="AJ622" i="7"/>
  <c r="AI622" i="7"/>
  <c r="AH622" i="7"/>
  <c r="AG622" i="7"/>
  <c r="AF622" i="7"/>
  <c r="AE622" i="7"/>
  <c r="AD622" i="7"/>
  <c r="AC622" i="7"/>
  <c r="AB622" i="7"/>
  <c r="AA622" i="7"/>
  <c r="Z622" i="7"/>
  <c r="Y622" i="7"/>
  <c r="X622" i="7"/>
  <c r="W622" i="7"/>
  <c r="V622" i="7"/>
  <c r="U622" i="7"/>
  <c r="T622" i="7"/>
  <c r="S622" i="7"/>
  <c r="R622" i="7"/>
  <c r="Q622" i="7"/>
  <c r="P622" i="7"/>
  <c r="O622" i="7"/>
  <c r="N622" i="7"/>
  <c r="M622" i="7"/>
  <c r="L622" i="7"/>
  <c r="K622" i="7"/>
  <c r="J622" i="7"/>
  <c r="I622" i="7"/>
  <c r="H622" i="7"/>
  <c r="G622" i="7"/>
  <c r="F622" i="7"/>
  <c r="E622" i="7"/>
  <c r="D622" i="7"/>
  <c r="C622" i="7"/>
  <c r="AP621" i="7"/>
  <c r="AO621" i="7"/>
  <c r="AN621" i="7"/>
  <c r="AM621" i="7"/>
  <c r="AL621" i="7"/>
  <c r="AK621" i="7"/>
  <c r="AJ621" i="7"/>
  <c r="AI621" i="7"/>
  <c r="AH621" i="7"/>
  <c r="AG621" i="7"/>
  <c r="AF621" i="7"/>
  <c r="AE621" i="7"/>
  <c r="AD621" i="7"/>
  <c r="AC621" i="7"/>
  <c r="AB621" i="7"/>
  <c r="AA621" i="7"/>
  <c r="Z621" i="7"/>
  <c r="Y621" i="7"/>
  <c r="X621" i="7"/>
  <c r="W621" i="7"/>
  <c r="V621" i="7"/>
  <c r="U621" i="7"/>
  <c r="T621" i="7"/>
  <c r="S621" i="7"/>
  <c r="R621" i="7"/>
  <c r="Q621" i="7"/>
  <c r="P621" i="7"/>
  <c r="O621" i="7"/>
  <c r="N621" i="7"/>
  <c r="M621" i="7"/>
  <c r="L621" i="7"/>
  <c r="K621" i="7"/>
  <c r="J621" i="7"/>
  <c r="I621" i="7"/>
  <c r="H621" i="7"/>
  <c r="G621" i="7"/>
  <c r="F621" i="7"/>
  <c r="E621" i="7"/>
  <c r="D621" i="7"/>
  <c r="C621" i="7"/>
  <c r="AP620" i="7"/>
  <c r="AO620" i="7"/>
  <c r="AN620" i="7"/>
  <c r="AM620" i="7"/>
  <c r="AL620" i="7"/>
  <c r="AK620" i="7"/>
  <c r="AJ620" i="7"/>
  <c r="AI620" i="7"/>
  <c r="AH620" i="7"/>
  <c r="AG620" i="7"/>
  <c r="AF620" i="7"/>
  <c r="AE620" i="7"/>
  <c r="AD620" i="7"/>
  <c r="AC620" i="7"/>
  <c r="AB620" i="7"/>
  <c r="AA620" i="7"/>
  <c r="Z620" i="7"/>
  <c r="Y620" i="7"/>
  <c r="X620" i="7"/>
  <c r="W620" i="7"/>
  <c r="V620" i="7"/>
  <c r="U620" i="7"/>
  <c r="T620" i="7"/>
  <c r="S620" i="7"/>
  <c r="R620" i="7"/>
  <c r="Q620" i="7"/>
  <c r="P620" i="7"/>
  <c r="O620" i="7"/>
  <c r="N620" i="7"/>
  <c r="M620" i="7"/>
  <c r="L620" i="7"/>
  <c r="K620" i="7"/>
  <c r="J620" i="7"/>
  <c r="I620" i="7"/>
  <c r="H620" i="7"/>
  <c r="G620" i="7"/>
  <c r="F620" i="7"/>
  <c r="E620" i="7"/>
  <c r="D620" i="7"/>
  <c r="C620" i="7"/>
  <c r="AP619" i="7"/>
  <c r="AO619" i="7"/>
  <c r="AN619" i="7"/>
  <c r="AM619" i="7"/>
  <c r="AL619" i="7"/>
  <c r="AK619" i="7"/>
  <c r="AJ619" i="7"/>
  <c r="AI619" i="7"/>
  <c r="AH619" i="7"/>
  <c r="AG619" i="7"/>
  <c r="AF619" i="7"/>
  <c r="AE619" i="7"/>
  <c r="AD619" i="7"/>
  <c r="AC619" i="7"/>
  <c r="AB619" i="7"/>
  <c r="AA619" i="7"/>
  <c r="Z619" i="7"/>
  <c r="Y619" i="7"/>
  <c r="X619" i="7"/>
  <c r="W619" i="7"/>
  <c r="V619" i="7"/>
  <c r="U619" i="7"/>
  <c r="T619" i="7"/>
  <c r="S619" i="7"/>
  <c r="R619" i="7"/>
  <c r="Q619" i="7"/>
  <c r="P619" i="7"/>
  <c r="O619" i="7"/>
  <c r="N619" i="7"/>
  <c r="M619" i="7"/>
  <c r="L619" i="7"/>
  <c r="K619" i="7"/>
  <c r="J619" i="7"/>
  <c r="I619" i="7"/>
  <c r="H619" i="7"/>
  <c r="G619" i="7"/>
  <c r="F619" i="7"/>
  <c r="E619" i="7"/>
  <c r="D619" i="7"/>
  <c r="C619" i="7"/>
  <c r="AP618" i="7"/>
  <c r="AO618" i="7"/>
  <c r="AN618" i="7"/>
  <c r="AM618" i="7"/>
  <c r="AL618" i="7"/>
  <c r="AK618" i="7"/>
  <c r="AJ618" i="7"/>
  <c r="AI618" i="7"/>
  <c r="AH618" i="7"/>
  <c r="AG618" i="7"/>
  <c r="AF618" i="7"/>
  <c r="AE618" i="7"/>
  <c r="AD618" i="7"/>
  <c r="AC618" i="7"/>
  <c r="AB618" i="7"/>
  <c r="AA618" i="7"/>
  <c r="Z618" i="7"/>
  <c r="Y618" i="7"/>
  <c r="X618" i="7"/>
  <c r="W618" i="7"/>
  <c r="V618" i="7"/>
  <c r="U618" i="7"/>
  <c r="T618" i="7"/>
  <c r="S618" i="7"/>
  <c r="R618" i="7"/>
  <c r="Q618" i="7"/>
  <c r="P618" i="7"/>
  <c r="O618" i="7"/>
  <c r="N618" i="7"/>
  <c r="M618" i="7"/>
  <c r="L618" i="7"/>
  <c r="K618" i="7"/>
  <c r="J618" i="7"/>
  <c r="I618" i="7"/>
  <c r="H618" i="7"/>
  <c r="G618" i="7"/>
  <c r="F618" i="7"/>
  <c r="E618" i="7"/>
  <c r="D618" i="7"/>
  <c r="C618" i="7"/>
  <c r="AP617" i="7"/>
  <c r="AO617" i="7"/>
  <c r="AN617" i="7"/>
  <c r="AM617" i="7"/>
  <c r="AL617" i="7"/>
  <c r="AK617" i="7"/>
  <c r="AJ617" i="7"/>
  <c r="AI617" i="7"/>
  <c r="AH617" i="7"/>
  <c r="AG617" i="7"/>
  <c r="AF617" i="7"/>
  <c r="AE617" i="7"/>
  <c r="AD617" i="7"/>
  <c r="AC617" i="7"/>
  <c r="AB617" i="7"/>
  <c r="AA617" i="7"/>
  <c r="Z617" i="7"/>
  <c r="Y617" i="7"/>
  <c r="X617" i="7"/>
  <c r="W617" i="7"/>
  <c r="V617" i="7"/>
  <c r="U617" i="7"/>
  <c r="T617" i="7"/>
  <c r="S617" i="7"/>
  <c r="R617" i="7"/>
  <c r="Q617" i="7"/>
  <c r="P617" i="7"/>
  <c r="O617" i="7"/>
  <c r="N617" i="7"/>
  <c r="M617" i="7"/>
  <c r="L617" i="7"/>
  <c r="K617" i="7"/>
  <c r="J617" i="7"/>
  <c r="I617" i="7"/>
  <c r="H617" i="7"/>
  <c r="G617" i="7"/>
  <c r="F617" i="7"/>
  <c r="E617" i="7"/>
  <c r="D617" i="7"/>
  <c r="C617" i="7"/>
  <c r="AP594" i="7"/>
  <c r="AO594" i="7"/>
  <c r="AN594" i="7"/>
  <c r="AM594" i="7"/>
  <c r="AL594" i="7"/>
  <c r="AK594" i="7"/>
  <c r="AJ594" i="7"/>
  <c r="AI594" i="7"/>
  <c r="AH594" i="7"/>
  <c r="AG594" i="7"/>
  <c r="AF594" i="7"/>
  <c r="AE594" i="7"/>
  <c r="AD594" i="7"/>
  <c r="AC594" i="7"/>
  <c r="AB594" i="7"/>
  <c r="AA594" i="7"/>
  <c r="Z594" i="7"/>
  <c r="Y594" i="7"/>
  <c r="X594" i="7"/>
  <c r="W594" i="7"/>
  <c r="V594" i="7"/>
  <c r="U594" i="7"/>
  <c r="T594" i="7"/>
  <c r="S594" i="7"/>
  <c r="R594" i="7"/>
  <c r="Q594" i="7"/>
  <c r="P594" i="7"/>
  <c r="O594" i="7"/>
  <c r="N594" i="7"/>
  <c r="M594" i="7"/>
  <c r="L594" i="7"/>
  <c r="K594" i="7"/>
  <c r="J594" i="7"/>
  <c r="I594" i="7"/>
  <c r="H594" i="7"/>
  <c r="G594" i="7"/>
  <c r="F594" i="7"/>
  <c r="E594" i="7"/>
  <c r="D594" i="7"/>
  <c r="C594" i="7"/>
  <c r="AP593" i="7"/>
  <c r="AO593" i="7"/>
  <c r="AN593" i="7"/>
  <c r="AM593" i="7"/>
  <c r="AL593" i="7"/>
  <c r="AK593" i="7"/>
  <c r="AJ593" i="7"/>
  <c r="AI593" i="7"/>
  <c r="AH593" i="7"/>
  <c r="AG593" i="7"/>
  <c r="AF593" i="7"/>
  <c r="AE593" i="7"/>
  <c r="AD593" i="7"/>
  <c r="AC593" i="7"/>
  <c r="AB593" i="7"/>
  <c r="AA593" i="7"/>
  <c r="Z593" i="7"/>
  <c r="Y593" i="7"/>
  <c r="X593" i="7"/>
  <c r="W593" i="7"/>
  <c r="V593" i="7"/>
  <c r="U593" i="7"/>
  <c r="T593" i="7"/>
  <c r="S593" i="7"/>
  <c r="R593" i="7"/>
  <c r="Q593" i="7"/>
  <c r="P593" i="7"/>
  <c r="O593" i="7"/>
  <c r="N593" i="7"/>
  <c r="M593" i="7"/>
  <c r="L593" i="7"/>
  <c r="K593" i="7"/>
  <c r="J593" i="7"/>
  <c r="I593" i="7"/>
  <c r="H593" i="7"/>
  <c r="G593" i="7"/>
  <c r="F593" i="7"/>
  <c r="E593" i="7"/>
  <c r="D593" i="7"/>
  <c r="C593" i="7"/>
  <c r="AP592" i="7"/>
  <c r="AO592" i="7"/>
  <c r="AN592" i="7"/>
  <c r="AM592" i="7"/>
  <c r="AL592" i="7"/>
  <c r="AK592" i="7"/>
  <c r="AJ592" i="7"/>
  <c r="AI592" i="7"/>
  <c r="AH592" i="7"/>
  <c r="AG592" i="7"/>
  <c r="AF592" i="7"/>
  <c r="AE592" i="7"/>
  <c r="AD592" i="7"/>
  <c r="AC592" i="7"/>
  <c r="AB592" i="7"/>
  <c r="AA592" i="7"/>
  <c r="Z592" i="7"/>
  <c r="Y592" i="7"/>
  <c r="X592" i="7"/>
  <c r="W592" i="7"/>
  <c r="V592" i="7"/>
  <c r="U592" i="7"/>
  <c r="T592" i="7"/>
  <c r="S592" i="7"/>
  <c r="R592" i="7"/>
  <c r="Q592" i="7"/>
  <c r="P592" i="7"/>
  <c r="O592" i="7"/>
  <c r="N592" i="7"/>
  <c r="M592" i="7"/>
  <c r="L592" i="7"/>
  <c r="K592" i="7"/>
  <c r="J592" i="7"/>
  <c r="I592" i="7"/>
  <c r="H592" i="7"/>
  <c r="G592" i="7"/>
  <c r="F592" i="7"/>
  <c r="E592" i="7"/>
  <c r="D592" i="7"/>
  <c r="C592" i="7"/>
  <c r="AP591" i="7"/>
  <c r="AO591" i="7"/>
  <c r="AN591" i="7"/>
  <c r="AM591" i="7"/>
  <c r="AL591" i="7"/>
  <c r="AK591" i="7"/>
  <c r="AJ591" i="7"/>
  <c r="AI591" i="7"/>
  <c r="AH591" i="7"/>
  <c r="AG591" i="7"/>
  <c r="AF591" i="7"/>
  <c r="AE591" i="7"/>
  <c r="AD591" i="7"/>
  <c r="AC591" i="7"/>
  <c r="AB591" i="7"/>
  <c r="AA591" i="7"/>
  <c r="Z591" i="7"/>
  <c r="Y591" i="7"/>
  <c r="X591" i="7"/>
  <c r="W591" i="7"/>
  <c r="V591" i="7"/>
  <c r="U591" i="7"/>
  <c r="T591" i="7"/>
  <c r="S591" i="7"/>
  <c r="R591" i="7"/>
  <c r="Q591" i="7"/>
  <c r="P591" i="7"/>
  <c r="O591" i="7"/>
  <c r="N591" i="7"/>
  <c r="M591" i="7"/>
  <c r="L591" i="7"/>
  <c r="K591" i="7"/>
  <c r="J591" i="7"/>
  <c r="I591" i="7"/>
  <c r="H591" i="7"/>
  <c r="G591" i="7"/>
  <c r="F591" i="7"/>
  <c r="E591" i="7"/>
  <c r="D591" i="7"/>
  <c r="C591" i="7"/>
  <c r="AP590" i="7"/>
  <c r="AO590" i="7"/>
  <c r="AN590" i="7"/>
  <c r="AM590" i="7"/>
  <c r="AL590" i="7"/>
  <c r="AK590" i="7"/>
  <c r="AJ590" i="7"/>
  <c r="AI590" i="7"/>
  <c r="AH590" i="7"/>
  <c r="AG590" i="7"/>
  <c r="AF590" i="7"/>
  <c r="AE590" i="7"/>
  <c r="AD590" i="7"/>
  <c r="AC590" i="7"/>
  <c r="AB590" i="7"/>
  <c r="AA590" i="7"/>
  <c r="Z590" i="7"/>
  <c r="Y590" i="7"/>
  <c r="X590" i="7"/>
  <c r="W590" i="7"/>
  <c r="V590" i="7"/>
  <c r="U590" i="7"/>
  <c r="T590" i="7"/>
  <c r="S590" i="7"/>
  <c r="R590" i="7"/>
  <c r="Q590" i="7"/>
  <c r="P590" i="7"/>
  <c r="O590" i="7"/>
  <c r="N590" i="7"/>
  <c r="M590" i="7"/>
  <c r="L590" i="7"/>
  <c r="K590" i="7"/>
  <c r="J590" i="7"/>
  <c r="I590" i="7"/>
  <c r="H590" i="7"/>
  <c r="G590" i="7"/>
  <c r="F590" i="7"/>
  <c r="E590" i="7"/>
  <c r="D590" i="7"/>
  <c r="C590" i="7"/>
  <c r="AP589" i="7"/>
  <c r="AO589" i="7"/>
  <c r="AN589" i="7"/>
  <c r="AM589" i="7"/>
  <c r="AL589" i="7"/>
  <c r="AK589" i="7"/>
  <c r="AJ589" i="7"/>
  <c r="AI589" i="7"/>
  <c r="AH589" i="7"/>
  <c r="AG589" i="7"/>
  <c r="AF589" i="7"/>
  <c r="AE589" i="7"/>
  <c r="AD589" i="7"/>
  <c r="AC589" i="7"/>
  <c r="AB589" i="7"/>
  <c r="AA589" i="7"/>
  <c r="Z589" i="7"/>
  <c r="Y589" i="7"/>
  <c r="X589" i="7"/>
  <c r="W589" i="7"/>
  <c r="V589" i="7"/>
  <c r="U589" i="7"/>
  <c r="T589" i="7"/>
  <c r="S589" i="7"/>
  <c r="R589" i="7"/>
  <c r="Q589" i="7"/>
  <c r="P589" i="7"/>
  <c r="O589" i="7"/>
  <c r="N589" i="7"/>
  <c r="M589" i="7"/>
  <c r="L589" i="7"/>
  <c r="K589" i="7"/>
  <c r="J589" i="7"/>
  <c r="I589" i="7"/>
  <c r="H589" i="7"/>
  <c r="G589" i="7"/>
  <c r="F589" i="7"/>
  <c r="E589" i="7"/>
  <c r="D589" i="7"/>
  <c r="C589" i="7"/>
  <c r="AP588" i="7"/>
  <c r="AO588" i="7"/>
  <c r="AN588" i="7"/>
  <c r="AM588" i="7"/>
  <c r="AL588" i="7"/>
  <c r="AK588" i="7"/>
  <c r="AJ588" i="7"/>
  <c r="AI588" i="7"/>
  <c r="AH588" i="7"/>
  <c r="AG588" i="7"/>
  <c r="AF588" i="7"/>
  <c r="AE588" i="7"/>
  <c r="AD588" i="7"/>
  <c r="AC588" i="7"/>
  <c r="AB588" i="7"/>
  <c r="AA588" i="7"/>
  <c r="Z588" i="7"/>
  <c r="Y588" i="7"/>
  <c r="X588" i="7"/>
  <c r="W588" i="7"/>
  <c r="V588" i="7"/>
  <c r="U588" i="7"/>
  <c r="T588" i="7"/>
  <c r="S588" i="7"/>
  <c r="R588" i="7"/>
  <c r="Q588" i="7"/>
  <c r="P588" i="7"/>
  <c r="O588" i="7"/>
  <c r="N588" i="7"/>
  <c r="M588" i="7"/>
  <c r="L588" i="7"/>
  <c r="K588" i="7"/>
  <c r="J588" i="7"/>
  <c r="I588" i="7"/>
  <c r="H588" i="7"/>
  <c r="G588" i="7"/>
  <c r="F588" i="7"/>
  <c r="E588" i="7"/>
  <c r="D588" i="7"/>
  <c r="C588" i="7"/>
  <c r="AP587" i="7"/>
  <c r="AO587" i="7"/>
  <c r="AN587" i="7"/>
  <c r="AM587" i="7"/>
  <c r="AL587" i="7"/>
  <c r="AK587" i="7"/>
  <c r="AJ587" i="7"/>
  <c r="AI587" i="7"/>
  <c r="AH587" i="7"/>
  <c r="AG587" i="7"/>
  <c r="AF587" i="7"/>
  <c r="AE587" i="7"/>
  <c r="AD587" i="7"/>
  <c r="AC587" i="7"/>
  <c r="AB587" i="7"/>
  <c r="AA587" i="7"/>
  <c r="Z587" i="7"/>
  <c r="Y587" i="7"/>
  <c r="X587" i="7"/>
  <c r="W587" i="7"/>
  <c r="V587" i="7"/>
  <c r="U587" i="7"/>
  <c r="T587" i="7"/>
  <c r="S587" i="7"/>
  <c r="R587" i="7"/>
  <c r="Q587" i="7"/>
  <c r="P587" i="7"/>
  <c r="O587" i="7"/>
  <c r="N587" i="7"/>
  <c r="M587" i="7"/>
  <c r="L587" i="7"/>
  <c r="K587" i="7"/>
  <c r="J587" i="7"/>
  <c r="I587" i="7"/>
  <c r="H587" i="7"/>
  <c r="G587" i="7"/>
  <c r="F587" i="7"/>
  <c r="E587" i="7"/>
  <c r="D587" i="7"/>
  <c r="C587" i="7"/>
  <c r="AP586" i="7"/>
  <c r="AO586" i="7"/>
  <c r="AN586" i="7"/>
  <c r="AM586" i="7"/>
  <c r="AL586" i="7"/>
  <c r="AK586" i="7"/>
  <c r="AJ586" i="7"/>
  <c r="AI586" i="7"/>
  <c r="AH586" i="7"/>
  <c r="AG586" i="7"/>
  <c r="AF586" i="7"/>
  <c r="AE586" i="7"/>
  <c r="AD586" i="7"/>
  <c r="AC586" i="7"/>
  <c r="AB586" i="7"/>
  <c r="AA586" i="7"/>
  <c r="Z586" i="7"/>
  <c r="Y586" i="7"/>
  <c r="X586" i="7"/>
  <c r="W586" i="7"/>
  <c r="V586" i="7"/>
  <c r="U586" i="7"/>
  <c r="T586" i="7"/>
  <c r="S586" i="7"/>
  <c r="R586" i="7"/>
  <c r="Q586" i="7"/>
  <c r="P586" i="7"/>
  <c r="O586" i="7"/>
  <c r="N586" i="7"/>
  <c r="M586" i="7"/>
  <c r="L586" i="7"/>
  <c r="K586" i="7"/>
  <c r="J586" i="7"/>
  <c r="I586" i="7"/>
  <c r="H586" i="7"/>
  <c r="G586" i="7"/>
  <c r="F586" i="7"/>
  <c r="E586" i="7"/>
  <c r="D586" i="7"/>
  <c r="C586" i="7"/>
  <c r="AP585" i="7"/>
  <c r="AO585" i="7"/>
  <c r="AN585" i="7"/>
  <c r="AM585" i="7"/>
  <c r="AL585" i="7"/>
  <c r="AK585" i="7"/>
  <c r="AJ585" i="7"/>
  <c r="AI585" i="7"/>
  <c r="AH585" i="7"/>
  <c r="AG585" i="7"/>
  <c r="AF585" i="7"/>
  <c r="AE585" i="7"/>
  <c r="AD585" i="7"/>
  <c r="AC585" i="7"/>
  <c r="AB585" i="7"/>
  <c r="AA585" i="7"/>
  <c r="Z585" i="7"/>
  <c r="Y585" i="7"/>
  <c r="X585" i="7"/>
  <c r="W585" i="7"/>
  <c r="V585" i="7"/>
  <c r="U585" i="7"/>
  <c r="T585" i="7"/>
  <c r="S585" i="7"/>
  <c r="R585" i="7"/>
  <c r="Q585" i="7"/>
  <c r="P585" i="7"/>
  <c r="O585" i="7"/>
  <c r="N585" i="7"/>
  <c r="M585" i="7"/>
  <c r="L585" i="7"/>
  <c r="K585" i="7"/>
  <c r="J585" i="7"/>
  <c r="I585" i="7"/>
  <c r="H585" i="7"/>
  <c r="G585" i="7"/>
  <c r="F585" i="7"/>
  <c r="E585" i="7"/>
  <c r="D585" i="7"/>
  <c r="C585" i="7"/>
  <c r="AP554" i="7"/>
  <c r="AO554" i="7"/>
  <c r="AN554" i="7"/>
  <c r="AM554" i="7"/>
  <c r="AL554" i="7"/>
  <c r="AK554" i="7"/>
  <c r="AJ554" i="7"/>
  <c r="AI554" i="7"/>
  <c r="AH554" i="7"/>
  <c r="AG554" i="7"/>
  <c r="AF554" i="7"/>
  <c r="AE554" i="7"/>
  <c r="AD554" i="7"/>
  <c r="AC554" i="7"/>
  <c r="AB554" i="7"/>
  <c r="AA554" i="7"/>
  <c r="Z554" i="7"/>
  <c r="Y554" i="7"/>
  <c r="X554" i="7"/>
  <c r="W554" i="7"/>
  <c r="V554" i="7"/>
  <c r="U554" i="7"/>
  <c r="T554" i="7"/>
  <c r="S554" i="7"/>
  <c r="R554" i="7"/>
  <c r="Q554" i="7"/>
  <c r="P554" i="7"/>
  <c r="B55" i="7"/>
  <c r="B75" i="7" l="1"/>
  <c r="E56" i="1"/>
  <c r="B246" i="7" l="1"/>
  <c r="G42" i="4"/>
  <c r="G3" i="4"/>
  <c r="B233" i="7" l="1"/>
  <c r="B232" i="7"/>
  <c r="B231" i="7"/>
  <c r="B230" i="7"/>
  <c r="B234" i="7" s="1"/>
  <c r="B227" i="7"/>
  <c r="B226" i="7"/>
  <c r="B225" i="7"/>
  <c r="B224" i="7"/>
  <c r="C499" i="7"/>
  <c r="C147" i="7" s="1"/>
  <c r="C500" i="7"/>
  <c r="B365" i="7" s="1"/>
  <c r="C501" i="7"/>
  <c r="C149" i="7" s="1"/>
  <c r="C502" i="7"/>
  <c r="B367" i="7" s="1"/>
  <c r="C493" i="7"/>
  <c r="C494" i="7"/>
  <c r="B359" i="7" s="1"/>
  <c r="C495" i="7"/>
  <c r="C143" i="7" s="1"/>
  <c r="C496" i="7"/>
  <c r="B361" i="7" s="1"/>
  <c r="C497" i="7" l="1"/>
  <c r="C503" i="7"/>
  <c r="B73" i="7" s="1"/>
  <c r="C142" i="7"/>
  <c r="C144" i="7"/>
  <c r="C148" i="7"/>
  <c r="C150" i="7"/>
  <c r="C180" i="7"/>
  <c r="C182" i="7"/>
  <c r="C186" i="7"/>
  <c r="C188" i="7"/>
  <c r="B358" i="7"/>
  <c r="B360" i="7"/>
  <c r="B364" i="7"/>
  <c r="B366" i="7"/>
  <c r="C141" i="7"/>
  <c r="C181" i="7"/>
  <c r="C183" i="7"/>
  <c r="C187" i="7"/>
  <c r="C189" i="7"/>
  <c r="C25" i="1"/>
  <c r="C190" i="7" l="1"/>
  <c r="C137" i="1"/>
  <c r="E211" i="7"/>
  <c r="E210" i="7"/>
  <c r="E209" i="7"/>
  <c r="E208" i="7"/>
  <c r="E207" i="7"/>
  <c r="D211" i="7"/>
  <c r="D210" i="7"/>
  <c r="D209" i="7"/>
  <c r="D208" i="7"/>
  <c r="D207" i="7"/>
  <c r="E345" i="7"/>
  <c r="E344" i="7"/>
  <c r="E343" i="7"/>
  <c r="E342" i="7"/>
  <c r="E341" i="7"/>
  <c r="D345" i="7"/>
  <c r="D344" i="7"/>
  <c r="D343" i="7"/>
  <c r="D342" i="7"/>
  <c r="D341" i="7"/>
  <c r="C50" i="1"/>
  <c r="C45" i="1"/>
  <c r="P211" i="7" l="1"/>
  <c r="P210" i="7"/>
  <c r="P209" i="7"/>
  <c r="P208" i="7"/>
  <c r="P345" i="7"/>
  <c r="P344" i="7"/>
  <c r="P343" i="7"/>
  <c r="P342" i="7"/>
  <c r="B355" i="7"/>
  <c r="B354" i="7"/>
  <c r="B353" i="7"/>
  <c r="B352" i="7"/>
  <c r="B221" i="7"/>
  <c r="B220" i="7"/>
  <c r="B219" i="7"/>
  <c r="B218" i="7"/>
  <c r="E58" i="1"/>
  <c r="E57" i="1"/>
  <c r="E54" i="1" s="1"/>
  <c r="AP18" i="7"/>
  <c r="AO18" i="7"/>
  <c r="AN18" i="7"/>
  <c r="AM18" i="7"/>
  <c r="AL18" i="7"/>
  <c r="AK18" i="7"/>
  <c r="AJ18" i="7"/>
  <c r="AI18" i="7"/>
  <c r="AH18" i="7"/>
  <c r="AG18" i="7"/>
  <c r="AF18" i="7"/>
  <c r="AE18" i="7"/>
  <c r="AD18" i="7"/>
  <c r="AC18" i="7"/>
  <c r="AB18" i="7"/>
  <c r="AA18" i="7"/>
  <c r="Z18" i="7"/>
  <c r="Y18" i="7"/>
  <c r="X18" i="7"/>
  <c r="W18" i="7"/>
  <c r="V18" i="7"/>
  <c r="U18" i="7"/>
  <c r="T18" i="7"/>
  <c r="S18" i="7"/>
  <c r="R18" i="7"/>
  <c r="Q18" i="7"/>
  <c r="P18" i="7"/>
  <c r="O18" i="7"/>
  <c r="N18" i="7"/>
  <c r="M18" i="7"/>
  <c r="L18" i="7"/>
  <c r="K18" i="7"/>
  <c r="J18" i="7"/>
  <c r="I18" i="7"/>
  <c r="H18" i="7"/>
  <c r="G18" i="7"/>
  <c r="F18" i="7"/>
  <c r="E18" i="7"/>
  <c r="D18" i="7"/>
  <c r="C18"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C19" i="7" s="1"/>
  <c r="G11" i="9"/>
  <c r="H11" i="9" s="1"/>
  <c r="I11" i="9" s="1"/>
  <c r="G10" i="9"/>
  <c r="H10" i="9" s="1"/>
  <c r="I10" i="9" s="1"/>
  <c r="G9" i="9"/>
  <c r="H9" i="9" s="1"/>
  <c r="I9" i="9" s="1"/>
  <c r="G8" i="9"/>
  <c r="H8" i="9" s="1"/>
  <c r="I8" i="9" s="1"/>
  <c r="G7" i="9"/>
  <c r="H7" i="9" s="1"/>
  <c r="I7" i="9" l="1"/>
  <c r="I12" i="9" s="1"/>
  <c r="H12" i="9"/>
  <c r="G12" i="9"/>
  <c r="G10" i="1" l="1"/>
  <c r="C2" i="7"/>
  <c r="C6" i="7" l="1"/>
  <c r="C519" i="7"/>
  <c r="C515" i="7"/>
  <c r="C507" i="7"/>
  <c r="C511" i="7"/>
  <c r="C33" i="7"/>
  <c r="C29" i="7"/>
  <c r="C537" i="7"/>
  <c r="C538" i="7" s="1"/>
  <c r="C26" i="7"/>
  <c r="C20" i="7"/>
  <c r="C36" i="7"/>
  <c r="C23" i="7"/>
  <c r="C35" i="7" s="1"/>
  <c r="D2" i="7"/>
  <c r="E12" i="1" s="1"/>
  <c r="E11" i="1"/>
  <c r="E10" i="1"/>
  <c r="D6" i="7" l="1"/>
  <c r="D511" i="7"/>
  <c r="D33" i="7"/>
  <c r="D29" i="7"/>
  <c r="D519" i="7"/>
  <c r="D515" i="7"/>
  <c r="D507" i="7"/>
  <c r="D20" i="7"/>
  <c r="D36" i="7"/>
  <c r="D537" i="7"/>
  <c r="D538" i="7" s="1"/>
  <c r="D26" i="7"/>
  <c r="D23" i="7"/>
  <c r="D35" i="7" s="1"/>
  <c r="E2" i="7"/>
  <c r="E6" i="7" l="1"/>
  <c r="E511" i="7"/>
  <c r="E33" i="7"/>
  <c r="E29" i="7"/>
  <c r="E519" i="7"/>
  <c r="E515" i="7"/>
  <c r="E507" i="7"/>
  <c r="E36" i="7"/>
  <c r="E537" i="7"/>
  <c r="E538" i="7" s="1"/>
  <c r="E26" i="7"/>
  <c r="E20" i="7"/>
  <c r="E23" i="7"/>
  <c r="E35" i="7" s="1"/>
  <c r="F2" i="7"/>
  <c r="E13" i="1"/>
  <c r="D82" i="1"/>
  <c r="D84" i="1"/>
  <c r="D83" i="1"/>
  <c r="C37" i="1"/>
  <c r="B122" i="7" s="1"/>
  <c r="E14" i="1" l="1"/>
  <c r="F6" i="7"/>
  <c r="F511" i="7"/>
  <c r="F33" i="7"/>
  <c r="F29" i="7"/>
  <c r="F519" i="7"/>
  <c r="F515" i="7"/>
  <c r="F507" i="7"/>
  <c r="F36" i="7"/>
  <c r="F26" i="7"/>
  <c r="F537" i="7"/>
  <c r="F538" i="7" s="1"/>
  <c r="F20" i="7"/>
  <c r="F23" i="7"/>
  <c r="F35" i="7" s="1"/>
  <c r="G2" i="7"/>
  <c r="AP575" i="7"/>
  <c r="G6" i="7" l="1"/>
  <c r="G519" i="7"/>
  <c r="G515" i="7"/>
  <c r="G507" i="7"/>
  <c r="G511" i="7"/>
  <c r="G33" i="7"/>
  <c r="G29" i="7"/>
  <c r="G537" i="7"/>
  <c r="G538" i="7" s="1"/>
  <c r="G26" i="7"/>
  <c r="G20" i="7"/>
  <c r="G36" i="7"/>
  <c r="G23" i="7"/>
  <c r="G35" i="7" s="1"/>
  <c r="H2" i="7"/>
  <c r="E16" i="1" s="1"/>
  <c r="E15" i="1"/>
  <c r="AP169" i="7"/>
  <c r="AO169" i="7"/>
  <c r="AN169" i="7"/>
  <c r="AM169" i="7"/>
  <c r="AL169" i="7"/>
  <c r="AK169" i="7"/>
  <c r="AJ169" i="7"/>
  <c r="AI169" i="7"/>
  <c r="AH169" i="7"/>
  <c r="AG169" i="7"/>
  <c r="AF169" i="7"/>
  <c r="AE169" i="7"/>
  <c r="AD169" i="7"/>
  <c r="AC169"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G341" i="7"/>
  <c r="G342" i="7"/>
  <c r="G343" i="7"/>
  <c r="G344" i="7"/>
  <c r="G345" i="7"/>
  <c r="G208" i="7"/>
  <c r="G209" i="7"/>
  <c r="G210" i="7"/>
  <c r="G211" i="7"/>
  <c r="G207" i="7"/>
  <c r="H6" i="7" l="1"/>
  <c r="H511" i="7"/>
  <c r="H33" i="7"/>
  <c r="H29" i="7"/>
  <c r="H519" i="7"/>
  <c r="H515" i="7"/>
  <c r="H507" i="7"/>
  <c r="H537" i="7"/>
  <c r="H538" i="7" s="1"/>
  <c r="H20" i="7"/>
  <c r="H36" i="7"/>
  <c r="H26" i="7"/>
  <c r="H23" i="7"/>
  <c r="H35" i="7" s="1"/>
  <c r="I2" i="7"/>
  <c r="A662" i="7"/>
  <c r="A663" i="7" s="1"/>
  <c r="A664" i="7" s="1"/>
  <c r="A665" i="7" s="1"/>
  <c r="A666" i="7" s="1"/>
  <c r="A667" i="7" s="1"/>
  <c r="A668" i="7" s="1"/>
  <c r="A669" i="7" s="1"/>
  <c r="A670" i="7" s="1"/>
  <c r="A650" i="7"/>
  <c r="A651" i="7" s="1"/>
  <c r="A652" i="7" s="1"/>
  <c r="A653" i="7" s="1"/>
  <c r="A654" i="7" s="1"/>
  <c r="A655" i="7" s="1"/>
  <c r="A656" i="7" s="1"/>
  <c r="A657" i="7" s="1"/>
  <c r="A658" i="7" s="1"/>
  <c r="B645" i="7"/>
  <c r="C642" i="7" s="1"/>
  <c r="A630" i="7"/>
  <c r="A631" i="7" s="1"/>
  <c r="A632" i="7" s="1"/>
  <c r="A633" i="7" s="1"/>
  <c r="A634" i="7" s="1"/>
  <c r="A635" i="7" s="1"/>
  <c r="A636" i="7" s="1"/>
  <c r="A637" i="7" s="1"/>
  <c r="A638" i="7" s="1"/>
  <c r="A618" i="7"/>
  <c r="A619" i="7" s="1"/>
  <c r="A620" i="7" s="1"/>
  <c r="A621" i="7" s="1"/>
  <c r="A622" i="7" s="1"/>
  <c r="A623" i="7" s="1"/>
  <c r="A624" i="7" s="1"/>
  <c r="A625" i="7" s="1"/>
  <c r="A626" i="7" s="1"/>
  <c r="B613" i="7"/>
  <c r="C610" i="7" s="1"/>
  <c r="A598" i="7"/>
  <c r="A599" i="7" s="1"/>
  <c r="A600" i="7" s="1"/>
  <c r="A601" i="7" s="1"/>
  <c r="A602" i="7" s="1"/>
  <c r="A603" i="7" s="1"/>
  <c r="A604" i="7" s="1"/>
  <c r="A605" i="7" s="1"/>
  <c r="A606" i="7" s="1"/>
  <c r="A586" i="7"/>
  <c r="A587" i="7" s="1"/>
  <c r="A588" i="7" s="1"/>
  <c r="A589" i="7" s="1"/>
  <c r="A590" i="7" s="1"/>
  <c r="A591" i="7" s="1"/>
  <c r="A592" i="7" s="1"/>
  <c r="A593" i="7" s="1"/>
  <c r="A594" i="7" s="1"/>
  <c r="B581" i="7"/>
  <c r="C578" i="7" s="1"/>
  <c r="A518" i="7"/>
  <c r="A514" i="7"/>
  <c r="A510" i="7"/>
  <c r="A506" i="7"/>
  <c r="A502" i="7"/>
  <c r="A233" i="7" s="1"/>
  <c r="A501" i="7"/>
  <c r="A232" i="7" s="1"/>
  <c r="A500" i="7"/>
  <c r="A231" i="7" s="1"/>
  <c r="A499" i="7"/>
  <c r="A230" i="7" s="1"/>
  <c r="A496" i="7"/>
  <c r="A227" i="7" s="1"/>
  <c r="A495" i="7"/>
  <c r="A226" i="7" s="1"/>
  <c r="A494" i="7"/>
  <c r="A225" i="7" s="1"/>
  <c r="A493" i="7"/>
  <c r="A224" i="7" s="1"/>
  <c r="A492" i="7"/>
  <c r="A223" i="7" s="1"/>
  <c r="C490" i="7"/>
  <c r="A490" i="7"/>
  <c r="A221" i="7" s="1"/>
  <c r="C489" i="7"/>
  <c r="A489" i="7"/>
  <c r="A220" i="7" s="1"/>
  <c r="C488" i="7"/>
  <c r="A488" i="7"/>
  <c r="A219" i="7" s="1"/>
  <c r="C487" i="7"/>
  <c r="A487" i="7"/>
  <c r="A218" i="7" s="1"/>
  <c r="A486" i="7"/>
  <c r="A217" i="7" s="1"/>
  <c r="K347" i="7"/>
  <c r="K213" i="7"/>
  <c r="A461" i="7"/>
  <c r="A462" i="7" s="1"/>
  <c r="A463" i="7" s="1"/>
  <c r="A464" i="7" s="1"/>
  <c r="A465" i="7" s="1"/>
  <c r="A466" i="7" s="1"/>
  <c r="A467" i="7" s="1"/>
  <c r="A468" i="7" s="1"/>
  <c r="A469" i="7" s="1"/>
  <c r="A449" i="7"/>
  <c r="A450" i="7" s="1"/>
  <c r="A451" i="7" s="1"/>
  <c r="A452" i="7" s="1"/>
  <c r="A453" i="7" s="1"/>
  <c r="A454" i="7" s="1"/>
  <c r="A455" i="7" s="1"/>
  <c r="A456" i="7" s="1"/>
  <c r="A457" i="7" s="1"/>
  <c r="A435" i="7"/>
  <c r="A436" i="7" s="1"/>
  <c r="A437" i="7" s="1"/>
  <c r="A438" i="7" s="1"/>
  <c r="A439" i="7" s="1"/>
  <c r="A440" i="7" s="1"/>
  <c r="A441" i="7" s="1"/>
  <c r="A442" i="7" s="1"/>
  <c r="A443" i="7" s="1"/>
  <c r="A423" i="7"/>
  <c r="A424" i="7" s="1"/>
  <c r="A425" i="7" s="1"/>
  <c r="A426" i="7" s="1"/>
  <c r="A427" i="7" s="1"/>
  <c r="A428" i="7" s="1"/>
  <c r="A429" i="7" s="1"/>
  <c r="A430" i="7" s="1"/>
  <c r="A431" i="7" s="1"/>
  <c r="A409" i="7"/>
  <c r="A410" i="7" s="1"/>
  <c r="A411" i="7" s="1"/>
  <c r="A412" i="7" s="1"/>
  <c r="A413" i="7" s="1"/>
  <c r="A414" i="7" s="1"/>
  <c r="A415" i="7" s="1"/>
  <c r="A416" i="7" s="1"/>
  <c r="A417" i="7" s="1"/>
  <c r="A397" i="7"/>
  <c r="A398" i="7" s="1"/>
  <c r="A399" i="7" s="1"/>
  <c r="A400" i="7" s="1"/>
  <c r="A401" i="7" s="1"/>
  <c r="A402" i="7" s="1"/>
  <c r="A403" i="7" s="1"/>
  <c r="A404" i="7" s="1"/>
  <c r="A405" i="7" s="1"/>
  <c r="B391" i="7"/>
  <c r="B390" i="7"/>
  <c r="A369" i="7"/>
  <c r="A326" i="7"/>
  <c r="A327" i="7" s="1"/>
  <c r="A328" i="7" s="1"/>
  <c r="A329" i="7" s="1"/>
  <c r="A330" i="7" s="1"/>
  <c r="A331" i="7" s="1"/>
  <c r="A332" i="7" s="1"/>
  <c r="A333" i="7" s="1"/>
  <c r="A334" i="7" s="1"/>
  <c r="A314" i="7"/>
  <c r="A315" i="7" s="1"/>
  <c r="A316" i="7" s="1"/>
  <c r="A317" i="7" s="1"/>
  <c r="A318" i="7" s="1"/>
  <c r="A319" i="7" s="1"/>
  <c r="A320" i="7" s="1"/>
  <c r="A321" i="7" s="1"/>
  <c r="A322" i="7" s="1"/>
  <c r="A300" i="7"/>
  <c r="A301" i="7" s="1"/>
  <c r="A302" i="7" s="1"/>
  <c r="A303" i="7" s="1"/>
  <c r="A304" i="7" s="1"/>
  <c r="A305" i="7" s="1"/>
  <c r="A306" i="7" s="1"/>
  <c r="A307" i="7" s="1"/>
  <c r="A308" i="7" s="1"/>
  <c r="A288" i="7"/>
  <c r="A289" i="7" s="1"/>
  <c r="A290" i="7" s="1"/>
  <c r="A291" i="7" s="1"/>
  <c r="A292" i="7" s="1"/>
  <c r="A293" i="7" s="1"/>
  <c r="A294" i="7" s="1"/>
  <c r="A295" i="7" s="1"/>
  <c r="A296" i="7" s="1"/>
  <c r="A274" i="7"/>
  <c r="A275" i="7" s="1"/>
  <c r="A276" i="7" s="1"/>
  <c r="A277" i="7" s="1"/>
  <c r="A278" i="7" s="1"/>
  <c r="A279" i="7" s="1"/>
  <c r="A280" i="7" s="1"/>
  <c r="A281" i="7" s="1"/>
  <c r="A282" i="7" s="1"/>
  <c r="A263" i="7"/>
  <c r="A264" i="7" s="1"/>
  <c r="A265" i="7" s="1"/>
  <c r="A266" i="7" s="1"/>
  <c r="A267" i="7" s="1"/>
  <c r="A268" i="7" s="1"/>
  <c r="A269" i="7" s="1"/>
  <c r="A270" i="7" s="1"/>
  <c r="A271" i="7" s="1"/>
  <c r="B257" i="7"/>
  <c r="B256" i="7"/>
  <c r="A234" i="7"/>
  <c r="A229" i="7"/>
  <c r="A228" i="7"/>
  <c r="A222" i="7"/>
  <c r="A216" i="7"/>
  <c r="A211" i="7"/>
  <c r="A345" i="7" s="1"/>
  <c r="A210" i="7"/>
  <c r="A344" i="7" s="1"/>
  <c r="A209" i="7"/>
  <c r="A343" i="7" s="1"/>
  <c r="A208" i="7"/>
  <c r="A342" i="7" s="1"/>
  <c r="A207" i="7"/>
  <c r="A341" i="7" s="1"/>
  <c r="A206" i="7"/>
  <c r="A340" i="7" s="1"/>
  <c r="A191" i="7"/>
  <c r="A185" i="7"/>
  <c r="A179" i="7"/>
  <c r="A173" i="7"/>
  <c r="A172" i="7"/>
  <c r="A152" i="7"/>
  <c r="A146" i="7"/>
  <c r="A140" i="7"/>
  <c r="A134" i="7"/>
  <c r="A133" i="7"/>
  <c r="B104" i="7"/>
  <c r="B103" i="7"/>
  <c r="B100" i="7"/>
  <c r="B99" i="7"/>
  <c r="AP97" i="7"/>
  <c r="AO97" i="7"/>
  <c r="AN97" i="7"/>
  <c r="AM97" i="7"/>
  <c r="AL97" i="7"/>
  <c r="AK97" i="7"/>
  <c r="AJ97" i="7"/>
  <c r="AI97" i="7"/>
  <c r="AH97" i="7"/>
  <c r="AG97" i="7"/>
  <c r="AF97" i="7"/>
  <c r="AE97" i="7"/>
  <c r="AD97" i="7"/>
  <c r="AC97" i="7"/>
  <c r="AB97" i="7"/>
  <c r="AA97" i="7"/>
  <c r="Z97" i="7"/>
  <c r="Y97" i="7"/>
  <c r="X97" i="7"/>
  <c r="W97" i="7"/>
  <c r="V97" i="7"/>
  <c r="U97" i="7"/>
  <c r="T97" i="7"/>
  <c r="S97" i="7"/>
  <c r="R97" i="7"/>
  <c r="Q97" i="7"/>
  <c r="P97" i="7"/>
  <c r="O97" i="7"/>
  <c r="N97" i="7"/>
  <c r="M97" i="7"/>
  <c r="L97" i="7"/>
  <c r="K97" i="7"/>
  <c r="J97" i="7"/>
  <c r="I97" i="7"/>
  <c r="H97" i="7"/>
  <c r="G97" i="7"/>
  <c r="F97" i="7"/>
  <c r="E97" i="7"/>
  <c r="D97" i="7"/>
  <c r="B97" i="7"/>
  <c r="AP82" i="7"/>
  <c r="AP91" i="7" s="1"/>
  <c r="AO82" i="7"/>
  <c r="AN82" i="7"/>
  <c r="AN91" i="7" s="1"/>
  <c r="AM82" i="7"/>
  <c r="AL82" i="7"/>
  <c r="AL91" i="7" s="1"/>
  <c r="AK82" i="7"/>
  <c r="AJ82" i="7"/>
  <c r="AJ91" i="7" s="1"/>
  <c r="AI82" i="7"/>
  <c r="AH82" i="7"/>
  <c r="AH91" i="7" s="1"/>
  <c r="AG82" i="7"/>
  <c r="AF82" i="7"/>
  <c r="AF91" i="7" s="1"/>
  <c r="AE82" i="7"/>
  <c r="AD82" i="7"/>
  <c r="AD91" i="7" s="1"/>
  <c r="AC82" i="7"/>
  <c r="AB82" i="7"/>
  <c r="AB91" i="7" s="1"/>
  <c r="AA82" i="7"/>
  <c r="Z82" i="7"/>
  <c r="Z91" i="7" s="1"/>
  <c r="Y82" i="7"/>
  <c r="X82" i="7"/>
  <c r="X91" i="7" s="1"/>
  <c r="W82" i="7"/>
  <c r="V82" i="7"/>
  <c r="V91" i="7" s="1"/>
  <c r="U82" i="7"/>
  <c r="T82" i="7"/>
  <c r="T91" i="7" s="1"/>
  <c r="S82" i="7"/>
  <c r="R82" i="7"/>
  <c r="R91" i="7" s="1"/>
  <c r="Q82" i="7"/>
  <c r="P82" i="7"/>
  <c r="P91" i="7" s="1"/>
  <c r="O82" i="7"/>
  <c r="N82" i="7"/>
  <c r="N91" i="7" s="1"/>
  <c r="M82" i="7"/>
  <c r="L82" i="7"/>
  <c r="L91" i="7" s="1"/>
  <c r="K82" i="7"/>
  <c r="J82" i="7"/>
  <c r="J91" i="7" s="1"/>
  <c r="I82" i="7"/>
  <c r="H82" i="7"/>
  <c r="H91" i="7" s="1"/>
  <c r="G82" i="7"/>
  <c r="F82" i="7"/>
  <c r="F91" i="7" s="1"/>
  <c r="E82" i="7"/>
  <c r="D82" i="7"/>
  <c r="D91" i="7" s="1"/>
  <c r="C82" i="7"/>
  <c r="B66" i="7"/>
  <c r="B65" i="7"/>
  <c r="B64" i="7"/>
  <c r="B61" i="7"/>
  <c r="B60" i="7"/>
  <c r="B59" i="7"/>
  <c r="B52" i="7"/>
  <c r="A18" i="7"/>
  <c r="A48" i="7" s="1"/>
  <c r="A17" i="7"/>
  <c r="A47" i="7" s="1"/>
  <c r="A16" i="7"/>
  <c r="A46" i="7" s="1"/>
  <c r="A15" i="7"/>
  <c r="A45" i="7" s="1"/>
  <c r="I6" i="7" l="1"/>
  <c r="I511" i="7"/>
  <c r="I33" i="7"/>
  <c r="I29" i="7"/>
  <c r="I519" i="7"/>
  <c r="I515" i="7"/>
  <c r="I507" i="7"/>
  <c r="I36" i="7"/>
  <c r="I537" i="7"/>
  <c r="I538" i="7" s="1"/>
  <c r="I20" i="7"/>
  <c r="I26" i="7"/>
  <c r="I23" i="7"/>
  <c r="I35" i="7" s="1"/>
  <c r="C174" i="7"/>
  <c r="C135" i="7"/>
  <c r="C176" i="7"/>
  <c r="C137" i="7"/>
  <c r="C175" i="7"/>
  <c r="C136" i="7"/>
  <c r="C177" i="7"/>
  <c r="C138" i="7"/>
  <c r="J2" i="7"/>
  <c r="E17" i="1"/>
  <c r="C574" i="7"/>
  <c r="C491" i="7"/>
  <c r="B72" i="7" s="1"/>
  <c r="C568" i="7"/>
  <c r="D544" i="7"/>
  <c r="C544" i="7"/>
  <c r="B228" i="7"/>
  <c r="B222" i="7"/>
  <c r="B67" i="7"/>
  <c r="B356" i="7"/>
  <c r="B362" i="7"/>
  <c r="D668" i="7"/>
  <c r="D631" i="7"/>
  <c r="D602" i="7"/>
  <c r="D598" i="7"/>
  <c r="D376" i="7"/>
  <c r="D244" i="7"/>
  <c r="C670" i="7"/>
  <c r="C669" i="7"/>
  <c r="C668" i="7"/>
  <c r="C667" i="7"/>
  <c r="C666" i="7"/>
  <c r="C665" i="7"/>
  <c r="C664" i="7"/>
  <c r="C663" i="7"/>
  <c r="C322" i="7"/>
  <c r="C321" i="7"/>
  <c r="C319" i="7"/>
  <c r="C318" i="7"/>
  <c r="C316" i="7"/>
  <c r="C662" i="7"/>
  <c r="C315" i="7"/>
  <c r="C296" i="7"/>
  <c r="C295" i="7"/>
  <c r="C294" i="7"/>
  <c r="C293" i="7"/>
  <c r="C291" i="7"/>
  <c r="C314" i="7"/>
  <c r="C313" i="7"/>
  <c r="C638" i="7"/>
  <c r="C637" i="7"/>
  <c r="C636" i="7"/>
  <c r="C635" i="7"/>
  <c r="C634" i="7"/>
  <c r="C633" i="7"/>
  <c r="C632" i="7"/>
  <c r="C631" i="7"/>
  <c r="C630" i="7"/>
  <c r="C290" i="7"/>
  <c r="C271" i="7"/>
  <c r="C270" i="7"/>
  <c r="C269" i="7"/>
  <c r="C268" i="7"/>
  <c r="C267" i="7"/>
  <c r="C289" i="7"/>
  <c r="C288" i="7"/>
  <c r="C606" i="7"/>
  <c r="C605" i="7"/>
  <c r="C604" i="7"/>
  <c r="C603" i="7"/>
  <c r="C602" i="7"/>
  <c r="C601" i="7"/>
  <c r="C600" i="7"/>
  <c r="C599" i="7"/>
  <c r="C598" i="7"/>
  <c r="C266" i="7"/>
  <c r="C265" i="7"/>
  <c r="C264" i="7"/>
  <c r="C262" i="7"/>
  <c r="C480" i="7"/>
  <c r="C481" i="7" s="1"/>
  <c r="C474" i="7"/>
  <c r="C475" i="7" s="1"/>
  <c r="C377" i="7"/>
  <c r="C376" i="7"/>
  <c r="C375" i="7"/>
  <c r="C374" i="7"/>
  <c r="C373" i="7"/>
  <c r="C391" i="7"/>
  <c r="C257" i="7"/>
  <c r="C243" i="7"/>
  <c r="C242" i="7"/>
  <c r="C241" i="7"/>
  <c r="C240" i="7"/>
  <c r="C239" i="7"/>
  <c r="B105" i="7"/>
  <c r="C28" i="7"/>
  <c r="C91" i="7"/>
  <c r="E91" i="7"/>
  <c r="G91" i="7"/>
  <c r="I91" i="7"/>
  <c r="K91" i="7"/>
  <c r="M91" i="7"/>
  <c r="O91" i="7"/>
  <c r="Q91" i="7"/>
  <c r="S91" i="7"/>
  <c r="U91" i="7"/>
  <c r="W91" i="7"/>
  <c r="Y91" i="7"/>
  <c r="AA91" i="7"/>
  <c r="AC91" i="7"/>
  <c r="AE91" i="7"/>
  <c r="AG91" i="7"/>
  <c r="AI91" i="7"/>
  <c r="AK91" i="7"/>
  <c r="AM91" i="7"/>
  <c r="AO91" i="7"/>
  <c r="D28" i="7"/>
  <c r="B101" i="7"/>
  <c r="A374" i="7"/>
  <c r="A381" i="7" s="1"/>
  <c r="A376" i="7"/>
  <c r="A383" i="7" s="1"/>
  <c r="A378" i="7"/>
  <c r="A385" i="7" s="1"/>
  <c r="A351" i="7"/>
  <c r="A362" i="7"/>
  <c r="A363" i="7"/>
  <c r="A239" i="7"/>
  <c r="A246" i="7" s="1"/>
  <c r="A240" i="7"/>
  <c r="A247" i="7" s="1"/>
  <c r="A241" i="7"/>
  <c r="A248" i="7" s="1"/>
  <c r="A242" i="7"/>
  <c r="A249" i="7" s="1"/>
  <c r="A243" i="7"/>
  <c r="A250" i="7" s="1"/>
  <c r="A244" i="7"/>
  <c r="A251" i="7" s="1"/>
  <c r="A373" i="7"/>
  <c r="A380" i="7" s="1"/>
  <c r="A375" i="7"/>
  <c r="A382" i="7" s="1"/>
  <c r="A377" i="7"/>
  <c r="A384" i="7" s="1"/>
  <c r="A350" i="7"/>
  <c r="A356" i="7"/>
  <c r="A357" i="7"/>
  <c r="A368" i="7"/>
  <c r="C139" i="7" l="1"/>
  <c r="J6" i="7"/>
  <c r="J511" i="7"/>
  <c r="J33" i="7"/>
  <c r="J29" i="7"/>
  <c r="J519" i="7"/>
  <c r="J515" i="7"/>
  <c r="J507" i="7"/>
  <c r="J36" i="7"/>
  <c r="J537" i="7"/>
  <c r="J538" i="7" s="1"/>
  <c r="J20" i="7"/>
  <c r="J26" i="7"/>
  <c r="J23" i="7"/>
  <c r="J35" i="7" s="1"/>
  <c r="E18" i="1"/>
  <c r="K2" i="7"/>
  <c r="D474" i="7"/>
  <c r="D475" i="7" s="1"/>
  <c r="D290" i="7"/>
  <c r="D317" i="7"/>
  <c r="D452" i="7" s="1"/>
  <c r="D664" i="7"/>
  <c r="D240" i="7"/>
  <c r="D264" i="7"/>
  <c r="D606" i="7"/>
  <c r="D635" i="7"/>
  <c r="D568" i="7"/>
  <c r="D241" i="7"/>
  <c r="D373" i="7"/>
  <c r="D377" i="7"/>
  <c r="D480" i="7"/>
  <c r="D481" i="7" s="1"/>
  <c r="D265" i="7"/>
  <c r="D269" i="7"/>
  <c r="D599" i="7"/>
  <c r="D603" i="7"/>
  <c r="D287" i="7"/>
  <c r="D422" i="7" s="1"/>
  <c r="D291" i="7"/>
  <c r="D295" i="7"/>
  <c r="D632" i="7"/>
  <c r="D636" i="7"/>
  <c r="D314" i="7"/>
  <c r="D318" i="7"/>
  <c r="D322" i="7"/>
  <c r="D665" i="7"/>
  <c r="D669" i="7"/>
  <c r="D257" i="7"/>
  <c r="D242" i="7"/>
  <c r="D374" i="7"/>
  <c r="D378" i="7"/>
  <c r="D262" i="7"/>
  <c r="D266" i="7"/>
  <c r="D270" i="7"/>
  <c r="D600" i="7"/>
  <c r="D604" i="7"/>
  <c r="D292" i="7"/>
  <c r="D427" i="7" s="1"/>
  <c r="D296" i="7"/>
  <c r="D431" i="7" s="1"/>
  <c r="D633" i="7"/>
  <c r="D637" i="7"/>
  <c r="D315" i="7"/>
  <c r="D319" i="7"/>
  <c r="D662" i="7"/>
  <c r="D666" i="7"/>
  <c r="D670" i="7"/>
  <c r="D30" i="7"/>
  <c r="D239" i="7"/>
  <c r="D243" i="7"/>
  <c r="D375" i="7"/>
  <c r="D391" i="7"/>
  <c r="D263" i="7"/>
  <c r="D397" i="7" s="1"/>
  <c r="D267" i="7"/>
  <c r="D271" i="7"/>
  <c r="D601" i="7"/>
  <c r="D605" i="7"/>
  <c r="D289" i="7"/>
  <c r="D293" i="7"/>
  <c r="D630" i="7"/>
  <c r="D634" i="7"/>
  <c r="D638" i="7"/>
  <c r="D316" i="7"/>
  <c r="D451" i="7" s="1"/>
  <c r="D320" i="7"/>
  <c r="D455" i="7" s="1"/>
  <c r="D663" i="7"/>
  <c r="D667" i="7"/>
  <c r="D574" i="7"/>
  <c r="D213" i="7"/>
  <c r="D206" i="7" s="1"/>
  <c r="E568" i="7"/>
  <c r="C178" i="7"/>
  <c r="C392" i="7"/>
  <c r="D347" i="7"/>
  <c r="D340" i="7" s="1"/>
  <c r="C320" i="7"/>
  <c r="C455" i="7" s="1"/>
  <c r="C258" i="7"/>
  <c r="C287" i="7"/>
  <c r="C422" i="7" s="1"/>
  <c r="D321" i="7"/>
  <c r="D456" i="7" s="1"/>
  <c r="C30" i="7"/>
  <c r="C292" i="7"/>
  <c r="C427" i="7" s="1"/>
  <c r="C317" i="7"/>
  <c r="C452" i="7" s="1"/>
  <c r="D268" i="7"/>
  <c r="D402" i="7" s="1"/>
  <c r="E544" i="7"/>
  <c r="E670" i="7"/>
  <c r="E669" i="7"/>
  <c r="E667" i="7"/>
  <c r="E666" i="7"/>
  <c r="E665" i="7"/>
  <c r="E662" i="7"/>
  <c r="E321" i="7"/>
  <c r="E663" i="7"/>
  <c r="E294" i="7"/>
  <c r="E638" i="7"/>
  <c r="E636" i="7"/>
  <c r="E635" i="7"/>
  <c r="E634" i="7"/>
  <c r="E632" i="7"/>
  <c r="E631" i="7"/>
  <c r="E630" i="7"/>
  <c r="E268" i="7"/>
  <c r="E606" i="7"/>
  <c r="E605" i="7"/>
  <c r="E604" i="7"/>
  <c r="E602" i="7"/>
  <c r="E601" i="7"/>
  <c r="E600" i="7"/>
  <c r="E598" i="7"/>
  <c r="E480" i="7"/>
  <c r="E481" i="7" s="1"/>
  <c r="E378" i="7"/>
  <c r="E377" i="7"/>
  <c r="E376" i="7"/>
  <c r="E374" i="7"/>
  <c r="E373" i="7"/>
  <c r="E391" i="7"/>
  <c r="E244" i="7"/>
  <c r="E243" i="7"/>
  <c r="E242" i="7"/>
  <c r="E240" i="7"/>
  <c r="E239" i="7"/>
  <c r="E28" i="7"/>
  <c r="C398" i="7"/>
  <c r="C400" i="7"/>
  <c r="C401" i="7"/>
  <c r="C405" i="7"/>
  <c r="C425" i="7"/>
  <c r="C429" i="7"/>
  <c r="C449" i="7"/>
  <c r="C453" i="7"/>
  <c r="C457" i="7"/>
  <c r="C426" i="7"/>
  <c r="C430" i="7"/>
  <c r="C450" i="7"/>
  <c r="C454" i="7"/>
  <c r="C595" i="7"/>
  <c r="C580" i="7" s="1"/>
  <c r="C64" i="7" s="1"/>
  <c r="C659" i="7"/>
  <c r="C644" i="7" s="1"/>
  <c r="C66" i="7" s="1"/>
  <c r="C263" i="7"/>
  <c r="C402" i="7"/>
  <c r="C396" i="7"/>
  <c r="C404" i="7"/>
  <c r="C399" i="7"/>
  <c r="C403" i="7"/>
  <c r="C423" i="7"/>
  <c r="C431" i="7"/>
  <c r="C451" i="7"/>
  <c r="C424" i="7"/>
  <c r="C428" i="7"/>
  <c r="C448" i="7"/>
  <c r="C456" i="7"/>
  <c r="C627" i="7"/>
  <c r="C612" i="7" s="1"/>
  <c r="C65" i="7" s="1"/>
  <c r="D313" i="7"/>
  <c r="D294" i="7"/>
  <c r="D258" i="7" l="1"/>
  <c r="D392" i="7"/>
  <c r="K6" i="7"/>
  <c r="K519" i="7"/>
  <c r="K515" i="7"/>
  <c r="K507" i="7"/>
  <c r="K511" i="7"/>
  <c r="K33" i="7"/>
  <c r="K29" i="7"/>
  <c r="K537" i="7"/>
  <c r="K538" i="7" s="1"/>
  <c r="K26" i="7"/>
  <c r="K20" i="7"/>
  <c r="K36" i="7"/>
  <c r="K23" i="7"/>
  <c r="K35" i="7" s="1"/>
  <c r="E19" i="1"/>
  <c r="L2" i="7"/>
  <c r="E241" i="7"/>
  <c r="E257" i="7"/>
  <c r="E375" i="7"/>
  <c r="E474" i="7"/>
  <c r="E475" i="7" s="1"/>
  <c r="E599" i="7"/>
  <c r="E603" i="7"/>
  <c r="E267" i="7"/>
  <c r="E401" i="7" s="1"/>
  <c r="E271" i="7"/>
  <c r="E405" i="7" s="1"/>
  <c r="E633" i="7"/>
  <c r="E637" i="7"/>
  <c r="E292" i="7"/>
  <c r="E427" i="7" s="1"/>
  <c r="E296" i="7"/>
  <c r="E431" i="7" s="1"/>
  <c r="E316" i="7"/>
  <c r="E451" i="7" s="1"/>
  <c r="E320" i="7"/>
  <c r="E455" i="7" s="1"/>
  <c r="E664" i="7"/>
  <c r="E668" i="7"/>
  <c r="E265" i="7"/>
  <c r="E399" i="7" s="1"/>
  <c r="E289" i="7"/>
  <c r="E424" i="7" s="1"/>
  <c r="E317" i="7"/>
  <c r="E452" i="7" s="1"/>
  <c r="E262" i="7"/>
  <c r="E396" i="7" s="1"/>
  <c r="E269" i="7"/>
  <c r="E403" i="7" s="1"/>
  <c r="E290" i="7"/>
  <c r="E425" i="7" s="1"/>
  <c r="E322" i="7"/>
  <c r="E457" i="7" s="1"/>
  <c r="E270" i="7"/>
  <c r="E404" i="7" s="1"/>
  <c r="E315" i="7"/>
  <c r="E450" i="7" s="1"/>
  <c r="E293" i="7"/>
  <c r="E428" i="7" s="1"/>
  <c r="E314" i="7"/>
  <c r="E449" i="7" s="1"/>
  <c r="D627" i="7"/>
  <c r="D612" i="7" s="1"/>
  <c r="D65" i="7" s="1"/>
  <c r="D288" i="7"/>
  <c r="D423" i="7" s="1"/>
  <c r="E263" i="7"/>
  <c r="E397" i="7" s="1"/>
  <c r="E291" i="7"/>
  <c r="E426" i="7" s="1"/>
  <c r="E295" i="7"/>
  <c r="E430" i="7" s="1"/>
  <c r="E319" i="7"/>
  <c r="E454" i="7" s="1"/>
  <c r="E266" i="7"/>
  <c r="E400" i="7" s="1"/>
  <c r="D595" i="7"/>
  <c r="D580" i="7" s="1"/>
  <c r="D64" i="7" s="1"/>
  <c r="E288" i="7"/>
  <c r="E423" i="7" s="1"/>
  <c r="E318" i="7"/>
  <c r="E453" i="7" s="1"/>
  <c r="F574" i="7"/>
  <c r="D659" i="7"/>
  <c r="D644" i="7" s="1"/>
  <c r="D66" i="7" s="1"/>
  <c r="E574" i="7"/>
  <c r="F568" i="7"/>
  <c r="E313" i="7"/>
  <c r="E448" i="7" s="1"/>
  <c r="E30" i="7"/>
  <c r="F544" i="7"/>
  <c r="D429" i="7"/>
  <c r="D428" i="7"/>
  <c r="D404" i="7"/>
  <c r="D457" i="7"/>
  <c r="D449" i="7"/>
  <c r="D425" i="7"/>
  <c r="D448" i="7"/>
  <c r="D424" i="7"/>
  <c r="D400" i="7"/>
  <c r="D399" i="7"/>
  <c r="D401" i="7"/>
  <c r="D450" i="7"/>
  <c r="D426" i="7"/>
  <c r="D403" i="7"/>
  <c r="D405" i="7"/>
  <c r="C397" i="7"/>
  <c r="E402" i="7"/>
  <c r="E456" i="7"/>
  <c r="C67" i="7"/>
  <c r="D453" i="7"/>
  <c r="D396" i="7"/>
  <c r="D454" i="7"/>
  <c r="D430" i="7"/>
  <c r="D398" i="7"/>
  <c r="F670" i="7"/>
  <c r="F669" i="7"/>
  <c r="F668" i="7"/>
  <c r="F667" i="7"/>
  <c r="F666" i="7"/>
  <c r="F665" i="7"/>
  <c r="F664" i="7"/>
  <c r="F663" i="7"/>
  <c r="F322" i="7"/>
  <c r="F321" i="7"/>
  <c r="F319" i="7"/>
  <c r="F318" i="7"/>
  <c r="F317" i="7"/>
  <c r="F315" i="7"/>
  <c r="F314" i="7"/>
  <c r="F313" i="7"/>
  <c r="F638" i="7"/>
  <c r="F637" i="7"/>
  <c r="F636" i="7"/>
  <c r="F635" i="7"/>
  <c r="F634" i="7"/>
  <c r="F633" i="7"/>
  <c r="F632" i="7"/>
  <c r="F631" i="7"/>
  <c r="F630" i="7"/>
  <c r="F295" i="7"/>
  <c r="F294" i="7"/>
  <c r="F293" i="7"/>
  <c r="F291" i="7"/>
  <c r="F290" i="7"/>
  <c r="F289" i="7"/>
  <c r="F288" i="7"/>
  <c r="F287" i="7"/>
  <c r="F606" i="7"/>
  <c r="F605" i="7"/>
  <c r="F604" i="7"/>
  <c r="F603" i="7"/>
  <c r="F602" i="7"/>
  <c r="F601" i="7"/>
  <c r="F600" i="7"/>
  <c r="F599" i="7"/>
  <c r="F598" i="7"/>
  <c r="F270" i="7"/>
  <c r="F269" i="7"/>
  <c r="F268" i="7"/>
  <c r="F266" i="7"/>
  <c r="F265" i="7"/>
  <c r="F263" i="7"/>
  <c r="F262" i="7"/>
  <c r="F480" i="7"/>
  <c r="F481" i="7" s="1"/>
  <c r="F474" i="7"/>
  <c r="F475" i="7" s="1"/>
  <c r="F391" i="7"/>
  <c r="F378" i="7"/>
  <c r="F377" i="7"/>
  <c r="F376" i="7"/>
  <c r="F375" i="7"/>
  <c r="F374" i="7"/>
  <c r="F373" i="7"/>
  <c r="F244" i="7"/>
  <c r="F243" i="7"/>
  <c r="F242" i="7"/>
  <c r="F241" i="7"/>
  <c r="F240" i="7"/>
  <c r="F239" i="7"/>
  <c r="F257" i="7"/>
  <c r="F28" i="7"/>
  <c r="E258" i="7"/>
  <c r="E429" i="7"/>
  <c r="E392" i="7"/>
  <c r="L6" i="7" l="1"/>
  <c r="L511" i="7"/>
  <c r="L33" i="7"/>
  <c r="L29" i="7"/>
  <c r="L519" i="7"/>
  <c r="L515" i="7"/>
  <c r="L507" i="7"/>
  <c r="L20" i="7"/>
  <c r="L537" i="7"/>
  <c r="L538" i="7" s="1"/>
  <c r="L36" i="7"/>
  <c r="L26" i="7"/>
  <c r="L23" i="7"/>
  <c r="L35" i="7" s="1"/>
  <c r="E20" i="1"/>
  <c r="M2" i="7"/>
  <c r="F271" i="7"/>
  <c r="F405" i="7" s="1"/>
  <c r="F296" i="7"/>
  <c r="F431" i="7" s="1"/>
  <c r="E595" i="7"/>
  <c r="E580" i="7" s="1"/>
  <c r="E64" i="7" s="1"/>
  <c r="E627" i="7"/>
  <c r="E612" i="7" s="1"/>
  <c r="E65" i="7" s="1"/>
  <c r="E264" i="7"/>
  <c r="E398" i="7" s="1"/>
  <c r="E287" i="7"/>
  <c r="E422" i="7" s="1"/>
  <c r="F267" i="7"/>
  <c r="F401" i="7" s="1"/>
  <c r="F316" i="7"/>
  <c r="F451" i="7" s="1"/>
  <c r="F320" i="7"/>
  <c r="F455" i="7" s="1"/>
  <c r="E659" i="7"/>
  <c r="E644" i="7" s="1"/>
  <c r="E66" i="7" s="1"/>
  <c r="F264" i="7"/>
  <c r="F398" i="7" s="1"/>
  <c r="F292" i="7"/>
  <c r="F427" i="7" s="1"/>
  <c r="D67" i="7"/>
  <c r="G574" i="7"/>
  <c r="G568" i="7"/>
  <c r="F30" i="7"/>
  <c r="G544" i="7"/>
  <c r="F403" i="7"/>
  <c r="F396" i="7"/>
  <c r="F400" i="7"/>
  <c r="F404" i="7"/>
  <c r="F424" i="7"/>
  <c r="F428" i="7"/>
  <c r="F448" i="7"/>
  <c r="F452" i="7"/>
  <c r="F456" i="7"/>
  <c r="F425" i="7"/>
  <c r="F429" i="7"/>
  <c r="F449" i="7"/>
  <c r="F453" i="7"/>
  <c r="F457" i="7"/>
  <c r="F595" i="7"/>
  <c r="F580" i="7" s="1"/>
  <c r="F64" i="7" s="1"/>
  <c r="F627" i="7"/>
  <c r="F612" i="7" s="1"/>
  <c r="F65" i="7" s="1"/>
  <c r="F659" i="7"/>
  <c r="F644" i="7" s="1"/>
  <c r="F66" i="7" s="1"/>
  <c r="G670" i="7"/>
  <c r="G669" i="7"/>
  <c r="G668" i="7"/>
  <c r="G667" i="7"/>
  <c r="G666" i="7"/>
  <c r="G665" i="7"/>
  <c r="G664" i="7"/>
  <c r="G663" i="7"/>
  <c r="G322" i="7"/>
  <c r="G321" i="7"/>
  <c r="G320" i="7"/>
  <c r="G319" i="7"/>
  <c r="G318" i="7"/>
  <c r="G317" i="7"/>
  <c r="G316" i="7"/>
  <c r="G315" i="7"/>
  <c r="G296" i="7"/>
  <c r="G295" i="7"/>
  <c r="G294" i="7"/>
  <c r="G293" i="7"/>
  <c r="G292" i="7"/>
  <c r="G291" i="7"/>
  <c r="G314" i="7"/>
  <c r="G313" i="7"/>
  <c r="G638" i="7"/>
  <c r="G637" i="7"/>
  <c r="G636" i="7"/>
  <c r="G635" i="7"/>
  <c r="G634" i="7"/>
  <c r="G633" i="7"/>
  <c r="G632" i="7"/>
  <c r="G631" i="7"/>
  <c r="G630" i="7"/>
  <c r="G290" i="7"/>
  <c r="G271" i="7"/>
  <c r="G270" i="7"/>
  <c r="G269" i="7"/>
  <c r="G268" i="7"/>
  <c r="G267" i="7"/>
  <c r="G289" i="7"/>
  <c r="G288" i="7"/>
  <c r="G287" i="7"/>
  <c r="G606" i="7"/>
  <c r="G605" i="7"/>
  <c r="G604" i="7"/>
  <c r="G603" i="7"/>
  <c r="G602" i="7"/>
  <c r="G601" i="7"/>
  <c r="G600" i="7"/>
  <c r="G599" i="7"/>
  <c r="G598" i="7"/>
  <c r="G266" i="7"/>
  <c r="G265" i="7"/>
  <c r="G264" i="7"/>
  <c r="G263" i="7"/>
  <c r="G262" i="7"/>
  <c r="G480" i="7"/>
  <c r="G481" i="7" s="1"/>
  <c r="G474" i="7"/>
  <c r="G475" i="7" s="1"/>
  <c r="G378" i="7"/>
  <c r="G377" i="7"/>
  <c r="G376" i="7"/>
  <c r="G375" i="7"/>
  <c r="G374" i="7"/>
  <c r="G373" i="7"/>
  <c r="G391" i="7"/>
  <c r="G257" i="7"/>
  <c r="G244" i="7"/>
  <c r="G243" i="7"/>
  <c r="G242" i="7"/>
  <c r="G241" i="7"/>
  <c r="G240" i="7"/>
  <c r="G239" i="7"/>
  <c r="G28" i="7"/>
  <c r="F399" i="7"/>
  <c r="F258" i="7"/>
  <c r="F397" i="7"/>
  <c r="F402" i="7"/>
  <c r="F422" i="7"/>
  <c r="F426" i="7"/>
  <c r="F430" i="7"/>
  <c r="F450" i="7"/>
  <c r="F454" i="7"/>
  <c r="F392" i="7"/>
  <c r="F423" i="7"/>
  <c r="E21" i="1" l="1"/>
  <c r="M6" i="7"/>
  <c r="M511" i="7"/>
  <c r="M33" i="7"/>
  <c r="M29" i="7"/>
  <c r="M519" i="7"/>
  <c r="M515" i="7"/>
  <c r="M507" i="7"/>
  <c r="M537" i="7"/>
  <c r="M538" i="7" s="1"/>
  <c r="M36" i="7"/>
  <c r="M26" i="7"/>
  <c r="M20" i="7"/>
  <c r="M23" i="7"/>
  <c r="M35" i="7" s="1"/>
  <c r="N2" i="7"/>
  <c r="E67" i="7"/>
  <c r="H574" i="7"/>
  <c r="H568" i="7"/>
  <c r="G627" i="7"/>
  <c r="G612" i="7" s="1"/>
  <c r="G65" i="7" s="1"/>
  <c r="H544" i="7"/>
  <c r="G30" i="7"/>
  <c r="G402" i="7"/>
  <c r="G396" i="7"/>
  <c r="G404" i="7"/>
  <c r="G399" i="7"/>
  <c r="G403" i="7"/>
  <c r="G423" i="7"/>
  <c r="G427" i="7"/>
  <c r="G431" i="7"/>
  <c r="G451" i="7"/>
  <c r="G455" i="7"/>
  <c r="G424" i="7"/>
  <c r="G428" i="7"/>
  <c r="G448" i="7"/>
  <c r="G452" i="7"/>
  <c r="G456" i="7"/>
  <c r="F67" i="7"/>
  <c r="H670" i="7"/>
  <c r="H669" i="7"/>
  <c r="H668" i="7"/>
  <c r="H667" i="7"/>
  <c r="H666" i="7"/>
  <c r="H665" i="7"/>
  <c r="H664" i="7"/>
  <c r="H663" i="7"/>
  <c r="H322" i="7"/>
  <c r="H321" i="7"/>
  <c r="H320" i="7"/>
  <c r="H319" i="7"/>
  <c r="H318" i="7"/>
  <c r="H317" i="7"/>
  <c r="H316" i="7"/>
  <c r="H315" i="7"/>
  <c r="H314" i="7"/>
  <c r="H313" i="7"/>
  <c r="H638" i="7"/>
  <c r="H637" i="7"/>
  <c r="H636" i="7"/>
  <c r="H635" i="7"/>
  <c r="H634" i="7"/>
  <c r="H633" i="7"/>
  <c r="H632" i="7"/>
  <c r="H631" i="7"/>
  <c r="H630" i="7"/>
  <c r="H296" i="7"/>
  <c r="H295" i="7"/>
  <c r="H294" i="7"/>
  <c r="H293" i="7"/>
  <c r="H292" i="7"/>
  <c r="H291" i="7"/>
  <c r="H290" i="7"/>
  <c r="H289" i="7"/>
  <c r="H288" i="7"/>
  <c r="H287" i="7"/>
  <c r="H606" i="7"/>
  <c r="H605" i="7"/>
  <c r="H604" i="7"/>
  <c r="H603" i="7"/>
  <c r="H602" i="7"/>
  <c r="H601" i="7"/>
  <c r="H600" i="7"/>
  <c r="H599" i="7"/>
  <c r="H598" i="7"/>
  <c r="H271" i="7"/>
  <c r="H270" i="7"/>
  <c r="H269" i="7"/>
  <c r="H268" i="7"/>
  <c r="H267" i="7"/>
  <c r="H266" i="7"/>
  <c r="H265" i="7"/>
  <c r="H264" i="7"/>
  <c r="H263" i="7"/>
  <c r="H262" i="7"/>
  <c r="H480" i="7"/>
  <c r="H481" i="7" s="1"/>
  <c r="H474" i="7"/>
  <c r="H475" i="7" s="1"/>
  <c r="H391" i="7"/>
  <c r="H378" i="7"/>
  <c r="H377" i="7"/>
  <c r="H376" i="7"/>
  <c r="H375" i="7"/>
  <c r="H374" i="7"/>
  <c r="H373" i="7"/>
  <c r="H244" i="7"/>
  <c r="H243" i="7"/>
  <c r="H242" i="7"/>
  <c r="H241" i="7"/>
  <c r="H240" i="7"/>
  <c r="H239" i="7"/>
  <c r="H257" i="7"/>
  <c r="H28" i="7"/>
  <c r="G258" i="7"/>
  <c r="G398" i="7"/>
  <c r="G400" i="7"/>
  <c r="G397" i="7"/>
  <c r="G401" i="7"/>
  <c r="G405" i="7"/>
  <c r="G425" i="7"/>
  <c r="G429" i="7"/>
  <c r="G449" i="7"/>
  <c r="G453" i="7"/>
  <c r="G457" i="7"/>
  <c r="G422" i="7"/>
  <c r="G426" i="7"/>
  <c r="G430" i="7"/>
  <c r="G450" i="7"/>
  <c r="G454" i="7"/>
  <c r="G392" i="7"/>
  <c r="G595" i="7"/>
  <c r="G580" i="7" s="1"/>
  <c r="G64" i="7" s="1"/>
  <c r="G659" i="7"/>
  <c r="G644" i="7" s="1"/>
  <c r="G66" i="7" s="1"/>
  <c r="E22" i="1" l="1"/>
  <c r="N6" i="7"/>
  <c r="N511" i="7"/>
  <c r="N33" i="7"/>
  <c r="N29" i="7"/>
  <c r="N519" i="7"/>
  <c r="N515" i="7"/>
  <c r="N507" i="7"/>
  <c r="N36" i="7"/>
  <c r="N26" i="7"/>
  <c r="N20" i="7"/>
  <c r="N537" i="7"/>
  <c r="N538" i="7" s="1"/>
  <c r="N23" i="7"/>
  <c r="N35" i="7" s="1"/>
  <c r="O2" i="7"/>
  <c r="I574" i="7"/>
  <c r="I568" i="7"/>
  <c r="H30" i="7"/>
  <c r="H627" i="7"/>
  <c r="H612" i="7" s="1"/>
  <c r="H65" i="7" s="1"/>
  <c r="I544" i="7"/>
  <c r="H595" i="7"/>
  <c r="H580" i="7" s="1"/>
  <c r="H64" i="7" s="1"/>
  <c r="H659" i="7"/>
  <c r="H644" i="7" s="1"/>
  <c r="H66" i="7" s="1"/>
  <c r="H397" i="7"/>
  <c r="H405" i="7"/>
  <c r="H403" i="7"/>
  <c r="H398" i="7"/>
  <c r="H402" i="7"/>
  <c r="H422" i="7"/>
  <c r="H426" i="7"/>
  <c r="H430" i="7"/>
  <c r="H450" i="7"/>
  <c r="H454" i="7"/>
  <c r="H392" i="7"/>
  <c r="H423" i="7"/>
  <c r="H427" i="7"/>
  <c r="H431" i="7"/>
  <c r="H451" i="7"/>
  <c r="H455" i="7"/>
  <c r="G67" i="7"/>
  <c r="I670" i="7"/>
  <c r="I669" i="7"/>
  <c r="I668" i="7"/>
  <c r="I667" i="7"/>
  <c r="I666" i="7"/>
  <c r="I665" i="7"/>
  <c r="I664" i="7"/>
  <c r="I322" i="7"/>
  <c r="I321" i="7"/>
  <c r="I320" i="7"/>
  <c r="I319" i="7"/>
  <c r="I318" i="7"/>
  <c r="I317" i="7"/>
  <c r="I316" i="7"/>
  <c r="I315" i="7"/>
  <c r="I314" i="7"/>
  <c r="I296" i="7"/>
  <c r="I295" i="7"/>
  <c r="I294" i="7"/>
  <c r="I293" i="7"/>
  <c r="I292" i="7"/>
  <c r="I291" i="7"/>
  <c r="I313" i="7"/>
  <c r="I638" i="7"/>
  <c r="I637" i="7"/>
  <c r="I636" i="7"/>
  <c r="I635" i="7"/>
  <c r="I634" i="7"/>
  <c r="I633" i="7"/>
  <c r="I632" i="7"/>
  <c r="I631" i="7"/>
  <c r="I630" i="7"/>
  <c r="I271" i="7"/>
  <c r="I270" i="7"/>
  <c r="I269" i="7"/>
  <c r="I268" i="7"/>
  <c r="I267" i="7"/>
  <c r="I266" i="7"/>
  <c r="I290" i="7"/>
  <c r="I288" i="7"/>
  <c r="I287" i="7"/>
  <c r="I606" i="7"/>
  <c r="I605" i="7"/>
  <c r="I604" i="7"/>
  <c r="I603" i="7"/>
  <c r="I602" i="7"/>
  <c r="I601" i="7"/>
  <c r="I600" i="7"/>
  <c r="I599" i="7"/>
  <c r="I598" i="7"/>
  <c r="I265" i="7"/>
  <c r="I264" i="7"/>
  <c r="I263" i="7"/>
  <c r="I262" i="7"/>
  <c r="I480" i="7"/>
  <c r="I481" i="7" s="1"/>
  <c r="I474" i="7"/>
  <c r="I475" i="7" s="1"/>
  <c r="I378" i="7"/>
  <c r="I377" i="7"/>
  <c r="I376" i="7"/>
  <c r="I375" i="7"/>
  <c r="I374" i="7"/>
  <c r="I373" i="7"/>
  <c r="I289" i="7"/>
  <c r="I391" i="7"/>
  <c r="I257" i="7"/>
  <c r="I244" i="7"/>
  <c r="I243" i="7"/>
  <c r="I242" i="7"/>
  <c r="I241" i="7"/>
  <c r="I240" i="7"/>
  <c r="I239" i="7"/>
  <c r="I28" i="7"/>
  <c r="H401" i="7"/>
  <c r="H258" i="7"/>
  <c r="H399" i="7"/>
  <c r="H396" i="7"/>
  <c r="H400" i="7"/>
  <c r="H404" i="7"/>
  <c r="H424" i="7"/>
  <c r="H428" i="7"/>
  <c r="H448" i="7"/>
  <c r="H452" i="7"/>
  <c r="H456" i="7"/>
  <c r="H425" i="7"/>
  <c r="H429" i="7"/>
  <c r="H449" i="7"/>
  <c r="H453" i="7"/>
  <c r="H457" i="7"/>
  <c r="O6" i="7" l="1"/>
  <c r="O519" i="7"/>
  <c r="O515" i="7"/>
  <c r="O507" i="7"/>
  <c r="O511" i="7"/>
  <c r="O33" i="7"/>
  <c r="O29" i="7"/>
  <c r="O537" i="7"/>
  <c r="O538" i="7" s="1"/>
  <c r="O26" i="7"/>
  <c r="O20" i="7"/>
  <c r="O36" i="7"/>
  <c r="O23" i="7"/>
  <c r="O35" i="7" s="1"/>
  <c r="E23" i="1"/>
  <c r="P2" i="7"/>
  <c r="J574" i="7"/>
  <c r="J568" i="7"/>
  <c r="H67" i="7"/>
  <c r="J544" i="7"/>
  <c r="I400" i="7"/>
  <c r="I402" i="7"/>
  <c r="I399" i="7"/>
  <c r="I403" i="7"/>
  <c r="I423" i="7"/>
  <c r="I427" i="7"/>
  <c r="I431" i="7"/>
  <c r="I451" i="7"/>
  <c r="I455" i="7"/>
  <c r="I424" i="7"/>
  <c r="I428" i="7"/>
  <c r="I448" i="7"/>
  <c r="I452" i="7"/>
  <c r="I456" i="7"/>
  <c r="I30" i="7"/>
  <c r="J670" i="7"/>
  <c r="J669" i="7"/>
  <c r="J668" i="7"/>
  <c r="J667" i="7"/>
  <c r="J666" i="7"/>
  <c r="J665" i="7"/>
  <c r="J664" i="7"/>
  <c r="J322" i="7"/>
  <c r="J321" i="7"/>
  <c r="J320" i="7"/>
  <c r="J319" i="7"/>
  <c r="J318" i="7"/>
  <c r="J317" i="7"/>
  <c r="J316" i="7"/>
  <c r="J315" i="7"/>
  <c r="J314" i="7"/>
  <c r="J313" i="7"/>
  <c r="J638" i="7"/>
  <c r="J637" i="7"/>
  <c r="J636" i="7"/>
  <c r="J635" i="7"/>
  <c r="J634" i="7"/>
  <c r="J633" i="7"/>
  <c r="J632" i="7"/>
  <c r="J631" i="7"/>
  <c r="J630" i="7"/>
  <c r="J296" i="7"/>
  <c r="J295" i="7"/>
  <c r="J294" i="7"/>
  <c r="J293" i="7"/>
  <c r="J292" i="7"/>
  <c r="J291" i="7"/>
  <c r="J290" i="7"/>
  <c r="J289" i="7"/>
  <c r="J288" i="7"/>
  <c r="J287" i="7"/>
  <c r="J606" i="7"/>
  <c r="J605" i="7"/>
  <c r="J604" i="7"/>
  <c r="J603" i="7"/>
  <c r="J602" i="7"/>
  <c r="J601" i="7"/>
  <c r="J600" i="7"/>
  <c r="J599" i="7"/>
  <c r="J598" i="7"/>
  <c r="J271" i="7"/>
  <c r="J270" i="7"/>
  <c r="J269" i="7"/>
  <c r="J268" i="7"/>
  <c r="J267" i="7"/>
  <c r="J266" i="7"/>
  <c r="J265" i="7"/>
  <c r="J264" i="7"/>
  <c r="J263" i="7"/>
  <c r="J262" i="7"/>
  <c r="J480" i="7"/>
  <c r="J481" i="7" s="1"/>
  <c r="J474" i="7"/>
  <c r="J475" i="7" s="1"/>
  <c r="J391" i="7"/>
  <c r="J378" i="7"/>
  <c r="J377" i="7"/>
  <c r="J376" i="7"/>
  <c r="J375" i="7"/>
  <c r="J374" i="7"/>
  <c r="J373" i="7"/>
  <c r="J244" i="7"/>
  <c r="J243" i="7"/>
  <c r="J242" i="7"/>
  <c r="J241" i="7"/>
  <c r="J240" i="7"/>
  <c r="J239" i="7"/>
  <c r="J257" i="7"/>
  <c r="J28" i="7"/>
  <c r="I258" i="7"/>
  <c r="I396" i="7"/>
  <c r="I404" i="7"/>
  <c r="I398" i="7"/>
  <c r="I397" i="7"/>
  <c r="I401" i="7"/>
  <c r="I405" i="7"/>
  <c r="I425" i="7"/>
  <c r="I429" i="7"/>
  <c r="I449" i="7"/>
  <c r="I453" i="7"/>
  <c r="I457" i="7"/>
  <c r="I422" i="7"/>
  <c r="I426" i="7"/>
  <c r="I430" i="7"/>
  <c r="I450" i="7"/>
  <c r="I454" i="7"/>
  <c r="I392" i="7"/>
  <c r="I595" i="7"/>
  <c r="I580" i="7" s="1"/>
  <c r="I64" i="7" s="1"/>
  <c r="I627" i="7"/>
  <c r="I612" i="7" s="1"/>
  <c r="I65" i="7" s="1"/>
  <c r="I659" i="7"/>
  <c r="I644" i="7" s="1"/>
  <c r="I66" i="7" s="1"/>
  <c r="P6" i="7" l="1"/>
  <c r="P511" i="7"/>
  <c r="P33" i="7"/>
  <c r="P29" i="7"/>
  <c r="P537" i="7"/>
  <c r="P519" i="7"/>
  <c r="P515" i="7"/>
  <c r="P507" i="7"/>
  <c r="P20" i="7"/>
  <c r="P538" i="7"/>
  <c r="P36" i="7"/>
  <c r="P26" i="7"/>
  <c r="P23" i="7"/>
  <c r="P35" i="7" s="1"/>
  <c r="E24" i="1"/>
  <c r="Q2" i="7"/>
  <c r="K574" i="7"/>
  <c r="K568" i="7"/>
  <c r="K544" i="7"/>
  <c r="J403" i="7"/>
  <c r="J401" i="7"/>
  <c r="J396" i="7"/>
  <c r="J400" i="7"/>
  <c r="J404" i="7"/>
  <c r="J424" i="7"/>
  <c r="J428" i="7"/>
  <c r="J448" i="7"/>
  <c r="J452" i="7"/>
  <c r="J456" i="7"/>
  <c r="J425" i="7"/>
  <c r="J429" i="7"/>
  <c r="J449" i="7"/>
  <c r="J453" i="7"/>
  <c r="J457" i="7"/>
  <c r="I67" i="7"/>
  <c r="J30" i="7"/>
  <c r="J595" i="7"/>
  <c r="J580" i="7" s="1"/>
  <c r="J64" i="7" s="1"/>
  <c r="J627" i="7"/>
  <c r="J612" i="7" s="1"/>
  <c r="J65" i="7" s="1"/>
  <c r="J659" i="7"/>
  <c r="J644" i="7" s="1"/>
  <c r="J66" i="7" s="1"/>
  <c r="K670" i="7"/>
  <c r="K669" i="7"/>
  <c r="K668" i="7"/>
  <c r="K667" i="7"/>
  <c r="K666" i="7"/>
  <c r="K665" i="7"/>
  <c r="K664" i="7"/>
  <c r="K322" i="7"/>
  <c r="K321" i="7"/>
  <c r="K320" i="7"/>
  <c r="K319" i="7"/>
  <c r="K318" i="7"/>
  <c r="K317" i="7"/>
  <c r="K316" i="7"/>
  <c r="K315" i="7"/>
  <c r="K296" i="7"/>
  <c r="K295" i="7"/>
  <c r="K294" i="7"/>
  <c r="K293" i="7"/>
  <c r="K292" i="7"/>
  <c r="K291" i="7"/>
  <c r="K314" i="7"/>
  <c r="K638" i="7"/>
  <c r="K637" i="7"/>
  <c r="K636" i="7"/>
  <c r="K635" i="7"/>
  <c r="K634" i="7"/>
  <c r="K633" i="7"/>
  <c r="K632" i="7"/>
  <c r="K631" i="7"/>
  <c r="K630" i="7"/>
  <c r="K290" i="7"/>
  <c r="K271" i="7"/>
  <c r="K270" i="7"/>
  <c r="K269" i="7"/>
  <c r="K268" i="7"/>
  <c r="K267" i="7"/>
  <c r="K266" i="7"/>
  <c r="K289" i="7"/>
  <c r="K288" i="7"/>
  <c r="K287" i="7"/>
  <c r="K606" i="7"/>
  <c r="K605" i="7"/>
  <c r="K604" i="7"/>
  <c r="K603" i="7"/>
  <c r="K602" i="7"/>
  <c r="K601" i="7"/>
  <c r="K600" i="7"/>
  <c r="K599" i="7"/>
  <c r="K598" i="7"/>
  <c r="K264" i="7"/>
  <c r="K265" i="7"/>
  <c r="K263" i="7"/>
  <c r="K480" i="7"/>
  <c r="K481" i="7" s="1"/>
  <c r="K474" i="7"/>
  <c r="K475" i="7" s="1"/>
  <c r="K378" i="7"/>
  <c r="K377" i="7"/>
  <c r="K376" i="7"/>
  <c r="K375" i="7"/>
  <c r="K374" i="7"/>
  <c r="K373" i="7"/>
  <c r="K391" i="7"/>
  <c r="K257" i="7"/>
  <c r="K244" i="7"/>
  <c r="K243" i="7"/>
  <c r="K242" i="7"/>
  <c r="K241" i="7"/>
  <c r="K240" i="7"/>
  <c r="K239" i="7"/>
  <c r="K28" i="7"/>
  <c r="J399" i="7"/>
  <c r="J258" i="7"/>
  <c r="J397" i="7"/>
  <c r="J405" i="7"/>
  <c r="J398" i="7"/>
  <c r="J402" i="7"/>
  <c r="J422" i="7"/>
  <c r="J426" i="7"/>
  <c r="J430" i="7"/>
  <c r="J450" i="7"/>
  <c r="J454" i="7"/>
  <c r="J392" i="7"/>
  <c r="J423" i="7"/>
  <c r="J427" i="7"/>
  <c r="J431" i="7"/>
  <c r="J451" i="7"/>
  <c r="J455" i="7"/>
  <c r="Q6" i="7" l="1"/>
  <c r="Q511" i="7"/>
  <c r="Q33" i="7"/>
  <c r="Q29" i="7"/>
  <c r="Q519" i="7"/>
  <c r="Q515" i="7"/>
  <c r="Q507" i="7"/>
  <c r="Q538" i="7"/>
  <c r="Q26" i="7"/>
  <c r="Q36" i="7"/>
  <c r="Q537" i="7"/>
  <c r="Q20" i="7"/>
  <c r="Q23" i="7"/>
  <c r="Q35" i="7" s="1"/>
  <c r="E25" i="1"/>
  <c r="R2" i="7"/>
  <c r="L574" i="7"/>
  <c r="L544" i="7"/>
  <c r="K424" i="7"/>
  <c r="K403" i="7"/>
  <c r="K452" i="7"/>
  <c r="K456" i="7"/>
  <c r="K399" i="7"/>
  <c r="K428" i="7"/>
  <c r="K258" i="7"/>
  <c r="K400" i="7"/>
  <c r="K595" i="7"/>
  <c r="K580" i="7" s="1"/>
  <c r="K64" i="7" s="1"/>
  <c r="K627" i="7"/>
  <c r="K612" i="7" s="1"/>
  <c r="K65" i="7" s="1"/>
  <c r="K659" i="7"/>
  <c r="K644" i="7" s="1"/>
  <c r="K66" i="7" s="1"/>
  <c r="L670" i="7"/>
  <c r="L669" i="7"/>
  <c r="L668" i="7"/>
  <c r="L667" i="7"/>
  <c r="L666" i="7"/>
  <c r="L665" i="7"/>
  <c r="L663" i="7"/>
  <c r="L322" i="7"/>
  <c r="L321" i="7"/>
  <c r="L320" i="7"/>
  <c r="L319" i="7"/>
  <c r="L318" i="7"/>
  <c r="L317" i="7"/>
  <c r="L316" i="7"/>
  <c r="L315" i="7"/>
  <c r="L314" i="7"/>
  <c r="L638" i="7"/>
  <c r="L637" i="7"/>
  <c r="L636" i="7"/>
  <c r="L635" i="7"/>
  <c r="L634" i="7"/>
  <c r="L633" i="7"/>
  <c r="L632" i="7"/>
  <c r="L631" i="7"/>
  <c r="L630" i="7"/>
  <c r="L296" i="7"/>
  <c r="L295" i="7"/>
  <c r="L294" i="7"/>
  <c r="L293" i="7"/>
  <c r="L292" i="7"/>
  <c r="L291" i="7"/>
  <c r="L290" i="7"/>
  <c r="L289" i="7"/>
  <c r="L288" i="7"/>
  <c r="L287" i="7"/>
  <c r="L606" i="7"/>
  <c r="L605" i="7"/>
  <c r="L604" i="7"/>
  <c r="L603" i="7"/>
  <c r="L602" i="7"/>
  <c r="L601" i="7"/>
  <c r="L600" i="7"/>
  <c r="L599" i="7"/>
  <c r="L598" i="7"/>
  <c r="L271" i="7"/>
  <c r="L270" i="7"/>
  <c r="L269" i="7"/>
  <c r="L268" i="7"/>
  <c r="L267" i="7"/>
  <c r="L266" i="7"/>
  <c r="L265" i="7"/>
  <c r="L264" i="7"/>
  <c r="L263" i="7"/>
  <c r="L480" i="7"/>
  <c r="L481" i="7" s="1"/>
  <c r="L474" i="7"/>
  <c r="L475" i="7" s="1"/>
  <c r="L391" i="7"/>
  <c r="L378" i="7"/>
  <c r="L377" i="7"/>
  <c r="L376" i="7"/>
  <c r="L375" i="7"/>
  <c r="L374" i="7"/>
  <c r="L373" i="7"/>
  <c r="L244" i="7"/>
  <c r="L243" i="7"/>
  <c r="L242" i="7"/>
  <c r="L241" i="7"/>
  <c r="L240" i="7"/>
  <c r="L239" i="7"/>
  <c r="L257" i="7"/>
  <c r="L28" i="7"/>
  <c r="K402" i="7"/>
  <c r="K404" i="7"/>
  <c r="K423" i="7"/>
  <c r="K427" i="7"/>
  <c r="K431" i="7"/>
  <c r="K451" i="7"/>
  <c r="K455" i="7"/>
  <c r="K30" i="7"/>
  <c r="K262" i="7"/>
  <c r="K313" i="7"/>
  <c r="K398" i="7"/>
  <c r="K397" i="7"/>
  <c r="K401" i="7"/>
  <c r="K405" i="7"/>
  <c r="K425" i="7"/>
  <c r="K429" i="7"/>
  <c r="K449" i="7"/>
  <c r="K453" i="7"/>
  <c r="K457" i="7"/>
  <c r="K422" i="7"/>
  <c r="K426" i="7"/>
  <c r="K430" i="7"/>
  <c r="K450" i="7"/>
  <c r="K454" i="7"/>
  <c r="K392" i="7"/>
  <c r="J67" i="7"/>
  <c r="R6" i="7" l="1"/>
  <c r="R511" i="7"/>
  <c r="R33" i="7"/>
  <c r="R29" i="7"/>
  <c r="R537" i="7"/>
  <c r="R519" i="7"/>
  <c r="R515" i="7"/>
  <c r="R507" i="7"/>
  <c r="R36" i="7"/>
  <c r="R26" i="7"/>
  <c r="R20" i="7"/>
  <c r="R538" i="7"/>
  <c r="R23" i="7"/>
  <c r="R35" i="7" s="1"/>
  <c r="E26" i="1"/>
  <c r="S2" i="7"/>
  <c r="E27" i="1" s="1"/>
  <c r="M574" i="7"/>
  <c r="M568" i="7"/>
  <c r="L313" i="7"/>
  <c r="L448" i="7" s="1"/>
  <c r="L595" i="7"/>
  <c r="L580" i="7" s="1"/>
  <c r="L64" i="7" s="1"/>
  <c r="L659" i="7"/>
  <c r="L644" i="7" s="1"/>
  <c r="L66" i="7" s="1"/>
  <c r="L262" i="7"/>
  <c r="L396" i="7" s="1"/>
  <c r="L30" i="7"/>
  <c r="L627" i="7"/>
  <c r="L612" i="7" s="1"/>
  <c r="L65" i="7" s="1"/>
  <c r="M544" i="7"/>
  <c r="K448" i="7"/>
  <c r="L401" i="7"/>
  <c r="L258" i="7"/>
  <c r="L399" i="7"/>
  <c r="L400" i="7"/>
  <c r="L404" i="7"/>
  <c r="L424" i="7"/>
  <c r="L428" i="7"/>
  <c r="L452" i="7"/>
  <c r="L456" i="7"/>
  <c r="L425" i="7"/>
  <c r="L429" i="7"/>
  <c r="L449" i="7"/>
  <c r="L453" i="7"/>
  <c r="L457" i="7"/>
  <c r="K396" i="7"/>
  <c r="M670" i="7"/>
  <c r="M669" i="7"/>
  <c r="M668" i="7"/>
  <c r="M667" i="7"/>
  <c r="M666" i="7"/>
  <c r="M665" i="7"/>
  <c r="M662" i="7"/>
  <c r="M322" i="7"/>
  <c r="M321" i="7"/>
  <c r="M320" i="7"/>
  <c r="M319" i="7"/>
  <c r="M318" i="7"/>
  <c r="M317" i="7"/>
  <c r="M316" i="7"/>
  <c r="M315" i="7"/>
  <c r="M314" i="7"/>
  <c r="M296" i="7"/>
  <c r="M295" i="7"/>
  <c r="M294" i="7"/>
  <c r="M293" i="7"/>
  <c r="M292" i="7"/>
  <c r="M291" i="7"/>
  <c r="M290" i="7"/>
  <c r="M638" i="7"/>
  <c r="M637" i="7"/>
  <c r="M636" i="7"/>
  <c r="M635" i="7"/>
  <c r="M634" i="7"/>
  <c r="M633" i="7"/>
  <c r="M632" i="7"/>
  <c r="M631" i="7"/>
  <c r="M630" i="7"/>
  <c r="M271" i="7"/>
  <c r="M270" i="7"/>
  <c r="M269" i="7"/>
  <c r="M268" i="7"/>
  <c r="M267" i="7"/>
  <c r="M266" i="7"/>
  <c r="M289" i="7"/>
  <c r="M288" i="7"/>
  <c r="M287" i="7"/>
  <c r="M606" i="7"/>
  <c r="M605" i="7"/>
  <c r="M604" i="7"/>
  <c r="M603" i="7"/>
  <c r="M602" i="7"/>
  <c r="M601" i="7"/>
  <c r="M600" i="7"/>
  <c r="M599" i="7"/>
  <c r="M598" i="7"/>
  <c r="M265" i="7"/>
  <c r="M264" i="7"/>
  <c r="M263" i="7"/>
  <c r="M262" i="7"/>
  <c r="M480" i="7"/>
  <c r="M481" i="7" s="1"/>
  <c r="M474" i="7"/>
  <c r="M475" i="7" s="1"/>
  <c r="M378" i="7"/>
  <c r="M377" i="7"/>
  <c r="M376" i="7"/>
  <c r="M375" i="7"/>
  <c r="M374" i="7"/>
  <c r="M373" i="7"/>
  <c r="M391" i="7"/>
  <c r="M257" i="7"/>
  <c r="M244" i="7"/>
  <c r="M243" i="7"/>
  <c r="M242" i="7"/>
  <c r="M241" i="7"/>
  <c r="M240" i="7"/>
  <c r="M239" i="7"/>
  <c r="M28" i="7"/>
  <c r="L397" i="7"/>
  <c r="L405" i="7"/>
  <c r="L403" i="7"/>
  <c r="L398" i="7"/>
  <c r="L402" i="7"/>
  <c r="L422" i="7"/>
  <c r="L426" i="7"/>
  <c r="L430" i="7"/>
  <c r="L450" i="7"/>
  <c r="L454" i="7"/>
  <c r="L392" i="7"/>
  <c r="L423" i="7"/>
  <c r="L427" i="7"/>
  <c r="L431" i="7"/>
  <c r="L451" i="7"/>
  <c r="L455" i="7"/>
  <c r="K67" i="7"/>
  <c r="S6" i="7" l="1"/>
  <c r="S519" i="7"/>
  <c r="S515" i="7"/>
  <c r="S507" i="7"/>
  <c r="S511" i="7"/>
  <c r="S33" i="7"/>
  <c r="S29" i="7"/>
  <c r="S537" i="7"/>
  <c r="S26" i="7"/>
  <c r="S20" i="7"/>
  <c r="S538" i="7"/>
  <c r="S36" i="7"/>
  <c r="S23" i="7"/>
  <c r="S35" i="7" s="1"/>
  <c r="T2" i="7"/>
  <c r="N574" i="7"/>
  <c r="M313" i="7"/>
  <c r="M448" i="7" s="1"/>
  <c r="L67" i="7"/>
  <c r="M659" i="7"/>
  <c r="M644" i="7" s="1"/>
  <c r="M66" i="7" s="1"/>
  <c r="N544" i="7"/>
  <c r="M30" i="7"/>
  <c r="M397" i="7"/>
  <c r="M426" i="7"/>
  <c r="M430" i="7"/>
  <c r="M449" i="7"/>
  <c r="M404" i="7"/>
  <c r="M453" i="7"/>
  <c r="M457" i="7"/>
  <c r="M400" i="7"/>
  <c r="M402" i="7"/>
  <c r="M399" i="7"/>
  <c r="M403" i="7"/>
  <c r="M423" i="7"/>
  <c r="M427" i="7"/>
  <c r="M431" i="7"/>
  <c r="M451" i="7"/>
  <c r="M455" i="7"/>
  <c r="M424" i="7"/>
  <c r="M428" i="7"/>
  <c r="M452" i="7"/>
  <c r="M456" i="7"/>
  <c r="N670" i="7"/>
  <c r="N669" i="7"/>
  <c r="N668" i="7"/>
  <c r="N667" i="7"/>
  <c r="N666" i="7"/>
  <c r="N665" i="7"/>
  <c r="N662" i="7"/>
  <c r="N322" i="7"/>
  <c r="N321" i="7"/>
  <c r="N320" i="7"/>
  <c r="N319" i="7"/>
  <c r="N318" i="7"/>
  <c r="N317" i="7"/>
  <c r="N316" i="7"/>
  <c r="N315" i="7"/>
  <c r="N314" i="7"/>
  <c r="N313" i="7"/>
  <c r="N638" i="7"/>
  <c r="N637" i="7"/>
  <c r="N636" i="7"/>
  <c r="N635" i="7"/>
  <c r="N634" i="7"/>
  <c r="N633" i="7"/>
  <c r="N632" i="7"/>
  <c r="N631" i="7"/>
  <c r="N630" i="7"/>
  <c r="N296" i="7"/>
  <c r="N295" i="7"/>
  <c r="N294" i="7"/>
  <c r="N293" i="7"/>
  <c r="N292" i="7"/>
  <c r="N291" i="7"/>
  <c r="N290" i="7"/>
  <c r="N289" i="7"/>
  <c r="N288" i="7"/>
  <c r="N287" i="7"/>
  <c r="N606" i="7"/>
  <c r="N605" i="7"/>
  <c r="N604" i="7"/>
  <c r="N603" i="7"/>
  <c r="N602" i="7"/>
  <c r="N601" i="7"/>
  <c r="N600" i="7"/>
  <c r="N599" i="7"/>
  <c r="N598" i="7"/>
  <c r="N271" i="7"/>
  <c r="N270" i="7"/>
  <c r="N269" i="7"/>
  <c r="N268" i="7"/>
  <c r="N267" i="7"/>
  <c r="N266" i="7"/>
  <c r="N265" i="7"/>
  <c r="N264" i="7"/>
  <c r="N263" i="7"/>
  <c r="N262" i="7"/>
  <c r="N480" i="7"/>
  <c r="N481" i="7" s="1"/>
  <c r="N474" i="7"/>
  <c r="N475" i="7" s="1"/>
  <c r="N391" i="7"/>
  <c r="N378" i="7"/>
  <c r="N377" i="7"/>
  <c r="N376" i="7"/>
  <c r="N375" i="7"/>
  <c r="N374" i="7"/>
  <c r="N373" i="7"/>
  <c r="N244" i="7"/>
  <c r="N243" i="7"/>
  <c r="N242" i="7"/>
  <c r="N241" i="7"/>
  <c r="N240" i="7"/>
  <c r="N239" i="7"/>
  <c r="N257" i="7"/>
  <c r="N28" i="7"/>
  <c r="M258" i="7"/>
  <c r="M396" i="7"/>
  <c r="M398" i="7"/>
  <c r="M401" i="7"/>
  <c r="M405" i="7"/>
  <c r="M425" i="7"/>
  <c r="M429" i="7"/>
  <c r="M422" i="7"/>
  <c r="M450" i="7"/>
  <c r="M454" i="7"/>
  <c r="M392" i="7"/>
  <c r="M595" i="7"/>
  <c r="M580" i="7" s="1"/>
  <c r="M64" i="7" s="1"/>
  <c r="M627" i="7"/>
  <c r="M612" i="7" s="1"/>
  <c r="M65" i="7" s="1"/>
  <c r="T6" i="7" l="1"/>
  <c r="T511" i="7"/>
  <c r="T33" i="7"/>
  <c r="T29" i="7"/>
  <c r="T537" i="7"/>
  <c r="T519" i="7"/>
  <c r="T515" i="7"/>
  <c r="T507" i="7"/>
  <c r="T20" i="7"/>
  <c r="T538" i="7"/>
  <c r="T36" i="7"/>
  <c r="T26" i="7"/>
  <c r="T23" i="7"/>
  <c r="T35" i="7" s="1"/>
  <c r="U2" i="7"/>
  <c r="E28" i="1"/>
  <c r="O574" i="7"/>
  <c r="O544" i="7"/>
  <c r="N425" i="7"/>
  <c r="N401" i="7"/>
  <c r="N403" i="7"/>
  <c r="N449" i="7"/>
  <c r="N453" i="7"/>
  <c r="N457" i="7"/>
  <c r="N429" i="7"/>
  <c r="N399" i="7"/>
  <c r="N258" i="7"/>
  <c r="N397" i="7"/>
  <c r="N405" i="7"/>
  <c r="N398" i="7"/>
  <c r="N402" i="7"/>
  <c r="N422" i="7"/>
  <c r="N426" i="7"/>
  <c r="N430" i="7"/>
  <c r="N450" i="7"/>
  <c r="N454" i="7"/>
  <c r="N392" i="7"/>
  <c r="N423" i="7"/>
  <c r="N427" i="7"/>
  <c r="N431" i="7"/>
  <c r="N451" i="7"/>
  <c r="N455" i="7"/>
  <c r="O670" i="7"/>
  <c r="O669" i="7"/>
  <c r="O668" i="7"/>
  <c r="O667" i="7"/>
  <c r="O666" i="7"/>
  <c r="O664" i="7"/>
  <c r="O322" i="7"/>
  <c r="O321" i="7"/>
  <c r="O320" i="7"/>
  <c r="O319" i="7"/>
  <c r="O318" i="7"/>
  <c r="O317" i="7"/>
  <c r="O316" i="7"/>
  <c r="O315" i="7"/>
  <c r="O662" i="7"/>
  <c r="O313" i="7"/>
  <c r="O296" i="7"/>
  <c r="O295" i="7"/>
  <c r="O294" i="7"/>
  <c r="O293" i="7"/>
  <c r="O292" i="7"/>
  <c r="O291" i="7"/>
  <c r="O290" i="7"/>
  <c r="O314" i="7"/>
  <c r="O638" i="7"/>
  <c r="O637" i="7"/>
  <c r="O636" i="7"/>
  <c r="O635" i="7"/>
  <c r="O634" i="7"/>
  <c r="O633" i="7"/>
  <c r="O632" i="7"/>
  <c r="O631" i="7"/>
  <c r="O630" i="7"/>
  <c r="O271" i="7"/>
  <c r="O270" i="7"/>
  <c r="O269" i="7"/>
  <c r="O268" i="7"/>
  <c r="O267" i="7"/>
  <c r="O266" i="7"/>
  <c r="O289" i="7"/>
  <c r="O288" i="7"/>
  <c r="O287" i="7"/>
  <c r="O606" i="7"/>
  <c r="O605" i="7"/>
  <c r="O604" i="7"/>
  <c r="O603" i="7"/>
  <c r="O602" i="7"/>
  <c r="O601" i="7"/>
  <c r="O600" i="7"/>
  <c r="O599" i="7"/>
  <c r="O597" i="7"/>
  <c r="O264" i="7"/>
  <c r="O265" i="7"/>
  <c r="O263" i="7"/>
  <c r="O480" i="7"/>
  <c r="O481" i="7" s="1"/>
  <c r="O474" i="7"/>
  <c r="O475" i="7" s="1"/>
  <c r="O378" i="7"/>
  <c r="O377" i="7"/>
  <c r="O376" i="7"/>
  <c r="O375" i="7"/>
  <c r="O374" i="7"/>
  <c r="O373" i="7"/>
  <c r="O391" i="7"/>
  <c r="O257" i="7"/>
  <c r="O244" i="7"/>
  <c r="O243" i="7"/>
  <c r="O242" i="7"/>
  <c r="O241" i="7"/>
  <c r="O240" i="7"/>
  <c r="O239" i="7"/>
  <c r="O28" i="7"/>
  <c r="N396" i="7"/>
  <c r="N400" i="7"/>
  <c r="N404" i="7"/>
  <c r="N424" i="7"/>
  <c r="N428" i="7"/>
  <c r="N448" i="7"/>
  <c r="N452" i="7"/>
  <c r="N456" i="7"/>
  <c r="M67" i="7"/>
  <c r="N30" i="7"/>
  <c r="N595" i="7"/>
  <c r="N580" i="7" s="1"/>
  <c r="N64" i="7" s="1"/>
  <c r="N627" i="7"/>
  <c r="N612" i="7" s="1"/>
  <c r="N65" i="7" s="1"/>
  <c r="N659" i="7"/>
  <c r="N644" i="7" s="1"/>
  <c r="N66" i="7" s="1"/>
  <c r="U6" i="7" l="1"/>
  <c r="U511" i="7"/>
  <c r="U33" i="7"/>
  <c r="U29" i="7"/>
  <c r="U519" i="7"/>
  <c r="U515" i="7"/>
  <c r="U507" i="7"/>
  <c r="U538" i="7"/>
  <c r="U537" i="7"/>
  <c r="U36" i="7"/>
  <c r="U26" i="7"/>
  <c r="U20" i="7"/>
  <c r="U23" i="7"/>
  <c r="U35" i="7" s="1"/>
  <c r="E29" i="1"/>
  <c r="V2" i="7"/>
  <c r="P574" i="7"/>
  <c r="P541" i="7"/>
  <c r="P569" i="7"/>
  <c r="P540" i="7"/>
  <c r="P568" i="7"/>
  <c r="O30" i="7"/>
  <c r="P544" i="7"/>
  <c r="O595" i="7"/>
  <c r="O580" i="7" s="1"/>
  <c r="O64" i="7" s="1"/>
  <c r="O627" i="7"/>
  <c r="O612" i="7" s="1"/>
  <c r="O65" i="7" s="1"/>
  <c r="O424" i="7"/>
  <c r="O403" i="7"/>
  <c r="O452" i="7"/>
  <c r="O399" i="7"/>
  <c r="O427" i="7"/>
  <c r="P670" i="7"/>
  <c r="P669" i="7"/>
  <c r="P668" i="7"/>
  <c r="P667" i="7"/>
  <c r="P666" i="7"/>
  <c r="P664" i="7"/>
  <c r="P662" i="7"/>
  <c r="P322" i="7"/>
  <c r="P321" i="7"/>
  <c r="P320" i="7"/>
  <c r="P319" i="7"/>
  <c r="P318" i="7"/>
  <c r="P317" i="7"/>
  <c r="P316" i="7"/>
  <c r="P315" i="7"/>
  <c r="P314" i="7"/>
  <c r="P313" i="7"/>
  <c r="P638" i="7"/>
  <c r="P637" i="7"/>
  <c r="P636" i="7"/>
  <c r="P635" i="7"/>
  <c r="P634" i="7"/>
  <c r="P633" i="7"/>
  <c r="P632" i="7"/>
  <c r="P631" i="7"/>
  <c r="P630" i="7"/>
  <c r="P296" i="7"/>
  <c r="P295" i="7"/>
  <c r="P294" i="7"/>
  <c r="P293" i="7"/>
  <c r="P292" i="7"/>
  <c r="P291" i="7"/>
  <c r="P290" i="7"/>
  <c r="P289" i="7"/>
  <c r="P288" i="7"/>
  <c r="P287" i="7"/>
  <c r="P606" i="7"/>
  <c r="P605" i="7"/>
  <c r="P604" i="7"/>
  <c r="P603" i="7"/>
  <c r="P602" i="7"/>
  <c r="P601" i="7"/>
  <c r="P600" i="7"/>
  <c r="P599" i="7"/>
  <c r="P597" i="7"/>
  <c r="P271" i="7"/>
  <c r="P270" i="7"/>
  <c r="P269" i="7"/>
  <c r="P268" i="7"/>
  <c r="P267" i="7"/>
  <c r="P266" i="7"/>
  <c r="P265" i="7"/>
  <c r="P264" i="7"/>
  <c r="P263" i="7"/>
  <c r="P480" i="7"/>
  <c r="P481" i="7" s="1"/>
  <c r="P474" i="7"/>
  <c r="P475" i="7" s="1"/>
  <c r="P391" i="7"/>
  <c r="P378" i="7"/>
  <c r="P377" i="7"/>
  <c r="P376" i="7"/>
  <c r="P375" i="7"/>
  <c r="P374" i="7"/>
  <c r="P373" i="7"/>
  <c r="P244" i="7"/>
  <c r="P243" i="7"/>
  <c r="P242" i="7"/>
  <c r="P241" i="7"/>
  <c r="P240" i="7"/>
  <c r="P239" i="7"/>
  <c r="P257" i="7"/>
  <c r="P28" i="7"/>
  <c r="O400" i="7"/>
  <c r="O401" i="7"/>
  <c r="O425" i="7"/>
  <c r="O449" i="7"/>
  <c r="O453" i="7"/>
  <c r="O457" i="7"/>
  <c r="O426" i="7"/>
  <c r="O430" i="7"/>
  <c r="O454" i="7"/>
  <c r="O392" i="7"/>
  <c r="O402" i="7"/>
  <c r="O404" i="7"/>
  <c r="O423" i="7"/>
  <c r="O431" i="7"/>
  <c r="O451" i="7"/>
  <c r="O455" i="7"/>
  <c r="O428" i="7"/>
  <c r="O448" i="7"/>
  <c r="O456" i="7"/>
  <c r="N67" i="7"/>
  <c r="O262" i="7"/>
  <c r="O659" i="7"/>
  <c r="O644" i="7" s="1"/>
  <c r="O66" i="7" s="1"/>
  <c r="O258" i="7"/>
  <c r="O398" i="7"/>
  <c r="O397" i="7"/>
  <c r="O405" i="7"/>
  <c r="O429" i="7"/>
  <c r="O422" i="7"/>
  <c r="O450" i="7"/>
  <c r="E30" i="1" l="1"/>
  <c r="V6" i="7"/>
  <c r="V511" i="7"/>
  <c r="V33" i="7"/>
  <c r="V29" i="7"/>
  <c r="V537" i="7"/>
  <c r="V519" i="7"/>
  <c r="V515" i="7"/>
  <c r="V507" i="7"/>
  <c r="V36" i="7"/>
  <c r="V26" i="7"/>
  <c r="V20" i="7"/>
  <c r="V538" i="7"/>
  <c r="V23" i="7"/>
  <c r="V35" i="7" s="1"/>
  <c r="W2" i="7"/>
  <c r="E31" i="1" s="1"/>
  <c r="P542" i="7"/>
  <c r="Q574" i="7"/>
  <c r="Q569" i="7"/>
  <c r="Q540" i="7"/>
  <c r="Q541" i="7"/>
  <c r="O67" i="7"/>
  <c r="Q544" i="7"/>
  <c r="O396" i="7"/>
  <c r="P401" i="7"/>
  <c r="P258" i="7"/>
  <c r="P399" i="7"/>
  <c r="P400" i="7"/>
  <c r="P404" i="7"/>
  <c r="P424" i="7"/>
  <c r="P428" i="7"/>
  <c r="P448" i="7"/>
  <c r="P452" i="7"/>
  <c r="P456" i="7"/>
  <c r="P425" i="7"/>
  <c r="P429" i="7"/>
  <c r="P449" i="7"/>
  <c r="P453" i="7"/>
  <c r="P457" i="7"/>
  <c r="P30" i="7"/>
  <c r="P262" i="7"/>
  <c r="P595" i="7"/>
  <c r="P580" i="7" s="1"/>
  <c r="P64" i="7" s="1"/>
  <c r="P627" i="7"/>
  <c r="P612" i="7" s="1"/>
  <c r="P65" i="7" s="1"/>
  <c r="P659" i="7"/>
  <c r="P644" i="7" s="1"/>
  <c r="P66" i="7" s="1"/>
  <c r="Q670" i="7"/>
  <c r="Q669" i="7"/>
  <c r="Q668" i="7"/>
  <c r="Q667" i="7"/>
  <c r="Q666" i="7"/>
  <c r="Q664" i="7"/>
  <c r="Q662" i="7"/>
  <c r="Q322" i="7"/>
  <c r="Q321" i="7"/>
  <c r="Q320" i="7"/>
  <c r="Q319" i="7"/>
  <c r="Q318" i="7"/>
  <c r="Q317" i="7"/>
  <c r="Q316" i="7"/>
  <c r="Q315" i="7"/>
  <c r="Q314" i="7"/>
  <c r="Q296" i="7"/>
  <c r="Q295" i="7"/>
  <c r="Q294" i="7"/>
  <c r="Q293" i="7"/>
  <c r="Q292" i="7"/>
  <c r="Q291" i="7"/>
  <c r="Q290" i="7"/>
  <c r="Q313" i="7"/>
  <c r="Q638" i="7"/>
  <c r="Q637" i="7"/>
  <c r="Q636" i="7"/>
  <c r="Q635" i="7"/>
  <c r="Q634" i="7"/>
  <c r="Q633" i="7"/>
  <c r="Q632" i="7"/>
  <c r="Q631" i="7"/>
  <c r="Q630" i="7"/>
  <c r="Q289" i="7"/>
  <c r="Q271" i="7"/>
  <c r="Q270" i="7"/>
  <c r="Q269" i="7"/>
  <c r="Q268" i="7"/>
  <c r="Q267" i="7"/>
  <c r="Q266" i="7"/>
  <c r="Q288" i="7"/>
  <c r="Q606" i="7"/>
  <c r="Q605" i="7"/>
  <c r="Q604" i="7"/>
  <c r="Q603" i="7"/>
  <c r="Q602" i="7"/>
  <c r="Q601" i="7"/>
  <c r="Q600" i="7"/>
  <c r="Q599" i="7"/>
  <c r="Q597" i="7"/>
  <c r="Q265" i="7"/>
  <c r="Q264" i="7"/>
  <c r="Q263" i="7"/>
  <c r="Q480" i="7"/>
  <c r="Q481" i="7" s="1"/>
  <c r="Q474" i="7"/>
  <c r="Q475" i="7" s="1"/>
  <c r="Q378" i="7"/>
  <c r="Q377" i="7"/>
  <c r="Q376" i="7"/>
  <c r="Q375" i="7"/>
  <c r="Q374" i="7"/>
  <c r="Q373" i="7"/>
  <c r="Q391" i="7"/>
  <c r="Q257" i="7"/>
  <c r="Q244" i="7"/>
  <c r="Q243" i="7"/>
  <c r="Q242" i="7"/>
  <c r="Q241" i="7"/>
  <c r="Q240" i="7"/>
  <c r="Q239" i="7"/>
  <c r="Q28" i="7"/>
  <c r="P397" i="7"/>
  <c r="P405" i="7"/>
  <c r="P403" i="7"/>
  <c r="P398" i="7"/>
  <c r="P402" i="7"/>
  <c r="P422" i="7"/>
  <c r="P426" i="7"/>
  <c r="P430" i="7"/>
  <c r="P450" i="7"/>
  <c r="P454" i="7"/>
  <c r="P392" i="7"/>
  <c r="P423" i="7"/>
  <c r="P427" i="7"/>
  <c r="P431" i="7"/>
  <c r="P451" i="7"/>
  <c r="P455" i="7"/>
  <c r="W6" i="7" l="1"/>
  <c r="W519" i="7"/>
  <c r="W515" i="7"/>
  <c r="W507" i="7"/>
  <c r="W511" i="7"/>
  <c r="W33" i="7"/>
  <c r="W29" i="7"/>
  <c r="W537" i="7"/>
  <c r="W26" i="7"/>
  <c r="W20" i="7"/>
  <c r="W538" i="7"/>
  <c r="W36" i="7"/>
  <c r="W23" i="7"/>
  <c r="W35" i="7" s="1"/>
  <c r="X2" i="7"/>
  <c r="Q542" i="7"/>
  <c r="R574" i="7"/>
  <c r="R541" i="7"/>
  <c r="R569" i="7"/>
  <c r="R540" i="7"/>
  <c r="R558" i="7"/>
  <c r="R568" i="7"/>
  <c r="Q262" i="7"/>
  <c r="Q396" i="7" s="1"/>
  <c r="Q627" i="7"/>
  <c r="Q612" i="7" s="1"/>
  <c r="Q65" i="7" s="1"/>
  <c r="Q30" i="7"/>
  <c r="Q287" i="7"/>
  <c r="Q422" i="7" s="1"/>
  <c r="Q595" i="7"/>
  <c r="Q580" i="7" s="1"/>
  <c r="Q64" i="7" s="1"/>
  <c r="R544" i="7"/>
  <c r="Q400" i="7"/>
  <c r="Q402" i="7"/>
  <c r="Q399" i="7"/>
  <c r="Q403" i="7"/>
  <c r="Q423" i="7"/>
  <c r="Q427" i="7"/>
  <c r="Q431" i="7"/>
  <c r="Q451" i="7"/>
  <c r="Q455" i="7"/>
  <c r="Q424" i="7"/>
  <c r="Q428" i="7"/>
  <c r="Q448" i="7"/>
  <c r="Q452" i="7"/>
  <c r="Q456" i="7"/>
  <c r="P396" i="7"/>
  <c r="Q659" i="7"/>
  <c r="Q644" i="7" s="1"/>
  <c r="Q66" i="7" s="1"/>
  <c r="P67" i="7"/>
  <c r="R670" i="7"/>
  <c r="R669" i="7"/>
  <c r="R668" i="7"/>
  <c r="R667" i="7"/>
  <c r="R665" i="7"/>
  <c r="R663" i="7"/>
  <c r="R662" i="7"/>
  <c r="R322" i="7"/>
  <c r="R321" i="7"/>
  <c r="R320" i="7"/>
  <c r="R319" i="7"/>
  <c r="R318" i="7"/>
  <c r="R317" i="7"/>
  <c r="R316" i="7"/>
  <c r="R315" i="7"/>
  <c r="R314" i="7"/>
  <c r="R313" i="7"/>
  <c r="R638" i="7"/>
  <c r="R637" i="7"/>
  <c r="R636" i="7"/>
  <c r="R635" i="7"/>
  <c r="R634" i="7"/>
  <c r="R633" i="7"/>
  <c r="R632" i="7"/>
  <c r="R631" i="7"/>
  <c r="R629" i="7"/>
  <c r="R296" i="7"/>
  <c r="R295" i="7"/>
  <c r="R294" i="7"/>
  <c r="R293" i="7"/>
  <c r="R292" i="7"/>
  <c r="R291" i="7"/>
  <c r="R290" i="7"/>
  <c r="R289" i="7"/>
  <c r="R288" i="7"/>
  <c r="R287" i="7"/>
  <c r="R606" i="7"/>
  <c r="R605" i="7"/>
  <c r="R604" i="7"/>
  <c r="R603" i="7"/>
  <c r="R602" i="7"/>
  <c r="R601" i="7"/>
  <c r="R600" i="7"/>
  <c r="R599" i="7"/>
  <c r="R597" i="7"/>
  <c r="R271" i="7"/>
  <c r="R270" i="7"/>
  <c r="R269" i="7"/>
  <c r="R268" i="7"/>
  <c r="R267" i="7"/>
  <c r="R266" i="7"/>
  <c r="R265" i="7"/>
  <c r="R264" i="7"/>
  <c r="R263" i="7"/>
  <c r="R480" i="7"/>
  <c r="R481" i="7" s="1"/>
  <c r="R474" i="7"/>
  <c r="R475" i="7" s="1"/>
  <c r="R391" i="7"/>
  <c r="R378" i="7"/>
  <c r="R377" i="7"/>
  <c r="R376" i="7"/>
  <c r="R375" i="7"/>
  <c r="R374" i="7"/>
  <c r="R373" i="7"/>
  <c r="R244" i="7"/>
  <c r="R243" i="7"/>
  <c r="R242" i="7"/>
  <c r="R241" i="7"/>
  <c r="R240" i="7"/>
  <c r="R239" i="7"/>
  <c r="R257" i="7"/>
  <c r="R28" i="7"/>
  <c r="Q258" i="7"/>
  <c r="Q404" i="7"/>
  <c r="Q398" i="7"/>
  <c r="Q397" i="7"/>
  <c r="Q401" i="7"/>
  <c r="Q405" i="7"/>
  <c r="Q425" i="7"/>
  <c r="Q429" i="7"/>
  <c r="Q449" i="7"/>
  <c r="Q453" i="7"/>
  <c r="Q457" i="7"/>
  <c r="Q426" i="7"/>
  <c r="Q430" i="7"/>
  <c r="Q450" i="7"/>
  <c r="Q454" i="7"/>
  <c r="Q392" i="7"/>
  <c r="E32" i="1" l="1"/>
  <c r="X6" i="7"/>
  <c r="X511" i="7"/>
  <c r="X33" i="7"/>
  <c r="X29" i="7"/>
  <c r="X537" i="7"/>
  <c r="X519" i="7"/>
  <c r="X515" i="7"/>
  <c r="X507" i="7"/>
  <c r="X20" i="7"/>
  <c r="X538" i="7"/>
  <c r="X36" i="7"/>
  <c r="X26" i="7"/>
  <c r="X23" i="7"/>
  <c r="X35" i="7" s="1"/>
  <c r="Y2" i="7"/>
  <c r="R542" i="7"/>
  <c r="S574" i="7"/>
  <c r="S569" i="7"/>
  <c r="S540" i="7"/>
  <c r="S541" i="7"/>
  <c r="S558" i="7"/>
  <c r="E213" i="7"/>
  <c r="E206" i="7" s="1"/>
  <c r="B368" i="7"/>
  <c r="E347" i="7" s="1"/>
  <c r="E340" i="7" s="1"/>
  <c r="S568" i="7"/>
  <c r="R262" i="7"/>
  <c r="R396" i="7" s="1"/>
  <c r="Q67" i="7"/>
  <c r="S544" i="7"/>
  <c r="S670" i="7"/>
  <c r="S669" i="7"/>
  <c r="S668" i="7"/>
  <c r="S667" i="7"/>
  <c r="S665" i="7"/>
  <c r="S663" i="7"/>
  <c r="S322" i="7"/>
  <c r="S321" i="7"/>
  <c r="S320" i="7"/>
  <c r="S319" i="7"/>
  <c r="S318" i="7"/>
  <c r="S317" i="7"/>
  <c r="S316" i="7"/>
  <c r="S315" i="7"/>
  <c r="S662" i="7"/>
  <c r="S313" i="7"/>
  <c r="S296" i="7"/>
  <c r="S295" i="7"/>
  <c r="S294" i="7"/>
  <c r="S293" i="7"/>
  <c r="S292" i="7"/>
  <c r="S291" i="7"/>
  <c r="S290" i="7"/>
  <c r="S314" i="7"/>
  <c r="S638" i="7"/>
  <c r="S637" i="7"/>
  <c r="S636" i="7"/>
  <c r="S635" i="7"/>
  <c r="S634" i="7"/>
  <c r="S633" i="7"/>
  <c r="S632" i="7"/>
  <c r="S631" i="7"/>
  <c r="S629" i="7"/>
  <c r="S271" i="7"/>
  <c r="S270" i="7"/>
  <c r="S269" i="7"/>
  <c r="S268" i="7"/>
  <c r="S267" i="7"/>
  <c r="S266" i="7"/>
  <c r="S289" i="7"/>
  <c r="S288" i="7"/>
  <c r="S287" i="7"/>
  <c r="S606" i="7"/>
  <c r="S605" i="7"/>
  <c r="S604" i="7"/>
  <c r="S603" i="7"/>
  <c r="S602" i="7"/>
  <c r="S601" i="7"/>
  <c r="S600" i="7"/>
  <c r="S599" i="7"/>
  <c r="S597" i="7"/>
  <c r="S264" i="7"/>
  <c r="S265" i="7"/>
  <c r="S263" i="7"/>
  <c r="S480" i="7"/>
  <c r="S481" i="7" s="1"/>
  <c r="S474" i="7"/>
  <c r="S475" i="7" s="1"/>
  <c r="S378" i="7"/>
  <c r="S377" i="7"/>
  <c r="S376" i="7"/>
  <c r="S375" i="7"/>
  <c r="S374" i="7"/>
  <c r="S373" i="7"/>
  <c r="S391" i="7"/>
  <c r="S257" i="7"/>
  <c r="S244" i="7"/>
  <c r="S243" i="7"/>
  <c r="S242" i="7"/>
  <c r="S241" i="7"/>
  <c r="S240" i="7"/>
  <c r="S239" i="7"/>
  <c r="S28" i="7"/>
  <c r="R403" i="7"/>
  <c r="R401" i="7"/>
  <c r="R400" i="7"/>
  <c r="R404" i="7"/>
  <c r="R424" i="7"/>
  <c r="R428" i="7"/>
  <c r="R448" i="7"/>
  <c r="R452" i="7"/>
  <c r="R456" i="7"/>
  <c r="R425" i="7"/>
  <c r="R429" i="7"/>
  <c r="R449" i="7"/>
  <c r="R453" i="7"/>
  <c r="R457" i="7"/>
  <c r="R30" i="7"/>
  <c r="R595" i="7"/>
  <c r="R580" i="7" s="1"/>
  <c r="R64" i="7" s="1"/>
  <c r="R627" i="7"/>
  <c r="R612" i="7" s="1"/>
  <c r="R65" i="7" s="1"/>
  <c r="R659" i="7"/>
  <c r="R644" i="7" s="1"/>
  <c r="R66" i="7" s="1"/>
  <c r="R399" i="7"/>
  <c r="R258" i="7"/>
  <c r="R397" i="7"/>
  <c r="R405" i="7"/>
  <c r="R398" i="7"/>
  <c r="R402" i="7"/>
  <c r="R422" i="7"/>
  <c r="R426" i="7"/>
  <c r="R430" i="7"/>
  <c r="R450" i="7"/>
  <c r="R454" i="7"/>
  <c r="R392" i="7"/>
  <c r="R423" i="7"/>
  <c r="R427" i="7"/>
  <c r="R431" i="7"/>
  <c r="R451" i="7"/>
  <c r="R455" i="7"/>
  <c r="Y6" i="7" l="1"/>
  <c r="Y511" i="7"/>
  <c r="Y33" i="7"/>
  <c r="Y29" i="7"/>
  <c r="Y519" i="7"/>
  <c r="Y515" i="7"/>
  <c r="Y507" i="7"/>
  <c r="Y537" i="7"/>
  <c r="Y538" i="7"/>
  <c r="Y36" i="7"/>
  <c r="Y20" i="7"/>
  <c r="Y26" i="7"/>
  <c r="Y23" i="7"/>
  <c r="Y35" i="7" s="1"/>
  <c r="E33" i="1"/>
  <c r="Z2" i="7"/>
  <c r="S542" i="7"/>
  <c r="C151" i="7"/>
  <c r="T574" i="7"/>
  <c r="B235" i="7"/>
  <c r="T541" i="7"/>
  <c r="T569" i="7"/>
  <c r="T540" i="7"/>
  <c r="T558" i="7"/>
  <c r="B369" i="7"/>
  <c r="T568" i="7"/>
  <c r="S262" i="7"/>
  <c r="S396" i="7" s="1"/>
  <c r="T544" i="7"/>
  <c r="T670" i="7"/>
  <c r="T669" i="7"/>
  <c r="T668" i="7"/>
  <c r="T667" i="7"/>
  <c r="T665" i="7"/>
  <c r="T663" i="7"/>
  <c r="T662" i="7"/>
  <c r="T322" i="7"/>
  <c r="T321" i="7"/>
  <c r="T320" i="7"/>
  <c r="T319" i="7"/>
  <c r="T318" i="7"/>
  <c r="T317" i="7"/>
  <c r="T316" i="7"/>
  <c r="T315" i="7"/>
  <c r="T314" i="7"/>
  <c r="T313" i="7"/>
  <c r="T638" i="7"/>
  <c r="T637" i="7"/>
  <c r="T636" i="7"/>
  <c r="T635" i="7"/>
  <c r="T634" i="7"/>
  <c r="T633" i="7"/>
  <c r="T632" i="7"/>
  <c r="T631" i="7"/>
  <c r="T629" i="7"/>
  <c r="T296" i="7"/>
  <c r="T295" i="7"/>
  <c r="T294" i="7"/>
  <c r="T293" i="7"/>
  <c r="T292" i="7"/>
  <c r="T291" i="7"/>
  <c r="T290" i="7"/>
  <c r="T289" i="7"/>
  <c r="T288" i="7"/>
  <c r="T287" i="7"/>
  <c r="T606" i="7"/>
  <c r="T605" i="7"/>
  <c r="T604" i="7"/>
  <c r="T603" i="7"/>
  <c r="T602" i="7"/>
  <c r="T601" i="7"/>
  <c r="T600" i="7"/>
  <c r="T599" i="7"/>
  <c r="T597" i="7"/>
  <c r="T271" i="7"/>
  <c r="T270" i="7"/>
  <c r="T269" i="7"/>
  <c r="T268" i="7"/>
  <c r="T267" i="7"/>
  <c r="T266" i="7"/>
  <c r="T265" i="7"/>
  <c r="T264" i="7"/>
  <c r="T263" i="7"/>
  <c r="T480" i="7"/>
  <c r="T481" i="7" s="1"/>
  <c r="T474" i="7"/>
  <c r="T475" i="7" s="1"/>
  <c r="T391" i="7"/>
  <c r="T378" i="7"/>
  <c r="T377" i="7"/>
  <c r="T376" i="7"/>
  <c r="T375" i="7"/>
  <c r="T374" i="7"/>
  <c r="T373" i="7"/>
  <c r="T244" i="7"/>
  <c r="T243" i="7"/>
  <c r="T242" i="7"/>
  <c r="T241" i="7"/>
  <c r="T240" i="7"/>
  <c r="T239" i="7"/>
  <c r="T257" i="7"/>
  <c r="T28" i="7"/>
  <c r="S258" i="7"/>
  <c r="S398" i="7"/>
  <c r="S400" i="7"/>
  <c r="S397" i="7"/>
  <c r="S401" i="7"/>
  <c r="S405" i="7"/>
  <c r="S425" i="7"/>
  <c r="S429" i="7"/>
  <c r="S449" i="7"/>
  <c r="S453" i="7"/>
  <c r="S457" i="7"/>
  <c r="S422" i="7"/>
  <c r="S426" i="7"/>
  <c r="S430" i="7"/>
  <c r="S450" i="7"/>
  <c r="S454" i="7"/>
  <c r="S392" i="7"/>
  <c r="R67" i="7"/>
  <c r="S30" i="7"/>
  <c r="S595" i="7"/>
  <c r="S580" i="7" s="1"/>
  <c r="S64" i="7" s="1"/>
  <c r="S627" i="7"/>
  <c r="S612" i="7" s="1"/>
  <c r="S65" i="7" s="1"/>
  <c r="S402" i="7"/>
  <c r="S404" i="7"/>
  <c r="S399" i="7"/>
  <c r="S403" i="7"/>
  <c r="S423" i="7"/>
  <c r="S427" i="7"/>
  <c r="S431" i="7"/>
  <c r="S451" i="7"/>
  <c r="S455" i="7"/>
  <c r="S424" i="7"/>
  <c r="S428" i="7"/>
  <c r="S448" i="7"/>
  <c r="S452" i="7"/>
  <c r="S456" i="7"/>
  <c r="S659" i="7"/>
  <c r="S644" i="7" s="1"/>
  <c r="S66" i="7" s="1"/>
  <c r="Z6" i="7" l="1"/>
  <c r="Z511" i="7"/>
  <c r="Z33" i="7"/>
  <c r="Z29" i="7"/>
  <c r="Z537" i="7"/>
  <c r="Z519" i="7"/>
  <c r="Z515" i="7"/>
  <c r="Z507" i="7"/>
  <c r="Z36" i="7"/>
  <c r="Z26" i="7"/>
  <c r="Z20" i="7"/>
  <c r="Z538" i="7"/>
  <c r="Z23" i="7"/>
  <c r="Z35" i="7" s="1"/>
  <c r="E34" i="1"/>
  <c r="AA2" i="7"/>
  <c r="E35" i="1" s="1"/>
  <c r="T542" i="7"/>
  <c r="U574" i="7"/>
  <c r="U569" i="7"/>
  <c r="U540" i="7"/>
  <c r="U541" i="7"/>
  <c r="U558" i="7"/>
  <c r="T262" i="7"/>
  <c r="T396" i="7" s="1"/>
  <c r="U568" i="7"/>
  <c r="T659" i="7"/>
  <c r="T644" i="7" s="1"/>
  <c r="T66" i="7" s="1"/>
  <c r="U544" i="7"/>
  <c r="U670" i="7"/>
  <c r="U669" i="7"/>
  <c r="U668" i="7"/>
  <c r="U666" i="7"/>
  <c r="U665" i="7"/>
  <c r="U663" i="7"/>
  <c r="U662" i="7"/>
  <c r="U322" i="7"/>
  <c r="U321" i="7"/>
  <c r="U320" i="7"/>
  <c r="U319" i="7"/>
  <c r="U318" i="7"/>
  <c r="U317" i="7"/>
  <c r="U316" i="7"/>
  <c r="U315" i="7"/>
  <c r="U314" i="7"/>
  <c r="U296" i="7"/>
  <c r="U295" i="7"/>
  <c r="U294" i="7"/>
  <c r="U293" i="7"/>
  <c r="U292" i="7"/>
  <c r="U291" i="7"/>
  <c r="U290" i="7"/>
  <c r="U313" i="7"/>
  <c r="U638" i="7"/>
  <c r="U637" i="7"/>
  <c r="U636" i="7"/>
  <c r="U635" i="7"/>
  <c r="U634" i="7"/>
  <c r="U633" i="7"/>
  <c r="U632" i="7"/>
  <c r="U631" i="7"/>
  <c r="U629" i="7"/>
  <c r="U289" i="7"/>
  <c r="U271" i="7"/>
  <c r="U270" i="7"/>
  <c r="U269" i="7"/>
  <c r="U268" i="7"/>
  <c r="U267" i="7"/>
  <c r="U266" i="7"/>
  <c r="U288" i="7"/>
  <c r="U287" i="7"/>
  <c r="U606" i="7"/>
  <c r="U605" i="7"/>
  <c r="U604" i="7"/>
  <c r="U603" i="7"/>
  <c r="U602" i="7"/>
  <c r="U601" i="7"/>
  <c r="U600" i="7"/>
  <c r="U599" i="7"/>
  <c r="U597" i="7"/>
  <c r="U265" i="7"/>
  <c r="U264" i="7"/>
  <c r="U263" i="7"/>
  <c r="U480" i="7"/>
  <c r="U481" i="7" s="1"/>
  <c r="U474" i="7"/>
  <c r="U475" i="7" s="1"/>
  <c r="U378" i="7"/>
  <c r="U377" i="7"/>
  <c r="U376" i="7"/>
  <c r="U375" i="7"/>
  <c r="U374" i="7"/>
  <c r="U373" i="7"/>
  <c r="U391" i="7"/>
  <c r="U257" i="7"/>
  <c r="U244" i="7"/>
  <c r="U243" i="7"/>
  <c r="U242" i="7"/>
  <c r="U241" i="7"/>
  <c r="U240" i="7"/>
  <c r="U239" i="7"/>
  <c r="U28" i="7"/>
  <c r="T401" i="7"/>
  <c r="T258" i="7"/>
  <c r="T399" i="7"/>
  <c r="T400" i="7"/>
  <c r="T404" i="7"/>
  <c r="T424" i="7"/>
  <c r="T428" i="7"/>
  <c r="T448" i="7"/>
  <c r="T452" i="7"/>
  <c r="T456" i="7"/>
  <c r="T425" i="7"/>
  <c r="T429" i="7"/>
  <c r="T449" i="7"/>
  <c r="T453" i="7"/>
  <c r="T457" i="7"/>
  <c r="T30" i="7"/>
  <c r="T595" i="7"/>
  <c r="T580" i="7" s="1"/>
  <c r="T64" i="7" s="1"/>
  <c r="T627" i="7"/>
  <c r="T612" i="7" s="1"/>
  <c r="T65" i="7" s="1"/>
  <c r="T397" i="7"/>
  <c r="T405" i="7"/>
  <c r="T403" i="7"/>
  <c r="T398" i="7"/>
  <c r="T402" i="7"/>
  <c r="T422" i="7"/>
  <c r="T426" i="7"/>
  <c r="T430" i="7"/>
  <c r="T450" i="7"/>
  <c r="T454" i="7"/>
  <c r="T392" i="7"/>
  <c r="T423" i="7"/>
  <c r="T427" i="7"/>
  <c r="T431" i="7"/>
  <c r="T451" i="7"/>
  <c r="T455" i="7"/>
  <c r="S67" i="7"/>
  <c r="AA6" i="7" l="1"/>
  <c r="AA519" i="7"/>
  <c r="AA515" i="7"/>
  <c r="AA507" i="7"/>
  <c r="AA511" i="7"/>
  <c r="AA33" i="7"/>
  <c r="AA29" i="7"/>
  <c r="AA537" i="7"/>
  <c r="AA26" i="7"/>
  <c r="AA20" i="7"/>
  <c r="AA538" i="7"/>
  <c r="AA36" i="7"/>
  <c r="AA23" i="7"/>
  <c r="AA35" i="7" s="1"/>
  <c r="AB2" i="7"/>
  <c r="U542" i="7"/>
  <c r="V574" i="7"/>
  <c r="V541" i="7"/>
  <c r="V569" i="7"/>
  <c r="V540" i="7"/>
  <c r="V558" i="7"/>
  <c r="U262" i="7"/>
  <c r="U396" i="7" s="1"/>
  <c r="V567" i="7"/>
  <c r="U659" i="7"/>
  <c r="U644" i="7" s="1"/>
  <c r="U66" i="7" s="1"/>
  <c r="V544" i="7"/>
  <c r="V670" i="7"/>
  <c r="V669" i="7"/>
  <c r="V668" i="7"/>
  <c r="V666" i="7"/>
  <c r="V665" i="7"/>
  <c r="V663" i="7"/>
  <c r="V662" i="7"/>
  <c r="V322" i="7"/>
  <c r="V321" i="7"/>
  <c r="V320" i="7"/>
  <c r="V319" i="7"/>
  <c r="V318" i="7"/>
  <c r="V317" i="7"/>
  <c r="V316" i="7"/>
  <c r="V315" i="7"/>
  <c r="V314" i="7"/>
  <c r="V313" i="7"/>
  <c r="V638" i="7"/>
  <c r="V637" i="7"/>
  <c r="V636" i="7"/>
  <c r="V635" i="7"/>
  <c r="V634" i="7"/>
  <c r="V633" i="7"/>
  <c r="V632" i="7"/>
  <c r="V631" i="7"/>
  <c r="V629" i="7"/>
  <c r="V296" i="7"/>
  <c r="V295" i="7"/>
  <c r="V294" i="7"/>
  <c r="V293" i="7"/>
  <c r="V292" i="7"/>
  <c r="V291" i="7"/>
  <c r="V290" i="7"/>
  <c r="V289" i="7"/>
  <c r="V288" i="7"/>
  <c r="V287" i="7"/>
  <c r="V606" i="7"/>
  <c r="V605" i="7"/>
  <c r="V604" i="7"/>
  <c r="V603" i="7"/>
  <c r="V602" i="7"/>
  <c r="V601" i="7"/>
  <c r="V600" i="7"/>
  <c r="V599" i="7"/>
  <c r="V597" i="7"/>
  <c r="V271" i="7"/>
  <c r="V270" i="7"/>
  <c r="V269" i="7"/>
  <c r="V268" i="7"/>
  <c r="V267" i="7"/>
  <c r="V266" i="7"/>
  <c r="V265" i="7"/>
  <c r="V264" i="7"/>
  <c r="V263" i="7"/>
  <c r="V480" i="7"/>
  <c r="V481" i="7" s="1"/>
  <c r="V474" i="7"/>
  <c r="V475" i="7" s="1"/>
  <c r="V391" i="7"/>
  <c r="V378" i="7"/>
  <c r="V377" i="7"/>
  <c r="V376" i="7"/>
  <c r="V375" i="7"/>
  <c r="V374" i="7"/>
  <c r="V373" i="7"/>
  <c r="V244" i="7"/>
  <c r="V243" i="7"/>
  <c r="V242" i="7"/>
  <c r="V241" i="7"/>
  <c r="V240" i="7"/>
  <c r="V239" i="7"/>
  <c r="V257" i="7"/>
  <c r="V28" i="7"/>
  <c r="U258" i="7"/>
  <c r="U404" i="7"/>
  <c r="U398" i="7"/>
  <c r="U397" i="7"/>
  <c r="U401" i="7"/>
  <c r="U405" i="7"/>
  <c r="U425" i="7"/>
  <c r="U429" i="7"/>
  <c r="U449" i="7"/>
  <c r="U453" i="7"/>
  <c r="U457" i="7"/>
  <c r="U422" i="7"/>
  <c r="U426" i="7"/>
  <c r="U430" i="7"/>
  <c r="U450" i="7"/>
  <c r="U454" i="7"/>
  <c r="U392" i="7"/>
  <c r="T67" i="7"/>
  <c r="U30" i="7"/>
  <c r="U595" i="7"/>
  <c r="U580" i="7" s="1"/>
  <c r="U64" i="7" s="1"/>
  <c r="U627" i="7"/>
  <c r="U612" i="7" s="1"/>
  <c r="U65" i="7" s="1"/>
  <c r="U400" i="7"/>
  <c r="U402" i="7"/>
  <c r="U399" i="7"/>
  <c r="U403" i="7"/>
  <c r="U423" i="7"/>
  <c r="U427" i="7"/>
  <c r="U431" i="7"/>
  <c r="U451" i="7"/>
  <c r="U455" i="7"/>
  <c r="U424" i="7"/>
  <c r="U428" i="7"/>
  <c r="U448" i="7"/>
  <c r="U452" i="7"/>
  <c r="U456" i="7"/>
  <c r="AB6" i="7" l="1"/>
  <c r="AB511" i="7"/>
  <c r="AB33" i="7"/>
  <c r="AB29" i="7"/>
  <c r="AB537" i="7"/>
  <c r="AB519" i="7"/>
  <c r="AB515" i="7"/>
  <c r="AB507" i="7"/>
  <c r="AB675" i="7"/>
  <c r="AB20" i="7"/>
  <c r="AB538" i="7"/>
  <c r="AB36" i="7"/>
  <c r="AB26" i="7"/>
  <c r="AB23" i="7"/>
  <c r="AB35" i="7" s="1"/>
  <c r="E36" i="1"/>
  <c r="F36" i="1" s="1"/>
  <c r="AC2" i="7"/>
  <c r="V542" i="7"/>
  <c r="W574" i="7"/>
  <c r="W569" i="7"/>
  <c r="W540" i="7"/>
  <c r="W541" i="7"/>
  <c r="W558" i="7"/>
  <c r="W568" i="7"/>
  <c r="W567" i="7"/>
  <c r="V595" i="7"/>
  <c r="V580" i="7" s="1"/>
  <c r="V64" i="7" s="1"/>
  <c r="V659" i="7"/>
  <c r="V644" i="7" s="1"/>
  <c r="V66" i="7" s="1"/>
  <c r="V262" i="7"/>
  <c r="V396" i="7" s="1"/>
  <c r="V30" i="7"/>
  <c r="V627" i="7"/>
  <c r="V612" i="7" s="1"/>
  <c r="V65" i="7" s="1"/>
  <c r="W560" i="7"/>
  <c r="W533" i="7"/>
  <c r="W545" i="7"/>
  <c r="W544" i="7"/>
  <c r="W555" i="7" s="1"/>
  <c r="W566" i="7" s="1"/>
  <c r="W670" i="7"/>
  <c r="W669" i="7"/>
  <c r="W668" i="7"/>
  <c r="W666" i="7"/>
  <c r="W664" i="7"/>
  <c r="W663" i="7"/>
  <c r="W322" i="7"/>
  <c r="W321" i="7"/>
  <c r="W320" i="7"/>
  <c r="W319" i="7"/>
  <c r="W318" i="7"/>
  <c r="W317" i="7"/>
  <c r="W316" i="7"/>
  <c r="W315" i="7"/>
  <c r="W661" i="7"/>
  <c r="W313" i="7"/>
  <c r="W296" i="7"/>
  <c r="W295" i="7"/>
  <c r="W294" i="7"/>
  <c r="W293" i="7"/>
  <c r="W292" i="7"/>
  <c r="W291" i="7"/>
  <c r="W290" i="7"/>
  <c r="W314" i="7"/>
  <c r="W638" i="7"/>
  <c r="W637" i="7"/>
  <c r="W636" i="7"/>
  <c r="W635" i="7"/>
  <c r="W634" i="7"/>
  <c r="W633" i="7"/>
  <c r="W632" i="7"/>
  <c r="W631" i="7"/>
  <c r="W629" i="7"/>
  <c r="W271" i="7"/>
  <c r="W270" i="7"/>
  <c r="W269" i="7"/>
  <c r="W268" i="7"/>
  <c r="W267" i="7"/>
  <c r="W266" i="7"/>
  <c r="W289" i="7"/>
  <c r="W288" i="7"/>
  <c r="W287" i="7"/>
  <c r="W606" i="7"/>
  <c r="W605" i="7"/>
  <c r="W604" i="7"/>
  <c r="W603" i="7"/>
  <c r="W602" i="7"/>
  <c r="W601" i="7"/>
  <c r="W600" i="7"/>
  <c r="W599" i="7"/>
  <c r="W597" i="7"/>
  <c r="W264" i="7"/>
  <c r="W265" i="7"/>
  <c r="W263" i="7"/>
  <c r="W480" i="7"/>
  <c r="W481" i="7" s="1"/>
  <c r="W474" i="7"/>
  <c r="W475" i="7" s="1"/>
  <c r="W378" i="7"/>
  <c r="W377" i="7"/>
  <c r="W376" i="7"/>
  <c r="W375" i="7"/>
  <c r="W374" i="7"/>
  <c r="W373" i="7"/>
  <c r="W391" i="7"/>
  <c r="W257" i="7"/>
  <c r="W244" i="7"/>
  <c r="W243" i="7"/>
  <c r="W242" i="7"/>
  <c r="W241" i="7"/>
  <c r="W240" i="7"/>
  <c r="W239" i="7"/>
  <c r="W28" i="7"/>
  <c r="V399" i="7"/>
  <c r="V258" i="7"/>
  <c r="V397" i="7"/>
  <c r="V405" i="7"/>
  <c r="V398" i="7"/>
  <c r="V402" i="7"/>
  <c r="V422" i="7"/>
  <c r="V426" i="7"/>
  <c r="V430" i="7"/>
  <c r="V450" i="7"/>
  <c r="V454" i="7"/>
  <c r="V392" i="7"/>
  <c r="V423" i="7"/>
  <c r="V427" i="7"/>
  <c r="V431" i="7"/>
  <c r="V451" i="7"/>
  <c r="V455" i="7"/>
  <c r="V403" i="7"/>
  <c r="V401" i="7"/>
  <c r="V400" i="7"/>
  <c r="V404" i="7"/>
  <c r="V424" i="7"/>
  <c r="V428" i="7"/>
  <c r="V448" i="7"/>
  <c r="V452" i="7"/>
  <c r="V456" i="7"/>
  <c r="V425" i="7"/>
  <c r="V429" i="7"/>
  <c r="V449" i="7"/>
  <c r="V453" i="7"/>
  <c r="V457" i="7"/>
  <c r="U67" i="7"/>
  <c r="E37" i="1" l="1"/>
  <c r="F37" i="1" s="1"/>
  <c r="AC6" i="7"/>
  <c r="AC511" i="7"/>
  <c r="AC33" i="7"/>
  <c r="AC29" i="7"/>
  <c r="AC519" i="7"/>
  <c r="AC515" i="7"/>
  <c r="AC507" i="7"/>
  <c r="AC675" i="7"/>
  <c r="AC538" i="7"/>
  <c r="AC26" i="7"/>
  <c r="AC36" i="7"/>
  <c r="AC537" i="7"/>
  <c r="AC20" i="7"/>
  <c r="AC23" i="7"/>
  <c r="AC35" i="7" s="1"/>
  <c r="AD2" i="7"/>
  <c r="E38" i="1" s="1"/>
  <c r="F38" i="1" s="1"/>
  <c r="W542" i="7"/>
  <c r="W543" i="7" s="1"/>
  <c r="X574" i="7"/>
  <c r="X541" i="7"/>
  <c r="X569" i="7"/>
  <c r="X540" i="7"/>
  <c r="W166" i="7"/>
  <c r="W130" i="7"/>
  <c r="W51" i="7"/>
  <c r="X558" i="7"/>
  <c r="W57" i="7"/>
  <c r="X568" i="7"/>
  <c r="X567" i="7"/>
  <c r="V67" i="7"/>
  <c r="W262" i="7"/>
  <c r="W396" i="7" s="1"/>
  <c r="W30" i="7"/>
  <c r="W627" i="7"/>
  <c r="W612" i="7" s="1"/>
  <c r="W65" i="7" s="1"/>
  <c r="W595" i="7"/>
  <c r="W580" i="7" s="1"/>
  <c r="W64" i="7" s="1"/>
  <c r="X560" i="7"/>
  <c r="X533" i="7"/>
  <c r="X545" i="7"/>
  <c r="X544" i="7"/>
  <c r="X555" i="7" s="1"/>
  <c r="W402" i="7"/>
  <c r="W404" i="7"/>
  <c r="W399" i="7"/>
  <c r="W403" i="7"/>
  <c r="W423" i="7"/>
  <c r="W427" i="7"/>
  <c r="W431" i="7"/>
  <c r="W451" i="7"/>
  <c r="W455" i="7"/>
  <c r="W424" i="7"/>
  <c r="W428" i="7"/>
  <c r="W448" i="7"/>
  <c r="W452" i="7"/>
  <c r="W456" i="7"/>
  <c r="W559" i="7"/>
  <c r="W553" i="7"/>
  <c r="X566" i="7"/>
  <c r="W659" i="7"/>
  <c r="W644" i="7" s="1"/>
  <c r="W66" i="7" s="1"/>
  <c r="X670" i="7"/>
  <c r="X669" i="7"/>
  <c r="X667" i="7"/>
  <c r="X666" i="7"/>
  <c r="X664" i="7"/>
  <c r="X663" i="7"/>
  <c r="X661" i="7"/>
  <c r="X322" i="7"/>
  <c r="X321" i="7"/>
  <c r="X320" i="7"/>
  <c r="X319" i="7"/>
  <c r="X318" i="7"/>
  <c r="X316" i="7"/>
  <c r="X315" i="7"/>
  <c r="X314" i="7"/>
  <c r="X313" i="7"/>
  <c r="X638" i="7"/>
  <c r="X637" i="7"/>
  <c r="X636" i="7"/>
  <c r="X635" i="7"/>
  <c r="X634" i="7"/>
  <c r="X633" i="7"/>
  <c r="X632" i="7"/>
  <c r="X631" i="7"/>
  <c r="X629" i="7"/>
  <c r="X296" i="7"/>
  <c r="X295" i="7"/>
  <c r="X294" i="7"/>
  <c r="X293" i="7"/>
  <c r="X292" i="7"/>
  <c r="X291" i="7"/>
  <c r="X290" i="7"/>
  <c r="X289" i="7"/>
  <c r="X288" i="7"/>
  <c r="X287" i="7"/>
  <c r="X606" i="7"/>
  <c r="X605" i="7"/>
  <c r="X604" i="7"/>
  <c r="X603" i="7"/>
  <c r="X602" i="7"/>
  <c r="X601" i="7"/>
  <c r="X600" i="7"/>
  <c r="X599" i="7"/>
  <c r="X597" i="7"/>
  <c r="X271" i="7"/>
  <c r="X270" i="7"/>
  <c r="X269" i="7"/>
  <c r="X268" i="7"/>
  <c r="X267" i="7"/>
  <c r="X266" i="7"/>
  <c r="X265" i="7"/>
  <c r="X264" i="7"/>
  <c r="X263" i="7"/>
  <c r="X480" i="7"/>
  <c r="X481" i="7" s="1"/>
  <c r="X474" i="7"/>
  <c r="X475" i="7" s="1"/>
  <c r="X391" i="7"/>
  <c r="X378" i="7"/>
  <c r="X377" i="7"/>
  <c r="X376" i="7"/>
  <c r="X375" i="7"/>
  <c r="X374" i="7"/>
  <c r="X373" i="7"/>
  <c r="X317" i="7"/>
  <c r="X244" i="7"/>
  <c r="X243" i="7"/>
  <c r="X242" i="7"/>
  <c r="X241" i="7"/>
  <c r="X240" i="7"/>
  <c r="X239" i="7"/>
  <c r="X257" i="7"/>
  <c r="X28" i="7"/>
  <c r="W258" i="7"/>
  <c r="W398" i="7"/>
  <c r="W400" i="7"/>
  <c r="W397" i="7"/>
  <c r="W401" i="7"/>
  <c r="W405" i="7"/>
  <c r="W425" i="7"/>
  <c r="W429" i="7"/>
  <c r="W449" i="7"/>
  <c r="W453" i="7"/>
  <c r="W457" i="7"/>
  <c r="W422" i="7"/>
  <c r="W426" i="7"/>
  <c r="W430" i="7"/>
  <c r="W450" i="7"/>
  <c r="W454" i="7"/>
  <c r="W392" i="7"/>
  <c r="AD6" i="7" l="1"/>
  <c r="AD511" i="7"/>
  <c r="AD33" i="7"/>
  <c r="AD29" i="7"/>
  <c r="AD537" i="7"/>
  <c r="AD519" i="7"/>
  <c r="AD515" i="7"/>
  <c r="AD507" i="7"/>
  <c r="AD675" i="7"/>
  <c r="AD36" i="7"/>
  <c r="AD26" i="7"/>
  <c r="AD20" i="7"/>
  <c r="AD538" i="7"/>
  <c r="AD23" i="7"/>
  <c r="AD35" i="7" s="1"/>
  <c r="AE2" i="7"/>
  <c r="X542" i="7"/>
  <c r="X543" i="7" s="1"/>
  <c r="W532" i="7"/>
  <c r="W76" i="7" s="1"/>
  <c r="W77" i="7" s="1"/>
  <c r="Y574" i="7"/>
  <c r="Y569" i="7"/>
  <c r="Y540" i="7"/>
  <c r="Y541" i="7"/>
  <c r="X166" i="7"/>
  <c r="X130" i="7"/>
  <c r="X51" i="7"/>
  <c r="Y558" i="7"/>
  <c r="Y568" i="7"/>
  <c r="Y567" i="7"/>
  <c r="X262" i="7"/>
  <c r="X396" i="7" s="1"/>
  <c r="W67" i="7"/>
  <c r="Y560" i="7"/>
  <c r="Y533" i="7"/>
  <c r="Y545" i="7"/>
  <c r="Y544" i="7"/>
  <c r="Y555" i="7" s="1"/>
  <c r="X401" i="7"/>
  <c r="X258" i="7"/>
  <c r="X399" i="7"/>
  <c r="X400" i="7"/>
  <c r="X404" i="7"/>
  <c r="X424" i="7"/>
  <c r="X428" i="7"/>
  <c r="X448" i="7"/>
  <c r="X452" i="7"/>
  <c r="X456" i="7"/>
  <c r="X425" i="7"/>
  <c r="X429" i="7"/>
  <c r="X449" i="7"/>
  <c r="X453" i="7"/>
  <c r="X457" i="7"/>
  <c r="X559" i="7"/>
  <c r="X553" i="7"/>
  <c r="Y566" i="7"/>
  <c r="W550" i="7"/>
  <c r="X30" i="7"/>
  <c r="X57" i="7"/>
  <c r="X595" i="7"/>
  <c r="X580" i="7" s="1"/>
  <c r="X64" i="7" s="1"/>
  <c r="X627" i="7"/>
  <c r="X612" i="7" s="1"/>
  <c r="X65" i="7" s="1"/>
  <c r="X659" i="7"/>
  <c r="X644" i="7" s="1"/>
  <c r="X66" i="7" s="1"/>
  <c r="Y670" i="7"/>
  <c r="Y669" i="7"/>
  <c r="Y667" i="7"/>
  <c r="Y666" i="7"/>
  <c r="Y664" i="7"/>
  <c r="Y663" i="7"/>
  <c r="Y322" i="7"/>
  <c r="Y321" i="7"/>
  <c r="Y320" i="7"/>
  <c r="Y319" i="7"/>
  <c r="Y318" i="7"/>
  <c r="Y317" i="7"/>
  <c r="Y316" i="7"/>
  <c r="Y315" i="7"/>
  <c r="Y661" i="7"/>
  <c r="Y314" i="7"/>
  <c r="Y296" i="7"/>
  <c r="Y295" i="7"/>
  <c r="Y294" i="7"/>
  <c r="Y293" i="7"/>
  <c r="Y292" i="7"/>
  <c r="Y291" i="7"/>
  <c r="Y290" i="7"/>
  <c r="Y313" i="7"/>
  <c r="Y638" i="7"/>
  <c r="Y637" i="7"/>
  <c r="Y636" i="7"/>
  <c r="Y635" i="7"/>
  <c r="Y634" i="7"/>
  <c r="Y633" i="7"/>
  <c r="Y632" i="7"/>
  <c r="Y631" i="7"/>
  <c r="Y629" i="7"/>
  <c r="Y289" i="7"/>
  <c r="Y271" i="7"/>
  <c r="Y270" i="7"/>
  <c r="Y269" i="7"/>
  <c r="Y268" i="7"/>
  <c r="Y267" i="7"/>
  <c r="Y266" i="7"/>
  <c r="Y288" i="7"/>
  <c r="Y287" i="7"/>
  <c r="Y606" i="7"/>
  <c r="Y605" i="7"/>
  <c r="Y604" i="7"/>
  <c r="Y603" i="7"/>
  <c r="Y602" i="7"/>
  <c r="Y601" i="7"/>
  <c r="Y600" i="7"/>
  <c r="Y599" i="7"/>
  <c r="Y597" i="7"/>
  <c r="Y265" i="7"/>
  <c r="Y264" i="7"/>
  <c r="Y263" i="7"/>
  <c r="Y480" i="7"/>
  <c r="Y481" i="7" s="1"/>
  <c r="Y474" i="7"/>
  <c r="Y475" i="7" s="1"/>
  <c r="Y378" i="7"/>
  <c r="Y377" i="7"/>
  <c r="Y376" i="7"/>
  <c r="Y375" i="7"/>
  <c r="Y374" i="7"/>
  <c r="Y373" i="7"/>
  <c r="Y391" i="7"/>
  <c r="Y257" i="7"/>
  <c r="Y244" i="7"/>
  <c r="Y243" i="7"/>
  <c r="Y242" i="7"/>
  <c r="Y241" i="7"/>
  <c r="Y240" i="7"/>
  <c r="Y239" i="7"/>
  <c r="Y28" i="7"/>
  <c r="X397" i="7"/>
  <c r="X405" i="7"/>
  <c r="X403" i="7"/>
  <c r="X398" i="7"/>
  <c r="X402" i="7"/>
  <c r="X422" i="7"/>
  <c r="X426" i="7"/>
  <c r="X430" i="7"/>
  <c r="X450" i="7"/>
  <c r="X454" i="7"/>
  <c r="X392" i="7"/>
  <c r="X423" i="7"/>
  <c r="X427" i="7"/>
  <c r="X431" i="7"/>
  <c r="X451" i="7"/>
  <c r="X455" i="7"/>
  <c r="AE6" i="7" l="1"/>
  <c r="AE519" i="7"/>
  <c r="AE515" i="7"/>
  <c r="AE507" i="7"/>
  <c r="AE675" i="7"/>
  <c r="AE511" i="7"/>
  <c r="AE33" i="7"/>
  <c r="AE29" i="7"/>
  <c r="AE537" i="7"/>
  <c r="AE26" i="7"/>
  <c r="AE20" i="7"/>
  <c r="AE538" i="7"/>
  <c r="AE36" i="7"/>
  <c r="AE23" i="7"/>
  <c r="AE35" i="7" s="1"/>
  <c r="E39" i="1"/>
  <c r="F39" i="1" s="1"/>
  <c r="AF2" i="7"/>
  <c r="E40" i="1" s="1"/>
  <c r="F40" i="1" s="1"/>
  <c r="W529" i="7"/>
  <c r="W534" i="7"/>
  <c r="Y542" i="7"/>
  <c r="Y543" i="7" s="1"/>
  <c r="X532" i="7"/>
  <c r="X534" i="7" s="1"/>
  <c r="Z574" i="7"/>
  <c r="Y262" i="7"/>
  <c r="Y396" i="7" s="1"/>
  <c r="Z541" i="7"/>
  <c r="Z569" i="7"/>
  <c r="Z540" i="7"/>
  <c r="Y166" i="7"/>
  <c r="Y130" i="7"/>
  <c r="Y51" i="7"/>
  <c r="Z558" i="7"/>
  <c r="Z568" i="7"/>
  <c r="Z567" i="7"/>
  <c r="Y659" i="7"/>
  <c r="Y644" i="7" s="1"/>
  <c r="Y66" i="7" s="1"/>
  <c r="Y30" i="7"/>
  <c r="Z560" i="7"/>
  <c r="Z533" i="7"/>
  <c r="Z545" i="7"/>
  <c r="Z544" i="7"/>
  <c r="Z555" i="7" s="1"/>
  <c r="Z670" i="7"/>
  <c r="Z669" i="7"/>
  <c r="Z667" i="7"/>
  <c r="Z666" i="7"/>
  <c r="Z664" i="7"/>
  <c r="Z663" i="7"/>
  <c r="Z661" i="7"/>
  <c r="Z322" i="7"/>
  <c r="Z321" i="7"/>
  <c r="Z320" i="7"/>
  <c r="Z319" i="7"/>
  <c r="Z318" i="7"/>
  <c r="Z317" i="7"/>
  <c r="Z316" i="7"/>
  <c r="Z315" i="7"/>
  <c r="Z314" i="7"/>
  <c r="Z313" i="7"/>
  <c r="Z638" i="7"/>
  <c r="Z637" i="7"/>
  <c r="Z636" i="7"/>
  <c r="Z635" i="7"/>
  <c r="Z634" i="7"/>
  <c r="Z633" i="7"/>
  <c r="Z632" i="7"/>
  <c r="Z631" i="7"/>
  <c r="Z629" i="7"/>
  <c r="Z296" i="7"/>
  <c r="Z295" i="7"/>
  <c r="Z294" i="7"/>
  <c r="Z293" i="7"/>
  <c r="Z292" i="7"/>
  <c r="Z291" i="7"/>
  <c r="Z290" i="7"/>
  <c r="Z289" i="7"/>
  <c r="Z288" i="7"/>
  <c r="Z287" i="7"/>
  <c r="Z606" i="7"/>
  <c r="Z605" i="7"/>
  <c r="Z604" i="7"/>
  <c r="Z603" i="7"/>
  <c r="Z602" i="7"/>
  <c r="Z601" i="7"/>
  <c r="Z600" i="7"/>
  <c r="Z599" i="7"/>
  <c r="Z597" i="7"/>
  <c r="Z271" i="7"/>
  <c r="Z270" i="7"/>
  <c r="Z269" i="7"/>
  <c r="Z268" i="7"/>
  <c r="Z267" i="7"/>
  <c r="Z266" i="7"/>
  <c r="Z265" i="7"/>
  <c r="Z264" i="7"/>
  <c r="Z263" i="7"/>
  <c r="Z480" i="7"/>
  <c r="Z481" i="7" s="1"/>
  <c r="Z474" i="7"/>
  <c r="Z475" i="7" s="1"/>
  <c r="Z391" i="7"/>
  <c r="Z378" i="7"/>
  <c r="Z377" i="7"/>
  <c r="Z376" i="7"/>
  <c r="Z375" i="7"/>
  <c r="Z374" i="7"/>
  <c r="Z373" i="7"/>
  <c r="Z244" i="7"/>
  <c r="Z243" i="7"/>
  <c r="Z242" i="7"/>
  <c r="Z241" i="7"/>
  <c r="Z240" i="7"/>
  <c r="Z239" i="7"/>
  <c r="Z257" i="7"/>
  <c r="Z28" i="7"/>
  <c r="Y258" i="7"/>
  <c r="Y404" i="7"/>
  <c r="Y398" i="7"/>
  <c r="Y397" i="7"/>
  <c r="Y401" i="7"/>
  <c r="Y405" i="7"/>
  <c r="Y425" i="7"/>
  <c r="Y429" i="7"/>
  <c r="Y449" i="7"/>
  <c r="Y453" i="7"/>
  <c r="Y457" i="7"/>
  <c r="Y422" i="7"/>
  <c r="Y426" i="7"/>
  <c r="Y430" i="7"/>
  <c r="Y450" i="7"/>
  <c r="Y454" i="7"/>
  <c r="Y392" i="7"/>
  <c r="Y57" i="7"/>
  <c r="Y595" i="7"/>
  <c r="Y580" i="7" s="1"/>
  <c r="Y64" i="7" s="1"/>
  <c r="Y627" i="7"/>
  <c r="Y612" i="7" s="1"/>
  <c r="Y65" i="7" s="1"/>
  <c r="X67" i="7"/>
  <c r="Y400" i="7"/>
  <c r="Y402" i="7"/>
  <c r="Y399" i="7"/>
  <c r="Y403" i="7"/>
  <c r="Y423" i="7"/>
  <c r="Y427" i="7"/>
  <c r="Y431" i="7"/>
  <c r="Y451" i="7"/>
  <c r="Y455" i="7"/>
  <c r="Y424" i="7"/>
  <c r="Y428" i="7"/>
  <c r="Y448" i="7"/>
  <c r="Y452" i="7"/>
  <c r="Y456" i="7"/>
  <c r="Y559" i="7"/>
  <c r="Y553" i="7"/>
  <c r="Z566" i="7"/>
  <c r="X550" i="7"/>
  <c r="AF6" i="7" l="1"/>
  <c r="AF511" i="7"/>
  <c r="AF33" i="7"/>
  <c r="AF29" i="7"/>
  <c r="AF537" i="7"/>
  <c r="AF519" i="7"/>
  <c r="AF515" i="7"/>
  <c r="AF507" i="7"/>
  <c r="AF675" i="7"/>
  <c r="AF20" i="7"/>
  <c r="AF538" i="7"/>
  <c r="AF36" i="7"/>
  <c r="AF26" i="7"/>
  <c r="AF23" i="7"/>
  <c r="AF35" i="7" s="1"/>
  <c r="AG2" i="7"/>
  <c r="X529" i="7"/>
  <c r="X76" i="7"/>
  <c r="X77" i="7" s="1"/>
  <c r="Y532" i="7"/>
  <c r="Y76" i="7" s="1"/>
  <c r="Y77" i="7" s="1"/>
  <c r="Z542" i="7"/>
  <c r="Z543" i="7" s="1"/>
  <c r="Z262" i="7"/>
  <c r="Z396" i="7" s="1"/>
  <c r="AA569" i="7"/>
  <c r="AA540" i="7"/>
  <c r="AA541" i="7"/>
  <c r="Z166" i="7"/>
  <c r="Z130" i="7"/>
  <c r="Z51" i="7"/>
  <c r="AA558" i="7"/>
  <c r="AA568" i="7"/>
  <c r="AA567" i="7"/>
  <c r="AA560" i="7"/>
  <c r="AA533" i="7"/>
  <c r="AA545" i="7"/>
  <c r="AA544" i="7"/>
  <c r="AA555" i="7" s="1"/>
  <c r="Y550" i="7"/>
  <c r="AA670" i="7"/>
  <c r="AA668" i="7"/>
  <c r="AA667" i="7"/>
  <c r="AA666" i="7"/>
  <c r="AA664" i="7"/>
  <c r="AA663" i="7"/>
  <c r="AA322" i="7"/>
  <c r="AA321" i="7"/>
  <c r="AA320" i="7"/>
  <c r="AA319" i="7"/>
  <c r="AA318" i="7"/>
  <c r="AA317" i="7"/>
  <c r="AA316" i="7"/>
  <c r="AA315" i="7"/>
  <c r="AA661" i="7"/>
  <c r="AA313" i="7"/>
  <c r="AA296" i="7"/>
  <c r="AA295" i="7"/>
  <c r="AA294" i="7"/>
  <c r="AA293" i="7"/>
  <c r="AA292" i="7"/>
  <c r="AA291" i="7"/>
  <c r="AA290" i="7"/>
  <c r="AA314" i="7"/>
  <c r="AA638" i="7"/>
  <c r="AA637" i="7"/>
  <c r="AA636" i="7"/>
  <c r="AA635" i="7"/>
  <c r="AA634" i="7"/>
  <c r="AA633" i="7"/>
  <c r="AA632" i="7"/>
  <c r="AA631" i="7"/>
  <c r="AA629" i="7"/>
  <c r="AA271" i="7"/>
  <c r="AA270" i="7"/>
  <c r="AA269" i="7"/>
  <c r="AA268" i="7"/>
  <c r="AA267" i="7"/>
  <c r="AA266" i="7"/>
  <c r="AA289" i="7"/>
  <c r="AA288" i="7"/>
  <c r="AA287" i="7"/>
  <c r="AA606" i="7"/>
  <c r="AA605" i="7"/>
  <c r="AA604" i="7"/>
  <c r="AA603" i="7"/>
  <c r="AA602" i="7"/>
  <c r="AA601" i="7"/>
  <c r="AA600" i="7"/>
  <c r="AA598" i="7"/>
  <c r="AA597" i="7"/>
  <c r="AA264" i="7"/>
  <c r="AA265" i="7"/>
  <c r="AA263" i="7"/>
  <c r="AA480" i="7"/>
  <c r="AA481" i="7" s="1"/>
  <c r="AA474" i="7"/>
  <c r="AA475" i="7" s="1"/>
  <c r="AA378" i="7"/>
  <c r="AA377" i="7"/>
  <c r="AA376" i="7"/>
  <c r="AA375" i="7"/>
  <c r="AA374" i="7"/>
  <c r="AA373" i="7"/>
  <c r="AA391" i="7"/>
  <c r="AA257" i="7"/>
  <c r="AA244" i="7"/>
  <c r="AA243" i="7"/>
  <c r="AA242" i="7"/>
  <c r="AA241" i="7"/>
  <c r="AA240" i="7"/>
  <c r="AA239" i="7"/>
  <c r="AA28" i="7"/>
  <c r="Z403" i="7"/>
  <c r="Z401" i="7"/>
  <c r="Z400" i="7"/>
  <c r="Z404" i="7"/>
  <c r="Z424" i="7"/>
  <c r="Z428" i="7"/>
  <c r="Z448" i="7"/>
  <c r="Z452" i="7"/>
  <c r="Z456" i="7"/>
  <c r="Z425" i="7"/>
  <c r="Z429" i="7"/>
  <c r="Z449" i="7"/>
  <c r="Z453" i="7"/>
  <c r="Z457" i="7"/>
  <c r="Z559" i="7"/>
  <c r="Z553" i="7"/>
  <c r="AA566" i="7"/>
  <c r="Z30" i="7"/>
  <c r="Z57" i="7"/>
  <c r="Z595" i="7"/>
  <c r="Z580" i="7" s="1"/>
  <c r="Z64" i="7" s="1"/>
  <c r="Z627" i="7"/>
  <c r="Z612" i="7" s="1"/>
  <c r="Z65" i="7" s="1"/>
  <c r="Z659" i="7"/>
  <c r="Z644" i="7" s="1"/>
  <c r="Z66" i="7" s="1"/>
  <c r="Z399" i="7"/>
  <c r="Z258" i="7"/>
  <c r="Z397" i="7"/>
  <c r="Z405" i="7"/>
  <c r="Z398" i="7"/>
  <c r="Z402" i="7"/>
  <c r="Z422" i="7"/>
  <c r="Z426" i="7"/>
  <c r="Z430" i="7"/>
  <c r="Z450" i="7"/>
  <c r="Z454" i="7"/>
  <c r="Z392" i="7"/>
  <c r="Z423" i="7"/>
  <c r="Z427" i="7"/>
  <c r="Z431" i="7"/>
  <c r="Z451" i="7"/>
  <c r="Z455" i="7"/>
  <c r="Y67" i="7"/>
  <c r="AG6" i="7" l="1"/>
  <c r="AG511" i="7"/>
  <c r="AG33" i="7"/>
  <c r="AG29" i="7"/>
  <c r="AG519" i="7"/>
  <c r="AG515" i="7"/>
  <c r="AG507" i="7"/>
  <c r="AG675" i="7"/>
  <c r="AG538" i="7"/>
  <c r="AG36" i="7"/>
  <c r="AG26" i="7"/>
  <c r="AG537" i="7"/>
  <c r="AG20" i="7"/>
  <c r="AG23" i="7"/>
  <c r="AG35" i="7" s="1"/>
  <c r="E41" i="1"/>
  <c r="F41" i="1" s="1"/>
  <c r="AH2" i="7"/>
  <c r="AA262" i="7"/>
  <c r="E42" i="1"/>
  <c r="F42" i="1" s="1"/>
  <c r="Y534" i="7"/>
  <c r="Z532" i="7"/>
  <c r="Z76" i="7" s="1"/>
  <c r="Z77" i="7" s="1"/>
  <c r="Y529" i="7"/>
  <c r="AA542" i="7"/>
  <c r="AA543" i="7" s="1"/>
  <c r="AB574" i="7"/>
  <c r="AB541" i="7"/>
  <c r="AB569" i="7"/>
  <c r="AB540" i="7"/>
  <c r="AA166" i="7"/>
  <c r="AA130" i="7"/>
  <c r="AA51" i="7"/>
  <c r="AB558" i="7"/>
  <c r="AB568" i="7"/>
  <c r="AB567" i="7"/>
  <c r="AA627" i="7"/>
  <c r="AA612" i="7" s="1"/>
  <c r="AA65" i="7" s="1"/>
  <c r="AA595" i="7"/>
  <c r="AA580" i="7" s="1"/>
  <c r="AA64" i="7" s="1"/>
  <c r="AB560" i="7"/>
  <c r="AB533" i="7"/>
  <c r="AB545" i="7"/>
  <c r="AB544" i="7"/>
  <c r="AB555" i="7" s="1"/>
  <c r="AA57" i="7"/>
  <c r="AB670" i="7"/>
  <c r="AB668" i="7"/>
  <c r="AB667" i="7"/>
  <c r="AB665" i="7"/>
  <c r="AB664" i="7"/>
  <c r="AB663" i="7"/>
  <c r="AB661" i="7"/>
  <c r="AB322" i="7"/>
  <c r="AB321" i="7"/>
  <c r="AB320" i="7"/>
  <c r="AB319" i="7"/>
  <c r="AB318" i="7"/>
  <c r="AB317" i="7"/>
  <c r="AB316" i="7"/>
  <c r="AB315" i="7"/>
  <c r="AB314" i="7"/>
  <c r="AB313" i="7"/>
  <c r="AB638" i="7"/>
  <c r="AB637" i="7"/>
  <c r="AB636" i="7"/>
  <c r="AB635" i="7"/>
  <c r="AB634" i="7"/>
  <c r="AB633" i="7"/>
  <c r="AB632" i="7"/>
  <c r="AB631" i="7"/>
  <c r="AB629" i="7"/>
  <c r="AB296" i="7"/>
  <c r="AB295" i="7"/>
  <c r="AB294" i="7"/>
  <c r="AB293" i="7"/>
  <c r="AB292" i="7"/>
  <c r="AB291" i="7"/>
  <c r="AB290" i="7"/>
  <c r="AB289" i="7"/>
  <c r="AB288" i="7"/>
  <c r="AB287" i="7"/>
  <c r="AB606" i="7"/>
  <c r="AB605" i="7"/>
  <c r="AB604" i="7"/>
  <c r="AB603" i="7"/>
  <c r="AB602" i="7"/>
  <c r="AB601" i="7"/>
  <c r="AB600" i="7"/>
  <c r="AB598" i="7"/>
  <c r="AB597" i="7"/>
  <c r="AB271" i="7"/>
  <c r="AB270" i="7"/>
  <c r="AB269" i="7"/>
  <c r="AB268" i="7"/>
  <c r="AB267" i="7"/>
  <c r="AB266" i="7"/>
  <c r="AB265" i="7"/>
  <c r="AB264" i="7"/>
  <c r="AB263" i="7"/>
  <c r="AB262" i="7"/>
  <c r="AB480" i="7"/>
  <c r="AB481" i="7" s="1"/>
  <c r="AB474" i="7"/>
  <c r="AB475" i="7" s="1"/>
  <c r="AB391" i="7"/>
  <c r="AB378" i="7"/>
  <c r="AB377" i="7"/>
  <c r="AB376" i="7"/>
  <c r="AB375" i="7"/>
  <c r="AB374" i="7"/>
  <c r="AB373" i="7"/>
  <c r="AB257" i="7"/>
  <c r="AB244" i="7"/>
  <c r="AB243" i="7"/>
  <c r="AB242" i="7"/>
  <c r="AB241" i="7"/>
  <c r="AB240" i="7"/>
  <c r="AB239" i="7"/>
  <c r="AB28" i="7"/>
  <c r="AA402" i="7"/>
  <c r="AA396" i="7"/>
  <c r="AA404" i="7"/>
  <c r="AA399" i="7"/>
  <c r="AA403" i="7"/>
  <c r="AA423" i="7"/>
  <c r="AA427" i="7"/>
  <c r="AA431" i="7"/>
  <c r="AA451" i="7"/>
  <c r="AA455" i="7"/>
  <c r="AA424" i="7"/>
  <c r="AA428" i="7"/>
  <c r="AA448" i="7"/>
  <c r="AA452" i="7"/>
  <c r="AA456" i="7"/>
  <c r="AA559" i="7"/>
  <c r="AA553" i="7"/>
  <c r="AB566" i="7"/>
  <c r="Z67" i="7"/>
  <c r="AA30" i="7"/>
  <c r="AA659" i="7"/>
  <c r="AA644" i="7" s="1"/>
  <c r="AA66" i="7" s="1"/>
  <c r="Z550" i="7"/>
  <c r="AA258" i="7"/>
  <c r="AA398" i="7"/>
  <c r="AA400" i="7"/>
  <c r="AA397" i="7"/>
  <c r="AA401" i="7"/>
  <c r="AA405" i="7"/>
  <c r="AA425" i="7"/>
  <c r="AA429" i="7"/>
  <c r="AA449" i="7"/>
  <c r="AA453" i="7"/>
  <c r="AA457" i="7"/>
  <c r="AA422" i="7"/>
  <c r="AA426" i="7"/>
  <c r="AA430" i="7"/>
  <c r="AA450" i="7"/>
  <c r="AA454" i="7"/>
  <c r="AA392" i="7"/>
  <c r="AH6" i="7" l="1"/>
  <c r="AH511" i="7"/>
  <c r="AH33" i="7"/>
  <c r="AH29" i="7"/>
  <c r="AH537" i="7"/>
  <c r="AH519" i="7"/>
  <c r="AH515" i="7"/>
  <c r="AH507" i="7"/>
  <c r="AH675" i="7"/>
  <c r="AH36" i="7"/>
  <c r="AH26" i="7"/>
  <c r="AH20" i="7"/>
  <c r="AH538" i="7"/>
  <c r="AH23" i="7"/>
  <c r="AH35" i="7" s="1"/>
  <c r="AI2" i="7"/>
  <c r="Z534" i="7"/>
  <c r="Z529" i="7"/>
  <c r="AA532" i="7"/>
  <c r="AA76" i="7" s="1"/>
  <c r="AA77" i="7" s="1"/>
  <c r="AB542" i="7"/>
  <c r="AB543" i="7" s="1"/>
  <c r="AC574" i="7"/>
  <c r="AC569" i="7"/>
  <c r="AC540" i="7"/>
  <c r="AC541" i="7"/>
  <c r="AB166" i="7"/>
  <c r="AB130" i="7"/>
  <c r="AB51" i="7"/>
  <c r="AC558" i="7"/>
  <c r="AA67" i="7"/>
  <c r="AC568" i="7"/>
  <c r="AC567" i="7"/>
  <c r="AB595" i="7"/>
  <c r="AB580" i="7" s="1"/>
  <c r="AB64" i="7" s="1"/>
  <c r="AB659" i="7"/>
  <c r="AB644" i="7" s="1"/>
  <c r="AB66" i="7" s="1"/>
  <c r="AB30" i="7"/>
  <c r="AC560" i="7"/>
  <c r="AC533" i="7"/>
  <c r="AC545" i="7"/>
  <c r="AC544" i="7"/>
  <c r="AC555" i="7" s="1"/>
  <c r="AB627" i="7"/>
  <c r="AB612" i="7" s="1"/>
  <c r="AB65" i="7" s="1"/>
  <c r="AB57" i="7"/>
  <c r="AC670" i="7"/>
  <c r="AC668" i="7"/>
  <c r="AC667" i="7"/>
  <c r="AC665" i="7"/>
  <c r="AC664" i="7"/>
  <c r="AC663" i="7"/>
  <c r="AC322" i="7"/>
  <c r="AC321" i="7"/>
  <c r="AC320" i="7"/>
  <c r="AC319" i="7"/>
  <c r="AC318" i="7"/>
  <c r="AC317" i="7"/>
  <c r="AC316" i="7"/>
  <c r="AC315" i="7"/>
  <c r="AC661" i="7"/>
  <c r="AC314" i="7"/>
  <c r="AC296" i="7"/>
  <c r="AC295" i="7"/>
  <c r="AC294" i="7"/>
  <c r="AC293" i="7"/>
  <c r="AC292" i="7"/>
  <c r="AC291" i="7"/>
  <c r="AC290" i="7"/>
  <c r="AC313" i="7"/>
  <c r="AC638" i="7"/>
  <c r="AC637" i="7"/>
  <c r="AC636" i="7"/>
  <c r="AC635" i="7"/>
  <c r="AC634" i="7"/>
  <c r="AC633" i="7"/>
  <c r="AC632" i="7"/>
  <c r="AC631" i="7"/>
  <c r="AC629" i="7"/>
  <c r="AC289" i="7"/>
  <c r="AC271" i="7"/>
  <c r="AC270" i="7"/>
  <c r="AC269" i="7"/>
  <c r="AC268" i="7"/>
  <c r="AC267" i="7"/>
  <c r="AC266" i="7"/>
  <c r="AC288" i="7"/>
  <c r="AC287" i="7"/>
  <c r="AC606" i="7"/>
  <c r="AC605" i="7"/>
  <c r="AC604" i="7"/>
  <c r="AC603" i="7"/>
  <c r="AC602" i="7"/>
  <c r="AC601" i="7"/>
  <c r="AC600" i="7"/>
  <c r="AC598" i="7"/>
  <c r="AC597" i="7"/>
  <c r="AC265" i="7"/>
  <c r="AC264" i="7"/>
  <c r="AC263" i="7"/>
  <c r="AC262" i="7"/>
  <c r="AC480" i="7"/>
  <c r="AC481" i="7" s="1"/>
  <c r="AC474" i="7"/>
  <c r="AC475" i="7" s="1"/>
  <c r="AC378" i="7"/>
  <c r="AC377" i="7"/>
  <c r="AC376" i="7"/>
  <c r="AC375" i="7"/>
  <c r="AC374" i="7"/>
  <c r="AC373" i="7"/>
  <c r="AC391" i="7"/>
  <c r="AC257" i="7"/>
  <c r="AC244" i="7"/>
  <c r="AC243" i="7"/>
  <c r="AC242" i="7"/>
  <c r="AC241" i="7"/>
  <c r="AC240" i="7"/>
  <c r="AC239" i="7"/>
  <c r="AC28" i="7"/>
  <c r="AB401" i="7"/>
  <c r="AB258" i="7"/>
  <c r="AB399" i="7"/>
  <c r="AB398" i="7"/>
  <c r="AB402" i="7"/>
  <c r="AB422" i="7"/>
  <c r="AB426" i="7"/>
  <c r="AB430" i="7"/>
  <c r="AB450" i="7"/>
  <c r="AB454" i="7"/>
  <c r="AB392" i="7"/>
  <c r="AB423" i="7"/>
  <c r="AB427" i="7"/>
  <c r="AB431" i="7"/>
  <c r="AB451" i="7"/>
  <c r="AB455" i="7"/>
  <c r="AA550" i="7"/>
  <c r="AB397" i="7"/>
  <c r="AB405" i="7"/>
  <c r="AB403" i="7"/>
  <c r="AB396" i="7"/>
  <c r="AB400" i="7"/>
  <c r="AB404" i="7"/>
  <c r="AB424" i="7"/>
  <c r="AB428" i="7"/>
  <c r="AB448" i="7"/>
  <c r="AB452" i="7"/>
  <c r="AB456" i="7"/>
  <c r="AB425" i="7"/>
  <c r="AB429" i="7"/>
  <c r="AB449" i="7"/>
  <c r="AB453" i="7"/>
  <c r="AB457" i="7"/>
  <c r="AB559" i="7"/>
  <c r="AB553" i="7"/>
  <c r="AC566" i="7"/>
  <c r="E43" i="1" l="1"/>
  <c r="F43" i="1" s="1"/>
  <c r="AI6" i="7"/>
  <c r="AI519" i="7"/>
  <c r="AI515" i="7"/>
  <c r="AI507" i="7"/>
  <c r="AI675" i="7"/>
  <c r="AI511" i="7"/>
  <c r="AI33" i="7"/>
  <c r="AI29" i="7"/>
  <c r="AI537" i="7"/>
  <c r="AI26" i="7"/>
  <c r="AI20" i="7"/>
  <c r="AI538" i="7"/>
  <c r="AI36" i="7"/>
  <c r="AI23" i="7"/>
  <c r="AI35" i="7" s="1"/>
  <c r="AJ2" i="7"/>
  <c r="AA534" i="7"/>
  <c r="AA529" i="7"/>
  <c r="AB532" i="7"/>
  <c r="AB76" i="7" s="1"/>
  <c r="AB77" i="7" s="1"/>
  <c r="AC542" i="7"/>
  <c r="AC543" i="7" s="1"/>
  <c r="AD574" i="7"/>
  <c r="AD541" i="7"/>
  <c r="AD569" i="7"/>
  <c r="AD540" i="7"/>
  <c r="AC166" i="7"/>
  <c r="AC130" i="7"/>
  <c r="AC51" i="7"/>
  <c r="AD558" i="7"/>
  <c r="AD568" i="7"/>
  <c r="AD567" i="7"/>
  <c r="AB67" i="7"/>
  <c r="AC659" i="7"/>
  <c r="AC644" i="7" s="1"/>
  <c r="AC66" i="7" s="1"/>
  <c r="AC30" i="7"/>
  <c r="AD560" i="7"/>
  <c r="AD533" i="7"/>
  <c r="AD545" i="7"/>
  <c r="AD544" i="7"/>
  <c r="AD555" i="7" s="1"/>
  <c r="AB550" i="7"/>
  <c r="AD669" i="7"/>
  <c r="AD668" i="7"/>
  <c r="AD667" i="7"/>
  <c r="AD665" i="7"/>
  <c r="AD664" i="7"/>
  <c r="AD663" i="7"/>
  <c r="AD661" i="7"/>
  <c r="AD322" i="7"/>
  <c r="AD321" i="7"/>
  <c r="AD320" i="7"/>
  <c r="AD319" i="7"/>
  <c r="AD318" i="7"/>
  <c r="AD317" i="7"/>
  <c r="AD316" i="7"/>
  <c r="AD315" i="7"/>
  <c r="AD314" i="7"/>
  <c r="AD313" i="7"/>
  <c r="AD638" i="7"/>
  <c r="AD637" i="7"/>
  <c r="AD636" i="7"/>
  <c r="AD635" i="7"/>
  <c r="AD634" i="7"/>
  <c r="AD633" i="7"/>
  <c r="AD632" i="7"/>
  <c r="AD631" i="7"/>
  <c r="AD629" i="7"/>
  <c r="AD296" i="7"/>
  <c r="AD295" i="7"/>
  <c r="AD294" i="7"/>
  <c r="AD293" i="7"/>
  <c r="AD292" i="7"/>
  <c r="AD291" i="7"/>
  <c r="AD290" i="7"/>
  <c r="AD289" i="7"/>
  <c r="AD288" i="7"/>
  <c r="AD287" i="7"/>
  <c r="AD606" i="7"/>
  <c r="AD605" i="7"/>
  <c r="AD604" i="7"/>
  <c r="AD603" i="7"/>
  <c r="AD602" i="7"/>
  <c r="AD601" i="7"/>
  <c r="AD600" i="7"/>
  <c r="AD598" i="7"/>
  <c r="AD597" i="7"/>
  <c r="AD271" i="7"/>
  <c r="AD270" i="7"/>
  <c r="AD269" i="7"/>
  <c r="AD268" i="7"/>
  <c r="AD267" i="7"/>
  <c r="AD266" i="7"/>
  <c r="AD265" i="7"/>
  <c r="AD264" i="7"/>
  <c r="AD263" i="7"/>
  <c r="AD262" i="7"/>
  <c r="AD480" i="7"/>
  <c r="AD481" i="7" s="1"/>
  <c r="AD474" i="7"/>
  <c r="AD475" i="7" s="1"/>
  <c r="AD391" i="7"/>
  <c r="AD378" i="7"/>
  <c r="AD377" i="7"/>
  <c r="AD376" i="7"/>
  <c r="AD375" i="7"/>
  <c r="AD374" i="7"/>
  <c r="AD373" i="7"/>
  <c r="AD257" i="7"/>
  <c r="AD244" i="7"/>
  <c r="AD243" i="7"/>
  <c r="AD242" i="7"/>
  <c r="AD241" i="7"/>
  <c r="AD240" i="7"/>
  <c r="AD239" i="7"/>
  <c r="AD28" i="7"/>
  <c r="AC258" i="7"/>
  <c r="AC400" i="7"/>
  <c r="AC398" i="7"/>
  <c r="AC397" i="7"/>
  <c r="AC401" i="7"/>
  <c r="AC405" i="7"/>
  <c r="AC425" i="7"/>
  <c r="AC429" i="7"/>
  <c r="AC449" i="7"/>
  <c r="AC453" i="7"/>
  <c r="AC457" i="7"/>
  <c r="AC422" i="7"/>
  <c r="AC426" i="7"/>
  <c r="AC430" i="7"/>
  <c r="AC450" i="7"/>
  <c r="AC454" i="7"/>
  <c r="AC392" i="7"/>
  <c r="AC57" i="7"/>
  <c r="AC595" i="7"/>
  <c r="AC580" i="7" s="1"/>
  <c r="AC64" i="7" s="1"/>
  <c r="AC627" i="7"/>
  <c r="AC612" i="7" s="1"/>
  <c r="AC65" i="7" s="1"/>
  <c r="AC396" i="7"/>
  <c r="AC404" i="7"/>
  <c r="AC402" i="7"/>
  <c r="AC399" i="7"/>
  <c r="AC403" i="7"/>
  <c r="AC423" i="7"/>
  <c r="AC427" i="7"/>
  <c r="AC431" i="7"/>
  <c r="AC451" i="7"/>
  <c r="AC455" i="7"/>
  <c r="AC424" i="7"/>
  <c r="AC428" i="7"/>
  <c r="AC448" i="7"/>
  <c r="AC452" i="7"/>
  <c r="AC456" i="7"/>
  <c r="AC559" i="7"/>
  <c r="AC553" i="7"/>
  <c r="AD566" i="7"/>
  <c r="AJ6" i="7" l="1"/>
  <c r="AJ511" i="7"/>
  <c r="AJ33" i="7"/>
  <c r="AJ29" i="7"/>
  <c r="AJ537" i="7"/>
  <c r="AJ519" i="7"/>
  <c r="AJ515" i="7"/>
  <c r="AJ507" i="7"/>
  <c r="AJ675" i="7"/>
  <c r="AJ20" i="7"/>
  <c r="AJ538" i="7"/>
  <c r="AJ36" i="7"/>
  <c r="AJ26" i="7"/>
  <c r="AJ23" i="7"/>
  <c r="AJ35" i="7" s="1"/>
  <c r="E44" i="1"/>
  <c r="F44" i="1" s="1"/>
  <c r="AK2" i="7"/>
  <c r="E45" i="1" s="1"/>
  <c r="F45" i="1" s="1"/>
  <c r="AB529" i="7"/>
  <c r="AB534" i="7"/>
  <c r="AC532" i="7"/>
  <c r="AC76" i="7" s="1"/>
  <c r="AC77" i="7" s="1"/>
  <c r="AD542" i="7"/>
  <c r="AD543" i="7" s="1"/>
  <c r="AE574" i="7"/>
  <c r="AE569" i="7"/>
  <c r="AE540" i="7"/>
  <c r="AE541" i="7"/>
  <c r="AD166" i="7"/>
  <c r="AD130" i="7"/>
  <c r="AD51" i="7"/>
  <c r="AE558" i="7"/>
  <c r="AE568" i="7"/>
  <c r="AE567" i="7"/>
  <c r="AE560" i="7"/>
  <c r="AE533" i="7"/>
  <c r="AE545" i="7"/>
  <c r="AE544" i="7"/>
  <c r="AE555" i="7" s="1"/>
  <c r="AC550" i="7"/>
  <c r="AE669" i="7"/>
  <c r="AE668" i="7"/>
  <c r="AE667" i="7"/>
  <c r="AE665" i="7"/>
  <c r="AE664" i="7"/>
  <c r="AE663" i="7"/>
  <c r="AE661" i="7"/>
  <c r="AE322" i="7"/>
  <c r="AE321" i="7"/>
  <c r="AE320" i="7"/>
  <c r="AE319" i="7"/>
  <c r="AE318" i="7"/>
  <c r="AE317" i="7"/>
  <c r="AE316" i="7"/>
  <c r="AE315" i="7"/>
  <c r="AE313" i="7"/>
  <c r="AE296" i="7"/>
  <c r="AE295" i="7"/>
  <c r="AE294" i="7"/>
  <c r="AE293" i="7"/>
  <c r="AE292" i="7"/>
  <c r="AE291" i="7"/>
  <c r="AE290" i="7"/>
  <c r="AE314" i="7"/>
  <c r="AE638" i="7"/>
  <c r="AE637" i="7"/>
  <c r="AE636" i="7"/>
  <c r="AE635" i="7"/>
  <c r="AE634" i="7"/>
  <c r="AE633" i="7"/>
  <c r="AE632" i="7"/>
  <c r="AE631" i="7"/>
  <c r="AE629" i="7"/>
  <c r="AE271" i="7"/>
  <c r="AE270" i="7"/>
  <c r="AE269" i="7"/>
  <c r="AE268" i="7"/>
  <c r="AE267" i="7"/>
  <c r="AE266" i="7"/>
  <c r="AE289" i="7"/>
  <c r="AE288" i="7"/>
  <c r="AE287" i="7"/>
  <c r="AE606" i="7"/>
  <c r="AE605" i="7"/>
  <c r="AE604" i="7"/>
  <c r="AE603" i="7"/>
  <c r="AE602" i="7"/>
  <c r="AE601" i="7"/>
  <c r="AE600" i="7"/>
  <c r="AE598" i="7"/>
  <c r="AE597" i="7"/>
  <c r="AE264" i="7"/>
  <c r="AE265" i="7"/>
  <c r="AE263" i="7"/>
  <c r="AE262" i="7"/>
  <c r="AE480" i="7"/>
  <c r="AE481" i="7" s="1"/>
  <c r="AE474" i="7"/>
  <c r="AE475" i="7" s="1"/>
  <c r="AE378" i="7"/>
  <c r="AE377" i="7"/>
  <c r="AE376" i="7"/>
  <c r="AE375" i="7"/>
  <c r="AE374" i="7"/>
  <c r="AE373" i="7"/>
  <c r="AE391" i="7"/>
  <c r="AE257" i="7"/>
  <c r="AE244" i="7"/>
  <c r="AE243" i="7"/>
  <c r="AE242" i="7"/>
  <c r="AE241" i="7"/>
  <c r="AE240" i="7"/>
  <c r="AE239" i="7"/>
  <c r="AE28" i="7"/>
  <c r="AD399" i="7"/>
  <c r="AD258" i="7"/>
  <c r="AD397" i="7"/>
  <c r="AD405" i="7"/>
  <c r="AD396" i="7"/>
  <c r="AD400" i="7"/>
  <c r="AD404" i="7"/>
  <c r="AD424" i="7"/>
  <c r="AD428" i="7"/>
  <c r="AD448" i="7"/>
  <c r="AD452" i="7"/>
  <c r="AD456" i="7"/>
  <c r="AD425" i="7"/>
  <c r="AD429" i="7"/>
  <c r="AD449" i="7"/>
  <c r="AD453" i="7"/>
  <c r="AD457" i="7"/>
  <c r="AD559" i="7"/>
  <c r="AD553" i="7"/>
  <c r="AE566" i="7"/>
  <c r="AD30" i="7"/>
  <c r="AD57" i="7"/>
  <c r="AD595" i="7"/>
  <c r="AD580" i="7" s="1"/>
  <c r="AD64" i="7" s="1"/>
  <c r="AD627" i="7"/>
  <c r="AD612" i="7" s="1"/>
  <c r="AD65" i="7" s="1"/>
  <c r="AD659" i="7"/>
  <c r="AD644" i="7" s="1"/>
  <c r="AD66" i="7" s="1"/>
  <c r="AD403" i="7"/>
  <c r="AD401" i="7"/>
  <c r="AD398" i="7"/>
  <c r="AD402" i="7"/>
  <c r="AD422" i="7"/>
  <c r="AD426" i="7"/>
  <c r="AD430" i="7"/>
  <c r="AD450" i="7"/>
  <c r="AD454" i="7"/>
  <c r="AD392" i="7"/>
  <c r="AD423" i="7"/>
  <c r="AD427" i="7"/>
  <c r="AD431" i="7"/>
  <c r="AD451" i="7"/>
  <c r="AD455" i="7"/>
  <c r="AC67" i="7"/>
  <c r="AK6" i="7" l="1"/>
  <c r="AK511" i="7"/>
  <c r="AK33" i="7"/>
  <c r="AK29" i="7"/>
  <c r="AK519" i="7"/>
  <c r="AK515" i="7"/>
  <c r="AK507" i="7"/>
  <c r="AK675" i="7"/>
  <c r="AK538" i="7"/>
  <c r="AK537" i="7"/>
  <c r="AK36" i="7"/>
  <c r="AK26" i="7"/>
  <c r="AK20" i="7"/>
  <c r="AK23" i="7"/>
  <c r="AK35" i="7" s="1"/>
  <c r="AL2" i="7"/>
  <c r="AC529" i="7"/>
  <c r="AC534" i="7"/>
  <c r="AD532" i="7"/>
  <c r="AD76" i="7" s="1"/>
  <c r="AD77" i="7" s="1"/>
  <c r="AE542" i="7"/>
  <c r="AE543" i="7" s="1"/>
  <c r="AF541" i="7"/>
  <c r="AF569" i="7"/>
  <c r="AF540" i="7"/>
  <c r="AE166" i="7"/>
  <c r="AE130" i="7"/>
  <c r="AE51" i="7"/>
  <c r="AF558" i="7"/>
  <c r="AF568" i="7"/>
  <c r="AF567" i="7"/>
  <c r="AF560" i="7"/>
  <c r="AF533" i="7"/>
  <c r="AF545" i="7"/>
  <c r="AF544" i="7"/>
  <c r="AF555" i="7" s="1"/>
  <c r="AE595" i="7"/>
  <c r="AE580" i="7" s="1"/>
  <c r="AE64" i="7" s="1"/>
  <c r="AE627" i="7"/>
  <c r="AE612" i="7" s="1"/>
  <c r="AE65" i="7" s="1"/>
  <c r="AE57" i="7"/>
  <c r="AE402" i="7"/>
  <c r="AE396" i="7"/>
  <c r="AE404" i="7"/>
  <c r="AE399" i="7"/>
  <c r="AE403" i="7"/>
  <c r="AE423" i="7"/>
  <c r="AE427" i="7"/>
  <c r="AE431" i="7"/>
  <c r="AE451" i="7"/>
  <c r="AE455" i="7"/>
  <c r="AE424" i="7"/>
  <c r="AE428" i="7"/>
  <c r="AE448" i="7"/>
  <c r="AE452" i="7"/>
  <c r="AE456" i="7"/>
  <c r="AE559" i="7"/>
  <c r="AE553" i="7"/>
  <c r="AF566" i="7"/>
  <c r="AE30" i="7"/>
  <c r="AE659" i="7"/>
  <c r="AE644" i="7" s="1"/>
  <c r="AE66" i="7" s="1"/>
  <c r="AD550" i="7"/>
  <c r="AF669" i="7"/>
  <c r="AF668" i="7"/>
  <c r="AF667" i="7"/>
  <c r="AF665" i="7"/>
  <c r="AF664" i="7"/>
  <c r="AF663" i="7"/>
  <c r="AF661" i="7"/>
  <c r="AF322" i="7"/>
  <c r="AF321" i="7"/>
  <c r="AF320" i="7"/>
  <c r="AF319" i="7"/>
  <c r="AF318" i="7"/>
  <c r="AF317" i="7"/>
  <c r="AF316" i="7"/>
  <c r="AF315" i="7"/>
  <c r="AF314" i="7"/>
  <c r="AF313" i="7"/>
  <c r="AF638" i="7"/>
  <c r="AF637" i="7"/>
  <c r="AF636" i="7"/>
  <c r="AF635" i="7"/>
  <c r="AF634" i="7"/>
  <c r="AF633" i="7"/>
  <c r="AF632" i="7"/>
  <c r="AF631" i="7"/>
  <c r="AF629" i="7"/>
  <c r="AF296" i="7"/>
  <c r="AF295" i="7"/>
  <c r="AF294" i="7"/>
  <c r="AF293" i="7"/>
  <c r="AF292" i="7"/>
  <c r="AF291" i="7"/>
  <c r="AF290" i="7"/>
  <c r="AF289" i="7"/>
  <c r="AF288" i="7"/>
  <c r="AF287" i="7"/>
  <c r="AF606" i="7"/>
  <c r="AF605" i="7"/>
  <c r="AF604" i="7"/>
  <c r="AF603" i="7"/>
  <c r="AF602" i="7"/>
  <c r="AF601" i="7"/>
  <c r="AF600" i="7"/>
  <c r="AF598" i="7"/>
  <c r="AF597" i="7"/>
  <c r="AF271" i="7"/>
  <c r="AF270" i="7"/>
  <c r="AF269" i="7"/>
  <c r="AF268" i="7"/>
  <c r="AF267" i="7"/>
  <c r="AF266" i="7"/>
  <c r="AF265" i="7"/>
  <c r="AF264" i="7"/>
  <c r="AF263" i="7"/>
  <c r="AF262" i="7"/>
  <c r="AF480" i="7"/>
  <c r="AF481" i="7" s="1"/>
  <c r="AF474" i="7"/>
  <c r="AF475" i="7" s="1"/>
  <c r="AF391" i="7"/>
  <c r="AF378" i="7"/>
  <c r="AF377" i="7"/>
  <c r="AF376" i="7"/>
  <c r="AF375" i="7"/>
  <c r="AF374" i="7"/>
  <c r="AF373" i="7"/>
  <c r="AF257" i="7"/>
  <c r="AF244" i="7"/>
  <c r="AF243" i="7"/>
  <c r="AF242" i="7"/>
  <c r="AF241" i="7"/>
  <c r="AF240" i="7"/>
  <c r="AF239" i="7"/>
  <c r="AF28" i="7"/>
  <c r="AE258" i="7"/>
  <c r="AE398" i="7"/>
  <c r="AE400" i="7"/>
  <c r="AE397" i="7"/>
  <c r="AE401" i="7"/>
  <c r="AE405" i="7"/>
  <c r="AE425" i="7"/>
  <c r="AE429" i="7"/>
  <c r="AE449" i="7"/>
  <c r="AE453" i="7"/>
  <c r="AE457" i="7"/>
  <c r="AE422" i="7"/>
  <c r="AE426" i="7"/>
  <c r="AE430" i="7"/>
  <c r="AE450" i="7"/>
  <c r="AE454" i="7"/>
  <c r="AE392" i="7"/>
  <c r="AD67" i="7"/>
  <c r="C138" i="1"/>
  <c r="AL6" i="7" l="1"/>
  <c r="AL511" i="7"/>
  <c r="AL33" i="7"/>
  <c r="AL29" i="7"/>
  <c r="AL537" i="7"/>
  <c r="AL519" i="7"/>
  <c r="AL515" i="7"/>
  <c r="AL507" i="7"/>
  <c r="AL675" i="7"/>
  <c r="AL36" i="7"/>
  <c r="AL26" i="7"/>
  <c r="AL20" i="7"/>
  <c r="AL538" i="7"/>
  <c r="AL23" i="7"/>
  <c r="AL35" i="7" s="1"/>
  <c r="E46" i="1"/>
  <c r="F46" i="1" s="1"/>
  <c r="AM2" i="7"/>
  <c r="E47" i="1" s="1"/>
  <c r="F47" i="1" s="1"/>
  <c r="AD534" i="7"/>
  <c r="AD529" i="7"/>
  <c r="AE532" i="7"/>
  <c r="AE76" i="7" s="1"/>
  <c r="AE77" i="7" s="1"/>
  <c r="AF542" i="7"/>
  <c r="AF543" i="7" s="1"/>
  <c r="AG574" i="7"/>
  <c r="C378" i="7"/>
  <c r="C244" i="7"/>
  <c r="AG569" i="7"/>
  <c r="AG540" i="7"/>
  <c r="AG541" i="7"/>
  <c r="AF166" i="7"/>
  <c r="AF130" i="7"/>
  <c r="AF51" i="7"/>
  <c r="AG558" i="7"/>
  <c r="AG568" i="7"/>
  <c r="AG567" i="7"/>
  <c r="AE67" i="7"/>
  <c r="AF627" i="7"/>
  <c r="AF612" i="7" s="1"/>
  <c r="AF65" i="7" s="1"/>
  <c r="AG560" i="7"/>
  <c r="AG533" i="7"/>
  <c r="AG545" i="7"/>
  <c r="AG544" i="7"/>
  <c r="AG555" i="7" s="1"/>
  <c r="AF30" i="7"/>
  <c r="AF595" i="7"/>
  <c r="AF580" i="7" s="1"/>
  <c r="AF64" i="7" s="1"/>
  <c r="AF659" i="7"/>
  <c r="AF644" i="7" s="1"/>
  <c r="AF66" i="7" s="1"/>
  <c r="AF57" i="7"/>
  <c r="AG670" i="7"/>
  <c r="AG669" i="7"/>
  <c r="AG668" i="7"/>
  <c r="AG666" i="7"/>
  <c r="AG665" i="7"/>
  <c r="AG664" i="7"/>
  <c r="AG663" i="7"/>
  <c r="AG322" i="7"/>
  <c r="AG320" i="7"/>
  <c r="AG319" i="7"/>
  <c r="AG318" i="7"/>
  <c r="AG317" i="7"/>
  <c r="AG316" i="7"/>
  <c r="AG315" i="7"/>
  <c r="AG661" i="7"/>
  <c r="AG314" i="7"/>
  <c r="AG296" i="7"/>
  <c r="AG295" i="7"/>
  <c r="AG294" i="7"/>
  <c r="AG293" i="7"/>
  <c r="AG292" i="7"/>
  <c r="AG291" i="7"/>
  <c r="AG290" i="7"/>
  <c r="AG313" i="7"/>
  <c r="AG638" i="7"/>
  <c r="AG637" i="7"/>
  <c r="AG636" i="7"/>
  <c r="AG635" i="7"/>
  <c r="AG634" i="7"/>
  <c r="AG633" i="7"/>
  <c r="AG632" i="7"/>
  <c r="AG630" i="7"/>
  <c r="AG629" i="7"/>
  <c r="AG289" i="7"/>
  <c r="AG271" i="7"/>
  <c r="AG270" i="7"/>
  <c r="AG269" i="7"/>
  <c r="AG268" i="7"/>
  <c r="AG267" i="7"/>
  <c r="AG266" i="7"/>
  <c r="AG288" i="7"/>
  <c r="AG287" i="7"/>
  <c r="AG606" i="7"/>
  <c r="AG605" i="7"/>
  <c r="AG604" i="7"/>
  <c r="AG603" i="7"/>
  <c r="AG602" i="7"/>
  <c r="AG601" i="7"/>
  <c r="AG600" i="7"/>
  <c r="AG598" i="7"/>
  <c r="AG597" i="7"/>
  <c r="AG265" i="7"/>
  <c r="AG264" i="7"/>
  <c r="AG263" i="7"/>
  <c r="AG262" i="7"/>
  <c r="AG480" i="7"/>
  <c r="AG481" i="7" s="1"/>
  <c r="AG474" i="7"/>
  <c r="AG475" i="7" s="1"/>
  <c r="AG378" i="7"/>
  <c r="AG377" i="7"/>
  <c r="AG376" i="7"/>
  <c r="AG375" i="7"/>
  <c r="AG374" i="7"/>
  <c r="AG373" i="7"/>
  <c r="AG321" i="7"/>
  <c r="AG391" i="7"/>
  <c r="AG257" i="7"/>
  <c r="AG244" i="7"/>
  <c r="AG243" i="7"/>
  <c r="AG242" i="7"/>
  <c r="AG241" i="7"/>
  <c r="AG240" i="7"/>
  <c r="AG239" i="7"/>
  <c r="AG28" i="7"/>
  <c r="AF401" i="7"/>
  <c r="AF258" i="7"/>
  <c r="AF399" i="7"/>
  <c r="AF398" i="7"/>
  <c r="AF402" i="7"/>
  <c r="AF422" i="7"/>
  <c r="AF426" i="7"/>
  <c r="AF430" i="7"/>
  <c r="AF450" i="7"/>
  <c r="AF454" i="7"/>
  <c r="AF392" i="7"/>
  <c r="AF423" i="7"/>
  <c r="AF427" i="7"/>
  <c r="AF431" i="7"/>
  <c r="AF451" i="7"/>
  <c r="AF455" i="7"/>
  <c r="AF397" i="7"/>
  <c r="AF405" i="7"/>
  <c r="AF403" i="7"/>
  <c r="AF396" i="7"/>
  <c r="AF400" i="7"/>
  <c r="AF404" i="7"/>
  <c r="AF424" i="7"/>
  <c r="AF428" i="7"/>
  <c r="AF448" i="7"/>
  <c r="AF452" i="7"/>
  <c r="AF456" i="7"/>
  <c r="AF425" i="7"/>
  <c r="AF429" i="7"/>
  <c r="AF449" i="7"/>
  <c r="AF453" i="7"/>
  <c r="AF457" i="7"/>
  <c r="AF559" i="7"/>
  <c r="AF553" i="7"/>
  <c r="AG566" i="7"/>
  <c r="AE550" i="7"/>
  <c r="AM6" i="7" l="1"/>
  <c r="AM519" i="7"/>
  <c r="AM515" i="7"/>
  <c r="AM507" i="7"/>
  <c r="AM675" i="7"/>
  <c r="AM511" i="7"/>
  <c r="AM33" i="7"/>
  <c r="AM29" i="7"/>
  <c r="AM537" i="7"/>
  <c r="AM538" i="7"/>
  <c r="AM26" i="7"/>
  <c r="AM20" i="7"/>
  <c r="AM36" i="7"/>
  <c r="AM23" i="7"/>
  <c r="AM35" i="7" s="1"/>
  <c r="AN2" i="7"/>
  <c r="AE534" i="7"/>
  <c r="AE529" i="7"/>
  <c r="AF532" i="7"/>
  <c r="AF76" i="7" s="1"/>
  <c r="AF77" i="7" s="1"/>
  <c r="AG542" i="7"/>
  <c r="AG543" i="7" s="1"/>
  <c r="AH574" i="7"/>
  <c r="AH541" i="7"/>
  <c r="AH569" i="7"/>
  <c r="AH540" i="7"/>
  <c r="AG166" i="7"/>
  <c r="AG130" i="7"/>
  <c r="AG51" i="7"/>
  <c r="AH558" i="7"/>
  <c r="AH568" i="7"/>
  <c r="AH567" i="7"/>
  <c r="AG659" i="7"/>
  <c r="AG644" i="7" s="1"/>
  <c r="AG66" i="7" s="1"/>
  <c r="AF67" i="7"/>
  <c r="AH560" i="7"/>
  <c r="AH533" i="7"/>
  <c r="AH545" i="7"/>
  <c r="AH544" i="7"/>
  <c r="AH555" i="7" s="1"/>
  <c r="AF550" i="7"/>
  <c r="AH670" i="7"/>
  <c r="AH669" i="7"/>
  <c r="AH668" i="7"/>
  <c r="AH666" i="7"/>
  <c r="AH665" i="7"/>
  <c r="AH664" i="7"/>
  <c r="AH663" i="7"/>
  <c r="AH661" i="7"/>
  <c r="AH322" i="7"/>
  <c r="AH321" i="7"/>
  <c r="AH320" i="7"/>
  <c r="AH319" i="7"/>
  <c r="AH318" i="7"/>
  <c r="AH316" i="7"/>
  <c r="AH315" i="7"/>
  <c r="AH314" i="7"/>
  <c r="AH313" i="7"/>
  <c r="AH638" i="7"/>
  <c r="AH637" i="7"/>
  <c r="AH636" i="7"/>
  <c r="AH635" i="7"/>
  <c r="AH634" i="7"/>
  <c r="AH633" i="7"/>
  <c r="AH632" i="7"/>
  <c r="AH630" i="7"/>
  <c r="AH629" i="7"/>
  <c r="AH296" i="7"/>
  <c r="AH295" i="7"/>
  <c r="AH294" i="7"/>
  <c r="AH293" i="7"/>
  <c r="AH292" i="7"/>
  <c r="AH291" i="7"/>
  <c r="AH290" i="7"/>
  <c r="AH289" i="7"/>
  <c r="AH288" i="7"/>
  <c r="AH287" i="7"/>
  <c r="AH606" i="7"/>
  <c r="AH605" i="7"/>
  <c r="AH604" i="7"/>
  <c r="AH603" i="7"/>
  <c r="AH602" i="7"/>
  <c r="AH601" i="7"/>
  <c r="AH600" i="7"/>
  <c r="AH598" i="7"/>
  <c r="AH597" i="7"/>
  <c r="AH271" i="7"/>
  <c r="AH270" i="7"/>
  <c r="AH269" i="7"/>
  <c r="AH268" i="7"/>
  <c r="AH267" i="7"/>
  <c r="AH266" i="7"/>
  <c r="AH265" i="7"/>
  <c r="AH264" i="7"/>
  <c r="AH263" i="7"/>
  <c r="AH262" i="7"/>
  <c r="AH480" i="7"/>
  <c r="AH481" i="7" s="1"/>
  <c r="AH474" i="7"/>
  <c r="AH475" i="7" s="1"/>
  <c r="AH391" i="7"/>
  <c r="AH378" i="7"/>
  <c r="AH377" i="7"/>
  <c r="AH376" i="7"/>
  <c r="AH375" i="7"/>
  <c r="AH374" i="7"/>
  <c r="AH373" i="7"/>
  <c r="AH317" i="7"/>
  <c r="AH257" i="7"/>
  <c r="AH244" i="7"/>
  <c r="AH243" i="7"/>
  <c r="AH242" i="7"/>
  <c r="AH241" i="7"/>
  <c r="AH240" i="7"/>
  <c r="AH239" i="7"/>
  <c r="AH28" i="7"/>
  <c r="AG258" i="7"/>
  <c r="AG400" i="7"/>
  <c r="AG398" i="7"/>
  <c r="AG397" i="7"/>
  <c r="AG401" i="7"/>
  <c r="AG405" i="7"/>
  <c r="AG425" i="7"/>
  <c r="AG429" i="7"/>
  <c r="AG449" i="7"/>
  <c r="AG453" i="7"/>
  <c r="AG457" i="7"/>
  <c r="AG422" i="7"/>
  <c r="AG426" i="7"/>
  <c r="AG430" i="7"/>
  <c r="AG450" i="7"/>
  <c r="AG454" i="7"/>
  <c r="AG392" i="7"/>
  <c r="AG30" i="7"/>
  <c r="AG57" i="7"/>
  <c r="AG595" i="7"/>
  <c r="AG580" i="7" s="1"/>
  <c r="AG64" i="7" s="1"/>
  <c r="AG627" i="7"/>
  <c r="AG612" i="7" s="1"/>
  <c r="AG65" i="7" s="1"/>
  <c r="AG396" i="7"/>
  <c r="AG404" i="7"/>
  <c r="AG402" i="7"/>
  <c r="AG399" i="7"/>
  <c r="AG403" i="7"/>
  <c r="AG423" i="7"/>
  <c r="AG427" i="7"/>
  <c r="AG431" i="7"/>
  <c r="AG451" i="7"/>
  <c r="AG455" i="7"/>
  <c r="AG424" i="7"/>
  <c r="AG428" i="7"/>
  <c r="AG448" i="7"/>
  <c r="AG452" i="7"/>
  <c r="AG456" i="7"/>
  <c r="AG559" i="7"/>
  <c r="AG553" i="7"/>
  <c r="AH566" i="7"/>
  <c r="E48" i="1" l="1"/>
  <c r="F48" i="1" s="1"/>
  <c r="AN6" i="7"/>
  <c r="AN511" i="7"/>
  <c r="AN33" i="7"/>
  <c r="AN29" i="7"/>
  <c r="AN537" i="7"/>
  <c r="AN519" i="7"/>
  <c r="AN515" i="7"/>
  <c r="AN507" i="7"/>
  <c r="AN675" i="7"/>
  <c r="AN20" i="7"/>
  <c r="AN538" i="7"/>
  <c r="AN36" i="7"/>
  <c r="AN26" i="7"/>
  <c r="AN23" i="7"/>
  <c r="AN35" i="7" s="1"/>
  <c r="AO2" i="7"/>
  <c r="E49" i="1" s="1"/>
  <c r="F49" i="1" s="1"/>
  <c r="AF529" i="7"/>
  <c r="AF534" i="7"/>
  <c r="AG532" i="7"/>
  <c r="AG76" i="7" s="1"/>
  <c r="AG77" i="7" s="1"/>
  <c r="AH542" i="7"/>
  <c r="AH543" i="7" s="1"/>
  <c r="AI574" i="7"/>
  <c r="AI569" i="7"/>
  <c r="AI540" i="7"/>
  <c r="AI541" i="7"/>
  <c r="AH166" i="7"/>
  <c r="AH130" i="7"/>
  <c r="AH51" i="7"/>
  <c r="AI558" i="7"/>
  <c r="AI568" i="7"/>
  <c r="AI567" i="7"/>
  <c r="AI560" i="7"/>
  <c r="AI533" i="7"/>
  <c r="AI545" i="7"/>
  <c r="AI544" i="7"/>
  <c r="AI555" i="7" s="1"/>
  <c r="AH30" i="7"/>
  <c r="AH595" i="7"/>
  <c r="AH580" i="7" s="1"/>
  <c r="AH64" i="7" s="1"/>
  <c r="AH57" i="7"/>
  <c r="AG550" i="7"/>
  <c r="AI670" i="7"/>
  <c r="AI669" i="7"/>
  <c r="AI668" i="7"/>
  <c r="AI666" i="7"/>
  <c r="AI665" i="7"/>
  <c r="AI664" i="7"/>
  <c r="AI663" i="7"/>
  <c r="AI661" i="7"/>
  <c r="AI322" i="7"/>
  <c r="AI321" i="7"/>
  <c r="AI320" i="7"/>
  <c r="AI319" i="7"/>
  <c r="AI318" i="7"/>
  <c r="AI317" i="7"/>
  <c r="AI316" i="7"/>
  <c r="AI315" i="7"/>
  <c r="AI313" i="7"/>
  <c r="AI296" i="7"/>
  <c r="AI295" i="7"/>
  <c r="AI294" i="7"/>
  <c r="AI293" i="7"/>
  <c r="AI292" i="7"/>
  <c r="AI291" i="7"/>
  <c r="AI290" i="7"/>
  <c r="AI314" i="7"/>
  <c r="AI638" i="7"/>
  <c r="AI637" i="7"/>
  <c r="AI636" i="7"/>
  <c r="AI635" i="7"/>
  <c r="AI634" i="7"/>
  <c r="AI633" i="7"/>
  <c r="AI632" i="7"/>
  <c r="AI630" i="7"/>
  <c r="AI629" i="7"/>
  <c r="AI271" i="7"/>
  <c r="AI270" i="7"/>
  <c r="AI269" i="7"/>
  <c r="AI268" i="7"/>
  <c r="AI267" i="7"/>
  <c r="AI266" i="7"/>
  <c r="AI289" i="7"/>
  <c r="AI288" i="7"/>
  <c r="AI287" i="7"/>
  <c r="AI606" i="7"/>
  <c r="AI605" i="7"/>
  <c r="AI604" i="7"/>
  <c r="AI603" i="7"/>
  <c r="AI602" i="7"/>
  <c r="AI601" i="7"/>
  <c r="AI600" i="7"/>
  <c r="AI598" i="7"/>
  <c r="AI597" i="7"/>
  <c r="AI264" i="7"/>
  <c r="AI265" i="7"/>
  <c r="AI263" i="7"/>
  <c r="AI262" i="7"/>
  <c r="AI480" i="7"/>
  <c r="AI481" i="7" s="1"/>
  <c r="AI474" i="7"/>
  <c r="AI475" i="7" s="1"/>
  <c r="AI378" i="7"/>
  <c r="AI377" i="7"/>
  <c r="AI376" i="7"/>
  <c r="AI375" i="7"/>
  <c r="AI374" i="7"/>
  <c r="AI373" i="7"/>
  <c r="AI391" i="7"/>
  <c r="AI257" i="7"/>
  <c r="AI244" i="7"/>
  <c r="AI243" i="7"/>
  <c r="AI242" i="7"/>
  <c r="AI241" i="7"/>
  <c r="AI240" i="7"/>
  <c r="AI239" i="7"/>
  <c r="AI28" i="7"/>
  <c r="AH403" i="7"/>
  <c r="AH401" i="7"/>
  <c r="AH398" i="7"/>
  <c r="AH402" i="7"/>
  <c r="AH422" i="7"/>
  <c r="AH426" i="7"/>
  <c r="AH430" i="7"/>
  <c r="AH450" i="7"/>
  <c r="AH454" i="7"/>
  <c r="AH392" i="7"/>
  <c r="AH423" i="7"/>
  <c r="AH427" i="7"/>
  <c r="AH431" i="7"/>
  <c r="AH451" i="7"/>
  <c r="AH455" i="7"/>
  <c r="AG67" i="7"/>
  <c r="AH399" i="7"/>
  <c r="AH258" i="7"/>
  <c r="AH397" i="7"/>
  <c r="AH405" i="7"/>
  <c r="AH396" i="7"/>
  <c r="AH400" i="7"/>
  <c r="AH404" i="7"/>
  <c r="AH424" i="7"/>
  <c r="AH428" i="7"/>
  <c r="AH448" i="7"/>
  <c r="AH452" i="7"/>
  <c r="AH456" i="7"/>
  <c r="AH425" i="7"/>
  <c r="AH429" i="7"/>
  <c r="AH449" i="7"/>
  <c r="AH453" i="7"/>
  <c r="AH457" i="7"/>
  <c r="AH559" i="7"/>
  <c r="AH553" i="7"/>
  <c r="AI566" i="7"/>
  <c r="AH627" i="7"/>
  <c r="AH612" i="7" s="1"/>
  <c r="AH65" i="7" s="1"/>
  <c r="AH659" i="7"/>
  <c r="AH644" i="7" s="1"/>
  <c r="AH66" i="7" s="1"/>
  <c r="AO6" i="7" l="1"/>
  <c r="AO511" i="7"/>
  <c r="AO33" i="7"/>
  <c r="AO29" i="7"/>
  <c r="AO537" i="7"/>
  <c r="AO519" i="7"/>
  <c r="AO515" i="7"/>
  <c r="AO507" i="7"/>
  <c r="AO675" i="7"/>
  <c r="AO538" i="7"/>
  <c r="AO36" i="7"/>
  <c r="AO20" i="7"/>
  <c r="AO26" i="7"/>
  <c r="AO23" i="7"/>
  <c r="AO35" i="7" s="1"/>
  <c r="AP2" i="7"/>
  <c r="AG529" i="7"/>
  <c r="AH532" i="7"/>
  <c r="AH76" i="7" s="1"/>
  <c r="AH77" i="7" s="1"/>
  <c r="AG534" i="7"/>
  <c r="AI542" i="7"/>
  <c r="AI543" i="7" s="1"/>
  <c r="AJ574" i="7"/>
  <c r="AJ541" i="7"/>
  <c r="AJ569" i="7"/>
  <c r="AJ540" i="7"/>
  <c r="AI166" i="7"/>
  <c r="AI130" i="7"/>
  <c r="AI51" i="7"/>
  <c r="AJ558" i="7"/>
  <c r="AJ568" i="7"/>
  <c r="AJ567" i="7"/>
  <c r="AH67" i="7"/>
  <c r="AJ560" i="7"/>
  <c r="AJ533" i="7"/>
  <c r="AJ545" i="7"/>
  <c r="AJ544" i="7"/>
  <c r="AJ555" i="7" s="1"/>
  <c r="AH550" i="7"/>
  <c r="AJ670" i="7"/>
  <c r="AJ669" i="7"/>
  <c r="AJ668" i="7"/>
  <c r="AJ666" i="7"/>
  <c r="AJ665" i="7"/>
  <c r="AJ664" i="7"/>
  <c r="AJ663" i="7"/>
  <c r="AJ661" i="7"/>
  <c r="AJ322" i="7"/>
  <c r="AJ321" i="7"/>
  <c r="AJ320" i="7"/>
  <c r="AJ319" i="7"/>
  <c r="AJ318" i="7"/>
  <c r="AJ317" i="7"/>
  <c r="AJ316" i="7"/>
  <c r="AJ315" i="7"/>
  <c r="AJ314" i="7"/>
  <c r="AJ638" i="7"/>
  <c r="AJ637" i="7"/>
  <c r="AJ636" i="7"/>
  <c r="AJ635" i="7"/>
  <c r="AJ634" i="7"/>
  <c r="AJ633" i="7"/>
  <c r="AJ632" i="7"/>
  <c r="AJ630" i="7"/>
  <c r="AJ629" i="7"/>
  <c r="AJ296" i="7"/>
  <c r="AJ295" i="7"/>
  <c r="AJ294" i="7"/>
  <c r="AJ293" i="7"/>
  <c r="AJ292" i="7"/>
  <c r="AJ291" i="7"/>
  <c r="AJ290" i="7"/>
  <c r="AJ289" i="7"/>
  <c r="AJ288" i="7"/>
  <c r="AJ287" i="7"/>
  <c r="AJ606" i="7"/>
  <c r="AJ605" i="7"/>
  <c r="AJ604" i="7"/>
  <c r="AJ603" i="7"/>
  <c r="AJ602" i="7"/>
  <c r="AJ601" i="7"/>
  <c r="AJ600" i="7"/>
  <c r="AJ598" i="7"/>
  <c r="AJ597" i="7"/>
  <c r="AJ271" i="7"/>
  <c r="AJ270" i="7"/>
  <c r="AJ269" i="7"/>
  <c r="AJ268" i="7"/>
  <c r="AJ267" i="7"/>
  <c r="AJ266" i="7"/>
  <c r="AJ265" i="7"/>
  <c r="AJ264" i="7"/>
  <c r="AJ263" i="7"/>
  <c r="AJ262" i="7"/>
  <c r="AJ480" i="7"/>
  <c r="AJ481" i="7" s="1"/>
  <c r="AJ474" i="7"/>
  <c r="AJ475" i="7" s="1"/>
  <c r="AJ391" i="7"/>
  <c r="AJ378" i="7"/>
  <c r="AJ377" i="7"/>
  <c r="AJ376" i="7"/>
  <c r="AJ375" i="7"/>
  <c r="AJ374" i="7"/>
  <c r="AJ373" i="7"/>
  <c r="AJ313" i="7"/>
  <c r="AJ257" i="7"/>
  <c r="AJ244" i="7"/>
  <c r="AJ243" i="7"/>
  <c r="AJ242" i="7"/>
  <c r="AJ241" i="7"/>
  <c r="AJ240" i="7"/>
  <c r="AJ239" i="7"/>
  <c r="AJ28" i="7"/>
  <c r="AI258" i="7"/>
  <c r="AI398" i="7"/>
  <c r="AI400" i="7"/>
  <c r="AI397" i="7"/>
  <c r="AI401" i="7"/>
  <c r="AI405" i="7"/>
  <c r="AI425" i="7"/>
  <c r="AI429" i="7"/>
  <c r="AI449" i="7"/>
  <c r="AI453" i="7"/>
  <c r="AI457" i="7"/>
  <c r="AI422" i="7"/>
  <c r="AI426" i="7"/>
  <c r="AI430" i="7"/>
  <c r="AI450" i="7"/>
  <c r="AI454" i="7"/>
  <c r="AI392" i="7"/>
  <c r="AI30" i="7"/>
  <c r="AI57" i="7"/>
  <c r="AI595" i="7"/>
  <c r="AI580" i="7" s="1"/>
  <c r="AI64" i="7" s="1"/>
  <c r="AI627" i="7"/>
  <c r="AI612" i="7" s="1"/>
  <c r="AI65" i="7" s="1"/>
  <c r="AI402" i="7"/>
  <c r="AI396" i="7"/>
  <c r="AI404" i="7"/>
  <c r="AI399" i="7"/>
  <c r="AI403" i="7"/>
  <c r="AI423" i="7"/>
  <c r="AI427" i="7"/>
  <c r="AI431" i="7"/>
  <c r="AI451" i="7"/>
  <c r="AI455" i="7"/>
  <c r="AI424" i="7"/>
  <c r="AI428" i="7"/>
  <c r="AI448" i="7"/>
  <c r="AI452" i="7"/>
  <c r="AI456" i="7"/>
  <c r="AI559" i="7"/>
  <c r="AI553" i="7"/>
  <c r="AJ566" i="7"/>
  <c r="AI659" i="7"/>
  <c r="AI644" i="7" s="1"/>
  <c r="AI66" i="7" s="1"/>
  <c r="AP6" i="7" l="1"/>
  <c r="AP511" i="7"/>
  <c r="AP33" i="7"/>
  <c r="AP29" i="7"/>
  <c r="AP537" i="7"/>
  <c r="AP519" i="7"/>
  <c r="AP515" i="7"/>
  <c r="AP507" i="7"/>
  <c r="AP675" i="7"/>
  <c r="AP538" i="7"/>
  <c r="AP36" i="7"/>
  <c r="AP26" i="7"/>
  <c r="AP20" i="7"/>
  <c r="AP23" i="7"/>
  <c r="AP35" i="7" s="1"/>
  <c r="E50" i="1"/>
  <c r="F50" i="1" s="1"/>
  <c r="AH529" i="7"/>
  <c r="AH534" i="7"/>
  <c r="AI532" i="7"/>
  <c r="AI76" i="7" s="1"/>
  <c r="AI77" i="7" s="1"/>
  <c r="AJ542" i="7"/>
  <c r="AJ543" i="7" s="1"/>
  <c r="AK574" i="7"/>
  <c r="AK569" i="7"/>
  <c r="AK540" i="7"/>
  <c r="AK541" i="7"/>
  <c r="AJ166" i="7"/>
  <c r="AJ130" i="7"/>
  <c r="AJ51" i="7"/>
  <c r="AK558" i="7"/>
  <c r="AK568" i="7"/>
  <c r="AK567" i="7"/>
  <c r="AK560" i="7"/>
  <c r="AK533" i="7"/>
  <c r="AK545" i="7"/>
  <c r="AK544" i="7"/>
  <c r="AK555" i="7" s="1"/>
  <c r="AI550" i="7"/>
  <c r="AK670" i="7"/>
  <c r="AK669" i="7"/>
  <c r="AK668" i="7"/>
  <c r="AK666" i="7"/>
  <c r="AK665" i="7"/>
  <c r="AK664" i="7"/>
  <c r="AK663" i="7"/>
  <c r="AK322" i="7"/>
  <c r="AK320" i="7"/>
  <c r="AK319" i="7"/>
  <c r="AK318" i="7"/>
  <c r="AK317" i="7"/>
  <c r="AK316" i="7"/>
  <c r="AK315" i="7"/>
  <c r="AK661" i="7"/>
  <c r="AK314" i="7"/>
  <c r="AK296" i="7"/>
  <c r="AK295" i="7"/>
  <c r="AK294" i="7"/>
  <c r="AK293" i="7"/>
  <c r="AK292" i="7"/>
  <c r="AK291" i="7"/>
  <c r="AK290" i="7"/>
  <c r="AK313" i="7"/>
  <c r="AK638" i="7"/>
  <c r="AK637" i="7"/>
  <c r="AK636" i="7"/>
  <c r="AK635" i="7"/>
  <c r="AK634" i="7"/>
  <c r="AK633" i="7"/>
  <c r="AK632" i="7"/>
  <c r="AK630" i="7"/>
  <c r="AK629" i="7"/>
  <c r="AK289" i="7"/>
  <c r="AK271" i="7"/>
  <c r="AK270" i="7"/>
  <c r="AK269" i="7"/>
  <c r="AK268" i="7"/>
  <c r="AK267" i="7"/>
  <c r="AK266" i="7"/>
  <c r="AK288" i="7"/>
  <c r="AK287" i="7"/>
  <c r="AK606" i="7"/>
  <c r="AK605" i="7"/>
  <c r="AK604" i="7"/>
  <c r="AK603" i="7"/>
  <c r="AK602" i="7"/>
  <c r="AK601" i="7"/>
  <c r="AK600" i="7"/>
  <c r="AK598" i="7"/>
  <c r="AK597" i="7"/>
  <c r="AK265" i="7"/>
  <c r="AK264" i="7"/>
  <c r="AK263" i="7"/>
  <c r="AK262" i="7"/>
  <c r="AK480" i="7"/>
  <c r="AK481" i="7" s="1"/>
  <c r="AK474" i="7"/>
  <c r="AK475" i="7" s="1"/>
  <c r="AK378" i="7"/>
  <c r="AK377" i="7"/>
  <c r="AK376" i="7"/>
  <c r="AK375" i="7"/>
  <c r="AK374" i="7"/>
  <c r="AK373" i="7"/>
  <c r="AK321" i="7"/>
  <c r="AK391" i="7"/>
  <c r="AK257" i="7"/>
  <c r="AK244" i="7"/>
  <c r="AK243" i="7"/>
  <c r="AK242" i="7"/>
  <c r="AK241" i="7"/>
  <c r="AK240" i="7"/>
  <c r="AK239" i="7"/>
  <c r="AK28" i="7"/>
  <c r="AJ397" i="7"/>
  <c r="AJ405" i="7"/>
  <c r="AJ403" i="7"/>
  <c r="AJ396" i="7"/>
  <c r="AJ400" i="7"/>
  <c r="AJ404" i="7"/>
  <c r="AJ424" i="7"/>
  <c r="AJ428" i="7"/>
  <c r="AJ448" i="7"/>
  <c r="AJ452" i="7"/>
  <c r="AJ456" i="7"/>
  <c r="AJ425" i="7"/>
  <c r="AJ429" i="7"/>
  <c r="AJ449" i="7"/>
  <c r="AJ453" i="7"/>
  <c r="AJ457" i="7"/>
  <c r="AJ559" i="7"/>
  <c r="AJ553" i="7"/>
  <c r="AK566" i="7"/>
  <c r="AJ30" i="7"/>
  <c r="AJ57" i="7"/>
  <c r="AJ595" i="7"/>
  <c r="AJ580" i="7" s="1"/>
  <c r="AJ64" i="7" s="1"/>
  <c r="AJ627" i="7"/>
  <c r="AJ612" i="7" s="1"/>
  <c r="AJ65" i="7" s="1"/>
  <c r="AJ659" i="7"/>
  <c r="AJ644" i="7" s="1"/>
  <c r="AJ66" i="7" s="1"/>
  <c r="AJ401" i="7"/>
  <c r="AJ258" i="7"/>
  <c r="AJ399" i="7"/>
  <c r="AJ398" i="7"/>
  <c r="AJ402" i="7"/>
  <c r="AJ422" i="7"/>
  <c r="AJ426" i="7"/>
  <c r="AJ430" i="7"/>
  <c r="AJ450" i="7"/>
  <c r="AJ454" i="7"/>
  <c r="AJ392" i="7"/>
  <c r="AJ423" i="7"/>
  <c r="AJ427" i="7"/>
  <c r="AJ431" i="7"/>
  <c r="AJ451" i="7"/>
  <c r="AJ455" i="7"/>
  <c r="AI67" i="7"/>
  <c r="AI529" i="7" l="1"/>
  <c r="AJ532" i="7"/>
  <c r="AJ76" i="7" s="1"/>
  <c r="AJ77" i="7" s="1"/>
  <c r="AI534" i="7"/>
  <c r="AK542" i="7"/>
  <c r="AK543" i="7" s="1"/>
  <c r="AL574" i="7"/>
  <c r="AL541" i="7"/>
  <c r="AL569" i="7"/>
  <c r="AL540" i="7"/>
  <c r="AK166" i="7"/>
  <c r="AK130" i="7"/>
  <c r="AK51" i="7"/>
  <c r="AL558" i="7"/>
  <c r="AL568" i="7"/>
  <c r="AL567" i="7"/>
  <c r="AK659" i="7"/>
  <c r="AK644" i="7" s="1"/>
  <c r="AK66" i="7" s="1"/>
  <c r="AL560" i="7"/>
  <c r="AL533" i="7"/>
  <c r="AL545" i="7"/>
  <c r="AL544" i="7"/>
  <c r="AL555" i="7" s="1"/>
  <c r="AK30" i="7"/>
  <c r="AK396" i="7"/>
  <c r="AK404" i="7"/>
  <c r="AK402" i="7"/>
  <c r="AK399" i="7"/>
  <c r="AK403" i="7"/>
  <c r="AK423" i="7"/>
  <c r="AK427" i="7"/>
  <c r="AK431" i="7"/>
  <c r="AK451" i="7"/>
  <c r="AK455" i="7"/>
  <c r="AK424" i="7"/>
  <c r="AK428" i="7"/>
  <c r="AK448" i="7"/>
  <c r="AK452" i="7"/>
  <c r="AK456" i="7"/>
  <c r="AK559" i="7"/>
  <c r="AK553" i="7"/>
  <c r="AL566" i="7"/>
  <c r="AJ550" i="7"/>
  <c r="AL670" i="7"/>
  <c r="AL669" i="7"/>
  <c r="AL667" i="7"/>
  <c r="AL666" i="7"/>
  <c r="AL665" i="7"/>
  <c r="AL664" i="7"/>
  <c r="AL663" i="7"/>
  <c r="AL661" i="7"/>
  <c r="AL322" i="7"/>
  <c r="AL320" i="7"/>
  <c r="AL319" i="7"/>
  <c r="AL318" i="7"/>
  <c r="AL317" i="7"/>
  <c r="AL316" i="7"/>
  <c r="AL315" i="7"/>
  <c r="AL314" i="7"/>
  <c r="AL313" i="7"/>
  <c r="AL638" i="7"/>
  <c r="AL637" i="7"/>
  <c r="AL636" i="7"/>
  <c r="AL635" i="7"/>
  <c r="AL634" i="7"/>
  <c r="AL633" i="7"/>
  <c r="AL632" i="7"/>
  <c r="AL630" i="7"/>
  <c r="AL629" i="7"/>
  <c r="AL296" i="7"/>
  <c r="AL295" i="7"/>
  <c r="AL294" i="7"/>
  <c r="AL293" i="7"/>
  <c r="AL292" i="7"/>
  <c r="AL291" i="7"/>
  <c r="AL290" i="7"/>
  <c r="AL289" i="7"/>
  <c r="AL288" i="7"/>
  <c r="AL287" i="7"/>
  <c r="AL606" i="7"/>
  <c r="AL605" i="7"/>
  <c r="AL604" i="7"/>
  <c r="AL603" i="7"/>
  <c r="AL602" i="7"/>
  <c r="AL601" i="7"/>
  <c r="AL600" i="7"/>
  <c r="AL598" i="7"/>
  <c r="AL597" i="7"/>
  <c r="AL271" i="7"/>
  <c r="AL270" i="7"/>
  <c r="AL269" i="7"/>
  <c r="AL268" i="7"/>
  <c r="AL267" i="7"/>
  <c r="AL266" i="7"/>
  <c r="AL265" i="7"/>
  <c r="AL264" i="7"/>
  <c r="AL263" i="7"/>
  <c r="AL262" i="7"/>
  <c r="AL480" i="7"/>
  <c r="AL481" i="7" s="1"/>
  <c r="AL474" i="7"/>
  <c r="AL475" i="7" s="1"/>
  <c r="AL391" i="7"/>
  <c r="AL378" i="7"/>
  <c r="AL377" i="7"/>
  <c r="AL376" i="7"/>
  <c r="AL375" i="7"/>
  <c r="AL374" i="7"/>
  <c r="AL373" i="7"/>
  <c r="AL321" i="7"/>
  <c r="AL257" i="7"/>
  <c r="AL244" i="7"/>
  <c r="AL243" i="7"/>
  <c r="AL242" i="7"/>
  <c r="AL241" i="7"/>
  <c r="AL240" i="7"/>
  <c r="AL239" i="7"/>
  <c r="AL28" i="7"/>
  <c r="AK258" i="7"/>
  <c r="AK400" i="7"/>
  <c r="AK398" i="7"/>
  <c r="AK397" i="7"/>
  <c r="AK401" i="7"/>
  <c r="AK405" i="7"/>
  <c r="AK425" i="7"/>
  <c r="AK429" i="7"/>
  <c r="AK449" i="7"/>
  <c r="AK453" i="7"/>
  <c r="AK457" i="7"/>
  <c r="AK422" i="7"/>
  <c r="AK426" i="7"/>
  <c r="AK430" i="7"/>
  <c r="AK450" i="7"/>
  <c r="AK454" i="7"/>
  <c r="AK392" i="7"/>
  <c r="AJ67" i="7"/>
  <c r="AK57" i="7"/>
  <c r="AK595" i="7"/>
  <c r="AK580" i="7" s="1"/>
  <c r="AK64" i="7" s="1"/>
  <c r="AK627" i="7"/>
  <c r="AK612" i="7" s="1"/>
  <c r="AK65" i="7" s="1"/>
  <c r="AJ529" i="7" l="1"/>
  <c r="AJ534" i="7"/>
  <c r="AK532" i="7"/>
  <c r="AK76" i="7" s="1"/>
  <c r="AK77" i="7" s="1"/>
  <c r="AL542" i="7"/>
  <c r="AL543" i="7" s="1"/>
  <c r="AM574" i="7"/>
  <c r="AM569" i="7"/>
  <c r="AM540" i="7"/>
  <c r="AM541" i="7"/>
  <c r="AL166" i="7"/>
  <c r="AL130" i="7"/>
  <c r="AL51" i="7"/>
  <c r="AM558" i="7"/>
  <c r="AM568" i="7"/>
  <c r="AM567" i="7"/>
  <c r="AL595" i="7"/>
  <c r="AL580" i="7" s="1"/>
  <c r="AL64" i="7" s="1"/>
  <c r="AL659" i="7"/>
  <c r="AL644" i="7" s="1"/>
  <c r="AL66" i="7" s="1"/>
  <c r="AM560" i="7"/>
  <c r="AM533" i="7"/>
  <c r="AM545" i="7"/>
  <c r="AM544" i="7"/>
  <c r="AM555" i="7" s="1"/>
  <c r="AL30" i="7"/>
  <c r="AL627" i="7"/>
  <c r="AL612" i="7" s="1"/>
  <c r="AL65" i="7" s="1"/>
  <c r="AL57" i="7"/>
  <c r="AM670" i="7"/>
  <c r="AM669" i="7"/>
  <c r="AM667" i="7"/>
  <c r="AM666" i="7"/>
  <c r="AM665" i="7"/>
  <c r="AM664" i="7"/>
  <c r="AM663" i="7"/>
  <c r="AM661" i="7"/>
  <c r="AM322" i="7"/>
  <c r="AM321" i="7"/>
  <c r="AM320" i="7"/>
  <c r="AM319" i="7"/>
  <c r="AM318" i="7"/>
  <c r="AM317" i="7"/>
  <c r="AM316" i="7"/>
  <c r="AM315" i="7"/>
  <c r="AM313" i="7"/>
  <c r="AM296" i="7"/>
  <c r="AM295" i="7"/>
  <c r="AM294" i="7"/>
  <c r="AM293" i="7"/>
  <c r="AM292" i="7"/>
  <c r="AM291" i="7"/>
  <c r="AM290" i="7"/>
  <c r="AM314" i="7"/>
  <c r="AM638" i="7"/>
  <c r="AM637" i="7"/>
  <c r="AM636" i="7"/>
  <c r="AM635" i="7"/>
  <c r="AM634" i="7"/>
  <c r="AM633" i="7"/>
  <c r="AM632" i="7"/>
  <c r="AM630" i="7"/>
  <c r="AM629" i="7"/>
  <c r="AM271" i="7"/>
  <c r="AM270" i="7"/>
  <c r="AM269" i="7"/>
  <c r="AM268" i="7"/>
  <c r="AM267" i="7"/>
  <c r="AM266" i="7"/>
  <c r="AM289" i="7"/>
  <c r="AM288" i="7"/>
  <c r="AM287" i="7"/>
  <c r="AM606" i="7"/>
  <c r="AM605" i="7"/>
  <c r="AM604" i="7"/>
  <c r="AM603" i="7"/>
  <c r="AM602" i="7"/>
  <c r="AM601" i="7"/>
  <c r="AM599" i="7"/>
  <c r="AM598" i="7"/>
  <c r="AM597" i="7"/>
  <c r="AM264" i="7"/>
  <c r="AM265" i="7"/>
  <c r="AM263" i="7"/>
  <c r="AM262" i="7"/>
  <c r="AM480" i="7"/>
  <c r="AM481" i="7" s="1"/>
  <c r="AM474" i="7"/>
  <c r="AM475" i="7" s="1"/>
  <c r="AM378" i="7"/>
  <c r="AM377" i="7"/>
  <c r="AM376" i="7"/>
  <c r="AM375" i="7"/>
  <c r="AM374" i="7"/>
  <c r="AM373" i="7"/>
  <c r="AM391" i="7"/>
  <c r="AM257" i="7"/>
  <c r="AM244" i="7"/>
  <c r="AM243" i="7"/>
  <c r="AM242" i="7"/>
  <c r="AM241" i="7"/>
  <c r="AM240" i="7"/>
  <c r="AM239" i="7"/>
  <c r="AM28" i="7"/>
  <c r="AL403" i="7"/>
  <c r="AL401" i="7"/>
  <c r="AL398" i="7"/>
  <c r="AL402" i="7"/>
  <c r="AL422" i="7"/>
  <c r="AL426" i="7"/>
  <c r="AL430" i="7"/>
  <c r="AL450" i="7"/>
  <c r="AL454" i="7"/>
  <c r="AL392" i="7"/>
  <c r="AL423" i="7"/>
  <c r="AL427" i="7"/>
  <c r="AL431" i="7"/>
  <c r="AL451" i="7"/>
  <c r="AL455" i="7"/>
  <c r="AK550" i="7"/>
  <c r="AK67" i="7"/>
  <c r="AL399" i="7"/>
  <c r="AL258" i="7"/>
  <c r="AL397" i="7"/>
  <c r="AL405" i="7"/>
  <c r="AL396" i="7"/>
  <c r="AL400" i="7"/>
  <c r="AL404" i="7"/>
  <c r="AL424" i="7"/>
  <c r="AL428" i="7"/>
  <c r="AL448" i="7"/>
  <c r="AL452" i="7"/>
  <c r="AL456" i="7"/>
  <c r="AL425" i="7"/>
  <c r="AL429" i="7"/>
  <c r="AL449" i="7"/>
  <c r="AL453" i="7"/>
  <c r="AL457" i="7"/>
  <c r="AL559" i="7"/>
  <c r="AL553" i="7"/>
  <c r="AM566" i="7"/>
  <c r="AK529" i="7" l="1"/>
  <c r="AL532" i="7"/>
  <c r="AL76" i="7" s="1"/>
  <c r="AL77" i="7" s="1"/>
  <c r="AM542" i="7"/>
  <c r="AM543" i="7" s="1"/>
  <c r="AK534" i="7"/>
  <c r="AN574" i="7"/>
  <c r="AN541" i="7"/>
  <c r="AN569" i="7"/>
  <c r="AN540" i="7"/>
  <c r="AM166" i="7"/>
  <c r="AM130" i="7"/>
  <c r="AM51" i="7"/>
  <c r="AN558" i="7"/>
  <c r="AL67" i="7"/>
  <c r="AN568" i="7"/>
  <c r="AN567" i="7"/>
  <c r="AM30" i="7"/>
  <c r="AM595" i="7"/>
  <c r="AM580" i="7" s="1"/>
  <c r="AM64" i="7" s="1"/>
  <c r="AM627" i="7"/>
  <c r="AM612" i="7" s="1"/>
  <c r="AM65" i="7" s="1"/>
  <c r="AN560" i="7"/>
  <c r="AN533" i="7"/>
  <c r="AN545" i="7"/>
  <c r="AN544" i="7"/>
  <c r="AN555" i="7" s="1"/>
  <c r="AM57" i="7"/>
  <c r="AM402" i="7"/>
  <c r="AM396" i="7"/>
  <c r="AM404" i="7"/>
  <c r="AM399" i="7"/>
  <c r="AM403" i="7"/>
  <c r="AM423" i="7"/>
  <c r="AM427" i="7"/>
  <c r="AM431" i="7"/>
  <c r="AM451" i="7"/>
  <c r="AM455" i="7"/>
  <c r="AM424" i="7"/>
  <c r="AM428" i="7"/>
  <c r="AM448" i="7"/>
  <c r="AM452" i="7"/>
  <c r="AM456" i="7"/>
  <c r="AM559" i="7"/>
  <c r="AM553" i="7"/>
  <c r="AN566" i="7"/>
  <c r="AM659" i="7"/>
  <c r="AM644" i="7" s="1"/>
  <c r="AM66" i="7" s="1"/>
  <c r="AL550" i="7"/>
  <c r="AN670" i="7"/>
  <c r="AN669" i="7"/>
  <c r="AN667" i="7"/>
  <c r="AN666" i="7"/>
  <c r="AN665" i="7"/>
  <c r="AN664" i="7"/>
  <c r="AN663" i="7"/>
  <c r="AN661" i="7"/>
  <c r="AN322" i="7"/>
  <c r="AN321" i="7"/>
  <c r="AN320" i="7"/>
  <c r="AN319" i="7"/>
  <c r="AN318" i="7"/>
  <c r="AN317" i="7"/>
  <c r="AN316" i="7"/>
  <c r="AN315" i="7"/>
  <c r="AN314" i="7"/>
  <c r="AN313" i="7"/>
  <c r="AN638" i="7"/>
  <c r="AN637" i="7"/>
  <c r="AN636" i="7"/>
  <c r="AN635" i="7"/>
  <c r="AN634" i="7"/>
  <c r="AN633" i="7"/>
  <c r="AN632" i="7"/>
  <c r="AN630" i="7"/>
  <c r="AN629" i="7"/>
  <c r="AN295" i="7"/>
  <c r="AN294" i="7"/>
  <c r="AN293" i="7"/>
  <c r="AN292" i="7"/>
  <c r="AN291" i="7"/>
  <c r="AN290" i="7"/>
  <c r="AN289" i="7"/>
  <c r="AN288" i="7"/>
  <c r="AN287" i="7"/>
  <c r="AN606" i="7"/>
  <c r="AN605" i="7"/>
  <c r="AN604" i="7"/>
  <c r="AN603" i="7"/>
  <c r="AN602" i="7"/>
  <c r="AN601" i="7"/>
  <c r="AN599" i="7"/>
  <c r="AN598" i="7"/>
  <c r="AN597" i="7"/>
  <c r="AN271" i="7"/>
  <c r="AN270" i="7"/>
  <c r="AN269" i="7"/>
  <c r="AN268" i="7"/>
  <c r="AN267" i="7"/>
  <c r="AN266" i="7"/>
  <c r="AN265" i="7"/>
  <c r="AN264" i="7"/>
  <c r="AN263" i="7"/>
  <c r="AN262" i="7"/>
  <c r="AN480" i="7"/>
  <c r="AN481" i="7" s="1"/>
  <c r="AN474" i="7"/>
  <c r="AN475" i="7" s="1"/>
  <c r="AN391" i="7"/>
  <c r="AN296" i="7"/>
  <c r="AN378" i="7"/>
  <c r="AN377" i="7"/>
  <c r="AN376" i="7"/>
  <c r="AN375" i="7"/>
  <c r="AN374" i="7"/>
  <c r="AN373" i="7"/>
  <c r="AN257" i="7"/>
  <c r="AN244" i="7"/>
  <c r="AN243" i="7"/>
  <c r="AN242" i="7"/>
  <c r="AN241" i="7"/>
  <c r="AN240" i="7"/>
  <c r="AN239" i="7"/>
  <c r="AN28" i="7"/>
  <c r="AM258" i="7"/>
  <c r="AM398" i="7"/>
  <c r="AM400" i="7"/>
  <c r="AM397" i="7"/>
  <c r="AM401" i="7"/>
  <c r="AM405" i="7"/>
  <c r="AM425" i="7"/>
  <c r="AM429" i="7"/>
  <c r="AM449" i="7"/>
  <c r="AM453" i="7"/>
  <c r="AM457" i="7"/>
  <c r="AM422" i="7"/>
  <c r="AM426" i="7"/>
  <c r="AM430" i="7"/>
  <c r="AM450" i="7"/>
  <c r="AM454" i="7"/>
  <c r="AM392" i="7"/>
  <c r="AL534" i="7" l="1"/>
  <c r="AL529" i="7"/>
  <c r="AM532" i="7"/>
  <c r="AM76" i="7" s="1"/>
  <c r="AM77" i="7" s="1"/>
  <c r="AN542" i="7"/>
  <c r="AN543" i="7" s="1"/>
  <c r="AO574" i="7"/>
  <c r="AO569" i="7"/>
  <c r="AO540" i="7"/>
  <c r="AO541" i="7"/>
  <c r="AN166" i="7"/>
  <c r="AN130" i="7"/>
  <c r="AN51" i="7"/>
  <c r="AO558" i="7"/>
  <c r="AO568" i="7"/>
  <c r="AO567" i="7"/>
  <c r="AM67" i="7"/>
  <c r="AO560" i="7"/>
  <c r="AO533" i="7"/>
  <c r="AO545" i="7"/>
  <c r="AO544" i="7"/>
  <c r="AO555" i="7" s="1"/>
  <c r="AN401" i="7"/>
  <c r="AN258" i="7"/>
  <c r="AN399" i="7"/>
  <c r="AN398" i="7"/>
  <c r="AN402" i="7"/>
  <c r="AN422" i="7"/>
  <c r="AN426" i="7"/>
  <c r="AN430" i="7"/>
  <c r="AN450" i="7"/>
  <c r="AN454" i="7"/>
  <c r="AN392" i="7"/>
  <c r="AN423" i="7"/>
  <c r="AN427" i="7"/>
  <c r="AN431" i="7"/>
  <c r="AN451" i="7"/>
  <c r="AN455" i="7"/>
  <c r="AM550" i="7"/>
  <c r="AO670" i="7"/>
  <c r="AO669" i="7"/>
  <c r="AO667" i="7"/>
  <c r="AO666" i="7"/>
  <c r="AO665" i="7"/>
  <c r="AO664" i="7"/>
  <c r="AO663" i="7"/>
  <c r="AO322" i="7"/>
  <c r="AO320" i="7"/>
  <c r="AO319" i="7"/>
  <c r="AO318" i="7"/>
  <c r="AO317" i="7"/>
  <c r="AO316" i="7"/>
  <c r="AO315" i="7"/>
  <c r="AO661" i="7"/>
  <c r="AO314" i="7"/>
  <c r="AO296" i="7"/>
  <c r="AO295" i="7"/>
  <c r="AO294" i="7"/>
  <c r="AO293" i="7"/>
  <c r="AO292" i="7"/>
  <c r="AO291" i="7"/>
  <c r="AO290" i="7"/>
  <c r="AO313" i="7"/>
  <c r="AO638" i="7"/>
  <c r="AO637" i="7"/>
  <c r="AO636" i="7"/>
  <c r="AO635" i="7"/>
  <c r="AO634" i="7"/>
  <c r="AO633" i="7"/>
  <c r="AO632" i="7"/>
  <c r="AO630" i="7"/>
  <c r="AO629" i="7"/>
  <c r="AO289" i="7"/>
  <c r="AO271" i="7"/>
  <c r="AO270" i="7"/>
  <c r="AO269" i="7"/>
  <c r="AO268" i="7"/>
  <c r="AO267" i="7"/>
  <c r="AO266" i="7"/>
  <c r="AO288" i="7"/>
  <c r="AO287" i="7"/>
  <c r="AO606" i="7"/>
  <c r="AO605" i="7"/>
  <c r="AO604" i="7"/>
  <c r="AO603" i="7"/>
  <c r="AO602" i="7"/>
  <c r="AO601" i="7"/>
  <c r="AO599" i="7"/>
  <c r="AO598" i="7"/>
  <c r="AO597" i="7"/>
  <c r="AO265" i="7"/>
  <c r="AO264" i="7"/>
  <c r="AO263" i="7"/>
  <c r="AO262" i="7"/>
  <c r="AO480" i="7"/>
  <c r="AO481" i="7" s="1"/>
  <c r="AO474" i="7"/>
  <c r="AO475" i="7" s="1"/>
  <c r="AO378" i="7"/>
  <c r="AO377" i="7"/>
  <c r="AO376" i="7"/>
  <c r="AO375" i="7"/>
  <c r="AO374" i="7"/>
  <c r="AO373" i="7"/>
  <c r="AO321" i="7"/>
  <c r="AO391" i="7"/>
  <c r="AO257" i="7"/>
  <c r="AO244" i="7"/>
  <c r="AO243" i="7"/>
  <c r="AO242" i="7"/>
  <c r="AO241" i="7"/>
  <c r="AO240" i="7"/>
  <c r="AO239" i="7"/>
  <c r="AO28" i="7"/>
  <c r="AN397" i="7"/>
  <c r="AN405" i="7"/>
  <c r="AN403" i="7"/>
  <c r="AN396" i="7"/>
  <c r="AN400" i="7"/>
  <c r="AN404" i="7"/>
  <c r="AN424" i="7"/>
  <c r="AN428" i="7"/>
  <c r="AN448" i="7"/>
  <c r="AN452" i="7"/>
  <c r="AN456" i="7"/>
  <c r="AN425" i="7"/>
  <c r="AN429" i="7"/>
  <c r="AN449" i="7"/>
  <c r="AN453" i="7"/>
  <c r="AN457" i="7"/>
  <c r="AN559" i="7"/>
  <c r="AN553" i="7"/>
  <c r="AO566" i="7"/>
  <c r="AN30" i="7"/>
  <c r="AN57" i="7"/>
  <c r="AN595" i="7"/>
  <c r="AN580" i="7" s="1"/>
  <c r="AN64" i="7" s="1"/>
  <c r="AN627" i="7"/>
  <c r="AN612" i="7" s="1"/>
  <c r="AN65" i="7" s="1"/>
  <c r="AN659" i="7"/>
  <c r="AN644" i="7" s="1"/>
  <c r="AN66" i="7" s="1"/>
  <c r="AM534" i="7" l="1"/>
  <c r="AM529" i="7"/>
  <c r="AN532" i="7"/>
  <c r="AN76" i="7" s="1"/>
  <c r="AN77" i="7" s="1"/>
  <c r="AO542" i="7"/>
  <c r="AO543" i="7" s="1"/>
  <c r="AP573" i="7"/>
  <c r="AP541" i="7"/>
  <c r="AP569" i="7"/>
  <c r="AP540" i="7"/>
  <c r="AO166" i="7"/>
  <c r="AO130" i="7"/>
  <c r="AO51" i="7"/>
  <c r="AP558" i="7"/>
  <c r="AP568" i="7"/>
  <c r="AP567" i="7"/>
  <c r="AP560" i="7"/>
  <c r="AP533" i="7"/>
  <c r="AP545" i="7"/>
  <c r="AP544" i="7"/>
  <c r="AP555" i="7" s="1"/>
  <c r="AO30" i="7"/>
  <c r="AO595" i="7"/>
  <c r="AO580" i="7" s="1"/>
  <c r="AO64" i="7" s="1"/>
  <c r="AO627" i="7"/>
  <c r="AO612" i="7" s="1"/>
  <c r="AO65" i="7" s="1"/>
  <c r="AO57" i="7"/>
  <c r="AO396" i="7"/>
  <c r="AO404" i="7"/>
  <c r="AO402" i="7"/>
  <c r="AO399" i="7"/>
  <c r="AO403" i="7"/>
  <c r="AO423" i="7"/>
  <c r="AO427" i="7"/>
  <c r="AO431" i="7"/>
  <c r="AO451" i="7"/>
  <c r="AO455" i="7"/>
  <c r="AO424" i="7"/>
  <c r="AO428" i="7"/>
  <c r="AO448" i="7"/>
  <c r="AO452" i="7"/>
  <c r="AO456" i="7"/>
  <c r="AO559" i="7"/>
  <c r="AO553" i="7"/>
  <c r="AP566" i="7"/>
  <c r="AO659" i="7"/>
  <c r="AO644" i="7" s="1"/>
  <c r="AO66" i="7" s="1"/>
  <c r="AN550" i="7"/>
  <c r="AP670" i="7"/>
  <c r="AP669" i="7"/>
  <c r="AP667" i="7"/>
  <c r="AP666" i="7"/>
  <c r="AP665" i="7"/>
  <c r="AP664" i="7"/>
  <c r="AP663" i="7"/>
  <c r="AP661" i="7"/>
  <c r="B658" i="7"/>
  <c r="B657" i="7"/>
  <c r="B656" i="7"/>
  <c r="B655" i="7"/>
  <c r="B654" i="7"/>
  <c r="B653" i="7"/>
  <c r="B652" i="7"/>
  <c r="B651" i="7"/>
  <c r="B650" i="7"/>
  <c r="AP313" i="7"/>
  <c r="AP638" i="7"/>
  <c r="B638" i="7" s="1"/>
  <c r="AP637" i="7"/>
  <c r="B637" i="7" s="1"/>
  <c r="AP636" i="7"/>
  <c r="B636" i="7" s="1"/>
  <c r="AP635" i="7"/>
  <c r="B635" i="7" s="1"/>
  <c r="AP634" i="7"/>
  <c r="B634" i="7" s="1"/>
  <c r="AP633" i="7"/>
  <c r="B633" i="7" s="1"/>
  <c r="AP632" i="7"/>
  <c r="B632" i="7" s="1"/>
  <c r="AP630" i="7"/>
  <c r="AP629" i="7"/>
  <c r="B626" i="7"/>
  <c r="AN443" i="7" s="1"/>
  <c r="B625" i="7"/>
  <c r="AO307" i="7" s="1"/>
  <c r="B624" i="7"/>
  <c r="AO306" i="7" s="1"/>
  <c r="B623" i="7"/>
  <c r="AO305" i="7" s="1"/>
  <c r="B622" i="7"/>
  <c r="AN439" i="7" s="1"/>
  <c r="B621" i="7"/>
  <c r="AN438" i="7" s="1"/>
  <c r="B620" i="7"/>
  <c r="AO302" i="7" s="1"/>
  <c r="B619" i="7"/>
  <c r="AO301" i="7" s="1"/>
  <c r="B618" i="7"/>
  <c r="AN435" i="7" s="1"/>
  <c r="AP287" i="7"/>
  <c r="AP606" i="7"/>
  <c r="B606" i="7" s="1"/>
  <c r="AP605" i="7"/>
  <c r="B605" i="7" s="1"/>
  <c r="AP604" i="7"/>
  <c r="B604" i="7" s="1"/>
  <c r="AP603" i="7"/>
  <c r="B603" i="7" s="1"/>
  <c r="AP602" i="7"/>
  <c r="B602" i="7" s="1"/>
  <c r="AP601" i="7"/>
  <c r="B601" i="7" s="1"/>
  <c r="AP599" i="7"/>
  <c r="AP598" i="7"/>
  <c r="AP597" i="7"/>
  <c r="B594" i="7"/>
  <c r="AO282" i="7" s="1"/>
  <c r="B593" i="7"/>
  <c r="B592" i="7"/>
  <c r="B591" i="7"/>
  <c r="AO279" i="7" s="1"/>
  <c r="B590" i="7"/>
  <c r="AO278" i="7" s="1"/>
  <c r="B589" i="7"/>
  <c r="AN412" i="7" s="1"/>
  <c r="B588" i="7"/>
  <c r="AN411" i="7" s="1"/>
  <c r="B587" i="7"/>
  <c r="AO275" i="7" s="1"/>
  <c r="B586" i="7"/>
  <c r="AO274" i="7" s="1"/>
  <c r="AP262" i="7"/>
  <c r="AP480" i="7"/>
  <c r="AP481" i="7" s="1"/>
  <c r="AP474" i="7"/>
  <c r="AP475" i="7" s="1"/>
  <c r="AP391" i="7"/>
  <c r="AP296" i="7"/>
  <c r="AP378" i="7"/>
  <c r="AP377" i="7"/>
  <c r="AP376" i="7"/>
  <c r="AP375" i="7"/>
  <c r="AP374" i="7"/>
  <c r="AP373" i="7"/>
  <c r="AP257" i="7"/>
  <c r="AP244" i="7"/>
  <c r="AP243" i="7"/>
  <c r="AP242" i="7"/>
  <c r="AP241" i="7"/>
  <c r="AP240" i="7"/>
  <c r="AP239" i="7"/>
  <c r="AP28" i="7"/>
  <c r="AO258" i="7"/>
  <c r="AO400" i="7"/>
  <c r="AO398" i="7"/>
  <c r="AO397" i="7"/>
  <c r="AO401" i="7"/>
  <c r="AO405" i="7"/>
  <c r="AO425" i="7"/>
  <c r="AO429" i="7"/>
  <c r="AO449" i="7"/>
  <c r="AO453" i="7"/>
  <c r="AO457" i="7"/>
  <c r="AO422" i="7"/>
  <c r="AO426" i="7"/>
  <c r="AO430" i="7"/>
  <c r="AO450" i="7"/>
  <c r="AO454" i="7"/>
  <c r="AO392" i="7"/>
  <c r="AN67" i="7"/>
  <c r="B239" i="7" l="1" a="1"/>
  <c r="B239" i="7" s="1"/>
  <c r="B241" i="7" a="1"/>
  <c r="B241" i="7" s="1"/>
  <c r="B243" i="7" a="1"/>
  <c r="B243" i="7" s="1"/>
  <c r="B374" i="7" a="1"/>
  <c r="B374" i="7" s="1"/>
  <c r="B376" i="7" a="1"/>
  <c r="B376" i="7" s="1"/>
  <c r="B378" i="7" a="1"/>
  <c r="B378" i="7" s="1"/>
  <c r="B240" i="7" a="1"/>
  <c r="B240" i="7" s="1"/>
  <c r="B242" i="7" a="1"/>
  <c r="B242" i="7" s="1"/>
  <c r="B244" i="7" a="1"/>
  <c r="B244" i="7" s="1"/>
  <c r="B373" i="7" a="1"/>
  <c r="B373" i="7" s="1"/>
  <c r="B375" i="7" a="1"/>
  <c r="B375" i="7" s="1"/>
  <c r="B377" i="7" a="1"/>
  <c r="B377" i="7" s="1"/>
  <c r="AN534" i="7"/>
  <c r="AN529" i="7"/>
  <c r="AP542" i="7"/>
  <c r="AP543" i="7" s="1"/>
  <c r="AO532" i="7"/>
  <c r="AO76" i="7" s="1"/>
  <c r="AO77" i="7" s="1"/>
  <c r="R664" i="7"/>
  <c r="S664" i="7"/>
  <c r="T664" i="7"/>
  <c r="U664" i="7"/>
  <c r="V664" i="7"/>
  <c r="AL668" i="7"/>
  <c r="AM668" i="7"/>
  <c r="AN668" i="7"/>
  <c r="AO668" i="7"/>
  <c r="W665" i="7"/>
  <c r="X665" i="7"/>
  <c r="Y665" i="7"/>
  <c r="Z665" i="7"/>
  <c r="AA665" i="7"/>
  <c r="AP668" i="7"/>
  <c r="I662" i="7"/>
  <c r="J662" i="7"/>
  <c r="K662" i="7"/>
  <c r="L662" i="7"/>
  <c r="AB666" i="7"/>
  <c r="AC666" i="7"/>
  <c r="AD666" i="7"/>
  <c r="AE666" i="7"/>
  <c r="AF666" i="7"/>
  <c r="M663" i="7"/>
  <c r="N663" i="7"/>
  <c r="O663" i="7"/>
  <c r="P663" i="7"/>
  <c r="Q663" i="7"/>
  <c r="AG667" i="7"/>
  <c r="AH667" i="7"/>
  <c r="AI667" i="7"/>
  <c r="AJ667" i="7"/>
  <c r="AK667" i="7"/>
  <c r="AP265" i="7"/>
  <c r="AP276" i="7" s="1"/>
  <c r="AP315" i="7"/>
  <c r="AP327" i="7" s="1"/>
  <c r="AP317" i="7"/>
  <c r="AP452" i="7" s="1"/>
  <c r="AP464" i="7" s="1"/>
  <c r="AP321" i="7"/>
  <c r="AP456" i="7" s="1"/>
  <c r="AP468" i="7" s="1"/>
  <c r="AP270" i="7"/>
  <c r="AP281" i="7" s="1"/>
  <c r="AP319" i="7"/>
  <c r="AP454" i="7" s="1"/>
  <c r="AP466" i="7" s="1"/>
  <c r="AP288" i="7"/>
  <c r="AP300" i="7" s="1"/>
  <c r="AP290" i="7"/>
  <c r="AP425" i="7" s="1"/>
  <c r="AP437" i="7" s="1"/>
  <c r="AP292" i="7"/>
  <c r="AP304" i="7" s="1"/>
  <c r="AP268" i="7"/>
  <c r="AP402" i="7" s="1"/>
  <c r="AP414" i="7" s="1"/>
  <c r="AP266" i="7"/>
  <c r="AP400" i="7" s="1"/>
  <c r="AP412" i="7" s="1"/>
  <c r="AP294" i="7"/>
  <c r="AP306" i="7" s="1"/>
  <c r="AP264" i="7"/>
  <c r="AP398" i="7" s="1"/>
  <c r="AP410" i="7" s="1"/>
  <c r="AP293" i="7"/>
  <c r="AP428" i="7" s="1"/>
  <c r="AP440" i="7" s="1"/>
  <c r="AP271" i="7"/>
  <c r="AP405" i="7" s="1"/>
  <c r="AP417" i="7" s="1"/>
  <c r="AP318" i="7"/>
  <c r="AP453" i="7" s="1"/>
  <c r="AP465" i="7" s="1"/>
  <c r="AP263" i="7"/>
  <c r="AP274" i="7" s="1"/>
  <c r="AP289" i="7"/>
  <c r="AP424" i="7" s="1"/>
  <c r="AP436" i="7" s="1"/>
  <c r="AP314" i="7"/>
  <c r="AP449" i="7" s="1"/>
  <c r="AP461" i="7" s="1"/>
  <c r="AP322" i="7"/>
  <c r="AP457" i="7" s="1"/>
  <c r="AP469" i="7" s="1"/>
  <c r="AP269" i="7"/>
  <c r="AP403" i="7" s="1"/>
  <c r="AP415" i="7" s="1"/>
  <c r="AP267" i="7"/>
  <c r="AP401" i="7" s="1"/>
  <c r="AP413" i="7" s="1"/>
  <c r="AP291" i="7"/>
  <c r="AP303" i="7" s="1"/>
  <c r="AP295" i="7"/>
  <c r="AP430" i="7" s="1"/>
  <c r="AP442" i="7" s="1"/>
  <c r="AP316" i="7"/>
  <c r="AP451" i="7" s="1"/>
  <c r="AP463" i="7" s="1"/>
  <c r="AP320" i="7"/>
  <c r="AP332" i="7" s="1"/>
  <c r="AP166" i="7"/>
  <c r="AP130" i="7"/>
  <c r="AP51" i="7"/>
  <c r="AP662" i="7"/>
  <c r="F662" i="7"/>
  <c r="G662" i="7"/>
  <c r="H662" i="7"/>
  <c r="AN463" i="7"/>
  <c r="L664" i="7"/>
  <c r="M664" i="7"/>
  <c r="N664" i="7"/>
  <c r="AO330" i="7"/>
  <c r="R666" i="7"/>
  <c r="S666" i="7"/>
  <c r="T666" i="7"/>
  <c r="AN467" i="7"/>
  <c r="X668" i="7"/>
  <c r="Y668" i="7"/>
  <c r="Z668" i="7"/>
  <c r="AO334" i="7"/>
  <c r="AD670" i="7"/>
  <c r="AE670" i="7"/>
  <c r="AF670" i="7"/>
  <c r="AO327" i="7"/>
  <c r="I663" i="7"/>
  <c r="J663" i="7"/>
  <c r="K663" i="7"/>
  <c r="AO329" i="7"/>
  <c r="O665" i="7"/>
  <c r="P665" i="7"/>
  <c r="Q665" i="7"/>
  <c r="AN466" i="7"/>
  <c r="U667" i="7"/>
  <c r="V667" i="7"/>
  <c r="W667" i="7"/>
  <c r="AO333" i="7"/>
  <c r="AA669" i="7"/>
  <c r="AB669" i="7"/>
  <c r="AC669" i="7"/>
  <c r="AO469" i="7"/>
  <c r="AO461" i="7"/>
  <c r="AN462" i="7"/>
  <c r="AO331" i="7"/>
  <c r="AO412" i="7"/>
  <c r="AN410" i="7"/>
  <c r="AO466" i="7"/>
  <c r="AO462" i="7"/>
  <c r="AO441" i="7"/>
  <c r="AO410" i="7"/>
  <c r="AN442" i="7"/>
  <c r="AO303" i="7"/>
  <c r="AO465" i="7"/>
  <c r="AO417" i="7"/>
  <c r="AO409" i="7"/>
  <c r="AN414" i="7"/>
  <c r="AO437" i="7"/>
  <c r="AO277" i="7"/>
  <c r="AP30" i="7"/>
  <c r="AO67" i="7"/>
  <c r="AO413" i="7"/>
  <c r="AN413" i="7"/>
  <c r="AO442" i="7"/>
  <c r="AO438" i="7"/>
  <c r="AO326" i="7"/>
  <c r="AP57" i="7"/>
  <c r="AP422" i="7"/>
  <c r="AP392" i="7"/>
  <c r="AP431" i="7"/>
  <c r="AP443" i="7" s="1"/>
  <c r="AP308" i="7"/>
  <c r="O598" i="7"/>
  <c r="O607" i="7" s="1"/>
  <c r="O579" i="7" s="1"/>
  <c r="P598" i="7"/>
  <c r="P607" i="7" s="1"/>
  <c r="P579" i="7" s="1"/>
  <c r="P59" i="7" s="1"/>
  <c r="Q598" i="7"/>
  <c r="Q607" i="7" s="1"/>
  <c r="Q579" i="7" s="1"/>
  <c r="Q59" i="7" s="1"/>
  <c r="R598" i="7"/>
  <c r="R607" i="7" s="1"/>
  <c r="R579" i="7" s="1"/>
  <c r="R59" i="7" s="1"/>
  <c r="S598" i="7"/>
  <c r="S607" i="7" s="1"/>
  <c r="S579" i="7" s="1"/>
  <c r="S59" i="7" s="1"/>
  <c r="T598" i="7"/>
  <c r="T607" i="7" s="1"/>
  <c r="T579" i="7" s="1"/>
  <c r="T59" i="7" s="1"/>
  <c r="U598" i="7"/>
  <c r="U607" i="7" s="1"/>
  <c r="U579" i="7" s="1"/>
  <c r="U59" i="7" s="1"/>
  <c r="U274" i="7"/>
  <c r="T409" i="7"/>
  <c r="V598" i="7"/>
  <c r="V607" i="7" s="1"/>
  <c r="V579" i="7" s="1"/>
  <c r="V59" i="7" s="1"/>
  <c r="V274" i="7"/>
  <c r="C409" i="7"/>
  <c r="E409" i="7"/>
  <c r="F409" i="7"/>
  <c r="H409" i="7"/>
  <c r="M409" i="7"/>
  <c r="N409" i="7"/>
  <c r="Q409" i="7"/>
  <c r="R409" i="7"/>
  <c r="S409" i="7"/>
  <c r="U409" i="7"/>
  <c r="E274" i="7"/>
  <c r="I274" i="7"/>
  <c r="K274" i="7"/>
  <c r="N274" i="7"/>
  <c r="O274" i="7"/>
  <c r="P274" i="7"/>
  <c r="W598" i="7"/>
  <c r="W607" i="7" s="1"/>
  <c r="W579" i="7" s="1"/>
  <c r="W59" i="7" s="1"/>
  <c r="D409" i="7"/>
  <c r="G409" i="7"/>
  <c r="I409" i="7"/>
  <c r="J409" i="7"/>
  <c r="K409" i="7"/>
  <c r="L409" i="7"/>
  <c r="O409" i="7"/>
  <c r="P409" i="7"/>
  <c r="D274" i="7"/>
  <c r="C274" i="7"/>
  <c r="F274" i="7"/>
  <c r="G274" i="7"/>
  <c r="H274" i="7"/>
  <c r="J274" i="7"/>
  <c r="L274" i="7"/>
  <c r="M274" i="7"/>
  <c r="S274" i="7"/>
  <c r="T274" i="7"/>
  <c r="Q274" i="7"/>
  <c r="R274" i="7"/>
  <c r="X598" i="7"/>
  <c r="X607" i="7" s="1"/>
  <c r="X579" i="7" s="1"/>
  <c r="X59" i="7" s="1"/>
  <c r="V409" i="7"/>
  <c r="W274" i="7"/>
  <c r="Y598" i="7"/>
  <c r="Y607" i="7" s="1"/>
  <c r="Y579" i="7" s="1"/>
  <c r="Y59" i="7" s="1"/>
  <c r="W409" i="7"/>
  <c r="X274" i="7"/>
  <c r="Z598" i="7"/>
  <c r="Z607" i="7" s="1"/>
  <c r="Z579" i="7" s="1"/>
  <c r="Z59" i="7" s="1"/>
  <c r="Y274" i="7"/>
  <c r="X409" i="7"/>
  <c r="Y409" i="7"/>
  <c r="Z274" i="7"/>
  <c r="Z409" i="7"/>
  <c r="AA274" i="7"/>
  <c r="AA409" i="7"/>
  <c r="AB274" i="7"/>
  <c r="AC274" i="7"/>
  <c r="AB409" i="7"/>
  <c r="AD274" i="7"/>
  <c r="AC409" i="7"/>
  <c r="AD409" i="7"/>
  <c r="AE274" i="7"/>
  <c r="AF274" i="7"/>
  <c r="AE409" i="7"/>
  <c r="AG274" i="7"/>
  <c r="AF409" i="7"/>
  <c r="AG409" i="7"/>
  <c r="AH274" i="7"/>
  <c r="AI274" i="7"/>
  <c r="AH409" i="7"/>
  <c r="AJ274" i="7"/>
  <c r="AI409" i="7"/>
  <c r="AJ409" i="7"/>
  <c r="AK274" i="7"/>
  <c r="AL274" i="7"/>
  <c r="AK409" i="7"/>
  <c r="AL409" i="7"/>
  <c r="AM274" i="7"/>
  <c r="AN274" i="7"/>
  <c r="AM409" i="7"/>
  <c r="T411" i="7"/>
  <c r="U276" i="7"/>
  <c r="V276" i="7"/>
  <c r="C411" i="7"/>
  <c r="I411" i="7"/>
  <c r="J411" i="7"/>
  <c r="K411" i="7"/>
  <c r="L411" i="7"/>
  <c r="M411" i="7"/>
  <c r="P411" i="7"/>
  <c r="Q411" i="7"/>
  <c r="R411" i="7"/>
  <c r="S411" i="7"/>
  <c r="U411" i="7"/>
  <c r="F276" i="7"/>
  <c r="J276" i="7"/>
  <c r="M276" i="7"/>
  <c r="O276" i="7"/>
  <c r="S276" i="7"/>
  <c r="D411" i="7"/>
  <c r="E411" i="7"/>
  <c r="F411" i="7"/>
  <c r="G411" i="7"/>
  <c r="H411" i="7"/>
  <c r="N411" i="7"/>
  <c r="O411" i="7"/>
  <c r="C276" i="7"/>
  <c r="D276" i="7"/>
  <c r="E276" i="7"/>
  <c r="G276" i="7"/>
  <c r="H276" i="7"/>
  <c r="I276" i="7"/>
  <c r="K276" i="7"/>
  <c r="L276" i="7"/>
  <c r="N276" i="7"/>
  <c r="P276" i="7"/>
  <c r="Q276" i="7"/>
  <c r="R276" i="7"/>
  <c r="T276" i="7"/>
  <c r="V411" i="7"/>
  <c r="W276" i="7"/>
  <c r="X276" i="7"/>
  <c r="W411" i="7"/>
  <c r="X411" i="7"/>
  <c r="Y276" i="7"/>
  <c r="Z276" i="7"/>
  <c r="Y411" i="7"/>
  <c r="AA276" i="7"/>
  <c r="Z411" i="7"/>
  <c r="AB276" i="7"/>
  <c r="AA411" i="7"/>
  <c r="AC276" i="7"/>
  <c r="AB411" i="7"/>
  <c r="AD276" i="7"/>
  <c r="AC411" i="7"/>
  <c r="AE276" i="7"/>
  <c r="AD411" i="7"/>
  <c r="AE411" i="7"/>
  <c r="AF276" i="7"/>
  <c r="AG276" i="7"/>
  <c r="AF411" i="7"/>
  <c r="AH276" i="7"/>
  <c r="AG411" i="7"/>
  <c r="AH411" i="7"/>
  <c r="AI276" i="7"/>
  <c r="AI411" i="7"/>
  <c r="AJ276" i="7"/>
  <c r="AJ411" i="7"/>
  <c r="AK276" i="7"/>
  <c r="AL276" i="7"/>
  <c r="AK411" i="7"/>
  <c r="AM600" i="7"/>
  <c r="AM607" i="7" s="1"/>
  <c r="AM579" i="7" s="1"/>
  <c r="AM59" i="7" s="1"/>
  <c r="AM276" i="7"/>
  <c r="AL411" i="7"/>
  <c r="AN600" i="7"/>
  <c r="AN607" i="7" s="1"/>
  <c r="AN579" i="7" s="1"/>
  <c r="AN59" i="7" s="1"/>
  <c r="AM411" i="7"/>
  <c r="AN276" i="7"/>
  <c r="AO600" i="7"/>
  <c r="AO607" i="7" s="1"/>
  <c r="AO579" i="7" s="1"/>
  <c r="AO59" i="7" s="1"/>
  <c r="U278" i="7"/>
  <c r="T413" i="7"/>
  <c r="C413" i="7"/>
  <c r="E413" i="7"/>
  <c r="D413" i="7"/>
  <c r="F413" i="7"/>
  <c r="G413" i="7"/>
  <c r="I413" i="7"/>
  <c r="J413" i="7"/>
  <c r="K413" i="7"/>
  <c r="N413" i="7"/>
  <c r="O413" i="7"/>
  <c r="P413" i="7"/>
  <c r="Q413" i="7"/>
  <c r="C278" i="7"/>
  <c r="D278" i="7"/>
  <c r="F278" i="7"/>
  <c r="G278" i="7"/>
  <c r="H278" i="7"/>
  <c r="J278" i="7"/>
  <c r="L278" i="7"/>
  <c r="M278" i="7"/>
  <c r="N278" i="7"/>
  <c r="P278" i="7"/>
  <c r="S278" i="7"/>
  <c r="H413" i="7"/>
  <c r="L413" i="7"/>
  <c r="M413" i="7"/>
  <c r="R413" i="7"/>
  <c r="S413" i="7"/>
  <c r="U413" i="7"/>
  <c r="E278" i="7"/>
  <c r="I278" i="7"/>
  <c r="K278" i="7"/>
  <c r="O278" i="7"/>
  <c r="Q278" i="7"/>
  <c r="R278" i="7"/>
  <c r="T278" i="7"/>
  <c r="V278" i="7"/>
  <c r="V413" i="7"/>
  <c r="W278" i="7"/>
  <c r="X278" i="7"/>
  <c r="W413" i="7"/>
  <c r="Y278" i="7"/>
  <c r="X413" i="7"/>
  <c r="Z278" i="7"/>
  <c r="Y413" i="7"/>
  <c r="Z413" i="7"/>
  <c r="AA278" i="7"/>
  <c r="AA413" i="7"/>
  <c r="AB278" i="7"/>
  <c r="AC278" i="7"/>
  <c r="AB413" i="7"/>
  <c r="AC413" i="7"/>
  <c r="AD278" i="7"/>
  <c r="AE278" i="7"/>
  <c r="AD413" i="7"/>
  <c r="AF278" i="7"/>
  <c r="AE413" i="7"/>
  <c r="AG278" i="7"/>
  <c r="AF413" i="7"/>
  <c r="AH278" i="7"/>
  <c r="AG413" i="7"/>
  <c r="AI278" i="7"/>
  <c r="AH413" i="7"/>
  <c r="AJ278" i="7"/>
  <c r="AI413" i="7"/>
  <c r="AK278" i="7"/>
  <c r="AJ413" i="7"/>
  <c r="AL278" i="7"/>
  <c r="AK413" i="7"/>
  <c r="AM278" i="7"/>
  <c r="AL413" i="7"/>
  <c r="AM413" i="7"/>
  <c r="AN278" i="7"/>
  <c r="T415" i="7"/>
  <c r="U280" i="7"/>
  <c r="E415" i="7"/>
  <c r="F415" i="7"/>
  <c r="G415" i="7"/>
  <c r="I415" i="7"/>
  <c r="J415" i="7"/>
  <c r="K415" i="7"/>
  <c r="L415" i="7"/>
  <c r="M415" i="7"/>
  <c r="O415" i="7"/>
  <c r="P415" i="7"/>
  <c r="R415" i="7"/>
  <c r="C280" i="7"/>
  <c r="E280" i="7"/>
  <c r="G280" i="7"/>
  <c r="I280" i="7"/>
  <c r="K280" i="7"/>
  <c r="O280" i="7"/>
  <c r="P280" i="7"/>
  <c r="R280" i="7"/>
  <c r="V280" i="7"/>
  <c r="C415" i="7"/>
  <c r="D415" i="7"/>
  <c r="H415" i="7"/>
  <c r="N415" i="7"/>
  <c r="Q415" i="7"/>
  <c r="S415" i="7"/>
  <c r="U415" i="7"/>
  <c r="D280" i="7"/>
  <c r="F280" i="7"/>
  <c r="H280" i="7"/>
  <c r="J280" i="7"/>
  <c r="L280" i="7"/>
  <c r="M280" i="7"/>
  <c r="N280" i="7"/>
  <c r="Q280" i="7"/>
  <c r="S280" i="7"/>
  <c r="T280" i="7"/>
  <c r="V415" i="7"/>
  <c r="W280" i="7"/>
  <c r="X280" i="7"/>
  <c r="W415" i="7"/>
  <c r="Y280" i="7"/>
  <c r="X415" i="7"/>
  <c r="Z280" i="7"/>
  <c r="Y415" i="7"/>
  <c r="AA280" i="7"/>
  <c r="Z415" i="7"/>
  <c r="AA415" i="7"/>
  <c r="AB280" i="7"/>
  <c r="AB415" i="7"/>
  <c r="AC280" i="7"/>
  <c r="AD280" i="7"/>
  <c r="AC415" i="7"/>
  <c r="AE280" i="7"/>
  <c r="AD415" i="7"/>
  <c r="AE415" i="7"/>
  <c r="AF280" i="7"/>
  <c r="AG280" i="7"/>
  <c r="AF415" i="7"/>
  <c r="AG415" i="7"/>
  <c r="AH280" i="7"/>
  <c r="AI280" i="7"/>
  <c r="AH415" i="7"/>
  <c r="AJ280" i="7"/>
  <c r="AI415" i="7"/>
  <c r="AK280" i="7"/>
  <c r="AJ415" i="7"/>
  <c r="AL280" i="7"/>
  <c r="AK415" i="7"/>
  <c r="AL415" i="7"/>
  <c r="AM280" i="7"/>
  <c r="AN280" i="7"/>
  <c r="AM415" i="7"/>
  <c r="U282" i="7"/>
  <c r="T417" i="7"/>
  <c r="V282" i="7"/>
  <c r="D417" i="7"/>
  <c r="F417" i="7"/>
  <c r="G417" i="7"/>
  <c r="H417" i="7"/>
  <c r="I417" i="7"/>
  <c r="K417" i="7"/>
  <c r="N417" i="7"/>
  <c r="U417" i="7"/>
  <c r="D282" i="7"/>
  <c r="E282" i="7"/>
  <c r="F282" i="7"/>
  <c r="H282" i="7"/>
  <c r="I282" i="7"/>
  <c r="J282" i="7"/>
  <c r="K282" i="7"/>
  <c r="L282" i="7"/>
  <c r="C417" i="7"/>
  <c r="E417" i="7"/>
  <c r="J417" i="7"/>
  <c r="L417" i="7"/>
  <c r="M417" i="7"/>
  <c r="O417" i="7"/>
  <c r="P417" i="7"/>
  <c r="Q417" i="7"/>
  <c r="R417" i="7"/>
  <c r="S417" i="7"/>
  <c r="C282" i="7"/>
  <c r="G282" i="7"/>
  <c r="M282" i="7"/>
  <c r="N282" i="7"/>
  <c r="O282" i="7"/>
  <c r="P282" i="7"/>
  <c r="R282" i="7"/>
  <c r="S282" i="7"/>
  <c r="T282" i="7"/>
  <c r="Q282" i="7"/>
  <c r="V417" i="7"/>
  <c r="W282" i="7"/>
  <c r="W417" i="7"/>
  <c r="X282" i="7"/>
  <c r="Y282" i="7"/>
  <c r="X417" i="7"/>
  <c r="Y417" i="7"/>
  <c r="Z282" i="7"/>
  <c r="AA282" i="7"/>
  <c r="Z417" i="7"/>
  <c r="AA417" i="7"/>
  <c r="AB282" i="7"/>
  <c r="AC282" i="7"/>
  <c r="AB417" i="7"/>
  <c r="AD282" i="7"/>
  <c r="AC417" i="7"/>
  <c r="AD417" i="7"/>
  <c r="AE282" i="7"/>
  <c r="AF282" i="7"/>
  <c r="AE417" i="7"/>
  <c r="AG282" i="7"/>
  <c r="AF417" i="7"/>
  <c r="AG417" i="7"/>
  <c r="AH282" i="7"/>
  <c r="AH417" i="7"/>
  <c r="AI282" i="7"/>
  <c r="AJ282" i="7"/>
  <c r="AI417" i="7"/>
  <c r="AJ417" i="7"/>
  <c r="AK282" i="7"/>
  <c r="AL282" i="7"/>
  <c r="AK417" i="7"/>
  <c r="AM282" i="7"/>
  <c r="AL417" i="7"/>
  <c r="AN282" i="7"/>
  <c r="AM417" i="7"/>
  <c r="R630" i="7"/>
  <c r="R639" i="7" s="1"/>
  <c r="R611" i="7" s="1"/>
  <c r="R60" i="7" s="1"/>
  <c r="S630" i="7"/>
  <c r="S639" i="7" s="1"/>
  <c r="S611" i="7" s="1"/>
  <c r="S60" i="7" s="1"/>
  <c r="T630" i="7"/>
  <c r="T639" i="7" s="1"/>
  <c r="T611" i="7" s="1"/>
  <c r="T60" i="7" s="1"/>
  <c r="U630" i="7"/>
  <c r="U639" i="7" s="1"/>
  <c r="U611" i="7" s="1"/>
  <c r="U60" i="7" s="1"/>
  <c r="T435" i="7"/>
  <c r="V630" i="7"/>
  <c r="V639" i="7" s="1"/>
  <c r="V611" i="7" s="1"/>
  <c r="V60" i="7" s="1"/>
  <c r="U300" i="7"/>
  <c r="W630" i="7"/>
  <c r="W639" i="7" s="1"/>
  <c r="W611" i="7" s="1"/>
  <c r="W60" i="7" s="1"/>
  <c r="V300" i="7"/>
  <c r="C435" i="7"/>
  <c r="D435" i="7"/>
  <c r="E435" i="7"/>
  <c r="F435" i="7"/>
  <c r="G435" i="7"/>
  <c r="K435" i="7"/>
  <c r="L435" i="7"/>
  <c r="N435" i="7"/>
  <c r="O435" i="7"/>
  <c r="P435" i="7"/>
  <c r="U435" i="7"/>
  <c r="D300" i="7"/>
  <c r="F300" i="7"/>
  <c r="K300" i="7"/>
  <c r="M300" i="7"/>
  <c r="O300" i="7"/>
  <c r="H435" i="7"/>
  <c r="I435" i="7"/>
  <c r="J435" i="7"/>
  <c r="M435" i="7"/>
  <c r="Q435" i="7"/>
  <c r="R435" i="7"/>
  <c r="S435" i="7"/>
  <c r="C300" i="7"/>
  <c r="E300" i="7"/>
  <c r="G300" i="7"/>
  <c r="H300" i="7"/>
  <c r="I300" i="7"/>
  <c r="J300" i="7"/>
  <c r="L300" i="7"/>
  <c r="N300" i="7"/>
  <c r="P300" i="7"/>
  <c r="Q300" i="7"/>
  <c r="S300" i="7"/>
  <c r="T300" i="7"/>
  <c r="R300" i="7"/>
  <c r="V435" i="7"/>
  <c r="X630" i="7"/>
  <c r="X639" i="7" s="1"/>
  <c r="X611" i="7" s="1"/>
  <c r="X60" i="7" s="1"/>
  <c r="W300" i="7"/>
  <c r="Y630" i="7"/>
  <c r="Y639" i="7" s="1"/>
  <c r="Y611" i="7" s="1"/>
  <c r="Y60" i="7" s="1"/>
  <c r="X300" i="7"/>
  <c r="W435" i="7"/>
  <c r="Z630" i="7"/>
  <c r="Z639" i="7" s="1"/>
  <c r="Z611" i="7" s="1"/>
  <c r="Z60" i="7" s="1"/>
  <c r="X435" i="7"/>
  <c r="Y300" i="7"/>
  <c r="AA630" i="7"/>
  <c r="AA639" i="7" s="1"/>
  <c r="AA611" i="7" s="1"/>
  <c r="AA60" i="7" s="1"/>
  <c r="Y435" i="7"/>
  <c r="Z300" i="7"/>
  <c r="AA300" i="7"/>
  <c r="AB630" i="7"/>
  <c r="AB639" i="7" s="1"/>
  <c r="AB611" i="7" s="1"/>
  <c r="AB60" i="7" s="1"/>
  <c r="Z435" i="7"/>
  <c r="AC630" i="7"/>
  <c r="AC639" i="7" s="1"/>
  <c r="AC611" i="7" s="1"/>
  <c r="AC60" i="7" s="1"/>
  <c r="AB300" i="7"/>
  <c r="AA435" i="7"/>
  <c r="AD630" i="7"/>
  <c r="AD639" i="7" s="1"/>
  <c r="AD611" i="7" s="1"/>
  <c r="AD60" i="7" s="1"/>
  <c r="AC300" i="7"/>
  <c r="AB435" i="7"/>
  <c r="AE630" i="7"/>
  <c r="AE639" i="7" s="1"/>
  <c r="AE611" i="7" s="1"/>
  <c r="AE60" i="7" s="1"/>
  <c r="AD300" i="7"/>
  <c r="AC435" i="7"/>
  <c r="AE300" i="7"/>
  <c r="AD435" i="7"/>
  <c r="AF630" i="7"/>
  <c r="AF639" i="7" s="1"/>
  <c r="AF611" i="7" s="1"/>
  <c r="AF60" i="7" s="1"/>
  <c r="AE435" i="7"/>
  <c r="AF300" i="7"/>
  <c r="AG300" i="7"/>
  <c r="AF435" i="7"/>
  <c r="AH300" i="7"/>
  <c r="AG435" i="7"/>
  <c r="AI300" i="7"/>
  <c r="AH435" i="7"/>
  <c r="AI435" i="7"/>
  <c r="AJ300" i="7"/>
  <c r="AK300" i="7"/>
  <c r="AJ435" i="7"/>
  <c r="AL300" i="7"/>
  <c r="AK435" i="7"/>
  <c r="AM300" i="7"/>
  <c r="AL435" i="7"/>
  <c r="AM435" i="7"/>
  <c r="AN300" i="7"/>
  <c r="U302" i="7"/>
  <c r="T437" i="7"/>
  <c r="H437" i="7"/>
  <c r="I437" i="7"/>
  <c r="L437" i="7"/>
  <c r="N437" i="7"/>
  <c r="P437" i="7"/>
  <c r="Q437" i="7"/>
  <c r="C302" i="7"/>
  <c r="G302" i="7"/>
  <c r="L302" i="7"/>
  <c r="M302" i="7"/>
  <c r="O302" i="7"/>
  <c r="R302" i="7"/>
  <c r="T302" i="7"/>
  <c r="C437" i="7"/>
  <c r="D437" i="7"/>
  <c r="E437" i="7"/>
  <c r="F437" i="7"/>
  <c r="G437" i="7"/>
  <c r="J437" i="7"/>
  <c r="K437" i="7"/>
  <c r="M437" i="7"/>
  <c r="O437" i="7"/>
  <c r="R437" i="7"/>
  <c r="S437" i="7"/>
  <c r="U437" i="7"/>
  <c r="D302" i="7"/>
  <c r="E302" i="7"/>
  <c r="F302" i="7"/>
  <c r="H302" i="7"/>
  <c r="I302" i="7"/>
  <c r="J302" i="7"/>
  <c r="K302" i="7"/>
  <c r="N302" i="7"/>
  <c r="P302" i="7"/>
  <c r="Q302" i="7"/>
  <c r="S302" i="7"/>
  <c r="V302" i="7"/>
  <c r="V437" i="7"/>
  <c r="W302" i="7"/>
  <c r="X302" i="7"/>
  <c r="W437" i="7"/>
  <c r="Y302" i="7"/>
  <c r="X437" i="7"/>
  <c r="Z302" i="7"/>
  <c r="Y437" i="7"/>
  <c r="AA302" i="7"/>
  <c r="Z437" i="7"/>
  <c r="AA437" i="7"/>
  <c r="AB302" i="7"/>
  <c r="AC302" i="7"/>
  <c r="AB437" i="7"/>
  <c r="AD302" i="7"/>
  <c r="AC437" i="7"/>
  <c r="AD437" i="7"/>
  <c r="AE302" i="7"/>
  <c r="AE437" i="7"/>
  <c r="AF302" i="7"/>
  <c r="AG302" i="7"/>
  <c r="AF437" i="7"/>
  <c r="AG437" i="7"/>
  <c r="AH302" i="7"/>
  <c r="AI302" i="7"/>
  <c r="AH437" i="7"/>
  <c r="AJ302" i="7"/>
  <c r="AI437" i="7"/>
  <c r="AJ437" i="7"/>
  <c r="AK302" i="7"/>
  <c r="AK437" i="7"/>
  <c r="AL302" i="7"/>
  <c r="AL437" i="7"/>
  <c r="AM302" i="7"/>
  <c r="AM437" i="7"/>
  <c r="AN302" i="7"/>
  <c r="U304" i="7"/>
  <c r="T439" i="7"/>
  <c r="V304" i="7"/>
  <c r="E439" i="7"/>
  <c r="F439" i="7"/>
  <c r="G439" i="7"/>
  <c r="J439" i="7"/>
  <c r="L439" i="7"/>
  <c r="P439" i="7"/>
  <c r="Q439" i="7"/>
  <c r="S439" i="7"/>
  <c r="D304" i="7"/>
  <c r="C304" i="7"/>
  <c r="E304" i="7"/>
  <c r="G304" i="7"/>
  <c r="H304" i="7"/>
  <c r="I304" i="7"/>
  <c r="J304" i="7"/>
  <c r="L304" i="7"/>
  <c r="N304" i="7"/>
  <c r="P304" i="7"/>
  <c r="Q304" i="7"/>
  <c r="T304" i="7"/>
  <c r="C439" i="7"/>
  <c r="D439" i="7"/>
  <c r="H439" i="7"/>
  <c r="I439" i="7"/>
  <c r="K439" i="7"/>
  <c r="M439" i="7"/>
  <c r="N439" i="7"/>
  <c r="O439" i="7"/>
  <c r="R439" i="7"/>
  <c r="U439" i="7"/>
  <c r="F304" i="7"/>
  <c r="K304" i="7"/>
  <c r="M304" i="7"/>
  <c r="O304" i="7"/>
  <c r="R304" i="7"/>
  <c r="S304" i="7"/>
  <c r="W304" i="7"/>
  <c r="V439" i="7"/>
  <c r="W439" i="7"/>
  <c r="X304" i="7"/>
  <c r="Y304" i="7"/>
  <c r="X439" i="7"/>
  <c r="Z304" i="7"/>
  <c r="Y439" i="7"/>
  <c r="AA304" i="7"/>
  <c r="Z439" i="7"/>
  <c r="AA439" i="7"/>
  <c r="AB304" i="7"/>
  <c r="AC304" i="7"/>
  <c r="AB439" i="7"/>
  <c r="AD304" i="7"/>
  <c r="AC439" i="7"/>
  <c r="AE304" i="7"/>
  <c r="AD439" i="7"/>
  <c r="AF304" i="7"/>
  <c r="AE439" i="7"/>
  <c r="AF439" i="7"/>
  <c r="AG304" i="7"/>
  <c r="AG439" i="7"/>
  <c r="AH304" i="7"/>
  <c r="AH439" i="7"/>
  <c r="AI304" i="7"/>
  <c r="AJ304" i="7"/>
  <c r="AI439" i="7"/>
  <c r="AK304" i="7"/>
  <c r="AJ439" i="7"/>
  <c r="AL304" i="7"/>
  <c r="AK439" i="7"/>
  <c r="AL439" i="7"/>
  <c r="AM304" i="7"/>
  <c r="AN304" i="7"/>
  <c r="AM439" i="7"/>
  <c r="U306" i="7"/>
  <c r="T441" i="7"/>
  <c r="C441" i="7"/>
  <c r="E441" i="7"/>
  <c r="D441" i="7"/>
  <c r="H441" i="7"/>
  <c r="M441" i="7"/>
  <c r="O441" i="7"/>
  <c r="Q441" i="7"/>
  <c r="R441" i="7"/>
  <c r="S441" i="7"/>
  <c r="U441" i="7"/>
  <c r="D306" i="7"/>
  <c r="E306" i="7"/>
  <c r="F306" i="7"/>
  <c r="H306" i="7"/>
  <c r="I306" i="7"/>
  <c r="J306" i="7"/>
  <c r="K306" i="7"/>
  <c r="N306" i="7"/>
  <c r="O306" i="7"/>
  <c r="P306" i="7"/>
  <c r="Q306" i="7"/>
  <c r="V306" i="7"/>
  <c r="F441" i="7"/>
  <c r="G441" i="7"/>
  <c r="I441" i="7"/>
  <c r="J441" i="7"/>
  <c r="K441" i="7"/>
  <c r="L441" i="7"/>
  <c r="N441" i="7"/>
  <c r="P441" i="7"/>
  <c r="C306" i="7"/>
  <c r="G306" i="7"/>
  <c r="L306" i="7"/>
  <c r="M306" i="7"/>
  <c r="R306" i="7"/>
  <c r="S306" i="7"/>
  <c r="T306" i="7"/>
  <c r="V441" i="7"/>
  <c r="W306" i="7"/>
  <c r="X306" i="7"/>
  <c r="W441" i="7"/>
  <c r="Y306" i="7"/>
  <c r="X441" i="7"/>
  <c r="Z306" i="7"/>
  <c r="Y441" i="7"/>
  <c r="Z441" i="7"/>
  <c r="AA306" i="7"/>
  <c r="AA441" i="7"/>
  <c r="AB306" i="7"/>
  <c r="AC306" i="7"/>
  <c r="AB441" i="7"/>
  <c r="AD306" i="7"/>
  <c r="AC441" i="7"/>
  <c r="AD441" i="7"/>
  <c r="AE306" i="7"/>
  <c r="AF306" i="7"/>
  <c r="AE441" i="7"/>
  <c r="AG306" i="7"/>
  <c r="AF441" i="7"/>
  <c r="AG441" i="7"/>
  <c r="AH306" i="7"/>
  <c r="AH441" i="7"/>
  <c r="AI306" i="7"/>
  <c r="AJ306" i="7"/>
  <c r="AI441" i="7"/>
  <c r="AJ441" i="7"/>
  <c r="AK306" i="7"/>
  <c r="AL306" i="7"/>
  <c r="AK441" i="7"/>
  <c r="AM306" i="7"/>
  <c r="AL441" i="7"/>
  <c r="AN306" i="7"/>
  <c r="AM441" i="7"/>
  <c r="T443" i="7"/>
  <c r="U308" i="7"/>
  <c r="V308" i="7"/>
  <c r="C443" i="7"/>
  <c r="D443" i="7"/>
  <c r="H443" i="7"/>
  <c r="J443" i="7"/>
  <c r="M443" i="7"/>
  <c r="O443" i="7"/>
  <c r="Q443" i="7"/>
  <c r="R443" i="7"/>
  <c r="S443" i="7"/>
  <c r="U443" i="7"/>
  <c r="F308" i="7"/>
  <c r="K308" i="7"/>
  <c r="M308" i="7"/>
  <c r="R308" i="7"/>
  <c r="S308" i="7"/>
  <c r="E443" i="7"/>
  <c r="F443" i="7"/>
  <c r="G443" i="7"/>
  <c r="I443" i="7"/>
  <c r="K443" i="7"/>
  <c r="L443" i="7"/>
  <c r="N443" i="7"/>
  <c r="P443" i="7"/>
  <c r="D308" i="7"/>
  <c r="C308" i="7"/>
  <c r="E308" i="7"/>
  <c r="G308" i="7"/>
  <c r="H308" i="7"/>
  <c r="I308" i="7"/>
  <c r="J308" i="7"/>
  <c r="L308" i="7"/>
  <c r="N308" i="7"/>
  <c r="O308" i="7"/>
  <c r="P308" i="7"/>
  <c r="Q308" i="7"/>
  <c r="T308" i="7"/>
  <c r="V443" i="7"/>
  <c r="W308" i="7"/>
  <c r="X308" i="7"/>
  <c r="W443" i="7"/>
  <c r="Y308" i="7"/>
  <c r="X443" i="7"/>
  <c r="Z308" i="7"/>
  <c r="Y443" i="7"/>
  <c r="AA308" i="7"/>
  <c r="Z443" i="7"/>
  <c r="AB308" i="7"/>
  <c r="AA443" i="7"/>
  <c r="AC308" i="7"/>
  <c r="AB443" i="7"/>
  <c r="AC443" i="7"/>
  <c r="AD308" i="7"/>
  <c r="AE308" i="7"/>
  <c r="AD443" i="7"/>
  <c r="AE443" i="7"/>
  <c r="AF308" i="7"/>
  <c r="AG308" i="7"/>
  <c r="AF443" i="7"/>
  <c r="AH308" i="7"/>
  <c r="AG443" i="7"/>
  <c r="AI308" i="7"/>
  <c r="AH443" i="7"/>
  <c r="AI443" i="7"/>
  <c r="AJ308" i="7"/>
  <c r="AJ443" i="7"/>
  <c r="AK308" i="7"/>
  <c r="AL308" i="7"/>
  <c r="AK443" i="7"/>
  <c r="AM308" i="7"/>
  <c r="AL443" i="7"/>
  <c r="AM443" i="7"/>
  <c r="AN308" i="7"/>
  <c r="U326" i="7"/>
  <c r="T461" i="7"/>
  <c r="C461" i="7"/>
  <c r="E461" i="7"/>
  <c r="F461" i="7"/>
  <c r="G461" i="7"/>
  <c r="J461" i="7"/>
  <c r="K461" i="7"/>
  <c r="M461" i="7"/>
  <c r="R461" i="7"/>
  <c r="S461" i="7"/>
  <c r="C326" i="7"/>
  <c r="D326" i="7"/>
  <c r="G326" i="7"/>
  <c r="L326" i="7"/>
  <c r="M326" i="7"/>
  <c r="N326" i="7"/>
  <c r="R326" i="7"/>
  <c r="S326" i="7"/>
  <c r="W662" i="7"/>
  <c r="D461" i="7"/>
  <c r="H461" i="7"/>
  <c r="I461" i="7"/>
  <c r="L461" i="7"/>
  <c r="N461" i="7"/>
  <c r="O461" i="7"/>
  <c r="P461" i="7"/>
  <c r="Q461" i="7"/>
  <c r="U461" i="7"/>
  <c r="E326" i="7"/>
  <c r="F326" i="7"/>
  <c r="H326" i="7"/>
  <c r="I326" i="7"/>
  <c r="J326" i="7"/>
  <c r="K326" i="7"/>
  <c r="O326" i="7"/>
  <c r="P326" i="7"/>
  <c r="Q326" i="7"/>
  <c r="T326" i="7"/>
  <c r="V326" i="7"/>
  <c r="V461" i="7"/>
  <c r="X662" i="7"/>
  <c r="W326" i="7"/>
  <c r="X326" i="7"/>
  <c r="W461" i="7"/>
  <c r="Y662" i="7"/>
  <c r="Y326" i="7"/>
  <c r="Z662" i="7"/>
  <c r="X461" i="7"/>
  <c r="Z326" i="7"/>
  <c r="AA662" i="7"/>
  <c r="Y461" i="7"/>
  <c r="AB662" i="7"/>
  <c r="AA326" i="7"/>
  <c r="Z461" i="7"/>
  <c r="AC662" i="7"/>
  <c r="AA461" i="7"/>
  <c r="AB326" i="7"/>
  <c r="AC326" i="7"/>
  <c r="AB461" i="7"/>
  <c r="AD662" i="7"/>
  <c r="AE662" i="7"/>
  <c r="AD326" i="7"/>
  <c r="AC461" i="7"/>
  <c r="AD461" i="7"/>
  <c r="AF662" i="7"/>
  <c r="AE326" i="7"/>
  <c r="AG662" i="7"/>
  <c r="AF326" i="7"/>
  <c r="AE461" i="7"/>
  <c r="AH662" i="7"/>
  <c r="AG326" i="7"/>
  <c r="AF461" i="7"/>
  <c r="AI662" i="7"/>
  <c r="AG461" i="7"/>
  <c r="AH326" i="7"/>
  <c r="AJ662" i="7"/>
  <c r="AI326" i="7"/>
  <c r="AH461" i="7"/>
  <c r="AJ326" i="7"/>
  <c r="AK662" i="7"/>
  <c r="AI461" i="7"/>
  <c r="AJ461" i="7"/>
  <c r="AL662" i="7"/>
  <c r="AK326" i="7"/>
  <c r="AM662" i="7"/>
  <c r="AM671" i="7" s="1"/>
  <c r="AM643" i="7" s="1"/>
  <c r="AM61" i="7" s="1"/>
  <c r="AL326" i="7"/>
  <c r="AK461" i="7"/>
  <c r="AL461" i="7"/>
  <c r="AN662" i="7"/>
  <c r="AM326" i="7"/>
  <c r="AN326" i="7"/>
  <c r="AM461" i="7"/>
  <c r="AO662" i="7"/>
  <c r="AO671" i="7" s="1"/>
  <c r="AO643" i="7" s="1"/>
  <c r="AO61" i="7" s="1"/>
  <c r="T463" i="7"/>
  <c r="U328" i="7"/>
  <c r="V328" i="7"/>
  <c r="H463" i="7"/>
  <c r="I463" i="7"/>
  <c r="K463" i="7"/>
  <c r="M463" i="7"/>
  <c r="N463" i="7"/>
  <c r="R463" i="7"/>
  <c r="D328" i="7"/>
  <c r="C328" i="7"/>
  <c r="E328" i="7"/>
  <c r="G328" i="7"/>
  <c r="H328" i="7"/>
  <c r="I328" i="7"/>
  <c r="J328" i="7"/>
  <c r="L328" i="7"/>
  <c r="N328" i="7"/>
  <c r="O328" i="7"/>
  <c r="Q328" i="7"/>
  <c r="D463" i="7"/>
  <c r="C463" i="7"/>
  <c r="E463" i="7"/>
  <c r="F463" i="7"/>
  <c r="G463" i="7"/>
  <c r="J463" i="7"/>
  <c r="L463" i="7"/>
  <c r="O463" i="7"/>
  <c r="P463" i="7"/>
  <c r="Q463" i="7"/>
  <c r="S463" i="7"/>
  <c r="U463" i="7"/>
  <c r="F328" i="7"/>
  <c r="K328" i="7"/>
  <c r="M328" i="7"/>
  <c r="P328" i="7"/>
  <c r="R328" i="7"/>
  <c r="S328" i="7"/>
  <c r="T328" i="7"/>
  <c r="W328" i="7"/>
  <c r="V463" i="7"/>
  <c r="X328" i="7"/>
  <c r="W463" i="7"/>
  <c r="X463" i="7"/>
  <c r="Y328" i="7"/>
  <c r="Z328" i="7"/>
  <c r="Y463" i="7"/>
  <c r="AA328" i="7"/>
  <c r="Z463" i="7"/>
  <c r="AA463" i="7"/>
  <c r="AB328" i="7"/>
  <c r="AB463" i="7"/>
  <c r="AC328" i="7"/>
  <c r="AD328" i="7"/>
  <c r="AC463" i="7"/>
  <c r="AE328" i="7"/>
  <c r="AD463" i="7"/>
  <c r="AF328" i="7"/>
  <c r="AE463" i="7"/>
  <c r="AG328" i="7"/>
  <c r="AF463" i="7"/>
  <c r="AG463" i="7"/>
  <c r="AH328" i="7"/>
  <c r="AH463" i="7"/>
  <c r="AI328" i="7"/>
  <c r="AJ328" i="7"/>
  <c r="AI463" i="7"/>
  <c r="AK328" i="7"/>
  <c r="AJ463" i="7"/>
  <c r="AL328" i="7"/>
  <c r="AK463" i="7"/>
  <c r="AL463" i="7"/>
  <c r="AM328" i="7"/>
  <c r="AN328" i="7"/>
  <c r="AM463" i="7"/>
  <c r="U330" i="7"/>
  <c r="T465" i="7"/>
  <c r="F465" i="7"/>
  <c r="G465" i="7"/>
  <c r="J465" i="7"/>
  <c r="K465" i="7"/>
  <c r="L465" i="7"/>
  <c r="O465" i="7"/>
  <c r="P465" i="7"/>
  <c r="Q465" i="7"/>
  <c r="U465" i="7"/>
  <c r="D330" i="7"/>
  <c r="E330" i="7"/>
  <c r="F330" i="7"/>
  <c r="H330" i="7"/>
  <c r="I330" i="7"/>
  <c r="J330" i="7"/>
  <c r="K330" i="7"/>
  <c r="M330" i="7"/>
  <c r="O330" i="7"/>
  <c r="P330" i="7"/>
  <c r="V330" i="7"/>
  <c r="C465" i="7"/>
  <c r="D465" i="7"/>
  <c r="E465" i="7"/>
  <c r="H465" i="7"/>
  <c r="I465" i="7"/>
  <c r="M465" i="7"/>
  <c r="N465" i="7"/>
  <c r="R465" i="7"/>
  <c r="S465" i="7"/>
  <c r="C330" i="7"/>
  <c r="G330" i="7"/>
  <c r="L330" i="7"/>
  <c r="N330" i="7"/>
  <c r="R330" i="7"/>
  <c r="S330" i="7"/>
  <c r="T330" i="7"/>
  <c r="Q330" i="7"/>
  <c r="V465" i="7"/>
  <c r="W330" i="7"/>
  <c r="X330" i="7"/>
  <c r="W465" i="7"/>
  <c r="Y330" i="7"/>
  <c r="X465" i="7"/>
  <c r="Z330" i="7"/>
  <c r="Y465" i="7"/>
  <c r="Z465" i="7"/>
  <c r="AA330" i="7"/>
  <c r="AA465" i="7"/>
  <c r="AB330" i="7"/>
  <c r="AC330" i="7"/>
  <c r="AB465" i="7"/>
  <c r="AD330" i="7"/>
  <c r="AC465" i="7"/>
  <c r="AD465" i="7"/>
  <c r="AE330" i="7"/>
  <c r="AF330" i="7"/>
  <c r="AE465" i="7"/>
  <c r="AG330" i="7"/>
  <c r="AF465" i="7"/>
  <c r="AG465" i="7"/>
  <c r="AH330" i="7"/>
  <c r="AH465" i="7"/>
  <c r="AI330" i="7"/>
  <c r="AJ330" i="7"/>
  <c r="AI465" i="7"/>
  <c r="AJ465" i="7"/>
  <c r="AK330" i="7"/>
  <c r="AL330" i="7"/>
  <c r="AK465" i="7"/>
  <c r="AM330" i="7"/>
  <c r="AL465" i="7"/>
  <c r="AM465" i="7"/>
  <c r="AN330" i="7"/>
  <c r="T467" i="7"/>
  <c r="U332" i="7"/>
  <c r="V332" i="7"/>
  <c r="E467" i="7"/>
  <c r="G467" i="7"/>
  <c r="I467" i="7"/>
  <c r="K467" i="7"/>
  <c r="L467" i="7"/>
  <c r="N467" i="7"/>
  <c r="P467" i="7"/>
  <c r="U467" i="7"/>
  <c r="F332" i="7"/>
  <c r="J332" i="7"/>
  <c r="K332" i="7"/>
  <c r="M332" i="7"/>
  <c r="P332" i="7"/>
  <c r="C467" i="7"/>
  <c r="D467" i="7"/>
  <c r="F467" i="7"/>
  <c r="H467" i="7"/>
  <c r="J467" i="7"/>
  <c r="M467" i="7"/>
  <c r="O467" i="7"/>
  <c r="Q467" i="7"/>
  <c r="R467" i="7"/>
  <c r="S467" i="7"/>
  <c r="D332" i="7"/>
  <c r="C332" i="7"/>
  <c r="E332" i="7"/>
  <c r="G332" i="7"/>
  <c r="H332" i="7"/>
  <c r="I332" i="7"/>
  <c r="L332" i="7"/>
  <c r="N332" i="7"/>
  <c r="O332" i="7"/>
  <c r="Q332" i="7"/>
  <c r="R332" i="7"/>
  <c r="S332" i="7"/>
  <c r="T332" i="7"/>
  <c r="V467" i="7"/>
  <c r="W332" i="7"/>
  <c r="X332" i="7"/>
  <c r="W467" i="7"/>
  <c r="Y332" i="7"/>
  <c r="X467" i="7"/>
  <c r="Y467" i="7"/>
  <c r="Z332" i="7"/>
  <c r="AA332" i="7"/>
  <c r="Z467" i="7"/>
  <c r="AB332" i="7"/>
  <c r="AA467" i="7"/>
  <c r="AC332" i="7"/>
  <c r="AB467" i="7"/>
  <c r="AD332" i="7"/>
  <c r="AC467" i="7"/>
  <c r="AE332" i="7"/>
  <c r="AD467" i="7"/>
  <c r="AE467" i="7"/>
  <c r="AF332" i="7"/>
  <c r="AG332" i="7"/>
  <c r="AF467" i="7"/>
  <c r="AH332" i="7"/>
  <c r="AG467" i="7"/>
  <c r="AI332" i="7"/>
  <c r="AH467" i="7"/>
  <c r="AI467" i="7"/>
  <c r="AJ332" i="7"/>
  <c r="AK332" i="7"/>
  <c r="AJ467" i="7"/>
  <c r="AL332" i="7"/>
  <c r="AK467" i="7"/>
  <c r="AM332" i="7"/>
  <c r="AL467" i="7"/>
  <c r="AM467" i="7"/>
  <c r="AN332" i="7"/>
  <c r="U334" i="7"/>
  <c r="T469" i="7"/>
  <c r="D469" i="7"/>
  <c r="H469" i="7"/>
  <c r="L469" i="7"/>
  <c r="N469" i="7"/>
  <c r="P469" i="7"/>
  <c r="C334" i="7"/>
  <c r="G334" i="7"/>
  <c r="H334" i="7"/>
  <c r="L334" i="7"/>
  <c r="N334" i="7"/>
  <c r="T334" i="7"/>
  <c r="C469" i="7"/>
  <c r="E469" i="7"/>
  <c r="F469" i="7"/>
  <c r="G469" i="7"/>
  <c r="I469" i="7"/>
  <c r="J469" i="7"/>
  <c r="K469" i="7"/>
  <c r="M469" i="7"/>
  <c r="O469" i="7"/>
  <c r="Q469" i="7"/>
  <c r="R469" i="7"/>
  <c r="S469" i="7"/>
  <c r="U469" i="7"/>
  <c r="D334" i="7"/>
  <c r="E334" i="7"/>
  <c r="F334" i="7"/>
  <c r="I334" i="7"/>
  <c r="J334" i="7"/>
  <c r="K334" i="7"/>
  <c r="M334" i="7"/>
  <c r="O334" i="7"/>
  <c r="P334" i="7"/>
  <c r="Q334" i="7"/>
  <c r="R334" i="7"/>
  <c r="S334" i="7"/>
  <c r="V334" i="7"/>
  <c r="V469" i="7"/>
  <c r="W334" i="7"/>
  <c r="X334" i="7"/>
  <c r="W469" i="7"/>
  <c r="Y334" i="7"/>
  <c r="X469" i="7"/>
  <c r="Z334" i="7"/>
  <c r="Y469" i="7"/>
  <c r="Z469" i="7"/>
  <c r="AA334" i="7"/>
  <c r="AA469" i="7"/>
  <c r="AB334" i="7"/>
  <c r="AC334" i="7"/>
  <c r="AB469" i="7"/>
  <c r="AD334" i="7"/>
  <c r="AC469" i="7"/>
  <c r="AD469" i="7"/>
  <c r="AE334" i="7"/>
  <c r="AE469" i="7"/>
  <c r="AF334" i="7"/>
  <c r="AG334" i="7"/>
  <c r="AF469" i="7"/>
  <c r="AG469" i="7"/>
  <c r="AH334" i="7"/>
  <c r="AI334" i="7"/>
  <c r="AH469" i="7"/>
  <c r="AJ334" i="7"/>
  <c r="AI469" i="7"/>
  <c r="AJ469" i="7"/>
  <c r="AK334" i="7"/>
  <c r="AK469" i="7"/>
  <c r="AL334" i="7"/>
  <c r="AL469" i="7"/>
  <c r="AM334" i="7"/>
  <c r="AN334" i="7"/>
  <c r="AM469" i="7"/>
  <c r="AO550" i="7"/>
  <c r="AP600" i="7"/>
  <c r="AP607" i="7" s="1"/>
  <c r="AP579" i="7" s="1"/>
  <c r="AN409" i="7"/>
  <c r="AN415" i="7"/>
  <c r="AN436" i="7"/>
  <c r="AN468" i="7"/>
  <c r="AN441" i="7"/>
  <c r="AN465" i="7"/>
  <c r="AO332" i="7"/>
  <c r="AO328" i="7"/>
  <c r="AO308" i="7"/>
  <c r="AO304" i="7"/>
  <c r="AO300" i="7"/>
  <c r="AO280" i="7"/>
  <c r="AO276" i="7"/>
  <c r="AO416" i="7"/>
  <c r="AP258" i="7"/>
  <c r="AP396" i="7"/>
  <c r="AP448" i="7"/>
  <c r="AP559" i="7"/>
  <c r="AP553" i="7"/>
  <c r="AP595" i="7"/>
  <c r="AP580" i="7" s="1"/>
  <c r="AP64" i="7" s="1"/>
  <c r="B585" i="7"/>
  <c r="AP273" i="7" s="1"/>
  <c r="U275" i="7"/>
  <c r="T410" i="7"/>
  <c r="V275" i="7"/>
  <c r="G410" i="7"/>
  <c r="I410" i="7"/>
  <c r="J410" i="7"/>
  <c r="L410" i="7"/>
  <c r="M410" i="7"/>
  <c r="N410" i="7"/>
  <c r="O410" i="7"/>
  <c r="P410" i="7"/>
  <c r="C275" i="7"/>
  <c r="H275" i="7"/>
  <c r="L275" i="7"/>
  <c r="N275" i="7"/>
  <c r="R275" i="7"/>
  <c r="T275" i="7"/>
  <c r="C410" i="7"/>
  <c r="E410" i="7"/>
  <c r="D410" i="7"/>
  <c r="F410" i="7"/>
  <c r="H410" i="7"/>
  <c r="K410" i="7"/>
  <c r="Q410" i="7"/>
  <c r="R410" i="7"/>
  <c r="S410" i="7"/>
  <c r="U410" i="7"/>
  <c r="D275" i="7"/>
  <c r="E275" i="7"/>
  <c r="F275" i="7"/>
  <c r="G275" i="7"/>
  <c r="I275" i="7"/>
  <c r="J275" i="7"/>
  <c r="K275" i="7"/>
  <c r="M275" i="7"/>
  <c r="O275" i="7"/>
  <c r="P275" i="7"/>
  <c r="Q275" i="7"/>
  <c r="S275" i="7"/>
  <c r="V410" i="7"/>
  <c r="W275" i="7"/>
  <c r="W410" i="7"/>
  <c r="X275" i="7"/>
  <c r="Y275" i="7"/>
  <c r="X410" i="7"/>
  <c r="AA599" i="7"/>
  <c r="AA607" i="7" s="1"/>
  <c r="AA579" i="7" s="1"/>
  <c r="AA59" i="7" s="1"/>
  <c r="Y410" i="7"/>
  <c r="Z275" i="7"/>
  <c r="AB599" i="7"/>
  <c r="AB607" i="7" s="1"/>
  <c r="AB579" i="7" s="1"/>
  <c r="AB59" i="7" s="1"/>
  <c r="AA275" i="7"/>
  <c r="Z410" i="7"/>
  <c r="AC599" i="7"/>
  <c r="AC607" i="7" s="1"/>
  <c r="AC579" i="7" s="1"/>
  <c r="AC59" i="7" s="1"/>
  <c r="AB275" i="7"/>
  <c r="AA410" i="7"/>
  <c r="AC275" i="7"/>
  <c r="AB410" i="7"/>
  <c r="AD599" i="7"/>
  <c r="AD607" i="7" s="1"/>
  <c r="AD579" i="7" s="1"/>
  <c r="AD59" i="7" s="1"/>
  <c r="AE599" i="7"/>
  <c r="AE607" i="7" s="1"/>
  <c r="AE579" i="7" s="1"/>
  <c r="AE59" i="7" s="1"/>
  <c r="AC410" i="7"/>
  <c r="AD275" i="7"/>
  <c r="AF599" i="7"/>
  <c r="AF607" i="7" s="1"/>
  <c r="AF579" i="7" s="1"/>
  <c r="AF59" i="7" s="1"/>
  <c r="AD410" i="7"/>
  <c r="AE275" i="7"/>
  <c r="AG599" i="7"/>
  <c r="AG607" i="7" s="1"/>
  <c r="AG579" i="7" s="1"/>
  <c r="AG59" i="7" s="1"/>
  <c r="AF275" i="7"/>
  <c r="AE410" i="7"/>
  <c r="AH599" i="7"/>
  <c r="AH607" i="7" s="1"/>
  <c r="AH579" i="7" s="1"/>
  <c r="AH59" i="7" s="1"/>
  <c r="AG275" i="7"/>
  <c r="AF410" i="7"/>
  <c r="AI599" i="7"/>
  <c r="AI607" i="7" s="1"/>
  <c r="AI579" i="7" s="1"/>
  <c r="AI59" i="7" s="1"/>
  <c r="AH275" i="7"/>
  <c r="AG410" i="7"/>
  <c r="AH410" i="7"/>
  <c r="AJ599" i="7"/>
  <c r="AJ607" i="7" s="1"/>
  <c r="AJ579" i="7" s="1"/>
  <c r="AJ59" i="7" s="1"/>
  <c r="AI275" i="7"/>
  <c r="AK599" i="7"/>
  <c r="AK607" i="7" s="1"/>
  <c r="AK579" i="7" s="1"/>
  <c r="AK59" i="7" s="1"/>
  <c r="AI410" i="7"/>
  <c r="AJ275" i="7"/>
  <c r="AL599" i="7"/>
  <c r="AL607" i="7" s="1"/>
  <c r="AL579" i="7" s="1"/>
  <c r="AL59" i="7" s="1"/>
  <c r="AK275" i="7"/>
  <c r="AJ410" i="7"/>
  <c r="AL275" i="7"/>
  <c r="AK410" i="7"/>
  <c r="AL410" i="7"/>
  <c r="AM275" i="7"/>
  <c r="AN275" i="7"/>
  <c r="AM410" i="7"/>
  <c r="T412" i="7"/>
  <c r="U277" i="7"/>
  <c r="C412" i="7"/>
  <c r="E412" i="7"/>
  <c r="H412" i="7"/>
  <c r="I412" i="7"/>
  <c r="N412" i="7"/>
  <c r="O412" i="7"/>
  <c r="S412" i="7"/>
  <c r="U412" i="7"/>
  <c r="D277" i="7"/>
  <c r="F277" i="7"/>
  <c r="G277" i="7"/>
  <c r="H277" i="7"/>
  <c r="J277" i="7"/>
  <c r="M277" i="7"/>
  <c r="N277" i="7"/>
  <c r="O277" i="7"/>
  <c r="P277" i="7"/>
  <c r="D412" i="7"/>
  <c r="F412" i="7"/>
  <c r="G412" i="7"/>
  <c r="J412" i="7"/>
  <c r="K412" i="7"/>
  <c r="L412" i="7"/>
  <c r="M412" i="7"/>
  <c r="P412" i="7"/>
  <c r="Q412" i="7"/>
  <c r="R412" i="7"/>
  <c r="C277" i="7"/>
  <c r="E277" i="7"/>
  <c r="I277" i="7"/>
  <c r="K277" i="7"/>
  <c r="L277" i="7"/>
  <c r="Q277" i="7"/>
  <c r="R277" i="7"/>
  <c r="T277" i="7"/>
  <c r="S277" i="7"/>
  <c r="V277" i="7"/>
  <c r="V412" i="7"/>
  <c r="W277" i="7"/>
  <c r="X277" i="7"/>
  <c r="W412" i="7"/>
  <c r="X412" i="7"/>
  <c r="Y277" i="7"/>
  <c r="Z277" i="7"/>
  <c r="Y412" i="7"/>
  <c r="Z412" i="7"/>
  <c r="AA277" i="7"/>
  <c r="AA412" i="7"/>
  <c r="AB277" i="7"/>
  <c r="AC277" i="7"/>
  <c r="AB412" i="7"/>
  <c r="AD277" i="7"/>
  <c r="AC412" i="7"/>
  <c r="AD412" i="7"/>
  <c r="AE277" i="7"/>
  <c r="AE412" i="7"/>
  <c r="AF277" i="7"/>
  <c r="AG277" i="7"/>
  <c r="AF412" i="7"/>
  <c r="AG412" i="7"/>
  <c r="AH277" i="7"/>
  <c r="AH412" i="7"/>
  <c r="AI277" i="7"/>
  <c r="AJ277" i="7"/>
  <c r="AI412" i="7"/>
  <c r="AJ412" i="7"/>
  <c r="AK277" i="7"/>
  <c r="AL277" i="7"/>
  <c r="AK412" i="7"/>
  <c r="AM277" i="7"/>
  <c r="AL412" i="7"/>
  <c r="AM412" i="7"/>
  <c r="AN277" i="7"/>
  <c r="T414" i="7"/>
  <c r="U279" i="7"/>
  <c r="V279" i="7"/>
  <c r="C414" i="7"/>
  <c r="D414" i="7"/>
  <c r="G414" i="7"/>
  <c r="H414" i="7"/>
  <c r="J414" i="7"/>
  <c r="M414" i="7"/>
  <c r="Q414" i="7"/>
  <c r="R414" i="7"/>
  <c r="C279" i="7"/>
  <c r="E279" i="7"/>
  <c r="F279" i="7"/>
  <c r="G279" i="7"/>
  <c r="I279" i="7"/>
  <c r="J279" i="7"/>
  <c r="K279" i="7"/>
  <c r="O279" i="7"/>
  <c r="P279" i="7"/>
  <c r="Q279" i="7"/>
  <c r="S279" i="7"/>
  <c r="E414" i="7"/>
  <c r="F414" i="7"/>
  <c r="I414" i="7"/>
  <c r="K414" i="7"/>
  <c r="L414" i="7"/>
  <c r="N414" i="7"/>
  <c r="O414" i="7"/>
  <c r="P414" i="7"/>
  <c r="S414" i="7"/>
  <c r="U414" i="7"/>
  <c r="D279" i="7"/>
  <c r="H279" i="7"/>
  <c r="L279" i="7"/>
  <c r="M279" i="7"/>
  <c r="N279" i="7"/>
  <c r="R279" i="7"/>
  <c r="T279" i="7"/>
  <c r="V414" i="7"/>
  <c r="W279" i="7"/>
  <c r="W414" i="7"/>
  <c r="X279" i="7"/>
  <c r="Y279" i="7"/>
  <c r="X414" i="7"/>
  <c r="Z279" i="7"/>
  <c r="Y414" i="7"/>
  <c r="AA279" i="7"/>
  <c r="Z414" i="7"/>
  <c r="AA414" i="7"/>
  <c r="AB279" i="7"/>
  <c r="AC279" i="7"/>
  <c r="AB414" i="7"/>
  <c r="AD279" i="7"/>
  <c r="AC414" i="7"/>
  <c r="AE279" i="7"/>
  <c r="AD414" i="7"/>
  <c r="AE414" i="7"/>
  <c r="AF279" i="7"/>
  <c r="AG279" i="7"/>
  <c r="AF414" i="7"/>
  <c r="AG414" i="7"/>
  <c r="AH279" i="7"/>
  <c r="AI279" i="7"/>
  <c r="AH414" i="7"/>
  <c r="AI414" i="7"/>
  <c r="AJ279" i="7"/>
  <c r="AK279" i="7"/>
  <c r="AJ414" i="7"/>
  <c r="AL279" i="7"/>
  <c r="AK414" i="7"/>
  <c r="AM279" i="7"/>
  <c r="AL414" i="7"/>
  <c r="AM414" i="7"/>
  <c r="AN279" i="7"/>
  <c r="U281" i="7"/>
  <c r="T416" i="7"/>
  <c r="F416" i="7"/>
  <c r="I416" i="7"/>
  <c r="J416" i="7"/>
  <c r="K416" i="7"/>
  <c r="M416" i="7"/>
  <c r="N416" i="7"/>
  <c r="R416" i="7"/>
  <c r="S416" i="7"/>
  <c r="U416" i="7"/>
  <c r="C281" i="7"/>
  <c r="D281" i="7"/>
  <c r="E281" i="7"/>
  <c r="G281" i="7"/>
  <c r="I281" i="7"/>
  <c r="L281" i="7"/>
  <c r="N281" i="7"/>
  <c r="Q281" i="7"/>
  <c r="R281" i="7"/>
  <c r="V281" i="7"/>
  <c r="C416" i="7"/>
  <c r="E416" i="7"/>
  <c r="D416" i="7"/>
  <c r="G416" i="7"/>
  <c r="H416" i="7"/>
  <c r="L416" i="7"/>
  <c r="O416" i="7"/>
  <c r="P416" i="7"/>
  <c r="Q416" i="7"/>
  <c r="F281" i="7"/>
  <c r="H281" i="7"/>
  <c r="J281" i="7"/>
  <c r="K281" i="7"/>
  <c r="M281" i="7"/>
  <c r="O281" i="7"/>
  <c r="P281" i="7"/>
  <c r="S281" i="7"/>
  <c r="T281" i="7"/>
  <c r="V416" i="7"/>
  <c r="W281" i="7"/>
  <c r="X281" i="7"/>
  <c r="W416" i="7"/>
  <c r="Y281" i="7"/>
  <c r="X416" i="7"/>
  <c r="Z281" i="7"/>
  <c r="Y416" i="7"/>
  <c r="AA281" i="7"/>
  <c r="Z416" i="7"/>
  <c r="AA416" i="7"/>
  <c r="AB281" i="7"/>
  <c r="AB416" i="7"/>
  <c r="AC281" i="7"/>
  <c r="AD281" i="7"/>
  <c r="AC416" i="7"/>
  <c r="AD416" i="7"/>
  <c r="AE281" i="7"/>
  <c r="AE416" i="7"/>
  <c r="AF281" i="7"/>
  <c r="AG281" i="7"/>
  <c r="AF416" i="7"/>
  <c r="AG416" i="7"/>
  <c r="AH281" i="7"/>
  <c r="AI281" i="7"/>
  <c r="AH416" i="7"/>
  <c r="AJ281" i="7"/>
  <c r="AI416" i="7"/>
  <c r="AK281" i="7"/>
  <c r="AJ416" i="7"/>
  <c r="AK416" i="7"/>
  <c r="AL281" i="7"/>
  <c r="AM281" i="7"/>
  <c r="AL416" i="7"/>
  <c r="AN281" i="7"/>
  <c r="AM416" i="7"/>
  <c r="AP627" i="7"/>
  <c r="AP612" i="7" s="1"/>
  <c r="AP65" i="7" s="1"/>
  <c r="B617" i="7"/>
  <c r="AP299" i="7" s="1"/>
  <c r="T436" i="7"/>
  <c r="U301" i="7"/>
  <c r="C436" i="7"/>
  <c r="D436" i="7"/>
  <c r="F436" i="7"/>
  <c r="G436" i="7"/>
  <c r="J436" i="7"/>
  <c r="K436" i="7"/>
  <c r="L436" i="7"/>
  <c r="P436" i="7"/>
  <c r="Q436" i="7"/>
  <c r="R436" i="7"/>
  <c r="S436" i="7"/>
  <c r="C301" i="7"/>
  <c r="E301" i="7"/>
  <c r="F301" i="7"/>
  <c r="G301" i="7"/>
  <c r="H301" i="7"/>
  <c r="I301" i="7"/>
  <c r="J301" i="7"/>
  <c r="P301" i="7"/>
  <c r="E436" i="7"/>
  <c r="H436" i="7"/>
  <c r="I436" i="7"/>
  <c r="M436" i="7"/>
  <c r="N436" i="7"/>
  <c r="O436" i="7"/>
  <c r="U436" i="7"/>
  <c r="D301" i="7"/>
  <c r="K301" i="7"/>
  <c r="L301" i="7"/>
  <c r="M301" i="7"/>
  <c r="N301" i="7"/>
  <c r="O301" i="7"/>
  <c r="R301" i="7"/>
  <c r="T301" i="7"/>
  <c r="Q301" i="7"/>
  <c r="S301" i="7"/>
  <c r="V301" i="7"/>
  <c r="W301" i="7"/>
  <c r="V436" i="7"/>
  <c r="X301" i="7"/>
  <c r="W436" i="7"/>
  <c r="X436" i="7"/>
  <c r="Y301" i="7"/>
  <c r="Z301" i="7"/>
  <c r="Y436" i="7"/>
  <c r="AA301" i="7"/>
  <c r="Z436" i="7"/>
  <c r="AA436" i="7"/>
  <c r="AB301" i="7"/>
  <c r="AC301" i="7"/>
  <c r="AB436" i="7"/>
  <c r="AD301" i="7"/>
  <c r="AC436" i="7"/>
  <c r="AE301" i="7"/>
  <c r="AD436" i="7"/>
  <c r="AG631" i="7"/>
  <c r="AG639" i="7" s="1"/>
  <c r="AG611" i="7" s="1"/>
  <c r="AG60" i="7" s="1"/>
  <c r="AE436" i="7"/>
  <c r="AF301" i="7"/>
  <c r="AH631" i="7"/>
  <c r="AH639" i="7" s="1"/>
  <c r="AH611" i="7" s="1"/>
  <c r="AH60" i="7" s="1"/>
  <c r="AG301" i="7"/>
  <c r="AF436" i="7"/>
  <c r="AI631" i="7"/>
  <c r="AI639" i="7" s="1"/>
  <c r="AI611" i="7" s="1"/>
  <c r="AI60" i="7" s="1"/>
  <c r="AG436" i="7"/>
  <c r="AH301" i="7"/>
  <c r="AH436" i="7"/>
  <c r="AJ631" i="7"/>
  <c r="AJ639" i="7" s="1"/>
  <c r="AJ611" i="7" s="1"/>
  <c r="AJ60" i="7" s="1"/>
  <c r="AI301" i="7"/>
  <c r="AJ301" i="7"/>
  <c r="AK631" i="7"/>
  <c r="AK639" i="7" s="1"/>
  <c r="AK611" i="7" s="1"/>
  <c r="AK60" i="7" s="1"/>
  <c r="AI436" i="7"/>
  <c r="AL631" i="7"/>
  <c r="AL639" i="7" s="1"/>
  <c r="AL611" i="7" s="1"/>
  <c r="AL60" i="7" s="1"/>
  <c r="AK301" i="7"/>
  <c r="AJ436" i="7"/>
  <c r="AL301" i="7"/>
  <c r="AM631" i="7"/>
  <c r="AM639" i="7" s="1"/>
  <c r="AM611" i="7" s="1"/>
  <c r="AM60" i="7" s="1"/>
  <c r="AK436" i="7"/>
  <c r="AN631" i="7"/>
  <c r="AN639" i="7" s="1"/>
  <c r="AN611" i="7" s="1"/>
  <c r="AN60" i="7" s="1"/>
  <c r="AM301" i="7"/>
  <c r="AL436" i="7"/>
  <c r="AN301" i="7"/>
  <c r="AO631" i="7"/>
  <c r="AO639" i="7" s="1"/>
  <c r="AO611" i="7" s="1"/>
  <c r="AO60" i="7" s="1"/>
  <c r="AM436" i="7"/>
  <c r="U303" i="7"/>
  <c r="T438" i="7"/>
  <c r="V303" i="7"/>
  <c r="C438" i="7"/>
  <c r="E438" i="7"/>
  <c r="F438" i="7"/>
  <c r="G438" i="7"/>
  <c r="I438" i="7"/>
  <c r="K438" i="7"/>
  <c r="L438" i="7"/>
  <c r="N438" i="7"/>
  <c r="P438" i="7"/>
  <c r="S438" i="7"/>
  <c r="C303" i="7"/>
  <c r="D303" i="7"/>
  <c r="F303" i="7"/>
  <c r="G303" i="7"/>
  <c r="M303" i="7"/>
  <c r="O303" i="7"/>
  <c r="S303" i="7"/>
  <c r="D438" i="7"/>
  <c r="H438" i="7"/>
  <c r="J438" i="7"/>
  <c r="M438" i="7"/>
  <c r="O438" i="7"/>
  <c r="Q438" i="7"/>
  <c r="R438" i="7"/>
  <c r="U438" i="7"/>
  <c r="E303" i="7"/>
  <c r="H303" i="7"/>
  <c r="I303" i="7"/>
  <c r="J303" i="7"/>
  <c r="K303" i="7"/>
  <c r="L303" i="7"/>
  <c r="N303" i="7"/>
  <c r="P303" i="7"/>
  <c r="Q303" i="7"/>
  <c r="R303" i="7"/>
  <c r="T303" i="7"/>
  <c r="V438" i="7"/>
  <c r="W303" i="7"/>
  <c r="W438" i="7"/>
  <c r="X303" i="7"/>
  <c r="Y303" i="7"/>
  <c r="X438" i="7"/>
  <c r="Y438" i="7"/>
  <c r="Z303" i="7"/>
  <c r="Z438" i="7"/>
  <c r="AA303" i="7"/>
  <c r="AA438" i="7"/>
  <c r="AB303" i="7"/>
  <c r="AC303" i="7"/>
  <c r="AB438" i="7"/>
  <c r="AC438" i="7"/>
  <c r="AD303" i="7"/>
  <c r="AE303" i="7"/>
  <c r="AD438" i="7"/>
  <c r="AF303" i="7"/>
  <c r="AE438" i="7"/>
  <c r="AG303" i="7"/>
  <c r="AF438" i="7"/>
  <c r="AH303" i="7"/>
  <c r="AG438" i="7"/>
  <c r="AI303" i="7"/>
  <c r="AH438" i="7"/>
  <c r="AJ303" i="7"/>
  <c r="AI438" i="7"/>
  <c r="AK303" i="7"/>
  <c r="AJ438" i="7"/>
  <c r="AL303" i="7"/>
  <c r="AK438" i="7"/>
  <c r="AM303" i="7"/>
  <c r="AL438" i="7"/>
  <c r="AN303" i="7"/>
  <c r="AM438" i="7"/>
  <c r="U305" i="7"/>
  <c r="T440" i="7"/>
  <c r="D440" i="7"/>
  <c r="H440" i="7"/>
  <c r="K440" i="7"/>
  <c r="L440" i="7"/>
  <c r="M440" i="7"/>
  <c r="O440" i="7"/>
  <c r="P440" i="7"/>
  <c r="Q440" i="7"/>
  <c r="R440" i="7"/>
  <c r="S440" i="7"/>
  <c r="U440" i="7"/>
  <c r="H305" i="7"/>
  <c r="K305" i="7"/>
  <c r="L305" i="7"/>
  <c r="M305" i="7"/>
  <c r="N305" i="7"/>
  <c r="T305" i="7"/>
  <c r="V305" i="7"/>
  <c r="C440" i="7"/>
  <c r="E440" i="7"/>
  <c r="F440" i="7"/>
  <c r="G440" i="7"/>
  <c r="I440" i="7"/>
  <c r="J440" i="7"/>
  <c r="N440" i="7"/>
  <c r="C305" i="7"/>
  <c r="D305" i="7"/>
  <c r="E305" i="7"/>
  <c r="F305" i="7"/>
  <c r="G305" i="7"/>
  <c r="I305" i="7"/>
  <c r="J305" i="7"/>
  <c r="O305" i="7"/>
  <c r="P305" i="7"/>
  <c r="Q305" i="7"/>
  <c r="S305" i="7"/>
  <c r="R305" i="7"/>
  <c r="V440" i="7"/>
  <c r="W305" i="7"/>
  <c r="X305" i="7"/>
  <c r="W440" i="7"/>
  <c r="X440" i="7"/>
  <c r="Y305" i="7"/>
  <c r="Z305" i="7"/>
  <c r="Y440" i="7"/>
  <c r="AA305" i="7"/>
  <c r="Z440" i="7"/>
  <c r="AA440" i="7"/>
  <c r="AB305" i="7"/>
  <c r="AB440" i="7"/>
  <c r="AC305" i="7"/>
  <c r="AD305" i="7"/>
  <c r="AC440" i="7"/>
  <c r="AE305" i="7"/>
  <c r="AD440" i="7"/>
  <c r="AE440" i="7"/>
  <c r="AF305" i="7"/>
  <c r="AG305" i="7"/>
  <c r="AF440" i="7"/>
  <c r="AH305" i="7"/>
  <c r="AG440" i="7"/>
  <c r="AI305" i="7"/>
  <c r="AH440" i="7"/>
  <c r="AJ305" i="7"/>
  <c r="AI440" i="7"/>
  <c r="AJ440" i="7"/>
  <c r="AK305" i="7"/>
  <c r="AL305" i="7"/>
  <c r="AK440" i="7"/>
  <c r="AL440" i="7"/>
  <c r="AM305" i="7"/>
  <c r="AN305" i="7"/>
  <c r="AM440" i="7"/>
  <c r="U307" i="7"/>
  <c r="T442" i="7"/>
  <c r="V307" i="7"/>
  <c r="G442" i="7"/>
  <c r="I442" i="7"/>
  <c r="J442" i="7"/>
  <c r="K442" i="7"/>
  <c r="L442" i="7"/>
  <c r="N442" i="7"/>
  <c r="O442" i="7"/>
  <c r="P442" i="7"/>
  <c r="Q442" i="7"/>
  <c r="U442" i="7"/>
  <c r="D307" i="7"/>
  <c r="E307" i="7"/>
  <c r="H307" i="7"/>
  <c r="I307" i="7"/>
  <c r="J307" i="7"/>
  <c r="K307" i="7"/>
  <c r="L307" i="7"/>
  <c r="N307" i="7"/>
  <c r="Q307" i="7"/>
  <c r="C442" i="7"/>
  <c r="D442" i="7"/>
  <c r="E442" i="7"/>
  <c r="F442" i="7"/>
  <c r="H442" i="7"/>
  <c r="M442" i="7"/>
  <c r="R442" i="7"/>
  <c r="S442" i="7"/>
  <c r="C307" i="7"/>
  <c r="F307" i="7"/>
  <c r="G307" i="7"/>
  <c r="M307" i="7"/>
  <c r="O307" i="7"/>
  <c r="P307" i="7"/>
  <c r="R307" i="7"/>
  <c r="S307" i="7"/>
  <c r="T307" i="7"/>
  <c r="V442" i="7"/>
  <c r="W307" i="7"/>
  <c r="X307" i="7"/>
  <c r="W442" i="7"/>
  <c r="Y307" i="7"/>
  <c r="X442" i="7"/>
  <c r="Y442" i="7"/>
  <c r="Z307" i="7"/>
  <c r="AA307" i="7"/>
  <c r="Z442" i="7"/>
  <c r="AB307" i="7"/>
  <c r="AA442" i="7"/>
  <c r="AC307" i="7"/>
  <c r="AB442" i="7"/>
  <c r="AC442" i="7"/>
  <c r="AD307" i="7"/>
  <c r="AD442" i="7"/>
  <c r="AE307" i="7"/>
  <c r="AF307" i="7"/>
  <c r="AE442" i="7"/>
  <c r="AG307" i="7"/>
  <c r="AF442" i="7"/>
  <c r="AG442" i="7"/>
  <c r="AH307" i="7"/>
  <c r="AH442" i="7"/>
  <c r="AI307" i="7"/>
  <c r="AI442" i="7"/>
  <c r="AJ307" i="7"/>
  <c r="AK307" i="7"/>
  <c r="AJ442" i="7"/>
  <c r="AL307" i="7"/>
  <c r="AK442" i="7"/>
  <c r="AL442" i="7"/>
  <c r="AM307" i="7"/>
  <c r="AN307" i="7"/>
  <c r="AM442" i="7"/>
  <c r="AP659" i="7"/>
  <c r="AP644" i="7" s="1"/>
  <c r="AP66" i="7" s="1"/>
  <c r="B649" i="7"/>
  <c r="AO460" i="7" s="1"/>
  <c r="U327" i="7"/>
  <c r="T462" i="7"/>
  <c r="V327" i="7"/>
  <c r="D462" i="7"/>
  <c r="H462" i="7"/>
  <c r="J462" i="7"/>
  <c r="Q462" i="7"/>
  <c r="R462" i="7"/>
  <c r="S462" i="7"/>
  <c r="C327" i="7"/>
  <c r="F327" i="7"/>
  <c r="J327" i="7"/>
  <c r="P327" i="7"/>
  <c r="R327" i="7"/>
  <c r="T327" i="7"/>
  <c r="C462" i="7"/>
  <c r="E462" i="7"/>
  <c r="F462" i="7"/>
  <c r="G462" i="7"/>
  <c r="I462" i="7"/>
  <c r="K462" i="7"/>
  <c r="L462" i="7"/>
  <c r="M462" i="7"/>
  <c r="N462" i="7"/>
  <c r="O462" i="7"/>
  <c r="P462" i="7"/>
  <c r="U462" i="7"/>
  <c r="D327" i="7"/>
  <c r="E327" i="7"/>
  <c r="G327" i="7"/>
  <c r="H327" i="7"/>
  <c r="I327" i="7"/>
  <c r="K327" i="7"/>
  <c r="L327" i="7"/>
  <c r="M327" i="7"/>
  <c r="N327" i="7"/>
  <c r="O327" i="7"/>
  <c r="Q327" i="7"/>
  <c r="S327" i="7"/>
  <c r="V462" i="7"/>
  <c r="W327" i="7"/>
  <c r="W462" i="7"/>
  <c r="X327" i="7"/>
  <c r="Y327" i="7"/>
  <c r="X462" i="7"/>
  <c r="Y462" i="7"/>
  <c r="Z327" i="7"/>
  <c r="Z462" i="7"/>
  <c r="AA327" i="7"/>
  <c r="AA462" i="7"/>
  <c r="AB327" i="7"/>
  <c r="AC327" i="7"/>
  <c r="AB462" i="7"/>
  <c r="AC462" i="7"/>
  <c r="AD327" i="7"/>
  <c r="AD462" i="7"/>
  <c r="AE327" i="7"/>
  <c r="AE462" i="7"/>
  <c r="AF327" i="7"/>
  <c r="AG327" i="7"/>
  <c r="AF462" i="7"/>
  <c r="AH327" i="7"/>
  <c r="AG462" i="7"/>
  <c r="AI327" i="7"/>
  <c r="AH462" i="7"/>
  <c r="AJ327" i="7"/>
  <c r="AI462" i="7"/>
  <c r="AJ462" i="7"/>
  <c r="AK327" i="7"/>
  <c r="AL327" i="7"/>
  <c r="AK462" i="7"/>
  <c r="AM327" i="7"/>
  <c r="AL462" i="7"/>
  <c r="AM462" i="7"/>
  <c r="AN327" i="7"/>
  <c r="U329" i="7"/>
  <c r="T464" i="7"/>
  <c r="C464" i="7"/>
  <c r="E464" i="7"/>
  <c r="F464" i="7"/>
  <c r="G464" i="7"/>
  <c r="I464" i="7"/>
  <c r="J464" i="7"/>
  <c r="N464" i="7"/>
  <c r="O464" i="7"/>
  <c r="U464" i="7"/>
  <c r="H329" i="7"/>
  <c r="L329" i="7"/>
  <c r="M329" i="7"/>
  <c r="D464" i="7"/>
  <c r="H464" i="7"/>
  <c r="K464" i="7"/>
  <c r="L464" i="7"/>
  <c r="M464" i="7"/>
  <c r="P464" i="7"/>
  <c r="Q464" i="7"/>
  <c r="R464" i="7"/>
  <c r="S464" i="7"/>
  <c r="C329" i="7"/>
  <c r="D329" i="7"/>
  <c r="E329" i="7"/>
  <c r="F329" i="7"/>
  <c r="G329" i="7"/>
  <c r="I329" i="7"/>
  <c r="J329" i="7"/>
  <c r="K329" i="7"/>
  <c r="N329" i="7"/>
  <c r="O329" i="7"/>
  <c r="P329" i="7"/>
  <c r="Q329" i="7"/>
  <c r="R329" i="7"/>
  <c r="S329" i="7"/>
  <c r="T329" i="7"/>
  <c r="V329" i="7"/>
  <c r="V464" i="7"/>
  <c r="W329" i="7"/>
  <c r="X329" i="7"/>
  <c r="W464" i="7"/>
  <c r="X464" i="7"/>
  <c r="Y329" i="7"/>
  <c r="Z329" i="7"/>
  <c r="Y464" i="7"/>
  <c r="AA329" i="7"/>
  <c r="Z464" i="7"/>
  <c r="AA464" i="7"/>
  <c r="AB329" i="7"/>
  <c r="AB464" i="7"/>
  <c r="AC329" i="7"/>
  <c r="AD329" i="7"/>
  <c r="AC464" i="7"/>
  <c r="AE329" i="7"/>
  <c r="AD464" i="7"/>
  <c r="AE464" i="7"/>
  <c r="AF329" i="7"/>
  <c r="AF464" i="7"/>
  <c r="AG329" i="7"/>
  <c r="AH329" i="7"/>
  <c r="AG464" i="7"/>
  <c r="AI329" i="7"/>
  <c r="AH464" i="7"/>
  <c r="AJ329" i="7"/>
  <c r="AI464" i="7"/>
  <c r="AJ464" i="7"/>
  <c r="AK329" i="7"/>
  <c r="AL329" i="7"/>
  <c r="AK464" i="7"/>
  <c r="AL464" i="7"/>
  <c r="AM329" i="7"/>
  <c r="AN329" i="7"/>
  <c r="AM464" i="7"/>
  <c r="U331" i="7"/>
  <c r="T466" i="7"/>
  <c r="V331" i="7"/>
  <c r="C466" i="7"/>
  <c r="D466" i="7"/>
  <c r="E466" i="7"/>
  <c r="F466" i="7"/>
  <c r="H466" i="7"/>
  <c r="M466" i="7"/>
  <c r="O466" i="7"/>
  <c r="Q466" i="7"/>
  <c r="R466" i="7"/>
  <c r="S466" i="7"/>
  <c r="U466" i="7"/>
  <c r="E331" i="7"/>
  <c r="G331" i="7"/>
  <c r="H331" i="7"/>
  <c r="I331" i="7"/>
  <c r="K331" i="7"/>
  <c r="L331" i="7"/>
  <c r="M331" i="7"/>
  <c r="N331" i="7"/>
  <c r="O331" i="7"/>
  <c r="P331" i="7"/>
  <c r="G466" i="7"/>
  <c r="I466" i="7"/>
  <c r="J466" i="7"/>
  <c r="K466" i="7"/>
  <c r="L466" i="7"/>
  <c r="N466" i="7"/>
  <c r="P466" i="7"/>
  <c r="C331" i="7"/>
  <c r="D331" i="7"/>
  <c r="F331" i="7"/>
  <c r="J331" i="7"/>
  <c r="R331" i="7"/>
  <c r="S331" i="7"/>
  <c r="Q331" i="7"/>
  <c r="T331" i="7"/>
  <c r="V466" i="7"/>
  <c r="W331" i="7"/>
  <c r="X331" i="7"/>
  <c r="W466" i="7"/>
  <c r="Y331" i="7"/>
  <c r="X466" i="7"/>
  <c r="Y466" i="7"/>
  <c r="Z331" i="7"/>
  <c r="Z466" i="7"/>
  <c r="AA331" i="7"/>
  <c r="AB331" i="7"/>
  <c r="AA466" i="7"/>
  <c r="AC331" i="7"/>
  <c r="AB466" i="7"/>
  <c r="AC466" i="7"/>
  <c r="AD331" i="7"/>
  <c r="AE331" i="7"/>
  <c r="AD466" i="7"/>
  <c r="AF331" i="7"/>
  <c r="AE466" i="7"/>
  <c r="AG331" i="7"/>
  <c r="AF466" i="7"/>
  <c r="AG466" i="7"/>
  <c r="AH331" i="7"/>
  <c r="AH466" i="7"/>
  <c r="AI331" i="7"/>
  <c r="AI466" i="7"/>
  <c r="AJ331" i="7"/>
  <c r="AK331" i="7"/>
  <c r="AJ466" i="7"/>
  <c r="AL331" i="7"/>
  <c r="AK466" i="7"/>
  <c r="AL466" i="7"/>
  <c r="AM331" i="7"/>
  <c r="AM466" i="7"/>
  <c r="AN331" i="7"/>
  <c r="T468" i="7"/>
  <c r="U333" i="7"/>
  <c r="C468" i="7"/>
  <c r="F468" i="7"/>
  <c r="J468" i="7"/>
  <c r="L468" i="7"/>
  <c r="N468" i="7"/>
  <c r="P468" i="7"/>
  <c r="Q468" i="7"/>
  <c r="S468" i="7"/>
  <c r="C333" i="7"/>
  <c r="D333" i="7"/>
  <c r="E333" i="7"/>
  <c r="F333" i="7"/>
  <c r="G333" i="7"/>
  <c r="I333" i="7"/>
  <c r="J333" i="7"/>
  <c r="K333" i="7"/>
  <c r="N333" i="7"/>
  <c r="O333" i="7"/>
  <c r="P333" i="7"/>
  <c r="S333" i="7"/>
  <c r="V333" i="7"/>
  <c r="D468" i="7"/>
  <c r="E468" i="7"/>
  <c r="G468" i="7"/>
  <c r="H468" i="7"/>
  <c r="I468" i="7"/>
  <c r="K468" i="7"/>
  <c r="M468" i="7"/>
  <c r="O468" i="7"/>
  <c r="R468" i="7"/>
  <c r="U468" i="7"/>
  <c r="H333" i="7"/>
  <c r="L333" i="7"/>
  <c r="M333" i="7"/>
  <c r="R333" i="7"/>
  <c r="T333" i="7"/>
  <c r="Q333" i="7"/>
  <c r="W333" i="7"/>
  <c r="V468" i="7"/>
  <c r="X333" i="7"/>
  <c r="W468" i="7"/>
  <c r="X468" i="7"/>
  <c r="Y333" i="7"/>
  <c r="Z333" i="7"/>
  <c r="Y468" i="7"/>
  <c r="AA333" i="7"/>
  <c r="Z468" i="7"/>
  <c r="AA468" i="7"/>
  <c r="AB333" i="7"/>
  <c r="AB468" i="7"/>
  <c r="AC333" i="7"/>
  <c r="AD333" i="7"/>
  <c r="AC468" i="7"/>
  <c r="AE333" i="7"/>
  <c r="AD468" i="7"/>
  <c r="AE468" i="7"/>
  <c r="AF333" i="7"/>
  <c r="AF468" i="7"/>
  <c r="AG333" i="7"/>
  <c r="AG468" i="7"/>
  <c r="AH333" i="7"/>
  <c r="AH468" i="7"/>
  <c r="AI333" i="7"/>
  <c r="AJ333" i="7"/>
  <c r="AI468" i="7"/>
  <c r="AK333" i="7"/>
  <c r="AJ468" i="7"/>
  <c r="AL333" i="7"/>
  <c r="AK468" i="7"/>
  <c r="AM333" i="7"/>
  <c r="AL468" i="7"/>
  <c r="AN333" i="7"/>
  <c r="AM468" i="7"/>
  <c r="AP631" i="7"/>
  <c r="AN417" i="7"/>
  <c r="AN416" i="7"/>
  <c r="AN440" i="7"/>
  <c r="AN464" i="7"/>
  <c r="AN437" i="7"/>
  <c r="AN461" i="7"/>
  <c r="AN469" i="7"/>
  <c r="AO468" i="7"/>
  <c r="AO464" i="7"/>
  <c r="AO440" i="7"/>
  <c r="AO436" i="7"/>
  <c r="AO467" i="7"/>
  <c r="AO463" i="7"/>
  <c r="AO443" i="7"/>
  <c r="AO439" i="7"/>
  <c r="AO435" i="7"/>
  <c r="AO415" i="7"/>
  <c r="AO411" i="7"/>
  <c r="AO414" i="7"/>
  <c r="AO281" i="7"/>
  <c r="AP334" i="7" l="1"/>
  <c r="AP429" i="7"/>
  <c r="AP441" i="7" s="1"/>
  <c r="AP404" i="7"/>
  <c r="AP416" i="7" s="1"/>
  <c r="AP399" i="7"/>
  <c r="AP411" i="7" s="1"/>
  <c r="AP671" i="7"/>
  <c r="AP643" i="7" s="1"/>
  <c r="AP277" i="7"/>
  <c r="B277" i="7" s="1"/>
  <c r="AP282" i="7"/>
  <c r="B282" i="7" s="1"/>
  <c r="AJ671" i="7"/>
  <c r="AJ643" i="7" s="1"/>
  <c r="AJ61" i="7" s="1"/>
  <c r="AH671" i="7"/>
  <c r="AH643" i="7" s="1"/>
  <c r="AH61" i="7" s="1"/>
  <c r="AK671" i="7"/>
  <c r="AK643" i="7" s="1"/>
  <c r="AK61" i="7" s="1"/>
  <c r="AL671" i="7"/>
  <c r="AL643" i="7" s="1"/>
  <c r="AL61" i="7" s="1"/>
  <c r="AG671" i="7"/>
  <c r="AG643" i="7" s="1"/>
  <c r="AG61" i="7" s="1"/>
  <c r="AO534" i="7"/>
  <c r="AO529" i="7"/>
  <c r="AP532" i="7"/>
  <c r="AP76" i="7" s="1"/>
  <c r="AP77" i="7" s="1"/>
  <c r="AA671" i="7"/>
  <c r="AA643" i="7" s="1"/>
  <c r="AA61" i="7" s="1"/>
  <c r="AN671" i="7"/>
  <c r="AN643" i="7" s="1"/>
  <c r="AN61" i="7" s="1"/>
  <c r="AI671" i="7"/>
  <c r="AI643" i="7" s="1"/>
  <c r="AI61" i="7" s="1"/>
  <c r="AP450" i="7"/>
  <c r="AP462" i="7" s="1"/>
  <c r="B462" i="7" s="1"/>
  <c r="AP302" i="7"/>
  <c r="B302" i="7" s="1"/>
  <c r="AF671" i="7"/>
  <c r="AF643" i="7" s="1"/>
  <c r="AF61" i="7" s="1"/>
  <c r="AP333" i="7"/>
  <c r="B333" i="7" s="1"/>
  <c r="AC671" i="7"/>
  <c r="AC643" i="7" s="1"/>
  <c r="AC61" i="7" s="1"/>
  <c r="Z671" i="7"/>
  <c r="Z643" i="7" s="1"/>
  <c r="Z61" i="7" s="1"/>
  <c r="W671" i="7"/>
  <c r="W643" i="7" s="1"/>
  <c r="W61" i="7" s="1"/>
  <c r="AP301" i="7"/>
  <c r="B301" i="7" s="1"/>
  <c r="AP427" i="7"/>
  <c r="AP439" i="7" s="1"/>
  <c r="B439" i="7" s="1"/>
  <c r="AP278" i="7"/>
  <c r="B278" i="7" s="1"/>
  <c r="AP423" i="7"/>
  <c r="AP435" i="7" s="1"/>
  <c r="AP455" i="7"/>
  <c r="AP467" i="7" s="1"/>
  <c r="B467" i="7" s="1"/>
  <c r="AP275" i="7"/>
  <c r="B275" i="7" s="1"/>
  <c r="X671" i="7"/>
  <c r="X643" i="7" s="1"/>
  <c r="X61" i="7" s="1"/>
  <c r="AP307" i="7"/>
  <c r="B307" i="7" s="1"/>
  <c r="AP330" i="7"/>
  <c r="B330" i="7" s="1"/>
  <c r="AD671" i="7"/>
  <c r="AD643" i="7" s="1"/>
  <c r="AD61" i="7" s="1"/>
  <c r="AP397" i="7"/>
  <c r="AP409" i="7" s="1"/>
  <c r="B409" i="7" s="1"/>
  <c r="AP305" i="7"/>
  <c r="AP329" i="7"/>
  <c r="B329" i="7" s="1"/>
  <c r="AB671" i="7"/>
  <c r="AB643" i="7" s="1"/>
  <c r="AB61" i="7" s="1"/>
  <c r="AP279" i="7"/>
  <c r="AP328" i="7"/>
  <c r="B328" i="7" s="1"/>
  <c r="AP331" i="7"/>
  <c r="B331" i="7" s="1"/>
  <c r="AP280" i="7"/>
  <c r="B280" i="7" s="1"/>
  <c r="AP426" i="7"/>
  <c r="AP438" i="7" s="1"/>
  <c r="B438" i="7" s="1"/>
  <c r="AP326" i="7"/>
  <c r="B326" i="7" s="1"/>
  <c r="AE671" i="7"/>
  <c r="AE643" i="7" s="1"/>
  <c r="AE61" i="7" s="1"/>
  <c r="Y671" i="7"/>
  <c r="Y643" i="7" s="1"/>
  <c r="Y61" i="7" s="1"/>
  <c r="O59" i="7"/>
  <c r="B666" i="7"/>
  <c r="B598" i="7"/>
  <c r="B665" i="7"/>
  <c r="B670" i="7"/>
  <c r="B669" i="7"/>
  <c r="B663" i="7"/>
  <c r="B668" i="7"/>
  <c r="B664" i="7"/>
  <c r="B667" i="7"/>
  <c r="AO408" i="7"/>
  <c r="AO418" i="7" s="1"/>
  <c r="B662" i="7"/>
  <c r="B599" i="7"/>
  <c r="B630" i="7"/>
  <c r="B631" i="7"/>
  <c r="AP59" i="7"/>
  <c r="B600" i="7"/>
  <c r="D661" i="7"/>
  <c r="D671" i="7" s="1"/>
  <c r="D643" i="7" s="1"/>
  <c r="D61" i="7" s="1"/>
  <c r="C661" i="7"/>
  <c r="E661" i="7"/>
  <c r="E671" i="7" s="1"/>
  <c r="E643" i="7" s="1"/>
  <c r="E61" i="7" s="1"/>
  <c r="F661" i="7"/>
  <c r="F671" i="7" s="1"/>
  <c r="F643" i="7" s="1"/>
  <c r="F61" i="7" s="1"/>
  <c r="G661" i="7"/>
  <c r="G671" i="7" s="1"/>
  <c r="G643" i="7" s="1"/>
  <c r="G61" i="7" s="1"/>
  <c r="H661" i="7"/>
  <c r="H671" i="7" s="1"/>
  <c r="H643" i="7" s="1"/>
  <c r="H61" i="7" s="1"/>
  <c r="I661" i="7"/>
  <c r="I671" i="7" s="1"/>
  <c r="I643" i="7" s="1"/>
  <c r="I61" i="7" s="1"/>
  <c r="J661" i="7"/>
  <c r="J671" i="7" s="1"/>
  <c r="J643" i="7" s="1"/>
  <c r="J61" i="7" s="1"/>
  <c r="K661" i="7"/>
  <c r="K671" i="7" s="1"/>
  <c r="K643" i="7" s="1"/>
  <c r="K61" i="7" s="1"/>
  <c r="L661" i="7"/>
  <c r="L671" i="7" s="1"/>
  <c r="L643" i="7" s="1"/>
  <c r="L61" i="7" s="1"/>
  <c r="M661" i="7"/>
  <c r="M671" i="7" s="1"/>
  <c r="M643" i="7" s="1"/>
  <c r="M61" i="7" s="1"/>
  <c r="N661" i="7"/>
  <c r="N671" i="7" s="1"/>
  <c r="N643" i="7" s="1"/>
  <c r="N61" i="7" s="1"/>
  <c r="O661" i="7"/>
  <c r="O671" i="7" s="1"/>
  <c r="O643" i="7" s="1"/>
  <c r="O61" i="7" s="1"/>
  <c r="P661" i="7"/>
  <c r="P671" i="7" s="1"/>
  <c r="P643" i="7" s="1"/>
  <c r="P61" i="7" s="1"/>
  <c r="Q661" i="7"/>
  <c r="Q671" i="7" s="1"/>
  <c r="Q643" i="7" s="1"/>
  <c r="Q61" i="7" s="1"/>
  <c r="R661" i="7"/>
  <c r="R671" i="7" s="1"/>
  <c r="R643" i="7" s="1"/>
  <c r="R61" i="7" s="1"/>
  <c r="S661" i="7"/>
  <c r="S671" i="7" s="1"/>
  <c r="S643" i="7" s="1"/>
  <c r="S61" i="7" s="1"/>
  <c r="T661" i="7"/>
  <c r="T671" i="7" s="1"/>
  <c r="T643" i="7" s="1"/>
  <c r="T61" i="7" s="1"/>
  <c r="U661" i="7"/>
  <c r="U671" i="7" s="1"/>
  <c r="U643" i="7" s="1"/>
  <c r="U61" i="7" s="1"/>
  <c r="V661" i="7"/>
  <c r="V671" i="7" s="1"/>
  <c r="V643" i="7" s="1"/>
  <c r="V61" i="7" s="1"/>
  <c r="T460" i="7"/>
  <c r="T470" i="7" s="1"/>
  <c r="U325" i="7"/>
  <c r="U335" i="7" s="1"/>
  <c r="C460" i="7"/>
  <c r="D460" i="7"/>
  <c r="D470" i="7" s="1"/>
  <c r="E460" i="7"/>
  <c r="E470" i="7" s="1"/>
  <c r="H460" i="7"/>
  <c r="H470" i="7" s="1"/>
  <c r="I460" i="7"/>
  <c r="I470" i="7" s="1"/>
  <c r="M460" i="7"/>
  <c r="M470" i="7" s="1"/>
  <c r="O460" i="7"/>
  <c r="O470" i="7" s="1"/>
  <c r="R460" i="7"/>
  <c r="R470" i="7" s="1"/>
  <c r="C325" i="7"/>
  <c r="D325" i="7"/>
  <c r="D335" i="7" s="1"/>
  <c r="E325" i="7"/>
  <c r="E335" i="7" s="1"/>
  <c r="F325" i="7"/>
  <c r="F335" i="7" s="1"/>
  <c r="G325" i="7"/>
  <c r="G335" i="7" s="1"/>
  <c r="I325" i="7"/>
  <c r="I335" i="7" s="1"/>
  <c r="J325" i="7"/>
  <c r="J335" i="7" s="1"/>
  <c r="O325" i="7"/>
  <c r="O335" i="7" s="1"/>
  <c r="P325" i="7"/>
  <c r="P335" i="7" s="1"/>
  <c r="Q325" i="7"/>
  <c r="Q335" i="7" s="1"/>
  <c r="F460" i="7"/>
  <c r="F470" i="7" s="1"/>
  <c r="G460" i="7"/>
  <c r="G470" i="7" s="1"/>
  <c r="J460" i="7"/>
  <c r="J470" i="7" s="1"/>
  <c r="K460" i="7"/>
  <c r="K470" i="7" s="1"/>
  <c r="L460" i="7"/>
  <c r="L470" i="7" s="1"/>
  <c r="N460" i="7"/>
  <c r="N470" i="7" s="1"/>
  <c r="P460" i="7"/>
  <c r="P470" i="7" s="1"/>
  <c r="Q460" i="7"/>
  <c r="Q470" i="7" s="1"/>
  <c r="S460" i="7"/>
  <c r="S470" i="7" s="1"/>
  <c r="U460" i="7"/>
  <c r="U470" i="7" s="1"/>
  <c r="H325" i="7"/>
  <c r="H335" i="7" s="1"/>
  <c r="K325" i="7"/>
  <c r="K335" i="7" s="1"/>
  <c r="L325" i="7"/>
  <c r="L335" i="7" s="1"/>
  <c r="M325" i="7"/>
  <c r="M335" i="7" s="1"/>
  <c r="N325" i="7"/>
  <c r="N335" i="7" s="1"/>
  <c r="R325" i="7"/>
  <c r="R335" i="7" s="1"/>
  <c r="S325" i="7"/>
  <c r="S335" i="7" s="1"/>
  <c r="T325" i="7"/>
  <c r="T335" i="7" s="1"/>
  <c r="V325" i="7"/>
  <c r="V335" i="7" s="1"/>
  <c r="W325" i="7"/>
  <c r="W335" i="7" s="1"/>
  <c r="V460" i="7"/>
  <c r="V470" i="7" s="1"/>
  <c r="X325" i="7"/>
  <c r="X335" i="7" s="1"/>
  <c r="W460" i="7"/>
  <c r="W470" i="7" s="1"/>
  <c r="X460" i="7"/>
  <c r="X470" i="7" s="1"/>
  <c r="Y325" i="7"/>
  <c r="Y335" i="7" s="1"/>
  <c r="Z325" i="7"/>
  <c r="Z335" i="7" s="1"/>
  <c r="Y460" i="7"/>
  <c r="Y470" i="7" s="1"/>
  <c r="AA325" i="7"/>
  <c r="AA335" i="7" s="1"/>
  <c r="Z460" i="7"/>
  <c r="Z470" i="7" s="1"/>
  <c r="AA460" i="7"/>
  <c r="AA470" i="7" s="1"/>
  <c r="AB325" i="7"/>
  <c r="AB335" i="7" s="1"/>
  <c r="AB460" i="7"/>
  <c r="AB470" i="7" s="1"/>
  <c r="AC325" i="7"/>
  <c r="AC335" i="7" s="1"/>
  <c r="AD325" i="7"/>
  <c r="AD335" i="7" s="1"/>
  <c r="AC460" i="7"/>
  <c r="AC470" i="7" s="1"/>
  <c r="AE325" i="7"/>
  <c r="AE335" i="7" s="1"/>
  <c r="AD460" i="7"/>
  <c r="AD470" i="7" s="1"/>
  <c r="AE460" i="7"/>
  <c r="AE470" i="7" s="1"/>
  <c r="AF325" i="7"/>
  <c r="AF335" i="7" s="1"/>
  <c r="AG325" i="7"/>
  <c r="AG335" i="7" s="1"/>
  <c r="AF460" i="7"/>
  <c r="AF470" i="7" s="1"/>
  <c r="AG460" i="7"/>
  <c r="AG470" i="7" s="1"/>
  <c r="AH325" i="7"/>
  <c r="AH335" i="7" s="1"/>
  <c r="AH460" i="7"/>
  <c r="AH470" i="7" s="1"/>
  <c r="AI325" i="7"/>
  <c r="AI335" i="7" s="1"/>
  <c r="AJ325" i="7"/>
  <c r="AJ335" i="7" s="1"/>
  <c r="AI460" i="7"/>
  <c r="AI470" i="7" s="1"/>
  <c r="AK325" i="7"/>
  <c r="AK335" i="7" s="1"/>
  <c r="AJ460" i="7"/>
  <c r="AJ470" i="7" s="1"/>
  <c r="AL325" i="7"/>
  <c r="AL335" i="7" s="1"/>
  <c r="AK460" i="7"/>
  <c r="AK470" i="7" s="1"/>
  <c r="AM325" i="7"/>
  <c r="AM335" i="7" s="1"/>
  <c r="AL460" i="7"/>
  <c r="AL470" i="7" s="1"/>
  <c r="AN325" i="7"/>
  <c r="AN335" i="7" s="1"/>
  <c r="AM460" i="7"/>
  <c r="AM470" i="7" s="1"/>
  <c r="AO325" i="7"/>
  <c r="AO335" i="7" s="1"/>
  <c r="AN460" i="7"/>
  <c r="AN470" i="7" s="1"/>
  <c r="AP550" i="7"/>
  <c r="AO470" i="7"/>
  <c r="AP639" i="7"/>
  <c r="AP611" i="7" s="1"/>
  <c r="AP60" i="7" s="1"/>
  <c r="B468" i="7"/>
  <c r="B466" i="7"/>
  <c r="B464" i="7"/>
  <c r="B327" i="7"/>
  <c r="B442" i="7"/>
  <c r="B436" i="7"/>
  <c r="B416" i="7"/>
  <c r="B281" i="7"/>
  <c r="AP67" i="7"/>
  <c r="AP325" i="7"/>
  <c r="AO434" i="7"/>
  <c r="AO444" i="7" s="1"/>
  <c r="B469" i="7"/>
  <c r="B334" i="7"/>
  <c r="B461" i="7"/>
  <c r="B308" i="7"/>
  <c r="B443" i="7"/>
  <c r="B306" i="7"/>
  <c r="B441" i="7"/>
  <c r="B300" i="7"/>
  <c r="B417" i="7"/>
  <c r="B415" i="7"/>
  <c r="B411" i="7"/>
  <c r="D629" i="7"/>
  <c r="D639" i="7" s="1"/>
  <c r="D611" i="7" s="1"/>
  <c r="D60" i="7" s="1"/>
  <c r="C629" i="7"/>
  <c r="E629" i="7"/>
  <c r="E639" i="7" s="1"/>
  <c r="E611" i="7" s="1"/>
  <c r="E60" i="7" s="1"/>
  <c r="F629" i="7"/>
  <c r="F639" i="7" s="1"/>
  <c r="F611" i="7" s="1"/>
  <c r="F60" i="7" s="1"/>
  <c r="G629" i="7"/>
  <c r="G639" i="7" s="1"/>
  <c r="G611" i="7" s="1"/>
  <c r="G60" i="7" s="1"/>
  <c r="H629" i="7"/>
  <c r="H639" i="7" s="1"/>
  <c r="H611" i="7" s="1"/>
  <c r="H60" i="7" s="1"/>
  <c r="I629" i="7"/>
  <c r="I639" i="7" s="1"/>
  <c r="I611" i="7" s="1"/>
  <c r="I60" i="7" s="1"/>
  <c r="J629" i="7"/>
  <c r="J639" i="7" s="1"/>
  <c r="J611" i="7" s="1"/>
  <c r="J60" i="7" s="1"/>
  <c r="K629" i="7"/>
  <c r="K639" i="7" s="1"/>
  <c r="K611" i="7" s="1"/>
  <c r="K60" i="7" s="1"/>
  <c r="L629" i="7"/>
  <c r="L639" i="7" s="1"/>
  <c r="L611" i="7" s="1"/>
  <c r="L60" i="7" s="1"/>
  <c r="M629" i="7"/>
  <c r="M639" i="7" s="1"/>
  <c r="M611" i="7" s="1"/>
  <c r="N629" i="7"/>
  <c r="N639" i="7" s="1"/>
  <c r="N611" i="7" s="1"/>
  <c r="O629" i="7"/>
  <c r="O639" i="7" s="1"/>
  <c r="O611" i="7" s="1"/>
  <c r="P629" i="7"/>
  <c r="P639" i="7" s="1"/>
  <c r="P611" i="7" s="1"/>
  <c r="Q629" i="7"/>
  <c r="Q639" i="7" s="1"/>
  <c r="Q611" i="7" s="1"/>
  <c r="U299" i="7"/>
  <c r="U309" i="7" s="1"/>
  <c r="T434" i="7"/>
  <c r="T444" i="7" s="1"/>
  <c r="V299" i="7"/>
  <c r="V309" i="7" s="1"/>
  <c r="D434" i="7"/>
  <c r="D444" i="7" s="1"/>
  <c r="C434" i="7"/>
  <c r="E434" i="7"/>
  <c r="E444" i="7" s="1"/>
  <c r="F434" i="7"/>
  <c r="F444" i="7" s="1"/>
  <c r="H434" i="7"/>
  <c r="H444" i="7" s="1"/>
  <c r="I434" i="7"/>
  <c r="I444" i="7" s="1"/>
  <c r="M434" i="7"/>
  <c r="M444" i="7" s="1"/>
  <c r="O434" i="7"/>
  <c r="O444" i="7" s="1"/>
  <c r="R434" i="7"/>
  <c r="R444" i="7" s="1"/>
  <c r="S434" i="7"/>
  <c r="S444" i="7" s="1"/>
  <c r="U434" i="7"/>
  <c r="U444" i="7" s="1"/>
  <c r="D299" i="7"/>
  <c r="D309" i="7" s="1"/>
  <c r="E299" i="7"/>
  <c r="E309" i="7" s="1"/>
  <c r="H299" i="7"/>
  <c r="H309" i="7" s="1"/>
  <c r="I299" i="7"/>
  <c r="I309" i="7" s="1"/>
  <c r="K299" i="7"/>
  <c r="K309" i="7" s="1"/>
  <c r="L299" i="7"/>
  <c r="L309" i="7" s="1"/>
  <c r="M299" i="7"/>
  <c r="M309" i="7" s="1"/>
  <c r="N299" i="7"/>
  <c r="N309" i="7" s="1"/>
  <c r="P299" i="7"/>
  <c r="P309" i="7" s="1"/>
  <c r="Q299" i="7"/>
  <c r="Q309" i="7" s="1"/>
  <c r="G434" i="7"/>
  <c r="G444" i="7" s="1"/>
  <c r="J434" i="7"/>
  <c r="J444" i="7" s="1"/>
  <c r="K434" i="7"/>
  <c r="K444" i="7" s="1"/>
  <c r="L434" i="7"/>
  <c r="L444" i="7" s="1"/>
  <c r="N434" i="7"/>
  <c r="N444" i="7" s="1"/>
  <c r="P434" i="7"/>
  <c r="P444" i="7" s="1"/>
  <c r="Q434" i="7"/>
  <c r="Q444" i="7" s="1"/>
  <c r="C299" i="7"/>
  <c r="F299" i="7"/>
  <c r="F309" i="7" s="1"/>
  <c r="G299" i="7"/>
  <c r="G309" i="7" s="1"/>
  <c r="J299" i="7"/>
  <c r="J309" i="7" s="1"/>
  <c r="O299" i="7"/>
  <c r="O309" i="7" s="1"/>
  <c r="S299" i="7"/>
  <c r="S309" i="7" s="1"/>
  <c r="R299" i="7"/>
  <c r="R309" i="7" s="1"/>
  <c r="T299" i="7"/>
  <c r="T309" i="7" s="1"/>
  <c r="V434" i="7"/>
  <c r="V444" i="7" s="1"/>
  <c r="W299" i="7"/>
  <c r="W309" i="7" s="1"/>
  <c r="X299" i="7"/>
  <c r="X309" i="7" s="1"/>
  <c r="W434" i="7"/>
  <c r="W444" i="7" s="1"/>
  <c r="Y299" i="7"/>
  <c r="Y309" i="7" s="1"/>
  <c r="X434" i="7"/>
  <c r="X444" i="7" s="1"/>
  <c r="Y434" i="7"/>
  <c r="Y444" i="7" s="1"/>
  <c r="Z299" i="7"/>
  <c r="Z309" i="7" s="1"/>
  <c r="AA299" i="7"/>
  <c r="AA309" i="7" s="1"/>
  <c r="Z434" i="7"/>
  <c r="Z444" i="7" s="1"/>
  <c r="AB299" i="7"/>
  <c r="AB309" i="7" s="1"/>
  <c r="AA434" i="7"/>
  <c r="AA444" i="7" s="1"/>
  <c r="AC299" i="7"/>
  <c r="AC309" i="7" s="1"/>
  <c r="AB434" i="7"/>
  <c r="AB444" i="7" s="1"/>
  <c r="AC434" i="7"/>
  <c r="AC444" i="7" s="1"/>
  <c r="AD299" i="7"/>
  <c r="AD309" i="7" s="1"/>
  <c r="AE299" i="7"/>
  <c r="AE309" i="7" s="1"/>
  <c r="AD434" i="7"/>
  <c r="AD444" i="7" s="1"/>
  <c r="AF299" i="7"/>
  <c r="AF309" i="7" s="1"/>
  <c r="AE434" i="7"/>
  <c r="AE444" i="7" s="1"/>
  <c r="AG299" i="7"/>
  <c r="AG309" i="7" s="1"/>
  <c r="AF434" i="7"/>
  <c r="AF444" i="7" s="1"/>
  <c r="AG434" i="7"/>
  <c r="AG444" i="7" s="1"/>
  <c r="AH299" i="7"/>
  <c r="AH309" i="7" s="1"/>
  <c r="AI299" i="7"/>
  <c r="AI309" i="7" s="1"/>
  <c r="AH434" i="7"/>
  <c r="AH444" i="7" s="1"/>
  <c r="AI434" i="7"/>
  <c r="AI444" i="7" s="1"/>
  <c r="AJ299" i="7"/>
  <c r="AJ309" i="7" s="1"/>
  <c r="AK299" i="7"/>
  <c r="AK309" i="7" s="1"/>
  <c r="AJ434" i="7"/>
  <c r="AJ444" i="7" s="1"/>
  <c r="AL299" i="7"/>
  <c r="AL309" i="7" s="1"/>
  <c r="AK434" i="7"/>
  <c r="AK444" i="7" s="1"/>
  <c r="AL434" i="7"/>
  <c r="AL444" i="7" s="1"/>
  <c r="AM299" i="7"/>
  <c r="AM309" i="7" s="1"/>
  <c r="AM434" i="7"/>
  <c r="AM444" i="7" s="1"/>
  <c r="AN299" i="7"/>
  <c r="AN309" i="7" s="1"/>
  <c r="AO299" i="7"/>
  <c r="AO309" i="7" s="1"/>
  <c r="AN434" i="7"/>
  <c r="AN444" i="7" s="1"/>
  <c r="D597" i="7"/>
  <c r="D607" i="7" s="1"/>
  <c r="D579" i="7" s="1"/>
  <c r="C597" i="7"/>
  <c r="E597" i="7"/>
  <c r="E607" i="7" s="1"/>
  <c r="E579" i="7" s="1"/>
  <c r="F597" i="7"/>
  <c r="F607" i="7" s="1"/>
  <c r="F579" i="7" s="1"/>
  <c r="G597" i="7"/>
  <c r="G607" i="7" s="1"/>
  <c r="G579" i="7" s="1"/>
  <c r="H597" i="7"/>
  <c r="H607" i="7" s="1"/>
  <c r="H579" i="7" s="1"/>
  <c r="I597" i="7"/>
  <c r="I607" i="7" s="1"/>
  <c r="I579" i="7" s="1"/>
  <c r="J597" i="7"/>
  <c r="J607" i="7" s="1"/>
  <c r="J579" i="7" s="1"/>
  <c r="K597" i="7"/>
  <c r="K607" i="7" s="1"/>
  <c r="K579" i="7" s="1"/>
  <c r="L597" i="7"/>
  <c r="L607" i="7" s="1"/>
  <c r="L579" i="7" s="1"/>
  <c r="M597" i="7"/>
  <c r="M607" i="7" s="1"/>
  <c r="M579" i="7" s="1"/>
  <c r="N597" i="7"/>
  <c r="N607" i="7" s="1"/>
  <c r="N579" i="7" s="1"/>
  <c r="U273" i="7"/>
  <c r="U283" i="7" s="1"/>
  <c r="T408" i="7"/>
  <c r="T418" i="7" s="1"/>
  <c r="C408" i="7"/>
  <c r="E408" i="7"/>
  <c r="E418" i="7" s="1"/>
  <c r="G408" i="7"/>
  <c r="G418" i="7" s="1"/>
  <c r="H408" i="7"/>
  <c r="H418" i="7" s="1"/>
  <c r="L408" i="7"/>
  <c r="L418" i="7" s="1"/>
  <c r="K408" i="7"/>
  <c r="K418" i="7" s="1"/>
  <c r="M408" i="7"/>
  <c r="M418" i="7" s="1"/>
  <c r="P408" i="7"/>
  <c r="P418" i="7" s="1"/>
  <c r="K273" i="7"/>
  <c r="K283" i="7" s="1"/>
  <c r="L273" i="7"/>
  <c r="L283" i="7" s="1"/>
  <c r="M273" i="7"/>
  <c r="M283" i="7" s="1"/>
  <c r="P273" i="7"/>
  <c r="P283" i="7" s="1"/>
  <c r="T273" i="7"/>
  <c r="T283" i="7" s="1"/>
  <c r="V273" i="7"/>
  <c r="V283" i="7" s="1"/>
  <c r="D408" i="7"/>
  <c r="D418" i="7" s="1"/>
  <c r="F408" i="7"/>
  <c r="F418" i="7" s="1"/>
  <c r="I408" i="7"/>
  <c r="I418" i="7" s="1"/>
  <c r="J408" i="7"/>
  <c r="J418" i="7" s="1"/>
  <c r="N408" i="7"/>
  <c r="N418" i="7" s="1"/>
  <c r="O408" i="7"/>
  <c r="O418" i="7" s="1"/>
  <c r="Q408" i="7"/>
  <c r="Q418" i="7" s="1"/>
  <c r="R408" i="7"/>
  <c r="R418" i="7" s="1"/>
  <c r="S408" i="7"/>
  <c r="S418" i="7" s="1"/>
  <c r="U408" i="7"/>
  <c r="U418" i="7" s="1"/>
  <c r="C273" i="7"/>
  <c r="D273" i="7"/>
  <c r="D283" i="7" s="1"/>
  <c r="E273" i="7"/>
  <c r="E283" i="7" s="1"/>
  <c r="F273" i="7"/>
  <c r="F283" i="7" s="1"/>
  <c r="G273" i="7"/>
  <c r="G283" i="7" s="1"/>
  <c r="H273" i="7"/>
  <c r="H283" i="7" s="1"/>
  <c r="I273" i="7"/>
  <c r="I283" i="7" s="1"/>
  <c r="J273" i="7"/>
  <c r="J283" i="7" s="1"/>
  <c r="N273" i="7"/>
  <c r="N283" i="7" s="1"/>
  <c r="O273" i="7"/>
  <c r="O283" i="7" s="1"/>
  <c r="Q273" i="7"/>
  <c r="Q283" i="7" s="1"/>
  <c r="S273" i="7"/>
  <c r="S283" i="7" s="1"/>
  <c r="R273" i="7"/>
  <c r="R283" i="7" s="1"/>
  <c r="V408" i="7"/>
  <c r="V418" i="7" s="1"/>
  <c r="W273" i="7"/>
  <c r="W283" i="7" s="1"/>
  <c r="X273" i="7"/>
  <c r="X283" i="7" s="1"/>
  <c r="W408" i="7"/>
  <c r="W418" i="7" s="1"/>
  <c r="Y273" i="7"/>
  <c r="Y283" i="7" s="1"/>
  <c r="X408" i="7"/>
  <c r="X418" i="7" s="1"/>
  <c r="Z273" i="7"/>
  <c r="Z283" i="7" s="1"/>
  <c r="Y408" i="7"/>
  <c r="Y418" i="7" s="1"/>
  <c r="AA273" i="7"/>
  <c r="AA283" i="7" s="1"/>
  <c r="Z408" i="7"/>
  <c r="Z418" i="7" s="1"/>
  <c r="AA408" i="7"/>
  <c r="AA418" i="7" s="1"/>
  <c r="AB273" i="7"/>
  <c r="AB283" i="7" s="1"/>
  <c r="AB408" i="7"/>
  <c r="AB418" i="7" s="1"/>
  <c r="AC273" i="7"/>
  <c r="AC283" i="7" s="1"/>
  <c r="AD273" i="7"/>
  <c r="AD283" i="7" s="1"/>
  <c r="AC408" i="7"/>
  <c r="AC418" i="7" s="1"/>
  <c r="AE273" i="7"/>
  <c r="AE283" i="7" s="1"/>
  <c r="AD408" i="7"/>
  <c r="AD418" i="7" s="1"/>
  <c r="AE408" i="7"/>
  <c r="AE418" i="7" s="1"/>
  <c r="AF273" i="7"/>
  <c r="AF283" i="7" s="1"/>
  <c r="AG273" i="7"/>
  <c r="AG283" i="7" s="1"/>
  <c r="AF408" i="7"/>
  <c r="AF418" i="7" s="1"/>
  <c r="AH273" i="7"/>
  <c r="AH283" i="7" s="1"/>
  <c r="AG408" i="7"/>
  <c r="AG418" i="7" s="1"/>
  <c r="AI273" i="7"/>
  <c r="AI283" i="7" s="1"/>
  <c r="AH408" i="7"/>
  <c r="AH418" i="7" s="1"/>
  <c r="AJ273" i="7"/>
  <c r="AJ283" i="7" s="1"/>
  <c r="AI408" i="7"/>
  <c r="AI418" i="7" s="1"/>
  <c r="AJ408" i="7"/>
  <c r="AJ418" i="7" s="1"/>
  <c r="AK273" i="7"/>
  <c r="AK283" i="7" s="1"/>
  <c r="AL273" i="7"/>
  <c r="AL283" i="7" s="1"/>
  <c r="AK408" i="7"/>
  <c r="AK418" i="7" s="1"/>
  <c r="AL408" i="7"/>
  <c r="AL418" i="7" s="1"/>
  <c r="AM273" i="7"/>
  <c r="AM283" i="7" s="1"/>
  <c r="AN273" i="7"/>
  <c r="AN283" i="7" s="1"/>
  <c r="AM408" i="7"/>
  <c r="AM418" i="7" s="1"/>
  <c r="AN408" i="7"/>
  <c r="AN418" i="7" s="1"/>
  <c r="AO273" i="7"/>
  <c r="AO283" i="7" s="1"/>
  <c r="B440" i="7"/>
  <c r="B303" i="7"/>
  <c r="B414" i="7"/>
  <c r="B412" i="7"/>
  <c r="B410" i="7"/>
  <c r="AP460" i="7"/>
  <c r="AP408" i="7"/>
  <c r="AP61" i="7"/>
  <c r="B332" i="7"/>
  <c r="B465" i="7"/>
  <c r="B463" i="7"/>
  <c r="B304" i="7"/>
  <c r="B437" i="7"/>
  <c r="B435" i="7"/>
  <c r="B413" i="7"/>
  <c r="B276" i="7"/>
  <c r="B274" i="7"/>
  <c r="AP434" i="7"/>
  <c r="AP534" i="7" l="1"/>
  <c r="AP529" i="7"/>
  <c r="AP470" i="7"/>
  <c r="AP309" i="7"/>
  <c r="AP418" i="7"/>
  <c r="AP444" i="7"/>
  <c r="AP335" i="7"/>
  <c r="B305" i="7"/>
  <c r="AP283" i="7"/>
  <c r="B279" i="7"/>
  <c r="O541" i="7"/>
  <c r="L541" i="7"/>
  <c r="J541" i="7"/>
  <c r="H541" i="7"/>
  <c r="F541" i="7"/>
  <c r="N59" i="7"/>
  <c r="N541" i="7"/>
  <c r="M59" i="7"/>
  <c r="M541" i="7"/>
  <c r="K541" i="7"/>
  <c r="I541" i="7"/>
  <c r="G541" i="7"/>
  <c r="E541" i="7"/>
  <c r="D541" i="7"/>
  <c r="P60" i="7"/>
  <c r="N60" i="7"/>
  <c r="Q60" i="7"/>
  <c r="O60" i="7"/>
  <c r="M60" i="7"/>
  <c r="K59" i="7"/>
  <c r="I59" i="7"/>
  <c r="G59" i="7"/>
  <c r="E59" i="7"/>
  <c r="D59" i="7"/>
  <c r="L59" i="7"/>
  <c r="J59" i="7"/>
  <c r="H59" i="7"/>
  <c r="F59" i="7"/>
  <c r="B597" i="7"/>
  <c r="C607" i="7"/>
  <c r="C579" i="7" s="1"/>
  <c r="B434" i="7"/>
  <c r="C444" i="7"/>
  <c r="B629" i="7"/>
  <c r="C639" i="7"/>
  <c r="C611" i="7" s="1"/>
  <c r="C671" i="7"/>
  <c r="C643" i="7" s="1"/>
  <c r="B661" i="7"/>
  <c r="C283" i="7"/>
  <c r="B273" i="7"/>
  <c r="C418" i="7"/>
  <c r="B408" i="7"/>
  <c r="C309" i="7"/>
  <c r="B299" i="7"/>
  <c r="C335" i="7"/>
  <c r="B325" i="7"/>
  <c r="B460" i="7"/>
  <c r="C470" i="7"/>
  <c r="C541" i="7" l="1"/>
  <c r="B541" i="7" s="1"/>
  <c r="C61" i="7"/>
  <c r="C645" i="7"/>
  <c r="D642" i="7" s="1"/>
  <c r="D645" i="7" s="1"/>
  <c r="E642" i="7" s="1"/>
  <c r="E645" i="7" s="1"/>
  <c r="F642" i="7" s="1"/>
  <c r="F645" i="7" s="1"/>
  <c r="G642" i="7" s="1"/>
  <c r="G645" i="7" s="1"/>
  <c r="H642" i="7" s="1"/>
  <c r="H645" i="7" s="1"/>
  <c r="I642" i="7" s="1"/>
  <c r="I645" i="7" s="1"/>
  <c r="J642" i="7" s="1"/>
  <c r="J645" i="7" s="1"/>
  <c r="K642" i="7" s="1"/>
  <c r="K645" i="7" s="1"/>
  <c r="L642" i="7" s="1"/>
  <c r="L645" i="7" s="1"/>
  <c r="M642" i="7" s="1"/>
  <c r="M645" i="7" s="1"/>
  <c r="N642" i="7" s="1"/>
  <c r="N645" i="7" s="1"/>
  <c r="O642" i="7" s="1"/>
  <c r="O645" i="7" s="1"/>
  <c r="P642" i="7" s="1"/>
  <c r="P645" i="7" s="1"/>
  <c r="Q642" i="7" s="1"/>
  <c r="Q645" i="7" s="1"/>
  <c r="R642" i="7" s="1"/>
  <c r="R645" i="7" s="1"/>
  <c r="S642" i="7" s="1"/>
  <c r="S645" i="7" s="1"/>
  <c r="T642" i="7" s="1"/>
  <c r="T645" i="7" s="1"/>
  <c r="U642" i="7" s="1"/>
  <c r="U645" i="7" s="1"/>
  <c r="V642" i="7" s="1"/>
  <c r="V645" i="7" s="1"/>
  <c r="W642" i="7" s="1"/>
  <c r="W645" i="7" s="1"/>
  <c r="X642" i="7" s="1"/>
  <c r="X645" i="7" s="1"/>
  <c r="Y642" i="7" s="1"/>
  <c r="Y645" i="7" s="1"/>
  <c r="Z642" i="7" s="1"/>
  <c r="Z645" i="7" s="1"/>
  <c r="AA642" i="7" s="1"/>
  <c r="AA645" i="7" s="1"/>
  <c r="AB642" i="7" s="1"/>
  <c r="AB645" i="7" s="1"/>
  <c r="AC642" i="7" s="1"/>
  <c r="AC645" i="7" s="1"/>
  <c r="AD642" i="7" s="1"/>
  <c r="AD645" i="7" s="1"/>
  <c r="AE642" i="7" s="1"/>
  <c r="AE645" i="7" s="1"/>
  <c r="AF642" i="7" s="1"/>
  <c r="AF645" i="7" s="1"/>
  <c r="AG642" i="7" s="1"/>
  <c r="AG645" i="7" s="1"/>
  <c r="AH642" i="7" s="1"/>
  <c r="AH645" i="7" s="1"/>
  <c r="AI642" i="7" s="1"/>
  <c r="AI645" i="7" s="1"/>
  <c r="AJ642" i="7" s="1"/>
  <c r="AJ645" i="7" s="1"/>
  <c r="AK642" i="7" s="1"/>
  <c r="AK645" i="7" s="1"/>
  <c r="AL642" i="7" s="1"/>
  <c r="AL645" i="7" s="1"/>
  <c r="AM642" i="7" s="1"/>
  <c r="AM645" i="7" s="1"/>
  <c r="AN642" i="7" s="1"/>
  <c r="AN645" i="7" s="1"/>
  <c r="AO642" i="7" s="1"/>
  <c r="AO645" i="7" s="1"/>
  <c r="AP642" i="7" s="1"/>
  <c r="AP645" i="7" s="1"/>
  <c r="C60" i="7"/>
  <c r="C613" i="7"/>
  <c r="D610" i="7" s="1"/>
  <c r="D613" i="7" s="1"/>
  <c r="E610" i="7" s="1"/>
  <c r="E613" i="7" s="1"/>
  <c r="F610" i="7" s="1"/>
  <c r="F613" i="7" s="1"/>
  <c r="G610" i="7" s="1"/>
  <c r="G613" i="7" s="1"/>
  <c r="H610" i="7" s="1"/>
  <c r="H613" i="7" s="1"/>
  <c r="I610" i="7" s="1"/>
  <c r="I613" i="7" s="1"/>
  <c r="J610" i="7" s="1"/>
  <c r="J613" i="7" s="1"/>
  <c r="K610" i="7" s="1"/>
  <c r="K613" i="7" s="1"/>
  <c r="L610" i="7" s="1"/>
  <c r="L613" i="7" s="1"/>
  <c r="M610" i="7" s="1"/>
  <c r="M613" i="7" s="1"/>
  <c r="N610" i="7" s="1"/>
  <c r="N613" i="7" s="1"/>
  <c r="O610" i="7" s="1"/>
  <c r="O613" i="7" s="1"/>
  <c r="P610" i="7" s="1"/>
  <c r="P613" i="7" s="1"/>
  <c r="Q610" i="7" s="1"/>
  <c r="Q613" i="7" s="1"/>
  <c r="R610" i="7" s="1"/>
  <c r="R613" i="7" s="1"/>
  <c r="S610" i="7" s="1"/>
  <c r="S613" i="7" s="1"/>
  <c r="T610" i="7" s="1"/>
  <c r="T613" i="7" s="1"/>
  <c r="U610" i="7" s="1"/>
  <c r="U613" i="7" s="1"/>
  <c r="V610" i="7" s="1"/>
  <c r="V613" i="7" s="1"/>
  <c r="W610" i="7" s="1"/>
  <c r="W613" i="7" s="1"/>
  <c r="X610" i="7" s="1"/>
  <c r="X613" i="7" s="1"/>
  <c r="Y610" i="7" s="1"/>
  <c r="Y613" i="7" s="1"/>
  <c r="Z610" i="7" s="1"/>
  <c r="Z613" i="7" s="1"/>
  <c r="AA610" i="7" s="1"/>
  <c r="AA613" i="7" s="1"/>
  <c r="AB610" i="7" s="1"/>
  <c r="AB613" i="7" s="1"/>
  <c r="AC610" i="7" s="1"/>
  <c r="AC613" i="7" s="1"/>
  <c r="AD610" i="7" s="1"/>
  <c r="AD613" i="7" s="1"/>
  <c r="AE610" i="7" s="1"/>
  <c r="AE613" i="7" s="1"/>
  <c r="AF610" i="7" s="1"/>
  <c r="AF613" i="7" s="1"/>
  <c r="AG610" i="7" s="1"/>
  <c r="AG613" i="7" s="1"/>
  <c r="AH610" i="7" s="1"/>
  <c r="AH613" i="7" s="1"/>
  <c r="AI610" i="7" s="1"/>
  <c r="AI613" i="7" s="1"/>
  <c r="AJ610" i="7" s="1"/>
  <c r="AJ613" i="7" s="1"/>
  <c r="AK610" i="7" s="1"/>
  <c r="AK613" i="7" s="1"/>
  <c r="AL610" i="7" s="1"/>
  <c r="AL613" i="7" s="1"/>
  <c r="AM610" i="7" s="1"/>
  <c r="AM613" i="7" s="1"/>
  <c r="AN610" i="7" s="1"/>
  <c r="AN613" i="7" s="1"/>
  <c r="AO610" i="7" s="1"/>
  <c r="AO613" i="7" s="1"/>
  <c r="AP610" i="7" s="1"/>
  <c r="AP613" i="7" s="1"/>
  <c r="C59" i="7"/>
  <c r="C581" i="7"/>
  <c r="D578" i="7" s="1"/>
  <c r="D581" i="7" s="1"/>
  <c r="E578" i="7" s="1"/>
  <c r="E581" i="7" s="1"/>
  <c r="F578" i="7" s="1"/>
  <c r="F581" i="7" s="1"/>
  <c r="G578" i="7" s="1"/>
  <c r="G581" i="7" s="1"/>
  <c r="H578" i="7" s="1"/>
  <c r="H581" i="7" s="1"/>
  <c r="I578" i="7" s="1"/>
  <c r="I581" i="7" s="1"/>
  <c r="J578" i="7" s="1"/>
  <c r="J581" i="7" s="1"/>
  <c r="K578" i="7" s="1"/>
  <c r="K581" i="7" s="1"/>
  <c r="L578" i="7" s="1"/>
  <c r="L581" i="7" s="1"/>
  <c r="M578" i="7" l="1"/>
  <c r="M581" i="7" s="1"/>
  <c r="N578" i="7" l="1"/>
  <c r="N581" i="7" s="1"/>
  <c r="AO520" i="7" l="1"/>
  <c r="AO521" i="7" s="1"/>
  <c r="AO516" i="7"/>
  <c r="AO517" i="7" s="1"/>
  <c r="AO482" i="7"/>
  <c r="AO483" i="7" s="1"/>
  <c r="AO100" i="7" s="1"/>
  <c r="AO120" i="7"/>
  <c r="AO11" i="7"/>
  <c r="AO512" i="7"/>
  <c r="AO513" i="7" s="1"/>
  <c r="AO508" i="7"/>
  <c r="AO509" i="7" s="1"/>
  <c r="AO476" i="7"/>
  <c r="AO477" i="7" s="1"/>
  <c r="AO99" i="7" s="1"/>
  <c r="AO32" i="7"/>
  <c r="AO34" i="7" s="1"/>
  <c r="AN516" i="7"/>
  <c r="AN517" i="7" s="1"/>
  <c r="AN482" i="7"/>
  <c r="AN483" i="7" s="1"/>
  <c r="AN100" i="7" s="1"/>
  <c r="AN520" i="7"/>
  <c r="AN521" i="7" s="1"/>
  <c r="AN120" i="7"/>
  <c r="AN11" i="7"/>
  <c r="AN508" i="7"/>
  <c r="AN509" i="7" s="1"/>
  <c r="AN476" i="7"/>
  <c r="AN477" i="7" s="1"/>
  <c r="AN99" i="7" s="1"/>
  <c r="AN512" i="7"/>
  <c r="AN513" i="7" s="1"/>
  <c r="AN32" i="7"/>
  <c r="AN34" i="7" s="1"/>
  <c r="AM512" i="7"/>
  <c r="AM513" i="7" s="1"/>
  <c r="AM508" i="7"/>
  <c r="AM509" i="7" s="1"/>
  <c r="AM476" i="7"/>
  <c r="AM477" i="7" s="1"/>
  <c r="AM99" i="7" s="1"/>
  <c r="AM32" i="7"/>
  <c r="AM34" i="7" s="1"/>
  <c r="AM520" i="7"/>
  <c r="AM521" i="7" s="1"/>
  <c r="AM516" i="7"/>
  <c r="AM517" i="7" s="1"/>
  <c r="AM482" i="7"/>
  <c r="AM483" i="7" s="1"/>
  <c r="AM100" i="7" s="1"/>
  <c r="AM120" i="7"/>
  <c r="AM11" i="7"/>
  <c r="AL516" i="7"/>
  <c r="AL517" i="7" s="1"/>
  <c r="AL482" i="7"/>
  <c r="AL483" i="7" s="1"/>
  <c r="AL100" i="7" s="1"/>
  <c r="AL520" i="7"/>
  <c r="AL521" i="7" s="1"/>
  <c r="AL120" i="7"/>
  <c r="AL11" i="7"/>
  <c r="AL508" i="7"/>
  <c r="AL509" i="7" s="1"/>
  <c r="AL476" i="7"/>
  <c r="AL477" i="7" s="1"/>
  <c r="AL99" i="7" s="1"/>
  <c r="AL512" i="7"/>
  <c r="AL513" i="7" s="1"/>
  <c r="AL32" i="7"/>
  <c r="AL34" i="7" s="1"/>
  <c r="AK520" i="7"/>
  <c r="AK521" i="7" s="1"/>
  <c r="AK516" i="7"/>
  <c r="AK517" i="7" s="1"/>
  <c r="AK120" i="7"/>
  <c r="AK512" i="7"/>
  <c r="AK513" i="7" s="1"/>
  <c r="AK508" i="7"/>
  <c r="AK509" i="7" s="1"/>
  <c r="AK476" i="7"/>
  <c r="AK477" i="7" s="1"/>
  <c r="AK99" i="7" s="1"/>
  <c r="AK32" i="7"/>
  <c r="AK34" i="7" s="1"/>
  <c r="AK482" i="7"/>
  <c r="AK483" i="7" s="1"/>
  <c r="AK100" i="7" s="1"/>
  <c r="AK11" i="7"/>
  <c r="AJ508" i="7"/>
  <c r="AJ509" i="7" s="1"/>
  <c r="AJ476" i="7"/>
  <c r="AJ477" i="7" s="1"/>
  <c r="AJ99" i="7" s="1"/>
  <c r="AJ512" i="7"/>
  <c r="AJ513" i="7" s="1"/>
  <c r="AJ32" i="7"/>
  <c r="AJ34" i="7" s="1"/>
  <c r="AJ516" i="7"/>
  <c r="AJ517" i="7" s="1"/>
  <c r="AJ482" i="7"/>
  <c r="AJ483" i="7" s="1"/>
  <c r="AJ100" i="7" s="1"/>
  <c r="AJ520" i="7"/>
  <c r="AJ521" i="7" s="1"/>
  <c r="AJ120" i="7"/>
  <c r="AJ11" i="7"/>
  <c r="AH508" i="7"/>
  <c r="AH509" i="7" s="1"/>
  <c r="AH476" i="7"/>
  <c r="AH477" i="7" s="1"/>
  <c r="AH99" i="7" s="1"/>
  <c r="AH512" i="7"/>
  <c r="AH513" i="7" s="1"/>
  <c r="AH32" i="7"/>
  <c r="AH34" i="7" s="1"/>
  <c r="AH516" i="7"/>
  <c r="AH517" i="7" s="1"/>
  <c r="AH482" i="7"/>
  <c r="AH483" i="7" s="1"/>
  <c r="AH100" i="7" s="1"/>
  <c r="AH520" i="7"/>
  <c r="AH521" i="7" s="1"/>
  <c r="AH120" i="7"/>
  <c r="AH11" i="7"/>
  <c r="AG512" i="7"/>
  <c r="AG513" i="7" s="1"/>
  <c r="AG508" i="7"/>
  <c r="AG509" i="7" s="1"/>
  <c r="AG476" i="7"/>
  <c r="AG477" i="7" s="1"/>
  <c r="AG99" i="7" s="1"/>
  <c r="AG32" i="7"/>
  <c r="AG34" i="7" s="1"/>
  <c r="AG520" i="7"/>
  <c r="AG521" i="7" s="1"/>
  <c r="AG516" i="7"/>
  <c r="AG517" i="7" s="1"/>
  <c r="AG482" i="7"/>
  <c r="AG483" i="7" s="1"/>
  <c r="AG100" i="7" s="1"/>
  <c r="AG120" i="7"/>
  <c r="AG11" i="7"/>
  <c r="AP516" i="7"/>
  <c r="AP517" i="7" s="1"/>
  <c r="AP482" i="7"/>
  <c r="AP483" i="7" s="1"/>
  <c r="AP100" i="7" s="1"/>
  <c r="AP520" i="7"/>
  <c r="AP521" i="7" s="1"/>
  <c r="AP120" i="7"/>
  <c r="AP11" i="7"/>
  <c r="AP508" i="7"/>
  <c r="AP509" i="7" s="1"/>
  <c r="AP476" i="7"/>
  <c r="AP477" i="7" s="1"/>
  <c r="AP99" i="7" s="1"/>
  <c r="AP512" i="7"/>
  <c r="AP513" i="7" s="1"/>
  <c r="AP32" i="7"/>
  <c r="AP34" i="7" s="1"/>
  <c r="AI512" i="7"/>
  <c r="AI513" i="7" s="1"/>
  <c r="AI476" i="7"/>
  <c r="AI477" i="7" s="1"/>
  <c r="AI99" i="7" s="1"/>
  <c r="AI520" i="7"/>
  <c r="AI521" i="7" s="1"/>
  <c r="AI516" i="7"/>
  <c r="AI517" i="7" s="1"/>
  <c r="AI482" i="7"/>
  <c r="AI483" i="7" s="1"/>
  <c r="AI100" i="7" s="1"/>
  <c r="AI120" i="7"/>
  <c r="AI11" i="7"/>
  <c r="AI508" i="7"/>
  <c r="AI509" i="7" s="1"/>
  <c r="AI32" i="7"/>
  <c r="AI34" i="7" s="1"/>
  <c r="C508" i="7"/>
  <c r="C509" i="7" s="1"/>
  <c r="C32" i="7"/>
  <c r="C34" i="7" s="1"/>
  <c r="C516" i="7"/>
  <c r="C517" i="7" s="1"/>
  <c r="C120" i="7"/>
  <c r="C512" i="7"/>
  <c r="C513" i="7" s="1"/>
  <c r="C476" i="7"/>
  <c r="C477" i="7" s="1"/>
  <c r="C99" i="7" s="1"/>
  <c r="C520" i="7"/>
  <c r="C521" i="7" s="1"/>
  <c r="C482" i="7"/>
  <c r="C483" i="7" s="1"/>
  <c r="C100" i="7" s="1"/>
  <c r="C11" i="7"/>
  <c r="G520" i="7"/>
  <c r="G521" i="7" s="1"/>
  <c r="G482" i="7"/>
  <c r="G483" i="7" s="1"/>
  <c r="G100" i="7" s="1"/>
  <c r="G11" i="7"/>
  <c r="G508" i="7"/>
  <c r="G509" i="7" s="1"/>
  <c r="G32" i="7"/>
  <c r="G34" i="7" s="1"/>
  <c r="G516" i="7"/>
  <c r="G517" i="7" s="1"/>
  <c r="G120" i="7"/>
  <c r="G512" i="7"/>
  <c r="G513" i="7" s="1"/>
  <c r="G476" i="7"/>
  <c r="G477" i="7" s="1"/>
  <c r="G99" i="7" s="1"/>
  <c r="K520" i="7"/>
  <c r="K521" i="7" s="1"/>
  <c r="K482" i="7"/>
  <c r="K483" i="7" s="1"/>
  <c r="K100" i="7" s="1"/>
  <c r="K11" i="7"/>
  <c r="K476" i="7"/>
  <c r="K477" i="7" s="1"/>
  <c r="K99" i="7" s="1"/>
  <c r="K508" i="7"/>
  <c r="K509" i="7" s="1"/>
  <c r="K516" i="7"/>
  <c r="K517" i="7" s="1"/>
  <c r="K120" i="7"/>
  <c r="K512" i="7"/>
  <c r="K513" i="7" s="1"/>
  <c r="K32" i="7"/>
  <c r="K34" i="7" s="1"/>
  <c r="O520" i="7"/>
  <c r="O521" i="7" s="1"/>
  <c r="O120" i="7"/>
  <c r="O508" i="7"/>
  <c r="O509" i="7" s="1"/>
  <c r="O32" i="7"/>
  <c r="O34" i="7" s="1"/>
  <c r="O11" i="7"/>
  <c r="O516" i="7"/>
  <c r="O517" i="7" s="1"/>
  <c r="O512" i="7"/>
  <c r="O513" i="7" s="1"/>
  <c r="O476" i="7"/>
  <c r="O477" i="7" s="1"/>
  <c r="O99" i="7" s="1"/>
  <c r="O482" i="7"/>
  <c r="O483" i="7" s="1"/>
  <c r="O100" i="7" s="1"/>
  <c r="S512" i="7"/>
  <c r="S513" i="7" s="1"/>
  <c r="S476" i="7"/>
  <c r="S477" i="7" s="1"/>
  <c r="S99" i="7" s="1"/>
  <c r="S520" i="7"/>
  <c r="S521" i="7" s="1"/>
  <c r="S482" i="7"/>
  <c r="S483" i="7" s="1"/>
  <c r="S100" i="7" s="1"/>
  <c r="S11" i="7"/>
  <c r="S508" i="7"/>
  <c r="S509" i="7" s="1"/>
  <c r="S32" i="7"/>
  <c r="S34" i="7" s="1"/>
  <c r="S516" i="7"/>
  <c r="S517" i="7" s="1"/>
  <c r="S120" i="7"/>
  <c r="W512" i="7"/>
  <c r="W513" i="7" s="1"/>
  <c r="W476" i="7"/>
  <c r="W477" i="7" s="1"/>
  <c r="W99" i="7" s="1"/>
  <c r="W520" i="7"/>
  <c r="W521" i="7" s="1"/>
  <c r="W482" i="7"/>
  <c r="W483" i="7" s="1"/>
  <c r="W100" i="7" s="1"/>
  <c r="W11" i="7"/>
  <c r="W508" i="7"/>
  <c r="W509" i="7" s="1"/>
  <c r="W32" i="7"/>
  <c r="W34" i="7" s="1"/>
  <c r="W516" i="7"/>
  <c r="W517" i="7" s="1"/>
  <c r="W120" i="7"/>
  <c r="AA512" i="7"/>
  <c r="AA513" i="7" s="1"/>
  <c r="AA476" i="7"/>
  <c r="AA477" i="7" s="1"/>
  <c r="AA99" i="7" s="1"/>
  <c r="AA520" i="7"/>
  <c r="AA521" i="7" s="1"/>
  <c r="AA482" i="7"/>
  <c r="AA483" i="7" s="1"/>
  <c r="AA100" i="7" s="1"/>
  <c r="AA11" i="7"/>
  <c r="AA508" i="7"/>
  <c r="AA509" i="7" s="1"/>
  <c r="AA32" i="7"/>
  <c r="AA34" i="7" s="1"/>
  <c r="AA516" i="7"/>
  <c r="AA517" i="7" s="1"/>
  <c r="AA120" i="7"/>
  <c r="AE520" i="7"/>
  <c r="AE521" i="7" s="1"/>
  <c r="AE482" i="7"/>
  <c r="AE483" i="7" s="1"/>
  <c r="AE100" i="7" s="1"/>
  <c r="AE11" i="7"/>
  <c r="AE508" i="7"/>
  <c r="AE509" i="7" s="1"/>
  <c r="AE32" i="7"/>
  <c r="AE34" i="7" s="1"/>
  <c r="AE516" i="7"/>
  <c r="AE517" i="7" s="1"/>
  <c r="AE120" i="7"/>
  <c r="AE512" i="7"/>
  <c r="AE513" i="7" s="1"/>
  <c r="AE476" i="7"/>
  <c r="AE477" i="7" s="1"/>
  <c r="AE99" i="7" s="1"/>
  <c r="F516" i="7"/>
  <c r="F517" i="7" s="1"/>
  <c r="F520" i="7"/>
  <c r="F521" i="7" s="1"/>
  <c r="F11" i="7"/>
  <c r="F476" i="7"/>
  <c r="F477" i="7" s="1"/>
  <c r="F99" i="7" s="1"/>
  <c r="F32" i="7"/>
  <c r="F34" i="7" s="1"/>
  <c r="F482" i="7"/>
  <c r="F483" i="7" s="1"/>
  <c r="F100" i="7" s="1"/>
  <c r="F120" i="7"/>
  <c r="F508" i="7"/>
  <c r="F509" i="7" s="1"/>
  <c r="F512" i="7"/>
  <c r="F513" i="7" s="1"/>
  <c r="J476" i="7"/>
  <c r="J477" i="7" s="1"/>
  <c r="J99" i="7" s="1"/>
  <c r="J32" i="7"/>
  <c r="J34" i="7" s="1"/>
  <c r="J482" i="7"/>
  <c r="J483" i="7" s="1"/>
  <c r="J100" i="7" s="1"/>
  <c r="J120" i="7"/>
  <c r="J508" i="7"/>
  <c r="J509" i="7" s="1"/>
  <c r="J512" i="7"/>
  <c r="J513" i="7" s="1"/>
  <c r="J516" i="7"/>
  <c r="J517" i="7" s="1"/>
  <c r="J520" i="7"/>
  <c r="J521" i="7" s="1"/>
  <c r="J11" i="7"/>
  <c r="N476" i="7"/>
  <c r="N477" i="7" s="1"/>
  <c r="N99" i="7" s="1"/>
  <c r="N32" i="7"/>
  <c r="N34" i="7" s="1"/>
  <c r="N482" i="7"/>
  <c r="N483" i="7" s="1"/>
  <c r="N100" i="7" s="1"/>
  <c r="N120" i="7"/>
  <c r="N508" i="7"/>
  <c r="N509" i="7" s="1"/>
  <c r="N512" i="7"/>
  <c r="N513" i="7" s="1"/>
  <c r="N516" i="7"/>
  <c r="N517" i="7" s="1"/>
  <c r="N520" i="7"/>
  <c r="N521" i="7" s="1"/>
  <c r="N11" i="7"/>
  <c r="R508" i="7"/>
  <c r="R509" i="7" s="1"/>
  <c r="R512" i="7"/>
  <c r="R513" i="7" s="1"/>
  <c r="R516" i="7"/>
  <c r="R517" i="7" s="1"/>
  <c r="R120" i="7"/>
  <c r="R520" i="7"/>
  <c r="R521" i="7" s="1"/>
  <c r="R476" i="7"/>
  <c r="R477" i="7" s="1"/>
  <c r="R99" i="7" s="1"/>
  <c r="R32" i="7"/>
  <c r="R34" i="7" s="1"/>
  <c r="R482" i="7"/>
  <c r="R483" i="7" s="1"/>
  <c r="R100" i="7" s="1"/>
  <c r="R11" i="7"/>
  <c r="V482" i="7"/>
  <c r="V483" i="7" s="1"/>
  <c r="V100" i="7" s="1"/>
  <c r="V11" i="7"/>
  <c r="V476" i="7"/>
  <c r="V477" i="7" s="1"/>
  <c r="V99" i="7" s="1"/>
  <c r="V32" i="7"/>
  <c r="V34" i="7" s="1"/>
  <c r="V516" i="7"/>
  <c r="V517" i="7" s="1"/>
  <c r="V520" i="7"/>
  <c r="V521" i="7" s="1"/>
  <c r="V508" i="7"/>
  <c r="V509" i="7" s="1"/>
  <c r="V512" i="7"/>
  <c r="V513" i="7" s="1"/>
  <c r="V120" i="7"/>
  <c r="Z482" i="7"/>
  <c r="Z483" i="7" s="1"/>
  <c r="Z100" i="7" s="1"/>
  <c r="Z508" i="7"/>
  <c r="Z509" i="7" s="1"/>
  <c r="Z512" i="7"/>
  <c r="Z513" i="7" s="1"/>
  <c r="Z520" i="7"/>
  <c r="Z521" i="7" s="1"/>
  <c r="Z516" i="7"/>
  <c r="Z517" i="7" s="1"/>
  <c r="Z11" i="7"/>
  <c r="Z476" i="7"/>
  <c r="Z477" i="7" s="1"/>
  <c r="Z99" i="7" s="1"/>
  <c r="Z32" i="7"/>
  <c r="Z34" i="7" s="1"/>
  <c r="Z120" i="7"/>
  <c r="AD476" i="7"/>
  <c r="AD477" i="7" s="1"/>
  <c r="AD99" i="7" s="1"/>
  <c r="AD32" i="7"/>
  <c r="AD34" i="7" s="1"/>
  <c r="AD482" i="7"/>
  <c r="AD483" i="7" s="1"/>
  <c r="AD100" i="7" s="1"/>
  <c r="AD120" i="7"/>
  <c r="AD508" i="7"/>
  <c r="AD509" i="7" s="1"/>
  <c r="AD512" i="7"/>
  <c r="AD513" i="7" s="1"/>
  <c r="AD516" i="7"/>
  <c r="AD517" i="7" s="1"/>
  <c r="AD520" i="7"/>
  <c r="AD521" i="7" s="1"/>
  <c r="AD11" i="7"/>
  <c r="E520" i="7"/>
  <c r="E521" i="7" s="1"/>
  <c r="E482" i="7"/>
  <c r="E483" i="7" s="1"/>
  <c r="E100" i="7" s="1"/>
  <c r="E11" i="7"/>
  <c r="E508" i="7"/>
  <c r="E509" i="7" s="1"/>
  <c r="E32" i="7"/>
  <c r="E34" i="7" s="1"/>
  <c r="E516" i="7"/>
  <c r="E517" i="7" s="1"/>
  <c r="E120" i="7"/>
  <c r="E512" i="7"/>
  <c r="E513" i="7" s="1"/>
  <c r="E476" i="7"/>
  <c r="E477" i="7" s="1"/>
  <c r="E99" i="7" s="1"/>
  <c r="I512" i="7"/>
  <c r="I513" i="7" s="1"/>
  <c r="I476" i="7"/>
  <c r="I477" i="7" s="1"/>
  <c r="I99" i="7" s="1"/>
  <c r="I520" i="7"/>
  <c r="I521" i="7" s="1"/>
  <c r="I482" i="7"/>
  <c r="I483" i="7" s="1"/>
  <c r="I100" i="7" s="1"/>
  <c r="I11" i="7"/>
  <c r="I508" i="7"/>
  <c r="I509" i="7" s="1"/>
  <c r="I32" i="7"/>
  <c r="I34" i="7" s="1"/>
  <c r="I516" i="7"/>
  <c r="I517" i="7" s="1"/>
  <c r="I120" i="7"/>
  <c r="M520" i="7"/>
  <c r="M521" i="7" s="1"/>
  <c r="M512" i="7"/>
  <c r="M513" i="7" s="1"/>
  <c r="M476" i="7"/>
  <c r="M477" i="7" s="1"/>
  <c r="M99" i="7" s="1"/>
  <c r="M516" i="7"/>
  <c r="M517" i="7" s="1"/>
  <c r="M11" i="7"/>
  <c r="M482" i="7"/>
  <c r="M483" i="7" s="1"/>
  <c r="M100" i="7" s="1"/>
  <c r="M508" i="7"/>
  <c r="M509" i="7" s="1"/>
  <c r="M32" i="7"/>
  <c r="M34" i="7" s="1"/>
  <c r="M120" i="7"/>
  <c r="Q520" i="7"/>
  <c r="Q521" i="7" s="1"/>
  <c r="Q482" i="7"/>
  <c r="Q483" i="7" s="1"/>
  <c r="Q100" i="7" s="1"/>
  <c r="Q11" i="7"/>
  <c r="Q508" i="7"/>
  <c r="Q509" i="7" s="1"/>
  <c r="Q32" i="7"/>
  <c r="Q34" i="7" s="1"/>
  <c r="Q516" i="7"/>
  <c r="Q517" i="7" s="1"/>
  <c r="Q120" i="7"/>
  <c r="Q512" i="7"/>
  <c r="Q513" i="7" s="1"/>
  <c r="Q476" i="7"/>
  <c r="Q477" i="7" s="1"/>
  <c r="Q99" i="7" s="1"/>
  <c r="U520" i="7"/>
  <c r="U521" i="7" s="1"/>
  <c r="U482" i="7"/>
  <c r="U483" i="7" s="1"/>
  <c r="U100" i="7" s="1"/>
  <c r="U11" i="7"/>
  <c r="U512" i="7"/>
  <c r="U513" i="7" s="1"/>
  <c r="U32" i="7"/>
  <c r="U34" i="7" s="1"/>
  <c r="U516" i="7"/>
  <c r="U517" i="7" s="1"/>
  <c r="U120" i="7"/>
  <c r="U476" i="7"/>
  <c r="U477" i="7" s="1"/>
  <c r="U99" i="7" s="1"/>
  <c r="U508" i="7"/>
  <c r="U509" i="7" s="1"/>
  <c r="Y520" i="7"/>
  <c r="Y521" i="7" s="1"/>
  <c r="Y482" i="7"/>
  <c r="Y483" i="7" s="1"/>
  <c r="Y100" i="7" s="1"/>
  <c r="Y11" i="7"/>
  <c r="Y508" i="7"/>
  <c r="Y509" i="7" s="1"/>
  <c r="Y32" i="7"/>
  <c r="Y34" i="7" s="1"/>
  <c r="Y516" i="7"/>
  <c r="Y517" i="7" s="1"/>
  <c r="Y120" i="7"/>
  <c r="Y512" i="7"/>
  <c r="Y513" i="7" s="1"/>
  <c r="Y476" i="7"/>
  <c r="Y477" i="7" s="1"/>
  <c r="Y99" i="7" s="1"/>
  <c r="AC520" i="7"/>
  <c r="AC521" i="7" s="1"/>
  <c r="AC482" i="7"/>
  <c r="AC483" i="7" s="1"/>
  <c r="AC100" i="7" s="1"/>
  <c r="AC11" i="7"/>
  <c r="AC508" i="7"/>
  <c r="AC509" i="7" s="1"/>
  <c r="AC32" i="7"/>
  <c r="AC34" i="7" s="1"/>
  <c r="AC516" i="7"/>
  <c r="AC517" i="7" s="1"/>
  <c r="AC120" i="7"/>
  <c r="AC512" i="7"/>
  <c r="AC513" i="7" s="1"/>
  <c r="AC476" i="7"/>
  <c r="AC477" i="7" s="1"/>
  <c r="AC99" i="7" s="1"/>
  <c r="D516" i="7"/>
  <c r="D517" i="7" s="1"/>
  <c r="D520" i="7"/>
  <c r="D521" i="7" s="1"/>
  <c r="D11" i="7"/>
  <c r="D476" i="7"/>
  <c r="D477" i="7" s="1"/>
  <c r="D99" i="7" s="1"/>
  <c r="D32" i="7"/>
  <c r="D34" i="7" s="1"/>
  <c r="D482" i="7"/>
  <c r="D483" i="7" s="1"/>
  <c r="D100" i="7" s="1"/>
  <c r="D120" i="7"/>
  <c r="D508" i="7"/>
  <c r="D509" i="7" s="1"/>
  <c r="D512" i="7"/>
  <c r="D513" i="7" s="1"/>
  <c r="H476" i="7"/>
  <c r="H477" i="7" s="1"/>
  <c r="H99" i="7" s="1"/>
  <c r="H32" i="7"/>
  <c r="H34" i="7" s="1"/>
  <c r="H508" i="7"/>
  <c r="H509" i="7" s="1"/>
  <c r="H512" i="7"/>
  <c r="H513" i="7" s="1"/>
  <c r="H516" i="7"/>
  <c r="H517" i="7" s="1"/>
  <c r="H520" i="7"/>
  <c r="H521" i="7" s="1"/>
  <c r="H11" i="7"/>
  <c r="H120" i="7"/>
  <c r="H482" i="7"/>
  <c r="H483" i="7" s="1"/>
  <c r="H100" i="7" s="1"/>
  <c r="L476" i="7"/>
  <c r="L477" i="7" s="1"/>
  <c r="L99" i="7" s="1"/>
  <c r="L32" i="7"/>
  <c r="L34" i="7" s="1"/>
  <c r="L482" i="7"/>
  <c r="L483" i="7" s="1"/>
  <c r="L100" i="7" s="1"/>
  <c r="L120" i="7"/>
  <c r="L508" i="7"/>
  <c r="L509" i="7" s="1"/>
  <c r="L512" i="7"/>
  <c r="L513" i="7" s="1"/>
  <c r="L516" i="7"/>
  <c r="L517" i="7" s="1"/>
  <c r="L520" i="7"/>
  <c r="L521" i="7" s="1"/>
  <c r="L11" i="7"/>
  <c r="P476" i="7"/>
  <c r="P477" i="7" s="1"/>
  <c r="P99" i="7" s="1"/>
  <c r="P32" i="7"/>
  <c r="P34" i="7" s="1"/>
  <c r="P482" i="7"/>
  <c r="P483" i="7" s="1"/>
  <c r="P100" i="7" s="1"/>
  <c r="P120" i="7"/>
  <c r="P508" i="7"/>
  <c r="P509" i="7" s="1"/>
  <c r="P512" i="7"/>
  <c r="P513" i="7" s="1"/>
  <c r="P516" i="7"/>
  <c r="P517" i="7" s="1"/>
  <c r="P520" i="7"/>
  <c r="P521" i="7" s="1"/>
  <c r="P11" i="7"/>
  <c r="T516" i="7"/>
  <c r="T517" i="7" s="1"/>
  <c r="T520" i="7"/>
  <c r="T521" i="7" s="1"/>
  <c r="T11" i="7"/>
  <c r="T512" i="7"/>
  <c r="T513" i="7" s="1"/>
  <c r="T476" i="7"/>
  <c r="T477" i="7" s="1"/>
  <c r="T99" i="7" s="1"/>
  <c r="T482" i="7"/>
  <c r="T483" i="7" s="1"/>
  <c r="T100" i="7" s="1"/>
  <c r="T120" i="7"/>
  <c r="T508" i="7"/>
  <c r="T509" i="7" s="1"/>
  <c r="T32" i="7"/>
  <c r="T34" i="7" s="1"/>
  <c r="X476" i="7"/>
  <c r="X477" i="7" s="1"/>
  <c r="X99" i="7" s="1"/>
  <c r="X32" i="7"/>
  <c r="X34" i="7" s="1"/>
  <c r="X482" i="7"/>
  <c r="X483" i="7" s="1"/>
  <c r="X100" i="7" s="1"/>
  <c r="X120" i="7"/>
  <c r="X508" i="7"/>
  <c r="X509" i="7" s="1"/>
  <c r="X512" i="7"/>
  <c r="X513" i="7" s="1"/>
  <c r="X516" i="7"/>
  <c r="X517" i="7" s="1"/>
  <c r="X520" i="7"/>
  <c r="X521" i="7" s="1"/>
  <c r="X11" i="7"/>
  <c r="AB516" i="7"/>
  <c r="AB517" i="7" s="1"/>
  <c r="AB520" i="7"/>
  <c r="AB521" i="7" s="1"/>
  <c r="AB11" i="7"/>
  <c r="AB512" i="7"/>
  <c r="AB513" i="7" s="1"/>
  <c r="AB508" i="7"/>
  <c r="AB509" i="7" s="1"/>
  <c r="AB482" i="7"/>
  <c r="AB483" i="7" s="1"/>
  <c r="AB100" i="7" s="1"/>
  <c r="AB120" i="7"/>
  <c r="AB476" i="7"/>
  <c r="AB477" i="7" s="1"/>
  <c r="AB99" i="7" s="1"/>
  <c r="AB32" i="7"/>
  <c r="AB34" i="7" s="1"/>
  <c r="AF476" i="7"/>
  <c r="AF477" i="7" s="1"/>
  <c r="AF99" i="7" s="1"/>
  <c r="AF32" i="7"/>
  <c r="AF34" i="7" s="1"/>
  <c r="AF482" i="7"/>
  <c r="AF483" i="7" s="1"/>
  <c r="AF100" i="7" s="1"/>
  <c r="AF120" i="7"/>
  <c r="AF508" i="7"/>
  <c r="AF509" i="7" s="1"/>
  <c r="AF512" i="7"/>
  <c r="AF513" i="7" s="1"/>
  <c r="AF516" i="7"/>
  <c r="AF517" i="7" s="1"/>
  <c r="AF520" i="7"/>
  <c r="AF521" i="7" s="1"/>
  <c r="AF11" i="7"/>
  <c r="O578" i="7"/>
  <c r="O581" i="7" s="1"/>
  <c r="B123" i="7" l="1"/>
  <c r="AB195" i="7"/>
  <c r="AB156" i="7"/>
  <c r="AB48" i="7"/>
  <c r="X194" i="7"/>
  <c r="X155" i="7"/>
  <c r="X47" i="7"/>
  <c r="T192" i="7"/>
  <c r="T45" i="7"/>
  <c r="T153" i="7"/>
  <c r="T193" i="7"/>
  <c r="T154" i="7"/>
  <c r="T46" i="7"/>
  <c r="P192" i="7"/>
  <c r="P153" i="7"/>
  <c r="P45" i="7"/>
  <c r="L193" i="7"/>
  <c r="L154" i="7"/>
  <c r="L46" i="7"/>
  <c r="H192" i="7"/>
  <c r="H153" i="7"/>
  <c r="H45" i="7"/>
  <c r="D192" i="7"/>
  <c r="D45" i="7"/>
  <c r="D153" i="7"/>
  <c r="AC195" i="7"/>
  <c r="AC156" i="7"/>
  <c r="AC48" i="7"/>
  <c r="Y194" i="7"/>
  <c r="Y155" i="7"/>
  <c r="Y47" i="7"/>
  <c r="Q193" i="7"/>
  <c r="Q46" i="7"/>
  <c r="Q154" i="7"/>
  <c r="Q192" i="7"/>
  <c r="Q153" i="7"/>
  <c r="Q45" i="7"/>
  <c r="M195" i="7"/>
  <c r="M156" i="7"/>
  <c r="M48" i="7"/>
  <c r="I192" i="7"/>
  <c r="I153" i="7"/>
  <c r="I45" i="7"/>
  <c r="AD195" i="7"/>
  <c r="AD156" i="7"/>
  <c r="AD48" i="7"/>
  <c r="Z194" i="7"/>
  <c r="Z155" i="7"/>
  <c r="Z47" i="7"/>
  <c r="V195" i="7"/>
  <c r="V156" i="7"/>
  <c r="V48" i="7"/>
  <c r="R194" i="7"/>
  <c r="R47" i="7"/>
  <c r="R155" i="7"/>
  <c r="N195" i="7"/>
  <c r="N156" i="7"/>
  <c r="N48" i="7"/>
  <c r="J192" i="7"/>
  <c r="J45" i="7"/>
  <c r="J153" i="7"/>
  <c r="F195" i="7"/>
  <c r="F156" i="7"/>
  <c r="F48" i="7"/>
  <c r="AA194" i="7"/>
  <c r="AA155" i="7"/>
  <c r="AA47" i="7"/>
  <c r="W193" i="7"/>
  <c r="W154" i="7"/>
  <c r="W46" i="7"/>
  <c r="S192" i="7"/>
  <c r="S153" i="7"/>
  <c r="S45" i="7"/>
  <c r="O193" i="7"/>
  <c r="O154" i="7"/>
  <c r="O46" i="7"/>
  <c r="O192" i="7"/>
  <c r="O45" i="7"/>
  <c r="O153" i="7"/>
  <c r="K193" i="7"/>
  <c r="K46" i="7"/>
  <c r="K154" i="7"/>
  <c r="G195" i="7"/>
  <c r="G156" i="7"/>
  <c r="G48" i="7"/>
  <c r="AI195" i="7"/>
  <c r="AI156" i="7"/>
  <c r="AI48" i="7"/>
  <c r="AP193" i="7"/>
  <c r="AP154" i="7"/>
  <c r="AP46" i="7"/>
  <c r="AG195" i="7"/>
  <c r="AG156" i="7"/>
  <c r="AG48" i="7"/>
  <c r="AG193" i="7"/>
  <c r="AG154" i="7"/>
  <c r="AG46" i="7"/>
  <c r="AJ195" i="7"/>
  <c r="AJ156" i="7"/>
  <c r="AJ48" i="7"/>
  <c r="AJ193" i="7"/>
  <c r="AJ154" i="7"/>
  <c r="AJ46" i="7"/>
  <c r="AK193" i="7"/>
  <c r="AK46" i="7"/>
  <c r="AK154" i="7"/>
  <c r="AL194" i="7"/>
  <c r="AL155" i="7"/>
  <c r="AL47" i="7"/>
  <c r="AM194" i="7"/>
  <c r="AM155" i="7"/>
  <c r="AM47" i="7"/>
  <c r="AM192" i="7"/>
  <c r="AM153" i="7"/>
  <c r="AM45" i="7"/>
  <c r="AN195" i="7"/>
  <c r="AN156" i="7"/>
  <c r="AN48" i="7"/>
  <c r="AB192" i="7"/>
  <c r="AB153" i="7"/>
  <c r="AB45" i="7"/>
  <c r="P195" i="7"/>
  <c r="P156" i="7"/>
  <c r="P48" i="7"/>
  <c r="L192" i="7"/>
  <c r="L45" i="7"/>
  <c r="L153" i="7"/>
  <c r="H195" i="7"/>
  <c r="H156" i="7"/>
  <c r="H48" i="7"/>
  <c r="AC193" i="7"/>
  <c r="AC46" i="7"/>
  <c r="AC154" i="7"/>
  <c r="AC192" i="7"/>
  <c r="AC153" i="7"/>
  <c r="AC45" i="7"/>
  <c r="Y195" i="7"/>
  <c r="Y156" i="7"/>
  <c r="Y48" i="7"/>
  <c r="U194" i="7"/>
  <c r="U155" i="7"/>
  <c r="U47" i="7"/>
  <c r="M194" i="7"/>
  <c r="M155" i="7"/>
  <c r="M47" i="7"/>
  <c r="I193" i="7"/>
  <c r="I46" i="7"/>
  <c r="I154" i="7"/>
  <c r="E194" i="7"/>
  <c r="E155" i="7"/>
  <c r="E47" i="7"/>
  <c r="AD194" i="7"/>
  <c r="AD155" i="7"/>
  <c r="AD47" i="7"/>
  <c r="Z195" i="7"/>
  <c r="Z156" i="7"/>
  <c r="Z48" i="7"/>
  <c r="V194" i="7"/>
  <c r="V155" i="7"/>
  <c r="V47" i="7"/>
  <c r="R193" i="7"/>
  <c r="R154" i="7"/>
  <c r="R46" i="7"/>
  <c r="N194" i="7"/>
  <c r="N47" i="7"/>
  <c r="N155" i="7"/>
  <c r="J195" i="7"/>
  <c r="J156" i="7"/>
  <c r="J48" i="7"/>
  <c r="F193" i="7"/>
  <c r="F154" i="7"/>
  <c r="F46" i="7"/>
  <c r="F194" i="7"/>
  <c r="F47" i="7"/>
  <c r="F155" i="7"/>
  <c r="AE194" i="7"/>
  <c r="AE155" i="7"/>
  <c r="AE47" i="7"/>
  <c r="AA195" i="7"/>
  <c r="AA156" i="7"/>
  <c r="AA48" i="7"/>
  <c r="W194" i="7"/>
  <c r="W155" i="7"/>
  <c r="W47" i="7"/>
  <c r="S193" i="7"/>
  <c r="S154" i="7"/>
  <c r="S46" i="7"/>
  <c r="O194" i="7"/>
  <c r="O155" i="7"/>
  <c r="O47" i="7"/>
  <c r="G193" i="7"/>
  <c r="G154" i="7"/>
  <c r="G46" i="7"/>
  <c r="G192" i="7"/>
  <c r="G45" i="7"/>
  <c r="G153" i="7"/>
  <c r="C193" i="7"/>
  <c r="C154" i="7"/>
  <c r="C46" i="7"/>
  <c r="C192" i="7"/>
  <c r="C153" i="7"/>
  <c r="C45" i="7"/>
  <c r="AP195" i="7"/>
  <c r="AP156" i="7"/>
  <c r="AP48" i="7"/>
  <c r="AH194" i="7"/>
  <c r="AH155" i="7"/>
  <c r="AH47" i="7"/>
  <c r="AH192" i="7"/>
  <c r="AH45" i="7"/>
  <c r="AH153" i="7"/>
  <c r="AL193" i="7"/>
  <c r="AL154" i="7"/>
  <c r="AL46" i="7"/>
  <c r="AM195" i="7"/>
  <c r="AM156" i="7"/>
  <c r="AM48" i="7"/>
  <c r="AM193" i="7"/>
  <c r="AM154" i="7"/>
  <c r="AM46" i="7"/>
  <c r="AN192" i="7"/>
  <c r="AN153" i="7"/>
  <c r="AN45" i="7"/>
  <c r="AO192" i="7"/>
  <c r="AO153" i="7"/>
  <c r="AO45" i="7"/>
  <c r="X193" i="7"/>
  <c r="X154" i="7"/>
  <c r="X46" i="7"/>
  <c r="D195" i="7"/>
  <c r="D156" i="7"/>
  <c r="D48" i="7"/>
  <c r="Y193" i="7"/>
  <c r="Y46" i="7"/>
  <c r="Y154" i="7"/>
  <c r="Y192" i="7"/>
  <c r="Y153" i="7"/>
  <c r="Y45" i="7"/>
  <c r="U192" i="7"/>
  <c r="U153" i="7"/>
  <c r="U45" i="7"/>
  <c r="U195" i="7"/>
  <c r="U156" i="7"/>
  <c r="U48" i="7"/>
  <c r="Q194" i="7"/>
  <c r="Q155" i="7"/>
  <c r="Q47" i="7"/>
  <c r="M192" i="7"/>
  <c r="M153" i="7"/>
  <c r="M45" i="7"/>
  <c r="I194" i="7"/>
  <c r="I155" i="7"/>
  <c r="I47" i="7"/>
  <c r="E195" i="7"/>
  <c r="E156" i="7"/>
  <c r="E48" i="7"/>
  <c r="AD193" i="7"/>
  <c r="AD154" i="7"/>
  <c r="AD46" i="7"/>
  <c r="Z193" i="7"/>
  <c r="Z154" i="7"/>
  <c r="Z46" i="7"/>
  <c r="V193" i="7"/>
  <c r="V154" i="7"/>
  <c r="V46" i="7"/>
  <c r="R195" i="7"/>
  <c r="R156" i="7"/>
  <c r="R48" i="7"/>
  <c r="R192" i="7"/>
  <c r="R45" i="7"/>
  <c r="R153" i="7"/>
  <c r="N193" i="7"/>
  <c r="N154" i="7"/>
  <c r="N46" i="7"/>
  <c r="J194" i="7"/>
  <c r="J155" i="7"/>
  <c r="J47" i="7"/>
  <c r="F192" i="7"/>
  <c r="F45" i="7"/>
  <c r="F153" i="7"/>
  <c r="AE195" i="7"/>
  <c r="AE156" i="7"/>
  <c r="AE48" i="7"/>
  <c r="AA192" i="7"/>
  <c r="AA153" i="7"/>
  <c r="AA45" i="7"/>
  <c r="W195" i="7"/>
  <c r="W156" i="7"/>
  <c r="W48" i="7"/>
  <c r="S194" i="7"/>
  <c r="S155" i="7"/>
  <c r="S47" i="7"/>
  <c r="O195" i="7"/>
  <c r="O156" i="7"/>
  <c r="O48" i="7"/>
  <c r="K194" i="7"/>
  <c r="K155" i="7"/>
  <c r="K47" i="7"/>
  <c r="AI193" i="7"/>
  <c r="AI154" i="7"/>
  <c r="AI46" i="7"/>
  <c r="AP192" i="7"/>
  <c r="AP153" i="7"/>
  <c r="AP45" i="7"/>
  <c r="AJ194" i="7"/>
  <c r="AJ155" i="7"/>
  <c r="AJ47" i="7"/>
  <c r="AJ192" i="7"/>
  <c r="AJ45" i="7"/>
  <c r="AJ153" i="7"/>
  <c r="AK194" i="7"/>
  <c r="AK155" i="7"/>
  <c r="AK47" i="7"/>
  <c r="AL195" i="7"/>
  <c r="AL156" i="7"/>
  <c r="AL48" i="7"/>
  <c r="AN194" i="7"/>
  <c r="AN155" i="7"/>
  <c r="AN47" i="7"/>
  <c r="AO193" i="7"/>
  <c r="AO154" i="7"/>
  <c r="AO46" i="7"/>
  <c r="AO194" i="7"/>
  <c r="AO155" i="7"/>
  <c r="AO47" i="7"/>
  <c r="AF192" i="7"/>
  <c r="AF153" i="7"/>
  <c r="AF45" i="7"/>
  <c r="AF195" i="7"/>
  <c r="AF156" i="7"/>
  <c r="AF48" i="7"/>
  <c r="AB194" i="7"/>
  <c r="AB155" i="7"/>
  <c r="AB47" i="7"/>
  <c r="AF194" i="7"/>
  <c r="AF155" i="7"/>
  <c r="AF47" i="7"/>
  <c r="AB193" i="7"/>
  <c r="AB154" i="7"/>
  <c r="AB46" i="7"/>
  <c r="X192" i="7"/>
  <c r="X153" i="7"/>
  <c r="X45" i="7"/>
  <c r="T195" i="7"/>
  <c r="T156" i="7"/>
  <c r="T48" i="7"/>
  <c r="P194" i="7"/>
  <c r="P155" i="7"/>
  <c r="P47" i="7"/>
  <c r="L195" i="7"/>
  <c r="L156" i="7"/>
  <c r="L48" i="7"/>
  <c r="H194" i="7"/>
  <c r="H155" i="7"/>
  <c r="H47" i="7"/>
  <c r="AF193" i="7"/>
  <c r="AF154" i="7"/>
  <c r="AF46" i="7"/>
  <c r="X195" i="7"/>
  <c r="X156" i="7"/>
  <c r="X48" i="7"/>
  <c r="T194" i="7"/>
  <c r="T155" i="7"/>
  <c r="T47" i="7"/>
  <c r="P193" i="7"/>
  <c r="P154" i="7"/>
  <c r="P46" i="7"/>
  <c r="L194" i="7"/>
  <c r="L155" i="7"/>
  <c r="L47" i="7"/>
  <c r="H193" i="7"/>
  <c r="H154" i="7"/>
  <c r="H46" i="7"/>
  <c r="D193" i="7"/>
  <c r="D154" i="7"/>
  <c r="D46" i="7"/>
  <c r="D194" i="7"/>
  <c r="D155" i="7"/>
  <c r="D47" i="7"/>
  <c r="AC194" i="7"/>
  <c r="AC155" i="7"/>
  <c r="AC47" i="7"/>
  <c r="U193" i="7"/>
  <c r="U154" i="7"/>
  <c r="U46" i="7"/>
  <c r="Q195" i="7"/>
  <c r="Q156" i="7"/>
  <c r="Q48" i="7"/>
  <c r="M193" i="7"/>
  <c r="M154" i="7"/>
  <c r="M46" i="7"/>
  <c r="I195" i="7"/>
  <c r="I156" i="7"/>
  <c r="I48" i="7"/>
  <c r="E193" i="7"/>
  <c r="E154" i="7"/>
  <c r="E46" i="7"/>
  <c r="E192" i="7"/>
  <c r="E153" i="7"/>
  <c r="E45" i="7"/>
  <c r="AD192" i="7"/>
  <c r="AD153" i="7"/>
  <c r="AD45" i="7"/>
  <c r="Z192" i="7"/>
  <c r="Z153" i="7"/>
  <c r="Z45" i="7"/>
  <c r="V192" i="7"/>
  <c r="V196" i="7" s="1"/>
  <c r="V153" i="7"/>
  <c r="V45" i="7"/>
  <c r="N192" i="7"/>
  <c r="N45" i="7"/>
  <c r="N153" i="7"/>
  <c r="J193" i="7"/>
  <c r="J154" i="7"/>
  <c r="J46" i="7"/>
  <c r="AE193" i="7"/>
  <c r="AE154" i="7"/>
  <c r="AE46" i="7"/>
  <c r="AE192" i="7"/>
  <c r="AE153" i="7"/>
  <c r="AE45" i="7"/>
  <c r="AA193" i="7"/>
  <c r="AA46" i="7"/>
  <c r="AA154" i="7"/>
  <c r="W192" i="7"/>
  <c r="W153" i="7"/>
  <c r="W45" i="7"/>
  <c r="S195" i="7"/>
  <c r="S156" i="7"/>
  <c r="S48" i="7"/>
  <c r="K192" i="7"/>
  <c r="K45" i="7"/>
  <c r="K153" i="7"/>
  <c r="K195" i="7"/>
  <c r="K156" i="7"/>
  <c r="K48" i="7"/>
  <c r="G194" i="7"/>
  <c r="G155" i="7"/>
  <c r="G47" i="7"/>
  <c r="C195" i="7"/>
  <c r="C48" i="7"/>
  <c r="C156" i="7"/>
  <c r="C194" i="7"/>
  <c r="C47" i="7"/>
  <c r="C155" i="7"/>
  <c r="AI192" i="7"/>
  <c r="AI153" i="7"/>
  <c r="AI45" i="7"/>
  <c r="AI194" i="7"/>
  <c r="AI155" i="7"/>
  <c r="AI47" i="7"/>
  <c r="AP194" i="7"/>
  <c r="AP155" i="7"/>
  <c r="AP47" i="7"/>
  <c r="AG194" i="7"/>
  <c r="AG155" i="7"/>
  <c r="AG47" i="7"/>
  <c r="AG192" i="7"/>
  <c r="AG153" i="7"/>
  <c r="AG45" i="7"/>
  <c r="AH195" i="7"/>
  <c r="AH156" i="7"/>
  <c r="AH48" i="7"/>
  <c r="AH193" i="7"/>
  <c r="AH154" i="7"/>
  <c r="AH46" i="7"/>
  <c r="AK192" i="7"/>
  <c r="AK153" i="7"/>
  <c r="AK45" i="7"/>
  <c r="AK195" i="7"/>
  <c r="AK156" i="7"/>
  <c r="AK48" i="7"/>
  <c r="AL192" i="7"/>
  <c r="AL153" i="7"/>
  <c r="AL45" i="7"/>
  <c r="AN193" i="7"/>
  <c r="AN154" i="7"/>
  <c r="AN46" i="7"/>
  <c r="AO195" i="7"/>
  <c r="AO156" i="7"/>
  <c r="AO48" i="7"/>
  <c r="AI19" i="7"/>
  <c r="AI523" i="7"/>
  <c r="AI170" i="7"/>
  <c r="AI101" i="7"/>
  <c r="AP170" i="7"/>
  <c r="AP101" i="7"/>
  <c r="AG19" i="7"/>
  <c r="AG523" i="7"/>
  <c r="AH19" i="7"/>
  <c r="AH523" i="7"/>
  <c r="AJ19" i="7"/>
  <c r="AJ523" i="7"/>
  <c r="AK170" i="7"/>
  <c r="AK101" i="7"/>
  <c r="AL170" i="7"/>
  <c r="AL101" i="7"/>
  <c r="AM19" i="7"/>
  <c r="AM523" i="7"/>
  <c r="AN170" i="7"/>
  <c r="AN101" i="7"/>
  <c r="AO170" i="7"/>
  <c r="AO101" i="7"/>
  <c r="AP19" i="7"/>
  <c r="AP523" i="7"/>
  <c r="AG170" i="7"/>
  <c r="AG101" i="7"/>
  <c r="AH170" i="7"/>
  <c r="AH101" i="7"/>
  <c r="AJ170" i="7"/>
  <c r="AJ101" i="7"/>
  <c r="AK19" i="7"/>
  <c r="AK523" i="7"/>
  <c r="AL19" i="7"/>
  <c r="AL523" i="7"/>
  <c r="AM170" i="7"/>
  <c r="AM101" i="7"/>
  <c r="AN19" i="7"/>
  <c r="AN523" i="7"/>
  <c r="AO19" i="7"/>
  <c r="AO523" i="7"/>
  <c r="AB19" i="7"/>
  <c r="AB523" i="7"/>
  <c r="T170" i="7"/>
  <c r="T101" i="7"/>
  <c r="L19" i="7"/>
  <c r="L523" i="7"/>
  <c r="L170" i="7"/>
  <c r="L101" i="7"/>
  <c r="AC19" i="7"/>
  <c r="AC523" i="7"/>
  <c r="Y170" i="7"/>
  <c r="Y101" i="7"/>
  <c r="U170" i="7"/>
  <c r="U101" i="7"/>
  <c r="Q170" i="7"/>
  <c r="Q101" i="7"/>
  <c r="E19" i="7"/>
  <c r="E523" i="7"/>
  <c r="Z170" i="7"/>
  <c r="Z101" i="7"/>
  <c r="R19" i="7"/>
  <c r="R523" i="7"/>
  <c r="J19" i="7"/>
  <c r="J523" i="7"/>
  <c r="J170" i="7"/>
  <c r="J101" i="7"/>
  <c r="F19" i="7"/>
  <c r="F523" i="7"/>
  <c r="F170" i="7"/>
  <c r="F101" i="7"/>
  <c r="AE19" i="7"/>
  <c r="AE523" i="7"/>
  <c r="W19" i="7"/>
  <c r="W523" i="7"/>
  <c r="W170" i="7"/>
  <c r="W101" i="7"/>
  <c r="O170" i="7"/>
  <c r="O101" i="7"/>
  <c r="K19" i="7"/>
  <c r="K523" i="7"/>
  <c r="G19" i="7"/>
  <c r="G523" i="7"/>
  <c r="C523" i="7"/>
  <c r="AF19" i="7"/>
  <c r="AF523" i="7"/>
  <c r="AF170" i="7"/>
  <c r="AF101" i="7"/>
  <c r="AB170" i="7"/>
  <c r="AB101" i="7"/>
  <c r="X19" i="7"/>
  <c r="X523" i="7"/>
  <c r="X170" i="7"/>
  <c r="X101" i="7"/>
  <c r="T19" i="7"/>
  <c r="T523" i="7"/>
  <c r="P19" i="7"/>
  <c r="P523" i="7"/>
  <c r="P170" i="7"/>
  <c r="P101" i="7"/>
  <c r="H19" i="7"/>
  <c r="H523" i="7"/>
  <c r="H170" i="7"/>
  <c r="H101" i="7"/>
  <c r="D19" i="7"/>
  <c r="D523" i="7"/>
  <c r="D170" i="7"/>
  <c r="D101" i="7"/>
  <c r="AC170" i="7"/>
  <c r="AC101" i="7"/>
  <c r="Y19" i="7"/>
  <c r="Y523" i="7"/>
  <c r="U19" i="7"/>
  <c r="U523" i="7"/>
  <c r="Q19" i="7"/>
  <c r="Q523" i="7"/>
  <c r="M19" i="7"/>
  <c r="M523" i="7"/>
  <c r="M170" i="7"/>
  <c r="M101" i="7"/>
  <c r="I19" i="7"/>
  <c r="I523" i="7"/>
  <c r="I170" i="7"/>
  <c r="I101" i="7"/>
  <c r="E170" i="7"/>
  <c r="E101" i="7"/>
  <c r="AD19" i="7"/>
  <c r="AD523" i="7"/>
  <c r="AD170" i="7"/>
  <c r="AD101" i="7"/>
  <c r="Z19" i="7"/>
  <c r="Z523" i="7"/>
  <c r="V19" i="7"/>
  <c r="V523" i="7"/>
  <c r="V170" i="7"/>
  <c r="V101" i="7"/>
  <c r="R170" i="7"/>
  <c r="R101" i="7"/>
  <c r="N19" i="7"/>
  <c r="N523" i="7"/>
  <c r="N170" i="7"/>
  <c r="N101" i="7"/>
  <c r="AE170" i="7"/>
  <c r="AE101" i="7"/>
  <c r="AA19" i="7"/>
  <c r="AA523" i="7"/>
  <c r="AA170" i="7"/>
  <c r="AA101" i="7"/>
  <c r="S19" i="7"/>
  <c r="S523" i="7"/>
  <c r="S170" i="7"/>
  <c r="S101" i="7"/>
  <c r="O19" i="7"/>
  <c r="O523" i="7"/>
  <c r="K170" i="7"/>
  <c r="K101" i="7"/>
  <c r="G170" i="7"/>
  <c r="G101" i="7"/>
  <c r="C170" i="7"/>
  <c r="C101" i="7"/>
  <c r="B120" i="7"/>
  <c r="P578" i="7"/>
  <c r="P581" i="7" s="1"/>
  <c r="Z196" i="7" l="1"/>
  <c r="C157" i="7"/>
  <c r="F196" i="7"/>
  <c r="F197" i="7" s="1"/>
  <c r="AJ196" i="7"/>
  <c r="AJ197" i="7" s="1"/>
  <c r="Y196" i="7"/>
  <c r="Y197" i="7" s="1"/>
  <c r="AA196" i="7"/>
  <c r="AA197" i="7" s="1"/>
  <c r="AK196" i="7"/>
  <c r="AK197" i="7" s="1"/>
  <c r="K196" i="7"/>
  <c r="K197" i="7" s="1"/>
  <c r="N196" i="7"/>
  <c r="N197" i="7" s="1"/>
  <c r="AL196" i="7"/>
  <c r="AL197" i="7" s="1"/>
  <c r="W196" i="7"/>
  <c r="W197" i="7" s="1"/>
  <c r="AD196" i="7"/>
  <c r="AD197" i="7" s="1"/>
  <c r="X196" i="7"/>
  <c r="X197" i="7" s="1"/>
  <c r="R196" i="7"/>
  <c r="R197" i="7" s="1"/>
  <c r="AN196" i="7"/>
  <c r="AN197" i="7" s="1"/>
  <c r="AH196" i="7"/>
  <c r="AH197" i="7" s="1"/>
  <c r="L196" i="7"/>
  <c r="L197" i="7" s="1"/>
  <c r="AM196" i="7"/>
  <c r="AM197" i="7" s="1"/>
  <c r="O196" i="7"/>
  <c r="O197" i="7" s="1"/>
  <c r="I196" i="7"/>
  <c r="I197" i="7" s="1"/>
  <c r="M196" i="7"/>
  <c r="M197" i="7" s="1"/>
  <c r="AO196" i="7"/>
  <c r="AO197" i="7" s="1"/>
  <c r="H196" i="7"/>
  <c r="H197" i="7" s="1"/>
  <c r="T196" i="7"/>
  <c r="T197" i="7" s="1"/>
  <c r="AE196" i="7"/>
  <c r="AE197" i="7" s="1"/>
  <c r="U196" i="7"/>
  <c r="U197" i="7" s="1"/>
  <c r="AB196" i="7"/>
  <c r="AB197" i="7" s="1"/>
  <c r="S196" i="7"/>
  <c r="S197" i="7" s="1"/>
  <c r="J196" i="7"/>
  <c r="J197" i="7" s="1"/>
  <c r="Q196" i="7"/>
  <c r="Q197" i="7" s="1"/>
  <c r="D196" i="7"/>
  <c r="D197" i="7" s="1"/>
  <c r="AG196" i="7"/>
  <c r="AG197" i="7" s="1"/>
  <c r="AI196" i="7"/>
  <c r="AI197" i="7" s="1"/>
  <c r="E196" i="7"/>
  <c r="E197" i="7" s="1"/>
  <c r="AF196" i="7"/>
  <c r="AF197" i="7" s="1"/>
  <c r="AP196" i="7"/>
  <c r="AP197" i="7" s="1"/>
  <c r="G196" i="7"/>
  <c r="G197" i="7" s="1"/>
  <c r="AC196" i="7"/>
  <c r="AC197" i="7" s="1"/>
  <c r="P196" i="7"/>
  <c r="P197" i="7" s="1"/>
  <c r="B124" i="7"/>
  <c r="I5" i="1" s="1"/>
  <c r="S49" i="7"/>
  <c r="AF49" i="7"/>
  <c r="AP49" i="7"/>
  <c r="AK157" i="7"/>
  <c r="AK158" i="7" s="1"/>
  <c r="AL49" i="7"/>
  <c r="S157" i="7"/>
  <c r="S158" i="7" s="1"/>
  <c r="AJ49" i="7"/>
  <c r="AJ157" i="7"/>
  <c r="AJ158" i="7" s="1"/>
  <c r="AK49" i="7"/>
  <c r="AP157" i="7"/>
  <c r="AP158" i="7" s="1"/>
  <c r="AH49" i="7"/>
  <c r="AH157" i="7"/>
  <c r="AH158" i="7" s="1"/>
  <c r="AO157" i="7"/>
  <c r="AO158" i="7" s="1"/>
  <c r="AN157" i="7"/>
  <c r="AN158" i="7" s="1"/>
  <c r="AN49" i="7"/>
  <c r="AL157" i="7"/>
  <c r="AL158" i="7" s="1"/>
  <c r="AM49" i="7"/>
  <c r="AM157" i="7"/>
  <c r="AM158" i="7" s="1"/>
  <c r="AG157" i="7"/>
  <c r="AG158" i="7" s="1"/>
  <c r="AG49" i="7"/>
  <c r="AI49" i="7"/>
  <c r="AI157" i="7"/>
  <c r="AI158" i="7" s="1"/>
  <c r="AO49" i="7"/>
  <c r="I49" i="7"/>
  <c r="P49" i="7"/>
  <c r="X157" i="7"/>
  <c r="X158" i="7" s="1"/>
  <c r="Z49" i="7"/>
  <c r="I157" i="7"/>
  <c r="I158" i="7" s="1"/>
  <c r="H49" i="7"/>
  <c r="N49" i="7"/>
  <c r="O49" i="7"/>
  <c r="V197" i="7"/>
  <c r="V49" i="7"/>
  <c r="Z197" i="7"/>
  <c r="Q49" i="7"/>
  <c r="Y157" i="7"/>
  <c r="Y158" i="7" s="1"/>
  <c r="H157" i="7"/>
  <c r="H158" i="7" s="1"/>
  <c r="AA49" i="7"/>
  <c r="N157" i="7"/>
  <c r="N158" i="7" s="1"/>
  <c r="AD157" i="7"/>
  <c r="AD158" i="7" s="1"/>
  <c r="P157" i="7"/>
  <c r="P158" i="7" s="1"/>
  <c r="M157" i="7"/>
  <c r="M158" i="7" s="1"/>
  <c r="U49" i="7"/>
  <c r="D157" i="7"/>
  <c r="D158" i="7" s="1"/>
  <c r="T49" i="7"/>
  <c r="G49" i="7"/>
  <c r="K157" i="7"/>
  <c r="K158" i="7" s="1"/>
  <c r="W157" i="7"/>
  <c r="W158" i="7" s="1"/>
  <c r="AE157" i="7"/>
  <c r="AE158" i="7" s="1"/>
  <c r="F49" i="7"/>
  <c r="J157" i="7"/>
  <c r="J158" i="7" s="1"/>
  <c r="R49" i="7"/>
  <c r="E157" i="7"/>
  <c r="E158" i="7" s="1"/>
  <c r="AC157" i="7"/>
  <c r="AC158" i="7" s="1"/>
  <c r="L49" i="7"/>
  <c r="AB157" i="7"/>
  <c r="AB158" i="7" s="1"/>
  <c r="O157" i="7"/>
  <c r="O158" i="7" s="1"/>
  <c r="AA157" i="7"/>
  <c r="AA158" i="7" s="1"/>
  <c r="V157" i="7"/>
  <c r="V158" i="7" s="1"/>
  <c r="Z157" i="7"/>
  <c r="Z158" i="7" s="1"/>
  <c r="AD49" i="7"/>
  <c r="M49" i="7"/>
  <c r="Q157" i="7"/>
  <c r="Q158" i="7" s="1"/>
  <c r="U157" i="7"/>
  <c r="U158" i="7" s="1"/>
  <c r="Y49" i="7"/>
  <c r="D49" i="7"/>
  <c r="T157" i="7"/>
  <c r="T158" i="7" s="1"/>
  <c r="X49" i="7"/>
  <c r="AF157" i="7"/>
  <c r="AF158" i="7" s="1"/>
  <c r="C49" i="7"/>
  <c r="C196" i="7"/>
  <c r="G157" i="7"/>
  <c r="G158" i="7" s="1"/>
  <c r="K49" i="7"/>
  <c r="W49" i="7"/>
  <c r="AE49" i="7"/>
  <c r="F157" i="7"/>
  <c r="F158" i="7" s="1"/>
  <c r="J49" i="7"/>
  <c r="R157" i="7"/>
  <c r="R158" i="7" s="1"/>
  <c r="E49" i="7"/>
  <c r="AC49" i="7"/>
  <c r="L157" i="7"/>
  <c r="L158" i="7" s="1"/>
  <c r="AB49" i="7"/>
  <c r="Q578" i="7"/>
  <c r="Q581" i="7" s="1"/>
  <c r="AG37" i="7" l="1"/>
  <c r="AH37" i="7"/>
  <c r="AI37" i="7"/>
  <c r="AJ37" i="7"/>
  <c r="AK37" i="7"/>
  <c r="AL37" i="7"/>
  <c r="AM37" i="7"/>
  <c r="AN37" i="7"/>
  <c r="AO37" i="7"/>
  <c r="AP37" i="7"/>
  <c r="R578" i="7"/>
  <c r="R581" i="7" s="1"/>
  <c r="D37" i="7"/>
  <c r="E37" i="7"/>
  <c r="F37" i="7"/>
  <c r="G37" i="7"/>
  <c r="H37" i="7"/>
  <c r="I37" i="7"/>
  <c r="J37" i="7"/>
  <c r="K37" i="7"/>
  <c r="L37" i="7"/>
  <c r="M37" i="7"/>
  <c r="N37" i="7"/>
  <c r="O37" i="7"/>
  <c r="P37" i="7"/>
  <c r="Q37" i="7"/>
  <c r="R37" i="7"/>
  <c r="S37" i="7"/>
  <c r="T37" i="7"/>
  <c r="U37" i="7"/>
  <c r="V37" i="7"/>
  <c r="W37" i="7"/>
  <c r="X37" i="7"/>
  <c r="Y37" i="7"/>
  <c r="Z37" i="7"/>
  <c r="AA37" i="7"/>
  <c r="AB37" i="7"/>
  <c r="AC37" i="7"/>
  <c r="AD37" i="7"/>
  <c r="AE37" i="7"/>
  <c r="AF37" i="7"/>
  <c r="C37" i="7" l="1"/>
  <c r="AO575" i="7"/>
  <c r="AM575" i="7"/>
  <c r="AL575" i="7"/>
  <c r="AK575" i="7"/>
  <c r="AJ575" i="7"/>
  <c r="AI575" i="7"/>
  <c r="AJ572" i="7" s="1"/>
  <c r="AF575" i="7"/>
  <c r="AG572" i="7" s="1"/>
  <c r="AN575" i="7"/>
  <c r="AH575" i="7"/>
  <c r="AG575" i="7"/>
  <c r="AE575" i="7"/>
  <c r="AC575" i="7"/>
  <c r="AA575" i="7"/>
  <c r="Y575" i="7"/>
  <c r="W575" i="7"/>
  <c r="U575" i="7"/>
  <c r="S575" i="7"/>
  <c r="Q575" i="7"/>
  <c r="O575" i="7"/>
  <c r="M575" i="7"/>
  <c r="K575" i="7"/>
  <c r="I575" i="7"/>
  <c r="G575" i="7"/>
  <c r="E575" i="7"/>
  <c r="C575" i="7"/>
  <c r="AD575" i="7"/>
  <c r="AE572" i="7" s="1"/>
  <c r="AB575" i="7"/>
  <c r="AC572" i="7" s="1"/>
  <c r="Z575" i="7"/>
  <c r="AA572" i="7" s="1"/>
  <c r="AA574" i="7" s="1"/>
  <c r="X575" i="7"/>
  <c r="Y572" i="7" s="1"/>
  <c r="V575" i="7"/>
  <c r="W572" i="7" s="1"/>
  <c r="T575" i="7"/>
  <c r="U572" i="7" s="1"/>
  <c r="R575" i="7"/>
  <c r="S572" i="7" s="1"/>
  <c r="P575" i="7"/>
  <c r="Q572" i="7" s="1"/>
  <c r="N575" i="7"/>
  <c r="O572" i="7" s="1"/>
  <c r="L575" i="7"/>
  <c r="M572" i="7" s="1"/>
  <c r="J575" i="7"/>
  <c r="K572" i="7" s="1"/>
  <c r="H575" i="7"/>
  <c r="I572" i="7" s="1"/>
  <c r="F575" i="7"/>
  <c r="G572" i="7" s="1"/>
  <c r="D575" i="7"/>
  <c r="E572" i="7" s="1"/>
  <c r="Q558" i="7"/>
  <c r="P558" i="7"/>
  <c r="B74" i="7"/>
  <c r="I7" i="1" s="1"/>
  <c r="S578" i="7"/>
  <c r="S581" i="7" s="1"/>
  <c r="B575" i="7" l="1"/>
  <c r="C572" i="7" s="1"/>
  <c r="C573" i="7" s="1"/>
  <c r="C58" i="7" s="1"/>
  <c r="AG573" i="7"/>
  <c r="AG58" i="7" s="1"/>
  <c r="AG62" i="7" s="1"/>
  <c r="AG68" i="7" s="1"/>
  <c r="AH572" i="7"/>
  <c r="AH573" i="7" s="1"/>
  <c r="AH58" i="7" s="1"/>
  <c r="AH62" i="7" s="1"/>
  <c r="AH68" i="7" s="1"/>
  <c r="AI572" i="7"/>
  <c r="AI573" i="7" s="1"/>
  <c r="AI58" i="7" s="1"/>
  <c r="AI62" i="7" s="1"/>
  <c r="AI68" i="7" s="1"/>
  <c r="AO572" i="7"/>
  <c r="AO573" i="7" s="1"/>
  <c r="AO58" i="7" s="1"/>
  <c r="AO62" i="7" s="1"/>
  <c r="AO68" i="7" s="1"/>
  <c r="AK572" i="7"/>
  <c r="AK573" i="7" s="1"/>
  <c r="AK58" i="7" s="1"/>
  <c r="AK62" i="7" s="1"/>
  <c r="AK68" i="7" s="1"/>
  <c r="AJ573" i="7"/>
  <c r="AJ58" i="7" s="1"/>
  <c r="AJ62" i="7" s="1"/>
  <c r="AJ68" i="7" s="1"/>
  <c r="AL572" i="7"/>
  <c r="AL573" i="7" s="1"/>
  <c r="AL58" i="7" s="1"/>
  <c r="AL62" i="7" s="1"/>
  <c r="AL68" i="7" s="1"/>
  <c r="AP572" i="7"/>
  <c r="AP574" i="7" s="1"/>
  <c r="AP58" i="7" s="1"/>
  <c r="AP62" i="7" s="1"/>
  <c r="AP68" i="7" s="1"/>
  <c r="AM572" i="7"/>
  <c r="AM573" i="7" s="1"/>
  <c r="AM58" i="7" s="1"/>
  <c r="AM62" i="7" s="1"/>
  <c r="AM68" i="7" s="1"/>
  <c r="AN572" i="7"/>
  <c r="AN573" i="7" s="1"/>
  <c r="AN58" i="7" s="1"/>
  <c r="AN62" i="7" s="1"/>
  <c r="AN68" i="7" s="1"/>
  <c r="D572" i="7"/>
  <c r="D573" i="7" s="1"/>
  <c r="D58" i="7" s="1"/>
  <c r="F572" i="7"/>
  <c r="F573" i="7" s="1"/>
  <c r="F58" i="7" s="1"/>
  <c r="E573" i="7"/>
  <c r="E58" i="7" s="1"/>
  <c r="H572" i="7"/>
  <c r="H573" i="7" s="1"/>
  <c r="H58" i="7" s="1"/>
  <c r="G573" i="7"/>
  <c r="G58" i="7" s="1"/>
  <c r="J572" i="7"/>
  <c r="J573" i="7" s="1"/>
  <c r="J58" i="7" s="1"/>
  <c r="I573" i="7"/>
  <c r="I58" i="7" s="1"/>
  <c r="L572" i="7"/>
  <c r="L573" i="7" s="1"/>
  <c r="L58" i="7" s="1"/>
  <c r="K573" i="7"/>
  <c r="K58" i="7" s="1"/>
  <c r="N572" i="7"/>
  <c r="N573" i="7" s="1"/>
  <c r="N58" i="7" s="1"/>
  <c r="M573" i="7"/>
  <c r="M58" i="7" s="1"/>
  <c r="P572" i="7"/>
  <c r="P573" i="7" s="1"/>
  <c r="P58" i="7" s="1"/>
  <c r="O573" i="7"/>
  <c r="O58" i="7" s="1"/>
  <c r="R572" i="7"/>
  <c r="R573" i="7" s="1"/>
  <c r="R58" i="7" s="1"/>
  <c r="Q573" i="7"/>
  <c r="Q58" i="7" s="1"/>
  <c r="T572" i="7"/>
  <c r="T573" i="7" s="1"/>
  <c r="T58" i="7" s="1"/>
  <c r="S573" i="7"/>
  <c r="S58" i="7" s="1"/>
  <c r="V572" i="7"/>
  <c r="V573" i="7" s="1"/>
  <c r="V58" i="7" s="1"/>
  <c r="U573" i="7"/>
  <c r="U58" i="7" s="1"/>
  <c r="X572" i="7"/>
  <c r="X573" i="7" s="1"/>
  <c r="X58" i="7" s="1"/>
  <c r="X62" i="7" s="1"/>
  <c r="X68" i="7" s="1"/>
  <c r="W573" i="7"/>
  <c r="W58" i="7" s="1"/>
  <c r="W62" i="7" s="1"/>
  <c r="W68" i="7" s="1"/>
  <c r="Z572" i="7"/>
  <c r="Z573" i="7" s="1"/>
  <c r="Z58" i="7" s="1"/>
  <c r="Z62" i="7" s="1"/>
  <c r="Z68" i="7" s="1"/>
  <c r="Y573" i="7"/>
  <c r="Y58" i="7" s="1"/>
  <c r="Y62" i="7" s="1"/>
  <c r="Y68" i="7" s="1"/>
  <c r="AB572" i="7"/>
  <c r="AB573" i="7" s="1"/>
  <c r="AB58" i="7" s="1"/>
  <c r="AB62" i="7" s="1"/>
  <c r="AB68" i="7" s="1"/>
  <c r="AA573" i="7"/>
  <c r="AA58" i="7" s="1"/>
  <c r="AA62" i="7" s="1"/>
  <c r="AA68" i="7" s="1"/>
  <c r="AD572" i="7"/>
  <c r="AD573" i="7" s="1"/>
  <c r="AD58" i="7" s="1"/>
  <c r="AD62" i="7" s="1"/>
  <c r="AD68" i="7" s="1"/>
  <c r="AC573" i="7"/>
  <c r="AC58" i="7" s="1"/>
  <c r="AC62" i="7" s="1"/>
  <c r="AC68" i="7" s="1"/>
  <c r="AF572" i="7"/>
  <c r="AE573" i="7"/>
  <c r="AE58" i="7" s="1"/>
  <c r="AE62" i="7" s="1"/>
  <c r="AE68" i="7" s="1"/>
  <c r="C184" i="7"/>
  <c r="C197" i="7" s="1"/>
  <c r="Q555" i="7"/>
  <c r="Q543" i="7"/>
  <c r="Q545" i="7" s="1"/>
  <c r="S555" i="7"/>
  <c r="S543" i="7"/>
  <c r="S545" i="7" s="1"/>
  <c r="U555" i="7"/>
  <c r="U543" i="7"/>
  <c r="U545" i="7" s="1"/>
  <c r="P543" i="7"/>
  <c r="P545" i="7" s="1"/>
  <c r="P555" i="7"/>
  <c r="R555" i="7"/>
  <c r="R543" i="7"/>
  <c r="R545" i="7" s="1"/>
  <c r="T543" i="7"/>
  <c r="T545" i="7" s="1"/>
  <c r="T555" i="7"/>
  <c r="V555" i="7"/>
  <c r="V543" i="7"/>
  <c r="V545" i="7" s="1"/>
  <c r="C145" i="7"/>
  <c r="C158" i="7" s="1"/>
  <c r="T578" i="7"/>
  <c r="T581" i="7" s="1"/>
  <c r="B573" i="7" l="1"/>
  <c r="B58" i="7" s="1"/>
  <c r="AF574" i="7"/>
  <c r="AF573" i="7"/>
  <c r="V559" i="7"/>
  <c r="V560" i="7" s="1"/>
  <c r="R559" i="7"/>
  <c r="R560" i="7" s="1"/>
  <c r="T674" i="7"/>
  <c r="U675" i="7" s="1"/>
  <c r="U559" i="7"/>
  <c r="U560" i="7" s="1"/>
  <c r="S559" i="7"/>
  <c r="S560" i="7" s="1"/>
  <c r="Q559" i="7"/>
  <c r="Q560" i="7" s="1"/>
  <c r="T559" i="7"/>
  <c r="T560" i="7" s="1"/>
  <c r="P559" i="7"/>
  <c r="P560" i="7" s="1"/>
  <c r="U578" i="7"/>
  <c r="U581" i="7" s="1"/>
  <c r="AF58" i="7" l="1"/>
  <c r="AF62" i="7" s="1"/>
  <c r="AF68" i="7" s="1"/>
  <c r="T566" i="7"/>
  <c r="T567" i="7" s="1"/>
  <c r="T57" i="7" s="1"/>
  <c r="T62" i="7" s="1"/>
  <c r="T68" i="7" s="1"/>
  <c r="S674" i="7"/>
  <c r="T675" i="7" s="1"/>
  <c r="P567" i="7"/>
  <c r="P57" i="7" s="1"/>
  <c r="P62" i="7" s="1"/>
  <c r="P68" i="7" s="1"/>
  <c r="Q566" i="7"/>
  <c r="P674" i="7"/>
  <c r="Q675" i="7" s="1"/>
  <c r="S566" i="7"/>
  <c r="S567" i="7" s="1"/>
  <c r="S57" i="7" s="1"/>
  <c r="S62" i="7" s="1"/>
  <c r="S68" i="7" s="1"/>
  <c r="R674" i="7"/>
  <c r="S675" i="7" s="1"/>
  <c r="U566" i="7"/>
  <c r="U567" i="7" s="1"/>
  <c r="U57" i="7" s="1"/>
  <c r="U62" i="7" s="1"/>
  <c r="U68" i="7" s="1"/>
  <c r="R566" i="7"/>
  <c r="R567" i="7" s="1"/>
  <c r="R57" i="7" s="1"/>
  <c r="R62" i="7" s="1"/>
  <c r="R68" i="7" s="1"/>
  <c r="Q674" i="7"/>
  <c r="R675" i="7" s="1"/>
  <c r="V566" i="7"/>
  <c r="V568" i="7" s="1"/>
  <c r="V57" i="7" s="1"/>
  <c r="V62" i="7" s="1"/>
  <c r="V68" i="7" s="1"/>
  <c r="V578" i="7"/>
  <c r="V581" i="7" s="1"/>
  <c r="U674" i="7"/>
  <c r="V675" i="7" s="1"/>
  <c r="U165" i="7"/>
  <c r="U129" i="7"/>
  <c r="U50" i="7"/>
  <c r="O567" i="7" l="1"/>
  <c r="Q567" i="7"/>
  <c r="Q568" i="7"/>
  <c r="R165" i="7"/>
  <c r="R50" i="7"/>
  <c r="R129" i="7"/>
  <c r="Q165" i="7"/>
  <c r="Q50" i="7"/>
  <c r="Q129" i="7"/>
  <c r="S129" i="7"/>
  <c r="S165" i="7"/>
  <c r="S50" i="7"/>
  <c r="T129" i="7"/>
  <c r="T165" i="7"/>
  <c r="T50" i="7"/>
  <c r="N568" i="7"/>
  <c r="W578" i="7"/>
  <c r="W581" i="7" s="1"/>
  <c r="V674" i="7"/>
  <c r="W675" i="7" s="1"/>
  <c r="V165" i="7"/>
  <c r="V129" i="7"/>
  <c r="V50" i="7"/>
  <c r="Q57" i="7" l="1"/>
  <c r="Q62" i="7" s="1"/>
  <c r="Q68" i="7" s="1"/>
  <c r="W165" i="7"/>
  <c r="W129" i="7"/>
  <c r="W50" i="7"/>
  <c r="X578" i="7"/>
  <c r="X581" i="7" s="1"/>
  <c r="W674" i="7"/>
  <c r="X675" i="7" s="1"/>
  <c r="B76" i="7" l="1"/>
  <c r="X165" i="7"/>
  <c r="X129" i="7"/>
  <c r="X50" i="7"/>
  <c r="Y578" i="7"/>
  <c r="Y581" i="7" s="1"/>
  <c r="X674" i="7"/>
  <c r="Y675" i="7" s="1"/>
  <c r="Y165" i="7" l="1"/>
  <c r="Y129" i="7"/>
  <c r="Y50" i="7"/>
  <c r="Z578" i="7"/>
  <c r="Z581" i="7" s="1"/>
  <c r="Y674" i="7"/>
  <c r="Z675" i="7" s="1"/>
  <c r="AA578" i="7" l="1"/>
  <c r="AA581" i="7" s="1"/>
  <c r="Z674" i="7"/>
  <c r="AA675" i="7" s="1"/>
  <c r="Z165" i="7"/>
  <c r="Z129" i="7"/>
  <c r="Z50" i="7"/>
  <c r="AB578" i="7" l="1"/>
  <c r="AB581" i="7" s="1"/>
  <c r="AA674" i="7"/>
  <c r="AA165" i="7"/>
  <c r="AA129" i="7"/>
  <c r="AA50" i="7"/>
  <c r="AC578" i="7" l="1"/>
  <c r="AC581" i="7" s="1"/>
  <c r="AB674" i="7"/>
  <c r="AB165" i="7"/>
  <c r="AB129" i="7"/>
  <c r="AB50" i="7"/>
  <c r="C206" i="7" l="1"/>
  <c r="C342" i="7"/>
  <c r="C211" i="7"/>
  <c r="C344" i="7"/>
  <c r="F344" i="7" s="1"/>
  <c r="C209" i="7"/>
  <c r="C207" i="7"/>
  <c r="AC165" i="7"/>
  <c r="AC129" i="7"/>
  <c r="AC50" i="7"/>
  <c r="AD578" i="7"/>
  <c r="AD581" i="7" s="1"/>
  <c r="AC674" i="7"/>
  <c r="C341" i="7" l="1"/>
  <c r="F341" i="7" s="1"/>
  <c r="C210" i="7"/>
  <c r="F210" i="7" s="1"/>
  <c r="C343" i="7"/>
  <c r="F343" i="7" s="1"/>
  <c r="C208" i="7"/>
  <c r="C340" i="7"/>
  <c r="C345" i="7"/>
  <c r="F345" i="7" s="1"/>
  <c r="F206" i="7"/>
  <c r="F211" i="7"/>
  <c r="F342" i="7"/>
  <c r="F209" i="7"/>
  <c r="F207" i="7"/>
  <c r="AE578" i="7"/>
  <c r="AE581" i="7" s="1"/>
  <c r="AD674" i="7"/>
  <c r="AD165" i="7"/>
  <c r="AD129" i="7"/>
  <c r="AD50" i="7"/>
  <c r="F340" i="7" l="1"/>
  <c r="G340" i="7" s="1"/>
  <c r="G347" i="7" s="1"/>
  <c r="F208" i="7"/>
  <c r="F213" i="7" s="1"/>
  <c r="C213" i="7"/>
  <c r="C347" i="7"/>
  <c r="G206" i="7"/>
  <c r="G213" i="7" s="1"/>
  <c r="AF578" i="7"/>
  <c r="AF581" i="7" s="1"/>
  <c r="AE674" i="7"/>
  <c r="AE165" i="7"/>
  <c r="AE129" i="7"/>
  <c r="AE50" i="7"/>
  <c r="F347" i="7" l="1"/>
  <c r="B343" i="7"/>
  <c r="B344" i="7"/>
  <c r="B342" i="7"/>
  <c r="B345" i="7"/>
  <c r="B341" i="7"/>
  <c r="B340" i="7"/>
  <c r="I213" i="7"/>
  <c r="C95" i="7" s="1"/>
  <c r="H210" i="7"/>
  <c r="K210" i="7" s="1"/>
  <c r="L210" i="7" s="1"/>
  <c r="H206" i="7"/>
  <c r="K206" i="7" s="1"/>
  <c r="H211" i="7"/>
  <c r="K211" i="7" s="1"/>
  <c r="H209" i="7"/>
  <c r="K209" i="7" s="1"/>
  <c r="L209" i="7" s="1"/>
  <c r="H208" i="7"/>
  <c r="K208" i="7" s="1"/>
  <c r="L208" i="7" s="1"/>
  <c r="H207" i="7"/>
  <c r="K207" i="7" s="1"/>
  <c r="B208" i="7"/>
  <c r="B211" i="7"/>
  <c r="B207" i="7"/>
  <c r="B210" i="7"/>
  <c r="B209" i="7"/>
  <c r="B206" i="7"/>
  <c r="H343" i="7"/>
  <c r="I347" i="7"/>
  <c r="H342" i="7"/>
  <c r="K342" i="7" s="1"/>
  <c r="L342" i="7" s="1"/>
  <c r="H345" i="7"/>
  <c r="H341" i="7"/>
  <c r="K341" i="7" s="1"/>
  <c r="H344" i="7"/>
  <c r="H340" i="7"/>
  <c r="K340" i="7" s="1"/>
  <c r="L207" i="7"/>
  <c r="L211" i="7"/>
  <c r="L341" i="7"/>
  <c r="AG578" i="7"/>
  <c r="AG581" i="7" s="1"/>
  <c r="AF674" i="7"/>
  <c r="AF165" i="7"/>
  <c r="AF129" i="7"/>
  <c r="AF50" i="7"/>
  <c r="I208" i="7" l="1"/>
  <c r="J208" i="7" s="1"/>
  <c r="M208" i="7" s="1"/>
  <c r="I211" i="7"/>
  <c r="J211" i="7" s="1"/>
  <c r="M211" i="7" s="1"/>
  <c r="I207" i="7"/>
  <c r="J207" i="7" s="1"/>
  <c r="M207" i="7" s="1"/>
  <c r="I210" i="7"/>
  <c r="J210" i="7" s="1"/>
  <c r="M210" i="7" s="1"/>
  <c r="I206" i="7"/>
  <c r="J206" i="7" s="1"/>
  <c r="I209" i="7"/>
  <c r="J209" i="7" s="1"/>
  <c r="M343" i="7" s="1"/>
  <c r="K345" i="7"/>
  <c r="L345" i="7" s="1"/>
  <c r="C169" i="7"/>
  <c r="K344" i="7"/>
  <c r="L344" i="7" s="1"/>
  <c r="K343" i="7"/>
  <c r="L343" i="7" s="1"/>
  <c r="I345" i="7"/>
  <c r="J345" i="7" s="1"/>
  <c r="I341" i="7"/>
  <c r="I344" i="7"/>
  <c r="J344" i="7" s="1"/>
  <c r="I340" i="7"/>
  <c r="I343" i="7"/>
  <c r="J343" i="7" s="1"/>
  <c r="I342" i="7"/>
  <c r="J342" i="7" s="1"/>
  <c r="B213" i="7"/>
  <c r="B347" i="7"/>
  <c r="AG129" i="7"/>
  <c r="AG165" i="7"/>
  <c r="AG50" i="7"/>
  <c r="L340" i="7"/>
  <c r="H347" i="7"/>
  <c r="L206" i="7"/>
  <c r="L213" i="7" s="1"/>
  <c r="H213" i="7"/>
  <c r="M340" i="7"/>
  <c r="M342" i="7"/>
  <c r="M344" i="7"/>
  <c r="M345" i="7"/>
  <c r="AH578" i="7"/>
  <c r="AH581" i="7" s="1"/>
  <c r="AG674" i="7"/>
  <c r="L347" i="7" l="1"/>
  <c r="M206" i="7"/>
  <c r="AH165" i="7"/>
  <c r="AH50" i="7"/>
  <c r="AH129" i="7"/>
  <c r="M209" i="7"/>
  <c r="C96" i="7"/>
  <c r="C97" i="7" s="1"/>
  <c r="J340" i="7"/>
  <c r="N206" i="7" s="1"/>
  <c r="J341" i="7"/>
  <c r="N341" i="7" s="1"/>
  <c r="N208" i="7"/>
  <c r="O208" i="7" s="1"/>
  <c r="Q208" i="7" s="1"/>
  <c r="N342" i="7"/>
  <c r="O342" i="7" s="1"/>
  <c r="Q342" i="7" s="1"/>
  <c r="N211" i="7"/>
  <c r="O211" i="7" s="1"/>
  <c r="Q211" i="7" s="1"/>
  <c r="N345" i="7"/>
  <c r="O345" i="7" s="1"/>
  <c r="Q345" i="7" s="1"/>
  <c r="N209" i="7"/>
  <c r="N343" i="7"/>
  <c r="O343" i="7" s="1"/>
  <c r="Q343" i="7" s="1"/>
  <c r="N344" i="7"/>
  <c r="O344" i="7" s="1"/>
  <c r="Q344" i="7" s="1"/>
  <c r="N210" i="7"/>
  <c r="O210" i="7" s="1"/>
  <c r="Q210" i="7" s="1"/>
  <c r="M341" i="7"/>
  <c r="M347" i="7" s="1"/>
  <c r="J213" i="7"/>
  <c r="AI578" i="7"/>
  <c r="AI581" i="7" s="1"/>
  <c r="AH674" i="7"/>
  <c r="C250" i="7" l="1"/>
  <c r="E250" i="7"/>
  <c r="D250" i="7"/>
  <c r="F250" i="7"/>
  <c r="G250" i="7"/>
  <c r="H250" i="7"/>
  <c r="I250" i="7"/>
  <c r="J250" i="7"/>
  <c r="K250" i="7"/>
  <c r="L250" i="7"/>
  <c r="M250" i="7"/>
  <c r="N250" i="7"/>
  <c r="O250" i="7"/>
  <c r="P250" i="7"/>
  <c r="Q250" i="7"/>
  <c r="R250" i="7"/>
  <c r="S250" i="7"/>
  <c r="T250" i="7"/>
  <c r="U250" i="7"/>
  <c r="V250" i="7"/>
  <c r="W250" i="7"/>
  <c r="X250" i="7"/>
  <c r="Y250" i="7"/>
  <c r="Z250" i="7"/>
  <c r="AA250" i="7"/>
  <c r="AB250" i="7"/>
  <c r="AC250" i="7"/>
  <c r="AD250" i="7"/>
  <c r="AE250" i="7"/>
  <c r="AF250" i="7"/>
  <c r="AG250" i="7"/>
  <c r="AH250" i="7"/>
  <c r="AI250" i="7"/>
  <c r="AJ250" i="7"/>
  <c r="AK250" i="7"/>
  <c r="AL250" i="7"/>
  <c r="AM250" i="7"/>
  <c r="AN250" i="7"/>
  <c r="AO250" i="7"/>
  <c r="AP250" i="7"/>
  <c r="C383" i="7"/>
  <c r="D383" i="7"/>
  <c r="E383" i="7"/>
  <c r="F383" i="7"/>
  <c r="G383" i="7"/>
  <c r="H383" i="7"/>
  <c r="I383" i="7"/>
  <c r="J383" i="7"/>
  <c r="K383" i="7"/>
  <c r="L383" i="7"/>
  <c r="M383" i="7"/>
  <c r="N383" i="7"/>
  <c r="O383" i="7"/>
  <c r="P383" i="7"/>
  <c r="Q383" i="7"/>
  <c r="R383" i="7"/>
  <c r="S383" i="7"/>
  <c r="T383" i="7"/>
  <c r="U383" i="7"/>
  <c r="V383" i="7"/>
  <c r="W383" i="7"/>
  <c r="X383" i="7"/>
  <c r="Y383" i="7"/>
  <c r="Z383" i="7"/>
  <c r="AA383" i="7"/>
  <c r="AB383" i="7"/>
  <c r="AC383" i="7"/>
  <c r="AD383" i="7"/>
  <c r="AE383" i="7"/>
  <c r="AF383" i="7"/>
  <c r="AG383" i="7"/>
  <c r="AH383" i="7"/>
  <c r="AI383" i="7"/>
  <c r="AJ383" i="7"/>
  <c r="AK383" i="7"/>
  <c r="AL383" i="7"/>
  <c r="AM383" i="7"/>
  <c r="AN383" i="7"/>
  <c r="AO383" i="7"/>
  <c r="AP383" i="7"/>
  <c r="E385" i="7"/>
  <c r="D385" i="7"/>
  <c r="F385" i="7"/>
  <c r="G385" i="7"/>
  <c r="H385" i="7"/>
  <c r="I385" i="7"/>
  <c r="J385" i="7"/>
  <c r="K385" i="7"/>
  <c r="L385" i="7"/>
  <c r="M385" i="7"/>
  <c r="N385" i="7"/>
  <c r="O385" i="7"/>
  <c r="P385" i="7"/>
  <c r="Q385" i="7"/>
  <c r="R385" i="7"/>
  <c r="S385" i="7"/>
  <c r="T385" i="7"/>
  <c r="U385" i="7"/>
  <c r="V385" i="7"/>
  <c r="W385" i="7"/>
  <c r="X385" i="7"/>
  <c r="Y385" i="7"/>
  <c r="Z385" i="7"/>
  <c r="AA385" i="7"/>
  <c r="AB385" i="7"/>
  <c r="AC385" i="7"/>
  <c r="AD385" i="7"/>
  <c r="AE385" i="7"/>
  <c r="AF385" i="7"/>
  <c r="C385" i="7"/>
  <c r="AG385" i="7"/>
  <c r="AH385" i="7"/>
  <c r="AI385" i="7"/>
  <c r="AJ385" i="7"/>
  <c r="AK385" i="7"/>
  <c r="AL385" i="7"/>
  <c r="AM385" i="7"/>
  <c r="AN385" i="7"/>
  <c r="AO385" i="7"/>
  <c r="AP385" i="7"/>
  <c r="C382" i="7"/>
  <c r="D382" i="7"/>
  <c r="F382" i="7"/>
  <c r="E382" i="7"/>
  <c r="G382" i="7"/>
  <c r="H382" i="7"/>
  <c r="I382" i="7"/>
  <c r="J382" i="7"/>
  <c r="K382" i="7"/>
  <c r="L382" i="7"/>
  <c r="M382" i="7"/>
  <c r="N382" i="7"/>
  <c r="O382" i="7"/>
  <c r="P382" i="7"/>
  <c r="Q382" i="7"/>
  <c r="R382" i="7"/>
  <c r="S382" i="7"/>
  <c r="T382" i="7"/>
  <c r="U382" i="7"/>
  <c r="V382" i="7"/>
  <c r="W382" i="7"/>
  <c r="X382" i="7"/>
  <c r="Y382" i="7"/>
  <c r="Z382" i="7"/>
  <c r="AA382" i="7"/>
  <c r="AB382" i="7"/>
  <c r="AC382" i="7"/>
  <c r="AD382" i="7"/>
  <c r="AE382" i="7"/>
  <c r="AF382" i="7"/>
  <c r="AG382" i="7"/>
  <c r="AH382" i="7"/>
  <c r="AI382" i="7"/>
  <c r="AJ382" i="7"/>
  <c r="AK382" i="7"/>
  <c r="AL382" i="7"/>
  <c r="AM382" i="7"/>
  <c r="AN382" i="7"/>
  <c r="AO382" i="7"/>
  <c r="AP382" i="7"/>
  <c r="C384" i="7"/>
  <c r="E384" i="7"/>
  <c r="D384" i="7"/>
  <c r="F384" i="7"/>
  <c r="G384" i="7"/>
  <c r="H384" i="7"/>
  <c r="I384" i="7"/>
  <c r="J384" i="7"/>
  <c r="K384" i="7"/>
  <c r="L384" i="7"/>
  <c r="M384" i="7"/>
  <c r="N384" i="7"/>
  <c r="O384" i="7"/>
  <c r="P384" i="7"/>
  <c r="Q384" i="7"/>
  <c r="R384" i="7"/>
  <c r="S384" i="7"/>
  <c r="T384" i="7"/>
  <c r="U384" i="7"/>
  <c r="V384" i="7"/>
  <c r="W384" i="7"/>
  <c r="X384" i="7"/>
  <c r="Y384" i="7"/>
  <c r="Z384" i="7"/>
  <c r="AA384" i="7"/>
  <c r="AB384" i="7"/>
  <c r="AC384" i="7"/>
  <c r="AD384" i="7"/>
  <c r="AE384" i="7"/>
  <c r="AF384" i="7"/>
  <c r="AG384" i="7"/>
  <c r="AH384" i="7"/>
  <c r="AI384" i="7"/>
  <c r="AJ384" i="7"/>
  <c r="AK384" i="7"/>
  <c r="AL384" i="7"/>
  <c r="AM384" i="7"/>
  <c r="AN384" i="7"/>
  <c r="AO384" i="7"/>
  <c r="AP384" i="7"/>
  <c r="D251" i="7"/>
  <c r="E251" i="7"/>
  <c r="F251" i="7"/>
  <c r="G251" i="7"/>
  <c r="H251" i="7"/>
  <c r="I251" i="7"/>
  <c r="J251" i="7"/>
  <c r="K251" i="7"/>
  <c r="L251" i="7"/>
  <c r="M251" i="7"/>
  <c r="N251" i="7"/>
  <c r="O251" i="7"/>
  <c r="P251" i="7"/>
  <c r="Q251" i="7"/>
  <c r="R251" i="7"/>
  <c r="S251" i="7"/>
  <c r="T251" i="7"/>
  <c r="U251" i="7"/>
  <c r="V251" i="7"/>
  <c r="W251" i="7"/>
  <c r="X251" i="7"/>
  <c r="Y251" i="7"/>
  <c r="Z251" i="7"/>
  <c r="AA251" i="7"/>
  <c r="AB251" i="7"/>
  <c r="AC251" i="7"/>
  <c r="AD251" i="7"/>
  <c r="AE251" i="7"/>
  <c r="AF251" i="7"/>
  <c r="C251" i="7"/>
  <c r="AG251" i="7"/>
  <c r="AH251" i="7"/>
  <c r="AI251" i="7"/>
  <c r="AJ251" i="7"/>
  <c r="AK251" i="7"/>
  <c r="AL251" i="7"/>
  <c r="AM251" i="7"/>
  <c r="AN251" i="7"/>
  <c r="AO251" i="7"/>
  <c r="AP251" i="7"/>
  <c r="C248" i="7"/>
  <c r="D248" i="7"/>
  <c r="F248" i="7"/>
  <c r="E248" i="7"/>
  <c r="G248" i="7"/>
  <c r="H248" i="7"/>
  <c r="I248" i="7"/>
  <c r="J248" i="7"/>
  <c r="K248" i="7"/>
  <c r="L248" i="7"/>
  <c r="M248" i="7"/>
  <c r="N248" i="7"/>
  <c r="O248" i="7"/>
  <c r="P248" i="7"/>
  <c r="Q248" i="7"/>
  <c r="R248" i="7"/>
  <c r="S248" i="7"/>
  <c r="T248" i="7"/>
  <c r="U248" i="7"/>
  <c r="V248" i="7"/>
  <c r="W248" i="7"/>
  <c r="X248" i="7"/>
  <c r="Y248" i="7"/>
  <c r="Z248" i="7"/>
  <c r="AA248" i="7"/>
  <c r="AB248" i="7"/>
  <c r="AC248" i="7"/>
  <c r="AD248" i="7"/>
  <c r="AE248" i="7"/>
  <c r="AF248" i="7"/>
  <c r="AG248" i="7"/>
  <c r="AH248" i="7"/>
  <c r="AI248" i="7"/>
  <c r="AJ248" i="7"/>
  <c r="AK248" i="7"/>
  <c r="AL248" i="7"/>
  <c r="AM248" i="7"/>
  <c r="AN248" i="7"/>
  <c r="AO248" i="7"/>
  <c r="AP248" i="7"/>
  <c r="O206" i="7"/>
  <c r="P206" i="7" s="1"/>
  <c r="M213" i="7"/>
  <c r="O209" i="7"/>
  <c r="Q209" i="7" s="1"/>
  <c r="N207" i="7"/>
  <c r="O207" i="7" s="1"/>
  <c r="AI129" i="7"/>
  <c r="AI165" i="7"/>
  <c r="AI50" i="7"/>
  <c r="O341" i="7"/>
  <c r="P341" i="7" s="1"/>
  <c r="J347" i="7"/>
  <c r="N340" i="7"/>
  <c r="O340" i="7" s="1"/>
  <c r="P340" i="7" s="1"/>
  <c r="AJ578" i="7"/>
  <c r="AJ581" i="7" s="1"/>
  <c r="AI674" i="7"/>
  <c r="C249" i="7" l="1"/>
  <c r="E249" i="7"/>
  <c r="D249" i="7"/>
  <c r="F249" i="7"/>
  <c r="G249" i="7"/>
  <c r="H249" i="7"/>
  <c r="I249" i="7"/>
  <c r="J249" i="7"/>
  <c r="K249" i="7"/>
  <c r="L249" i="7"/>
  <c r="M249" i="7"/>
  <c r="N249" i="7"/>
  <c r="O249" i="7"/>
  <c r="P249" i="7"/>
  <c r="Q249" i="7"/>
  <c r="R249" i="7"/>
  <c r="S249" i="7"/>
  <c r="T249" i="7"/>
  <c r="U249" i="7"/>
  <c r="V249" i="7"/>
  <c r="W249" i="7"/>
  <c r="X249" i="7"/>
  <c r="Y249" i="7"/>
  <c r="Z249" i="7"/>
  <c r="AA249" i="7"/>
  <c r="AB249" i="7"/>
  <c r="AC249" i="7"/>
  <c r="AD249" i="7"/>
  <c r="AE249" i="7"/>
  <c r="AF249" i="7"/>
  <c r="AG249" i="7"/>
  <c r="AH249" i="7"/>
  <c r="AI249" i="7"/>
  <c r="AJ249" i="7"/>
  <c r="AK249" i="7"/>
  <c r="AL249" i="7"/>
  <c r="AM249" i="7"/>
  <c r="AN249" i="7"/>
  <c r="AO249" i="7"/>
  <c r="AP249" i="7"/>
  <c r="P207" i="7"/>
  <c r="Q207" i="7" s="1"/>
  <c r="B248" i="7" a="1"/>
  <c r="B248" i="7" s="1"/>
  <c r="B382" i="7" a="1"/>
  <c r="B382" i="7" s="1"/>
  <c r="B385" i="7" a="1"/>
  <c r="B385" i="7" s="1"/>
  <c r="B250" i="7" a="1"/>
  <c r="B250" i="7" s="1"/>
  <c r="B251" i="7" a="1"/>
  <c r="B251" i="7" s="1"/>
  <c r="B384" i="7" a="1"/>
  <c r="B384" i="7" s="1"/>
  <c r="B383" i="7" a="1"/>
  <c r="B383" i="7" s="1"/>
  <c r="O213" i="7"/>
  <c r="N213" i="7"/>
  <c r="O347" i="7"/>
  <c r="AJ165" i="7"/>
  <c r="AJ129" i="7"/>
  <c r="AJ50" i="7"/>
  <c r="Q340" i="7"/>
  <c r="N347" i="7"/>
  <c r="Q341" i="7"/>
  <c r="Q206" i="7"/>
  <c r="AK578" i="7"/>
  <c r="AK581" i="7" s="1"/>
  <c r="AJ674" i="7"/>
  <c r="C246" i="7" l="1"/>
  <c r="D246" i="7"/>
  <c r="E246" i="7"/>
  <c r="F246" i="7"/>
  <c r="G246" i="7"/>
  <c r="H246" i="7"/>
  <c r="I246" i="7"/>
  <c r="J246" i="7"/>
  <c r="K246" i="7"/>
  <c r="L246" i="7"/>
  <c r="M246" i="7"/>
  <c r="N246" i="7"/>
  <c r="O246" i="7"/>
  <c r="P246" i="7"/>
  <c r="Q246" i="7"/>
  <c r="R246" i="7"/>
  <c r="S246" i="7"/>
  <c r="T246" i="7"/>
  <c r="U246" i="7"/>
  <c r="V246" i="7"/>
  <c r="W246" i="7"/>
  <c r="X246" i="7"/>
  <c r="Y246" i="7"/>
  <c r="Z246" i="7"/>
  <c r="AA246" i="7"/>
  <c r="AB246" i="7"/>
  <c r="AC246" i="7"/>
  <c r="AC253" i="7" s="1"/>
  <c r="AC131" i="7" s="1"/>
  <c r="AD246" i="7"/>
  <c r="AD253" i="7" s="1"/>
  <c r="AD131" i="7" s="1"/>
  <c r="AE246" i="7"/>
  <c r="AE253" i="7" s="1"/>
  <c r="AE131" i="7" s="1"/>
  <c r="AF246" i="7"/>
  <c r="AF253" i="7" s="1"/>
  <c r="AF131" i="7" s="1"/>
  <c r="AG246" i="7"/>
  <c r="AH246" i="7"/>
  <c r="AH253" i="7" s="1"/>
  <c r="AH131" i="7" s="1"/>
  <c r="AI246" i="7"/>
  <c r="AI253" i="7" s="1"/>
  <c r="AI131" i="7" s="1"/>
  <c r="AJ246" i="7"/>
  <c r="AJ253" i="7" s="1"/>
  <c r="AJ131" i="7" s="1"/>
  <c r="AK246" i="7"/>
  <c r="AK253" i="7" s="1"/>
  <c r="AK131" i="7" s="1"/>
  <c r="AL246" i="7"/>
  <c r="AL253" i="7" s="1"/>
  <c r="AL131" i="7" s="1"/>
  <c r="AM246" i="7"/>
  <c r="AM253" i="7" s="1"/>
  <c r="AM131" i="7" s="1"/>
  <c r="AN246" i="7"/>
  <c r="AO246" i="7"/>
  <c r="AO253" i="7" s="1"/>
  <c r="AO131" i="7" s="1"/>
  <c r="AP246" i="7"/>
  <c r="AP253" i="7" s="1"/>
  <c r="AP131" i="7" s="1"/>
  <c r="C381" i="7"/>
  <c r="D381" i="7"/>
  <c r="E381" i="7"/>
  <c r="F381" i="7"/>
  <c r="G381" i="7"/>
  <c r="H381" i="7"/>
  <c r="I381" i="7"/>
  <c r="J381" i="7"/>
  <c r="K381" i="7"/>
  <c r="L381" i="7"/>
  <c r="M381" i="7"/>
  <c r="N381" i="7"/>
  <c r="O381" i="7"/>
  <c r="P381" i="7"/>
  <c r="Q381" i="7"/>
  <c r="R381" i="7"/>
  <c r="S381" i="7"/>
  <c r="T381" i="7"/>
  <c r="U381" i="7"/>
  <c r="V381" i="7"/>
  <c r="W381" i="7"/>
  <c r="X381" i="7"/>
  <c r="Y381" i="7"/>
  <c r="Z381" i="7"/>
  <c r="AA381" i="7"/>
  <c r="AB381" i="7"/>
  <c r="AC381" i="7"/>
  <c r="AD381" i="7"/>
  <c r="AE381" i="7"/>
  <c r="AF381" i="7"/>
  <c r="AG381" i="7"/>
  <c r="AH381" i="7"/>
  <c r="AI381" i="7"/>
  <c r="AJ381" i="7"/>
  <c r="AK381" i="7"/>
  <c r="AL381" i="7"/>
  <c r="AM381" i="7"/>
  <c r="AN381" i="7"/>
  <c r="AO381" i="7"/>
  <c r="AP381" i="7"/>
  <c r="C380" i="7"/>
  <c r="E380" i="7"/>
  <c r="D380" i="7"/>
  <c r="F380" i="7"/>
  <c r="G380" i="7"/>
  <c r="H380" i="7"/>
  <c r="I380" i="7"/>
  <c r="I387" i="7" s="1"/>
  <c r="I167" i="7" s="1"/>
  <c r="J380" i="7"/>
  <c r="K380" i="7"/>
  <c r="L380" i="7"/>
  <c r="L387" i="7" s="1"/>
  <c r="L167" i="7" s="1"/>
  <c r="M380" i="7"/>
  <c r="M387" i="7" s="1"/>
  <c r="M167" i="7" s="1"/>
  <c r="N380" i="7"/>
  <c r="O380" i="7"/>
  <c r="P380" i="7"/>
  <c r="Q380" i="7"/>
  <c r="R380" i="7"/>
  <c r="S380" i="7"/>
  <c r="T380" i="7"/>
  <c r="U380" i="7"/>
  <c r="V380" i="7"/>
  <c r="W380" i="7"/>
  <c r="X380" i="7"/>
  <c r="Y380" i="7"/>
  <c r="Z380" i="7"/>
  <c r="AA380" i="7"/>
  <c r="AB380" i="7"/>
  <c r="AC380" i="7"/>
  <c r="AD380" i="7"/>
  <c r="AE380" i="7"/>
  <c r="AF380" i="7"/>
  <c r="AG380" i="7"/>
  <c r="AH380" i="7"/>
  <c r="AI380" i="7"/>
  <c r="AJ380" i="7"/>
  <c r="AK380" i="7"/>
  <c r="AL380" i="7"/>
  <c r="AM380" i="7"/>
  <c r="AM387" i="7" s="1"/>
  <c r="AM167" i="7" s="1"/>
  <c r="AN380" i="7"/>
  <c r="AO380" i="7"/>
  <c r="AP380" i="7"/>
  <c r="C247" i="7"/>
  <c r="D247" i="7"/>
  <c r="E247" i="7"/>
  <c r="F247" i="7"/>
  <c r="G247" i="7"/>
  <c r="H247" i="7"/>
  <c r="I247" i="7"/>
  <c r="J247" i="7"/>
  <c r="K247" i="7"/>
  <c r="L247" i="7"/>
  <c r="M247" i="7"/>
  <c r="N247" i="7"/>
  <c r="O247" i="7"/>
  <c r="P247" i="7"/>
  <c r="Q247" i="7"/>
  <c r="R247" i="7"/>
  <c r="S247" i="7"/>
  <c r="T247" i="7"/>
  <c r="U247" i="7"/>
  <c r="V247" i="7"/>
  <c r="W247" i="7"/>
  <c r="X247" i="7"/>
  <c r="Y247" i="7"/>
  <c r="Z247" i="7"/>
  <c r="AA247" i="7"/>
  <c r="AB247" i="7"/>
  <c r="AC247" i="7"/>
  <c r="AD247" i="7"/>
  <c r="AE247" i="7"/>
  <c r="AF247" i="7"/>
  <c r="AG247" i="7"/>
  <c r="AH247" i="7"/>
  <c r="AI247" i="7"/>
  <c r="AJ247" i="7"/>
  <c r="AK247" i="7"/>
  <c r="AL247" i="7"/>
  <c r="AM247" i="7"/>
  <c r="AN247" i="7"/>
  <c r="AO247" i="7"/>
  <c r="AP247" i="7"/>
  <c r="P213" i="7"/>
  <c r="C252" i="7" s="1"/>
  <c r="B252" i="7" s="1"/>
  <c r="D253" i="7"/>
  <c r="D131" i="7" s="1"/>
  <c r="B249" i="7" a="1"/>
  <c r="B249" i="7" s="1"/>
  <c r="Q213" i="7"/>
  <c r="AK165" i="7"/>
  <c r="AK129" i="7"/>
  <c r="AK50" i="7"/>
  <c r="P347" i="7"/>
  <c r="C386" i="7" s="1"/>
  <c r="B386" i="7" s="1" a="1"/>
  <c r="B386" i="7" s="1"/>
  <c r="AG253" i="7"/>
  <c r="AG131" i="7" s="1"/>
  <c r="J387" i="7"/>
  <c r="J167" i="7" s="1"/>
  <c r="Q347" i="7"/>
  <c r="AE387" i="7"/>
  <c r="AE167" i="7" s="1"/>
  <c r="AA253" i="7"/>
  <c r="AA131" i="7" s="1"/>
  <c r="AN253" i="7"/>
  <c r="AN131" i="7" s="1"/>
  <c r="AB253" i="7"/>
  <c r="AB131" i="7" s="1"/>
  <c r="L253" i="7"/>
  <c r="L131" i="7" s="1"/>
  <c r="AL578" i="7"/>
  <c r="AL581" i="7" s="1"/>
  <c r="AK674" i="7"/>
  <c r="W253" i="7" l="1"/>
  <c r="W131" i="7" s="1"/>
  <c r="E387" i="7"/>
  <c r="E167" i="7" s="1"/>
  <c r="X253" i="7"/>
  <c r="X131" i="7" s="1"/>
  <c r="V253" i="7"/>
  <c r="V131" i="7" s="1"/>
  <c r="R253" i="7"/>
  <c r="R131" i="7" s="1"/>
  <c r="J253" i="7"/>
  <c r="J131" i="7" s="1"/>
  <c r="P253" i="7"/>
  <c r="P131" i="7" s="1"/>
  <c r="T253" i="7"/>
  <c r="T131" i="7" s="1"/>
  <c r="F253" i="7"/>
  <c r="F131" i="7" s="1"/>
  <c r="N253" i="7"/>
  <c r="N131" i="7" s="1"/>
  <c r="H253" i="7"/>
  <c r="H131" i="7" s="1"/>
  <c r="I253" i="7"/>
  <c r="I131" i="7" s="1"/>
  <c r="O253" i="7"/>
  <c r="O131" i="7" s="1"/>
  <c r="U253" i="7"/>
  <c r="U131" i="7" s="1"/>
  <c r="S253" i="7"/>
  <c r="S131" i="7" s="1"/>
  <c r="Q253" i="7"/>
  <c r="Q131" i="7" s="1"/>
  <c r="E253" i="7"/>
  <c r="E131" i="7" s="1"/>
  <c r="Y253" i="7"/>
  <c r="Y131" i="7" s="1"/>
  <c r="K253" i="7"/>
  <c r="K131" i="7" s="1"/>
  <c r="M253" i="7"/>
  <c r="M131" i="7" s="1"/>
  <c r="G253" i="7"/>
  <c r="G131" i="7" s="1"/>
  <c r="Z253" i="7"/>
  <c r="Z131" i="7" s="1"/>
  <c r="B247" i="7" a="1"/>
  <c r="B247" i="7" s="1"/>
  <c r="B380" i="7" a="1"/>
  <c r="B380" i="7" s="1"/>
  <c r="C253" i="7"/>
  <c r="B381" i="7" a="1"/>
  <c r="B381" i="7" s="1"/>
  <c r="H387" i="7"/>
  <c r="H167" i="7" s="1"/>
  <c r="AH387" i="7"/>
  <c r="AH167" i="7" s="1"/>
  <c r="AA387" i="7"/>
  <c r="AA167" i="7" s="1"/>
  <c r="N387" i="7"/>
  <c r="N167" i="7" s="1"/>
  <c r="AP387" i="7"/>
  <c r="AP167" i="7" s="1"/>
  <c r="V387" i="7"/>
  <c r="V167" i="7" s="1"/>
  <c r="AL387" i="7"/>
  <c r="AL167" i="7" s="1"/>
  <c r="AL129" i="7"/>
  <c r="AL165" i="7"/>
  <c r="AL50" i="7"/>
  <c r="G387" i="7"/>
  <c r="G167" i="7" s="1"/>
  <c r="Q387" i="7"/>
  <c r="Q167" i="7" s="1"/>
  <c r="AN387" i="7"/>
  <c r="AN167" i="7" s="1"/>
  <c r="P387" i="7"/>
  <c r="P167" i="7" s="1"/>
  <c r="AF387" i="7"/>
  <c r="AF167" i="7" s="1"/>
  <c r="X387" i="7"/>
  <c r="X167" i="7" s="1"/>
  <c r="Y387" i="7"/>
  <c r="Y167" i="7" s="1"/>
  <c r="AO387" i="7"/>
  <c r="AO167" i="7" s="1"/>
  <c r="AI387" i="7"/>
  <c r="AI167" i="7" s="1"/>
  <c r="AG387" i="7"/>
  <c r="AG167" i="7" s="1"/>
  <c r="Z387" i="7"/>
  <c r="Z167" i="7" s="1"/>
  <c r="T387" i="7"/>
  <c r="T167" i="7" s="1"/>
  <c r="O387" i="7"/>
  <c r="O167" i="7" s="1"/>
  <c r="W387" i="7"/>
  <c r="W167" i="7" s="1"/>
  <c r="F387" i="7"/>
  <c r="F167" i="7" s="1"/>
  <c r="AD387" i="7"/>
  <c r="AD167" i="7" s="1"/>
  <c r="U387" i="7"/>
  <c r="U167" i="7" s="1"/>
  <c r="AK387" i="7"/>
  <c r="AK167" i="7" s="1"/>
  <c r="AB387" i="7"/>
  <c r="AB167" i="7" s="1"/>
  <c r="C387" i="7"/>
  <c r="K387" i="7"/>
  <c r="K167" i="7" s="1"/>
  <c r="S387" i="7"/>
  <c r="S167" i="7" s="1"/>
  <c r="R387" i="7"/>
  <c r="R167" i="7" s="1"/>
  <c r="AC387" i="7"/>
  <c r="AC167" i="7" s="1"/>
  <c r="D387" i="7"/>
  <c r="D167" i="7" s="1"/>
  <c r="AJ387" i="7"/>
  <c r="AJ167" i="7" s="1"/>
  <c r="AM578" i="7"/>
  <c r="AM581" i="7" s="1"/>
  <c r="AL674" i="7"/>
  <c r="B253" i="7" l="1" a="1"/>
  <c r="B253" i="7" s="1"/>
  <c r="C131" i="7"/>
  <c r="C167" i="7"/>
  <c r="B387" i="7" a="1"/>
  <c r="B387" i="7" s="1"/>
  <c r="AM165" i="7"/>
  <c r="AM50" i="7"/>
  <c r="AM129" i="7"/>
  <c r="AN578" i="7"/>
  <c r="AN581" i="7" s="1"/>
  <c r="AM674" i="7"/>
  <c r="AN165" i="7" l="1"/>
  <c r="AN50" i="7"/>
  <c r="AN129" i="7"/>
  <c r="AO578" i="7"/>
  <c r="AO581" i="7" s="1"/>
  <c r="AN674" i="7"/>
  <c r="AO165" i="7" l="1"/>
  <c r="AO50" i="7"/>
  <c r="AO129" i="7"/>
  <c r="AP578" i="7"/>
  <c r="AP581" i="7" s="1"/>
  <c r="AP674" i="7" s="1"/>
  <c r="AO674" i="7"/>
  <c r="AP129" i="7" l="1"/>
  <c r="AP165" i="7"/>
  <c r="AP50" i="7"/>
  <c r="B82" i="7" l="1"/>
  <c r="B77" i="7"/>
  <c r="B91" i="7" l="1"/>
  <c r="P533" i="7" l="1"/>
  <c r="P166" i="7" l="1"/>
  <c r="P130" i="7"/>
  <c r="P51" i="7"/>
  <c r="P553" i="7"/>
  <c r="P532" i="7" l="1"/>
  <c r="P76" i="7" s="1"/>
  <c r="P77" i="7" s="1"/>
  <c r="P550" i="7"/>
  <c r="P529" i="7" l="1"/>
  <c r="P534" i="7"/>
  <c r="O569" i="7" s="1"/>
  <c r="P566" i="7" s="1"/>
  <c r="Q533" i="7"/>
  <c r="O674" i="7" l="1"/>
  <c r="Q166" i="7"/>
  <c r="Q130" i="7"/>
  <c r="Q51" i="7"/>
  <c r="Q553" i="7"/>
  <c r="P675" i="7" l="1"/>
  <c r="P165" i="7" s="1"/>
  <c r="Q532" i="7"/>
  <c r="Q76" i="7" s="1"/>
  <c r="Q77" i="7" s="1"/>
  <c r="Q550" i="7"/>
  <c r="P129" i="7" l="1"/>
  <c r="P50" i="7"/>
  <c r="Q529" i="7"/>
  <c r="Q534" i="7"/>
  <c r="R533" i="7"/>
  <c r="R166" i="7" l="1"/>
  <c r="R130" i="7"/>
  <c r="R51" i="7"/>
  <c r="R553" i="7"/>
  <c r="R532" i="7" l="1"/>
  <c r="R76" i="7" s="1"/>
  <c r="R77" i="7" s="1"/>
  <c r="R550" i="7"/>
  <c r="R534" i="7" l="1"/>
  <c r="R529" i="7"/>
  <c r="S533" i="7"/>
  <c r="S166" i="7" l="1"/>
  <c r="S130" i="7"/>
  <c r="S51" i="7"/>
  <c r="S553" i="7"/>
  <c r="S532" i="7" l="1"/>
  <c r="S76" i="7" s="1"/>
  <c r="S77" i="7" s="1"/>
  <c r="S550" i="7"/>
  <c r="S529" i="7" l="1"/>
  <c r="S534" i="7"/>
  <c r="T533" i="7"/>
  <c r="T166" i="7" l="1"/>
  <c r="T130" i="7"/>
  <c r="T51" i="7"/>
  <c r="T553" i="7"/>
  <c r="T532" i="7" l="1"/>
  <c r="T76" i="7" s="1"/>
  <c r="T77" i="7" s="1"/>
  <c r="T550" i="7"/>
  <c r="T534" i="7" l="1"/>
  <c r="T529" i="7"/>
  <c r="U533" i="7"/>
  <c r="U166" i="7" l="1"/>
  <c r="U130" i="7"/>
  <c r="U51" i="7"/>
  <c r="U553" i="7"/>
  <c r="U532" i="7" l="1"/>
  <c r="U76" i="7" s="1"/>
  <c r="U77" i="7" s="1"/>
  <c r="U550" i="7"/>
  <c r="U529" i="7" l="1"/>
  <c r="U534" i="7"/>
  <c r="V533" i="7"/>
  <c r="V166" i="7" l="1"/>
  <c r="V130" i="7"/>
  <c r="V51" i="7"/>
  <c r="V553" i="7"/>
  <c r="V532" i="7" l="1"/>
  <c r="V76" i="7" s="1"/>
  <c r="V77" i="7" s="1"/>
  <c r="V550" i="7"/>
  <c r="V534" i="7" l="1"/>
  <c r="V529" i="7"/>
  <c r="L568" i="7"/>
  <c r="F11" i="1"/>
  <c r="U12" i="7"/>
  <c r="U13" i="7" s="1"/>
  <c r="U119" i="7" s="1"/>
  <c r="V12" i="7"/>
  <c r="P12" i="7"/>
  <c r="Q12" i="7"/>
  <c r="F25" i="1" s="1"/>
  <c r="L12" i="7"/>
  <c r="L13" i="7" s="1"/>
  <c r="L119" i="7" s="1"/>
  <c r="K12" i="7"/>
  <c r="F19" i="1" s="1"/>
  <c r="AC12" i="7"/>
  <c r="AC13" i="7" s="1"/>
  <c r="AC21" i="7" s="1"/>
  <c r="G37" i="1" s="1"/>
  <c r="AF12" i="7"/>
  <c r="AF13" i="7" s="1"/>
  <c r="AF21" i="7" s="1"/>
  <c r="AJ12" i="7"/>
  <c r="AJ13" i="7" s="1"/>
  <c r="S12" i="7"/>
  <c r="O12" i="7"/>
  <c r="M12" i="7"/>
  <c r="F21" i="1" s="1"/>
  <c r="J12" i="7"/>
  <c r="J13" i="7" s="1"/>
  <c r="J119" i="7" s="1"/>
  <c r="AO12" i="7"/>
  <c r="AO13" i="7" s="1"/>
  <c r="AP12" i="7"/>
  <c r="AP13" i="7" s="1"/>
  <c r="AP21" i="7" s="1"/>
  <c r="I12" i="7"/>
  <c r="AN12" i="7"/>
  <c r="AN13" i="7" s="1"/>
  <c r="AN119" i="7" s="1"/>
  <c r="AM12" i="7"/>
  <c r="AM13" i="7" s="1"/>
  <c r="AM119" i="7" s="1"/>
  <c r="H12" i="7"/>
  <c r="H13" i="7" s="1"/>
  <c r="H119" i="7" s="1"/>
  <c r="Y12" i="7"/>
  <c r="G12" i="7"/>
  <c r="F15" i="1" s="1"/>
  <c r="AB12" i="7"/>
  <c r="AB13" i="7" s="1"/>
  <c r="X12" i="7"/>
  <c r="F32" i="1" s="1"/>
  <c r="AD12" i="7"/>
  <c r="AD13" i="7" s="1"/>
  <c r="AE12" i="7"/>
  <c r="AE13" i="7" s="1"/>
  <c r="AG12" i="7"/>
  <c r="AG13" i="7" s="1"/>
  <c r="AG119" i="7" s="1"/>
  <c r="AI12" i="7"/>
  <c r="AI13" i="7" s="1"/>
  <c r="AI119" i="7" s="1"/>
  <c r="AH12" i="7"/>
  <c r="AH13" i="7" s="1"/>
  <c r="AH21" i="7" s="1"/>
  <c r="F12" i="7"/>
  <c r="F14" i="1" s="1"/>
  <c r="E12" i="7"/>
  <c r="E13" i="7" s="1"/>
  <c r="D12" i="7"/>
  <c r="F12" i="1" s="1"/>
  <c r="AA12" i="7"/>
  <c r="F35" i="1" s="1"/>
  <c r="Z12" i="7"/>
  <c r="F34" i="1" s="1"/>
  <c r="W12" i="7"/>
  <c r="F31" i="1" s="1"/>
  <c r="N12" i="7"/>
  <c r="N13" i="7" s="1"/>
  <c r="R12" i="7"/>
  <c r="R13" i="7" s="1"/>
  <c r="R119" i="7" s="1"/>
  <c r="T12" i="7"/>
  <c r="T13" i="7" s="1"/>
  <c r="AK12" i="7"/>
  <c r="AK13" i="7" s="1"/>
  <c r="AL12" i="7"/>
  <c r="AL13" i="7" s="1"/>
  <c r="C12" i="7"/>
  <c r="C13" i="7" s="1"/>
  <c r="C119" i="7" s="1"/>
  <c r="H21" i="7" l="1"/>
  <c r="H39" i="7" s="1"/>
  <c r="H558" i="7" s="1"/>
  <c r="M13" i="7"/>
  <c r="M119" i="7" s="1"/>
  <c r="F26" i="1"/>
  <c r="AA13" i="7"/>
  <c r="AA119" i="7" s="1"/>
  <c r="D13" i="7"/>
  <c r="D119" i="7" s="1"/>
  <c r="Q13" i="7"/>
  <c r="Q119" i="7" s="1"/>
  <c r="G40" i="1"/>
  <c r="AF39" i="7"/>
  <c r="AF43" i="7" s="1"/>
  <c r="AF52" i="7" s="1"/>
  <c r="AF78" i="7" s="1"/>
  <c r="AF83" i="7" s="1"/>
  <c r="AC119" i="7"/>
  <c r="F13" i="7"/>
  <c r="F119" i="7" s="1"/>
  <c r="G13" i="7"/>
  <c r="G119" i="7" s="1"/>
  <c r="AN21" i="7"/>
  <c r="AN39" i="7" s="1"/>
  <c r="AC39" i="7"/>
  <c r="AC43" i="7" s="1"/>
  <c r="AC52" i="7" s="1"/>
  <c r="AC78" i="7" s="1"/>
  <c r="AC83" i="7" s="1"/>
  <c r="K13" i="7"/>
  <c r="F16" i="1"/>
  <c r="AK119" i="7"/>
  <c r="AK21" i="7"/>
  <c r="E119" i="7"/>
  <c r="E21" i="7"/>
  <c r="AD119" i="7"/>
  <c r="AD21" i="7"/>
  <c r="AB119" i="7"/>
  <c r="AB21" i="7"/>
  <c r="AP39" i="7"/>
  <c r="G50" i="1"/>
  <c r="AL119" i="7"/>
  <c r="AL21" i="7"/>
  <c r="T119" i="7"/>
  <c r="T21" i="7"/>
  <c r="N119" i="7"/>
  <c r="N21" i="7"/>
  <c r="G42" i="1"/>
  <c r="AH39" i="7"/>
  <c r="AE119" i="7"/>
  <c r="AE21" i="7"/>
  <c r="F17" i="1"/>
  <c r="I13" i="7"/>
  <c r="R21" i="7"/>
  <c r="F24" i="1"/>
  <c r="P13" i="7"/>
  <c r="F13" i="1"/>
  <c r="F29" i="1"/>
  <c r="AH119" i="7"/>
  <c r="AP119" i="7"/>
  <c r="F20" i="1"/>
  <c r="C21" i="7"/>
  <c r="F28" i="1"/>
  <c r="F22" i="1"/>
  <c r="W13" i="7"/>
  <c r="Z13" i="7"/>
  <c r="AI21" i="7"/>
  <c r="AG21" i="7"/>
  <c r="X13" i="7"/>
  <c r="F33" i="1"/>
  <c r="Y13" i="7"/>
  <c r="AM21" i="7"/>
  <c r="AO119" i="7"/>
  <c r="AO21" i="7"/>
  <c r="J21" i="7"/>
  <c r="F23" i="1"/>
  <c r="O13" i="7"/>
  <c r="F27" i="1"/>
  <c r="S13" i="7"/>
  <c r="AJ119" i="7"/>
  <c r="AJ21" i="7"/>
  <c r="L21" i="7"/>
  <c r="F30" i="1"/>
  <c r="V13" i="7"/>
  <c r="U21" i="7"/>
  <c r="F18" i="1"/>
  <c r="AF119" i="7"/>
  <c r="H540" i="7" l="1"/>
  <c r="H542" i="7" s="1"/>
  <c r="H555" i="7" s="1"/>
  <c r="AC128" i="7"/>
  <c r="AC132" i="7" s="1"/>
  <c r="AC160" i="7" s="1"/>
  <c r="AC161" i="7" s="1"/>
  <c r="AC103" i="7" s="1"/>
  <c r="AC105" i="7" s="1"/>
  <c r="Q21" i="7"/>
  <c r="Q39" i="7" s="1"/>
  <c r="M21" i="7"/>
  <c r="G21" i="1" s="1"/>
  <c r="H128" i="7"/>
  <c r="D21" i="7"/>
  <c r="G12" i="1" s="1"/>
  <c r="H43" i="7"/>
  <c r="G16" i="1"/>
  <c r="H164" i="7"/>
  <c r="AC164" i="7"/>
  <c r="AC171" i="7" s="1"/>
  <c r="AC199" i="7" s="1"/>
  <c r="AC200" i="7" s="1"/>
  <c r="AC104" i="7" s="1"/>
  <c r="G21" i="7"/>
  <c r="G39" i="7" s="1"/>
  <c r="F21" i="7"/>
  <c r="G14" i="1" s="1"/>
  <c r="AA21" i="7"/>
  <c r="G35" i="1" s="1"/>
  <c r="AF164" i="7"/>
  <c r="AF171" i="7" s="1"/>
  <c r="AF199" i="7" s="1"/>
  <c r="AF200" i="7" s="1"/>
  <c r="AF104" i="7" s="1"/>
  <c r="G48" i="1"/>
  <c r="K21" i="7"/>
  <c r="K119" i="7"/>
  <c r="AF128" i="7"/>
  <c r="AF132" i="7" s="1"/>
  <c r="AF160" i="7" s="1"/>
  <c r="AF161" i="7" s="1"/>
  <c r="AF103" i="7" s="1"/>
  <c r="AF105" i="7" s="1"/>
  <c r="H543" i="7"/>
  <c r="H545" i="7" s="1"/>
  <c r="V119" i="7"/>
  <c r="V21" i="7"/>
  <c r="G20" i="1"/>
  <c r="L39" i="7"/>
  <c r="G49" i="1"/>
  <c r="AO39" i="7"/>
  <c r="G47" i="1"/>
  <c r="AM39" i="7"/>
  <c r="Y119" i="7"/>
  <c r="Y21" i="7"/>
  <c r="X119" i="7"/>
  <c r="X21" i="7"/>
  <c r="G43" i="1"/>
  <c r="AI39" i="7"/>
  <c r="Z119" i="7"/>
  <c r="Z21" i="7"/>
  <c r="G11" i="1"/>
  <c r="C39" i="7"/>
  <c r="AC84" i="7"/>
  <c r="AC92" i="7"/>
  <c r="AC93" i="7" s="1"/>
  <c r="AF92" i="7"/>
  <c r="AF93" i="7" s="1"/>
  <c r="AF84" i="7"/>
  <c r="I119" i="7"/>
  <c r="I21" i="7"/>
  <c r="AN128" i="7"/>
  <c r="AN132" i="7" s="1"/>
  <c r="AN160" i="7" s="1"/>
  <c r="AN161" i="7" s="1"/>
  <c r="AN164" i="7"/>
  <c r="AN171" i="7" s="1"/>
  <c r="AN199" i="7" s="1"/>
  <c r="AN200" i="7" s="1"/>
  <c r="AN104" i="7" s="1"/>
  <c r="AN43" i="7"/>
  <c r="AN52" i="7" s="1"/>
  <c r="AN78" i="7" s="1"/>
  <c r="AN83" i="7" s="1"/>
  <c r="AP164" i="7"/>
  <c r="AP171" i="7" s="1"/>
  <c r="AP199" i="7" s="1"/>
  <c r="AP200" i="7" s="1"/>
  <c r="AP104" i="7" s="1"/>
  <c r="AP43" i="7"/>
  <c r="AP52" i="7" s="1"/>
  <c r="AP78" i="7" s="1"/>
  <c r="AP83" i="7" s="1"/>
  <c r="AP128" i="7"/>
  <c r="AP132" i="7" s="1"/>
  <c r="AP160" i="7" s="1"/>
  <c r="AP161" i="7" s="1"/>
  <c r="G36" i="1"/>
  <c r="AB39" i="7"/>
  <c r="G38" i="1"/>
  <c r="AD39" i="7"/>
  <c r="E39" i="7"/>
  <c r="G13" i="1"/>
  <c r="AK39" i="7"/>
  <c r="G45" i="1"/>
  <c r="U39" i="7"/>
  <c r="G29" i="1"/>
  <c r="G44" i="1"/>
  <c r="AJ39" i="7"/>
  <c r="S119" i="7"/>
  <c r="S21" i="7"/>
  <c r="O119" i="7"/>
  <c r="O21" i="7"/>
  <c r="G18" i="1"/>
  <c r="J39" i="7"/>
  <c r="G41" i="1"/>
  <c r="AG39" i="7"/>
  <c r="W119" i="7"/>
  <c r="W21" i="7"/>
  <c r="P119" i="7"/>
  <c r="P21" i="7"/>
  <c r="AC168" i="7"/>
  <c r="R39" i="7"/>
  <c r="G26" i="1"/>
  <c r="G39" i="1"/>
  <c r="AE39" i="7"/>
  <c r="AH164" i="7"/>
  <c r="AH171" i="7" s="1"/>
  <c r="AH199" i="7" s="1"/>
  <c r="AH200" i="7" s="1"/>
  <c r="AH104" i="7" s="1"/>
  <c r="AH128" i="7"/>
  <c r="AH132" i="7" s="1"/>
  <c r="AH160" i="7" s="1"/>
  <c r="AH161" i="7" s="1"/>
  <c r="AH43" i="7"/>
  <c r="AH52" i="7" s="1"/>
  <c r="AH78" i="7" s="1"/>
  <c r="AH83" i="7" s="1"/>
  <c r="N39" i="7"/>
  <c r="G22" i="1"/>
  <c r="G28" i="1"/>
  <c r="T39" i="7"/>
  <c r="AL39" i="7"/>
  <c r="G46" i="1"/>
  <c r="G25" i="1" l="1"/>
  <c r="AA39" i="7"/>
  <c r="AA164" i="7" s="1"/>
  <c r="M39" i="7"/>
  <c r="M128" i="7" s="1"/>
  <c r="G15" i="1"/>
  <c r="F39" i="7"/>
  <c r="F558" i="7" s="1"/>
  <c r="D39" i="7"/>
  <c r="D558" i="7" s="1"/>
  <c r="AF168" i="7"/>
  <c r="AF106" i="7"/>
  <c r="H40" i="1" s="1"/>
  <c r="G19" i="1"/>
  <c r="K39" i="7"/>
  <c r="T43" i="7"/>
  <c r="T52" i="7" s="1"/>
  <c r="T78" i="7" s="1"/>
  <c r="T83" i="7" s="1"/>
  <c r="T164" i="7"/>
  <c r="T128" i="7"/>
  <c r="T132" i="7" s="1"/>
  <c r="T160" i="7" s="1"/>
  <c r="T161" i="7" s="1"/>
  <c r="AH84" i="7"/>
  <c r="AH92" i="7"/>
  <c r="AH93" i="7" s="1"/>
  <c r="R128" i="7"/>
  <c r="R132" i="7" s="1"/>
  <c r="R160" i="7" s="1"/>
  <c r="R161" i="7" s="1"/>
  <c r="R43" i="7"/>
  <c r="R52" i="7" s="1"/>
  <c r="R78" i="7" s="1"/>
  <c r="R83" i="7" s="1"/>
  <c r="R164" i="7"/>
  <c r="P39" i="7"/>
  <c r="G24" i="1"/>
  <c r="J540" i="7"/>
  <c r="J542" i="7" s="1"/>
  <c r="J43" i="7"/>
  <c r="J558" i="7"/>
  <c r="J164" i="7"/>
  <c r="J128" i="7"/>
  <c r="G23" i="1"/>
  <c r="O39" i="7"/>
  <c r="G27" i="1"/>
  <c r="S39" i="7"/>
  <c r="AJ43" i="7"/>
  <c r="AJ52" i="7" s="1"/>
  <c r="AJ78" i="7" s="1"/>
  <c r="AJ83" i="7" s="1"/>
  <c r="AJ128" i="7"/>
  <c r="AJ132" i="7" s="1"/>
  <c r="AJ160" i="7" s="1"/>
  <c r="AJ161" i="7" s="1"/>
  <c r="AJ164" i="7"/>
  <c r="AJ171" i="7" s="1"/>
  <c r="AJ199" i="7" s="1"/>
  <c r="AJ200" i="7" s="1"/>
  <c r="AJ104" i="7" s="1"/>
  <c r="AK128" i="7"/>
  <c r="AK132" i="7" s="1"/>
  <c r="AK160" i="7" s="1"/>
  <c r="AK161" i="7" s="1"/>
  <c r="AK43" i="7"/>
  <c r="AK52" i="7" s="1"/>
  <c r="AK78" i="7" s="1"/>
  <c r="AK83" i="7" s="1"/>
  <c r="AK164" i="7"/>
  <c r="AK171" i="7" s="1"/>
  <c r="AK199" i="7" s="1"/>
  <c r="AK200" i="7" s="1"/>
  <c r="AK104" i="7" s="1"/>
  <c r="E558" i="7"/>
  <c r="E128" i="7"/>
  <c r="E43" i="7"/>
  <c r="E164" i="7"/>
  <c r="E540" i="7"/>
  <c r="E542" i="7" s="1"/>
  <c r="AP84" i="7"/>
  <c r="AP92" i="7"/>
  <c r="AP93" i="7" s="1"/>
  <c r="G558" i="7"/>
  <c r="G43" i="7"/>
  <c r="G164" i="7"/>
  <c r="G128" i="7"/>
  <c r="G540" i="7"/>
  <c r="G542" i="7" s="1"/>
  <c r="AN84" i="7"/>
  <c r="AN92" i="7"/>
  <c r="AN93" i="7" s="1"/>
  <c r="AN168" i="7"/>
  <c r="AN103" i="7"/>
  <c r="AN105" i="7" s="1"/>
  <c r="B119" i="7" a="1"/>
  <c r="B119" i="7" s="1"/>
  <c r="C558" i="7"/>
  <c r="C43" i="7"/>
  <c r="C128" i="7"/>
  <c r="C164" i="7"/>
  <c r="C540" i="7"/>
  <c r="Z39" i="7"/>
  <c r="G34" i="1"/>
  <c r="AI43" i="7"/>
  <c r="AI52" i="7" s="1"/>
  <c r="AI78" i="7" s="1"/>
  <c r="AI83" i="7" s="1"/>
  <c r="AI164" i="7"/>
  <c r="AI171" i="7" s="1"/>
  <c r="AI199" i="7" s="1"/>
  <c r="AI200" i="7" s="1"/>
  <c r="AI104" i="7" s="1"/>
  <c r="AI128" i="7"/>
  <c r="AI132" i="7" s="1"/>
  <c r="AI160" i="7" s="1"/>
  <c r="AI161" i="7" s="1"/>
  <c r="G32" i="1"/>
  <c r="X39" i="7"/>
  <c r="Y39" i="7"/>
  <c r="G33" i="1"/>
  <c r="AM43" i="7"/>
  <c r="AM52" i="7" s="1"/>
  <c r="AM78" i="7" s="1"/>
  <c r="AM83" i="7" s="1"/>
  <c r="AM128" i="7"/>
  <c r="AM132" i="7" s="1"/>
  <c r="AM160" i="7" s="1"/>
  <c r="AM161" i="7" s="1"/>
  <c r="AM164" i="7"/>
  <c r="AM171" i="7" s="1"/>
  <c r="AM199" i="7" s="1"/>
  <c r="AM200" i="7" s="1"/>
  <c r="AM104" i="7" s="1"/>
  <c r="AO43" i="7"/>
  <c r="AO52" i="7" s="1"/>
  <c r="AO78" i="7" s="1"/>
  <c r="AO83" i="7" s="1"/>
  <c r="AO128" i="7"/>
  <c r="AO132" i="7" s="1"/>
  <c r="AO160" i="7" s="1"/>
  <c r="AO161" i="7" s="1"/>
  <c r="AO164" i="7"/>
  <c r="AO171" i="7" s="1"/>
  <c r="AO199" i="7" s="1"/>
  <c r="AO200" i="7" s="1"/>
  <c r="AO104" i="7" s="1"/>
  <c r="L540" i="7"/>
  <c r="L542" i="7" s="1"/>
  <c r="L128" i="7"/>
  <c r="L558" i="7"/>
  <c r="L164" i="7"/>
  <c r="L43" i="7"/>
  <c r="Q43" i="7"/>
  <c r="Q52" i="7" s="1"/>
  <c r="Q78" i="7" s="1"/>
  <c r="Q83" i="7" s="1"/>
  <c r="Q128" i="7"/>
  <c r="Q132" i="7" s="1"/>
  <c r="Q160" i="7" s="1"/>
  <c r="Q161" i="7" s="1"/>
  <c r="Q164" i="7"/>
  <c r="G30" i="1"/>
  <c r="V39" i="7"/>
  <c r="H559" i="7"/>
  <c r="H560" i="7" s="1"/>
  <c r="AL164" i="7"/>
  <c r="AL171" i="7" s="1"/>
  <c r="AL199" i="7" s="1"/>
  <c r="AL200" i="7" s="1"/>
  <c r="AL104" i="7" s="1"/>
  <c r="AL128" i="7"/>
  <c r="AL132" i="7" s="1"/>
  <c r="AL160" i="7" s="1"/>
  <c r="AL161" i="7" s="1"/>
  <c r="AL43" i="7"/>
  <c r="AL52" i="7" s="1"/>
  <c r="AL78" i="7" s="1"/>
  <c r="AL83" i="7" s="1"/>
  <c r="N558" i="7"/>
  <c r="N128" i="7"/>
  <c r="N164" i="7"/>
  <c r="N43" i="7"/>
  <c r="N540" i="7"/>
  <c r="N542" i="7" s="1"/>
  <c r="AH168" i="7"/>
  <c r="AH103" i="7"/>
  <c r="AH105" i="7" s="1"/>
  <c r="AE128" i="7"/>
  <c r="AE132" i="7" s="1"/>
  <c r="AE160" i="7" s="1"/>
  <c r="AE161" i="7" s="1"/>
  <c r="AE43" i="7"/>
  <c r="AE52" i="7" s="1"/>
  <c r="AE78" i="7" s="1"/>
  <c r="AE83" i="7" s="1"/>
  <c r="AE164" i="7"/>
  <c r="AE171" i="7" s="1"/>
  <c r="AE199" i="7" s="1"/>
  <c r="AE200" i="7" s="1"/>
  <c r="AE104" i="7" s="1"/>
  <c r="G31" i="1"/>
  <c r="W39" i="7"/>
  <c r="AG164" i="7"/>
  <c r="AG171" i="7" s="1"/>
  <c r="AG199" i="7" s="1"/>
  <c r="AG200" i="7" s="1"/>
  <c r="AG104" i="7" s="1"/>
  <c r="AG43" i="7"/>
  <c r="AG52" i="7" s="1"/>
  <c r="AG78" i="7" s="1"/>
  <c r="AG83" i="7" s="1"/>
  <c r="AG128" i="7"/>
  <c r="AG132" i="7" s="1"/>
  <c r="AG160" i="7" s="1"/>
  <c r="AG161" i="7" s="1"/>
  <c r="U128" i="7"/>
  <c r="U132" i="7" s="1"/>
  <c r="U160" i="7" s="1"/>
  <c r="U161" i="7" s="1"/>
  <c r="U43" i="7"/>
  <c r="U52" i="7" s="1"/>
  <c r="U78" i="7" s="1"/>
  <c r="U83" i="7" s="1"/>
  <c r="U164" i="7"/>
  <c r="AD43" i="7"/>
  <c r="AD52" i="7" s="1"/>
  <c r="AD78" i="7" s="1"/>
  <c r="AD83" i="7" s="1"/>
  <c r="AD164" i="7"/>
  <c r="AD171" i="7" s="1"/>
  <c r="AD199" i="7" s="1"/>
  <c r="AD200" i="7" s="1"/>
  <c r="AD104" i="7" s="1"/>
  <c r="AD128" i="7"/>
  <c r="AD132" i="7" s="1"/>
  <c r="AD160" i="7" s="1"/>
  <c r="AD161" i="7" s="1"/>
  <c r="AB128" i="7"/>
  <c r="AB132" i="7" s="1"/>
  <c r="AB160" i="7" s="1"/>
  <c r="AB161" i="7" s="1"/>
  <c r="AB43" i="7"/>
  <c r="AB52" i="7" s="1"/>
  <c r="AB78" i="7" s="1"/>
  <c r="AB83" i="7" s="1"/>
  <c r="AB164" i="7"/>
  <c r="AB171" i="7" s="1"/>
  <c r="AB199" i="7" s="1"/>
  <c r="AB200" i="7" s="1"/>
  <c r="AB104" i="7" s="1"/>
  <c r="AP168" i="7"/>
  <c r="AP103" i="7"/>
  <c r="AP105" i="7" s="1"/>
  <c r="I39" i="7"/>
  <c r="G17" i="1"/>
  <c r="AC106" i="7"/>
  <c r="AA128" i="7" l="1"/>
  <c r="AA132" i="7" s="1"/>
  <c r="AA160" i="7" s="1"/>
  <c r="AA161" i="7" s="1"/>
  <c r="AA103" i="7" s="1"/>
  <c r="AA43" i="7"/>
  <c r="AA52" i="7" s="1"/>
  <c r="AA78" i="7" s="1"/>
  <c r="AA83" i="7" s="1"/>
  <c r="AA92" i="7" s="1"/>
  <c r="AA93" i="7" s="1"/>
  <c r="M164" i="7"/>
  <c r="M43" i="7"/>
  <c r="D128" i="7"/>
  <c r="AF115" i="7"/>
  <c r="M540" i="7"/>
  <c r="M542" i="7" s="1"/>
  <c r="M543" i="7" s="1"/>
  <c r="M545" i="7" s="1"/>
  <c r="M558" i="7"/>
  <c r="D43" i="7"/>
  <c r="F540" i="7"/>
  <c r="F542" i="7" s="1"/>
  <c r="F555" i="7" s="1"/>
  <c r="F164" i="7"/>
  <c r="F128" i="7"/>
  <c r="F43" i="7"/>
  <c r="D540" i="7"/>
  <c r="D542" i="7" s="1"/>
  <c r="D555" i="7" s="1"/>
  <c r="D164" i="7"/>
  <c r="K164" i="7"/>
  <c r="K558" i="7"/>
  <c r="K128" i="7"/>
  <c r="K540" i="7"/>
  <c r="K542" i="7" s="1"/>
  <c r="K43" i="7"/>
  <c r="AB103" i="7"/>
  <c r="AB105" i="7" s="1"/>
  <c r="AB168" i="7"/>
  <c r="U103" i="7"/>
  <c r="U168" i="7"/>
  <c r="U171" i="7" s="1"/>
  <c r="U199" i="7" s="1"/>
  <c r="U200" i="7" s="1"/>
  <c r="U104" i="7" s="1"/>
  <c r="AG84" i="7"/>
  <c r="AG92" i="7"/>
  <c r="AG93" i="7" s="1"/>
  <c r="W164" i="7"/>
  <c r="W128" i="7"/>
  <c r="W132" i="7" s="1"/>
  <c r="W160" i="7" s="1"/>
  <c r="W161" i="7" s="1"/>
  <c r="W43" i="7"/>
  <c r="W52" i="7" s="1"/>
  <c r="W78" i="7" s="1"/>
  <c r="W83" i="7" s="1"/>
  <c r="AE103" i="7"/>
  <c r="AE105" i="7" s="1"/>
  <c r="AE168" i="7"/>
  <c r="AL84" i="7"/>
  <c r="AL92" i="7"/>
  <c r="AL93" i="7" s="1"/>
  <c r="Q168" i="7"/>
  <c r="Q171" i="7" s="1"/>
  <c r="Q199" i="7" s="1"/>
  <c r="Q200" i="7" s="1"/>
  <c r="Q104" i="7" s="1"/>
  <c r="Q103" i="7"/>
  <c r="L543" i="7"/>
  <c r="L545" i="7" s="1"/>
  <c r="L555" i="7"/>
  <c r="AO168" i="7"/>
  <c r="AO103" i="7"/>
  <c r="AO105" i="7" s="1"/>
  <c r="AM92" i="7"/>
  <c r="AM93" i="7" s="1"/>
  <c r="AM84" i="7"/>
  <c r="Y128" i="7"/>
  <c r="Y132" i="7" s="1"/>
  <c r="Y160" i="7" s="1"/>
  <c r="Y161" i="7" s="1"/>
  <c r="Y43" i="7"/>
  <c r="Y52" i="7" s="1"/>
  <c r="Y78" i="7" s="1"/>
  <c r="Y83" i="7" s="1"/>
  <c r="Y164" i="7"/>
  <c r="Z164" i="7"/>
  <c r="Z128" i="7"/>
  <c r="Z132" i="7" s="1"/>
  <c r="Z160" i="7" s="1"/>
  <c r="Z161" i="7" s="1"/>
  <c r="Z43" i="7"/>
  <c r="Z52" i="7" s="1"/>
  <c r="Z78" i="7" s="1"/>
  <c r="Z83" i="7" s="1"/>
  <c r="AN106" i="7"/>
  <c r="G543" i="7"/>
  <c r="G545" i="7" s="1"/>
  <c r="G555" i="7"/>
  <c r="AK168" i="7"/>
  <c r="AK103" i="7"/>
  <c r="AK105" i="7" s="1"/>
  <c r="AJ168" i="7"/>
  <c r="AJ103" i="7"/>
  <c r="AJ105" i="7" s="1"/>
  <c r="S128" i="7"/>
  <c r="S132" i="7" s="1"/>
  <c r="S160" i="7" s="1"/>
  <c r="S161" i="7" s="1"/>
  <c r="S164" i="7"/>
  <c r="S43" i="7"/>
  <c r="S52" i="7" s="1"/>
  <c r="S78" i="7" s="1"/>
  <c r="S83" i="7" s="1"/>
  <c r="O558" i="7"/>
  <c r="O128" i="7"/>
  <c r="O540" i="7"/>
  <c r="O542" i="7" s="1"/>
  <c r="O164" i="7"/>
  <c r="O43" i="7"/>
  <c r="R168" i="7"/>
  <c r="R171" i="7" s="1"/>
  <c r="R199" i="7" s="1"/>
  <c r="R200" i="7" s="1"/>
  <c r="R104" i="7" s="1"/>
  <c r="R103" i="7"/>
  <c r="AC115" i="7"/>
  <c r="H37" i="1"/>
  <c r="I43" i="7"/>
  <c r="I164" i="7"/>
  <c r="I558" i="7"/>
  <c r="I128" i="7"/>
  <c r="I540" i="7"/>
  <c r="I542" i="7" s="1"/>
  <c r="AB84" i="7"/>
  <c r="AB92" i="7"/>
  <c r="AB93" i="7" s="1"/>
  <c r="AD168" i="7"/>
  <c r="AD103" i="7"/>
  <c r="AD105" i="7" s="1"/>
  <c r="AD84" i="7"/>
  <c r="AD92" i="7"/>
  <c r="AD93" i="7" s="1"/>
  <c r="AD106" i="7" s="1"/>
  <c r="U84" i="7"/>
  <c r="U92" i="7"/>
  <c r="U93" i="7" s="1"/>
  <c r="AG168" i="7"/>
  <c r="AG103" i="7"/>
  <c r="AG105" i="7" s="1"/>
  <c r="AE84" i="7"/>
  <c r="AE92" i="7"/>
  <c r="AE93" i="7" s="1"/>
  <c r="N543" i="7"/>
  <c r="N545" i="7" s="1"/>
  <c r="N555" i="7"/>
  <c r="AL103" i="7"/>
  <c r="AL105" i="7" s="1"/>
  <c r="AL168" i="7"/>
  <c r="V43" i="7"/>
  <c r="V52" i="7" s="1"/>
  <c r="V78" i="7" s="1"/>
  <c r="V83" i="7" s="1"/>
  <c r="V164" i="7"/>
  <c r="V128" i="7"/>
  <c r="V132" i="7" s="1"/>
  <c r="V160" i="7" s="1"/>
  <c r="V161" i="7" s="1"/>
  <c r="Q84" i="7"/>
  <c r="Q92" i="7"/>
  <c r="Q93" i="7" s="1"/>
  <c r="AO84" i="7"/>
  <c r="AO92" i="7"/>
  <c r="AO93" i="7" s="1"/>
  <c r="AM103" i="7"/>
  <c r="AM105" i="7" s="1"/>
  <c r="AM168" i="7"/>
  <c r="X128" i="7"/>
  <c r="X132" i="7" s="1"/>
  <c r="X160" i="7" s="1"/>
  <c r="X161" i="7" s="1"/>
  <c r="X43" i="7"/>
  <c r="X52" i="7" s="1"/>
  <c r="X78" i="7" s="1"/>
  <c r="X83" i="7" s="1"/>
  <c r="X164" i="7"/>
  <c r="AI168" i="7"/>
  <c r="AI103" i="7"/>
  <c r="AI105" i="7" s="1"/>
  <c r="AI92" i="7"/>
  <c r="AI93" i="7" s="1"/>
  <c r="AI84" i="7"/>
  <c r="C542" i="7"/>
  <c r="AP106" i="7"/>
  <c r="E543" i="7"/>
  <c r="E545" i="7" s="1"/>
  <c r="E555" i="7"/>
  <c r="AK84" i="7"/>
  <c r="AK92" i="7"/>
  <c r="AK93" i="7" s="1"/>
  <c r="AJ84" i="7"/>
  <c r="AJ92" i="7"/>
  <c r="AJ93" i="7" s="1"/>
  <c r="J543" i="7"/>
  <c r="J545" i="7" s="1"/>
  <c r="J555" i="7"/>
  <c r="P43" i="7"/>
  <c r="P52" i="7" s="1"/>
  <c r="P78" i="7" s="1"/>
  <c r="P83" i="7" s="1"/>
  <c r="P164" i="7"/>
  <c r="P128" i="7"/>
  <c r="P132" i="7" s="1"/>
  <c r="P160" i="7" s="1"/>
  <c r="P161" i="7" s="1"/>
  <c r="R84" i="7"/>
  <c r="R92" i="7"/>
  <c r="R93" i="7" s="1"/>
  <c r="AH106" i="7"/>
  <c r="T168" i="7"/>
  <c r="T171" i="7" s="1"/>
  <c r="T199" i="7" s="1"/>
  <c r="T200" i="7" s="1"/>
  <c r="T104" i="7" s="1"/>
  <c r="T103" i="7"/>
  <c r="T92" i="7"/>
  <c r="T93" i="7" s="1"/>
  <c r="T84" i="7"/>
  <c r="AA168" i="7" l="1"/>
  <c r="AA171" i="7" s="1"/>
  <c r="AA199" i="7" s="1"/>
  <c r="AA200" i="7" s="1"/>
  <c r="AA104" i="7" s="1"/>
  <c r="AA105" i="7" s="1"/>
  <c r="AA106" i="7" s="1"/>
  <c r="M555" i="7"/>
  <c r="M559" i="7" s="1"/>
  <c r="M560" i="7" s="1"/>
  <c r="AA84" i="7"/>
  <c r="F543" i="7"/>
  <c r="F545" i="7" s="1"/>
  <c r="D543" i="7"/>
  <c r="D545" i="7" s="1"/>
  <c r="AB106" i="7"/>
  <c r="H36" i="1" s="1"/>
  <c r="AE106" i="7"/>
  <c r="H39" i="1" s="1"/>
  <c r="B558" i="7"/>
  <c r="K543" i="7"/>
  <c r="K545" i="7" s="1"/>
  <c r="K555" i="7"/>
  <c r="K559" i="7" s="1"/>
  <c r="K560" i="7" s="1"/>
  <c r="B540" i="7"/>
  <c r="AI106" i="7"/>
  <c r="H43" i="1" s="1"/>
  <c r="AO106" i="7"/>
  <c r="H49" i="1" s="1"/>
  <c r="AM106" i="7"/>
  <c r="H47" i="1" s="1"/>
  <c r="P168" i="7"/>
  <c r="P171" i="7" s="1"/>
  <c r="P199" i="7" s="1"/>
  <c r="P200" i="7" s="1"/>
  <c r="P104" i="7" s="1"/>
  <c r="P103" i="7"/>
  <c r="P84" i="7"/>
  <c r="P92" i="7"/>
  <c r="P93" i="7" s="1"/>
  <c r="X84" i="7"/>
  <c r="X92" i="7"/>
  <c r="X93" i="7" s="1"/>
  <c r="AO115" i="7"/>
  <c r="N559" i="7"/>
  <c r="N560" i="7" s="1"/>
  <c r="AE115" i="7"/>
  <c r="F559" i="7"/>
  <c r="F560" i="7" s="1"/>
  <c r="H38" i="1"/>
  <c r="AD115" i="7"/>
  <c r="I543" i="7"/>
  <c r="I545" i="7" s="1"/>
  <c r="I555" i="7"/>
  <c r="O543" i="7"/>
  <c r="O545" i="7" s="1"/>
  <c r="O555" i="7"/>
  <c r="G559" i="7"/>
  <c r="G560" i="7" s="1"/>
  <c r="H48" i="1"/>
  <c r="AN115" i="7"/>
  <c r="Z168" i="7"/>
  <c r="Z171" i="7" s="1"/>
  <c r="Z199" i="7" s="1"/>
  <c r="Z200" i="7" s="1"/>
  <c r="Z104" i="7" s="1"/>
  <c r="Z103" i="7"/>
  <c r="Y168" i="7"/>
  <c r="Y171" i="7" s="1"/>
  <c r="Y199" i="7" s="1"/>
  <c r="Y200" i="7" s="1"/>
  <c r="Y104" i="7" s="1"/>
  <c r="Y103" i="7"/>
  <c r="W168" i="7"/>
  <c r="W171" i="7" s="1"/>
  <c r="W199" i="7" s="1"/>
  <c r="W200" i="7" s="1"/>
  <c r="W104" i="7" s="1"/>
  <c r="W103" i="7"/>
  <c r="U105" i="7"/>
  <c r="U106" i="7" s="1"/>
  <c r="T105" i="7"/>
  <c r="T106" i="7" s="1"/>
  <c r="H42" i="1"/>
  <c r="AH115" i="7"/>
  <c r="J559" i="7"/>
  <c r="J560" i="7" s="1"/>
  <c r="AJ106" i="7"/>
  <c r="AK106" i="7"/>
  <c r="E559" i="7"/>
  <c r="E560" i="7" s="1"/>
  <c r="AP115" i="7"/>
  <c r="H50" i="1"/>
  <c r="B542" i="7"/>
  <c r="C543" i="7"/>
  <c r="C555" i="7"/>
  <c r="X103" i="7"/>
  <c r="X168" i="7"/>
  <c r="X171" i="7" s="1"/>
  <c r="X199" i="7" s="1"/>
  <c r="X200" i="7" s="1"/>
  <c r="X104" i="7" s="1"/>
  <c r="V168" i="7"/>
  <c r="V171" i="7" s="1"/>
  <c r="V199" i="7" s="1"/>
  <c r="V200" i="7" s="1"/>
  <c r="V104" i="7" s="1"/>
  <c r="V103" i="7"/>
  <c r="V84" i="7"/>
  <c r="V92" i="7"/>
  <c r="V93" i="7" s="1"/>
  <c r="AD116" i="7"/>
  <c r="R105" i="7"/>
  <c r="R106" i="7" s="1"/>
  <c r="S84" i="7"/>
  <c r="S92" i="7"/>
  <c r="S93" i="7" s="1"/>
  <c r="S103" i="7"/>
  <c r="S168" i="7"/>
  <c r="S171" i="7" s="1"/>
  <c r="S199" i="7" s="1"/>
  <c r="S200" i="7" s="1"/>
  <c r="S104" i="7" s="1"/>
  <c r="Z84" i="7"/>
  <c r="Z92" i="7"/>
  <c r="Z93" i="7" s="1"/>
  <c r="D559" i="7"/>
  <c r="D560" i="7" s="1"/>
  <c r="Y92" i="7"/>
  <c r="Y93" i="7" s="1"/>
  <c r="Y84" i="7"/>
  <c r="L559" i="7"/>
  <c r="L560" i="7" s="1"/>
  <c r="Q105" i="7"/>
  <c r="Q106" i="7" s="1"/>
  <c r="AL106" i="7"/>
  <c r="W84" i="7"/>
  <c r="W92" i="7"/>
  <c r="W93" i="7" s="1"/>
  <c r="AG106" i="7"/>
  <c r="AC116" i="7" l="1"/>
  <c r="AB115" i="7"/>
  <c r="AN116" i="7"/>
  <c r="AE116" i="7"/>
  <c r="AF116" i="7"/>
  <c r="AO116" i="7"/>
  <c r="AI116" i="7"/>
  <c r="AI115" i="7"/>
  <c r="AP116" i="7"/>
  <c r="AM115" i="7"/>
  <c r="W105" i="7"/>
  <c r="W106" i="7" s="1"/>
  <c r="P105" i="7"/>
  <c r="P106" i="7" s="1"/>
  <c r="H28" i="1"/>
  <c r="U116" i="7"/>
  <c r="T115" i="7"/>
  <c r="H35" i="1"/>
  <c r="AA115" i="7"/>
  <c r="AB116" i="7"/>
  <c r="U115" i="7"/>
  <c r="H29" i="1"/>
  <c r="AH116" i="7"/>
  <c r="AG115" i="7"/>
  <c r="H41" i="1"/>
  <c r="AG116" i="7"/>
  <c r="H46" i="1"/>
  <c r="AM116" i="7"/>
  <c r="AL115" i="7"/>
  <c r="S105" i="7"/>
  <c r="S106" i="7" s="1"/>
  <c r="X105" i="7"/>
  <c r="X106" i="7" s="1"/>
  <c r="B555" i="7"/>
  <c r="C559" i="7"/>
  <c r="AK116" i="7"/>
  <c r="AJ115" i="7"/>
  <c r="H44" i="1"/>
  <c r="Z105" i="7"/>
  <c r="Z106" i="7" s="1"/>
  <c r="I559" i="7"/>
  <c r="I560" i="7" s="1"/>
  <c r="R116" i="7"/>
  <c r="H25" i="1"/>
  <c r="Q115" i="7"/>
  <c r="AJ116" i="7"/>
  <c r="H26" i="1"/>
  <c r="R115" i="7"/>
  <c r="V105" i="7"/>
  <c r="V106" i="7" s="1"/>
  <c r="B543" i="7"/>
  <c r="C545" i="7"/>
  <c r="B545" i="7" s="1"/>
  <c r="B549" i="7" s="1"/>
  <c r="H45" i="1"/>
  <c r="AL116" i="7"/>
  <c r="AK115" i="7"/>
  <c r="Y105" i="7"/>
  <c r="Y106" i="7" s="1"/>
  <c r="O559" i="7"/>
  <c r="O560" i="7" s="1"/>
  <c r="Q116" i="7" l="1"/>
  <c r="P115" i="7"/>
  <c r="H24" i="1"/>
  <c r="W115" i="7"/>
  <c r="H31" i="1"/>
  <c r="H33" i="1"/>
  <c r="Z116" i="7"/>
  <c r="Y115" i="7"/>
  <c r="W116" i="7"/>
  <c r="V115" i="7"/>
  <c r="H30" i="1"/>
  <c r="V116" i="7"/>
  <c r="AA116" i="7"/>
  <c r="Z115" i="7"/>
  <c r="H34" i="1"/>
  <c r="B528" i="7"/>
  <c r="B551" i="7"/>
  <c r="S115" i="7"/>
  <c r="T116" i="7"/>
  <c r="H27" i="1"/>
  <c r="S116" i="7"/>
  <c r="Y116" i="7"/>
  <c r="X115" i="7"/>
  <c r="H32" i="1"/>
  <c r="X116" i="7"/>
  <c r="B559" i="7"/>
  <c r="B561" i="7" s="1"/>
  <c r="C560" i="7"/>
  <c r="B562" i="7" s="1"/>
  <c r="C554" i="7" l="1"/>
  <c r="C548" i="7"/>
  <c r="I6" i="1"/>
  <c r="B530" i="7"/>
  <c r="C527" i="7" s="1"/>
  <c r="C533" i="7" l="1"/>
  <c r="C553" i="7"/>
  <c r="C550" i="7" l="1"/>
  <c r="C551" i="7" s="1"/>
  <c r="C532" i="7"/>
  <c r="C51" i="7"/>
  <c r="C130" i="7"/>
  <c r="C166" i="7"/>
  <c r="C529" i="7" l="1"/>
  <c r="C530" i="7" s="1"/>
  <c r="D527" i="7" s="1"/>
  <c r="C76" i="7"/>
  <c r="C77" i="7" s="1"/>
  <c r="C534" i="7"/>
  <c r="D548" i="7"/>
  <c r="D554" i="7"/>
  <c r="D533" i="7" l="1"/>
  <c r="D553" i="7"/>
  <c r="B569" i="7"/>
  <c r="D550" i="7" l="1"/>
  <c r="D551" i="7" s="1"/>
  <c r="D532" i="7"/>
  <c r="C566" i="7"/>
  <c r="B674" i="7"/>
  <c r="C675" i="7" s="1"/>
  <c r="B567" i="7"/>
  <c r="B57" i="7" s="1"/>
  <c r="B62" i="7" s="1"/>
  <c r="B68" i="7" s="1"/>
  <c r="B78" i="7" s="1"/>
  <c r="B83" i="7" s="1"/>
  <c r="D130" i="7"/>
  <c r="D51" i="7"/>
  <c r="D166" i="7"/>
  <c r="B84" i="7" l="1"/>
  <c r="B92" i="7"/>
  <c r="B93" i="7" s="1"/>
  <c r="B106" i="7" s="1"/>
  <c r="D76" i="7"/>
  <c r="D77" i="7" s="1"/>
  <c r="D529" i="7"/>
  <c r="D530" i="7" s="1"/>
  <c r="E527" i="7" s="1"/>
  <c r="D534" i="7"/>
  <c r="C50" i="7"/>
  <c r="C52" i="7" s="1"/>
  <c r="C129" i="7"/>
  <c r="C132" i="7" s="1"/>
  <c r="C160" i="7" s="1"/>
  <c r="C161" i="7" s="1"/>
  <c r="C165" i="7"/>
  <c r="E548" i="7"/>
  <c r="E554" i="7"/>
  <c r="C168" i="7" l="1"/>
  <c r="C171" i="7" s="1"/>
  <c r="C199" i="7" s="1"/>
  <c r="C200" i="7" s="1"/>
  <c r="C104" i="7" s="1"/>
  <c r="C103" i="7"/>
  <c r="H10" i="1"/>
  <c r="B110" i="7"/>
  <c r="J10" i="1" s="1"/>
  <c r="B108" i="7"/>
  <c r="E533" i="7"/>
  <c r="E553" i="7"/>
  <c r="C569" i="7"/>
  <c r="B87" i="7"/>
  <c r="B86" i="7"/>
  <c r="D566" i="7" l="1"/>
  <c r="C674" i="7"/>
  <c r="D675" i="7" s="1"/>
  <c r="C567" i="7"/>
  <c r="C57" i="7" s="1"/>
  <c r="C62" i="7" s="1"/>
  <c r="C68" i="7" s="1"/>
  <c r="C78" i="7" s="1"/>
  <c r="C83" i="7" s="1"/>
  <c r="E550" i="7"/>
  <c r="E551" i="7" s="1"/>
  <c r="E532" i="7"/>
  <c r="I10" i="1"/>
  <c r="B109" i="7"/>
  <c r="E130" i="7"/>
  <c r="E166" i="7"/>
  <c r="E51" i="7"/>
  <c r="C105" i="7"/>
  <c r="F548" i="7" l="1"/>
  <c r="F554" i="7"/>
  <c r="D165" i="7"/>
  <c r="D129" i="7"/>
  <c r="D132" i="7" s="1"/>
  <c r="D160" i="7" s="1"/>
  <c r="D161" i="7" s="1"/>
  <c r="D50" i="7"/>
  <c r="D52" i="7" s="1"/>
  <c r="E529" i="7"/>
  <c r="E530" i="7" s="1"/>
  <c r="F527" i="7" s="1"/>
  <c r="E534" i="7"/>
  <c r="E76" i="7"/>
  <c r="E77" i="7" s="1"/>
  <c r="C84" i="7"/>
  <c r="C92" i="7"/>
  <c r="C93" i="7" s="1"/>
  <c r="C106" i="7" s="1"/>
  <c r="C115" i="7" l="1"/>
  <c r="H11" i="1"/>
  <c r="C110" i="7"/>
  <c r="J11" i="1" s="1"/>
  <c r="C116" i="7"/>
  <c r="C108" i="7"/>
  <c r="D569" i="7"/>
  <c r="C87" i="7"/>
  <c r="C86" i="7"/>
  <c r="D168" i="7"/>
  <c r="D171" i="7" s="1"/>
  <c r="D199" i="7" s="1"/>
  <c r="D200" i="7" s="1"/>
  <c r="D104" i="7" s="1"/>
  <c r="D103" i="7"/>
  <c r="F533" i="7"/>
  <c r="F553" i="7"/>
  <c r="D105" i="7" l="1"/>
  <c r="F550" i="7"/>
  <c r="F551" i="7" s="1"/>
  <c r="F532" i="7"/>
  <c r="F130" i="7"/>
  <c r="F51" i="7"/>
  <c r="F166" i="7"/>
  <c r="E566" i="7"/>
  <c r="D674" i="7"/>
  <c r="E675" i="7" s="1"/>
  <c r="D567" i="7"/>
  <c r="D57" i="7" s="1"/>
  <c r="D62" i="7" s="1"/>
  <c r="D68" i="7" s="1"/>
  <c r="D78" i="7" s="1"/>
  <c r="D83" i="7" s="1"/>
  <c r="I11" i="1"/>
  <c r="C7" i="8"/>
  <c r="C109" i="7"/>
  <c r="C112" i="7" l="1"/>
  <c r="D84" i="7"/>
  <c r="D92" i="7"/>
  <c r="D93" i="7" s="1"/>
  <c r="D106" i="7" s="1"/>
  <c r="F76" i="7"/>
  <c r="F77" i="7" s="1"/>
  <c r="F534" i="7"/>
  <c r="F529" i="7"/>
  <c r="F530" i="7" s="1"/>
  <c r="G527" i="7" s="1"/>
  <c r="E165" i="7"/>
  <c r="E129" i="7"/>
  <c r="E132" i="7" s="1"/>
  <c r="E160" i="7" s="1"/>
  <c r="E161" i="7" s="1"/>
  <c r="E50" i="7"/>
  <c r="E52" i="7" s="1"/>
  <c r="G554" i="7"/>
  <c r="G548" i="7"/>
  <c r="G533" i="7" l="1"/>
  <c r="G553" i="7"/>
  <c r="E168" i="7"/>
  <c r="E171" i="7" s="1"/>
  <c r="E199" i="7" s="1"/>
  <c r="E200" i="7" s="1"/>
  <c r="E104" i="7" s="1"/>
  <c r="E103" i="7"/>
  <c r="E569" i="7"/>
  <c r="D115" i="7"/>
  <c r="H12" i="1"/>
  <c r="D108" i="7"/>
  <c r="D116" i="7"/>
  <c r="D110" i="7"/>
  <c r="J12" i="1" s="1"/>
  <c r="D87" i="7"/>
  <c r="D86" i="7"/>
  <c r="E674" i="7" l="1"/>
  <c r="F675" i="7" s="1"/>
  <c r="F566" i="7"/>
  <c r="E567" i="7"/>
  <c r="E57" i="7" s="1"/>
  <c r="E62" i="7" s="1"/>
  <c r="E68" i="7" s="1"/>
  <c r="E78" i="7" s="1"/>
  <c r="E83" i="7" s="1"/>
  <c r="G550" i="7"/>
  <c r="G551" i="7" s="1"/>
  <c r="G532" i="7"/>
  <c r="C8" i="8"/>
  <c r="I12" i="1"/>
  <c r="D109" i="7"/>
  <c r="E105" i="7"/>
  <c r="G51" i="7"/>
  <c r="G130" i="7"/>
  <c r="G166" i="7"/>
  <c r="G529" i="7" l="1"/>
  <c r="G530" i="7" s="1"/>
  <c r="H527" i="7" s="1"/>
  <c r="G76" i="7"/>
  <c r="G77" i="7" s="1"/>
  <c r="G534" i="7"/>
  <c r="E84" i="7"/>
  <c r="E92" i="7"/>
  <c r="E93" i="7" s="1"/>
  <c r="E106" i="7" s="1"/>
  <c r="F50" i="7"/>
  <c r="F52" i="7" s="1"/>
  <c r="F165" i="7"/>
  <c r="F129" i="7"/>
  <c r="F132" i="7" s="1"/>
  <c r="F160" i="7" s="1"/>
  <c r="F161" i="7" s="1"/>
  <c r="D112" i="7"/>
  <c r="H554" i="7"/>
  <c r="H548" i="7"/>
  <c r="H533" i="7" l="1"/>
  <c r="H553" i="7"/>
  <c r="H13" i="1"/>
  <c r="E115" i="7"/>
  <c r="E116" i="7"/>
  <c r="E110" i="7"/>
  <c r="J13" i="1" s="1"/>
  <c r="E108" i="7"/>
  <c r="F168" i="7"/>
  <c r="F171" i="7" s="1"/>
  <c r="F199" i="7" s="1"/>
  <c r="F200" i="7" s="1"/>
  <c r="F104" i="7" s="1"/>
  <c r="F103" i="7"/>
  <c r="E87" i="7"/>
  <c r="E86" i="7"/>
  <c r="F569" i="7"/>
  <c r="C9" i="8" l="1"/>
  <c r="I13" i="1"/>
  <c r="E109" i="7"/>
  <c r="H532" i="7"/>
  <c r="H550" i="7"/>
  <c r="H551" i="7" s="1"/>
  <c r="G566" i="7"/>
  <c r="F674" i="7"/>
  <c r="G675" i="7" s="1"/>
  <c r="F567" i="7"/>
  <c r="F57" i="7" s="1"/>
  <c r="F62" i="7" s="1"/>
  <c r="F68" i="7" s="1"/>
  <c r="F78" i="7" s="1"/>
  <c r="F83" i="7" s="1"/>
  <c r="F105" i="7"/>
  <c r="H166" i="7"/>
  <c r="H51" i="7"/>
  <c r="H130" i="7"/>
  <c r="G165" i="7" l="1"/>
  <c r="G50" i="7"/>
  <c r="G52" i="7" s="1"/>
  <c r="G129" i="7"/>
  <c r="G132" i="7" s="1"/>
  <c r="G160" i="7" s="1"/>
  <c r="G161" i="7" s="1"/>
  <c r="I554" i="7"/>
  <c r="I548" i="7"/>
  <c r="F84" i="7"/>
  <c r="F92" i="7"/>
  <c r="F93" i="7" s="1"/>
  <c r="F106" i="7" s="1"/>
  <c r="H76" i="7"/>
  <c r="H77" i="7" s="1"/>
  <c r="H529" i="7"/>
  <c r="H530" i="7" s="1"/>
  <c r="I527" i="7" s="1"/>
  <c r="H534" i="7"/>
  <c r="G569" i="7" s="1"/>
  <c r="E112" i="7"/>
  <c r="G674" i="7" l="1"/>
  <c r="H675" i="7" s="1"/>
  <c r="H566" i="7"/>
  <c r="G567" i="7"/>
  <c r="G57" i="7" s="1"/>
  <c r="G62" i="7" s="1"/>
  <c r="G68" i="7" s="1"/>
  <c r="G78" i="7" s="1"/>
  <c r="G83" i="7" s="1"/>
  <c r="F87" i="7"/>
  <c r="F86" i="7"/>
  <c r="I533" i="7"/>
  <c r="I553" i="7"/>
  <c r="H14" i="1"/>
  <c r="F115" i="7"/>
  <c r="F116" i="7"/>
  <c r="F110" i="7"/>
  <c r="J14" i="1" s="1"/>
  <c r="F108" i="7"/>
  <c r="G168" i="7"/>
  <c r="G171" i="7" s="1"/>
  <c r="G199" i="7" s="1"/>
  <c r="G200" i="7" s="1"/>
  <c r="G104" i="7" s="1"/>
  <c r="G103" i="7"/>
  <c r="G84" i="7" l="1"/>
  <c r="G92" i="7"/>
  <c r="G93" i="7" s="1"/>
  <c r="C10" i="8"/>
  <c r="I14" i="1"/>
  <c r="F109" i="7"/>
  <c r="I550" i="7"/>
  <c r="I551" i="7" s="1"/>
  <c r="I532" i="7"/>
  <c r="H129" i="7"/>
  <c r="H132" i="7" s="1"/>
  <c r="H160" i="7" s="1"/>
  <c r="H161" i="7" s="1"/>
  <c r="H165" i="7"/>
  <c r="H50" i="7"/>
  <c r="H52" i="7" s="1"/>
  <c r="G105" i="7"/>
  <c r="I166" i="7"/>
  <c r="I130" i="7"/>
  <c r="I51" i="7"/>
  <c r="I529" i="7" l="1"/>
  <c r="I530" i="7" s="1"/>
  <c r="J527" i="7" s="1"/>
  <c r="I76" i="7"/>
  <c r="I77" i="7" s="1"/>
  <c r="I534" i="7"/>
  <c r="H569" i="7" s="1"/>
  <c r="F112" i="7"/>
  <c r="G106" i="7"/>
  <c r="H168" i="7"/>
  <c r="H171" i="7" s="1"/>
  <c r="H199" i="7" s="1"/>
  <c r="H200" i="7" s="1"/>
  <c r="H104" i="7" s="1"/>
  <c r="H103" i="7"/>
  <c r="J548" i="7"/>
  <c r="J554" i="7"/>
  <c r="G86" i="7"/>
  <c r="G87" i="7"/>
  <c r="J533" i="7" l="1"/>
  <c r="J553" i="7"/>
  <c r="H105" i="7"/>
  <c r="I566" i="7"/>
  <c r="H674" i="7"/>
  <c r="I675" i="7" s="1"/>
  <c r="H567" i="7"/>
  <c r="H57" i="7" s="1"/>
  <c r="H62" i="7" s="1"/>
  <c r="H68" i="7" s="1"/>
  <c r="H78" i="7" s="1"/>
  <c r="H83" i="7" s="1"/>
  <c r="G115" i="7"/>
  <c r="H15" i="1"/>
  <c r="G116" i="7"/>
  <c r="G110" i="7"/>
  <c r="J15" i="1" s="1"/>
  <c r="G108" i="7"/>
  <c r="H84" i="7" l="1"/>
  <c r="H92" i="7"/>
  <c r="H93" i="7" s="1"/>
  <c r="H106" i="7" s="1"/>
  <c r="J532" i="7"/>
  <c r="J550" i="7"/>
  <c r="J551" i="7" s="1"/>
  <c r="C11" i="8"/>
  <c r="I15" i="1"/>
  <c r="G109" i="7"/>
  <c r="I50" i="7"/>
  <c r="I52" i="7" s="1"/>
  <c r="I165" i="7"/>
  <c r="I129" i="7"/>
  <c r="I132" i="7" s="1"/>
  <c r="I160" i="7" s="1"/>
  <c r="I161" i="7" s="1"/>
  <c r="J130" i="7"/>
  <c r="J166" i="7"/>
  <c r="J51" i="7"/>
  <c r="K554" i="7" l="1"/>
  <c r="K548" i="7"/>
  <c r="H115" i="7"/>
  <c r="H16" i="1"/>
  <c r="H108" i="7"/>
  <c r="H116" i="7"/>
  <c r="H110" i="7"/>
  <c r="J16" i="1" s="1"/>
  <c r="I168" i="7"/>
  <c r="I171" i="7" s="1"/>
  <c r="I199" i="7" s="1"/>
  <c r="I200" i="7" s="1"/>
  <c r="I104" i="7" s="1"/>
  <c r="I103" i="7"/>
  <c r="G112" i="7"/>
  <c r="J529" i="7"/>
  <c r="J530" i="7" s="1"/>
  <c r="K527" i="7" s="1"/>
  <c r="J76" i="7"/>
  <c r="J77" i="7" s="1"/>
  <c r="J534" i="7"/>
  <c r="I569" i="7" s="1"/>
  <c r="H86" i="7"/>
  <c r="H87" i="7"/>
  <c r="K533" i="7" l="1"/>
  <c r="K553" i="7"/>
  <c r="J566" i="7"/>
  <c r="I567" i="7"/>
  <c r="I57" i="7" s="1"/>
  <c r="I62" i="7" s="1"/>
  <c r="I68" i="7" s="1"/>
  <c r="I78" i="7" s="1"/>
  <c r="I83" i="7" s="1"/>
  <c r="I674" i="7"/>
  <c r="J675" i="7" s="1"/>
  <c r="I105" i="7"/>
  <c r="I16" i="1"/>
  <c r="C12" i="8"/>
  <c r="H109" i="7"/>
  <c r="H112" i="7" l="1"/>
  <c r="I84" i="7"/>
  <c r="I92" i="7"/>
  <c r="I93" i="7" s="1"/>
  <c r="I106" i="7" s="1"/>
  <c r="K550" i="7"/>
  <c r="K551" i="7" s="1"/>
  <c r="K532" i="7"/>
  <c r="J50" i="7"/>
  <c r="J52" i="7" s="1"/>
  <c r="J165" i="7"/>
  <c r="J129" i="7"/>
  <c r="J132" i="7" s="1"/>
  <c r="J160" i="7" s="1"/>
  <c r="J161" i="7" s="1"/>
  <c r="K130" i="7"/>
  <c r="K51" i="7"/>
  <c r="K166" i="7"/>
  <c r="K529" i="7" l="1"/>
  <c r="K530" i="7" s="1"/>
  <c r="L527" i="7" s="1"/>
  <c r="K76" i="7"/>
  <c r="K77" i="7" s="1"/>
  <c r="K534" i="7"/>
  <c r="J569" i="7" s="1"/>
  <c r="I115" i="7"/>
  <c r="H17" i="1"/>
  <c r="I108" i="7"/>
  <c r="I110" i="7"/>
  <c r="J17" i="1" s="1"/>
  <c r="I116" i="7"/>
  <c r="J168" i="7"/>
  <c r="J171" i="7" s="1"/>
  <c r="J199" i="7" s="1"/>
  <c r="J200" i="7" s="1"/>
  <c r="J104" i="7" s="1"/>
  <c r="J103" i="7"/>
  <c r="L554" i="7"/>
  <c r="L548" i="7"/>
  <c r="I86" i="7"/>
  <c r="I87" i="7"/>
  <c r="L533" i="7" l="1"/>
  <c r="L553" i="7"/>
  <c r="J105" i="7"/>
  <c r="C13" i="8"/>
  <c r="I17" i="1"/>
  <c r="I109" i="7"/>
  <c r="K566" i="7"/>
  <c r="J567" i="7"/>
  <c r="J57" i="7" s="1"/>
  <c r="J62" i="7" s="1"/>
  <c r="J68" i="7" s="1"/>
  <c r="J78" i="7" s="1"/>
  <c r="J83" i="7" s="1"/>
  <c r="J674" i="7"/>
  <c r="K675" i="7" s="1"/>
  <c r="J84" i="7" l="1"/>
  <c r="J92" i="7"/>
  <c r="J93" i="7" s="1"/>
  <c r="J106" i="7" s="1"/>
  <c r="I112" i="7"/>
  <c r="L532" i="7"/>
  <c r="L550" i="7"/>
  <c r="L551" i="7" s="1"/>
  <c r="K50" i="7"/>
  <c r="K52" i="7" s="1"/>
  <c r="K165" i="7"/>
  <c r="K129" i="7"/>
  <c r="K132" i="7" s="1"/>
  <c r="K160" i="7" s="1"/>
  <c r="K161" i="7" s="1"/>
  <c r="L130" i="7"/>
  <c r="L51" i="7"/>
  <c r="L166" i="7"/>
  <c r="M554" i="7" l="1"/>
  <c r="M548" i="7"/>
  <c r="H18" i="1"/>
  <c r="J115" i="7"/>
  <c r="J108" i="7"/>
  <c r="J110" i="7"/>
  <c r="J18" i="1" s="1"/>
  <c r="J116" i="7"/>
  <c r="K103" i="7"/>
  <c r="K168" i="7"/>
  <c r="K171" i="7" s="1"/>
  <c r="K199" i="7" s="1"/>
  <c r="K200" i="7" s="1"/>
  <c r="K104" i="7" s="1"/>
  <c r="L76" i="7"/>
  <c r="L77" i="7" s="1"/>
  <c r="L529" i="7"/>
  <c r="L530" i="7" s="1"/>
  <c r="M527" i="7" s="1"/>
  <c r="L534" i="7"/>
  <c r="K569" i="7" s="1"/>
  <c r="J86" i="7"/>
  <c r="J87" i="7"/>
  <c r="K105" i="7" l="1"/>
  <c r="M533" i="7"/>
  <c r="M553" i="7"/>
  <c r="L566" i="7"/>
  <c r="K674" i="7"/>
  <c r="L675" i="7" s="1"/>
  <c r="K567" i="7"/>
  <c r="K57" i="7" s="1"/>
  <c r="K62" i="7" s="1"/>
  <c r="K68" i="7" s="1"/>
  <c r="K78" i="7" s="1"/>
  <c r="K83" i="7" s="1"/>
  <c r="C14" i="8"/>
  <c r="I18" i="1"/>
  <c r="J109" i="7"/>
  <c r="J112" i="7" l="1"/>
  <c r="L50" i="7"/>
  <c r="L52" i="7" s="1"/>
  <c r="L165" i="7"/>
  <c r="L129" i="7"/>
  <c r="L132" i="7" s="1"/>
  <c r="L160" i="7" s="1"/>
  <c r="L161" i="7" s="1"/>
  <c r="M532" i="7"/>
  <c r="M550" i="7"/>
  <c r="M551" i="7" s="1"/>
  <c r="K84" i="7"/>
  <c r="K92" i="7"/>
  <c r="K93" i="7" s="1"/>
  <c r="K106" i="7" s="1"/>
  <c r="M166" i="7"/>
  <c r="M130" i="7"/>
  <c r="M51" i="7"/>
  <c r="K86" i="7" l="1"/>
  <c r="K87" i="7"/>
  <c r="M529" i="7"/>
  <c r="M530" i="7" s="1"/>
  <c r="N527" i="7" s="1"/>
  <c r="M76" i="7"/>
  <c r="M77" i="7" s="1"/>
  <c r="M534" i="7"/>
  <c r="L569" i="7" s="1"/>
  <c r="H19" i="1"/>
  <c r="K115" i="7"/>
  <c r="K108" i="7"/>
  <c r="K110" i="7"/>
  <c r="J19" i="1" s="1"/>
  <c r="K116" i="7"/>
  <c r="N554" i="7"/>
  <c r="N548" i="7"/>
  <c r="L103" i="7"/>
  <c r="L168" i="7"/>
  <c r="L171" i="7" s="1"/>
  <c r="L199" i="7" s="1"/>
  <c r="L200" i="7" s="1"/>
  <c r="L104" i="7" s="1"/>
  <c r="C15" i="8" l="1"/>
  <c r="I19" i="1"/>
  <c r="K109" i="7"/>
  <c r="L105" i="7"/>
  <c r="N533" i="7"/>
  <c r="N553" i="7"/>
  <c r="M566" i="7"/>
  <c r="L567" i="7"/>
  <c r="L57" i="7" s="1"/>
  <c r="L62" i="7" s="1"/>
  <c r="L68" i="7" s="1"/>
  <c r="L78" i="7" s="1"/>
  <c r="L83" i="7" s="1"/>
  <c r="L674" i="7"/>
  <c r="M675" i="7" s="1"/>
  <c r="L84" i="7" l="1"/>
  <c r="L92" i="7"/>
  <c r="L93" i="7" s="1"/>
  <c r="L106" i="7" s="1"/>
  <c r="N51" i="7"/>
  <c r="N166" i="7"/>
  <c r="N130" i="7"/>
  <c r="K112" i="7"/>
  <c r="M50" i="7"/>
  <c r="M52" i="7" s="1"/>
  <c r="M129" i="7"/>
  <c r="M132" i="7" s="1"/>
  <c r="M160" i="7" s="1"/>
  <c r="M161" i="7" s="1"/>
  <c r="M165" i="7"/>
  <c r="N550" i="7"/>
  <c r="N551" i="7" s="1"/>
  <c r="N532" i="7"/>
  <c r="N529" i="7" l="1"/>
  <c r="N530" i="7" s="1"/>
  <c r="O527" i="7" s="1"/>
  <c r="N534" i="7"/>
  <c r="M569" i="7" s="1"/>
  <c r="N76" i="7"/>
  <c r="N77" i="7" s="1"/>
  <c r="H20" i="1"/>
  <c r="L115" i="7"/>
  <c r="L108" i="7"/>
  <c r="L110" i="7"/>
  <c r="J20" i="1" s="1"/>
  <c r="L116" i="7"/>
  <c r="O554" i="7"/>
  <c r="O548" i="7"/>
  <c r="M103" i="7"/>
  <c r="M168" i="7"/>
  <c r="M171" i="7" s="1"/>
  <c r="M199" i="7" s="1"/>
  <c r="M200" i="7" s="1"/>
  <c r="M104" i="7" s="1"/>
  <c r="L86" i="7"/>
  <c r="L87" i="7"/>
  <c r="M105" i="7" l="1"/>
  <c r="O533" i="7"/>
  <c r="O553" i="7"/>
  <c r="B554" i="7"/>
  <c r="N566" i="7"/>
  <c r="M674" i="7"/>
  <c r="N675" i="7" s="1"/>
  <c r="M567" i="7"/>
  <c r="M57" i="7" s="1"/>
  <c r="M62" i="7" s="1"/>
  <c r="M68" i="7" s="1"/>
  <c r="M78" i="7" s="1"/>
  <c r="M83" i="7" s="1"/>
  <c r="C16" i="8"/>
  <c r="I20" i="1"/>
  <c r="L109" i="7"/>
  <c r="L112" i="7" l="1"/>
  <c r="M84" i="7"/>
  <c r="M92" i="7"/>
  <c r="M93" i="7" s="1"/>
  <c r="M106" i="7" s="1"/>
  <c r="O550" i="7"/>
  <c r="O551" i="7" s="1"/>
  <c r="P548" i="7" s="1"/>
  <c r="P551" i="7" s="1"/>
  <c r="Q548" i="7" s="1"/>
  <c r="Q551" i="7" s="1"/>
  <c r="R548" i="7" s="1"/>
  <c r="R551" i="7" s="1"/>
  <c r="S548" i="7" s="1"/>
  <c r="S551" i="7" s="1"/>
  <c r="T548" i="7" s="1"/>
  <c r="T551" i="7" s="1"/>
  <c r="U548" i="7" s="1"/>
  <c r="U551" i="7" s="1"/>
  <c r="V548" i="7" s="1"/>
  <c r="V551" i="7" s="1"/>
  <c r="W548" i="7" s="1"/>
  <c r="W551" i="7" s="1"/>
  <c r="X548" i="7" s="1"/>
  <c r="X551" i="7" s="1"/>
  <c r="Y548" i="7" s="1"/>
  <c r="Y551" i="7" s="1"/>
  <c r="Z548" i="7" s="1"/>
  <c r="Z551" i="7" s="1"/>
  <c r="AA548" i="7" s="1"/>
  <c r="AA551" i="7" s="1"/>
  <c r="AB548" i="7" s="1"/>
  <c r="AB551" i="7" s="1"/>
  <c r="AC548" i="7" s="1"/>
  <c r="AC551" i="7" s="1"/>
  <c r="AD548" i="7" s="1"/>
  <c r="AD551" i="7" s="1"/>
  <c r="AE548" i="7" s="1"/>
  <c r="AE551" i="7" s="1"/>
  <c r="AF548" i="7" s="1"/>
  <c r="AF551" i="7" s="1"/>
  <c r="AG548" i="7" s="1"/>
  <c r="AG551" i="7" s="1"/>
  <c r="AH548" i="7" s="1"/>
  <c r="AH551" i="7" s="1"/>
  <c r="AI548" i="7" s="1"/>
  <c r="AI551" i="7" s="1"/>
  <c r="AJ548" i="7" s="1"/>
  <c r="AJ551" i="7" s="1"/>
  <c r="AK548" i="7" s="1"/>
  <c r="AK551" i="7" s="1"/>
  <c r="AL548" i="7" s="1"/>
  <c r="AL551" i="7" s="1"/>
  <c r="AM548" i="7" s="1"/>
  <c r="AM551" i="7" s="1"/>
  <c r="AN548" i="7" s="1"/>
  <c r="AN551" i="7" s="1"/>
  <c r="AO548" i="7" s="1"/>
  <c r="AO551" i="7" s="1"/>
  <c r="AP548" i="7" s="1"/>
  <c r="AP551" i="7" s="1"/>
  <c r="O532" i="7"/>
  <c r="B553" i="7"/>
  <c r="N129" i="7"/>
  <c r="N132" i="7" s="1"/>
  <c r="N160" i="7" s="1"/>
  <c r="N161" i="7" s="1"/>
  <c r="N50" i="7"/>
  <c r="N52" i="7" s="1"/>
  <c r="N165" i="7"/>
  <c r="O166" i="7"/>
  <c r="O130" i="7"/>
  <c r="O51" i="7"/>
  <c r="B533" i="7"/>
  <c r="N168" i="7" l="1"/>
  <c r="N171" i="7" s="1"/>
  <c r="N199" i="7" s="1"/>
  <c r="N200" i="7" s="1"/>
  <c r="N104" i="7" s="1"/>
  <c r="N103" i="7"/>
  <c r="O529" i="7"/>
  <c r="O530" i="7" s="1"/>
  <c r="P527" i="7" s="1"/>
  <c r="P530" i="7" s="1"/>
  <c r="Q527" i="7" s="1"/>
  <c r="Q530" i="7" s="1"/>
  <c r="R527" i="7" s="1"/>
  <c r="R530" i="7" s="1"/>
  <c r="S527" i="7" s="1"/>
  <c r="S530" i="7" s="1"/>
  <c r="T527" i="7" s="1"/>
  <c r="T530" i="7" s="1"/>
  <c r="U527" i="7" s="1"/>
  <c r="U530" i="7" s="1"/>
  <c r="V527" i="7" s="1"/>
  <c r="V530" i="7" s="1"/>
  <c r="W527" i="7" s="1"/>
  <c r="W530" i="7" s="1"/>
  <c r="X527" i="7" s="1"/>
  <c r="X530" i="7" s="1"/>
  <c r="Y527" i="7" s="1"/>
  <c r="Y530" i="7" s="1"/>
  <c r="Z527" i="7" s="1"/>
  <c r="Z530" i="7" s="1"/>
  <c r="AA527" i="7" s="1"/>
  <c r="AA530" i="7" s="1"/>
  <c r="AB527" i="7" s="1"/>
  <c r="AB530" i="7" s="1"/>
  <c r="AC527" i="7" s="1"/>
  <c r="AC530" i="7" s="1"/>
  <c r="AD527" i="7" s="1"/>
  <c r="AD530" i="7" s="1"/>
  <c r="AE527" i="7" s="1"/>
  <c r="AE530" i="7" s="1"/>
  <c r="AF527" i="7" s="1"/>
  <c r="AF530" i="7" s="1"/>
  <c r="AG527" i="7" s="1"/>
  <c r="AG530" i="7" s="1"/>
  <c r="AH527" i="7" s="1"/>
  <c r="AH530" i="7" s="1"/>
  <c r="AI527" i="7" s="1"/>
  <c r="AI530" i="7" s="1"/>
  <c r="AJ527" i="7" s="1"/>
  <c r="AJ530" i="7" s="1"/>
  <c r="AK527" i="7" s="1"/>
  <c r="AK530" i="7" s="1"/>
  <c r="AL527" i="7" s="1"/>
  <c r="AL530" i="7" s="1"/>
  <c r="AM527" i="7" s="1"/>
  <c r="AM530" i="7" s="1"/>
  <c r="AN527" i="7" s="1"/>
  <c r="AN530" i="7" s="1"/>
  <c r="AO527" i="7" s="1"/>
  <c r="AO530" i="7" s="1"/>
  <c r="AP527" i="7" s="1"/>
  <c r="AP530" i="7" s="1"/>
  <c r="O534" i="7"/>
  <c r="O76" i="7"/>
  <c r="O77" i="7" s="1"/>
  <c r="B532" i="7"/>
  <c r="M115" i="7"/>
  <c r="H21" i="1"/>
  <c r="M108" i="7"/>
  <c r="M110" i="7"/>
  <c r="J21" i="1" s="1"/>
  <c r="M116" i="7"/>
  <c r="M86" i="7"/>
  <c r="M87" i="7"/>
  <c r="I21" i="1" l="1"/>
  <c r="C17" i="8"/>
  <c r="M109" i="7"/>
  <c r="N569" i="7"/>
  <c r="B534" i="7"/>
  <c r="N105" i="7"/>
  <c r="M112" i="7" l="1"/>
  <c r="N567" i="7"/>
  <c r="N57" i="7" s="1"/>
  <c r="N62" i="7" s="1"/>
  <c r="N68" i="7" s="1"/>
  <c r="N78" i="7" s="1"/>
  <c r="N83" i="7" s="1"/>
  <c r="O566" i="7"/>
  <c r="O568" i="7" s="1"/>
  <c r="O57" i="7" s="1"/>
  <c r="O62" i="7" s="1"/>
  <c r="O68" i="7" s="1"/>
  <c r="N674" i="7"/>
  <c r="O675" i="7" s="1"/>
  <c r="O129" i="7" l="1"/>
  <c r="O132" i="7" s="1"/>
  <c r="O160" i="7" s="1"/>
  <c r="O161" i="7" s="1"/>
  <c r="O50" i="7"/>
  <c r="O52" i="7" s="1"/>
  <c r="O78" i="7" s="1"/>
  <c r="O83" i="7" s="1"/>
  <c r="O165" i="7"/>
  <c r="N84" i="7"/>
  <c r="N92" i="7"/>
  <c r="N93" i="7" s="1"/>
  <c r="N106" i="7" s="1"/>
  <c r="N86" i="7" l="1"/>
  <c r="N87" i="7"/>
  <c r="O84" i="7"/>
  <c r="O92" i="7"/>
  <c r="O93" i="7" s="1"/>
  <c r="N115" i="7"/>
  <c r="H22" i="1"/>
  <c r="N108" i="7"/>
  <c r="N110" i="7"/>
  <c r="J22" i="1" s="1"/>
  <c r="N116" i="7"/>
  <c r="O168" i="7"/>
  <c r="O171" i="7" s="1"/>
  <c r="O199" i="7" s="1"/>
  <c r="O200" i="7" s="1"/>
  <c r="O104" i="7" s="1"/>
  <c r="O103" i="7"/>
  <c r="C18" i="8" l="1"/>
  <c r="I22" i="1"/>
  <c r="N109" i="7"/>
  <c r="O105" i="7"/>
  <c r="O106" i="7" s="1"/>
  <c r="Q86" i="7"/>
  <c r="AB86" i="7"/>
  <c r="AD86" i="7"/>
  <c r="W86" i="7"/>
  <c r="X86" i="7"/>
  <c r="Z86" i="7"/>
  <c r="T86" i="7"/>
  <c r="S86" i="7"/>
  <c r="AC86" i="7"/>
  <c r="AN86" i="7"/>
  <c r="AJ86" i="7"/>
  <c r="AP86" i="7"/>
  <c r="AH86" i="7"/>
  <c r="AL86" i="7"/>
  <c r="AG86" i="7"/>
  <c r="AO86" i="7"/>
  <c r="AA86" i="7"/>
  <c r="AM86" i="7"/>
  <c r="U86" i="7"/>
  <c r="AF86" i="7"/>
  <c r="P86" i="7"/>
  <c r="AK86" i="7"/>
  <c r="V86" i="7"/>
  <c r="O86" i="7"/>
  <c r="AI86" i="7"/>
  <c r="Y86" i="7"/>
  <c r="R86" i="7"/>
  <c r="AE86" i="7"/>
  <c r="Y87" i="7"/>
  <c r="T87" i="7"/>
  <c r="AD87" i="7"/>
  <c r="O87" i="7"/>
  <c r="AM87" i="7"/>
  <c r="AB87" i="7"/>
  <c r="X87" i="7"/>
  <c r="AE87" i="7"/>
  <c r="AA87" i="7"/>
  <c r="AI87" i="7"/>
  <c r="Q87" i="7"/>
  <c r="U87" i="7"/>
  <c r="S87" i="7"/>
  <c r="AO87" i="7"/>
  <c r="AC87" i="7"/>
  <c r="P87" i="7"/>
  <c r="AJ87" i="7"/>
  <c r="AG87" i="7"/>
  <c r="AN87" i="7"/>
  <c r="V87" i="7"/>
  <c r="Z87" i="7"/>
  <c r="AF87" i="7"/>
  <c r="R87" i="7"/>
  <c r="AL87" i="7"/>
  <c r="AP87" i="7"/>
  <c r="W87" i="7"/>
  <c r="AK87" i="7"/>
  <c r="AH87" i="7"/>
  <c r="H23" i="1" l="1"/>
  <c r="O115" i="7"/>
  <c r="B115" i="7" s="1" a="1"/>
  <c r="B115" i="7" s="1"/>
  <c r="P116" i="7"/>
  <c r="AN108" i="7"/>
  <c r="Y108" i="7"/>
  <c r="AB108" i="7"/>
  <c r="V108" i="7"/>
  <c r="Z108" i="7"/>
  <c r="AP108" i="7"/>
  <c r="X108" i="7"/>
  <c r="S108" i="7"/>
  <c r="AO108" i="7"/>
  <c r="R108" i="7"/>
  <c r="AA108" i="7"/>
  <c r="AE108" i="7"/>
  <c r="AD108" i="7"/>
  <c r="AL108" i="7"/>
  <c r="AC108" i="7"/>
  <c r="AK108" i="7"/>
  <c r="P108" i="7"/>
  <c r="AM108" i="7"/>
  <c r="AJ108" i="7"/>
  <c r="W108" i="7"/>
  <c r="U108" i="7"/>
  <c r="Q108" i="7"/>
  <c r="T108" i="7"/>
  <c r="AF108" i="7"/>
  <c r="AI108" i="7"/>
  <c r="AG108" i="7"/>
  <c r="AH108" i="7"/>
  <c r="O108" i="7"/>
  <c r="AC110" i="7"/>
  <c r="J37" i="1" s="1"/>
  <c r="O110" i="7"/>
  <c r="J23" i="1" s="1"/>
  <c r="U110" i="7"/>
  <c r="J29" i="1" s="1"/>
  <c r="AE110" i="7"/>
  <c r="J39" i="1" s="1"/>
  <c r="AG110" i="7"/>
  <c r="J41" i="1" s="1"/>
  <c r="Z110" i="7"/>
  <c r="J34" i="1" s="1"/>
  <c r="AB110" i="7"/>
  <c r="J36" i="1" s="1"/>
  <c r="Q110" i="7"/>
  <c r="J25" i="1" s="1"/>
  <c r="AF110" i="7"/>
  <c r="J40" i="1" s="1"/>
  <c r="X110" i="7"/>
  <c r="J32" i="1" s="1"/>
  <c r="AO110" i="7"/>
  <c r="J49" i="1" s="1"/>
  <c r="AI110" i="7"/>
  <c r="J43" i="1" s="1"/>
  <c r="Y110" i="7"/>
  <c r="J33" i="1" s="1"/>
  <c r="AJ110" i="7"/>
  <c r="J44" i="1" s="1"/>
  <c r="AP110" i="7"/>
  <c r="J50" i="1" s="1"/>
  <c r="V110" i="7"/>
  <c r="J30" i="1" s="1"/>
  <c r="AL110" i="7"/>
  <c r="J46" i="1" s="1"/>
  <c r="AM110" i="7"/>
  <c r="J47" i="1" s="1"/>
  <c r="AK110" i="7"/>
  <c r="J45" i="1" s="1"/>
  <c r="S110" i="7"/>
  <c r="J27" i="1" s="1"/>
  <c r="W110" i="7"/>
  <c r="J31" i="1" s="1"/>
  <c r="R110" i="7"/>
  <c r="J26" i="1" s="1"/>
  <c r="AA110" i="7"/>
  <c r="J35" i="1" s="1"/>
  <c r="I4" i="1" s="1"/>
  <c r="AH110" i="7"/>
  <c r="J42" i="1" s="1"/>
  <c r="AN110" i="7"/>
  <c r="J48" i="1" s="1"/>
  <c r="AD110" i="7"/>
  <c r="J38" i="1" s="1"/>
  <c r="T110" i="7"/>
  <c r="J28" i="1" s="1"/>
  <c r="P110" i="7"/>
  <c r="J24" i="1" s="1"/>
  <c r="O116" i="7"/>
  <c r="N112" i="7"/>
  <c r="B116" i="7" l="1" a="1"/>
  <c r="B116" i="7" s="1"/>
  <c r="I42" i="1"/>
  <c r="C38" i="8"/>
  <c r="AH109" i="7"/>
  <c r="C39" i="8"/>
  <c r="I43" i="1"/>
  <c r="AI109" i="7"/>
  <c r="C24" i="8"/>
  <c r="I28" i="1"/>
  <c r="T109" i="7"/>
  <c r="I29" i="1"/>
  <c r="C25" i="8"/>
  <c r="U109" i="7"/>
  <c r="I44" i="1"/>
  <c r="C40" i="8"/>
  <c r="AJ109" i="7"/>
  <c r="I24" i="1"/>
  <c r="C20" i="8"/>
  <c r="P109" i="7"/>
  <c r="C33" i="8"/>
  <c r="I37" i="1"/>
  <c r="AC109" i="7"/>
  <c r="I38" i="1"/>
  <c r="C34" i="8"/>
  <c r="AD109" i="7"/>
  <c r="I35" i="1"/>
  <c r="C31" i="8"/>
  <c r="F2" i="8" s="1"/>
  <c r="I3" i="1" s="1"/>
  <c r="AA109" i="7"/>
  <c r="C45" i="8"/>
  <c r="I49" i="1"/>
  <c r="AO109" i="7"/>
  <c r="I32" i="1"/>
  <c r="C28" i="8"/>
  <c r="X109" i="7"/>
  <c r="I34" i="1"/>
  <c r="C30" i="8"/>
  <c r="Z109" i="7"/>
  <c r="C32" i="8"/>
  <c r="I36" i="1"/>
  <c r="AB109" i="7"/>
  <c r="AC112" i="7" s="1"/>
  <c r="I48" i="1"/>
  <c r="C44" i="8"/>
  <c r="AN109" i="7"/>
  <c r="C19" i="8"/>
  <c r="I23" i="1"/>
  <c r="O109" i="7"/>
  <c r="I41" i="1"/>
  <c r="C37" i="8"/>
  <c r="AG109" i="7"/>
  <c r="I40" i="1"/>
  <c r="C36" i="8"/>
  <c r="AF109" i="7"/>
  <c r="I25" i="1"/>
  <c r="C21" i="8"/>
  <c r="Q109" i="7"/>
  <c r="C27" i="8"/>
  <c r="I31" i="1"/>
  <c r="W109" i="7"/>
  <c r="I47" i="1"/>
  <c r="C43" i="8"/>
  <c r="AM109" i="7"/>
  <c r="I45" i="1"/>
  <c r="C41" i="8"/>
  <c r="AK109" i="7"/>
  <c r="I46" i="1"/>
  <c r="C42" i="8"/>
  <c r="AL109" i="7"/>
  <c r="I39" i="1"/>
  <c r="C35" i="8"/>
  <c r="AE109" i="7"/>
  <c r="AF112" i="7" s="1"/>
  <c r="I26" i="1"/>
  <c r="C22" i="8"/>
  <c r="R109" i="7"/>
  <c r="I27" i="1"/>
  <c r="C23" i="8"/>
  <c r="S109" i="7"/>
  <c r="I50" i="1"/>
  <c r="C46" i="8"/>
  <c r="AP109" i="7"/>
  <c r="C26" i="8"/>
  <c r="I30" i="1"/>
  <c r="V109" i="7"/>
  <c r="I33" i="1"/>
  <c r="C29" i="8"/>
  <c r="Y109" i="7"/>
  <c r="X112" i="7" l="1"/>
  <c r="W112" i="7"/>
  <c r="AN112" i="7"/>
  <c r="Z112" i="7"/>
  <c r="AO112" i="7"/>
  <c r="AM112" i="7"/>
  <c r="T112" i="7"/>
  <c r="S112" i="7"/>
  <c r="AH112" i="7"/>
  <c r="AA112" i="7"/>
  <c r="AE112" i="7"/>
  <c r="AJ112" i="7"/>
  <c r="V112" i="7"/>
  <c r="R112" i="7"/>
  <c r="AP112" i="7"/>
  <c r="Q112" i="7"/>
  <c r="AL112" i="7"/>
  <c r="AG112" i="7"/>
  <c r="P112" i="7"/>
  <c r="O112" i="7"/>
  <c r="Y112" i="7"/>
  <c r="AB112" i="7"/>
  <c r="AD112" i="7"/>
  <c r="AK112" i="7"/>
  <c r="U112" i="7"/>
  <c r="AI112" i="7"/>
  <c r="B112" i="7" l="1"/>
</calcChain>
</file>

<file path=xl/comments1.xml><?xml version="1.0" encoding="utf-8"?>
<comments xmlns="http://schemas.openxmlformats.org/spreadsheetml/2006/main">
  <authors>
    <author>Author</author>
  </authors>
  <commentList>
    <comment ref="B125" authorId="0" shape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<sst xmlns="http://schemas.openxmlformats.org/spreadsheetml/2006/main" count="662" uniqueCount="330">
  <si>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</si>
  <si>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</si>
  <si>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</si>
  <si>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</si>
  <si>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</si>
  <si>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</si>
  <si>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</si>
  <si>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</si>
  <si>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</si>
  <si>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</si>
  <si>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</si>
  <si>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</si>
  <si>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</si>
  <si>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</si>
  <si>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</si>
  <si>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</si>
  <si>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</si>
  <si>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</si>
  <si>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</si>
  <si>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</si>
  <si>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</si>
  <si>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</si>
  <si>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</si>
  <si>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</si>
  <si>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</si>
  <si>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</si>
  <si>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</si>
  <si>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</si>
  <si>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</si>
  <si>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</si>
  <si>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</si>
  <si>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</si>
  <si>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</si>
  <si>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</si>
  <si>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</si>
  <si>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</si>
  <si>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</si>
  <si>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</si>
  <si>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</si>
  <si>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</si>
  <si>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</si>
  <si>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</si>
  <si>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</si>
  <si>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</si>
  <si>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</si>
  <si>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</si>
  <si>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</si>
  <si>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DSCR</t>
  </si>
  <si>
    <t>Cash Available for Debt Service</t>
  </si>
  <si>
    <t>Total Debt Payment</t>
  </si>
  <si>
    <t>Average</t>
  </si>
  <si>
    <t>Min</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</si>
  <si>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</si>
  <si>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</si>
  <si>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</si>
  <si>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</si>
  <si>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</si>
  <si>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</si>
  <si>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</si>
  <si>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</si>
  <si>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</si>
  <si>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</si>
  <si>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</si>
  <si>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</si>
  <si>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</si>
  <si>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</si>
  <si>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</si>
  <si>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</si>
  <si>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</si>
  <si>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</si>
  <si>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</si>
  <si>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</si>
  <si>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</si>
  <si>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</si>
  <si>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</si>
  <si>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</si>
  <si>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</si>
  <si>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</si>
  <si>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</si>
  <si>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</si>
  <si>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</si>
  <si>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</si>
  <si>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</si>
  <si>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</si>
  <si>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</si>
  <si>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</si>
  <si>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</si>
  <si>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</si>
  <si>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</si>
  <si>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</si>
  <si>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</si>
  <si>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</si>
  <si>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</si>
  <si>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</si>
  <si>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</si>
  <si>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</si>
  <si>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</si>
  <si>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</si>
  <si>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Equity</t>
  </si>
  <si>
    <t>CBI</t>
  </si>
  <si>
    <t>Cash Flows from Investing Activities</t>
  </si>
  <si>
    <t>(Purchase)/Sale of Property</t>
  </si>
  <si>
    <t>(Increase)/Decrease in Reserve Accounts</t>
  </si>
  <si>
    <t>DSRA</t>
  </si>
  <si>
    <t>Cash Flows from Financing Activities</t>
  </si>
  <si>
    <t>Borrowing/(Redemption) of Long-Term Debt</t>
  </si>
  <si>
    <t>Pre-Tax Cashflow</t>
  </si>
  <si>
    <t>Cash Flow from Operating Activities</t>
  </si>
  <si>
    <t>Less: Interest Expense</t>
  </si>
  <si>
    <t>Working Capital Reserve Account</t>
  </si>
  <si>
    <t>Reserve Accounts</t>
  </si>
  <si>
    <t>Timing of Funding</t>
  </si>
  <si>
    <t>Cost of Each Occurrence</t>
  </si>
  <si>
    <t>Funding (through operations)</t>
  </si>
  <si>
    <t>Funding of Each Occurrence</t>
  </si>
  <si>
    <t>Interest on Reserves</t>
  </si>
  <si>
    <t>Total Reserves</t>
  </si>
  <si>
    <t>Major Equipment Capital Spending</t>
  </si>
  <si>
    <t>Incentives</t>
  </si>
  <si>
    <t>IBI</t>
  </si>
  <si>
    <t>Major Equipment Replacement Depreciation</t>
  </si>
  <si>
    <t>Timing</t>
  </si>
  <si>
    <t>Depreciation Schedule Selected</t>
  </si>
  <si>
    <t>Year</t>
  </si>
  <si>
    <t>Depreciation Percent</t>
  </si>
  <si>
    <t>Depreciation Amount</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</si>
  <si>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</si>
  <si>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</si>
  <si>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</si>
  <si>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</si>
  <si>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</si>
  <si>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</si>
  <si>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</si>
  <si>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</si>
  <si>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</si>
  <si>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LCOE</t>
  </si>
  <si>
    <t>State Depreciation Amounts</t>
  </si>
  <si>
    <t>Federal Depreciation Amounts</t>
  </si>
  <si>
    <t>Total Revenue</t>
  </si>
  <si>
    <t>Percentage</t>
  </si>
  <si>
    <t>Partial Income Statement: Project</t>
  </si>
  <si>
    <t>Cash Flow: Project</t>
  </si>
  <si>
    <t>KEY</t>
  </si>
  <si>
    <t>Sizing</t>
  </si>
  <si>
    <t>Present Value Interest Factor</t>
  </si>
  <si>
    <t>Present Value of CAFDS</t>
  </si>
  <si>
    <t>Size of Debt</t>
  </si>
  <si>
    <t>First Year Bonus Depreciation</t>
  </si>
  <si>
    <t>Depreciable Basis After Bonus Reduction</t>
  </si>
  <si>
    <t>Non-Depreciable 
(red higlight indicates invalid figure)</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</si>
  <si>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</si>
  <si>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</si>
  <si>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</si>
  <si>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</si>
  <si>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</si>
  <si>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</si>
  <si>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</si>
  <si>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</si>
  <si>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</si>
  <si>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</si>
  <si>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</si>
  <si>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</si>
  <si>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</si>
  <si>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</si>
  <si>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LCOE ($/kWh)</t>
  </si>
  <si>
    <t>Issuance of Equity</t>
  </si>
  <si>
    <t xml:space="preserve">Non-Depreciable </t>
  </si>
  <si>
    <t>Year Target Return Reached</t>
  </si>
  <si>
    <t>Max IRR</t>
  </si>
  <si>
    <t>Cumulative IRR</t>
  </si>
  <si>
    <t>Cumulative NPV</t>
  </si>
  <si>
    <t>http://www.irs.gov/pub/irs-pdf/p946.pdf</t>
  </si>
  <si>
    <t>NPV - Annual Payments ($)</t>
  </si>
  <si>
    <t>NPV - Generation (kWh)</t>
  </si>
  <si>
    <t>Annual PPA Revenue</t>
  </si>
  <si>
    <t>Less: Major Equipment Replacement Reserve Funding</t>
  </si>
  <si>
    <t>Depreciable Basis Reduction</t>
  </si>
  <si>
    <t>5-Yr MACRS</t>
  </si>
  <si>
    <t>Depreciation &amp; ITC</t>
  </si>
  <si>
    <t>State Depreciation &amp; ITC</t>
  </si>
  <si>
    <t>Federal Depreciation &amp; ITC</t>
  </si>
  <si>
    <t>State PTC</t>
  </si>
  <si>
    <t>Negative Net Benefit</t>
  </si>
  <si>
    <t>Years with Negative Net Benefit</t>
  </si>
  <si>
    <t>First Year with Negative Net Benefit</t>
  </si>
  <si>
    <t>Nameplate capacity (DC kW)</t>
  </si>
  <si>
    <t>SYSTEM COSTS</t>
  </si>
  <si>
    <t>SYSTEM DESIGN</t>
  </si>
  <si>
    <t>Year-to-year decline in output (%)</t>
  </si>
  <si>
    <t>FINANCIAL PARAMETERS</t>
  </si>
  <si>
    <t>DEGRADATION</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</si>
  <si>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</si>
  <si>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</si>
  <si>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</si>
  <si>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</si>
  <si>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</si>
  <si>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</si>
  <si>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</si>
  <si>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</si>
  <si>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</si>
  <si>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</si>
  <si>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</si>
  <si>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</si>
  <si>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</si>
  <si>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</si>
  <si>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</si>
  <si>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</si>
  <si>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</si>
  <si>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</si>
  <si>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Net energy (AC-kWh)</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</si>
  <si>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</si>
  <si>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</si>
  <si>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</si>
  <si>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</si>
  <si>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</si>
  <si>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</si>
  <si>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</si>
  <si>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</si>
  <si>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</si>
  <si>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</si>
  <si>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</si>
  <si>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</si>
  <si>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</si>
  <si>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</si>
  <si>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</si>
  <si>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</si>
  <si>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</si>
  <si>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</si>
  <si>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</si>
  <si>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</si>
  <si>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</si>
  <si>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</si>
  <si>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</si>
  <si>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</si>
  <si>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</si>
  <si>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</si>
  <si>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</si>
  <si>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</si>
  <si>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</si>
  <si>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</si>
  <si>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</si>
  <si>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Replacement cost ($/kW)</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</si>
  <si>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</si>
  <si>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</si>
  <si>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</si>
  <si>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</si>
  <si>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</si>
  <si>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</si>
  <si>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</si>
  <si>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</si>
  <si>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</si>
  <si>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</si>
  <si>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</si>
  <si>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</si>
  <si>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</si>
  <si>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</si>
  <si>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</si>
  <si>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</si>
  <si>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</si>
  <si>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</si>
  <si>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</si>
  <si>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</si>
  <si>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</si>
  <si>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</si>
  <si>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</si>
  <si>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</si>
  <si>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</si>
  <si>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</si>
  <si>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</si>
  <si>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</si>
  <si>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</si>
  <si>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</si>
  <si>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</si>
  <si>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</si>
  <si>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</si>
  <si>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</si>
  <si>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</si>
  <si>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Intermediate Values</t>
  </si>
  <si>
    <t>Classes</t>
  </si>
  <si>
    <t>Federal Bonus</t>
  </si>
  <si>
    <t>State Bonus</t>
  </si>
  <si>
    <t>DEPRECIATION</t>
  </si>
  <si>
    <t>Allocations</t>
  </si>
  <si>
    <t>Year 1 net energy (kWh)</t>
  </si>
  <si>
    <t>Red. Fed. Depr. &amp; ITC</t>
  </si>
  <si>
    <t>Red. St. Depr. &amp; ITC</t>
  </si>
  <si>
    <t>Qual. for Fed. ITC</t>
  </si>
  <si>
    <t>Qual. for State ITC</t>
  </si>
  <si>
    <t>Total Amounts</t>
  </si>
  <si>
    <t>IBI - Fixed</t>
  </si>
  <si>
    <t>IBI - Percent</t>
  </si>
  <si>
    <t>IRR in target year</t>
  </si>
  <si>
    <t>PPA Price to achieve IRR in target year</t>
  </si>
  <si>
    <t>Calculated</t>
  </si>
  <si>
    <t>Input from SAM</t>
  </si>
  <si>
    <t>N/A</t>
  </si>
  <si>
    <r>
      <t>PPA Price (</t>
    </r>
    <r>
      <rPr>
        <sz val="10"/>
        <color theme="1"/>
        <rFont val="Calibri"/>
        <family val="2"/>
      </rPr>
      <t>¢/kWh)</t>
    </r>
  </si>
  <si>
    <t>Revenue ($)</t>
  </si>
  <si>
    <t>After-tax IRR (%)</t>
  </si>
  <si>
    <t>NPV ($)</t>
  </si>
  <si>
    <t>After-tax Returns ($)</t>
  </si>
  <si>
    <t>IRR in target year (%)</t>
  </si>
  <si>
    <t>Project NPV ($)</t>
  </si>
  <si>
    <t>LCOE (¢/kWh)</t>
  </si>
  <si>
    <t>IRR in Target Year for PPA Price Between 0 and $1/kWh</t>
  </si>
  <si>
    <t>PPA Price (¢/kWh)</t>
  </si>
  <si>
    <t>Heat rate, generic system only (MMBtu/MWh)</t>
  </si>
  <si>
    <t>Not used (temporary)</t>
  </si>
  <si>
    <t>Fuel cost (CSP and generic system only)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</si>
  <si>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</si>
  <si>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</si>
  <si>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</si>
  <si>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</si>
  <si>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</si>
  <si>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Annual Rate (%)</t>
  </si>
  <si>
    <t>Year-to-year decline in output (%, Year 1 value)</t>
  </si>
  <si>
    <t>Cumulative IRR (%)</t>
  </si>
  <si>
    <t>Utility</t>
  </si>
  <si>
    <t>Other</t>
  </si>
  <si>
    <t>Taxable Income before Incentives</t>
  </si>
  <si>
    <t>Taxable Income after Incentives</t>
  </si>
  <si>
    <t>For additional information on depreciation schedules, see IRS publication 946.</t>
  </si>
  <si>
    <t>Depreciation Percent (%)</t>
  </si>
  <si>
    <t>CASH FLOW SUMMARY</t>
  </si>
  <si>
    <t>Could not meet IRR target for PPA price less than $1/kWh:</t>
  </si>
  <si>
    <t>Try reducing the IRR target or increasing the target year.</t>
  </si>
  <si>
    <t>Plus: PBI (if not included above)</t>
  </si>
  <si>
    <t>IRR by Year from Cash Flow</t>
  </si>
  <si>
    <t>IRR (%)</t>
  </si>
  <si>
    <t>IRR in Year 10</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</si>
</sst>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_(* #,##0.0000_);_(* \(#,##0.0000\);_(* &quot;-&quot;????_);_(@_)"/>
    <numFmt numFmtId="171" formatCode="_(* #,##0_);_(* \(#,##0\);_(* &quot;-&quot;??_);_(@_)"/>
    <numFmt numFmtId="172" formatCode="0.0"/>
    <numFmt numFmtId="173" formatCode="&quot;IRR in Year&quot;\ 0"/>
    <numFmt numFmtId="174" formatCode="#,##0.0"/>
    <numFmt numFmtId="175" formatCode="0_);\(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1"/>
      <color rgb="FF000000"/>
      <name val="Calibri"/>
      <family val="2"/>
    </font>
    <font>
      <sz val="10"/>
      <color theme="1"/>
      <name val="Calibri"/>
      <family val="2"/>
    </font>
    <font>
      <sz val="11"/>
      <name val="Calibri"/>
      <family val="2"/>
      <scheme val="minor"/>
    </font>
  </fonts>
  <fills count="10">
    <fill>
      <patternFill patternType="none"/>
    </fill>
    <fill>
      <patternFill patternType="gray125"/>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38">
    <xf numFmtId="0" fontId="0" fillId="0" borderId="0" xfId="0"/>
    <xf numFmtId="169" fontId="2" fillId="4" borderId="4" xfId="0" applyNumberFormat="1" applyFont="1" applyFill="1" applyBorder="1" applyAlignment="1">
      <alignment horizontal="left"/>
    </xf>
    <xf numFmtId="0" fontId="3" fillId="4" borderId="2" xfId="0" applyNumberFormat="1" applyFont="1" applyFill="1" applyBorder="1" applyAlignment="1"/>
    <xf numFmtId="0" fontId="3" fillId="4"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41" fontId="3" fillId="5" borderId="20" xfId="0" applyNumberFormat="1" applyFont="1" applyFill="1" applyBorder="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6" fillId="2" borderId="3" xfId="0" applyFont="1" applyFill="1" applyBorder="1"/>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0" fontId="6" fillId="0" borderId="0" xfId="0" applyFont="1" applyFill="1" applyBorder="1"/>
    <xf numFmtId="0" fontId="5" fillId="0" borderId="0" xfId="0" applyFont="1" applyFill="1" applyBorder="1" applyAlignment="1">
      <alignment horizontal="left"/>
    </xf>
    <xf numFmtId="0" fontId="5" fillId="0" borderId="0" xfId="0" applyFont="1" applyAlignment="1">
      <alignment horizontal="left" indent="4"/>
    </xf>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167" fontId="5" fillId="3" borderId="9" xfId="1" applyNumberFormat="1" applyFont="1" applyFill="1" applyBorder="1"/>
    <xf numFmtId="0" fontId="5" fillId="0" borderId="0" xfId="0" applyFont="1" applyAlignment="1">
      <alignment horizontal="left" indent="6"/>
    </xf>
    <xf numFmtId="167" fontId="5" fillId="0" borderId="0" xfId="1" applyNumberFormat="1" applyFont="1" applyBorder="1"/>
    <xf numFmtId="0" fontId="5" fillId="0" borderId="0" xfId="0" applyFont="1" applyAlignment="1">
      <alignment horizontal="right"/>
    </xf>
    <xf numFmtId="167" fontId="5" fillId="0" borderId="0" xfId="1" applyNumberFormat="1" applyFont="1"/>
    <xf numFmtId="0" fontId="5" fillId="0" borderId="0" xfId="0" applyFont="1" applyFill="1" applyAlignment="1">
      <alignment horizontal="right"/>
    </xf>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170" fontId="5" fillId="0" borderId="0" xfId="1" applyNumberFormat="1" applyFont="1" applyFill="1"/>
    <xf numFmtId="170" fontId="5" fillId="0" borderId="0" xfId="1" applyNumberFormat="1" applyFont="1" applyFill="1" applyBorder="1"/>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5" fillId="0" borderId="0" xfId="0" applyFont="1" applyFill="1" applyAlignment="1">
      <alignment horizontal="left" wrapText="1" indent="2"/>
    </xf>
    <xf numFmtId="0" fontId="6" fillId="0" borderId="21" xfId="0" applyFont="1" applyBorder="1"/>
    <xf numFmtId="0" fontId="5" fillId="0" borderId="23" xfId="0" applyFont="1" applyBorder="1"/>
    <xf numFmtId="0" fontId="5" fillId="0" borderId="22" xfId="0" applyFont="1" applyBorder="1"/>
    <xf numFmtId="43" fontId="5" fillId="0" borderId="0" xfId="0" applyNumberFormat="1"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169" fontId="3" fillId="0" borderId="0" xfId="0" applyNumberFormat="1" applyFont="1" applyAlignment="1">
      <alignment horizontal="left" indent="2"/>
    </xf>
    <xf numFmtId="0" fontId="5" fillId="0" borderId="0" xfId="0" applyFont="1" applyFill="1" applyBorder="1" applyAlignment="1">
      <alignment horizontal="center"/>
    </xf>
    <xf numFmtId="0" fontId="5" fillId="5" borderId="20" xfId="0" applyFont="1" applyFill="1" applyBorder="1"/>
    <xf numFmtId="0" fontId="3" fillId="6"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9" fontId="3" fillId="0" borderId="20" xfId="0" applyNumberFormat="1" applyFont="1" applyFill="1" applyBorder="1"/>
    <xf numFmtId="9" fontId="5" fillId="0" borderId="20" xfId="1" applyFont="1" applyBorder="1"/>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7" xfId="0" applyNumberFormat="1" applyFont="1" applyFill="1" applyBorder="1"/>
    <xf numFmtId="9" fontId="5" fillId="0" borderId="27" xfId="1" applyFont="1" applyBorder="1"/>
    <xf numFmtId="9" fontId="3" fillId="0" borderId="21" xfId="0" applyNumberFormat="1" applyFont="1" applyFill="1" applyBorder="1"/>
    <xf numFmtId="9" fontId="5" fillId="0" borderId="22" xfId="1" applyFont="1" applyBorder="1"/>
    <xf numFmtId="43" fontId="5" fillId="5" borderId="22" xfId="3" applyFont="1" applyFill="1" applyBorder="1"/>
    <xf numFmtId="43" fontId="5" fillId="5" borderId="20" xfId="0" applyNumberFormat="1" applyFont="1" applyFill="1" applyBorder="1"/>
    <xf numFmtId="43" fontId="6" fillId="5" borderId="20" xfId="0" applyNumberFormat="1" applyFont="1" applyFill="1" applyBorder="1"/>
    <xf numFmtId="0" fontId="5" fillId="0" borderId="20" xfId="0" applyFont="1" applyBorder="1" applyAlignment="1">
      <alignment wrapText="1"/>
    </xf>
    <xf numFmtId="0" fontId="5" fillId="5" borderId="27" xfId="0" applyFont="1" applyFill="1" applyBorder="1"/>
    <xf numFmtId="0" fontId="5" fillId="6" borderId="0" xfId="0" applyFont="1" applyFill="1" applyBorder="1"/>
    <xf numFmtId="0" fontId="5" fillId="6" borderId="7" xfId="0" applyFont="1" applyFill="1" applyBorder="1"/>
    <xf numFmtId="0" fontId="5" fillId="6" borderId="1" xfId="0" applyFont="1" applyFill="1" applyBorder="1"/>
    <xf numFmtId="0" fontId="5" fillId="6"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6" borderId="24" xfId="0" applyFont="1" applyFill="1" applyBorder="1"/>
    <xf numFmtId="0" fontId="5" fillId="6" borderId="26" xfId="0" applyFont="1" applyFill="1" applyBorder="1"/>
    <xf numFmtId="0" fontId="5" fillId="6" borderId="6" xfId="0" applyFont="1" applyFill="1" applyBorder="1"/>
    <xf numFmtId="0" fontId="5" fillId="6"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6"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6" borderId="16" xfId="0" applyFont="1" applyFill="1" applyBorder="1"/>
    <xf numFmtId="0" fontId="5" fillId="0" borderId="9" xfId="0" applyFont="1" applyFill="1" applyBorder="1" applyAlignment="1">
      <alignment horizontal="center"/>
    </xf>
    <xf numFmtId="0" fontId="5" fillId="6"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7" borderId="0" xfId="0" applyFont="1" applyFill="1" applyBorder="1" applyAlignment="1">
      <alignment horizontal="left"/>
    </xf>
    <xf numFmtId="0" fontId="3" fillId="7" borderId="0" xfId="0" applyFont="1" applyFill="1" applyBorder="1"/>
    <xf numFmtId="0" fontId="5" fillId="7" borderId="0" xfId="0" applyFont="1" applyFill="1" applyBorder="1" applyAlignment="1">
      <alignment horizontal="left" indent="2"/>
    </xf>
    <xf numFmtId="0" fontId="3" fillId="7"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6" borderId="21" xfId="0" applyFont="1" applyFill="1" applyBorder="1"/>
    <xf numFmtId="0" fontId="5" fillId="6" borderId="23" xfId="0" applyFont="1" applyFill="1" applyBorder="1"/>
    <xf numFmtId="0" fontId="5" fillId="6" borderId="8" xfId="0" applyFont="1" applyFill="1" applyBorder="1" applyAlignment="1">
      <alignment horizontal="right"/>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0" fontId="2" fillId="2" borderId="22" xfId="0" applyFont="1" applyFill="1" applyBorder="1"/>
    <xf numFmtId="171" fontId="9" fillId="0" borderId="0" xfId="3" applyNumberFormat="1" applyFont="1"/>
    <xf numFmtId="0" fontId="6" fillId="2" borderId="20" xfId="0" applyFont="1" applyFill="1" applyBorder="1"/>
    <xf numFmtId="41" fontId="3" fillId="0" borderId="3" xfId="0" applyNumberFormat="1" applyFont="1" applyBorder="1"/>
    <xf numFmtId="0" fontId="5" fillId="0" borderId="3" xfId="0" applyFont="1" applyBorder="1" applyAlignment="1">
      <alignment horizontal="center"/>
    </xf>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Alignment="1">
      <alignment horizontal="left" indent="1"/>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3" fillId="0" borderId="0" xfId="1" applyNumberFormat="1" applyFont="1" applyFill="1" applyBorder="1"/>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8" borderId="29" xfId="0" applyFont="1" applyFill="1" applyBorder="1" applyAlignment="1">
      <alignment horizontal="left" indent="1"/>
    </xf>
    <xf numFmtId="0" fontId="5" fillId="8" borderId="31" xfId="0" applyFont="1" applyFill="1" applyBorder="1" applyAlignment="1">
      <alignment horizontal="left" indent="1"/>
    </xf>
    <xf numFmtId="9" fontId="0" fillId="0" borderId="0" xfId="1" applyFont="1"/>
    <xf numFmtId="0" fontId="3" fillId="0" borderId="20" xfId="0" applyFont="1" applyFill="1" applyBorder="1" applyAlignment="1">
      <alignment horizontal="right"/>
    </xf>
    <xf numFmtId="0" fontId="3" fillId="2" borderId="23" xfId="0" applyFont="1" applyFill="1" applyBorder="1"/>
    <xf numFmtId="0" fontId="2" fillId="2" borderId="23" xfId="0" applyFont="1" applyFill="1" applyBorder="1"/>
    <xf numFmtId="0" fontId="5" fillId="5" borderId="17" xfId="0" applyFont="1" applyFill="1" applyBorder="1" applyAlignment="1">
      <alignment horizontal="center"/>
    </xf>
    <xf numFmtId="41" fontId="3" fillId="4" borderId="2" xfId="2" applyNumberFormat="1" applyFont="1" applyFill="1" applyBorder="1"/>
    <xf numFmtId="0" fontId="14"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Alignment="1">
      <alignment horizontal="center"/>
    </xf>
    <xf numFmtId="0" fontId="0" fillId="0" borderId="0" xfId="0" applyFont="1"/>
    <xf numFmtId="0" fontId="0" fillId="0" borderId="0" xfId="0" applyFont="1" applyFill="1" applyBorder="1"/>
    <xf numFmtId="0" fontId="0" fillId="6" borderId="21" xfId="0" applyFont="1" applyFill="1" applyBorder="1"/>
    <xf numFmtId="0" fontId="14" fillId="6" borderId="23" xfId="0" applyFont="1" applyFill="1" applyBorder="1"/>
    <xf numFmtId="0" fontId="14" fillId="6" borderId="22" xfId="0" applyFont="1" applyFill="1" applyBorder="1" applyAlignment="1">
      <alignment horizontal="right"/>
    </xf>
    <xf numFmtId="0" fontId="14" fillId="0" borderId="0" xfId="0" applyFont="1" applyFill="1" applyBorder="1"/>
    <xf numFmtId="172" fontId="14" fillId="0" borderId="20" xfId="0" applyNumberFormat="1" applyFont="1" applyFill="1" applyBorder="1"/>
    <xf numFmtId="0" fontId="0" fillId="2" borderId="20" xfId="0" applyFont="1" applyFill="1" applyBorder="1" applyAlignment="1">
      <alignment horizontal="center"/>
    </xf>
    <xf numFmtId="0" fontId="0" fillId="0" borderId="0" xfId="0" applyFont="1" applyAlignment="1">
      <alignment horizontal="center"/>
    </xf>
    <xf numFmtId="173" fontId="0" fillId="2" borderId="20" xfId="0" applyNumberFormat="1"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4"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4"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27" xfId="0" applyNumberFormat="1" applyFont="1" applyFill="1" applyBorder="1"/>
    <xf numFmtId="1" fontId="14" fillId="0" borderId="25" xfId="0" applyNumberFormat="1" applyFont="1" applyFill="1" applyBorder="1"/>
    <xf numFmtId="41" fontId="14" fillId="0" borderId="0" xfId="0" applyNumberFormat="1" applyFont="1" applyFill="1" applyBorder="1"/>
    <xf numFmtId="10" fontId="14"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4" fillId="0" borderId="0" xfId="1" applyNumberFormat="1" applyFont="1" applyFill="1" applyBorder="1"/>
    <xf numFmtId="0" fontId="0" fillId="0" borderId="0" xfId="0" applyFont="1" applyFill="1" applyBorder="1" applyAlignment="1">
      <alignment horizontal="center"/>
    </xf>
    <xf numFmtId="0" fontId="14" fillId="0" borderId="0" xfId="0" applyFont="1" applyFill="1" applyBorder="1" applyAlignment="1">
      <alignment horizontal="center" wrapText="1"/>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0" fontId="3" fillId="9" borderId="0" xfId="0" applyFont="1" applyFill="1" applyBorder="1"/>
    <xf numFmtId="0" fontId="5" fillId="0" borderId="0" xfId="0" applyFont="1" applyBorder="1" applyAlignment="1">
      <alignment horizontal="left"/>
    </xf>
    <xf numFmtId="0" fontId="5" fillId="0" borderId="25" xfId="0" applyFont="1" applyBorder="1" applyAlignment="1">
      <alignment horizontal="left"/>
    </xf>
    <xf numFmtId="0" fontId="3" fillId="0" borderId="27" xfId="0" applyFont="1" applyFill="1" applyBorder="1"/>
    <xf numFmtId="0" fontId="3" fillId="0" borderId="25" xfId="0" applyFont="1" applyFill="1" applyBorder="1"/>
    <xf numFmtId="9" fontId="0" fillId="0" borderId="0" xfId="0" applyNumberFormat="1"/>
    <xf numFmtId="41" fontId="3" fillId="0" borderId="20" xfId="0" applyNumberFormat="1" applyFont="1" applyFill="1" applyBorder="1" applyAlignment="1">
      <alignment horizontal="center"/>
    </xf>
    <xf numFmtId="0" fontId="5" fillId="0" borderId="0" xfId="0" applyFont="1" applyBorder="1" applyAlignment="1">
      <alignment horizontal="right"/>
    </xf>
    <xf numFmtId="0" fontId="5" fillId="0" borderId="25" xfId="0" applyFont="1" applyFill="1" applyBorder="1"/>
    <xf numFmtId="2" fontId="3" fillId="0" borderId="20" xfId="1" applyNumberFormat="1" applyFont="1" applyBorder="1"/>
    <xf numFmtId="2" fontId="3" fillId="5" borderId="20" xfId="1" applyNumberFormat="1" applyFont="1" applyFill="1" applyBorder="1"/>
    <xf numFmtId="2" fontId="3" fillId="0" borderId="20" xfId="1" applyNumberFormat="1" applyFont="1" applyFill="1" applyBorder="1"/>
    <xf numFmtId="2" fontId="5" fillId="0" borderId="0" xfId="1" applyNumberFormat="1" applyFont="1" applyFill="1"/>
    <xf numFmtId="2" fontId="5" fillId="0" borderId="0" xfId="0" applyNumberFormat="1" applyFont="1"/>
    <xf numFmtId="4" fontId="3" fillId="0" borderId="25" xfId="3" applyNumberFormat="1" applyFont="1" applyFill="1" applyBorder="1"/>
    <xf numFmtId="4" fontId="5" fillId="0" borderId="0" xfId="3" applyNumberFormat="1" applyFont="1" applyFill="1" applyBorder="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9" borderId="3" xfId="0" applyNumberFormat="1" applyFont="1" applyFill="1" applyBorder="1"/>
    <xf numFmtId="4" fontId="3" fillId="9" borderId="27" xfId="1" applyNumberFormat="1" applyFont="1" applyFill="1" applyBorder="1"/>
    <xf numFmtId="2" fontId="5" fillId="0" borderId="25" xfId="0" applyNumberFormat="1" applyFont="1" applyBorder="1"/>
    <xf numFmtId="2" fontId="5" fillId="0" borderId="1" xfId="0"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0" borderId="25"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25" xfId="0" applyNumberFormat="1" applyFont="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5" borderId="27" xfId="1" applyNumberFormat="1" applyFont="1" applyFill="1" applyBorder="1"/>
    <xf numFmtId="4" fontId="3" fillId="8"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5"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5" borderId="20" xfId="0" applyNumberFormat="1" applyFont="1" applyFill="1" applyBorder="1"/>
    <xf numFmtId="4" fontId="3" fillId="0" borderId="0" xfId="0" applyNumberFormat="1" applyFont="1" applyFill="1" applyBorder="1"/>
    <xf numFmtId="4" fontId="3" fillId="5" borderId="3" xfId="0" applyNumberFormat="1" applyFont="1" applyFill="1" applyBorder="1"/>
    <xf numFmtId="4" fontId="3" fillId="0" borderId="3"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3" borderId="1" xfId="0" applyNumberFormat="1" applyFont="1" applyFill="1" applyBorder="1"/>
    <xf numFmtId="3" fontId="5" fillId="0" borderId="1" xfId="0" applyNumberFormat="1" applyFont="1" applyFill="1" applyBorder="1"/>
    <xf numFmtId="174" fontId="5" fillId="3" borderId="9" xfId="1"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3" fontId="5" fillId="3" borderId="17" xfId="0" applyNumberFormat="1" applyFont="1" applyFill="1" applyBorder="1"/>
    <xf numFmtId="172" fontId="5" fillId="0" borderId="6" xfId="1" applyNumberFormat="1" applyFont="1" applyFill="1" applyBorder="1"/>
    <xf numFmtId="172" fontId="5" fillId="0" borderId="9" xfId="1"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3" borderId="0" xfId="1" applyNumberFormat="1" applyFont="1" applyFill="1" applyBorder="1"/>
    <xf numFmtId="1" fontId="5" fillId="0" borderId="23" xfId="1" applyNumberFormat="1" applyFont="1" applyFill="1" applyBorder="1"/>
    <xf numFmtId="174" fontId="5" fillId="0" borderId="6" xfId="1" applyNumberFormat="1" applyFont="1" applyFill="1" applyBorder="1"/>
    <xf numFmtId="174" fontId="5" fillId="0" borderId="9" xfId="1" applyNumberFormat="1" applyFont="1" applyFill="1" applyBorder="1"/>
    <xf numFmtId="174" fontId="5" fillId="0" borderId="25" xfId="1" applyNumberFormat="1" applyFont="1" applyFill="1" applyBorder="1"/>
    <xf numFmtId="174" fontId="5" fillId="0" borderId="0" xfId="1" applyNumberFormat="1" applyFont="1" applyFill="1" applyBorder="1"/>
    <xf numFmtId="3" fontId="5" fillId="3" borderId="0" xfId="1" applyNumberFormat="1" applyFont="1" applyFill="1" applyBorder="1"/>
    <xf numFmtId="174" fontId="5" fillId="3"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4"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3" fontId="5" fillId="3" borderId="7" xfId="1" applyNumberFormat="1" applyFont="1" applyFill="1" applyBorder="1"/>
    <xf numFmtId="3" fontId="5" fillId="3" borderId="16" xfId="1"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3" fontId="5" fillId="3" borderId="6" xfId="1" applyNumberFormat="1" applyFont="1" applyFill="1" applyBorder="1"/>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2" fontId="5" fillId="0" borderId="2" xfId="0" applyNumberFormat="1" applyFont="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20" xfId="0" applyNumberFormat="1" applyFont="1" applyFill="1" applyBorder="1"/>
    <xf numFmtId="3" fontId="5" fillId="0" borderId="21" xfId="0" applyNumberFormat="1" applyFont="1" applyBorder="1"/>
    <xf numFmtId="3" fontId="5" fillId="0" borderId="19" xfId="0" applyNumberFormat="1" applyFont="1" applyBorder="1"/>
    <xf numFmtId="2" fontId="5" fillId="0" borderId="3" xfId="0" applyNumberFormat="1" applyFont="1" applyBorder="1"/>
    <xf numFmtId="3" fontId="5" fillId="0" borderId="3" xfId="0" applyNumberFormat="1" applyFont="1" applyBorder="1"/>
    <xf numFmtId="2" fontId="3" fillId="5" borderId="21" xfId="1" applyNumberFormat="1" applyFont="1" applyFill="1" applyBorder="1"/>
    <xf numFmtId="2" fontId="5" fillId="0" borderId="27" xfId="1" applyNumberFormat="1" applyFont="1" applyFill="1" applyBorder="1" applyAlignment="1">
      <alignment horizontal="right"/>
    </xf>
    <xf numFmtId="2" fontId="5" fillId="0" borderId="24" xfId="1" applyNumberFormat="1" applyFont="1" applyFill="1" applyBorder="1" applyAlignment="1">
      <alignment horizontal="right"/>
    </xf>
    <xf numFmtId="3" fontId="3" fillId="8" borderId="32" xfId="1" applyNumberFormat="1" applyFont="1" applyFill="1" applyBorder="1"/>
    <xf numFmtId="2" fontId="5" fillId="0" borderId="1" xfId="0" applyNumberFormat="1" applyFont="1" applyBorder="1"/>
    <xf numFmtId="172" fontId="5" fillId="0" borderId="1" xfId="0" applyNumberFormat="1" applyFont="1" applyBorder="1"/>
    <xf numFmtId="1" fontId="5" fillId="0" borderId="0" xfId="0" applyNumberFormat="1" applyFont="1"/>
    <xf numFmtId="2" fontId="5" fillId="0" borderId="12" xfId="0" applyNumberFormat="1" applyFont="1" applyBorder="1"/>
    <xf numFmtId="174" fontId="5" fillId="0" borderId="0" xfId="0" applyNumberFormat="1" applyFont="1"/>
    <xf numFmtId="3" fontId="5" fillId="0" borderId="12" xfId="0" applyNumberFormat="1" applyFont="1" applyBorder="1"/>
    <xf numFmtId="3" fontId="5" fillId="0" borderId="18"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1" fontId="5" fillId="0" borderId="20" xfId="0" applyNumberFormat="1" applyFont="1" applyBorder="1" applyAlignment="1">
      <alignment horizontal="right"/>
    </xf>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xf numFmtId="2" fontId="3" fillId="0" borderId="13" xfId="0" applyNumberFormat="1" applyFont="1" applyFill="1" applyBorder="1" applyAlignment="1"/>
    <xf numFmtId="2" fontId="3" fillId="0" borderId="14" xfId="0" applyNumberFormat="1" applyFont="1" applyFill="1" applyBorder="1" applyAlignment="1">
      <alignment horizontal="right"/>
    </xf>
    <xf numFmtId="2" fontId="3" fillId="0" borderId="14" xfId="0" applyNumberFormat="1" applyFont="1" applyFill="1" applyBorder="1" applyAlignment="1"/>
    <xf numFmtId="2" fontId="3" fillId="0" borderId="15" xfId="0" applyNumberFormat="1" applyFont="1" applyFill="1" applyBorder="1" applyAlignment="1"/>
    <xf numFmtId="172" fontId="5" fillId="0" borderId="13" xfId="0" applyNumberFormat="1" applyFont="1" applyBorder="1"/>
    <xf numFmtId="172" fontId="5" fillId="0" borderId="0" xfId="1" applyNumberFormat="1" applyFont="1" applyBorder="1"/>
    <xf numFmtId="2" fontId="3" fillId="0" borderId="13" xfId="2" applyNumberFormat="1" applyFont="1" applyFill="1" applyBorder="1"/>
    <xf numFmtId="2" fontId="3" fillId="0" borderId="14" xfId="2" applyNumberFormat="1" applyFont="1" applyFill="1" applyBorder="1"/>
    <xf numFmtId="172" fontId="5" fillId="0" borderId="20" xfId="0" applyNumberFormat="1" applyFont="1" applyBorder="1"/>
    <xf numFmtId="3" fontId="5" fillId="0" borderId="13" xfId="3" applyNumberFormat="1" applyFont="1" applyBorder="1"/>
    <xf numFmtId="3" fontId="5" fillId="0" borderId="16" xfId="3" applyNumberFormat="1" applyFont="1" applyBorder="1"/>
    <xf numFmtId="3" fontId="5" fillId="0" borderId="25" xfId="3" applyNumberFormat="1" applyFont="1" applyBorder="1"/>
    <xf numFmtId="172" fontId="5" fillId="0" borderId="0" xfId="1" applyNumberFormat="1" applyFont="1"/>
    <xf numFmtId="175" fontId="5" fillId="0" borderId="0" xfId="0" applyNumberFormat="1" applyFont="1" applyBorder="1"/>
    <xf numFmtId="37" fontId="5" fillId="0" borderId="3" xfId="0" applyNumberFormat="1" applyFont="1" applyBorder="1"/>
    <xf numFmtId="37" fontId="5" fillId="0" borderId="9" xfId="0" applyNumberFormat="1" applyFont="1" applyBorder="1"/>
    <xf numFmtId="37" fontId="5" fillId="0" borderId="6" xfId="0" applyNumberFormat="1" applyFont="1" applyBorder="1"/>
    <xf numFmtId="3" fontId="5" fillId="0" borderId="13" xfId="0" applyNumberFormat="1" applyFont="1" applyBorder="1"/>
    <xf numFmtId="3" fontId="5" fillId="0" borderId="20" xfId="0" applyNumberFormat="1" applyFont="1" applyBorder="1"/>
    <xf numFmtId="37" fontId="5" fillId="0" borderId="9" xfId="0" applyNumberFormat="1" applyFont="1" applyFill="1" applyBorder="1"/>
    <xf numFmtId="37" fontId="5" fillId="0" borderId="20" xfId="0" applyNumberFormat="1" applyFont="1" applyBorder="1"/>
    <xf numFmtId="3" fontId="5" fillId="0" borderId="27" xfId="3" applyNumberFormat="1" applyFont="1" applyBorder="1"/>
    <xf numFmtId="3" fontId="3" fillId="0" borderId="20" xfId="0" applyNumberFormat="1" applyFont="1" applyFill="1" applyBorder="1"/>
    <xf numFmtId="3" fontId="5" fillId="5" borderId="20" xfId="0" applyNumberFormat="1" applyFont="1" applyFill="1" applyBorder="1" applyAlignment="1">
      <alignment horizontal="center"/>
    </xf>
    <xf numFmtId="3" fontId="5" fillId="5" borderId="20" xfId="0" quotePrefix="1" applyNumberFormat="1" applyFont="1" applyFill="1" applyBorder="1" applyAlignment="1">
      <alignment horizontal="center"/>
    </xf>
    <xf numFmtId="3" fontId="3" fillId="5" borderId="20" xfId="0" applyNumberFormat="1" applyFont="1" applyFill="1" applyBorder="1"/>
    <xf numFmtId="3" fontId="5" fillId="5" borderId="20" xfId="0" applyNumberFormat="1" applyFont="1" applyFill="1" applyBorder="1"/>
    <xf numFmtId="3" fontId="5" fillId="5" borderId="20" xfId="0" applyNumberFormat="1" applyFont="1" applyFill="1" applyBorder="1" applyAlignment="1">
      <alignment horizontal="right"/>
    </xf>
    <xf numFmtId="3" fontId="5" fillId="5" borderId="20" xfId="0" quotePrefix="1" applyNumberFormat="1" applyFont="1" applyFill="1" applyBorder="1"/>
    <xf numFmtId="3" fontId="3" fillId="0" borderId="20" xfId="0" applyNumberFormat="1" applyFont="1" applyBorder="1"/>
    <xf numFmtId="3" fontId="3" fillId="5" borderId="3" xfId="0" applyNumberFormat="1" applyFont="1" applyFill="1" applyBorder="1"/>
    <xf numFmtId="2" fontId="1" fillId="0" borderId="20" xfId="1" applyNumberFormat="1" applyFont="1" applyBorder="1"/>
    <xf numFmtId="2" fontId="14" fillId="0" borderId="20" xfId="1" applyNumberFormat="1" applyFont="1" applyFill="1" applyBorder="1"/>
    <xf numFmtId="2" fontId="1" fillId="0" borderId="20" xfId="1" applyNumberFormat="1" applyFont="1" applyFill="1" applyBorder="1"/>
    <xf numFmtId="2" fontId="1" fillId="0" borderId="20" xfId="1" applyNumberFormat="1" applyFont="1" applyFill="1" applyBorder="1" applyAlignment="1">
      <alignment horizontal="right"/>
    </xf>
    <xf numFmtId="2" fontId="1" fillId="0" borderId="27" xfId="1" applyNumberFormat="1" applyFont="1" applyFill="1" applyBorder="1"/>
    <xf numFmtId="174" fontId="5" fillId="5" borderId="20" xfId="0" applyNumberFormat="1" applyFont="1" applyFill="1" applyBorder="1"/>
    <xf numFmtId="174" fontId="3" fillId="5" borderId="20" xfId="0" applyNumberFormat="1" applyFont="1" applyFill="1" applyBorder="1"/>
    <xf numFmtId="174" fontId="5" fillId="5" borderId="20" xfId="0" applyNumberFormat="1" applyFont="1" applyFill="1" applyBorder="1" applyAlignment="1">
      <alignment horizontal="right"/>
    </xf>
    <xf numFmtId="0" fontId="5" fillId="0" borderId="21" xfId="0" applyFont="1" applyBorder="1" applyAlignment="1">
      <alignment horizontal="center"/>
    </xf>
    <xf numFmtId="0" fontId="5" fillId="0" borderId="22" xfId="0" applyFont="1" applyBorder="1" applyAlignment="1">
      <alignment horizontal="center"/>
    </xf>
    <xf numFmtId="0" fontId="14" fillId="0" borderId="1" xfId="0" applyFont="1" applyFill="1" applyBorder="1" applyAlignment="1">
      <alignment horizontal="center" wrapText="1"/>
    </xf>
    <xf numFmtId="0" fontId="0" fillId="0" borderId="1" xfId="0" applyFont="1" applyFill="1" applyBorder="1" applyAlignment="1">
      <alignment horizontal="center" wrapText="1"/>
    </xf>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a:lstStyle/>
        <a:p>
          <a:pPr>
            <a:defRPr sz="1100"/>
          </a:pPr>
          <a:endParaRPr lang="en-US"/>
        </a:p>
      </c:txPr>
    </c:title>
    <c:autoTitleDeleted val="0"/>
    <c:plotArea>
      <c:layout/>
      <c:scatterChart>
        <c:scatterStyle val="smoothMarker"/>
        <c:varyColors val="0"/>
        <c:ser>
          <c:idx val="1"/>
          <c:order val="0"/>
          <c:tx>
            <c:strRef>
              <c:f>'Results Summary'!$F$6</c:f>
              <c:strCache>
                <c:ptCount val="1"/>
                <c:pt idx="0">
                  <c:v>IRR in Year 10</c:v>
                </c:pt>
              </c:strCache>
            </c:strRef>
          </c:tx>
          <c:marker>
            <c:symbol val="none"/>
          </c:marker>
          <c:xVal>
            <c:numRef>
              <c:f>'Results Summary'!$E$7:$E$106</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'Results Summary'!$F$7:$F$106</c:f>
              <c:numCache>
                <c:formatCode>0.00</c:formatCode>
                <c:ptCount val="100"/>
                <c:pt idx="0">
                  <c:v>77.142700000000005</c:v>
                </c:pt>
                <c:pt idx="1">
                  <c:v>72.743300000000005</c:v>
                </c:pt>
                <c:pt idx="2">
                  <c:v>69.4739</c:v>
                </c:pt>
                <c:pt idx="3">
                  <c:v>66.942899999999995</c:v>
                </c:pt>
                <c:pt idx="4">
                  <c:v>64.9238</c:v>
                </c:pt>
                <c:pt idx="5">
                  <c:v>63.274999999999999</c:v>
                </c:pt>
                <c:pt idx="6">
                  <c:v>61.903199999999998</c:v>
                </c:pt>
                <c:pt idx="7">
                  <c:v>60.744199999999999</c:v>
                </c:pt>
                <c:pt idx="8">
                  <c:v>59.752200000000002</c:v>
                </c:pt>
                <c:pt idx="9">
                  <c:v>58.893599999999999</c:v>
                </c:pt>
                <c:pt idx="10">
                  <c:v>58.1434</c:v>
                </c:pt>
                <c:pt idx="11">
                  <c:v>57.482300000000002</c:v>
                </c:pt>
                <c:pt idx="12">
                  <c:v>56.895499999999998</c:v>
                </c:pt>
                <c:pt idx="13">
                  <c:v>56.371099999999998</c:v>
                </c:pt>
                <c:pt idx="14">
                  <c:v>55.899799999999999</c:v>
                </c:pt>
                <c:pt idx="15">
                  <c:v>55.4739</c:v>
                </c:pt>
                <c:pt idx="16">
                  <c:v>55.087200000000003</c:v>
                </c:pt>
                <c:pt idx="17">
                  <c:v>54.734499999999997</c:v>
                </c:pt>
                <c:pt idx="18">
                  <c:v>54.4116</c:v>
                </c:pt>
                <c:pt idx="19">
                  <c:v>54.114800000000002</c:v>
                </c:pt>
                <c:pt idx="20">
                  <c:v>53.841200000000001</c:v>
                </c:pt>
                <c:pt idx="21">
                  <c:v>53.588099999999997</c:v>
                </c:pt>
                <c:pt idx="22">
                  <c:v>53.353299999999997</c:v>
                </c:pt>
                <c:pt idx="23">
                  <c:v>53.134900000000002</c:v>
                </c:pt>
                <c:pt idx="24">
                  <c:v>52.931199999999997</c:v>
                </c:pt>
                <c:pt idx="25">
                  <c:v>52.740900000000003</c:v>
                </c:pt>
                <c:pt idx="26">
                  <c:v>52.562600000000003</c:v>
                </c:pt>
                <c:pt idx="27">
                  <c:v>52.395200000000003</c:v>
                </c:pt>
                <c:pt idx="28">
                  <c:v>52.2378</c:v>
                </c:pt>
                <c:pt idx="29">
                  <c:v>52.089599999999997</c:v>
                </c:pt>
                <c:pt idx="30">
                  <c:v>51.949599999999997</c:v>
                </c:pt>
                <c:pt idx="31">
                  <c:v>51.817399999999999</c:v>
                </c:pt>
                <c:pt idx="32">
                  <c:v>51.692100000000003</c:v>
                </c:pt>
                <c:pt idx="33">
                  <c:v>51.573399999999999</c:v>
                </c:pt>
                <c:pt idx="34">
                  <c:v>51.460700000000003</c:v>
                </c:pt>
                <c:pt idx="35">
                  <c:v>51.353499999999997</c:v>
                </c:pt>
                <c:pt idx="36">
                  <c:v>51.2515</c:v>
                </c:pt>
                <c:pt idx="37">
                  <c:v>51.154299999999999</c:v>
                </c:pt>
                <c:pt idx="38">
                  <c:v>51.061599999999999</c:v>
                </c:pt>
                <c:pt idx="39">
                  <c:v>50.973100000000002</c:v>
                </c:pt>
                <c:pt idx="40">
                  <c:v>50.888399999999997</c:v>
                </c:pt>
                <c:pt idx="41">
                  <c:v>50.807400000000001</c:v>
                </c:pt>
                <c:pt idx="42">
                  <c:v>50.729799999999997</c:v>
                </c:pt>
                <c:pt idx="43">
                  <c:v>50.6554</c:v>
                </c:pt>
                <c:pt idx="44">
                  <c:v>50.584000000000003</c:v>
                </c:pt>
                <c:pt idx="45">
                  <c:v>50.5154</c:v>
                </c:pt>
                <c:pt idx="46">
                  <c:v>50.4495</c:v>
                </c:pt>
                <c:pt idx="47">
                  <c:v>50.386200000000002</c:v>
                </c:pt>
                <c:pt idx="48">
                  <c:v>50.325200000000002</c:v>
                </c:pt>
                <c:pt idx="49">
                  <c:v>50.266399999999997</c:v>
                </c:pt>
                <c:pt idx="50">
                  <c:v>50.209699999999998</c:v>
                </c:pt>
                <c:pt idx="51">
                  <c:v>50.155099999999997</c:v>
                </c:pt>
                <c:pt idx="52">
                  <c:v>50.102400000000003</c:v>
                </c:pt>
                <c:pt idx="53">
                  <c:v>50.051400000000001</c:v>
                </c:pt>
                <c:pt idx="54">
                  <c:v>50.002200000000002</c:v>
                </c:pt>
                <c:pt idx="55">
                  <c:v>49.954599999999999</c:v>
                </c:pt>
                <c:pt idx="56">
                  <c:v>49.9086</c:v>
                </c:pt>
                <c:pt idx="57">
                  <c:v>49.864100000000001</c:v>
                </c:pt>
                <c:pt idx="58">
                  <c:v>49.820900000000002</c:v>
                </c:pt>
                <c:pt idx="59">
                  <c:v>49.7791</c:v>
                </c:pt>
                <c:pt idx="60">
                  <c:v>49.738599999999998</c:v>
                </c:pt>
                <c:pt idx="61">
                  <c:v>49.699199999999998</c:v>
                </c:pt>
                <c:pt idx="62">
                  <c:v>49.661099999999998</c:v>
                </c:pt>
                <c:pt idx="63">
                  <c:v>49.624099999999999</c:v>
                </c:pt>
                <c:pt idx="64">
                  <c:v>49.588099999999997</c:v>
                </c:pt>
                <c:pt idx="65">
                  <c:v>49.553199999999997</c:v>
                </c:pt>
                <c:pt idx="66">
                  <c:v>49.519199999999998</c:v>
                </c:pt>
                <c:pt idx="67">
                  <c:v>49.486199999999997</c:v>
                </c:pt>
                <c:pt idx="68">
                  <c:v>49.454099999999997</c:v>
                </c:pt>
                <c:pt idx="69">
                  <c:v>49.422800000000002</c:v>
                </c:pt>
                <c:pt idx="70">
                  <c:v>49.392400000000002</c:v>
                </c:pt>
                <c:pt idx="71">
                  <c:v>49.3628</c:v>
                </c:pt>
                <c:pt idx="72">
                  <c:v>49.3339</c:v>
                </c:pt>
                <c:pt idx="73">
                  <c:v>49.305799999999998</c:v>
                </c:pt>
                <c:pt idx="74">
                  <c:v>49.278300000000002</c:v>
                </c:pt>
                <c:pt idx="75">
                  <c:v>49.251600000000003</c:v>
                </c:pt>
                <c:pt idx="76">
                  <c:v>49.225499999999997</c:v>
                </c:pt>
                <c:pt idx="77">
                  <c:v>49.200099999999999</c:v>
                </c:pt>
                <c:pt idx="78">
                  <c:v>49.175199999999997</c:v>
                </c:pt>
                <c:pt idx="79">
                  <c:v>49.151000000000003</c:v>
                </c:pt>
                <c:pt idx="80">
                  <c:v>49.127299999999998</c:v>
                </c:pt>
                <c:pt idx="81">
                  <c:v>49.104199999999999</c:v>
                </c:pt>
                <c:pt idx="82">
                  <c:v>49.081600000000002</c:v>
                </c:pt>
                <c:pt idx="83">
                  <c:v>49.0595</c:v>
                </c:pt>
                <c:pt idx="84">
                  <c:v>49.0379</c:v>
                </c:pt>
                <c:pt idx="85">
                  <c:v>49.016800000000003</c:v>
                </c:pt>
                <c:pt idx="86">
                  <c:v>48.996200000000002</c:v>
                </c:pt>
                <c:pt idx="87">
                  <c:v>48.975999999999999</c:v>
                </c:pt>
                <c:pt idx="88">
                  <c:v>48.956200000000003</c:v>
                </c:pt>
                <c:pt idx="89">
                  <c:v>48.936799999999998</c:v>
                </c:pt>
                <c:pt idx="90">
                  <c:v>48.917900000000003</c:v>
                </c:pt>
                <c:pt idx="91">
                  <c:v>48.899299999999997</c:v>
                </c:pt>
                <c:pt idx="92">
                  <c:v>48.8812</c:v>
                </c:pt>
                <c:pt idx="93">
                  <c:v>48.863399999999999</c:v>
                </c:pt>
                <c:pt idx="94">
                  <c:v>48.8459</c:v>
                </c:pt>
                <c:pt idx="95">
                  <c:v>48.828800000000001</c:v>
                </c:pt>
                <c:pt idx="96">
                  <c:v>48.812100000000001</c:v>
                </c:pt>
                <c:pt idx="97">
                  <c:v>48.7956</c:v>
                </c:pt>
                <c:pt idx="98">
                  <c:v>48.779499999999999</c:v>
                </c:pt>
                <c:pt idx="99">
                  <c:v>48.7637</c:v>
                </c:pt>
              </c:numCache>
            </c:numRef>
          </c:yVal>
          <c:smooth val="1"/>
        </c:ser>
        <c:dLbls>
          <c:showLegendKey val="0"/>
          <c:showVal val="0"/>
          <c:showCatName val="0"/>
          <c:showSerName val="0"/>
          <c:showPercent val="0"/>
          <c:showBubbleSize val="0"/>
        </c:dLbls>
        <c:axId val="268285488"/>
        <c:axId val="268285880"/>
      </c:scatterChart>
      <c:valAx>
        <c:axId val="268285488"/>
        <c:scaling>
          <c:orientation val="minMax"/>
          <c:max val="100"/>
        </c:scaling>
        <c:delete val="0"/>
        <c:axPos val="b"/>
        <c:title>
          <c:tx>
            <c:rich>
              <a:bodyPr/>
              <a:lstStyle/>
              <a:p>
                <a:pPr>
                  <a:defRPr/>
                </a:pPr>
                <a:r>
                  <a:rPr lang="en-US"/>
                  <a:t>Year 1 PPA Price (¢/kWh)</a:t>
                </a:r>
              </a:p>
            </c:rich>
          </c:tx>
          <c:layout/>
          <c:overlay val="0"/>
        </c:title>
        <c:numFmt formatCode="0" sourceLinked="1"/>
        <c:majorTickMark val="cross"/>
        <c:minorTickMark val="out"/>
        <c:tickLblPos val="nextTo"/>
        <c:crossAx val="268285880"/>
        <c:crosses val="autoZero"/>
        <c:crossBetween val="midCat"/>
        <c:majorUnit val="10"/>
        <c:minorUnit val="1"/>
      </c:valAx>
      <c:valAx>
        <c:axId val="268285880"/>
        <c:scaling>
          <c:orientation val="minMax"/>
        </c:scaling>
        <c:delete val="0"/>
        <c:axPos val="l"/>
        <c:majorGridlines/>
        <c:title>
          <c:tx>
            <c:rich>
              <a:bodyPr rot="-5400000" vert="horz"/>
              <a:lstStyle/>
              <a:p>
                <a:pPr>
                  <a:defRPr/>
                </a:pPr>
                <a:r>
                  <a:rPr lang="en-US"/>
                  <a:t>IRR (</a:t>
                </a:r>
                <a:r>
                  <a:rPr lang="en-US" baseline="0"/>
                  <a:t> %)</a:t>
                </a:r>
              </a:p>
            </c:rich>
          </c:tx>
          <c:layout/>
          <c:overlay val="0"/>
        </c:title>
        <c:numFmt formatCode="0.00" sourceLinked="1"/>
        <c:majorTickMark val="out"/>
        <c:minorTickMark val="none"/>
        <c:tickLblPos val="nextTo"/>
        <c:crossAx val="26828548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1</xdr:row>
          <xdr:rowOff>38100</xdr:rowOff>
        </xdr:from>
        <xdr:to>
          <xdr:col>6</xdr:col>
          <xdr:colOff>1009650</xdr:colOff>
          <xdr:row>4</xdr:row>
          <xdr:rowOff>95250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 PPA price </a:t>
              </a:r>
            </a:p>
            <a:p>
              <a:pPr algn="ctr" rtl="0">
                <a:defRPr sz="1000"/>
              </a:pPr>
              <a:r>
                <a:rPr lang="en-US" sz="1100" b="0" i="0" u="none" strike="noStrike" baseline="0">
                  <a:solidFill>
                    <a:srgbClr val="000000"/>
                  </a:solidFill>
                  <a:latin typeface="Calibri"/>
                </a:rPr>
                <a:t>to meet IRR targets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257174</xdr:colOff>
      <xdr:row>0</xdr:row>
      <xdr:rowOff>190498</xdr:rowOff>
    </xdr:from>
    <xdr:to>
      <xdr:col>14</xdr:col>
      <xdr:colOff>323850</xdr:colOff>
      <xdr:row>24</xdr:row>
      <xdr:rowOff>190498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9"/>
  <sheetViews>
    <sheetView tabSelected="1" zoomScale="90" zoomScaleNormal="90" workbookViewId="0"/>
  </sheetViews>
  <sheetFormatPr defaultRowHeight="12.75" x14ac:dyDescent="0.2"/>
  <cols>
    <col min="1" max="1" width="9.140625" style="7"/>
    <col min="2" max="2" width="54.7109375" style="7" customWidth="1"/>
    <col min="3" max="3" width="18.85546875" style="7" customWidth="1"/>
    <col min="4"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74"/>
      <c r="C1" s="286"/>
      <c r="D1" s="174"/>
      <c r="E1" s="174"/>
      <c r="F1" s="174"/>
      <c r="G1" s="174"/>
      <c r="H1" s="174"/>
      <c r="I1" s="174"/>
      <c r="J1" s="174"/>
      <c r="K1" s="174"/>
      <c r="L1" s="174"/>
      <c r="M1" s="174"/>
      <c r="N1" s="174"/>
    </row>
    <row r="2" spans="1:48" s="10" customFormat="1" ht="12.75" customHeight="1" x14ac:dyDescent="0.2">
      <c r="A2" s="7"/>
      <c r="B2" s="8" t="s">
        <v>187</v>
      </c>
      <c r="C2" s="287"/>
      <c r="D2" s="174"/>
      <c r="E2" s="177" t="s">
        <v>142</v>
      </c>
      <c r="F2" s="12"/>
      <c r="G2" s="174"/>
      <c r="H2" s="145" t="s">
        <v>296</v>
      </c>
      <c r="I2" s="308">
        <v>17</v>
      </c>
      <c r="J2" s="174" t="s">
        <v>324</v>
      </c>
      <c r="K2" s="174"/>
      <c r="L2" s="174"/>
      <c r="M2" s="174"/>
      <c r="N2" s="174"/>
    </row>
    <row r="3" spans="1:48" s="10" customFormat="1" ht="12.75" customHeight="1" x14ac:dyDescent="0.2">
      <c r="A3" s="7"/>
      <c r="B3" s="132" t="s">
        <v>185</v>
      </c>
      <c r="C3" s="288">
        <v>10000</v>
      </c>
      <c r="D3" s="174"/>
      <c r="E3" s="70" t="s">
        <v>293</v>
      </c>
      <c r="F3" s="12"/>
      <c r="G3" s="174"/>
      <c r="H3" s="209" t="s">
        <v>301</v>
      </c>
      <c r="I3" s="305">
        <f>'Results Summary'!F2</f>
        <v>54.599499999999999</v>
      </c>
      <c r="J3" s="174" t="s">
        <v>325</v>
      </c>
      <c r="K3" s="174"/>
      <c r="L3" s="174"/>
      <c r="M3" s="174"/>
      <c r="N3" s="174"/>
    </row>
    <row r="4" spans="1:48" s="10" customFormat="1" ht="12.75" customHeight="1" x14ac:dyDescent="0.2">
      <c r="A4" s="7"/>
      <c r="B4" s="73" t="s">
        <v>306</v>
      </c>
      <c r="C4" s="289">
        <v>0</v>
      </c>
      <c r="D4" s="174"/>
      <c r="E4" s="71" t="s">
        <v>294</v>
      </c>
      <c r="F4" s="12"/>
      <c r="G4" s="174"/>
      <c r="H4" s="209" t="s">
        <v>302</v>
      </c>
      <c r="I4" s="421">
        <f>VLOOKUP(analysis_period,E10:J50,6)</f>
        <v>50452049.603329584</v>
      </c>
      <c r="J4" s="174"/>
      <c r="K4" s="174"/>
      <c r="L4" s="174"/>
      <c r="M4" s="174"/>
      <c r="N4" s="174"/>
    </row>
    <row r="5" spans="1:48" s="10" customFormat="1" ht="12.75" customHeight="1" x14ac:dyDescent="0.2">
      <c r="A5" s="7"/>
      <c r="B5" s="262" t="s">
        <v>283</v>
      </c>
      <c r="C5" s="416">
        <v>32344836</v>
      </c>
      <c r="D5" s="174"/>
      <c r="E5" s="259" t="s">
        <v>307</v>
      </c>
      <c r="F5" s="12"/>
      <c r="G5" s="174"/>
      <c r="H5" s="209" t="s">
        <v>303</v>
      </c>
      <c r="I5" s="308">
        <f>'Cash Flow'!B124*100</f>
        <v>0</v>
      </c>
      <c r="J5" s="174"/>
      <c r="K5" s="174"/>
      <c r="L5" s="174"/>
      <c r="M5" s="174"/>
      <c r="N5" s="174"/>
    </row>
    <row r="6" spans="1:48" s="10" customFormat="1" ht="12.75" customHeight="1" x14ac:dyDescent="0.2">
      <c r="A6" s="7"/>
      <c r="B6" s="263"/>
      <c r="C6" s="290"/>
      <c r="D6" s="174"/>
      <c r="E6" s="12"/>
      <c r="F6" s="12"/>
      <c r="G6" s="174"/>
      <c r="H6" s="47" t="s">
        <v>38</v>
      </c>
      <c r="I6" s="310">
        <f>'Cash Flow'!B528</f>
        <v>39209469.661949515</v>
      </c>
      <c r="J6" s="174"/>
      <c r="K6" s="174"/>
      <c r="L6" s="174"/>
      <c r="M6" s="174"/>
      <c r="N6" s="174"/>
    </row>
    <row r="7" spans="1:48" s="10" customFormat="1" ht="12.75" customHeight="1" x14ac:dyDescent="0.2">
      <c r="A7" s="7"/>
      <c r="B7" s="8" t="s">
        <v>186</v>
      </c>
      <c r="C7" s="291"/>
      <c r="D7" s="174"/>
      <c r="H7" s="10" t="s">
        <v>98</v>
      </c>
      <c r="I7" s="353">
        <f>'Cash Flow'!B75</f>
        <v>25000000</v>
      </c>
      <c r="K7" s="174"/>
      <c r="L7" s="174"/>
      <c r="M7" s="174"/>
      <c r="N7" s="174"/>
    </row>
    <row r="8" spans="1:48" x14ac:dyDescent="0.2">
      <c r="B8" s="73" t="s">
        <v>255</v>
      </c>
      <c r="C8" s="417">
        <v>50000000</v>
      </c>
      <c r="D8" s="10"/>
      <c r="E8" s="8" t="s">
        <v>323</v>
      </c>
      <c r="F8" s="210"/>
      <c r="G8" s="211"/>
      <c r="H8" s="211"/>
      <c r="I8" s="211"/>
      <c r="J8" s="175"/>
      <c r="K8" s="20"/>
      <c r="L8" s="10"/>
      <c r="M8" s="37"/>
      <c r="N8" s="12"/>
      <c r="P8" s="12"/>
    </row>
    <row r="9" spans="1:48" x14ac:dyDescent="0.2">
      <c r="B9" s="12"/>
      <c r="C9" s="293"/>
      <c r="D9" s="10"/>
      <c r="E9" s="212" t="s">
        <v>123</v>
      </c>
      <c r="F9" s="212" t="s">
        <v>296</v>
      </c>
      <c r="G9" s="212" t="s">
        <v>297</v>
      </c>
      <c r="H9" s="212" t="s">
        <v>300</v>
      </c>
      <c r="I9" s="212" t="s">
        <v>298</v>
      </c>
      <c r="J9" s="212" t="s">
        <v>299</v>
      </c>
      <c r="M9" s="32"/>
      <c r="N9" s="194"/>
    </row>
    <row r="10" spans="1:48" x14ac:dyDescent="0.2">
      <c r="B10" s="8" t="s">
        <v>256</v>
      </c>
      <c r="C10" s="291"/>
      <c r="D10" s="10"/>
      <c r="E10" s="418">
        <f>'Cash Flow'!B2</f>
        <v>0</v>
      </c>
      <c r="F10" s="419" t="s">
        <v>295</v>
      </c>
      <c r="G10" s="420">
        <f>'Cash Flow'!$B$21</f>
        <v>0</v>
      </c>
      <c r="H10" s="421">
        <f>'Cash Flow'!$B$106</f>
        <v>-2058363.2063178048</v>
      </c>
      <c r="I10" s="421">
        <f>'Cash Flow'!$B$108</f>
        <v>0</v>
      </c>
      <c r="J10" s="421">
        <f>'Cash Flow'!$B$110</f>
        <v>-2058363.2063178048</v>
      </c>
      <c r="K10" s="12"/>
      <c r="M10" s="201"/>
      <c r="N10" s="196"/>
      <c r="P10" s="12"/>
    </row>
    <row r="11" spans="1:48" x14ac:dyDescent="0.2">
      <c r="B11" s="185" t="s">
        <v>257</v>
      </c>
      <c r="C11" s="279">
        <v>10000</v>
      </c>
      <c r="D11" s="10"/>
      <c r="E11" s="418">
        <f>'Cash Flow'!$C$2</f>
        <v>1</v>
      </c>
      <c r="F11" s="431">
        <f>PPAPrice</f>
        <v>17</v>
      </c>
      <c r="G11" s="420">
        <f>'Cash Flow'!$C$21</f>
        <v>5498622.1200000001</v>
      </c>
      <c r="H11" s="420">
        <f>'Cash Flow'!$C$106</f>
        <v>-906495.7303559687</v>
      </c>
      <c r="I11" s="432">
        <f>'Cash Flow'!$C$108</f>
        <v>0</v>
      </c>
      <c r="J11" s="420">
        <f>'Cash Flow'!$C$110</f>
        <v>-2877239.2048326815</v>
      </c>
      <c r="K11" s="182"/>
      <c r="M11" s="202"/>
      <c r="N11" s="195"/>
      <c r="O11" s="183"/>
      <c r="P11" s="184"/>
      <c r="Q11" s="182"/>
      <c r="R11" s="184"/>
      <c r="S11" s="184"/>
      <c r="T11" s="184"/>
      <c r="U11" s="184"/>
      <c r="V11" s="184"/>
      <c r="W11" s="184"/>
      <c r="X11" s="184"/>
      <c r="Y11" s="184"/>
      <c r="Z11" s="184"/>
      <c r="AA11" s="184"/>
      <c r="AB11" s="184"/>
      <c r="AC11" s="184"/>
      <c r="AD11" s="184"/>
      <c r="AE11" s="184"/>
      <c r="AF11" s="184"/>
      <c r="AG11" s="184"/>
      <c r="AH11" s="184"/>
      <c r="AI11" s="184"/>
      <c r="AJ11" s="184"/>
      <c r="AK11" s="184"/>
      <c r="AL11" s="184"/>
      <c r="AM11" s="184"/>
      <c r="AN11" s="184"/>
      <c r="AO11" s="184"/>
      <c r="AP11" s="184"/>
      <c r="AQ11" s="184"/>
      <c r="AR11" s="184"/>
      <c r="AS11" s="184"/>
      <c r="AT11" s="184"/>
      <c r="AU11" s="184"/>
      <c r="AV11" s="184"/>
    </row>
    <row r="12" spans="1:48" x14ac:dyDescent="0.2">
      <c r="B12" s="186" t="s">
        <v>313</v>
      </c>
      <c r="C12" s="280">
        <v>1</v>
      </c>
      <c r="D12" s="10"/>
      <c r="E12" s="418">
        <f>'Cash Flow'!$D$2</f>
        <v>2</v>
      </c>
      <c r="F12" s="431">
        <f>IF(E12="","",'Cash Flow'!$D$12)</f>
        <v>17.170000000000002</v>
      </c>
      <c r="G12" s="421">
        <f>'Cash Flow'!$D$21</f>
        <v>5525840.2994940011</v>
      </c>
      <c r="H12" s="421">
        <f>'Cash Flow'!$D$106</f>
        <v>3287880.7611913597</v>
      </c>
      <c r="I12" s="431">
        <f>'Cash Flow'!$D$108</f>
        <v>6.2694999999999999</v>
      </c>
      <c r="J12" s="421">
        <f>'Cash Flow'!$D$110</f>
        <v>-194238.31194251659</v>
      </c>
      <c r="K12" s="12"/>
      <c r="M12" s="201"/>
      <c r="N12" s="196"/>
      <c r="P12" s="12"/>
    </row>
    <row r="13" spans="1:48" x14ac:dyDescent="0.2">
      <c r="B13" s="185" t="s">
        <v>258</v>
      </c>
      <c r="C13" s="279">
        <v>22</v>
      </c>
      <c r="D13" s="10"/>
      <c r="E13" s="418">
        <f>'Cash Flow'!$E$2</f>
        <v>3</v>
      </c>
      <c r="F13" s="431">
        <f>IF(E13="","",'Cash Flow'!$E$12)</f>
        <v>17.341699999999999</v>
      </c>
      <c r="G13" s="421">
        <f>'Cash Flow'!$E$21</f>
        <v>5553193.2089764951</v>
      </c>
      <c r="H13" s="421">
        <f>'Cash Flow'!$E$106</f>
        <v>2273312.2889561639</v>
      </c>
      <c r="I13" s="431">
        <f>'Cash Flow'!$E$108</f>
        <v>34.956899999999997</v>
      </c>
      <c r="J13" s="421">
        <f>'Cash Flow'!$E$110</f>
        <v>1481538.7326210975</v>
      </c>
      <c r="K13" s="12"/>
      <c r="M13" s="201"/>
      <c r="N13" s="196"/>
      <c r="P13" s="12"/>
    </row>
    <row r="14" spans="1:48" x14ac:dyDescent="0.2">
      <c r="B14" s="186" t="s">
        <v>313</v>
      </c>
      <c r="C14" s="280">
        <v>0.75</v>
      </c>
      <c r="D14" s="10"/>
      <c r="E14" s="418">
        <f>'Cash Flow'!$F$2</f>
        <v>4</v>
      </c>
      <c r="F14" s="431">
        <f>IF(E14="","",'Cash Flow'!$F$12)</f>
        <v>17.515117</v>
      </c>
      <c r="G14" s="421">
        <f>'Cash Flow'!$F$21</f>
        <v>5580681.5153609291</v>
      </c>
      <c r="H14" s="421">
        <f>'Cash Flow'!$F$106</f>
        <v>1665650.5113373762</v>
      </c>
      <c r="I14" s="431">
        <f>'Cash Flow'!$F$108</f>
        <v>45.063899999999997</v>
      </c>
      <c r="J14" s="421">
        <f>'Cash Flow'!$F$110</f>
        <v>2590696.6891525034</v>
      </c>
      <c r="K14" s="12"/>
      <c r="M14" s="201"/>
      <c r="N14" s="196"/>
      <c r="P14" s="12"/>
    </row>
    <row r="15" spans="1:48" x14ac:dyDescent="0.2">
      <c r="B15" s="187" t="s">
        <v>259</v>
      </c>
      <c r="C15" s="279">
        <v>3.5</v>
      </c>
      <c r="D15" s="12"/>
      <c r="E15" s="418">
        <f>'Cash Flow'!$G$2</f>
        <v>5</v>
      </c>
      <c r="F15" s="431">
        <f>IF(E15="","",'Cash Flow'!$G$12)</f>
        <v>17.69026817</v>
      </c>
      <c r="G15" s="421">
        <f>'Cash Flow'!$G$21</f>
        <v>5608305.8888619663</v>
      </c>
      <c r="H15" s="421">
        <f>'Cash Flow'!$G$106</f>
        <v>1668191.1000942003</v>
      </c>
      <c r="I15" s="431">
        <f>'Cash Flow'!$G$108</f>
        <v>50.466299999999997</v>
      </c>
      <c r="J15" s="421">
        <f>'Cash Flow'!$G$110</f>
        <v>3594174.3192685926</v>
      </c>
      <c r="K15" s="12"/>
      <c r="M15" s="201"/>
      <c r="N15" s="196"/>
      <c r="P15" s="12"/>
    </row>
    <row r="16" spans="1:48" x14ac:dyDescent="0.2">
      <c r="B16" s="186" t="s">
        <v>313</v>
      </c>
      <c r="C16" s="280">
        <v>0</v>
      </c>
      <c r="D16" s="12"/>
      <c r="E16" s="418">
        <f>'Cash Flow'!$H$2</f>
        <v>6</v>
      </c>
      <c r="F16" s="431">
        <f>IF(E16="","",'Cash Flow'!$H$12)</f>
        <v>17.867170851699999</v>
      </c>
      <c r="G16" s="421">
        <f>'Cash Flow'!$H$21</f>
        <v>5636067.003011832</v>
      </c>
      <c r="H16" s="421">
        <f>'Cash Flow'!$H$106</f>
        <v>1213325.9798104821</v>
      </c>
      <c r="I16" s="431">
        <f>'Cash Flow'!$H$108</f>
        <v>52.689500000000002</v>
      </c>
      <c r="J16" s="421">
        <f>'Cash Flow'!$H$110</f>
        <v>4253487.5204791455</v>
      </c>
      <c r="K16" s="12"/>
      <c r="M16" s="201"/>
      <c r="N16" s="196"/>
      <c r="P16" s="12"/>
    </row>
    <row r="17" spans="2:16" x14ac:dyDescent="0.2">
      <c r="B17" s="187" t="s">
        <v>308</v>
      </c>
      <c r="C17" s="281">
        <v>0</v>
      </c>
      <c r="D17" s="12"/>
      <c r="E17" s="418">
        <f>'Cash Flow'!$I$2</f>
        <v>7</v>
      </c>
      <c r="F17" s="431">
        <f>IF(E17="","",'Cash Flow'!$I$12)</f>
        <v>18.045842560217004</v>
      </c>
      <c r="G17" s="422">
        <f>'Cash Flow'!$I$21</f>
        <v>5663965.5346767427</v>
      </c>
      <c r="H17" s="422">
        <f>'Cash Flow'!$I$106</f>
        <v>759463.91238978459</v>
      </c>
      <c r="I17" s="433">
        <f>'Cash Flow'!$I$108</f>
        <v>53.529800000000002</v>
      </c>
      <c r="J17" s="422">
        <f>'Cash Flow'!$I$110</f>
        <v>4626285.7113047177</v>
      </c>
      <c r="K17" s="12"/>
      <c r="M17" s="201"/>
      <c r="N17" s="196"/>
      <c r="P17" s="12"/>
    </row>
    <row r="18" spans="2:16" x14ac:dyDescent="0.2">
      <c r="B18" s="186" t="s">
        <v>313</v>
      </c>
      <c r="C18" s="282">
        <v>0</v>
      </c>
      <c r="D18" s="12"/>
      <c r="E18" s="418">
        <f>'Cash Flow'!$J$2</f>
        <v>8</v>
      </c>
      <c r="F18" s="431">
        <f>IF(E18="","",'Cash Flow'!$J$12)</f>
        <v>18.226300985819169</v>
      </c>
      <c r="G18" s="421">
        <f>'Cash Flow'!$J$21</f>
        <v>5692002.1640733909</v>
      </c>
      <c r="H18" s="421">
        <f>'Cash Flow'!$J$106</f>
        <v>764030.4163514768</v>
      </c>
      <c r="I18" s="431">
        <f>'Cash Flow'!$J$108</f>
        <v>54.056100000000001</v>
      </c>
      <c r="J18" s="421">
        <f>'Cash Flow'!$J$110</f>
        <v>4965075.0080237305</v>
      </c>
      <c r="K18" s="12"/>
      <c r="M18" s="201"/>
      <c r="N18" s="196"/>
      <c r="P18" s="12"/>
    </row>
    <row r="19" spans="2:16" x14ac:dyDescent="0.2">
      <c r="B19" s="261"/>
      <c r="C19" s="294"/>
      <c r="D19" s="12"/>
      <c r="E19" s="418">
        <f>'Cash Flow'!$K$2</f>
        <v>9</v>
      </c>
      <c r="F19" s="431">
        <f>IF(E19="","",'Cash Flow'!$K$12)</f>
        <v>18.408563995677365</v>
      </c>
      <c r="G19" s="421">
        <f>'Cash Flow'!$K$21</f>
        <v>5720177.5747855557</v>
      </c>
      <c r="H19" s="421">
        <f>'Cash Flow'!$K$106</f>
        <v>768569.64876836329</v>
      </c>
      <c r="I19" s="431">
        <f>'Cash Flow'!$K$108</f>
        <v>54.388300000000001</v>
      </c>
      <c r="J19" s="421">
        <f>'Cash Flow'!$K$110</f>
        <v>5272935.9841411291</v>
      </c>
      <c r="K19" s="12"/>
      <c r="M19" s="201"/>
      <c r="N19" s="196"/>
      <c r="P19" s="12"/>
    </row>
    <row r="20" spans="2:16" x14ac:dyDescent="0.2">
      <c r="B20" s="189"/>
      <c r="C20" s="295"/>
      <c r="D20" s="12"/>
      <c r="E20" s="418">
        <f>'Cash Flow'!$L$2</f>
        <v>10</v>
      </c>
      <c r="F20" s="431">
        <f>IF(E20="","",'Cash Flow'!$L$12)</f>
        <v>18.592649635634139</v>
      </c>
      <c r="G20" s="421">
        <f>'Cash Flow'!$L$21</f>
        <v>5748492.4537807442</v>
      </c>
      <c r="H20" s="421">
        <f>'Cash Flow'!$L$106</f>
        <v>773001.18521377887</v>
      </c>
      <c r="I20" s="431">
        <f>'Cash Flow'!$L$108</f>
        <v>54.599499999999999</v>
      </c>
      <c r="J20" s="421">
        <f>'Cash Flow'!$L$110</f>
        <v>5552643.380731524</v>
      </c>
      <c r="K20" s="12"/>
      <c r="M20" s="201"/>
      <c r="N20" s="196"/>
      <c r="P20" s="12"/>
    </row>
    <row r="21" spans="2:16" x14ac:dyDescent="0.2">
      <c r="B21" s="260"/>
      <c r="C21" s="296"/>
      <c r="D21" s="12"/>
      <c r="E21" s="418">
        <f>'Cash Flow'!$M$2</f>
        <v>11</v>
      </c>
      <c r="F21" s="431">
        <f>IF(E21="","",'Cash Flow'!$M$12)</f>
        <v>18.77857613199048</v>
      </c>
      <c r="G21" s="421">
        <f>'Cash Flow'!$M$21</f>
        <v>5776947.4914269587</v>
      </c>
      <c r="H21" s="421">
        <f>'Cash Flow'!$M$106</f>
        <v>777447.71561616729</v>
      </c>
      <c r="I21" s="431">
        <f>'Cash Flow'!$M$108</f>
        <v>54.734499999999997</v>
      </c>
      <c r="J21" s="421">
        <f>'Cash Flow'!$M$110</f>
        <v>5806768.3634653287</v>
      </c>
      <c r="K21" s="12"/>
      <c r="M21" s="201"/>
      <c r="N21" s="196"/>
      <c r="P21" s="12"/>
    </row>
    <row r="22" spans="2:16" x14ac:dyDescent="0.2">
      <c r="C22" s="297"/>
      <c r="D22" s="20"/>
      <c r="E22" s="418">
        <f>'Cash Flow'!$N$2</f>
        <v>12</v>
      </c>
      <c r="F22" s="431">
        <f>IF(E22="","",'Cash Flow'!$N$12)</f>
        <v>18.966361893310381</v>
      </c>
      <c r="G22" s="421">
        <f>'Cash Flow'!$N$21</f>
        <v>5805543.381509521</v>
      </c>
      <c r="H22" s="421">
        <f>'Cash Flow'!$N$106</f>
        <v>26123541.31475943</v>
      </c>
      <c r="I22" s="431">
        <f>'Cash Flow'!$N$108</f>
        <v>57.231699999999996</v>
      </c>
      <c r="J22" s="421">
        <f>'Cash Flow'!$N$110</f>
        <v>13520430.2614752</v>
      </c>
      <c r="K22" s="12"/>
      <c r="M22" s="201"/>
      <c r="N22" s="196"/>
      <c r="P22" s="12"/>
    </row>
    <row r="23" spans="2:16" x14ac:dyDescent="0.2">
      <c r="B23" s="189"/>
      <c r="C23" s="295"/>
      <c r="D23" s="10"/>
      <c r="E23" s="418">
        <f>'Cash Flow'!$O$2</f>
        <v>13</v>
      </c>
      <c r="F23" s="431">
        <f>IF(E23="","",'Cash Flow'!$O$12)</f>
        <v>19.156025512243485</v>
      </c>
      <c r="G23" s="421">
        <f>'Cash Flow'!$O$21</f>
        <v>5834280.821247994</v>
      </c>
      <c r="H23" s="421">
        <f>'Cash Flow'!$O$106</f>
        <v>42868587.209142394</v>
      </c>
      <c r="I23" s="431">
        <f>'Cash Flow'!$O$108</f>
        <v>59.228299999999997</v>
      </c>
      <c r="J23" s="421">
        <f>'Cash Flow'!$O$110</f>
        <v>24955007.161886323</v>
      </c>
      <c r="K23" s="12"/>
      <c r="M23" s="201"/>
      <c r="N23" s="195"/>
      <c r="P23" s="12"/>
    </row>
    <row r="24" spans="2:16" x14ac:dyDescent="0.2">
      <c r="B24" s="8" t="s">
        <v>190</v>
      </c>
      <c r="C24" s="291"/>
      <c r="D24" s="10"/>
      <c r="E24" s="418">
        <f>'Cash Flow'!$P$2</f>
        <v>14</v>
      </c>
      <c r="F24" s="431">
        <f>IF(E24="","",'Cash Flow'!$P$12)</f>
        <v>19.347585767365921</v>
      </c>
      <c r="G24" s="421">
        <f>'Cash Flow'!$P$21</f>
        <v>5863160.5113131711</v>
      </c>
      <c r="H24" s="421">
        <f>'Cash Flow'!$P$106</f>
        <v>26979857.027025767</v>
      </c>
      <c r="I24" s="431">
        <f>'Cash Flow'!$P$108</f>
        <v>59.899900000000002</v>
      </c>
      <c r="J24" s="421">
        <f>'Cash Flow'!$P$110</f>
        <v>31455899.169156529</v>
      </c>
      <c r="K24" s="12"/>
      <c r="M24" s="201"/>
      <c r="N24" s="197"/>
      <c r="P24" s="12"/>
    </row>
    <row r="25" spans="2:16" x14ac:dyDescent="0.2">
      <c r="B25" s="73" t="s">
        <v>315</v>
      </c>
      <c r="C25" s="305">
        <f>Degradation</f>
        <v>0.5</v>
      </c>
      <c r="D25" s="10"/>
      <c r="E25" s="418">
        <f>'Cash Flow'!$Q$2</f>
        <v>15</v>
      </c>
      <c r="F25" s="431">
        <f>IF(E25="","",'Cash Flow'!$Q$12)</f>
        <v>19.541061625039582</v>
      </c>
      <c r="G25" s="421">
        <f>'Cash Flow'!$Q$21</f>
        <v>5892183.1558441725</v>
      </c>
      <c r="H25" s="421">
        <f>'Cash Flow'!$Q$106</f>
        <v>17275490.873920605</v>
      </c>
      <c r="I25" s="431">
        <f>'Cash Flow'!$Q$108</f>
        <v>60.152999999999999</v>
      </c>
      <c r="J25" s="421">
        <f>'Cash Flow'!$Q$110</f>
        <v>35216143.656923413</v>
      </c>
      <c r="K25" s="12"/>
      <c r="M25" s="201"/>
      <c r="N25" s="197"/>
      <c r="P25" s="12"/>
    </row>
    <row r="26" spans="2:16" x14ac:dyDescent="0.2">
      <c r="B26" s="40"/>
      <c r="C26" s="293"/>
      <c r="D26" s="10"/>
      <c r="E26" s="418">
        <f>'Cash Flow'!$R$2</f>
        <v>16</v>
      </c>
      <c r="F26" s="431">
        <f>IF(E26="","",'Cash Flow'!$R$12)</f>
        <v>19.736472241289974</v>
      </c>
      <c r="G26" s="421">
        <f>'Cash Flow'!$R$21</f>
        <v>5921349.4624656001</v>
      </c>
      <c r="H26" s="421">
        <f>'Cash Flow'!$R$106</f>
        <v>17263695.754013702</v>
      </c>
      <c r="I26" s="431">
        <f>'Cash Flow'!$R$108</f>
        <v>60.306399999999996</v>
      </c>
      <c r="J26" s="421">
        <f>'Cash Flow'!$R$110</f>
        <v>38610612.600212298</v>
      </c>
      <c r="K26" s="12"/>
      <c r="M26" s="201"/>
      <c r="N26" s="195"/>
      <c r="P26" s="12"/>
    </row>
    <row r="27" spans="2:16" x14ac:dyDescent="0.2">
      <c r="B27" s="8" t="s">
        <v>189</v>
      </c>
      <c r="C27" s="291"/>
      <c r="D27" s="10"/>
      <c r="E27" s="418">
        <f>'Cash Flow'!$S$2</f>
        <v>17</v>
      </c>
      <c r="F27" s="431">
        <f>IF(E27="","",'Cash Flow'!$S$12)</f>
        <v>19.93383696370288</v>
      </c>
      <c r="G27" s="421">
        <f>'Cash Flow'!$S$21</f>
        <v>5950660.142304807</v>
      </c>
      <c r="H27" s="421">
        <f>'Cash Flow'!$S$106</f>
        <v>9962992.4464369416</v>
      </c>
      <c r="I27" s="431">
        <f>'Cash Flow'!$S$108</f>
        <v>60.360799999999998</v>
      </c>
      <c r="J27" s="421">
        <f>'Cash Flow'!$S$110</f>
        <v>40380233.529757246</v>
      </c>
      <c r="K27" s="12"/>
      <c r="M27" s="201"/>
      <c r="N27" s="198"/>
      <c r="P27" s="12"/>
    </row>
    <row r="28" spans="2:16" x14ac:dyDescent="0.2">
      <c r="B28" s="59" t="s">
        <v>191</v>
      </c>
      <c r="C28" s="299"/>
      <c r="D28" s="10"/>
      <c r="E28" s="418">
        <f>'Cash Flow'!$T$2</f>
        <v>18</v>
      </c>
      <c r="F28" s="431">
        <f>IF(E28="","",'Cash Flow'!$T$12)</f>
        <v>20.13317533333991</v>
      </c>
      <c r="G28" s="421">
        <f>'Cash Flow'!$T$21</f>
        <v>5980115.9100092147</v>
      </c>
      <c r="H28" s="421">
        <f>'Cash Flow'!$T$106</f>
        <v>2686304.402266013</v>
      </c>
      <c r="I28" s="431">
        <f>'Cash Flow'!$T$108</f>
        <v>60.369799999999998</v>
      </c>
      <c r="J28" s="421">
        <f>'Cash Flow'!$T$110</f>
        <v>40811254.15045169</v>
      </c>
      <c r="K28" s="12"/>
      <c r="M28" s="201"/>
      <c r="N28" s="199"/>
      <c r="O28" s="21"/>
      <c r="P28" s="10"/>
    </row>
    <row r="29" spans="2:16" ht="13.5" thickBot="1" x14ac:dyDescent="0.25">
      <c r="B29" s="123" t="s">
        <v>191</v>
      </c>
      <c r="C29" s="300" t="s">
        <v>192</v>
      </c>
      <c r="D29" s="10"/>
      <c r="E29" s="418">
        <f>'Cash Flow'!$U$2</f>
        <v>19</v>
      </c>
      <c r="F29" s="431">
        <f>IF(E29="","",'Cash Flow'!$U$12)</f>
        <v>20.334507086673309</v>
      </c>
      <c r="G29" s="421">
        <f>'Cash Flow'!$U$21</f>
        <v>6009717.48376376</v>
      </c>
      <c r="H29" s="421">
        <f>'Cash Flow'!$U$106</f>
        <v>2697419.1803261791</v>
      </c>
      <c r="I29" s="431">
        <f>'Cash Flow'!$U$108</f>
        <v>60.375500000000002</v>
      </c>
      <c r="J29" s="421">
        <f>'Cash Flow'!$U$110</f>
        <v>41202224.33976987</v>
      </c>
      <c r="K29" s="12"/>
      <c r="M29" s="201"/>
      <c r="N29" s="199"/>
      <c r="O29" s="10"/>
      <c r="P29" s="10"/>
    </row>
    <row r="30" spans="2:16" x14ac:dyDescent="0.2">
      <c r="B30" s="206" t="s">
        <v>193</v>
      </c>
      <c r="C30" s="301">
        <v>55</v>
      </c>
      <c r="D30" s="10"/>
      <c r="E30" s="418">
        <f>'Cash Flow'!$V$2</f>
        <v>20</v>
      </c>
      <c r="F30" s="431">
        <f>IF(E30="","",'Cash Flow'!$V$12)</f>
        <v>20.537852157540037</v>
      </c>
      <c r="G30" s="421">
        <f>'Cash Flow'!$V$21</f>
        <v>6039465.5853083897</v>
      </c>
      <c r="H30" s="421">
        <f>'Cash Flow'!$V$106</f>
        <v>2707957.0033500139</v>
      </c>
      <c r="I30" s="431">
        <f>'Cash Flow'!$V$108</f>
        <v>60.379100000000001</v>
      </c>
      <c r="J30" s="421">
        <f>'Cash Flow'!$V$110</f>
        <v>41556784.019821078</v>
      </c>
      <c r="K30" s="12"/>
      <c r="M30" s="201"/>
      <c r="N30" s="199"/>
    </row>
    <row r="31" spans="2:16" ht="13.5" thickBot="1" x14ac:dyDescent="0.25">
      <c r="B31" s="207" t="s">
        <v>194</v>
      </c>
      <c r="C31" s="369">
        <v>10</v>
      </c>
      <c r="D31" s="12"/>
      <c r="E31" s="418">
        <f>'Cash Flow'!$W$2</f>
        <v>21</v>
      </c>
      <c r="F31" s="431">
        <f>IF(E31="","",'Cash Flow'!$W$12)</f>
        <v>20.743230679115438</v>
      </c>
      <c r="G31" s="421">
        <f>'Cash Flow'!$W$21</f>
        <v>6069360.9399556676</v>
      </c>
      <c r="H31" s="421">
        <f>'Cash Flow'!$W$106</f>
        <v>2705861.4272435899</v>
      </c>
      <c r="I31" s="431">
        <f>'Cash Flow'!$W$108</f>
        <v>60.381300000000003</v>
      </c>
      <c r="J31" s="421">
        <f>'Cash Flow'!$W$110</f>
        <v>41876824.942093424</v>
      </c>
      <c r="K31" s="12"/>
      <c r="M31" s="201"/>
      <c r="N31" s="199"/>
    </row>
    <row r="32" spans="2:16" x14ac:dyDescent="0.2">
      <c r="B32" s="103" t="s">
        <v>200</v>
      </c>
      <c r="C32" s="302">
        <v>1</v>
      </c>
      <c r="D32" s="10"/>
      <c r="E32" s="418">
        <f>'Cash Flow'!$X$2</f>
        <v>22</v>
      </c>
      <c r="F32" s="431">
        <f>IF(E32="","",'Cash Flow'!$X$12)</f>
        <v>20.950662985906593</v>
      </c>
      <c r="G32" s="421">
        <f>'Cash Flow'!$X$21</f>
        <v>6099404.2766084485</v>
      </c>
      <c r="H32" s="421">
        <f>'Cash Flow'!$X$106</f>
        <v>2703184.4539896026</v>
      </c>
      <c r="I32" s="431">
        <f>'Cash Flow'!$X$108</f>
        <v>60.3827</v>
      </c>
      <c r="J32" s="421">
        <f>'Cash Flow'!$X$110</f>
        <v>42165645.446297467</v>
      </c>
      <c r="K32" s="10"/>
      <c r="M32" s="201"/>
      <c r="N32" s="199"/>
    </row>
    <row r="33" spans="2:16" x14ac:dyDescent="0.2">
      <c r="B33" s="59" t="s">
        <v>195</v>
      </c>
      <c r="C33" s="303"/>
      <c r="D33" s="10"/>
      <c r="E33" s="418">
        <f>'Cash Flow'!$Y$2</f>
        <v>23</v>
      </c>
      <c r="F33" s="431">
        <f>IF(E33="","",'Cash Flow'!$Y$12)</f>
        <v>21.160169615765664</v>
      </c>
      <c r="G33" s="421">
        <f>'Cash Flow'!$Y$21</f>
        <v>6129596.3277776614</v>
      </c>
      <c r="H33" s="421">
        <f>'Cash Flow'!$Y$106</f>
        <v>2711977.1720243795</v>
      </c>
      <c r="I33" s="431">
        <f>'Cash Flow'!$Y$108</f>
        <v>60.383499999999998</v>
      </c>
      <c r="J33" s="421">
        <f>'Cash Flow'!$Y$110</f>
        <v>42427397.892668784</v>
      </c>
      <c r="K33" s="12"/>
      <c r="M33" s="201"/>
      <c r="N33" s="199"/>
    </row>
    <row r="34" spans="2:16" x14ac:dyDescent="0.2">
      <c r="B34" s="74" t="s">
        <v>201</v>
      </c>
      <c r="C34" s="424">
        <v>25</v>
      </c>
      <c r="D34" s="10"/>
      <c r="E34" s="418">
        <f>'Cash Flow'!$Z$2</f>
        <v>24</v>
      </c>
      <c r="F34" s="431">
        <f>IF(E34="","",'Cash Flow'!$Z$12)</f>
        <v>21.371771311923315</v>
      </c>
      <c r="G34" s="421">
        <f>'Cash Flow'!$Z$21</f>
        <v>6159937.8296001591</v>
      </c>
      <c r="H34" s="421">
        <f>'Cash Flow'!$Z$106</f>
        <v>36755108.933991447</v>
      </c>
      <c r="I34" s="431">
        <f>'Cash Flow'!$Z$108</f>
        <v>60.390799999999999</v>
      </c>
      <c r="J34" s="421">
        <f>'Cash Flow'!$Z$110</f>
        <v>45632005.159367189</v>
      </c>
      <c r="K34" s="12"/>
      <c r="M34" s="201"/>
      <c r="N34" s="199"/>
    </row>
    <row r="35" spans="2:16" x14ac:dyDescent="0.2">
      <c r="B35" s="74" t="s">
        <v>202</v>
      </c>
      <c r="C35" s="298">
        <v>2.5</v>
      </c>
      <c r="D35" s="10"/>
      <c r="E35" s="418">
        <f>'Cash Flow'!$AA$2</f>
        <v>25</v>
      </c>
      <c r="F35" s="431">
        <f>IF(E35="","",'Cash Flow'!$AA$12)</f>
        <v>21.585489025042556</v>
      </c>
      <c r="G35" s="421">
        <f>'Cash Flow'!$AA$21</f>
        <v>11190429.521856681</v>
      </c>
      <c r="H35" s="421">
        <f>'Cash Flow'!$AA$106</f>
        <v>61198610.922846392</v>
      </c>
      <c r="I35" s="431">
        <f>'Cash Flow'!$AA$108</f>
        <v>60.398400000000002</v>
      </c>
      <c r="J35" s="421">
        <f>'Cash Flow'!$AA$110</f>
        <v>50452049.603329584</v>
      </c>
      <c r="K35" s="121"/>
      <c r="M35" s="201"/>
      <c r="N35" s="199"/>
    </row>
    <row r="36" spans="2:16" x14ac:dyDescent="0.2">
      <c r="B36" s="74" t="s">
        <v>204</v>
      </c>
      <c r="C36" s="304">
        <v>8</v>
      </c>
      <c r="D36" s="10"/>
      <c r="E36" s="418" t="str">
        <f>'Cash Flow'!$AB$2</f>
        <v/>
      </c>
      <c r="F36" s="431" t="str">
        <f>IF(E36="","",'Cash Flow'!$AB$12)</f>
        <v/>
      </c>
      <c r="G36" s="423" t="e">
        <f>'Cash Flow'!$AB$21</f>
        <v>#VALUE!</v>
      </c>
      <c r="H36" s="421" t="e">
        <f>'Cash Flow'!$AB$106</f>
        <v>#VALUE!</v>
      </c>
      <c r="I36" s="431">
        <f>'Cash Flow'!$AB$108</f>
        <v>0</v>
      </c>
      <c r="J36" s="421" t="e">
        <f>'Cash Flow'!$AB$110</f>
        <v>#VALUE!</v>
      </c>
      <c r="K36" s="63"/>
      <c r="M36" s="201"/>
      <c r="N36" s="199"/>
    </row>
    <row r="37" spans="2:16" x14ac:dyDescent="0.2">
      <c r="B37" s="74" t="s">
        <v>203</v>
      </c>
      <c r="C37" s="305">
        <f>((1+C36/100)*(1+inflation_rate/100)-1)*100</f>
        <v>10.7</v>
      </c>
      <c r="D37" s="10"/>
      <c r="E37" s="418" t="str">
        <f>'Cash Flow'!$AC$2</f>
        <v/>
      </c>
      <c r="F37" s="431" t="str">
        <f>IF(E37="","",'Cash Flow'!$AC$12)</f>
        <v/>
      </c>
      <c r="G37" s="421" t="e">
        <f>'Cash Flow'!$AC$21</f>
        <v>#VALUE!</v>
      </c>
      <c r="H37" s="421" t="e">
        <f>'Cash Flow'!$AC$106</f>
        <v>#VALUE!</v>
      </c>
      <c r="I37" s="431">
        <f>'Cash Flow'!$AC$108</f>
        <v>0</v>
      </c>
      <c r="J37" s="421" t="e">
        <f>'Cash Flow'!$AC$110</f>
        <v>#VALUE!</v>
      </c>
      <c r="K37" s="63"/>
      <c r="M37" s="201"/>
      <c r="N37" s="199"/>
    </row>
    <row r="38" spans="2:16" x14ac:dyDescent="0.2">
      <c r="B38" s="59" t="s">
        <v>196</v>
      </c>
      <c r="C38" s="303"/>
      <c r="D38" s="10"/>
      <c r="E38" s="418" t="str">
        <f>'Cash Flow'!$AD$2</f>
        <v/>
      </c>
      <c r="F38" s="431" t="str">
        <f>IF(E38="","",'Cash Flow'!$AD$12)</f>
        <v/>
      </c>
      <c r="G38" s="421" t="e">
        <f>'Cash Flow'!$AD$21</f>
        <v>#VALUE!</v>
      </c>
      <c r="H38" s="421" t="e">
        <f>'Cash Flow'!$AD$106</f>
        <v>#VALUE!</v>
      </c>
      <c r="I38" s="431">
        <f>'Cash Flow'!$AD$108</f>
        <v>0</v>
      </c>
      <c r="J38" s="421" t="e">
        <f>'Cash Flow'!$AD$110</f>
        <v>#VALUE!</v>
      </c>
      <c r="K38" s="12"/>
      <c r="M38" s="201"/>
      <c r="N38" s="199"/>
    </row>
    <row r="39" spans="2:16" x14ac:dyDescent="0.2">
      <c r="B39" s="74" t="s">
        <v>197</v>
      </c>
      <c r="C39" s="298">
        <v>35</v>
      </c>
      <c r="D39" s="10"/>
      <c r="E39" s="418" t="str">
        <f>'Cash Flow'!$AE$2</f>
        <v/>
      </c>
      <c r="F39" s="431" t="str">
        <f>IF(E39="","",'Cash Flow'!$AE$12)</f>
        <v/>
      </c>
      <c r="G39" s="421" t="e">
        <f>'Cash Flow'!$AE$21</f>
        <v>#VALUE!</v>
      </c>
      <c r="H39" s="421" t="e">
        <f>'Cash Flow'!$AE$106</f>
        <v>#VALUE!</v>
      </c>
      <c r="I39" s="431">
        <f>'Cash Flow'!$AE$108</f>
        <v>0</v>
      </c>
      <c r="J39" s="421" t="e">
        <f>'Cash Flow'!$AE$110</f>
        <v>#VALUE!</v>
      </c>
      <c r="K39" s="121"/>
      <c r="M39" s="201"/>
      <c r="N39" s="199"/>
    </row>
    <row r="40" spans="2:16" x14ac:dyDescent="0.2">
      <c r="B40" s="74" t="s">
        <v>198</v>
      </c>
      <c r="C40" s="298">
        <v>5.5</v>
      </c>
      <c r="D40" s="10"/>
      <c r="E40" s="418" t="str">
        <f>'Cash Flow'!$AF$2</f>
        <v/>
      </c>
      <c r="F40" s="431" t="str">
        <f>IF(E40="","",'Cash Flow'!$AF$12)</f>
        <v/>
      </c>
      <c r="G40" s="421" t="e">
        <f>'Cash Flow'!$AF$21</f>
        <v>#VALUE!</v>
      </c>
      <c r="H40" s="421" t="e">
        <f>'Cash Flow'!$AF$106</f>
        <v>#VALUE!</v>
      </c>
      <c r="I40" s="431">
        <f>'Cash Flow'!$AF$108</f>
        <v>0</v>
      </c>
      <c r="J40" s="421" t="e">
        <f>'Cash Flow'!$AF$110</f>
        <v>#VALUE!</v>
      </c>
      <c r="K40" s="63"/>
      <c r="M40" s="201"/>
      <c r="N40" s="199"/>
    </row>
    <row r="41" spans="2:16" x14ac:dyDescent="0.2">
      <c r="B41" s="74" t="s">
        <v>254</v>
      </c>
      <c r="C41" s="305">
        <v>5</v>
      </c>
      <c r="D41" s="10"/>
      <c r="E41" s="418" t="str">
        <f>'Cash Flow'!$AG$2</f>
        <v/>
      </c>
      <c r="F41" s="431" t="str">
        <f>IF(E41="","",'Cash Flow'!$AG$12)</f>
        <v/>
      </c>
      <c r="G41" s="421" t="e">
        <f>'Cash Flow'!$AG$21</f>
        <v>#VALUE!</v>
      </c>
      <c r="H41" s="421" t="e">
        <f>'Cash Flow'!$AG$106</f>
        <v>#VALUE!</v>
      </c>
      <c r="I41" s="431">
        <f>'Cash Flow'!$AG$108</f>
        <v>0</v>
      </c>
      <c r="J41" s="421" t="e">
        <f>'Cash Flow'!$AG$110</f>
        <v>#VALUE!</v>
      </c>
      <c r="K41" s="63"/>
      <c r="M41" s="201"/>
      <c r="N41" s="199"/>
      <c r="O41" s="10"/>
      <c r="P41" s="10"/>
    </row>
    <row r="42" spans="2:16" x14ac:dyDescent="0.2">
      <c r="B42" s="74" t="s">
        <v>199</v>
      </c>
      <c r="C42" s="306">
        <v>0.5</v>
      </c>
      <c r="D42" s="10"/>
      <c r="E42" s="418" t="str">
        <f>'Cash Flow'!$AH$2</f>
        <v/>
      </c>
      <c r="F42" s="431" t="str">
        <f>IF(E42="","",'Cash Flow'!$AH$12)</f>
        <v/>
      </c>
      <c r="G42" s="421" t="e">
        <f>'Cash Flow'!$AH$21</f>
        <v>#VALUE!</v>
      </c>
      <c r="H42" s="421" t="e">
        <f>'Cash Flow'!$AH$106</f>
        <v>#VALUE!</v>
      </c>
      <c r="I42" s="431">
        <f>'Cash Flow'!$AH$108</f>
        <v>0</v>
      </c>
      <c r="J42" s="421" t="e">
        <f>'Cash Flow'!$AH$110</f>
        <v>#VALUE!</v>
      </c>
      <c r="K42" s="12"/>
      <c r="M42" s="201"/>
      <c r="N42" s="199"/>
      <c r="P42" s="10"/>
    </row>
    <row r="43" spans="2:16" x14ac:dyDescent="0.2">
      <c r="B43" s="76" t="s">
        <v>2</v>
      </c>
      <c r="C43" s="299"/>
      <c r="E43" s="418" t="str">
        <f>'Cash Flow'!$AI$2</f>
        <v/>
      </c>
      <c r="F43" s="431" t="str">
        <f>IF(E43="","",'Cash Flow'!$AI$12)</f>
        <v/>
      </c>
      <c r="G43" s="421" t="e">
        <f>'Cash Flow'!$AI$21</f>
        <v>#VALUE!</v>
      </c>
      <c r="H43" s="421" t="e">
        <f>'Cash Flow'!$AI$106</f>
        <v>#VALUE!</v>
      </c>
      <c r="I43" s="431">
        <f>'Cash Flow'!$AI$108</f>
        <v>0</v>
      </c>
      <c r="J43" s="421" t="e">
        <f>'Cash Flow'!$AI$110</f>
        <v>#VALUE!</v>
      </c>
      <c r="K43" s="121"/>
      <c r="M43" s="201"/>
      <c r="N43" s="199"/>
      <c r="P43" s="10"/>
    </row>
    <row r="44" spans="2:16" x14ac:dyDescent="0.2">
      <c r="B44" s="75" t="s">
        <v>205</v>
      </c>
      <c r="C44" s="307">
        <v>95</v>
      </c>
      <c r="E44" s="418" t="str">
        <f>'Cash Flow'!$AJ$2</f>
        <v/>
      </c>
      <c r="F44" s="431" t="str">
        <f>IF(E44="","",'Cash Flow'!$AJ$12)</f>
        <v/>
      </c>
      <c r="G44" s="421" t="e">
        <f>'Cash Flow'!$AJ$21</f>
        <v>#VALUE!</v>
      </c>
      <c r="H44" s="421" t="e">
        <f>'Cash Flow'!$AJ$106</f>
        <v>#VALUE!</v>
      </c>
      <c r="I44" s="431">
        <f>'Cash Flow'!$AJ$108</f>
        <v>0</v>
      </c>
      <c r="J44" s="421" t="e">
        <f>'Cash Flow'!$AJ$110</f>
        <v>#VALUE!</v>
      </c>
      <c r="K44" s="63"/>
      <c r="M44" s="201"/>
      <c r="N44" s="199"/>
      <c r="P44" s="10"/>
    </row>
    <row r="45" spans="2:16" x14ac:dyDescent="0.2">
      <c r="B45" s="75" t="s">
        <v>207</v>
      </c>
      <c r="C45" s="420">
        <f>total_installed_cost*prop_tax_cost_assessed_percent/100</f>
        <v>47500000</v>
      </c>
      <c r="E45" s="418" t="str">
        <f>'Cash Flow'!$AK$2</f>
        <v/>
      </c>
      <c r="F45" s="431" t="str">
        <f>IF(E45="","",'Cash Flow'!$AK$12)</f>
        <v/>
      </c>
      <c r="G45" s="421" t="e">
        <f>'Cash Flow'!$AK$21</f>
        <v>#VALUE!</v>
      </c>
      <c r="H45" s="421" t="e">
        <f>'Cash Flow'!$AK$106</f>
        <v>#VALUE!</v>
      </c>
      <c r="I45" s="431">
        <f>'Cash Flow'!$AK$108</f>
        <v>0</v>
      </c>
      <c r="J45" s="421" t="e">
        <f>'Cash Flow'!$AK$110</f>
        <v>#VALUE!</v>
      </c>
      <c r="K45" s="12"/>
      <c r="M45" s="201"/>
      <c r="N45" s="199"/>
      <c r="P45" s="12"/>
    </row>
    <row r="46" spans="2:16" x14ac:dyDescent="0.2">
      <c r="B46" s="75" t="s">
        <v>206</v>
      </c>
      <c r="C46" s="306">
        <v>5</v>
      </c>
      <c r="E46" s="418" t="str">
        <f>'Cash Flow'!$AL$2</f>
        <v/>
      </c>
      <c r="F46" s="431" t="str">
        <f>IF(E46="","",'Cash Flow'!$AL$12)</f>
        <v/>
      </c>
      <c r="G46" s="421" t="e">
        <f>'Cash Flow'!$AL$21</f>
        <v>#VALUE!</v>
      </c>
      <c r="H46" s="421" t="e">
        <f>'Cash Flow'!$AL$106</f>
        <v>#VALUE!</v>
      </c>
      <c r="I46" s="431">
        <f>'Cash Flow'!$AL$108</f>
        <v>0</v>
      </c>
      <c r="J46" s="421" t="e">
        <f>'Cash Flow'!$AL$110</f>
        <v>#VALUE!</v>
      </c>
      <c r="K46" s="20"/>
      <c r="M46" s="201"/>
      <c r="N46" s="199"/>
      <c r="P46" s="10"/>
    </row>
    <row r="47" spans="2:16" x14ac:dyDescent="0.2">
      <c r="B47" s="75" t="s">
        <v>208</v>
      </c>
      <c r="C47" s="306">
        <v>0.75</v>
      </c>
      <c r="E47" s="418" t="str">
        <f>'Cash Flow'!$AM$2</f>
        <v/>
      </c>
      <c r="F47" s="431" t="str">
        <f>IF(E47="","",'Cash Flow'!$AM$12)</f>
        <v/>
      </c>
      <c r="G47" s="421" t="e">
        <f>'Cash Flow'!$AM$21</f>
        <v>#VALUE!</v>
      </c>
      <c r="H47" s="421" t="e">
        <f>'Cash Flow'!$AM$106</f>
        <v>#VALUE!</v>
      </c>
      <c r="I47" s="431">
        <f>'Cash Flow'!$AM$108</f>
        <v>0</v>
      </c>
      <c r="J47" s="421" t="e">
        <f>'Cash Flow'!$AM$110</f>
        <v>#VALUE!</v>
      </c>
      <c r="K47" s="12"/>
      <c r="M47" s="201"/>
      <c r="N47" s="199"/>
      <c r="P47" s="10"/>
    </row>
    <row r="48" spans="2:16" x14ac:dyDescent="0.2">
      <c r="B48" s="59" t="s">
        <v>75</v>
      </c>
      <c r="C48" s="299"/>
      <c r="E48" s="418" t="str">
        <f>'Cash Flow'!$AN$2</f>
        <v/>
      </c>
      <c r="F48" s="431" t="str">
        <f>IF(E48="","",'Cash Flow'!$AN$12)</f>
        <v/>
      </c>
      <c r="G48" s="421" t="e">
        <f>'Cash Flow'!$AN$21</f>
        <v>#VALUE!</v>
      </c>
      <c r="H48" s="421" t="e">
        <f>'Cash Flow'!$AN$106</f>
        <v>#VALUE!</v>
      </c>
      <c r="I48" s="431">
        <f>'Cash Flow'!$AN$108</f>
        <v>0</v>
      </c>
      <c r="J48" s="421" t="e">
        <f>'Cash Flow'!$AN$110</f>
        <v>#VALUE!</v>
      </c>
      <c r="K48" s="12"/>
      <c r="M48" s="201"/>
      <c r="N48" s="199"/>
      <c r="P48" s="10"/>
    </row>
    <row r="49" spans="2:16" x14ac:dyDescent="0.2">
      <c r="B49" s="73" t="s">
        <v>310</v>
      </c>
      <c r="C49" s="298">
        <v>10</v>
      </c>
      <c r="E49" s="418" t="str">
        <f>'Cash Flow'!$AO$2</f>
        <v/>
      </c>
      <c r="F49" s="431" t="str">
        <f>IF(E49="","",'Cash Flow'!$AO$12)</f>
        <v/>
      </c>
      <c r="G49" s="421" t="e">
        <f>'Cash Flow'!$AO$21</f>
        <v>#VALUE!</v>
      </c>
      <c r="H49" s="421" t="e">
        <f>'Cash Flow'!$AO$106</f>
        <v>#VALUE!</v>
      </c>
      <c r="I49" s="431">
        <f>'Cash Flow'!$AO$108</f>
        <v>0</v>
      </c>
      <c r="J49" s="421" t="e">
        <f>'Cash Flow'!$AO$110</f>
        <v>#VALUE!</v>
      </c>
      <c r="K49" s="10"/>
      <c r="M49" s="201"/>
      <c r="N49" s="199"/>
      <c r="P49" s="10"/>
    </row>
    <row r="50" spans="2:16" x14ac:dyDescent="0.2">
      <c r="B50" s="73" t="s">
        <v>309</v>
      </c>
      <c r="C50" s="420">
        <f>total_installed_cost*salvage_percentage/100</f>
        <v>5000000</v>
      </c>
      <c r="E50" s="418" t="str">
        <f>'Cash Flow'!$AP$2</f>
        <v/>
      </c>
      <c r="F50" s="431" t="str">
        <f>IF(E50="","",'Cash Flow'!$AP$12)</f>
        <v/>
      </c>
      <c r="G50" s="421" t="e">
        <f>'Cash Flow'!$AP$21</f>
        <v>#VALUE!</v>
      </c>
      <c r="H50" s="421" t="e">
        <f>'Cash Flow'!$AP$106</f>
        <v>#VALUE!</v>
      </c>
      <c r="I50" s="431">
        <f>'Cash Flow'!$AP$108</f>
        <v>0</v>
      </c>
      <c r="J50" s="421" t="e">
        <f>'Cash Flow'!$AP$110</f>
        <v>#VALUE!</v>
      </c>
      <c r="K50" s="12"/>
      <c r="M50" s="201"/>
      <c r="N50" s="199"/>
      <c r="P50" s="10"/>
    </row>
    <row r="51" spans="2:16" x14ac:dyDescent="0.2">
      <c r="B51" s="10"/>
      <c r="C51" s="309"/>
      <c r="G51" s="10"/>
      <c r="H51" s="10"/>
      <c r="I51" s="37"/>
      <c r="J51" s="12"/>
      <c r="K51" s="12"/>
      <c r="M51" s="201"/>
      <c r="N51" s="199"/>
      <c r="P51" s="10"/>
    </row>
    <row r="52" spans="2:16" x14ac:dyDescent="0.2">
      <c r="B52" s="8" t="s">
        <v>214</v>
      </c>
      <c r="C52" s="291"/>
      <c r="E52" s="7" t="s">
        <v>277</v>
      </c>
      <c r="G52" s="10"/>
      <c r="H52" s="10"/>
      <c r="I52" s="37"/>
      <c r="J52" s="12"/>
      <c r="K52" s="12"/>
      <c r="M52" s="201"/>
      <c r="N52" s="199"/>
      <c r="P52" s="10"/>
    </row>
    <row r="53" spans="2:16" x14ac:dyDescent="0.2">
      <c r="B53" s="73" t="s">
        <v>215</v>
      </c>
      <c r="C53" s="292">
        <v>1.35</v>
      </c>
      <c r="G53" s="10"/>
      <c r="H53" s="10"/>
      <c r="I53" s="37"/>
      <c r="J53" s="12"/>
      <c r="K53" s="12"/>
      <c r="M53" s="201"/>
      <c r="N53" s="199"/>
      <c r="P53" s="10"/>
    </row>
    <row r="54" spans="2:16" x14ac:dyDescent="0.2">
      <c r="B54" s="73" t="s">
        <v>216</v>
      </c>
      <c r="C54" s="292">
        <v>13</v>
      </c>
      <c r="D54" s="180" t="s">
        <v>98</v>
      </c>
      <c r="E54" s="310">
        <f>total_installed_cost-SUM(E55:E58)</f>
        <v>25000000</v>
      </c>
      <c r="G54" s="10"/>
      <c r="H54" s="10"/>
      <c r="I54" s="37"/>
      <c r="J54" s="12"/>
      <c r="K54" s="12"/>
      <c r="M54" s="201"/>
      <c r="N54" s="199"/>
      <c r="P54" s="10"/>
    </row>
    <row r="55" spans="2:16" x14ac:dyDescent="0.2">
      <c r="B55" s="73" t="s">
        <v>217</v>
      </c>
      <c r="C55" s="306">
        <v>8.5</v>
      </c>
      <c r="D55" s="180"/>
      <c r="E55" s="311"/>
      <c r="G55" s="10"/>
      <c r="H55" s="10"/>
      <c r="I55" s="37"/>
      <c r="J55" s="12"/>
      <c r="K55" s="12"/>
      <c r="M55" s="201"/>
      <c r="N55" s="199"/>
      <c r="P55" s="10"/>
    </row>
    <row r="56" spans="2:16" x14ac:dyDescent="0.2">
      <c r="B56" s="73" t="s">
        <v>218</v>
      </c>
      <c r="C56" s="424">
        <v>100000</v>
      </c>
      <c r="D56" s="180" t="s">
        <v>289</v>
      </c>
      <c r="E56" s="310">
        <f>ibi_fed_amount+ibi_sta_amount+ibi_uti_amount+ibi_oth_amount</f>
        <v>0</v>
      </c>
      <c r="G56" s="10"/>
      <c r="H56" s="10"/>
      <c r="I56" s="37"/>
      <c r="J56" s="12"/>
      <c r="K56" s="12"/>
      <c r="M56" s="201"/>
      <c r="N56" s="199"/>
      <c r="P56" s="10"/>
    </row>
    <row r="57" spans="2:16" x14ac:dyDescent="0.2">
      <c r="B57" s="15" t="s">
        <v>219</v>
      </c>
      <c r="C57" s="282">
        <v>1.5</v>
      </c>
      <c r="D57" s="180" t="s">
        <v>290</v>
      </c>
      <c r="E57" s="425">
        <f>SUM('Cash Flow'!C493:C496)</f>
        <v>25000000</v>
      </c>
      <c r="G57" s="10"/>
      <c r="H57" s="10"/>
      <c r="I57" s="37"/>
      <c r="J57" s="12"/>
      <c r="K57" s="12"/>
      <c r="M57" s="201"/>
      <c r="N57" s="199"/>
      <c r="P57" s="10"/>
    </row>
    <row r="58" spans="2:16" x14ac:dyDescent="0.2">
      <c r="B58" s="267"/>
      <c r="C58" s="273"/>
      <c r="D58" s="266" t="s">
        <v>99</v>
      </c>
      <c r="E58" s="310">
        <f>SUM('Cash Flow'!C499:C502)</f>
        <v>0</v>
      </c>
      <c r="G58" s="10"/>
      <c r="H58" s="10"/>
      <c r="I58" s="37"/>
      <c r="J58" s="12"/>
      <c r="K58" s="12"/>
      <c r="M58" s="201"/>
      <c r="N58" s="199"/>
      <c r="P58" s="10"/>
    </row>
    <row r="59" spans="2:16" x14ac:dyDescent="0.2">
      <c r="B59" s="189"/>
      <c r="C59" s="274"/>
      <c r="G59" s="10"/>
      <c r="H59" s="10"/>
      <c r="I59" s="37"/>
      <c r="J59" s="12"/>
      <c r="K59" s="12"/>
      <c r="M59" s="201"/>
      <c r="N59" s="199"/>
      <c r="P59" s="10"/>
    </row>
    <row r="60" spans="2:16" x14ac:dyDescent="0.2">
      <c r="B60" s="189"/>
      <c r="C60" s="274"/>
      <c r="G60" s="10"/>
      <c r="H60" s="10"/>
      <c r="I60" s="37"/>
      <c r="J60" s="12"/>
      <c r="K60" s="12"/>
      <c r="M60" s="201"/>
      <c r="N60" s="199"/>
      <c r="P60" s="10"/>
    </row>
    <row r="61" spans="2:16" x14ac:dyDescent="0.2">
      <c r="B61" s="189"/>
      <c r="C61" s="274"/>
      <c r="G61" s="10"/>
      <c r="H61" s="10"/>
      <c r="I61" s="37"/>
      <c r="J61" s="12"/>
      <c r="K61" s="12"/>
      <c r="M61" s="201"/>
      <c r="N61" s="199"/>
      <c r="P61" s="10"/>
    </row>
    <row r="62" spans="2:16" x14ac:dyDescent="0.2">
      <c r="B62" s="189"/>
      <c r="C62" s="274"/>
      <c r="G62" s="10"/>
      <c r="H62" s="10"/>
      <c r="I62" s="37"/>
      <c r="J62" s="12"/>
      <c r="K62" s="12"/>
      <c r="M62" s="201"/>
      <c r="N62" s="199"/>
      <c r="P62" s="10"/>
    </row>
    <row r="63" spans="2:16" x14ac:dyDescent="0.2">
      <c r="B63" s="10"/>
      <c r="C63" s="275"/>
      <c r="G63" s="10"/>
      <c r="H63" s="10"/>
      <c r="I63" s="37"/>
      <c r="J63" s="12"/>
      <c r="K63" s="12"/>
      <c r="M63" s="201"/>
      <c r="N63" s="199"/>
      <c r="P63" s="10"/>
    </row>
    <row r="64" spans="2:16" x14ac:dyDescent="0.2">
      <c r="B64" s="8" t="s">
        <v>220</v>
      </c>
      <c r="C64" s="276"/>
      <c r="G64" s="10"/>
      <c r="H64" s="10"/>
      <c r="I64" s="37"/>
      <c r="J64" s="12"/>
      <c r="K64" s="12"/>
      <c r="M64" s="201"/>
      <c r="N64" s="199"/>
      <c r="P64" s="10"/>
    </row>
    <row r="65" spans="2:16" x14ac:dyDescent="0.2">
      <c r="B65" s="73" t="s">
        <v>221</v>
      </c>
      <c r="C65" s="277">
        <v>0</v>
      </c>
      <c r="G65" s="10"/>
      <c r="H65" s="10"/>
      <c r="I65" s="37"/>
      <c r="J65" s="12"/>
      <c r="K65" s="12"/>
      <c r="M65" s="201"/>
      <c r="N65" s="199"/>
      <c r="P65" s="10"/>
    </row>
    <row r="66" spans="2:16" x14ac:dyDescent="0.2">
      <c r="B66" s="10"/>
      <c r="C66" s="275"/>
      <c r="G66" s="10"/>
      <c r="H66" s="10"/>
      <c r="I66" s="37"/>
      <c r="J66" s="12"/>
      <c r="K66" s="12"/>
      <c r="M66" s="201"/>
      <c r="N66" s="199"/>
      <c r="P66" s="10"/>
    </row>
    <row r="67" spans="2:16" x14ac:dyDescent="0.2">
      <c r="B67" s="8" t="s">
        <v>233</v>
      </c>
      <c r="C67" s="276"/>
      <c r="H67" s="10"/>
      <c r="J67" s="12"/>
      <c r="K67" s="12"/>
      <c r="M67" s="201"/>
      <c r="N67" s="199"/>
      <c r="P67" s="10"/>
    </row>
    <row r="68" spans="2:16" x14ac:dyDescent="0.2">
      <c r="B68" s="73" t="s">
        <v>312</v>
      </c>
      <c r="C68" s="277">
        <v>770600</v>
      </c>
      <c r="H68" s="10"/>
      <c r="J68" s="12"/>
      <c r="K68" s="12"/>
      <c r="M68" s="201"/>
      <c r="N68" s="199"/>
      <c r="P68" s="10"/>
    </row>
    <row r="69" spans="2:16" x14ac:dyDescent="0.2">
      <c r="C69" s="278"/>
      <c r="H69" s="10"/>
      <c r="J69" s="12"/>
      <c r="K69" s="12"/>
      <c r="M69" s="201"/>
      <c r="N69" s="199"/>
      <c r="P69" s="10"/>
    </row>
    <row r="70" spans="2:16" x14ac:dyDescent="0.2">
      <c r="C70" s="278"/>
      <c r="H70" s="10"/>
      <c r="J70" s="12"/>
      <c r="K70" s="12"/>
      <c r="M70" s="201"/>
      <c r="N70" s="199"/>
      <c r="P70" s="10"/>
    </row>
    <row r="71" spans="2:16" x14ac:dyDescent="0.2">
      <c r="C71" s="278"/>
      <c r="H71" s="10"/>
      <c r="J71" s="12"/>
      <c r="K71" s="12"/>
      <c r="M71" s="201"/>
      <c r="N71" s="199"/>
      <c r="P71" s="10"/>
    </row>
    <row r="72" spans="2:16" x14ac:dyDescent="0.2">
      <c r="C72" s="278"/>
      <c r="H72" s="10"/>
      <c r="J72" s="12"/>
      <c r="K72" s="12"/>
      <c r="M72" s="201"/>
      <c r="N72" s="199"/>
      <c r="P72" s="10"/>
    </row>
    <row r="73" spans="2:16" x14ac:dyDescent="0.2">
      <c r="C73" s="278"/>
      <c r="H73" s="10"/>
      <c r="J73" s="12"/>
      <c r="K73" s="12"/>
      <c r="M73" s="201"/>
      <c r="N73" s="199"/>
      <c r="P73" s="10"/>
    </row>
    <row r="74" spans="2:16" x14ac:dyDescent="0.2">
      <c r="C74" s="278"/>
      <c r="H74" s="10"/>
      <c r="J74" s="12"/>
      <c r="K74" s="12"/>
      <c r="M74" s="201"/>
      <c r="N74" s="199"/>
      <c r="P74" s="10"/>
    </row>
    <row r="75" spans="2:16" x14ac:dyDescent="0.2">
      <c r="C75" s="278"/>
      <c r="G75" s="10"/>
      <c r="H75" s="10"/>
      <c r="I75" s="12"/>
      <c r="J75" s="12"/>
      <c r="K75" s="12"/>
      <c r="M75" s="201"/>
      <c r="N75" s="199"/>
      <c r="P75" s="10"/>
    </row>
    <row r="76" spans="2:16" x14ac:dyDescent="0.2">
      <c r="B76" s="8" t="s">
        <v>234</v>
      </c>
      <c r="C76" s="11"/>
      <c r="D76" s="11"/>
      <c r="E76" s="11"/>
      <c r="F76" s="9"/>
      <c r="G76" s="10"/>
      <c r="H76" s="10"/>
      <c r="I76" s="12"/>
      <c r="J76" s="12"/>
      <c r="K76" s="12"/>
      <c r="M76" s="201"/>
      <c r="N76" s="199"/>
      <c r="P76" s="10"/>
    </row>
    <row r="77" spans="2:16" x14ac:dyDescent="0.2">
      <c r="B77" s="73" t="s">
        <v>235</v>
      </c>
      <c r="C77" s="312">
        <v>2</v>
      </c>
      <c r="D77" s="96"/>
      <c r="E77" s="96"/>
      <c r="F77" s="97"/>
      <c r="G77" s="10"/>
      <c r="H77" s="10"/>
      <c r="I77" s="12"/>
      <c r="J77" s="12"/>
      <c r="K77" s="12"/>
      <c r="M77" s="201"/>
      <c r="N77" s="199"/>
      <c r="P77" s="10"/>
    </row>
    <row r="78" spans="2:16" x14ac:dyDescent="0.2">
      <c r="B78" s="73" t="s">
        <v>245</v>
      </c>
      <c r="C78" s="178">
        <v>6</v>
      </c>
      <c r="D78" s="96"/>
      <c r="E78" s="96"/>
      <c r="F78" s="97"/>
      <c r="G78" s="10"/>
      <c r="H78" s="10"/>
      <c r="I78" s="12"/>
      <c r="J78" s="12"/>
      <c r="K78" s="12"/>
      <c r="M78" s="201"/>
      <c r="N78" s="199"/>
      <c r="P78" s="10"/>
    </row>
    <row r="79" spans="2:16" x14ac:dyDescent="0.2">
      <c r="B79" s="73" t="s">
        <v>236</v>
      </c>
      <c r="C79" s="178">
        <v>6</v>
      </c>
      <c r="D79" s="96"/>
      <c r="E79" s="96"/>
      <c r="F79" s="97"/>
      <c r="G79" s="10"/>
      <c r="H79" s="10"/>
      <c r="I79" s="12"/>
      <c r="J79" s="12"/>
      <c r="K79" s="12"/>
      <c r="M79" s="201"/>
      <c r="N79" s="199"/>
      <c r="P79" s="10"/>
    </row>
    <row r="80" spans="2:16" x14ac:dyDescent="0.2">
      <c r="B80" s="15" t="s">
        <v>237</v>
      </c>
      <c r="C80" s="15"/>
      <c r="D80" s="96"/>
      <c r="E80" s="96"/>
      <c r="F80" s="97"/>
      <c r="G80" s="10"/>
      <c r="H80" s="10"/>
      <c r="I80" s="12"/>
      <c r="J80" s="12"/>
      <c r="K80" s="12"/>
      <c r="M80" s="201"/>
      <c r="N80" s="199"/>
      <c r="P80" s="10"/>
    </row>
    <row r="81" spans="2:16" ht="25.5" x14ac:dyDescent="0.2">
      <c r="B81" s="125"/>
      <c r="C81" s="124" t="s">
        <v>241</v>
      </c>
      <c r="D81" s="94" t="s">
        <v>242</v>
      </c>
      <c r="E81" s="94" t="s">
        <v>243</v>
      </c>
      <c r="F81" s="97"/>
      <c r="G81" s="10"/>
      <c r="H81" s="10"/>
      <c r="I81" s="12"/>
      <c r="J81" s="12"/>
      <c r="K81" s="12"/>
      <c r="M81" s="201"/>
      <c r="N81" s="199"/>
      <c r="P81" s="10"/>
    </row>
    <row r="82" spans="2:16" x14ac:dyDescent="0.2">
      <c r="B82" s="103" t="s">
        <v>238</v>
      </c>
      <c r="C82" s="72">
        <v>0.25</v>
      </c>
      <c r="D82" s="92">
        <f>C82*system_capacity</f>
        <v>2500</v>
      </c>
      <c r="E82" s="13">
        <v>12</v>
      </c>
      <c r="F82" s="97"/>
      <c r="G82" s="10"/>
      <c r="H82" s="10"/>
      <c r="I82" s="12"/>
      <c r="J82" s="12"/>
      <c r="K82" s="12"/>
      <c r="M82" s="201"/>
      <c r="N82" s="199"/>
      <c r="P82" s="10"/>
    </row>
    <row r="83" spans="2:16" x14ac:dyDescent="0.2">
      <c r="B83" s="74" t="s">
        <v>240</v>
      </c>
      <c r="C83" s="72">
        <v>0</v>
      </c>
      <c r="D83" s="70">
        <f>C83*system_capacity</f>
        <v>0</v>
      </c>
      <c r="E83" s="13">
        <v>15</v>
      </c>
      <c r="F83" s="97"/>
      <c r="G83" s="10"/>
      <c r="H83" s="10"/>
      <c r="I83" s="12"/>
      <c r="J83" s="12"/>
      <c r="K83" s="12"/>
      <c r="M83" s="201"/>
      <c r="N83" s="199"/>
      <c r="P83" s="10"/>
    </row>
    <row r="84" spans="2:16" x14ac:dyDescent="0.2">
      <c r="B84" s="123" t="s">
        <v>239</v>
      </c>
      <c r="C84" s="72">
        <v>0</v>
      </c>
      <c r="D84" s="95">
        <f>C84*system_capacity</f>
        <v>0</v>
      </c>
      <c r="E84" s="13">
        <v>5</v>
      </c>
      <c r="F84" s="97"/>
      <c r="G84" s="10"/>
      <c r="H84" s="10"/>
      <c r="I84" s="12"/>
      <c r="J84" s="12"/>
      <c r="K84" s="12"/>
      <c r="M84" s="201"/>
      <c r="N84" s="199"/>
      <c r="P84" s="10"/>
    </row>
    <row r="85" spans="2:16" x14ac:dyDescent="0.2">
      <c r="B85" s="77" t="s">
        <v>244</v>
      </c>
      <c r="C85" s="60"/>
      <c r="D85" s="60"/>
      <c r="E85" s="60"/>
      <c r="F85" s="61"/>
      <c r="G85" s="10"/>
      <c r="H85" s="10"/>
      <c r="I85" s="12"/>
      <c r="J85" s="12"/>
      <c r="K85" s="12"/>
      <c r="M85" s="201"/>
      <c r="N85" s="199"/>
      <c r="P85" s="10"/>
    </row>
    <row r="86" spans="2:16" x14ac:dyDescent="0.2">
      <c r="B86" s="101" t="s">
        <v>7</v>
      </c>
      <c r="C86" s="122" t="s">
        <v>68</v>
      </c>
      <c r="D86" s="96"/>
      <c r="E86" s="96"/>
      <c r="F86" s="97"/>
      <c r="G86" s="10"/>
      <c r="H86" s="10"/>
      <c r="I86" s="12"/>
      <c r="J86" s="12"/>
      <c r="K86" s="12"/>
      <c r="M86" s="201"/>
      <c r="N86" s="199"/>
      <c r="P86" s="10"/>
    </row>
    <row r="87" spans="2:16" x14ac:dyDescent="0.2">
      <c r="B87" s="101" t="s">
        <v>8</v>
      </c>
      <c r="C87" s="122" t="s">
        <v>68</v>
      </c>
      <c r="D87" s="98"/>
      <c r="E87" s="98"/>
      <c r="F87" s="99"/>
      <c r="G87" s="10"/>
      <c r="H87" s="10"/>
      <c r="I87" s="12"/>
      <c r="J87" s="12"/>
      <c r="K87" s="12"/>
      <c r="M87" s="201"/>
      <c r="N87" s="199"/>
      <c r="P87" s="10"/>
    </row>
    <row r="88" spans="2:16" x14ac:dyDescent="0.2">
      <c r="G88" s="10"/>
      <c r="H88" s="10"/>
      <c r="I88" s="12"/>
      <c r="J88" s="12"/>
      <c r="K88" s="12"/>
      <c r="M88" s="201"/>
      <c r="N88" s="199"/>
      <c r="P88" s="10"/>
    </row>
    <row r="89" spans="2:16" x14ac:dyDescent="0.2">
      <c r="B89" s="8" t="s">
        <v>246</v>
      </c>
      <c r="C89" s="11"/>
      <c r="D89" s="11"/>
      <c r="E89" s="11"/>
      <c r="F89" s="9"/>
      <c r="G89" s="10"/>
      <c r="H89" s="10"/>
      <c r="I89" s="12"/>
      <c r="J89" s="12"/>
      <c r="K89" s="12"/>
      <c r="M89" s="201"/>
      <c r="N89" s="199"/>
      <c r="P89" s="10"/>
    </row>
    <row r="90" spans="2:16" x14ac:dyDescent="0.2">
      <c r="B90" s="67"/>
      <c r="C90" s="60"/>
      <c r="D90" s="61"/>
      <c r="E90" s="434" t="s">
        <v>25</v>
      </c>
      <c r="F90" s="435"/>
      <c r="G90" s="10"/>
      <c r="H90" s="10"/>
      <c r="I90" s="10"/>
      <c r="J90" s="10"/>
      <c r="K90" s="10"/>
      <c r="M90" s="201"/>
      <c r="N90" s="199"/>
    </row>
    <row r="91" spans="2:16" x14ac:dyDescent="0.2">
      <c r="B91" s="59" t="s">
        <v>5</v>
      </c>
      <c r="C91" s="60"/>
      <c r="D91" s="104"/>
      <c r="E91" s="105" t="s">
        <v>7</v>
      </c>
      <c r="F91" s="105" t="s">
        <v>8</v>
      </c>
      <c r="G91" s="10"/>
      <c r="H91" s="10"/>
      <c r="I91" s="10"/>
      <c r="J91" s="10"/>
      <c r="K91" s="10"/>
      <c r="M91" s="201"/>
      <c r="N91" s="199"/>
    </row>
    <row r="92" spans="2:16" x14ac:dyDescent="0.2">
      <c r="B92" s="103" t="s">
        <v>248</v>
      </c>
      <c r="C92" s="14" t="s">
        <v>6</v>
      </c>
      <c r="D92" s="120"/>
      <c r="E92" s="108"/>
      <c r="F92" s="109"/>
      <c r="G92" s="10"/>
      <c r="H92" s="10"/>
      <c r="I92" s="12"/>
      <c r="J92" s="12"/>
      <c r="K92" s="12"/>
      <c r="M92" s="201"/>
      <c r="N92" s="199"/>
    </row>
    <row r="93" spans="2:16" x14ac:dyDescent="0.2">
      <c r="B93" s="102" t="s">
        <v>249</v>
      </c>
      <c r="C93" s="348">
        <v>0</v>
      </c>
      <c r="D93" s="64"/>
      <c r="E93" s="118" t="s">
        <v>27</v>
      </c>
      <c r="F93" s="107" t="s">
        <v>27</v>
      </c>
      <c r="G93" s="10"/>
      <c r="H93" s="10"/>
      <c r="I93" s="12"/>
      <c r="J93" s="12"/>
      <c r="K93" s="12"/>
      <c r="M93" s="201"/>
      <c r="N93" s="199"/>
    </row>
    <row r="94" spans="2:16" x14ac:dyDescent="0.2">
      <c r="B94" s="102" t="s">
        <v>250</v>
      </c>
      <c r="C94" s="348">
        <v>0</v>
      </c>
      <c r="D94" s="106"/>
      <c r="E94" s="119" t="s">
        <v>28</v>
      </c>
      <c r="F94" s="110" t="s">
        <v>27</v>
      </c>
      <c r="G94" s="10"/>
      <c r="I94" s="12"/>
      <c r="J94" s="12"/>
      <c r="K94" s="12"/>
      <c r="M94" s="201"/>
      <c r="N94" s="199"/>
    </row>
    <row r="95" spans="2:16" x14ac:dyDescent="0.2">
      <c r="B95" s="101" t="s">
        <v>253</v>
      </c>
      <c r="C95" s="16" t="s">
        <v>11</v>
      </c>
      <c r="D95" s="22" t="s">
        <v>12</v>
      </c>
      <c r="E95" s="111"/>
      <c r="F95" s="112"/>
      <c r="G95" s="10"/>
      <c r="H95" s="10"/>
      <c r="I95" s="12"/>
      <c r="J95" s="12"/>
      <c r="K95" s="12"/>
      <c r="M95" s="201"/>
      <c r="N95" s="199"/>
    </row>
    <row r="96" spans="2:16" x14ac:dyDescent="0.2">
      <c r="B96" s="102" t="s">
        <v>251</v>
      </c>
      <c r="C96" s="270">
        <v>30</v>
      </c>
      <c r="D96" s="100">
        <v>9.9999999999999997E+98</v>
      </c>
      <c r="E96" s="107" t="s">
        <v>27</v>
      </c>
      <c r="F96" s="107" t="s">
        <v>27</v>
      </c>
      <c r="G96" s="10"/>
      <c r="I96" s="12"/>
      <c r="J96" s="12"/>
      <c r="K96" s="12"/>
      <c r="M96" s="201"/>
      <c r="N96" s="199"/>
    </row>
    <row r="97" spans="2:17" x14ac:dyDescent="0.2">
      <c r="B97" s="102" t="s">
        <v>252</v>
      </c>
      <c r="C97" s="268">
        <v>0</v>
      </c>
      <c r="D97" s="100">
        <v>9.9999999999999997E+98</v>
      </c>
      <c r="E97" s="110" t="s">
        <v>28</v>
      </c>
      <c r="F97" s="110" t="s">
        <v>27</v>
      </c>
      <c r="G97" s="10"/>
      <c r="I97" s="12"/>
      <c r="J97" s="12"/>
      <c r="K97" s="12"/>
      <c r="M97" s="201"/>
      <c r="N97" s="199"/>
    </row>
    <row r="98" spans="2:17" x14ac:dyDescent="0.2">
      <c r="B98" s="151" t="s">
        <v>9</v>
      </c>
      <c r="C98" s="17" t="s">
        <v>13</v>
      </c>
      <c r="D98" s="113" t="s">
        <v>14</v>
      </c>
      <c r="E98" s="114"/>
      <c r="F98" s="115"/>
      <c r="G98" s="10"/>
      <c r="I98" s="12"/>
      <c r="J98" s="12"/>
      <c r="K98" s="12"/>
      <c r="M98" s="201"/>
      <c r="N98" s="199"/>
      <c r="Q98" s="10"/>
    </row>
    <row r="99" spans="2:17" x14ac:dyDescent="0.2">
      <c r="B99" s="101" t="s">
        <v>7</v>
      </c>
      <c r="C99" s="288">
        <v>0</v>
      </c>
      <c r="D99" s="349">
        <v>10</v>
      </c>
      <c r="E99" s="116"/>
      <c r="F99" s="97"/>
      <c r="G99" s="10"/>
      <c r="I99" s="12"/>
      <c r="J99" s="12"/>
      <c r="K99" s="12"/>
      <c r="M99" s="201"/>
      <c r="N99" s="199"/>
      <c r="Q99" s="10"/>
    </row>
    <row r="100" spans="2:17" x14ac:dyDescent="0.2">
      <c r="B100" s="101" t="s">
        <v>8</v>
      </c>
      <c r="C100" s="288">
        <v>0</v>
      </c>
      <c r="D100" s="349">
        <v>10</v>
      </c>
      <c r="E100" s="117"/>
      <c r="F100" s="99"/>
      <c r="G100" s="10"/>
      <c r="I100" s="12"/>
      <c r="J100" s="12"/>
      <c r="K100" s="12"/>
      <c r="M100" s="201"/>
      <c r="N100" s="199"/>
      <c r="Q100" s="10"/>
    </row>
    <row r="101" spans="2:17" x14ac:dyDescent="0.2">
      <c r="B101" s="66"/>
      <c r="C101" s="18"/>
      <c r="D101" s="19"/>
      <c r="E101" s="12"/>
      <c r="F101" s="12"/>
      <c r="G101" s="10"/>
      <c r="H101" s="10"/>
      <c r="I101" s="12"/>
      <c r="J101" s="12"/>
      <c r="K101" s="12"/>
      <c r="M101" s="201"/>
      <c r="N101" s="199"/>
      <c r="Q101" s="10"/>
    </row>
    <row r="102" spans="2:17" x14ac:dyDescent="0.2">
      <c r="B102" s="8" t="s">
        <v>247</v>
      </c>
      <c r="C102" s="11"/>
      <c r="D102" s="11"/>
      <c r="E102" s="11"/>
      <c r="F102" s="11"/>
      <c r="G102" s="11"/>
      <c r="H102" s="9"/>
      <c r="I102" s="69"/>
      <c r="K102" s="12"/>
      <c r="M102" s="201"/>
      <c r="N102" s="195"/>
      <c r="Q102" s="10"/>
    </row>
    <row r="103" spans="2:17" x14ac:dyDescent="0.2">
      <c r="B103" s="150" t="s">
        <v>24</v>
      </c>
      <c r="C103" s="148"/>
      <c r="D103" s="60"/>
      <c r="E103" s="149"/>
      <c r="F103" s="149"/>
      <c r="G103" s="149"/>
      <c r="H103" s="109"/>
      <c r="I103" s="12"/>
      <c r="K103" s="12"/>
      <c r="M103" s="201"/>
      <c r="N103" s="195"/>
    </row>
    <row r="104" spans="2:17" x14ac:dyDescent="0.2">
      <c r="B104" s="161" t="s">
        <v>248</v>
      </c>
      <c r="C104" s="141" t="s">
        <v>6</v>
      </c>
      <c r="D104" s="142"/>
      <c r="E104" s="118" t="s">
        <v>275</v>
      </c>
      <c r="F104" s="107" t="s">
        <v>276</v>
      </c>
      <c r="G104" s="107" t="s">
        <v>284</v>
      </c>
      <c r="H104" s="107" t="s">
        <v>285</v>
      </c>
      <c r="I104" s="10"/>
      <c r="K104" s="147"/>
      <c r="M104" s="201"/>
      <c r="N104" s="200"/>
    </row>
    <row r="105" spans="2:17" x14ac:dyDescent="0.2">
      <c r="B105" s="131" t="s">
        <v>249</v>
      </c>
      <c r="C105" s="350">
        <v>0</v>
      </c>
      <c r="D105" s="140"/>
      <c r="E105" s="139" t="s">
        <v>27</v>
      </c>
      <c r="F105" s="16" t="s">
        <v>27</v>
      </c>
      <c r="G105" s="134" t="s">
        <v>28</v>
      </c>
      <c r="H105" s="134" t="s">
        <v>28</v>
      </c>
      <c r="I105" s="10"/>
      <c r="K105" s="12"/>
      <c r="M105" s="201"/>
      <c r="N105" s="195"/>
    </row>
    <row r="106" spans="2:17" x14ac:dyDescent="0.2">
      <c r="B106" s="131" t="s">
        <v>250</v>
      </c>
      <c r="C106" s="350">
        <v>0</v>
      </c>
      <c r="D106" s="140"/>
      <c r="E106" s="139" t="s">
        <v>27</v>
      </c>
      <c r="F106" s="16" t="s">
        <v>27</v>
      </c>
      <c r="G106" s="134" t="s">
        <v>28</v>
      </c>
      <c r="H106" s="134" t="s">
        <v>28</v>
      </c>
      <c r="I106" s="10"/>
      <c r="K106" s="12"/>
      <c r="M106" s="201"/>
      <c r="N106" s="195"/>
    </row>
    <row r="107" spans="2:17" x14ac:dyDescent="0.2">
      <c r="B107" s="131" t="s">
        <v>260</v>
      </c>
      <c r="C107" s="350">
        <v>0</v>
      </c>
      <c r="D107" s="140"/>
      <c r="E107" s="139" t="s">
        <v>27</v>
      </c>
      <c r="F107" s="16" t="s">
        <v>27</v>
      </c>
      <c r="G107" s="134" t="s">
        <v>28</v>
      </c>
      <c r="H107" s="134" t="s">
        <v>28</v>
      </c>
      <c r="I107" s="10"/>
      <c r="K107" s="12"/>
      <c r="M107" s="201"/>
      <c r="N107" s="195"/>
    </row>
    <row r="108" spans="2:17" x14ac:dyDescent="0.2">
      <c r="B108" s="162" t="s">
        <v>261</v>
      </c>
      <c r="C108" s="351">
        <v>0</v>
      </c>
      <c r="D108" s="140"/>
      <c r="E108" s="143" t="s">
        <v>27</v>
      </c>
      <c r="F108" s="144" t="s">
        <v>27</v>
      </c>
      <c r="G108" s="110" t="s">
        <v>28</v>
      </c>
      <c r="H108" s="110" t="s">
        <v>28</v>
      </c>
      <c r="I108" s="10"/>
      <c r="K108" s="12"/>
      <c r="M108" s="201"/>
      <c r="N108" s="195"/>
    </row>
    <row r="109" spans="2:17" x14ac:dyDescent="0.2">
      <c r="B109" s="133" t="s">
        <v>253</v>
      </c>
      <c r="C109" s="145" t="s">
        <v>139</v>
      </c>
      <c r="D109" s="134" t="s">
        <v>273</v>
      </c>
      <c r="E109" s="146"/>
      <c r="F109" s="152"/>
      <c r="G109" s="152"/>
      <c r="H109" s="153"/>
      <c r="I109" s="193"/>
      <c r="K109" s="20"/>
      <c r="M109" s="201"/>
      <c r="N109" s="199"/>
    </row>
    <row r="110" spans="2:17" x14ac:dyDescent="0.2">
      <c r="B110" s="131" t="s">
        <v>251</v>
      </c>
      <c r="C110" s="270">
        <v>50</v>
      </c>
      <c r="D110" s="135">
        <v>9.9999999999999997E+98</v>
      </c>
      <c r="E110" s="16" t="s">
        <v>27</v>
      </c>
      <c r="F110" s="16" t="s">
        <v>27</v>
      </c>
      <c r="G110" s="134" t="s">
        <v>28</v>
      </c>
      <c r="H110" s="134" t="s">
        <v>28</v>
      </c>
      <c r="I110" s="10"/>
      <c r="K110" s="12"/>
      <c r="L110" s="12"/>
      <c r="M110" s="20"/>
      <c r="N110" s="12"/>
    </row>
    <row r="111" spans="2:17" x14ac:dyDescent="0.2">
      <c r="B111" s="131" t="s">
        <v>252</v>
      </c>
      <c r="C111" s="270">
        <v>0</v>
      </c>
      <c r="D111" s="135">
        <v>9.9999999999999997E+98</v>
      </c>
      <c r="E111" s="16" t="s">
        <v>27</v>
      </c>
      <c r="F111" s="16" t="s">
        <v>27</v>
      </c>
      <c r="G111" s="134" t="s">
        <v>28</v>
      </c>
      <c r="H111" s="134" t="s">
        <v>28</v>
      </c>
      <c r="I111" s="10"/>
      <c r="K111" s="12"/>
      <c r="L111" s="12"/>
      <c r="M111" s="20"/>
      <c r="N111" s="12"/>
    </row>
    <row r="112" spans="2:17" x14ac:dyDescent="0.2">
      <c r="B112" s="131" t="s">
        <v>262</v>
      </c>
      <c r="C112" s="270">
        <v>0</v>
      </c>
      <c r="D112" s="135">
        <v>9.9999999999999997E+98</v>
      </c>
      <c r="E112" s="16" t="s">
        <v>27</v>
      </c>
      <c r="F112" s="16" t="s">
        <v>27</v>
      </c>
      <c r="G112" s="134" t="s">
        <v>28</v>
      </c>
      <c r="H112" s="134" t="s">
        <v>28</v>
      </c>
      <c r="I112" s="10"/>
      <c r="K112" s="12"/>
      <c r="L112" s="12"/>
      <c r="M112" s="20"/>
      <c r="N112" s="12"/>
    </row>
    <row r="113" spans="2:17" ht="13.5" thickBot="1" x14ac:dyDescent="0.25">
      <c r="B113" s="164" t="s">
        <v>263</v>
      </c>
      <c r="C113" s="354">
        <v>0</v>
      </c>
      <c r="D113" s="136">
        <v>9.9999999999999997E+98</v>
      </c>
      <c r="E113" s="137" t="s">
        <v>27</v>
      </c>
      <c r="F113" s="137" t="s">
        <v>27</v>
      </c>
      <c r="G113" s="138" t="s">
        <v>28</v>
      </c>
      <c r="H113" s="138" t="s">
        <v>28</v>
      </c>
      <c r="I113" s="10"/>
      <c r="K113" s="12"/>
      <c r="L113" s="12"/>
      <c r="M113" s="20"/>
      <c r="N113" s="12"/>
    </row>
    <row r="114" spans="2:17" x14ac:dyDescent="0.2">
      <c r="B114" s="163" t="s">
        <v>61</v>
      </c>
      <c r="C114" s="160" t="s">
        <v>268</v>
      </c>
      <c r="D114" s="107" t="s">
        <v>273</v>
      </c>
      <c r="E114" s="20"/>
      <c r="F114" s="20"/>
      <c r="G114" s="20"/>
      <c r="H114" s="20"/>
      <c r="I114" s="10"/>
      <c r="K114" s="129"/>
      <c r="L114" s="129"/>
      <c r="M114" s="20"/>
      <c r="N114" s="129"/>
      <c r="O114" s="21"/>
    </row>
    <row r="115" spans="2:17" x14ac:dyDescent="0.2">
      <c r="B115" s="133" t="s">
        <v>264</v>
      </c>
      <c r="C115" s="292">
        <v>0</v>
      </c>
      <c r="D115" s="135">
        <v>9.9999999999999997E+98</v>
      </c>
      <c r="E115" s="16" t="s">
        <v>27</v>
      </c>
      <c r="F115" s="16" t="s">
        <v>27</v>
      </c>
      <c r="G115" s="134" t="s">
        <v>28</v>
      </c>
      <c r="H115" s="146" t="s">
        <v>28</v>
      </c>
      <c r="I115" s="386"/>
      <c r="K115" s="12"/>
      <c r="L115" s="12"/>
      <c r="M115" s="20"/>
      <c r="N115" s="12"/>
    </row>
    <row r="116" spans="2:17" x14ac:dyDescent="0.2">
      <c r="B116" s="133" t="s">
        <v>265</v>
      </c>
      <c r="C116" s="292">
        <v>0</v>
      </c>
      <c r="D116" s="135">
        <v>9.9999999999999997E+98</v>
      </c>
      <c r="E116" s="16" t="s">
        <v>27</v>
      </c>
      <c r="F116" s="16" t="s">
        <v>27</v>
      </c>
      <c r="G116" s="134" t="s">
        <v>28</v>
      </c>
      <c r="H116" s="134" t="s">
        <v>28</v>
      </c>
      <c r="K116" s="12"/>
      <c r="L116" s="12"/>
      <c r="M116" s="20"/>
      <c r="N116" s="12"/>
    </row>
    <row r="117" spans="2:17" x14ac:dyDescent="0.2">
      <c r="B117" s="133" t="s">
        <v>266</v>
      </c>
      <c r="C117" s="292">
        <v>0</v>
      </c>
      <c r="D117" s="135">
        <v>9.9999999999999997E+98</v>
      </c>
      <c r="E117" s="16" t="s">
        <v>27</v>
      </c>
      <c r="F117" s="16" t="s">
        <v>27</v>
      </c>
      <c r="G117" s="134" t="s">
        <v>28</v>
      </c>
      <c r="H117" s="134" t="s">
        <v>28</v>
      </c>
      <c r="K117" s="12"/>
      <c r="L117" s="12"/>
      <c r="M117" s="20"/>
      <c r="N117" s="12"/>
    </row>
    <row r="118" spans="2:17" ht="13.5" thickBot="1" x14ac:dyDescent="0.25">
      <c r="B118" s="167" t="s">
        <v>267</v>
      </c>
      <c r="C118" s="355">
        <v>0</v>
      </c>
      <c r="D118" s="136">
        <v>9.9999999999999997E+98</v>
      </c>
      <c r="E118" s="137" t="s">
        <v>27</v>
      </c>
      <c r="F118" s="137" t="s">
        <v>27</v>
      </c>
      <c r="G118" s="138" t="s">
        <v>28</v>
      </c>
      <c r="H118" s="138" t="s">
        <v>28</v>
      </c>
      <c r="K118" s="12"/>
      <c r="L118" s="12"/>
      <c r="M118" s="20"/>
      <c r="N118" s="12"/>
    </row>
    <row r="119" spans="2:17" ht="25.5" x14ac:dyDescent="0.2">
      <c r="B119" s="165" t="s">
        <v>58</v>
      </c>
      <c r="C119" s="160" t="s">
        <v>6</v>
      </c>
      <c r="D119" s="107" t="s">
        <v>274</v>
      </c>
      <c r="E119" s="107" t="s">
        <v>10</v>
      </c>
      <c r="F119" s="107" t="s">
        <v>275</v>
      </c>
      <c r="G119" s="107" t="s">
        <v>276</v>
      </c>
      <c r="H119" s="166" t="s">
        <v>26</v>
      </c>
      <c r="I119" s="20"/>
      <c r="J119" s="20"/>
      <c r="K119" s="20"/>
      <c r="L119" s="129"/>
      <c r="M119" s="20"/>
      <c r="N119" s="20"/>
      <c r="O119" s="21"/>
      <c r="P119" s="21"/>
      <c r="Q119" s="21"/>
    </row>
    <row r="120" spans="2:17" x14ac:dyDescent="0.2">
      <c r="B120" s="133" t="s">
        <v>269</v>
      </c>
      <c r="C120" s="292">
        <v>0</v>
      </c>
      <c r="D120" s="356">
        <v>0</v>
      </c>
      <c r="E120" s="270">
        <v>0</v>
      </c>
      <c r="F120" s="134" t="s">
        <v>27</v>
      </c>
      <c r="G120" s="134" t="s">
        <v>27</v>
      </c>
      <c r="H120" s="265" t="s">
        <v>28</v>
      </c>
      <c r="I120" s="20"/>
      <c r="J120" s="20"/>
      <c r="K120" s="20"/>
      <c r="L120" s="12"/>
      <c r="M120" s="20"/>
      <c r="N120" s="20"/>
      <c r="O120" s="21"/>
      <c r="P120" s="21"/>
      <c r="Q120" s="21"/>
    </row>
    <row r="121" spans="2:17" x14ac:dyDescent="0.2">
      <c r="B121" s="133" t="s">
        <v>270</v>
      </c>
      <c r="C121" s="292">
        <v>0</v>
      </c>
      <c r="D121" s="356">
        <v>0</v>
      </c>
      <c r="E121" s="270">
        <v>0</v>
      </c>
      <c r="F121" s="134" t="s">
        <v>27</v>
      </c>
      <c r="G121" s="134" t="s">
        <v>27</v>
      </c>
      <c r="H121" s="265" t="s">
        <v>28</v>
      </c>
      <c r="I121" s="20"/>
      <c r="J121" s="20"/>
      <c r="K121" s="20"/>
      <c r="L121" s="12"/>
      <c r="M121" s="20"/>
      <c r="N121" s="20"/>
      <c r="O121" s="21"/>
      <c r="P121" s="21"/>
      <c r="Q121" s="21"/>
    </row>
    <row r="122" spans="2:17" x14ac:dyDescent="0.2">
      <c r="B122" s="133" t="s">
        <v>271</v>
      </c>
      <c r="C122" s="292">
        <v>0</v>
      </c>
      <c r="D122" s="356">
        <v>0</v>
      </c>
      <c r="E122" s="270">
        <v>0</v>
      </c>
      <c r="F122" s="134" t="s">
        <v>27</v>
      </c>
      <c r="G122" s="134" t="s">
        <v>27</v>
      </c>
      <c r="H122" s="265" t="s">
        <v>28</v>
      </c>
      <c r="I122" s="20"/>
      <c r="J122" s="20"/>
      <c r="K122" s="20"/>
      <c r="L122" s="20"/>
      <c r="M122" s="20"/>
      <c r="N122" s="20"/>
      <c r="O122" s="21"/>
      <c r="P122" s="21"/>
      <c r="Q122" s="21"/>
    </row>
    <row r="123" spans="2:17" x14ac:dyDescent="0.2">
      <c r="B123" s="133" t="s">
        <v>272</v>
      </c>
      <c r="C123" s="292">
        <v>0</v>
      </c>
      <c r="D123" s="356">
        <v>0</v>
      </c>
      <c r="E123" s="270">
        <v>0</v>
      </c>
      <c r="F123" s="134" t="s">
        <v>27</v>
      </c>
      <c r="G123" s="134" t="s">
        <v>27</v>
      </c>
      <c r="H123" s="265" t="s">
        <v>28</v>
      </c>
      <c r="I123" s="12"/>
      <c r="J123" s="12"/>
      <c r="K123" s="12"/>
      <c r="L123" s="20"/>
      <c r="M123" s="12"/>
      <c r="N123" s="12"/>
      <c r="O123" s="21"/>
      <c r="P123" s="21"/>
      <c r="Q123" s="21"/>
    </row>
    <row r="124" spans="2:17" x14ac:dyDescent="0.2">
      <c r="B124" s="40"/>
      <c r="C124" s="130"/>
      <c r="D124" s="63"/>
      <c r="E124" s="65"/>
      <c r="F124" s="129"/>
      <c r="G124" s="129"/>
      <c r="H124" s="129"/>
      <c r="I124" s="12"/>
      <c r="J124" s="12"/>
      <c r="K124" s="12"/>
      <c r="L124" s="20"/>
      <c r="M124" s="12"/>
      <c r="N124" s="12"/>
      <c r="O124" s="21"/>
      <c r="P124" s="21"/>
      <c r="Q124" s="21"/>
    </row>
    <row r="125" spans="2:17" x14ac:dyDescent="0.2">
      <c r="B125" s="154" t="s">
        <v>176</v>
      </c>
      <c r="C125" s="155"/>
      <c r="I125" s="12"/>
      <c r="J125" s="12"/>
      <c r="K125" s="12"/>
      <c r="L125" s="20"/>
      <c r="M125" s="12"/>
      <c r="N125" s="12"/>
      <c r="O125" s="21"/>
      <c r="P125" s="21"/>
      <c r="Q125" s="21"/>
    </row>
    <row r="126" spans="2:17" x14ac:dyDescent="0.2">
      <c r="B126" s="156" t="s">
        <v>7</v>
      </c>
      <c r="C126" s="157" t="s">
        <v>177</v>
      </c>
      <c r="I126" s="12"/>
      <c r="J126" s="12"/>
      <c r="K126" s="12"/>
      <c r="L126" s="20"/>
      <c r="M126" s="12"/>
      <c r="N126" s="12"/>
      <c r="O126" s="21"/>
      <c r="P126" s="21"/>
      <c r="Q126" s="21"/>
    </row>
    <row r="127" spans="2:17" x14ac:dyDescent="0.2">
      <c r="B127" s="156" t="s">
        <v>8</v>
      </c>
      <c r="C127" s="157" t="s">
        <v>177</v>
      </c>
      <c r="I127" s="12"/>
      <c r="J127" s="12"/>
      <c r="K127" s="12"/>
      <c r="L127" s="20"/>
      <c r="M127" s="12"/>
      <c r="N127" s="12"/>
      <c r="O127" s="21"/>
      <c r="P127" s="21"/>
      <c r="Q127" s="21"/>
    </row>
    <row r="128" spans="2:17" x14ac:dyDescent="0.2">
      <c r="B128" s="40"/>
      <c r="C128" s="129"/>
      <c r="I128" s="12"/>
      <c r="J128" s="12"/>
      <c r="K128" s="12"/>
      <c r="L128" s="20"/>
      <c r="M128" s="12"/>
      <c r="N128" s="12"/>
      <c r="O128" s="21"/>
      <c r="P128" s="21"/>
      <c r="Q128" s="21"/>
    </row>
    <row r="129" spans="2:17" x14ac:dyDescent="0.2">
      <c r="B129" s="8" t="s">
        <v>281</v>
      </c>
      <c r="C129" s="11"/>
      <c r="D129" s="11"/>
      <c r="E129" s="11"/>
      <c r="F129" s="11"/>
      <c r="G129" s="9"/>
      <c r="H129" s="69" t="s">
        <v>277</v>
      </c>
      <c r="I129" s="12"/>
      <c r="J129" s="12"/>
      <c r="K129" s="12"/>
      <c r="L129" s="12"/>
      <c r="M129" s="12"/>
      <c r="N129" s="12"/>
      <c r="O129" s="21"/>
      <c r="P129" s="21"/>
      <c r="Q129" s="21"/>
    </row>
    <row r="130" spans="2:17" ht="12.75" customHeight="1" x14ac:dyDescent="0.2">
      <c r="B130" s="73" t="s">
        <v>278</v>
      </c>
      <c r="C130" s="168" t="s">
        <v>282</v>
      </c>
      <c r="D130" s="145" t="s">
        <v>279</v>
      </c>
      <c r="E130" s="145" t="s">
        <v>280</v>
      </c>
      <c r="F130" s="145" t="s">
        <v>286</v>
      </c>
      <c r="G130" s="145" t="s">
        <v>287</v>
      </c>
      <c r="H130" s="179" t="s">
        <v>288</v>
      </c>
      <c r="I130" s="158"/>
      <c r="J130" s="127"/>
      <c r="K130" s="127"/>
      <c r="L130" s="127"/>
      <c r="M130" s="12"/>
      <c r="N130" s="21"/>
    </row>
    <row r="131" spans="2:17" x14ac:dyDescent="0.2">
      <c r="B131" s="133" t="s">
        <v>68</v>
      </c>
      <c r="C131" s="270">
        <v>93</v>
      </c>
      <c r="D131" s="134" t="s">
        <v>27</v>
      </c>
      <c r="E131" s="134" t="s">
        <v>27</v>
      </c>
      <c r="F131" s="134" t="s">
        <v>27</v>
      </c>
      <c r="G131" s="134" t="s">
        <v>27</v>
      </c>
      <c r="H131" s="26">
        <f t="shared" ref="H131:H138" si="0">total_installed_cost*C131/100</f>
        <v>46500000</v>
      </c>
      <c r="I131" s="127"/>
      <c r="J131" s="127"/>
      <c r="K131" s="127"/>
      <c r="L131" s="127"/>
      <c r="M131" s="12"/>
    </row>
    <row r="132" spans="2:17" ht="12.75" customHeight="1" x14ac:dyDescent="0.2">
      <c r="B132" s="133" t="s">
        <v>69</v>
      </c>
      <c r="C132" s="270">
        <v>1.5</v>
      </c>
      <c r="D132" s="134" t="s">
        <v>27</v>
      </c>
      <c r="E132" s="134" t="s">
        <v>27</v>
      </c>
      <c r="F132" s="134" t="s">
        <v>28</v>
      </c>
      <c r="G132" s="134" t="s">
        <v>28</v>
      </c>
      <c r="H132" s="26">
        <f t="shared" si="0"/>
        <v>750000</v>
      </c>
      <c r="I132" s="127"/>
      <c r="J132" s="127"/>
      <c r="K132" s="127"/>
      <c r="L132" s="127"/>
      <c r="M132" s="12"/>
    </row>
    <row r="133" spans="2:17" x14ac:dyDescent="0.2">
      <c r="B133" s="133" t="s">
        <v>70</v>
      </c>
      <c r="C133" s="270">
        <v>0</v>
      </c>
      <c r="D133" s="134" t="s">
        <v>28</v>
      </c>
      <c r="E133" s="134" t="s">
        <v>28</v>
      </c>
      <c r="F133" s="134" t="s">
        <v>28</v>
      </c>
      <c r="G133" s="134" t="s">
        <v>28</v>
      </c>
      <c r="H133" s="26">
        <f t="shared" si="0"/>
        <v>0</v>
      </c>
      <c r="I133" s="127"/>
      <c r="J133" s="127"/>
      <c r="K133" s="127"/>
      <c r="L133" s="127"/>
      <c r="M133" s="12"/>
    </row>
    <row r="134" spans="2:17" x14ac:dyDescent="0.2">
      <c r="B134" s="133" t="s">
        <v>71</v>
      </c>
      <c r="C134" s="270">
        <v>2.5</v>
      </c>
      <c r="D134" s="134" t="s">
        <v>28</v>
      </c>
      <c r="E134" s="134" t="s">
        <v>28</v>
      </c>
      <c r="F134" s="134" t="s">
        <v>28</v>
      </c>
      <c r="G134" s="134" t="s">
        <v>28</v>
      </c>
      <c r="H134" s="26">
        <f t="shared" si="0"/>
        <v>1250000</v>
      </c>
      <c r="I134" s="127"/>
      <c r="J134" s="127"/>
      <c r="K134" s="127"/>
      <c r="L134" s="127"/>
      <c r="M134" s="12"/>
    </row>
    <row r="135" spans="2:17" x14ac:dyDescent="0.2">
      <c r="B135" s="133" t="s">
        <v>72</v>
      </c>
      <c r="C135" s="270">
        <v>2.5</v>
      </c>
      <c r="D135" s="134" t="s">
        <v>28</v>
      </c>
      <c r="E135" s="134" t="s">
        <v>28</v>
      </c>
      <c r="F135" s="134" t="s">
        <v>28</v>
      </c>
      <c r="G135" s="134" t="s">
        <v>28</v>
      </c>
      <c r="H135" s="26">
        <f t="shared" si="0"/>
        <v>1250000</v>
      </c>
      <c r="I135" s="127"/>
      <c r="J135" s="127"/>
      <c r="K135" s="127"/>
      <c r="L135" s="127"/>
      <c r="M135" s="12"/>
    </row>
    <row r="136" spans="2:17" x14ac:dyDescent="0.2">
      <c r="B136" s="133" t="s">
        <v>73</v>
      </c>
      <c r="C136" s="270">
        <v>0.5</v>
      </c>
      <c r="D136" s="134" t="s">
        <v>28</v>
      </c>
      <c r="E136" s="134" t="s">
        <v>28</v>
      </c>
      <c r="F136" s="110" t="s">
        <v>28</v>
      </c>
      <c r="G136" s="110" t="s">
        <v>28</v>
      </c>
      <c r="H136" s="26">
        <f t="shared" si="0"/>
        <v>250000</v>
      </c>
      <c r="I136" s="127"/>
      <c r="J136" s="127"/>
      <c r="K136" s="127"/>
      <c r="L136" s="127"/>
      <c r="M136" s="12"/>
    </row>
    <row r="137" spans="2:17" ht="12" customHeight="1" x14ac:dyDescent="0.2">
      <c r="B137" s="133" t="s">
        <v>149</v>
      </c>
      <c r="C137" s="269">
        <f>100-SUM(C131:C136)</f>
        <v>0</v>
      </c>
      <c r="D137" s="367">
        <v>0</v>
      </c>
      <c r="E137" s="368">
        <v>0</v>
      </c>
      <c r="F137" s="114"/>
      <c r="G137" s="115"/>
      <c r="H137" s="26">
        <f t="shared" si="0"/>
        <v>0</v>
      </c>
      <c r="I137" s="127"/>
      <c r="J137" s="127"/>
      <c r="K137" s="127"/>
      <c r="L137" s="127"/>
      <c r="M137" s="12"/>
    </row>
    <row r="138" spans="2:17" x14ac:dyDescent="0.2">
      <c r="B138" s="133" t="s">
        <v>21</v>
      </c>
      <c r="C138" s="366">
        <f t="shared" ref="C138" si="1">SUM(C131:C137)</f>
        <v>100</v>
      </c>
      <c r="D138" s="169"/>
      <c r="E138" s="170"/>
      <c r="F138" s="98"/>
      <c r="G138" s="171"/>
      <c r="H138" s="26">
        <f t="shared" si="0"/>
        <v>50000000</v>
      </c>
      <c r="I138" s="127"/>
      <c r="J138" s="127"/>
      <c r="K138" s="127"/>
      <c r="L138" s="127"/>
      <c r="M138" s="12"/>
    </row>
    <row r="139" spans="2:17" x14ac:dyDescent="0.2">
      <c r="D139" s="127"/>
      <c r="E139" s="159"/>
      <c r="F139" s="127"/>
      <c r="G139" s="127"/>
      <c r="H139" s="127"/>
      <c r="I139" s="127"/>
      <c r="J139" s="127"/>
      <c r="K139" s="127"/>
      <c r="L139" s="127"/>
      <c r="M139" s="12"/>
    </row>
    <row r="140" spans="2:17" x14ac:dyDescent="0.2">
      <c r="D140" s="127"/>
      <c r="E140" s="159"/>
      <c r="F140" s="127"/>
      <c r="G140" s="127"/>
      <c r="H140" s="127"/>
      <c r="I140" s="127"/>
      <c r="J140" s="127"/>
      <c r="K140" s="127"/>
      <c r="L140" s="127"/>
      <c r="M140" s="12"/>
    </row>
    <row r="141" spans="2:17" x14ac:dyDescent="0.2">
      <c r="D141" s="127"/>
      <c r="E141" s="159"/>
      <c r="F141" s="127"/>
      <c r="G141" s="127"/>
      <c r="H141" s="127"/>
      <c r="I141" s="127"/>
      <c r="J141" s="127"/>
      <c r="K141" s="127"/>
      <c r="L141" s="127"/>
      <c r="M141" s="12"/>
    </row>
    <row r="142" spans="2:17" x14ac:dyDescent="0.2">
      <c r="D142" s="127"/>
      <c r="E142" s="159"/>
      <c r="F142" s="127"/>
      <c r="G142" s="127"/>
      <c r="H142" s="127"/>
      <c r="I142" s="127"/>
      <c r="J142" s="127"/>
      <c r="K142" s="127"/>
      <c r="L142" s="127"/>
      <c r="M142" s="12"/>
    </row>
    <row r="143" spans="2:17" ht="13.5" customHeight="1" x14ac:dyDescent="0.2">
      <c r="I143" s="12"/>
      <c r="J143" s="12"/>
      <c r="K143" s="12"/>
      <c r="L143" s="12"/>
      <c r="M143" s="12"/>
    </row>
    <row r="144" spans="2:17" x14ac:dyDescent="0.2">
      <c r="I144" s="12"/>
      <c r="J144" s="12"/>
      <c r="K144" s="12"/>
      <c r="L144" s="12"/>
      <c r="M144" s="12"/>
    </row>
    <row r="145" spans="4:13" ht="12" customHeight="1" x14ac:dyDescent="0.2">
      <c r="I145" s="126"/>
      <c r="J145" s="12"/>
      <c r="K145" s="12"/>
      <c r="L145" s="12"/>
      <c r="M145" s="12"/>
    </row>
    <row r="146" spans="4:13" x14ac:dyDescent="0.2">
      <c r="I146" s="126"/>
      <c r="J146" s="12"/>
      <c r="K146" s="12"/>
      <c r="L146" s="12"/>
      <c r="M146" s="12"/>
    </row>
    <row r="147" spans="4:13" x14ac:dyDescent="0.2">
      <c r="I147" s="126"/>
      <c r="J147" s="12"/>
      <c r="K147" s="12"/>
      <c r="L147" s="12"/>
      <c r="M147" s="12"/>
    </row>
    <row r="148" spans="4:13" x14ac:dyDescent="0.2">
      <c r="I148" s="126"/>
      <c r="J148" s="12"/>
      <c r="K148" s="12"/>
      <c r="L148" s="12"/>
      <c r="M148" s="12"/>
    </row>
    <row r="149" spans="4:13" x14ac:dyDescent="0.2">
      <c r="I149" s="128"/>
      <c r="J149" s="12"/>
      <c r="K149" s="12"/>
      <c r="L149" s="12"/>
      <c r="M149" s="12"/>
    </row>
    <row r="150" spans="4:13" x14ac:dyDescent="0.2">
      <c r="I150" s="126"/>
      <c r="J150" s="12"/>
      <c r="K150" s="12"/>
      <c r="L150" s="12"/>
      <c r="M150" s="12"/>
    </row>
    <row r="151" spans="4:13" x14ac:dyDescent="0.2">
      <c r="I151" s="12"/>
      <c r="J151" s="12"/>
      <c r="K151" s="12"/>
      <c r="L151" s="12"/>
      <c r="M151" s="12"/>
    </row>
    <row r="152" spans="4:13" x14ac:dyDescent="0.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row r="405" spans="4:13" x14ac:dyDescent="0.2">
      <c r="D405" s="12"/>
      <c r="E405" s="12"/>
      <c r="F405" s="12"/>
      <c r="G405" s="12"/>
      <c r="H405" s="12"/>
      <c r="I405" s="12"/>
      <c r="J405" s="12"/>
      <c r="K405" s="12"/>
      <c r="L405" s="12"/>
      <c r="M405" s="12"/>
    </row>
    <row r="406" spans="4:13" x14ac:dyDescent="0.2">
      <c r="D406" s="12"/>
      <c r="E406" s="12"/>
      <c r="F406" s="12"/>
      <c r="G406" s="12"/>
      <c r="H406" s="12"/>
      <c r="I406" s="12"/>
      <c r="J406" s="12"/>
      <c r="K406" s="12"/>
      <c r="L406" s="12"/>
      <c r="M406" s="12"/>
    </row>
    <row r="407" spans="4:13" x14ac:dyDescent="0.2">
      <c r="D407" s="12"/>
      <c r="E407" s="12"/>
      <c r="F407" s="12"/>
      <c r="G407" s="12"/>
      <c r="H407" s="12"/>
      <c r="I407" s="12"/>
      <c r="J407" s="12"/>
      <c r="K407" s="12"/>
      <c r="L407" s="12"/>
      <c r="M407" s="12"/>
    </row>
    <row r="408" spans="4:13" x14ac:dyDescent="0.2">
      <c r="D408" s="12"/>
      <c r="E408" s="12"/>
      <c r="F408" s="12"/>
      <c r="G408" s="12"/>
      <c r="H408" s="12"/>
      <c r="I408" s="12"/>
      <c r="J408" s="12"/>
      <c r="K408" s="12"/>
      <c r="L408" s="12"/>
      <c r="M408" s="12"/>
    </row>
    <row r="409" spans="4:13" x14ac:dyDescent="0.2">
      <c r="D409" s="12"/>
      <c r="E409" s="12"/>
      <c r="F409" s="12"/>
      <c r="G409" s="12"/>
      <c r="H409" s="12"/>
      <c r="I409" s="12"/>
      <c r="J409" s="12"/>
      <c r="K409" s="12"/>
      <c r="L409" s="12"/>
      <c r="M409" s="12"/>
    </row>
  </sheetData>
  <mergeCells count="1">
    <mergeCell ref="E90:F90"/>
  </mergeCells>
  <dataValidations count="10">
    <dataValidation type="list" allowBlank="1" showInputMessage="1" showErrorMessage="1" sqref="D131:G136 E105:H108 E93:F94 E96:F97 E110:H113 E115:H118 F120:G124 H124">
      <formula1>"Yes,No"</formula1>
    </dataValidation>
    <dataValidation type="list" allowBlank="1" showInputMessage="1" showErrorMessage="1" sqref="C126:C128">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7">
      <formula1>$B$131:$B$136</formula1>
    </dataValidation>
    <dataValidation allowBlank="1" showInputMessage="1" showErrorMessage="1" sqref="W11 AH11 G36:J36 E36 E25 G25:J25"/>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9">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41"/>
    <dataValidation errorTitle="Salvage Value" error="This is a calculated value shown for reference -- it should match the value in SAM. It is not used in the single owner workbook calculations." sqref="C50"/>
    <dataValidation type="custom" showErrorMessage="1" errorTitle="Target Year Error" error="Please enter a target year less than or equal to the analysis period." sqref="C31">
      <formula1>C31&lt;=C34</formula1>
    </dataValidation>
    <dataValidation type="list" allowBlank="1" showInputMessage="1" showErrorMessage="1" errorTitle="Federal Depreciation Treatment" error="The single owner workbook does not handle custom depreciation schedules." sqref="C86">
      <formula1>$B$131:$B$136</formula1>
    </dataValidation>
  </dataValidations>
  <pageMargins left="0.5" right="0.5" top="0.5" bottom="0.75" header="0.3" footer="0.3"/>
  <pageSetup scale="73" pageOrder="overThenDown" orientation="landscape" horizontalDpi="4294967294" r:id="rId1"/>
  <rowBreaks count="1" manualBreakCount="1">
    <brk id="101"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Module1.SOPPAPrice">
                <anchor moveWithCells="1" sizeWithCells="1">
                  <from>
                    <xdr:col>5</xdr:col>
                    <xdr:colOff>190500</xdr:colOff>
                    <xdr:row>1</xdr:row>
                    <xdr:rowOff>38100</xdr:rowOff>
                  </from>
                  <to>
                    <xdr:col>6</xdr:col>
                    <xdr:colOff>1009650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2"/>
  <sheetViews>
    <sheetView workbookViewId="0"/>
  </sheetViews>
  <sheetFormatPr defaultColWidth="10.7109375" defaultRowHeight="15" x14ac:dyDescent="0.25"/>
  <cols>
    <col min="1" max="1" width="2.85546875" customWidth="1"/>
    <col min="2" max="3" width="16.85546875" style="221" customWidth="1"/>
    <col min="4" max="4" width="2.85546875" style="221" customWidth="1"/>
    <col min="5" max="6" width="16.85546875" style="221" customWidth="1"/>
  </cols>
  <sheetData>
    <row r="1" spans="1:10" x14ac:dyDescent="0.25">
      <c r="A1" s="208"/>
    </row>
    <row r="2" spans="1:10" x14ac:dyDescent="0.25">
      <c r="B2" s="222"/>
      <c r="C2" s="223"/>
      <c r="D2" s="224"/>
      <c r="E2" s="225" t="s">
        <v>291</v>
      </c>
      <c r="F2" s="427">
        <f>VLOOKUP(flip_target_year,'Results Summary'!B7:C47,2)</f>
        <v>54.599499999999999</v>
      </c>
      <c r="G2" s="174"/>
      <c r="H2" s="174"/>
      <c r="I2" s="174"/>
      <c r="J2" s="174"/>
    </row>
    <row r="3" spans="1:10" x14ac:dyDescent="0.25">
      <c r="B3" s="226"/>
      <c r="C3" s="223"/>
      <c r="D3" s="224"/>
      <c r="E3" s="225" t="s">
        <v>292</v>
      </c>
      <c r="F3" s="227">
        <v>17</v>
      </c>
      <c r="G3" s="174"/>
      <c r="H3" s="174"/>
      <c r="I3" s="174"/>
      <c r="J3" s="174"/>
    </row>
    <row r="4" spans="1:10" x14ac:dyDescent="0.25">
      <c r="B4" s="222"/>
      <c r="C4" s="222"/>
      <c r="D4" s="226"/>
      <c r="E4" s="226"/>
      <c r="F4" s="226">
        <v>6.2518000000000029</v>
      </c>
      <c r="G4" s="174"/>
      <c r="H4" s="174"/>
      <c r="I4" s="174"/>
      <c r="J4" s="174"/>
    </row>
    <row r="5" spans="1:10" s="218" customFormat="1" ht="30" customHeight="1" x14ac:dyDescent="0.25">
      <c r="B5" s="437" t="s">
        <v>327</v>
      </c>
      <c r="C5" s="437"/>
      <c r="D5" s="253"/>
      <c r="E5" s="436" t="s">
        <v>304</v>
      </c>
      <c r="F5" s="436"/>
      <c r="G5" s="219"/>
      <c r="H5" s="219"/>
      <c r="I5" s="219"/>
      <c r="J5" s="219"/>
    </row>
    <row r="6" spans="1:10" s="220" customFormat="1" x14ac:dyDescent="0.25">
      <c r="B6" s="228" t="s">
        <v>123</v>
      </c>
      <c r="C6" s="228" t="s">
        <v>328</v>
      </c>
      <c r="D6" s="229"/>
      <c r="E6" s="228" t="s">
        <v>305</v>
      </c>
      <c r="F6" s="230" t="s">
        <v>329</v>
      </c>
      <c r="G6" s="69"/>
      <c r="H6" s="129"/>
      <c r="I6" s="193"/>
      <c r="J6" s="69"/>
    </row>
    <row r="7" spans="1:10" x14ac:dyDescent="0.25">
      <c r="B7" s="231">
        <v>1</v>
      </c>
      <c r="C7" s="427">
        <f>'Cash Flow'!$C$108</f>
        <v>0</v>
      </c>
      <c r="E7" s="232">
        <v>0</v>
      </c>
      <c r="F7" s="426">
        <v>77.142700000000005</v>
      </c>
      <c r="G7" s="36"/>
      <c r="H7" s="7"/>
      <c r="I7" s="7"/>
      <c r="J7" s="32"/>
    </row>
    <row r="8" spans="1:10" x14ac:dyDescent="0.25">
      <c r="B8" s="231">
        <v>2</v>
      </c>
      <c r="C8" s="428">
        <f>'Cash Flow'!$D$108</f>
        <v>6.2694999999999999</v>
      </c>
      <c r="E8" s="233">
        <v>1</v>
      </c>
      <c r="F8" s="426">
        <v>72.743300000000005</v>
      </c>
      <c r="G8" s="63"/>
      <c r="H8" s="12"/>
      <c r="I8" s="7"/>
      <c r="J8" s="201"/>
    </row>
    <row r="9" spans="1:10" x14ac:dyDescent="0.25">
      <c r="B9" s="231">
        <v>3</v>
      </c>
      <c r="C9" s="428">
        <f>'Cash Flow'!$E$108</f>
        <v>34.956899999999997</v>
      </c>
      <c r="E9" s="234">
        <v>2</v>
      </c>
      <c r="F9" s="426">
        <v>69.4739</v>
      </c>
      <c r="G9" s="24"/>
      <c r="H9" s="182"/>
      <c r="I9" s="7"/>
      <c r="J9" s="202"/>
    </row>
    <row r="10" spans="1:10" x14ac:dyDescent="0.25">
      <c r="B10" s="231">
        <v>4</v>
      </c>
      <c r="C10" s="428">
        <f>'Cash Flow'!$F$108</f>
        <v>45.063899999999997</v>
      </c>
      <c r="E10" s="234">
        <v>3</v>
      </c>
      <c r="F10" s="426">
        <v>66.942899999999995</v>
      </c>
      <c r="G10" s="24"/>
      <c r="H10" s="12"/>
      <c r="I10" s="7"/>
      <c r="J10" s="201"/>
    </row>
    <row r="11" spans="1:10" x14ac:dyDescent="0.25">
      <c r="B11" s="231">
        <v>5</v>
      </c>
      <c r="C11" s="426">
        <f>'Cash Flow'!$G$108</f>
        <v>50.466299999999997</v>
      </c>
      <c r="E11" s="234">
        <v>4</v>
      </c>
      <c r="F11" s="426">
        <v>64.9238</v>
      </c>
      <c r="G11" s="24"/>
      <c r="H11" s="12"/>
      <c r="I11" s="7"/>
      <c r="J11" s="201"/>
    </row>
    <row r="12" spans="1:10" x14ac:dyDescent="0.25">
      <c r="B12" s="231">
        <v>6</v>
      </c>
      <c r="C12" s="428">
        <f>'Cash Flow'!$H$108</f>
        <v>52.689500000000002</v>
      </c>
      <c r="E12" s="232">
        <v>5</v>
      </c>
      <c r="F12" s="426">
        <v>63.274999999999999</v>
      </c>
      <c r="G12" s="36"/>
      <c r="H12" s="12"/>
      <c r="I12" s="7"/>
      <c r="J12" s="201"/>
    </row>
    <row r="13" spans="1:10" x14ac:dyDescent="0.25">
      <c r="B13" s="231">
        <v>7</v>
      </c>
      <c r="C13" s="429">
        <f>'Cash Flow'!$I$108</f>
        <v>53.529800000000002</v>
      </c>
      <c r="E13" s="234">
        <v>6</v>
      </c>
      <c r="F13" s="426">
        <v>61.903199999999998</v>
      </c>
      <c r="G13" s="24"/>
      <c r="H13" s="12"/>
      <c r="I13" s="7"/>
      <c r="J13" s="201"/>
    </row>
    <row r="14" spans="1:10" x14ac:dyDescent="0.25">
      <c r="B14" s="231">
        <v>8</v>
      </c>
      <c r="C14" s="426">
        <f>'Cash Flow'!$J$108</f>
        <v>54.056100000000001</v>
      </c>
      <c r="E14" s="235">
        <v>7</v>
      </c>
      <c r="F14" s="426">
        <v>60.744199999999999</v>
      </c>
      <c r="G14" s="173"/>
      <c r="H14" s="12"/>
      <c r="I14" s="7"/>
      <c r="J14" s="201"/>
    </row>
    <row r="15" spans="1:10" x14ac:dyDescent="0.25">
      <c r="B15" s="231">
        <v>9</v>
      </c>
      <c r="C15" s="428">
        <f>'Cash Flow'!$K$108</f>
        <v>54.388300000000001</v>
      </c>
      <c r="E15" s="232">
        <v>8</v>
      </c>
      <c r="F15" s="426">
        <v>59.752200000000002</v>
      </c>
      <c r="G15" s="25"/>
      <c r="H15" s="12"/>
      <c r="I15" s="7"/>
      <c r="J15" s="201"/>
    </row>
    <row r="16" spans="1:10" x14ac:dyDescent="0.25">
      <c r="B16" s="231">
        <v>10</v>
      </c>
      <c r="C16" s="426">
        <f>'Cash Flow'!$L$108</f>
        <v>54.599499999999999</v>
      </c>
      <c r="E16" s="234">
        <v>9</v>
      </c>
      <c r="F16" s="426">
        <v>58.893599999999999</v>
      </c>
      <c r="G16" s="24"/>
      <c r="H16" s="12"/>
      <c r="I16" s="7"/>
      <c r="J16" s="201"/>
    </row>
    <row r="17" spans="2:10" x14ac:dyDescent="0.25">
      <c r="B17" s="231">
        <v>11</v>
      </c>
      <c r="C17" s="426">
        <f>'Cash Flow'!$M$108</f>
        <v>54.734499999999997</v>
      </c>
      <c r="E17" s="232">
        <v>10</v>
      </c>
      <c r="F17" s="426">
        <v>58.1434</v>
      </c>
      <c r="G17" s="25"/>
      <c r="H17" s="12"/>
      <c r="I17" s="7"/>
      <c r="J17" s="201"/>
    </row>
    <row r="18" spans="2:10" x14ac:dyDescent="0.25">
      <c r="B18" s="231">
        <v>12</v>
      </c>
      <c r="C18" s="426">
        <f>'Cash Flow'!$N$108</f>
        <v>57.231699999999996</v>
      </c>
      <c r="E18" s="232">
        <v>11</v>
      </c>
      <c r="F18" s="426">
        <v>57.482300000000002</v>
      </c>
      <c r="G18" s="25"/>
      <c r="H18" s="12"/>
      <c r="I18" s="7"/>
      <c r="J18" s="201"/>
    </row>
    <row r="19" spans="2:10" x14ac:dyDescent="0.25">
      <c r="B19" s="231">
        <v>13</v>
      </c>
      <c r="C19" s="426">
        <f>'Cash Flow'!$O$108</f>
        <v>59.228299999999997</v>
      </c>
      <c r="E19" s="232">
        <v>12</v>
      </c>
      <c r="F19" s="426">
        <v>56.895499999999998</v>
      </c>
      <c r="G19" s="25"/>
      <c r="H19" s="12"/>
      <c r="I19" s="7"/>
      <c r="J19" s="201"/>
    </row>
    <row r="20" spans="2:10" x14ac:dyDescent="0.25">
      <c r="B20" s="231">
        <v>14</v>
      </c>
      <c r="C20" s="426">
        <f>'Cash Flow'!$P$108</f>
        <v>59.899900000000002</v>
      </c>
      <c r="E20" s="232">
        <v>13</v>
      </c>
      <c r="F20" s="426">
        <v>56.371099999999998</v>
      </c>
      <c r="G20" s="25"/>
      <c r="H20" s="12"/>
      <c r="I20" s="7"/>
      <c r="J20" s="201"/>
    </row>
    <row r="21" spans="2:10" x14ac:dyDescent="0.25">
      <c r="B21" s="231">
        <v>15</v>
      </c>
      <c r="C21" s="426">
        <f>'Cash Flow'!$Q$108</f>
        <v>60.152999999999999</v>
      </c>
      <c r="E21" s="232">
        <v>14</v>
      </c>
      <c r="F21" s="426">
        <v>55.899799999999999</v>
      </c>
      <c r="G21" s="25"/>
      <c r="H21" s="12"/>
      <c r="I21" s="7"/>
      <c r="J21" s="201"/>
    </row>
    <row r="22" spans="2:10" x14ac:dyDescent="0.25">
      <c r="B22" s="231">
        <v>16</v>
      </c>
      <c r="C22" s="426">
        <f>'Cash Flow'!$R$108</f>
        <v>60.306399999999996</v>
      </c>
      <c r="E22" s="232">
        <v>15</v>
      </c>
      <c r="F22" s="426">
        <v>55.4739</v>
      </c>
      <c r="G22" s="25"/>
      <c r="H22" s="12"/>
      <c r="I22" s="7"/>
      <c r="J22" s="201"/>
    </row>
    <row r="23" spans="2:10" x14ac:dyDescent="0.25">
      <c r="B23" s="231">
        <v>17</v>
      </c>
      <c r="C23" s="426">
        <f>'Cash Flow'!$S$108</f>
        <v>60.360799999999998</v>
      </c>
      <c r="E23" s="232">
        <v>16</v>
      </c>
      <c r="F23" s="426">
        <v>55.087200000000003</v>
      </c>
      <c r="G23" s="25"/>
      <c r="H23" s="12"/>
      <c r="I23" s="7"/>
      <c r="J23" s="201"/>
    </row>
    <row r="24" spans="2:10" x14ac:dyDescent="0.25">
      <c r="B24" s="231">
        <v>18</v>
      </c>
      <c r="C24" s="426">
        <f>'Cash Flow'!$T$108</f>
        <v>60.369799999999998</v>
      </c>
      <c r="E24" s="232">
        <v>17</v>
      </c>
      <c r="F24" s="426">
        <v>54.734499999999997</v>
      </c>
      <c r="G24" s="25"/>
      <c r="H24" s="12"/>
      <c r="I24" s="7"/>
      <c r="J24" s="201"/>
    </row>
    <row r="25" spans="2:10" x14ac:dyDescent="0.25">
      <c r="B25" s="231">
        <v>19</v>
      </c>
      <c r="C25" s="426">
        <f>'Cash Flow'!$U$108</f>
        <v>60.375500000000002</v>
      </c>
      <c r="E25" s="232">
        <v>18</v>
      </c>
      <c r="F25" s="426">
        <v>54.4116</v>
      </c>
      <c r="G25" s="25"/>
      <c r="H25" s="12"/>
      <c r="I25" s="7"/>
      <c r="J25" s="201"/>
    </row>
    <row r="26" spans="2:10" x14ac:dyDescent="0.25">
      <c r="B26" s="231">
        <v>20</v>
      </c>
      <c r="C26" s="426">
        <f>'Cash Flow'!$V$108</f>
        <v>60.379100000000001</v>
      </c>
      <c r="E26" s="232">
        <v>19</v>
      </c>
      <c r="F26" s="426">
        <v>54.114800000000002</v>
      </c>
      <c r="G26" s="25"/>
      <c r="H26" s="12"/>
      <c r="I26" s="7"/>
      <c r="J26" s="201"/>
    </row>
    <row r="27" spans="2:10" x14ac:dyDescent="0.25">
      <c r="B27" s="231">
        <v>21</v>
      </c>
      <c r="C27" s="426">
        <f>'Cash Flow'!$W$108</f>
        <v>60.381300000000003</v>
      </c>
      <c r="E27" s="232">
        <v>20</v>
      </c>
      <c r="F27" s="426">
        <v>53.841200000000001</v>
      </c>
      <c r="G27" s="25"/>
      <c r="H27" s="12"/>
      <c r="I27" s="7"/>
      <c r="J27" s="201"/>
    </row>
    <row r="28" spans="2:10" x14ac:dyDescent="0.25">
      <c r="B28" s="231">
        <v>22</v>
      </c>
      <c r="C28" s="426">
        <f>'Cash Flow'!$X$108</f>
        <v>60.3827</v>
      </c>
      <c r="E28" s="232">
        <v>21</v>
      </c>
      <c r="F28" s="426">
        <v>53.588099999999997</v>
      </c>
      <c r="G28" s="25"/>
      <c r="H28" s="12"/>
      <c r="I28" s="7"/>
      <c r="J28" s="201"/>
    </row>
    <row r="29" spans="2:10" x14ac:dyDescent="0.25">
      <c r="B29" s="231">
        <v>23</v>
      </c>
      <c r="C29" s="426">
        <f>'Cash Flow'!$Y$108</f>
        <v>60.383499999999998</v>
      </c>
      <c r="E29" s="232">
        <v>22</v>
      </c>
      <c r="F29" s="426">
        <v>53.353299999999997</v>
      </c>
      <c r="G29" s="25"/>
      <c r="H29" s="12"/>
      <c r="I29" s="7"/>
      <c r="J29" s="201"/>
    </row>
    <row r="30" spans="2:10" x14ac:dyDescent="0.25">
      <c r="B30" s="231">
        <v>24</v>
      </c>
      <c r="C30" s="426">
        <f>'Cash Flow'!$Z$108</f>
        <v>60.390799999999999</v>
      </c>
      <c r="E30" s="232">
        <v>23</v>
      </c>
      <c r="F30" s="426">
        <v>53.134900000000002</v>
      </c>
      <c r="G30" s="25"/>
      <c r="H30" s="10"/>
      <c r="I30" s="7"/>
      <c r="J30" s="201"/>
    </row>
    <row r="31" spans="2:10" x14ac:dyDescent="0.25">
      <c r="B31" s="231">
        <v>25</v>
      </c>
      <c r="C31" s="426">
        <f>'Cash Flow'!$AA$108</f>
        <v>60.398400000000002</v>
      </c>
      <c r="E31" s="232">
        <v>24</v>
      </c>
      <c r="F31" s="426">
        <v>52.931199999999997</v>
      </c>
      <c r="G31" s="25"/>
      <c r="H31" s="12"/>
      <c r="I31" s="7"/>
      <c r="J31" s="201"/>
    </row>
    <row r="32" spans="2:10" x14ac:dyDescent="0.25">
      <c r="B32" s="231">
        <v>26</v>
      </c>
      <c r="C32" s="426">
        <f>'Cash Flow'!$AB$108</f>
        <v>0</v>
      </c>
      <c r="E32" s="232">
        <v>25</v>
      </c>
      <c r="F32" s="426">
        <v>52.740900000000003</v>
      </c>
      <c r="G32" s="25"/>
      <c r="H32" s="12"/>
      <c r="I32" s="7"/>
      <c r="J32" s="201"/>
    </row>
    <row r="33" spans="2:10" x14ac:dyDescent="0.25">
      <c r="B33" s="231">
        <v>27</v>
      </c>
      <c r="C33" s="426">
        <f>'Cash Flow'!$AC$108</f>
        <v>0</v>
      </c>
      <c r="E33" s="232">
        <v>26</v>
      </c>
      <c r="F33" s="426">
        <v>52.562600000000003</v>
      </c>
      <c r="G33" s="25"/>
      <c r="H33" s="121"/>
      <c r="I33" s="7"/>
      <c r="J33" s="201"/>
    </row>
    <row r="34" spans="2:10" x14ac:dyDescent="0.25">
      <c r="B34" s="231">
        <v>28</v>
      </c>
      <c r="C34" s="426">
        <f>'Cash Flow'!$AD$108</f>
        <v>0</v>
      </c>
      <c r="E34" s="232">
        <v>27</v>
      </c>
      <c r="F34" s="426">
        <v>52.395200000000003</v>
      </c>
      <c r="G34" s="25"/>
      <c r="H34" s="63"/>
      <c r="I34" s="7"/>
      <c r="J34" s="201"/>
    </row>
    <row r="35" spans="2:10" x14ac:dyDescent="0.25">
      <c r="B35" s="231">
        <v>29</v>
      </c>
      <c r="C35" s="426">
        <f>'Cash Flow'!$AE$108</f>
        <v>0</v>
      </c>
      <c r="E35" s="232">
        <v>28</v>
      </c>
      <c r="F35" s="426">
        <v>52.2378</v>
      </c>
      <c r="G35" s="25"/>
      <c r="H35" s="63"/>
      <c r="I35" s="7"/>
      <c r="J35" s="201"/>
    </row>
    <row r="36" spans="2:10" x14ac:dyDescent="0.25">
      <c r="B36" s="231">
        <v>30</v>
      </c>
      <c r="C36" s="426">
        <f>'Cash Flow'!$AF$108</f>
        <v>0</v>
      </c>
      <c r="E36" s="232">
        <v>29</v>
      </c>
      <c r="F36" s="426">
        <v>52.089599999999997</v>
      </c>
      <c r="G36" s="25"/>
      <c r="H36" s="12"/>
      <c r="I36" s="7"/>
      <c r="J36" s="201"/>
    </row>
    <row r="37" spans="2:10" x14ac:dyDescent="0.25">
      <c r="B37" s="231">
        <v>31</v>
      </c>
      <c r="C37" s="426">
        <f>'Cash Flow'!$AG$108</f>
        <v>0</v>
      </c>
      <c r="E37" s="232">
        <v>30</v>
      </c>
      <c r="F37" s="426">
        <v>51.949599999999997</v>
      </c>
      <c r="G37" s="25"/>
      <c r="H37" s="121"/>
      <c r="I37" s="7"/>
      <c r="J37" s="201"/>
    </row>
    <row r="38" spans="2:10" x14ac:dyDescent="0.25">
      <c r="B38" s="231">
        <v>32</v>
      </c>
      <c r="C38" s="426">
        <f>'Cash Flow'!$AH$108</f>
        <v>0</v>
      </c>
      <c r="E38" s="232">
        <v>31</v>
      </c>
      <c r="F38" s="426">
        <v>51.817399999999999</v>
      </c>
      <c r="G38" s="25"/>
      <c r="H38" s="63"/>
      <c r="I38" s="7"/>
      <c r="J38" s="201"/>
    </row>
    <row r="39" spans="2:10" x14ac:dyDescent="0.25">
      <c r="B39" s="231">
        <v>33</v>
      </c>
      <c r="C39" s="426">
        <f>'Cash Flow'!$AI$108</f>
        <v>0</v>
      </c>
      <c r="E39" s="232">
        <v>32</v>
      </c>
      <c r="F39" s="426">
        <v>51.692100000000003</v>
      </c>
      <c r="G39" s="25"/>
      <c r="H39" s="63"/>
      <c r="I39" s="7"/>
      <c r="J39" s="201"/>
    </row>
    <row r="40" spans="2:10" x14ac:dyDescent="0.25">
      <c r="B40" s="231">
        <v>34</v>
      </c>
      <c r="C40" s="426">
        <f>'Cash Flow'!$AJ$108</f>
        <v>0</v>
      </c>
      <c r="E40" s="232">
        <v>33</v>
      </c>
      <c r="F40" s="426">
        <v>51.573399999999999</v>
      </c>
      <c r="G40" s="25"/>
      <c r="H40" s="12"/>
      <c r="I40" s="7"/>
      <c r="J40" s="201"/>
    </row>
    <row r="41" spans="2:10" x14ac:dyDescent="0.25">
      <c r="B41" s="231">
        <v>35</v>
      </c>
      <c r="C41" s="426">
        <f>'Cash Flow'!$AK$108</f>
        <v>0</v>
      </c>
      <c r="E41" s="232">
        <v>34</v>
      </c>
      <c r="F41" s="426">
        <v>51.460700000000003</v>
      </c>
      <c r="G41" s="25"/>
      <c r="H41" s="121"/>
      <c r="I41" s="7"/>
      <c r="J41" s="201"/>
    </row>
    <row r="42" spans="2:10" x14ac:dyDescent="0.25">
      <c r="B42" s="231">
        <v>36</v>
      </c>
      <c r="C42" s="426">
        <f>'Cash Flow'!$AL$108</f>
        <v>0</v>
      </c>
      <c r="E42" s="232">
        <v>35</v>
      </c>
      <c r="F42" s="426">
        <v>51.353499999999997</v>
      </c>
      <c r="G42" s="25"/>
      <c r="H42" s="63"/>
      <c r="I42" s="7"/>
      <c r="J42" s="201"/>
    </row>
    <row r="43" spans="2:10" x14ac:dyDescent="0.25">
      <c r="B43" s="231">
        <v>37</v>
      </c>
      <c r="C43" s="426">
        <f>'Cash Flow'!$AM$108</f>
        <v>0</v>
      </c>
      <c r="E43" s="232">
        <v>36</v>
      </c>
      <c r="F43" s="426">
        <v>51.2515</v>
      </c>
      <c r="G43" s="25"/>
      <c r="H43" s="12"/>
      <c r="I43" s="7"/>
      <c r="J43" s="201"/>
    </row>
    <row r="44" spans="2:10" x14ac:dyDescent="0.25">
      <c r="B44" s="231">
        <v>38</v>
      </c>
      <c r="C44" s="426">
        <f>'Cash Flow'!$AN$108</f>
        <v>0</v>
      </c>
      <c r="E44" s="232">
        <v>37</v>
      </c>
      <c r="F44" s="426">
        <v>51.154299999999999</v>
      </c>
      <c r="G44" s="25"/>
      <c r="H44" s="20"/>
      <c r="I44" s="7"/>
      <c r="J44" s="201"/>
    </row>
    <row r="45" spans="2:10" x14ac:dyDescent="0.25">
      <c r="B45" s="231">
        <v>39</v>
      </c>
      <c r="C45" s="426">
        <f>'Cash Flow'!$AO$108</f>
        <v>0</v>
      </c>
      <c r="E45" s="232">
        <v>38</v>
      </c>
      <c r="F45" s="426">
        <v>51.061599999999999</v>
      </c>
      <c r="G45" s="25"/>
      <c r="H45" s="12"/>
      <c r="I45" s="7"/>
      <c r="J45" s="201"/>
    </row>
    <row r="46" spans="2:10" x14ac:dyDescent="0.25">
      <c r="B46" s="231">
        <v>40</v>
      </c>
      <c r="C46" s="426">
        <f>'Cash Flow'!$AP$108</f>
        <v>0</v>
      </c>
      <c r="E46" s="232">
        <v>39</v>
      </c>
      <c r="F46" s="426">
        <v>50.973100000000002</v>
      </c>
      <c r="G46" s="25"/>
      <c r="H46" s="12"/>
      <c r="I46" s="7"/>
      <c r="J46" s="201"/>
    </row>
    <row r="47" spans="2:10" x14ac:dyDescent="0.25">
      <c r="B47" s="236"/>
      <c r="C47" s="254"/>
      <c r="E47" s="232">
        <v>40</v>
      </c>
      <c r="F47" s="426">
        <v>50.888399999999997</v>
      </c>
      <c r="G47" s="25"/>
      <c r="H47" s="10"/>
      <c r="I47" s="7"/>
      <c r="J47" s="201"/>
    </row>
    <row r="48" spans="2:10" x14ac:dyDescent="0.25">
      <c r="B48" s="237"/>
      <c r="C48" s="254"/>
      <c r="D48" s="238"/>
      <c r="E48" s="232">
        <v>41</v>
      </c>
      <c r="F48" s="428">
        <v>50.807400000000001</v>
      </c>
      <c r="G48" s="12"/>
      <c r="H48" s="12"/>
      <c r="I48" s="7"/>
      <c r="J48" s="201"/>
    </row>
    <row r="49" spans="1:10" x14ac:dyDescent="0.25">
      <c r="B49" s="237"/>
      <c r="C49" s="255"/>
      <c r="D49" s="239"/>
      <c r="E49" s="232">
        <v>42</v>
      </c>
      <c r="F49" s="428">
        <v>50.729799999999997</v>
      </c>
      <c r="G49" s="12"/>
      <c r="H49" s="12"/>
      <c r="I49" s="7"/>
      <c r="J49" s="201"/>
    </row>
    <row r="50" spans="1:10" x14ac:dyDescent="0.25">
      <c r="A50" s="203"/>
      <c r="B50" s="236"/>
      <c r="C50" s="255"/>
      <c r="D50" s="222"/>
      <c r="E50" s="234">
        <v>43</v>
      </c>
      <c r="F50" s="428">
        <v>50.6554</v>
      </c>
      <c r="G50" s="12"/>
      <c r="H50" s="12"/>
      <c r="I50" s="7"/>
      <c r="J50" s="201"/>
    </row>
    <row r="51" spans="1:10" x14ac:dyDescent="0.25">
      <c r="A51" s="203"/>
      <c r="B51" s="240"/>
      <c r="C51" s="255"/>
      <c r="D51" s="222"/>
      <c r="E51" s="234">
        <v>44</v>
      </c>
      <c r="F51" s="428">
        <v>50.584000000000003</v>
      </c>
      <c r="G51" s="12"/>
      <c r="H51" s="12"/>
      <c r="I51" s="7"/>
      <c r="J51" s="201"/>
    </row>
    <row r="52" spans="1:10" x14ac:dyDescent="0.25">
      <c r="A52" s="203"/>
      <c r="B52" s="240"/>
      <c r="C52" s="255"/>
      <c r="D52" s="222"/>
      <c r="E52" s="234">
        <v>45</v>
      </c>
      <c r="F52" s="428">
        <v>50.5154</v>
      </c>
      <c r="G52" s="12"/>
      <c r="H52" s="12"/>
      <c r="I52" s="7"/>
      <c r="J52" s="201"/>
    </row>
    <row r="53" spans="1:10" x14ac:dyDescent="0.25">
      <c r="A53" s="203"/>
      <c r="B53" s="240"/>
      <c r="C53" s="255"/>
      <c r="D53" s="222"/>
      <c r="E53" s="234">
        <v>46</v>
      </c>
      <c r="F53" s="428">
        <v>50.4495</v>
      </c>
      <c r="G53" s="12"/>
      <c r="H53" s="12"/>
      <c r="I53" s="7"/>
      <c r="J53" s="201"/>
    </row>
    <row r="54" spans="1:10" x14ac:dyDescent="0.25">
      <c r="A54" s="203"/>
      <c r="B54" s="240"/>
      <c r="C54" s="255"/>
      <c r="D54" s="222"/>
      <c r="E54" s="234">
        <v>47</v>
      </c>
      <c r="F54" s="428">
        <v>50.386200000000002</v>
      </c>
      <c r="G54" s="12"/>
      <c r="H54" s="12"/>
      <c r="I54" s="7"/>
      <c r="J54" s="201"/>
    </row>
    <row r="55" spans="1:10" x14ac:dyDescent="0.25">
      <c r="A55" s="203"/>
      <c r="B55" s="240"/>
      <c r="C55" s="255"/>
      <c r="D55" s="222"/>
      <c r="E55" s="234">
        <v>48</v>
      </c>
      <c r="F55" s="428">
        <v>50.325200000000002</v>
      </c>
      <c r="G55" s="12"/>
      <c r="H55" s="12"/>
      <c r="I55" s="7"/>
      <c r="J55" s="201"/>
    </row>
    <row r="56" spans="1:10" x14ac:dyDescent="0.25">
      <c r="A56" s="203"/>
      <c r="B56" s="240"/>
      <c r="C56" s="255"/>
      <c r="D56" s="222"/>
      <c r="E56" s="234">
        <v>49</v>
      </c>
      <c r="F56" s="428">
        <v>50.266399999999997</v>
      </c>
      <c r="G56" s="12"/>
      <c r="H56" s="12"/>
      <c r="I56" s="7"/>
      <c r="J56" s="201"/>
    </row>
    <row r="57" spans="1:10" x14ac:dyDescent="0.25">
      <c r="A57" s="203"/>
      <c r="B57" s="236"/>
      <c r="C57" s="255"/>
      <c r="D57" s="222"/>
      <c r="E57" s="234">
        <v>50</v>
      </c>
      <c r="F57" s="428">
        <v>50.209699999999998</v>
      </c>
      <c r="G57" s="12"/>
      <c r="H57" s="12"/>
      <c r="I57" s="7"/>
      <c r="J57" s="201"/>
    </row>
    <row r="58" spans="1:10" x14ac:dyDescent="0.25">
      <c r="A58" s="203"/>
      <c r="B58" s="236"/>
      <c r="C58" s="255"/>
      <c r="D58" s="222"/>
      <c r="E58" s="234">
        <v>51</v>
      </c>
      <c r="F58" s="428">
        <v>50.155099999999997</v>
      </c>
      <c r="G58" s="12"/>
      <c r="H58" s="12"/>
      <c r="I58" s="7"/>
      <c r="J58" s="201"/>
    </row>
    <row r="59" spans="1:10" x14ac:dyDescent="0.25">
      <c r="A59" s="203"/>
      <c r="B59" s="236"/>
      <c r="C59" s="255"/>
      <c r="D59" s="222"/>
      <c r="E59" s="234">
        <v>52</v>
      </c>
      <c r="F59" s="428">
        <v>50.102400000000003</v>
      </c>
      <c r="G59" s="12"/>
      <c r="H59" s="12"/>
      <c r="I59" s="7"/>
      <c r="J59" s="201"/>
    </row>
    <row r="60" spans="1:10" x14ac:dyDescent="0.25">
      <c r="A60" s="203"/>
      <c r="B60" s="236"/>
      <c r="C60" s="255"/>
      <c r="D60" s="222"/>
      <c r="E60" s="234">
        <v>53</v>
      </c>
      <c r="F60" s="428">
        <v>50.051400000000001</v>
      </c>
      <c r="G60" s="12"/>
      <c r="H60" s="12"/>
      <c r="I60" s="7"/>
      <c r="J60" s="201"/>
    </row>
    <row r="61" spans="1:10" x14ac:dyDescent="0.25">
      <c r="A61" s="203"/>
      <c r="B61" s="236"/>
      <c r="C61" s="255"/>
      <c r="D61" s="222"/>
      <c r="E61" s="234">
        <v>54</v>
      </c>
      <c r="F61" s="428">
        <v>50.002200000000002</v>
      </c>
      <c r="G61" s="12"/>
      <c r="H61" s="12"/>
      <c r="I61" s="7"/>
      <c r="J61" s="201"/>
    </row>
    <row r="62" spans="1:10" x14ac:dyDescent="0.25">
      <c r="A62" s="203"/>
      <c r="B62" s="236"/>
      <c r="C62" s="255"/>
      <c r="D62" s="222"/>
      <c r="E62" s="234">
        <v>55</v>
      </c>
      <c r="F62" s="428">
        <v>49.954599999999999</v>
      </c>
      <c r="G62" s="12"/>
      <c r="H62" s="12"/>
      <c r="I62" s="7"/>
      <c r="J62" s="201"/>
    </row>
    <row r="63" spans="1:10" x14ac:dyDescent="0.25">
      <c r="A63" s="203"/>
      <c r="B63" s="236"/>
      <c r="C63" s="255"/>
      <c r="D63" s="222"/>
      <c r="E63" s="234">
        <v>56</v>
      </c>
      <c r="F63" s="428">
        <v>49.9086</v>
      </c>
      <c r="G63" s="12"/>
      <c r="H63" s="12"/>
      <c r="I63" s="7"/>
      <c r="J63" s="201"/>
    </row>
    <row r="64" spans="1:10" x14ac:dyDescent="0.25">
      <c r="A64" s="203"/>
      <c r="B64" s="236"/>
      <c r="C64" s="255"/>
      <c r="D64" s="222"/>
      <c r="E64" s="234">
        <v>57</v>
      </c>
      <c r="F64" s="428">
        <v>49.864100000000001</v>
      </c>
      <c r="G64" s="12"/>
      <c r="H64" s="12"/>
      <c r="I64" s="7"/>
      <c r="J64" s="201"/>
    </row>
    <row r="65" spans="1:10" x14ac:dyDescent="0.25">
      <c r="A65" s="203"/>
      <c r="B65" s="236"/>
      <c r="C65" s="256"/>
      <c r="D65" s="222"/>
      <c r="E65" s="234">
        <v>58</v>
      </c>
      <c r="F65" s="428">
        <v>49.820900000000002</v>
      </c>
      <c r="G65" s="12"/>
      <c r="H65" s="12"/>
      <c r="I65" s="7"/>
      <c r="J65" s="201"/>
    </row>
    <row r="66" spans="1:10" x14ac:dyDescent="0.25">
      <c r="A66" s="203"/>
      <c r="B66" s="241"/>
      <c r="C66" s="255"/>
      <c r="D66" s="242"/>
      <c r="E66" s="234">
        <v>59</v>
      </c>
      <c r="F66" s="428">
        <v>49.7791</v>
      </c>
      <c r="G66" s="12"/>
      <c r="H66" s="12"/>
      <c r="I66" s="7"/>
      <c r="J66" s="201"/>
    </row>
    <row r="67" spans="1:10" x14ac:dyDescent="0.25">
      <c r="A67" s="203"/>
      <c r="B67" s="236"/>
      <c r="C67" s="255"/>
      <c r="D67" s="257"/>
      <c r="E67" s="234">
        <v>60</v>
      </c>
      <c r="F67" s="428">
        <v>49.738599999999998</v>
      </c>
      <c r="G67" s="12"/>
      <c r="H67" s="12"/>
      <c r="I67" s="7"/>
      <c r="J67" s="201"/>
    </row>
    <row r="68" spans="1:10" x14ac:dyDescent="0.25">
      <c r="A68" s="203"/>
      <c r="B68" s="236"/>
      <c r="C68" s="255"/>
      <c r="D68" s="257"/>
      <c r="E68" s="234">
        <v>61</v>
      </c>
      <c r="F68" s="428">
        <v>49.699199999999998</v>
      </c>
      <c r="G68" s="12"/>
      <c r="H68" s="12"/>
      <c r="I68" s="7"/>
      <c r="J68" s="201"/>
    </row>
    <row r="69" spans="1:10" x14ac:dyDescent="0.25">
      <c r="A69" s="203"/>
      <c r="B69" s="236"/>
      <c r="C69" s="255"/>
      <c r="D69" s="257"/>
      <c r="E69" s="234">
        <v>62</v>
      </c>
      <c r="F69" s="428">
        <v>49.661099999999998</v>
      </c>
      <c r="G69" s="12"/>
      <c r="H69" s="12"/>
      <c r="I69" s="7"/>
      <c r="J69" s="201"/>
    </row>
    <row r="70" spans="1:10" x14ac:dyDescent="0.25">
      <c r="A70" s="203"/>
      <c r="B70" s="236"/>
      <c r="C70" s="255"/>
      <c r="D70" s="257"/>
      <c r="E70" s="234">
        <v>63</v>
      </c>
      <c r="F70" s="428">
        <v>49.624099999999999</v>
      </c>
      <c r="G70" s="12"/>
      <c r="H70" s="12"/>
      <c r="I70" s="7"/>
      <c r="J70" s="201"/>
    </row>
    <row r="71" spans="1:10" x14ac:dyDescent="0.25">
      <c r="A71" s="203"/>
      <c r="B71" s="236"/>
      <c r="C71" s="255"/>
      <c r="D71" s="257"/>
      <c r="E71" s="234">
        <v>64</v>
      </c>
      <c r="F71" s="428">
        <v>49.588099999999997</v>
      </c>
      <c r="G71" s="12"/>
      <c r="H71" s="12"/>
      <c r="I71" s="7"/>
      <c r="J71" s="201"/>
    </row>
    <row r="72" spans="1:10" x14ac:dyDescent="0.25">
      <c r="A72" s="203"/>
      <c r="B72" s="236"/>
      <c r="C72" s="255"/>
      <c r="D72" s="257"/>
      <c r="E72" s="234">
        <v>65</v>
      </c>
      <c r="F72" s="428">
        <v>49.553199999999997</v>
      </c>
      <c r="G72" s="12"/>
      <c r="H72" s="12"/>
      <c r="I72" s="7"/>
      <c r="J72" s="201"/>
    </row>
    <row r="73" spans="1:10" x14ac:dyDescent="0.25">
      <c r="A73" s="203"/>
      <c r="B73" s="236"/>
      <c r="C73" s="255"/>
      <c r="D73" s="222"/>
      <c r="E73" s="234">
        <v>66</v>
      </c>
      <c r="F73" s="428">
        <v>49.519199999999998</v>
      </c>
      <c r="G73" s="12"/>
      <c r="H73" s="12"/>
      <c r="I73" s="7"/>
      <c r="J73" s="201"/>
    </row>
    <row r="74" spans="1:10" x14ac:dyDescent="0.25">
      <c r="A74" s="203"/>
      <c r="B74" s="236"/>
      <c r="C74" s="255"/>
      <c r="D74" s="222"/>
      <c r="E74" s="234">
        <v>67</v>
      </c>
      <c r="F74" s="428">
        <v>49.486199999999997</v>
      </c>
      <c r="G74" s="12"/>
      <c r="H74" s="12"/>
      <c r="I74" s="7"/>
      <c r="J74" s="201"/>
    </row>
    <row r="75" spans="1:10" x14ac:dyDescent="0.25">
      <c r="A75" s="203"/>
      <c r="B75" s="236"/>
      <c r="C75" s="255"/>
      <c r="D75" s="222"/>
      <c r="E75" s="234">
        <v>68</v>
      </c>
      <c r="F75" s="428">
        <v>49.454099999999997</v>
      </c>
      <c r="G75" s="12"/>
      <c r="H75" s="12"/>
      <c r="I75" s="7"/>
      <c r="J75" s="201"/>
    </row>
    <row r="76" spans="1:10" x14ac:dyDescent="0.25">
      <c r="A76" s="203"/>
      <c r="B76" s="236"/>
      <c r="C76" s="255"/>
      <c r="D76" s="222"/>
      <c r="E76" s="234">
        <v>69</v>
      </c>
      <c r="F76" s="428">
        <v>49.422800000000002</v>
      </c>
      <c r="G76" s="12"/>
      <c r="H76" s="12"/>
      <c r="I76" s="7"/>
      <c r="J76" s="201"/>
    </row>
    <row r="77" spans="1:10" x14ac:dyDescent="0.25">
      <c r="A77" s="203"/>
      <c r="B77" s="236"/>
      <c r="C77" s="255"/>
      <c r="D77" s="222"/>
      <c r="E77" s="234">
        <v>70</v>
      </c>
      <c r="F77" s="428">
        <v>49.392400000000002</v>
      </c>
      <c r="G77" s="12"/>
      <c r="H77" s="12"/>
      <c r="I77" s="7"/>
      <c r="J77" s="201"/>
    </row>
    <row r="78" spans="1:10" x14ac:dyDescent="0.25">
      <c r="A78" s="203"/>
      <c r="B78" s="236"/>
      <c r="C78" s="255"/>
      <c r="D78" s="222"/>
      <c r="E78" s="234">
        <v>71</v>
      </c>
      <c r="F78" s="428">
        <v>49.3628</v>
      </c>
      <c r="G78" s="12"/>
      <c r="H78" s="12"/>
      <c r="I78" s="7"/>
      <c r="J78" s="201"/>
    </row>
    <row r="79" spans="1:10" x14ac:dyDescent="0.25">
      <c r="A79" s="203"/>
      <c r="B79" s="241"/>
      <c r="C79" s="255"/>
      <c r="D79" s="222"/>
      <c r="E79" s="234">
        <v>72</v>
      </c>
      <c r="F79" s="428">
        <v>49.3339</v>
      </c>
      <c r="G79" s="12"/>
      <c r="H79" s="12"/>
      <c r="I79" s="7"/>
      <c r="J79" s="201"/>
    </row>
    <row r="80" spans="1:10" x14ac:dyDescent="0.25">
      <c r="A80" s="203"/>
      <c r="B80" s="240"/>
      <c r="C80" s="255"/>
      <c r="D80" s="222"/>
      <c r="E80" s="234">
        <v>73</v>
      </c>
      <c r="F80" s="428">
        <v>49.305799999999998</v>
      </c>
      <c r="G80" s="12"/>
      <c r="H80" s="12"/>
      <c r="I80" s="7"/>
      <c r="J80" s="201"/>
    </row>
    <row r="81" spans="1:10" x14ac:dyDescent="0.25">
      <c r="A81" s="203"/>
      <c r="B81" s="240"/>
      <c r="C81" s="255"/>
      <c r="D81" s="222"/>
      <c r="E81" s="234">
        <v>74</v>
      </c>
      <c r="F81" s="428">
        <v>49.278300000000002</v>
      </c>
      <c r="G81" s="12"/>
      <c r="H81" s="12"/>
      <c r="I81" s="7"/>
      <c r="J81" s="201"/>
    </row>
    <row r="82" spans="1:10" x14ac:dyDescent="0.25">
      <c r="A82" s="203"/>
      <c r="B82" s="240"/>
      <c r="C82" s="255"/>
      <c r="D82" s="222"/>
      <c r="E82" s="234">
        <v>75</v>
      </c>
      <c r="F82" s="428">
        <v>49.251600000000003</v>
      </c>
      <c r="G82" s="12"/>
      <c r="H82" s="12"/>
      <c r="I82" s="7"/>
      <c r="J82" s="201"/>
    </row>
    <row r="83" spans="1:10" x14ac:dyDescent="0.25">
      <c r="A83" s="203"/>
      <c r="B83" s="236"/>
      <c r="C83" s="255"/>
      <c r="D83" s="222"/>
      <c r="E83" s="234">
        <v>76</v>
      </c>
      <c r="F83" s="428">
        <v>49.225499999999997</v>
      </c>
      <c r="G83" s="12"/>
      <c r="H83" s="12"/>
      <c r="I83" s="7"/>
      <c r="J83" s="201"/>
    </row>
    <row r="84" spans="1:10" x14ac:dyDescent="0.25">
      <c r="A84" s="203"/>
      <c r="B84" s="236"/>
      <c r="C84" s="255"/>
      <c r="D84" s="222"/>
      <c r="E84" s="234">
        <v>77</v>
      </c>
      <c r="F84" s="428">
        <v>49.200099999999999</v>
      </c>
      <c r="G84" s="12"/>
      <c r="H84" s="12"/>
      <c r="I84" s="7"/>
      <c r="J84" s="201"/>
    </row>
    <row r="85" spans="1:10" x14ac:dyDescent="0.25">
      <c r="A85" s="203"/>
      <c r="B85" s="236"/>
      <c r="C85" s="255"/>
      <c r="D85" s="222"/>
      <c r="E85" s="234">
        <v>78</v>
      </c>
      <c r="F85" s="428">
        <v>49.175199999999997</v>
      </c>
      <c r="G85" s="12"/>
      <c r="H85" s="12"/>
      <c r="I85" s="7"/>
      <c r="J85" s="201"/>
    </row>
    <row r="86" spans="1:10" x14ac:dyDescent="0.25">
      <c r="A86" s="203"/>
      <c r="B86" s="236"/>
      <c r="C86" s="255"/>
      <c r="D86" s="222"/>
      <c r="E86" s="234">
        <v>79</v>
      </c>
      <c r="F86" s="428">
        <v>49.151000000000003</v>
      </c>
      <c r="G86" s="12"/>
      <c r="H86" s="12"/>
      <c r="I86" s="7"/>
      <c r="J86" s="201"/>
    </row>
    <row r="87" spans="1:10" x14ac:dyDescent="0.25">
      <c r="A87" s="203"/>
      <c r="B87" s="236"/>
      <c r="C87" s="236"/>
      <c r="D87" s="222"/>
      <c r="E87" s="234">
        <v>80</v>
      </c>
      <c r="F87" s="428">
        <v>49.127299999999998</v>
      </c>
      <c r="G87" s="12"/>
      <c r="H87" s="12"/>
      <c r="I87" s="7"/>
      <c r="J87" s="201"/>
    </row>
    <row r="88" spans="1:10" x14ac:dyDescent="0.25">
      <c r="A88" s="203"/>
      <c r="B88" s="236"/>
      <c r="C88" s="241"/>
      <c r="D88" s="222"/>
      <c r="E88" s="234">
        <v>81</v>
      </c>
      <c r="F88" s="428">
        <v>49.104199999999999</v>
      </c>
      <c r="G88" s="12"/>
      <c r="H88" s="10"/>
      <c r="I88" s="7"/>
      <c r="J88" s="201"/>
    </row>
    <row r="89" spans="1:10" x14ac:dyDescent="0.25">
      <c r="A89" s="203"/>
      <c r="B89" s="241"/>
      <c r="C89" s="240"/>
      <c r="D89" s="222"/>
      <c r="E89" s="234">
        <v>82</v>
      </c>
      <c r="F89" s="428">
        <v>49.081600000000002</v>
      </c>
      <c r="G89" s="12"/>
      <c r="H89" s="10"/>
      <c r="I89" s="7"/>
      <c r="J89" s="201"/>
    </row>
    <row r="90" spans="1:10" x14ac:dyDescent="0.25">
      <c r="A90" s="203"/>
      <c r="B90" s="240"/>
      <c r="C90" s="240"/>
      <c r="D90" s="222"/>
      <c r="E90" s="234">
        <v>83</v>
      </c>
      <c r="F90" s="428">
        <v>49.0595</v>
      </c>
      <c r="G90" s="12"/>
      <c r="H90" s="12"/>
      <c r="I90" s="7"/>
      <c r="J90" s="201"/>
    </row>
    <row r="91" spans="1:10" x14ac:dyDescent="0.25">
      <c r="A91" s="203"/>
      <c r="B91" s="240"/>
      <c r="C91" s="240"/>
      <c r="D91" s="222"/>
      <c r="E91" s="234">
        <v>84</v>
      </c>
      <c r="F91" s="428">
        <v>49.0379</v>
      </c>
      <c r="G91" s="12"/>
      <c r="H91" s="12"/>
      <c r="I91" s="7"/>
      <c r="J91" s="201"/>
    </row>
    <row r="92" spans="1:10" x14ac:dyDescent="0.25">
      <c r="A92" s="203"/>
      <c r="B92" s="240"/>
      <c r="C92" s="240"/>
      <c r="D92" s="222"/>
      <c r="E92" s="234">
        <v>85</v>
      </c>
      <c r="F92" s="428">
        <v>49.016800000000003</v>
      </c>
      <c r="G92" s="12"/>
      <c r="H92" s="12"/>
      <c r="I92" s="7"/>
      <c r="J92" s="201"/>
    </row>
    <row r="93" spans="1:10" x14ac:dyDescent="0.25">
      <c r="A93" s="203"/>
      <c r="B93" s="240"/>
      <c r="C93" s="240"/>
      <c r="D93" s="222"/>
      <c r="E93" s="234">
        <v>86</v>
      </c>
      <c r="F93" s="428">
        <v>48.996200000000002</v>
      </c>
      <c r="G93" s="12"/>
      <c r="H93" s="12"/>
      <c r="I93" s="7"/>
      <c r="J93" s="201"/>
    </row>
    <row r="94" spans="1:10" x14ac:dyDescent="0.25">
      <c r="A94" s="203"/>
      <c r="B94" s="240"/>
      <c r="C94" s="240"/>
      <c r="D94" s="222"/>
      <c r="E94" s="234">
        <v>87</v>
      </c>
      <c r="F94" s="428">
        <v>48.975999999999999</v>
      </c>
      <c r="G94" s="12"/>
      <c r="H94" s="12"/>
      <c r="I94" s="7"/>
      <c r="J94" s="201"/>
    </row>
    <row r="95" spans="1:10" x14ac:dyDescent="0.25">
      <c r="A95" s="203"/>
      <c r="B95" s="240"/>
      <c r="C95" s="236"/>
      <c r="D95" s="222"/>
      <c r="E95" s="234">
        <v>88</v>
      </c>
      <c r="F95" s="428">
        <v>48.956200000000003</v>
      </c>
      <c r="G95" s="12"/>
      <c r="H95" s="12"/>
      <c r="I95" s="7"/>
      <c r="J95" s="201"/>
    </row>
    <row r="96" spans="1:10" x14ac:dyDescent="0.25">
      <c r="A96" s="203"/>
      <c r="B96" s="236"/>
      <c r="C96" s="236"/>
      <c r="D96" s="222"/>
      <c r="E96" s="234">
        <v>89</v>
      </c>
      <c r="F96" s="428">
        <v>48.936799999999998</v>
      </c>
      <c r="G96" s="12"/>
      <c r="H96" s="12"/>
      <c r="I96" s="7"/>
      <c r="J96" s="201"/>
    </row>
    <row r="97" spans="1:42" x14ac:dyDescent="0.25">
      <c r="A97" s="203"/>
      <c r="B97" s="236"/>
      <c r="C97" s="236"/>
      <c r="D97" s="222"/>
      <c r="E97" s="234">
        <v>90</v>
      </c>
      <c r="F97" s="428">
        <v>48.917900000000003</v>
      </c>
      <c r="G97" s="12"/>
      <c r="H97" s="12"/>
      <c r="I97" s="7"/>
      <c r="J97" s="201"/>
    </row>
    <row r="98" spans="1:42" x14ac:dyDescent="0.25">
      <c r="A98" s="203"/>
      <c r="B98" s="236"/>
      <c r="C98" s="236"/>
      <c r="D98" s="222"/>
      <c r="E98" s="234">
        <v>91</v>
      </c>
      <c r="F98" s="428">
        <v>48.899299999999997</v>
      </c>
      <c r="G98" s="12"/>
      <c r="H98" s="12"/>
      <c r="I98" s="7"/>
      <c r="J98" s="201"/>
    </row>
    <row r="99" spans="1:42" x14ac:dyDescent="0.25">
      <c r="A99" s="203"/>
      <c r="B99" s="236"/>
      <c r="C99" s="236"/>
      <c r="D99" s="222"/>
      <c r="E99" s="234">
        <v>92</v>
      </c>
      <c r="F99" s="428">
        <v>48.8812</v>
      </c>
      <c r="G99" s="12"/>
      <c r="H99" s="12"/>
      <c r="I99" s="7"/>
      <c r="J99" s="201"/>
    </row>
    <row r="100" spans="1:42" x14ac:dyDescent="0.25">
      <c r="A100" s="203"/>
      <c r="B100" s="236"/>
      <c r="C100" s="240"/>
      <c r="D100" s="222"/>
      <c r="E100" s="234">
        <v>93</v>
      </c>
      <c r="F100" s="428">
        <v>48.863399999999999</v>
      </c>
      <c r="G100" s="12"/>
      <c r="H100" s="12"/>
      <c r="I100" s="7"/>
      <c r="J100" s="201"/>
    </row>
    <row r="101" spans="1:42" x14ac:dyDescent="0.25">
      <c r="A101" s="203"/>
      <c r="B101" s="240"/>
      <c r="C101" s="240"/>
      <c r="D101" s="226"/>
      <c r="E101" s="233">
        <v>94</v>
      </c>
      <c r="F101" s="428">
        <v>48.8459</v>
      </c>
      <c r="G101" s="12"/>
      <c r="H101" s="12"/>
      <c r="I101" s="7"/>
      <c r="J101" s="201"/>
    </row>
    <row r="102" spans="1:42" x14ac:dyDescent="0.25">
      <c r="A102" s="203"/>
      <c r="B102" s="240"/>
      <c r="C102" s="240"/>
      <c r="D102" s="243"/>
      <c r="E102" s="233">
        <v>95</v>
      </c>
      <c r="F102" s="428">
        <v>48.828800000000001</v>
      </c>
      <c r="G102" s="12"/>
      <c r="H102" s="147"/>
      <c r="I102" s="7"/>
      <c r="J102" s="201"/>
    </row>
    <row r="103" spans="1:42" x14ac:dyDescent="0.25">
      <c r="A103" s="203"/>
      <c r="B103" s="240"/>
      <c r="C103" s="240"/>
      <c r="D103" s="243"/>
      <c r="E103" s="233">
        <v>96</v>
      </c>
      <c r="F103" s="428">
        <v>48.812100000000001</v>
      </c>
      <c r="G103" s="12"/>
      <c r="H103" s="12"/>
      <c r="I103" s="7"/>
      <c r="J103" s="201"/>
    </row>
    <row r="104" spans="1:42" x14ac:dyDescent="0.25">
      <c r="A104" s="203"/>
      <c r="B104" s="240"/>
      <c r="C104" s="240"/>
      <c r="D104" s="243"/>
      <c r="E104" s="233">
        <v>97</v>
      </c>
      <c r="F104" s="428">
        <v>48.7956</v>
      </c>
      <c r="G104" s="12"/>
      <c r="H104" s="12"/>
      <c r="I104" s="7"/>
      <c r="J104" s="201"/>
    </row>
    <row r="105" spans="1:42" x14ac:dyDescent="0.25">
      <c r="A105" s="203"/>
      <c r="B105" s="240"/>
      <c r="C105" s="240"/>
      <c r="D105" s="243"/>
      <c r="E105" s="233">
        <v>98</v>
      </c>
      <c r="F105" s="428">
        <v>48.779499999999999</v>
      </c>
      <c r="G105" s="12"/>
      <c r="H105" s="12"/>
      <c r="I105" s="7"/>
      <c r="J105" s="201"/>
    </row>
    <row r="106" spans="1:42" x14ac:dyDescent="0.25">
      <c r="A106" s="203"/>
      <c r="B106" s="240"/>
      <c r="C106" s="244"/>
      <c r="D106" s="243"/>
      <c r="E106" s="233">
        <v>99</v>
      </c>
      <c r="F106" s="428">
        <v>48.7637</v>
      </c>
      <c r="G106" s="12"/>
      <c r="H106" s="12"/>
      <c r="I106" s="7"/>
      <c r="J106" s="201"/>
    </row>
    <row r="107" spans="1:42" x14ac:dyDescent="0.25">
      <c r="A107" s="203"/>
      <c r="B107" s="244"/>
      <c r="C107" s="244"/>
      <c r="D107" s="243"/>
      <c r="E107" s="245">
        <v>100</v>
      </c>
      <c r="F107" s="430">
        <v>48.748199999999997</v>
      </c>
      <c r="G107" s="12"/>
      <c r="H107" s="20"/>
      <c r="I107" s="7"/>
      <c r="J107" s="201"/>
    </row>
    <row r="108" spans="1:42" x14ac:dyDescent="0.25">
      <c r="A108" s="203"/>
      <c r="B108" s="244"/>
      <c r="C108" s="243"/>
      <c r="D108" s="243"/>
      <c r="E108" s="246"/>
      <c r="F108" s="258"/>
      <c r="G108" s="12"/>
      <c r="H108" s="12"/>
      <c r="I108" s="12"/>
      <c r="J108" s="20"/>
    </row>
    <row r="109" spans="1:42" x14ac:dyDescent="0.25">
      <c r="A109" s="203"/>
      <c r="B109" s="243"/>
      <c r="C109" s="243"/>
      <c r="D109" s="243"/>
      <c r="E109" s="243"/>
      <c r="F109" s="247"/>
      <c r="G109" s="12"/>
      <c r="H109" s="12"/>
      <c r="I109" s="12"/>
      <c r="J109" s="20"/>
    </row>
    <row r="110" spans="1:42" x14ac:dyDescent="0.25">
      <c r="A110" s="203"/>
      <c r="B110" s="243"/>
      <c r="C110" s="243"/>
      <c r="D110" s="243"/>
      <c r="E110" s="243"/>
      <c r="F110" s="247"/>
      <c r="G110" s="12"/>
      <c r="H110" s="12"/>
      <c r="I110" s="12"/>
      <c r="J110" s="20"/>
    </row>
    <row r="111" spans="1:42" x14ac:dyDescent="0.25">
      <c r="A111" s="203"/>
      <c r="B111" s="243"/>
      <c r="C111" s="248"/>
      <c r="D111" s="243"/>
      <c r="E111" s="243"/>
      <c r="F111" s="247"/>
      <c r="G111" s="12"/>
      <c r="H111" s="12"/>
      <c r="I111" s="12"/>
      <c r="J111" s="20"/>
    </row>
    <row r="112" spans="1:42" x14ac:dyDescent="0.25">
      <c r="A112" s="203"/>
      <c r="B112" s="248"/>
      <c r="C112" s="243"/>
      <c r="D112" s="248"/>
      <c r="E112" s="248"/>
      <c r="F112" s="249"/>
      <c r="G112" s="182"/>
      <c r="H112" s="205"/>
      <c r="I112" s="205"/>
      <c r="J112" s="181"/>
      <c r="K112" s="204"/>
      <c r="L112" s="204"/>
      <c r="M112" s="204"/>
      <c r="N112" s="204"/>
      <c r="O112" s="204"/>
      <c r="P112" s="204"/>
      <c r="Q112" s="204"/>
      <c r="R112" s="204"/>
      <c r="S112" s="204"/>
      <c r="T112" s="204"/>
      <c r="U112" s="204"/>
      <c r="V112" s="204"/>
      <c r="W112" s="204"/>
      <c r="X112" s="204"/>
      <c r="Y112" s="204"/>
      <c r="Z112" s="204"/>
      <c r="AA112" s="204"/>
      <c r="AB112" s="204"/>
      <c r="AC112" s="204"/>
      <c r="AD112" s="204"/>
      <c r="AE112" s="204"/>
      <c r="AF112" s="204"/>
      <c r="AG112" s="204"/>
      <c r="AH112" s="204"/>
      <c r="AI112" s="204"/>
      <c r="AJ112" s="204"/>
      <c r="AK112" s="204"/>
      <c r="AL112" s="204"/>
      <c r="AM112" s="204"/>
      <c r="AN112" s="204"/>
      <c r="AO112" s="204"/>
      <c r="AP112" s="204"/>
    </row>
    <row r="113" spans="1:10" x14ac:dyDescent="0.25">
      <c r="A113" s="203"/>
      <c r="B113" s="243"/>
      <c r="C113" s="243"/>
      <c r="D113" s="243"/>
      <c r="E113" s="243"/>
      <c r="F113" s="247"/>
      <c r="G113" s="12"/>
      <c r="H113" s="12"/>
      <c r="I113" s="12"/>
      <c r="J113" s="20"/>
    </row>
    <row r="114" spans="1:10" x14ac:dyDescent="0.25">
      <c r="A114" s="203"/>
      <c r="B114" s="243"/>
      <c r="C114" s="243"/>
      <c r="D114" s="243"/>
      <c r="E114" s="243"/>
      <c r="F114" s="247"/>
      <c r="G114" s="12"/>
      <c r="H114" s="12"/>
      <c r="I114" s="12"/>
      <c r="J114" s="20"/>
    </row>
    <row r="115" spans="1:10" x14ac:dyDescent="0.25">
      <c r="A115" s="203"/>
      <c r="B115" s="243"/>
      <c r="C115" s="243"/>
      <c r="D115" s="243"/>
      <c r="E115" s="243"/>
      <c r="F115" s="247"/>
      <c r="G115" s="12"/>
      <c r="H115" s="12"/>
      <c r="I115" s="12"/>
      <c r="J115" s="20"/>
    </row>
    <row r="116" spans="1:10" x14ac:dyDescent="0.25">
      <c r="A116" s="203"/>
      <c r="B116" s="243"/>
      <c r="C116" s="243"/>
      <c r="D116" s="243"/>
      <c r="E116" s="243"/>
      <c r="F116" s="247"/>
      <c r="G116" s="12"/>
      <c r="H116" s="12"/>
      <c r="I116" s="12"/>
      <c r="J116" s="20"/>
    </row>
    <row r="117" spans="1:10" x14ac:dyDescent="0.25">
      <c r="A117" s="203"/>
      <c r="B117" s="243"/>
      <c r="C117" s="243"/>
      <c r="D117" s="243"/>
      <c r="E117" s="250"/>
      <c r="F117" s="226"/>
      <c r="G117" s="20"/>
      <c r="H117" s="20"/>
      <c r="I117" s="129"/>
      <c r="J117" s="20"/>
    </row>
    <row r="118" spans="1:10" x14ac:dyDescent="0.25">
      <c r="A118" s="203"/>
      <c r="B118" s="251"/>
      <c r="C118" s="243"/>
      <c r="D118" s="243"/>
      <c r="E118" s="243"/>
      <c r="F118" s="226"/>
      <c r="G118" s="20"/>
      <c r="H118" s="20"/>
      <c r="I118" s="12"/>
      <c r="J118" s="20"/>
    </row>
    <row r="119" spans="1:10" x14ac:dyDescent="0.25">
      <c r="A119" s="203"/>
      <c r="B119" s="251"/>
      <c r="C119" s="243"/>
      <c r="D119" s="243"/>
      <c r="E119" s="243"/>
      <c r="F119" s="226"/>
      <c r="G119" s="20"/>
      <c r="H119" s="20"/>
      <c r="I119" s="12"/>
      <c r="J119" s="20"/>
    </row>
    <row r="120" spans="1:10" x14ac:dyDescent="0.25">
      <c r="A120" s="203"/>
      <c r="B120" s="251"/>
      <c r="C120" s="243"/>
      <c r="D120" s="243"/>
      <c r="E120" s="243"/>
      <c r="F120" s="226"/>
      <c r="G120" s="20"/>
      <c r="H120" s="20"/>
      <c r="I120" s="20"/>
      <c r="J120" s="20"/>
    </row>
    <row r="121" spans="1:10" x14ac:dyDescent="0.25">
      <c r="A121" s="203"/>
      <c r="B121" s="251"/>
      <c r="C121" s="243"/>
      <c r="D121" s="243"/>
      <c r="E121" s="243"/>
      <c r="F121" s="222"/>
      <c r="G121" s="12"/>
      <c r="H121" s="12"/>
      <c r="I121" s="20"/>
      <c r="J121" s="12"/>
    </row>
    <row r="122" spans="1:10" x14ac:dyDescent="0.25">
      <c r="A122" s="203"/>
      <c r="B122" s="251"/>
      <c r="C122" s="222"/>
      <c r="D122" s="243"/>
      <c r="E122" s="243"/>
      <c r="F122" s="222"/>
      <c r="G122" s="12"/>
      <c r="H122" s="12"/>
      <c r="I122" s="20"/>
      <c r="J122" s="12"/>
    </row>
    <row r="123" spans="1:10" x14ac:dyDescent="0.25">
      <c r="A123" s="203"/>
      <c r="B123" s="222"/>
      <c r="C123" s="222"/>
      <c r="D123" s="222"/>
      <c r="E123" s="222"/>
      <c r="F123" s="222"/>
      <c r="G123" s="12"/>
      <c r="H123" s="12"/>
      <c r="I123" s="20"/>
      <c r="J123" s="12"/>
    </row>
    <row r="124" spans="1:10" x14ac:dyDescent="0.25">
      <c r="A124" s="203"/>
      <c r="B124" s="222"/>
      <c r="C124" s="222"/>
      <c r="D124" s="222"/>
      <c r="E124" s="222"/>
      <c r="F124" s="222"/>
      <c r="G124" s="12"/>
      <c r="H124" s="12"/>
      <c r="I124" s="20"/>
      <c r="J124" s="12"/>
    </row>
    <row r="125" spans="1:10" x14ac:dyDescent="0.25">
      <c r="A125" s="203"/>
      <c r="B125" s="222"/>
      <c r="C125" s="222"/>
      <c r="D125" s="222"/>
      <c r="E125" s="222"/>
      <c r="F125" s="222"/>
      <c r="G125" s="12"/>
      <c r="H125" s="12"/>
      <c r="I125" s="20"/>
      <c r="J125" s="12"/>
    </row>
    <row r="126" spans="1:10" x14ac:dyDescent="0.25">
      <c r="A126" s="203"/>
      <c r="B126" s="222"/>
      <c r="C126" s="222"/>
      <c r="D126" s="222"/>
      <c r="E126" s="222"/>
      <c r="F126" s="222"/>
      <c r="G126" s="12"/>
      <c r="H126" s="12"/>
      <c r="I126" s="20"/>
      <c r="J126" s="12"/>
    </row>
    <row r="127" spans="1:10" x14ac:dyDescent="0.25">
      <c r="A127" s="203"/>
      <c r="B127" s="222"/>
      <c r="C127" s="222"/>
      <c r="D127" s="222"/>
      <c r="E127" s="252"/>
      <c r="F127" s="222"/>
      <c r="G127" s="12"/>
      <c r="H127" s="12"/>
      <c r="I127" s="12"/>
      <c r="J127" s="12"/>
    </row>
    <row r="128" spans="1:10" x14ac:dyDescent="0.25">
      <c r="A128" s="203"/>
      <c r="B128" s="222"/>
      <c r="C128" s="222"/>
      <c r="D128" s="222"/>
      <c r="E128" s="222"/>
      <c r="F128" s="222"/>
      <c r="G128" s="203"/>
    </row>
    <row r="129" spans="1:7" x14ac:dyDescent="0.25">
      <c r="A129" s="203"/>
      <c r="B129" s="222"/>
      <c r="C129" s="222"/>
      <c r="D129" s="222"/>
      <c r="E129" s="222"/>
      <c r="F129" s="222"/>
      <c r="G129" s="203"/>
    </row>
    <row r="130" spans="1:7" x14ac:dyDescent="0.25">
      <c r="A130" s="203"/>
      <c r="B130" s="222"/>
      <c r="C130" s="222"/>
      <c r="D130" s="222"/>
      <c r="E130" s="222"/>
      <c r="F130" s="222"/>
      <c r="G130" s="203"/>
    </row>
    <row r="131" spans="1:7" x14ac:dyDescent="0.25">
      <c r="A131" s="203"/>
      <c r="B131" s="222"/>
      <c r="C131" s="222"/>
      <c r="D131" s="222"/>
      <c r="E131" s="222"/>
      <c r="F131" s="222"/>
      <c r="G131" s="203"/>
    </row>
    <row r="132" spans="1:7" x14ac:dyDescent="0.25">
      <c r="A132" s="203"/>
      <c r="B132" s="222"/>
      <c r="C132" s="222"/>
      <c r="D132" s="222"/>
      <c r="E132" s="222"/>
      <c r="F132" s="222"/>
      <c r="G132" s="203"/>
    </row>
    <row r="133" spans="1:7" x14ac:dyDescent="0.25">
      <c r="A133" s="203"/>
      <c r="B133" s="222"/>
      <c r="C133" s="222"/>
      <c r="D133" s="222"/>
      <c r="E133" s="222"/>
      <c r="F133" s="222"/>
      <c r="G133" s="203"/>
    </row>
    <row r="134" spans="1:7" x14ac:dyDescent="0.25">
      <c r="A134" s="203"/>
      <c r="B134" s="222"/>
      <c r="C134" s="222"/>
      <c r="D134" s="222"/>
      <c r="E134" s="222"/>
      <c r="F134" s="222"/>
      <c r="G134" s="203"/>
    </row>
    <row r="135" spans="1:7" x14ac:dyDescent="0.25">
      <c r="A135" s="203"/>
      <c r="B135" s="222"/>
      <c r="C135" s="222"/>
      <c r="D135" s="222"/>
      <c r="E135" s="222"/>
      <c r="F135" s="222"/>
      <c r="G135" s="203"/>
    </row>
    <row r="136" spans="1:7" x14ac:dyDescent="0.25">
      <c r="A136" s="203"/>
      <c r="B136" s="222"/>
      <c r="C136" s="222"/>
      <c r="D136" s="222"/>
      <c r="E136" s="222"/>
      <c r="F136" s="222"/>
      <c r="G136" s="203"/>
    </row>
    <row r="137" spans="1:7" x14ac:dyDescent="0.25">
      <c r="A137" s="203"/>
      <c r="B137" s="222"/>
      <c r="C137" s="222"/>
      <c r="D137" s="222"/>
      <c r="E137" s="222"/>
      <c r="F137" s="222"/>
      <c r="G137" s="203"/>
    </row>
    <row r="138" spans="1:7" x14ac:dyDescent="0.25">
      <c r="A138" s="203"/>
      <c r="B138" s="222"/>
      <c r="C138" s="222"/>
      <c r="D138" s="222"/>
      <c r="E138" s="222"/>
      <c r="F138" s="222"/>
      <c r="G138" s="203"/>
    </row>
    <row r="139" spans="1:7" x14ac:dyDescent="0.25">
      <c r="A139" s="203"/>
      <c r="B139" s="222"/>
      <c r="C139" s="222"/>
      <c r="D139" s="222"/>
      <c r="E139" s="222"/>
      <c r="F139" s="222"/>
      <c r="G139" s="203"/>
    </row>
    <row r="140" spans="1:7" x14ac:dyDescent="0.25">
      <c r="A140" s="203"/>
      <c r="B140" s="222"/>
      <c r="C140" s="222"/>
      <c r="D140" s="222"/>
      <c r="E140" s="222"/>
      <c r="F140" s="222"/>
      <c r="G140" s="203"/>
    </row>
    <row r="141" spans="1:7" x14ac:dyDescent="0.25">
      <c r="A141" s="203"/>
      <c r="B141" s="222"/>
      <c r="C141" s="222"/>
      <c r="D141" s="222"/>
      <c r="E141" s="222"/>
      <c r="F141" s="222"/>
      <c r="G141" s="203"/>
    </row>
    <row r="142" spans="1:7" x14ac:dyDescent="0.25">
      <c r="A142" s="203"/>
      <c r="B142" s="222"/>
      <c r="C142" s="222"/>
      <c r="D142" s="222"/>
      <c r="E142" s="222"/>
      <c r="F142" s="222"/>
      <c r="G142" s="203"/>
    </row>
    <row r="143" spans="1:7" x14ac:dyDescent="0.25">
      <c r="A143" s="203"/>
      <c r="B143" s="222"/>
      <c r="C143" s="222"/>
      <c r="D143" s="222"/>
      <c r="E143" s="222"/>
      <c r="F143" s="222"/>
      <c r="G143" s="203"/>
    </row>
    <row r="144" spans="1:7" x14ac:dyDescent="0.25">
      <c r="A144" s="203"/>
      <c r="B144" s="222"/>
      <c r="C144" s="222"/>
      <c r="D144" s="222"/>
      <c r="E144" s="222"/>
      <c r="F144" s="222"/>
      <c r="G144" s="203"/>
    </row>
    <row r="145" spans="1:7" x14ac:dyDescent="0.25">
      <c r="A145" s="203"/>
      <c r="B145" s="222"/>
      <c r="C145" s="222"/>
      <c r="D145" s="222"/>
      <c r="E145" s="222"/>
      <c r="F145" s="222"/>
      <c r="G145" s="203"/>
    </row>
    <row r="146" spans="1:7" x14ac:dyDescent="0.25">
      <c r="A146" s="203"/>
      <c r="B146" s="222"/>
      <c r="C146" s="222"/>
      <c r="D146" s="222"/>
      <c r="E146" s="222"/>
      <c r="F146" s="222"/>
      <c r="G146" s="203"/>
    </row>
    <row r="147" spans="1:7" x14ac:dyDescent="0.25">
      <c r="A147" s="203"/>
      <c r="B147" s="222"/>
      <c r="C147" s="222"/>
      <c r="D147" s="222"/>
      <c r="E147" s="222"/>
      <c r="F147" s="222"/>
      <c r="G147" s="203"/>
    </row>
    <row r="148" spans="1:7" x14ac:dyDescent="0.25">
      <c r="A148" s="203"/>
      <c r="B148" s="222"/>
      <c r="C148" s="222"/>
      <c r="D148" s="222"/>
      <c r="E148" s="222"/>
      <c r="F148" s="222"/>
      <c r="G148" s="203"/>
    </row>
    <row r="149" spans="1:7" x14ac:dyDescent="0.25">
      <c r="A149" s="203"/>
      <c r="B149" s="222"/>
      <c r="C149" s="222"/>
      <c r="D149" s="222"/>
      <c r="E149" s="222"/>
      <c r="F149" s="222"/>
      <c r="G149" s="203"/>
    </row>
    <row r="150" spans="1:7" x14ac:dyDescent="0.25">
      <c r="A150" s="203"/>
      <c r="B150" s="222"/>
      <c r="C150" s="222"/>
      <c r="D150" s="222"/>
      <c r="E150" s="222"/>
      <c r="F150" s="222"/>
      <c r="G150" s="203"/>
    </row>
    <row r="151" spans="1:7" x14ac:dyDescent="0.25">
      <c r="A151" s="203"/>
      <c r="B151" s="222"/>
      <c r="C151" s="222"/>
      <c r="D151" s="222"/>
      <c r="E151" s="222"/>
      <c r="F151" s="222"/>
      <c r="G151" s="203"/>
    </row>
    <row r="152" spans="1:7" x14ac:dyDescent="0.25">
      <c r="A152" s="203"/>
      <c r="B152" s="222"/>
      <c r="C152" s="222"/>
      <c r="D152" s="222"/>
      <c r="E152" s="222"/>
      <c r="F152" s="222"/>
      <c r="G152" s="203"/>
    </row>
    <row r="153" spans="1:7" x14ac:dyDescent="0.25">
      <c r="A153" s="203"/>
      <c r="B153" s="222"/>
      <c r="C153" s="222"/>
      <c r="D153" s="222"/>
      <c r="E153" s="222"/>
      <c r="F153" s="222"/>
      <c r="G153" s="203"/>
    </row>
    <row r="154" spans="1:7" x14ac:dyDescent="0.25">
      <c r="A154" s="203"/>
      <c r="B154" s="222"/>
      <c r="C154" s="222"/>
      <c r="D154" s="222"/>
      <c r="E154" s="222"/>
      <c r="F154" s="222"/>
      <c r="G154" s="203"/>
    </row>
    <row r="155" spans="1:7" x14ac:dyDescent="0.25">
      <c r="A155" s="203"/>
      <c r="B155" s="222"/>
      <c r="C155" s="222"/>
      <c r="D155" s="222"/>
      <c r="E155" s="222"/>
      <c r="F155" s="222"/>
      <c r="G155" s="203"/>
    </row>
    <row r="156" spans="1:7" x14ac:dyDescent="0.25">
      <c r="A156" s="203"/>
      <c r="B156" s="222"/>
      <c r="C156" s="222"/>
      <c r="D156" s="222"/>
      <c r="E156" s="222"/>
      <c r="F156" s="222"/>
      <c r="G156" s="203"/>
    </row>
    <row r="157" spans="1:7" x14ac:dyDescent="0.25">
      <c r="A157" s="203"/>
      <c r="B157" s="222"/>
      <c r="C157" s="222"/>
      <c r="D157" s="222"/>
      <c r="E157" s="222"/>
      <c r="F157" s="222"/>
      <c r="G157" s="203"/>
    </row>
    <row r="158" spans="1:7" x14ac:dyDescent="0.25">
      <c r="A158" s="203"/>
      <c r="B158" s="222"/>
      <c r="C158" s="222"/>
      <c r="D158" s="222"/>
      <c r="E158" s="222"/>
      <c r="F158" s="222"/>
      <c r="G158" s="203"/>
    </row>
    <row r="159" spans="1:7" x14ac:dyDescent="0.25">
      <c r="A159" s="203"/>
      <c r="B159" s="222"/>
      <c r="C159" s="222"/>
      <c r="D159" s="222"/>
      <c r="E159" s="222"/>
      <c r="F159" s="222"/>
      <c r="G159" s="203"/>
    </row>
    <row r="160" spans="1:7" x14ac:dyDescent="0.25">
      <c r="A160" s="203"/>
      <c r="B160" s="222"/>
      <c r="C160" s="222"/>
      <c r="D160" s="222"/>
      <c r="E160" s="222"/>
      <c r="F160" s="222"/>
      <c r="G160" s="203"/>
    </row>
    <row r="161" spans="1:7" x14ac:dyDescent="0.25">
      <c r="A161" s="203"/>
      <c r="B161" s="222"/>
      <c r="C161" s="222"/>
      <c r="D161" s="222"/>
      <c r="E161" s="222"/>
      <c r="F161" s="222"/>
      <c r="G161" s="203"/>
    </row>
    <row r="162" spans="1:7" x14ac:dyDescent="0.25">
      <c r="A162" s="203"/>
      <c r="B162" s="222"/>
      <c r="C162" s="222"/>
      <c r="D162" s="222"/>
      <c r="E162" s="222"/>
      <c r="F162" s="222"/>
      <c r="G162" s="203"/>
    </row>
    <row r="163" spans="1:7" x14ac:dyDescent="0.25">
      <c r="A163" s="203"/>
      <c r="B163" s="222"/>
      <c r="C163" s="222"/>
      <c r="D163" s="222"/>
      <c r="E163" s="222"/>
      <c r="F163" s="222"/>
      <c r="G163" s="203"/>
    </row>
    <row r="164" spans="1:7" x14ac:dyDescent="0.25">
      <c r="A164" s="203"/>
      <c r="B164" s="222"/>
      <c r="C164" s="222"/>
      <c r="D164" s="222"/>
      <c r="E164" s="222"/>
      <c r="F164" s="222"/>
      <c r="G164" s="203"/>
    </row>
    <row r="165" spans="1:7" x14ac:dyDescent="0.25">
      <c r="A165" s="203"/>
      <c r="B165" s="222"/>
      <c r="C165" s="222"/>
      <c r="D165" s="222"/>
      <c r="E165" s="222"/>
      <c r="F165" s="222"/>
      <c r="G165" s="203"/>
    </row>
    <row r="166" spans="1:7" x14ac:dyDescent="0.25">
      <c r="A166" s="203"/>
      <c r="B166" s="222"/>
      <c r="C166" s="222"/>
      <c r="D166" s="222"/>
      <c r="E166" s="222"/>
      <c r="F166" s="222"/>
      <c r="G166" s="203"/>
    </row>
    <row r="167" spans="1:7" x14ac:dyDescent="0.25">
      <c r="A167" s="203"/>
      <c r="B167" s="222"/>
      <c r="C167" s="222"/>
      <c r="D167" s="222"/>
      <c r="E167" s="222"/>
      <c r="F167" s="222"/>
      <c r="G167" s="203"/>
    </row>
    <row r="168" spans="1:7" x14ac:dyDescent="0.25">
      <c r="A168" s="203"/>
      <c r="B168" s="222"/>
      <c r="C168" s="222"/>
      <c r="D168" s="222"/>
      <c r="E168" s="222"/>
      <c r="F168" s="222"/>
      <c r="G168" s="203"/>
    </row>
    <row r="169" spans="1:7" x14ac:dyDescent="0.25">
      <c r="A169" s="203"/>
      <c r="B169" s="222"/>
      <c r="C169" s="222"/>
      <c r="D169" s="222"/>
      <c r="E169" s="222"/>
      <c r="F169" s="222"/>
      <c r="G169" s="203"/>
    </row>
    <row r="170" spans="1:7" x14ac:dyDescent="0.25">
      <c r="A170" s="203"/>
      <c r="B170" s="222"/>
      <c r="C170" s="222"/>
      <c r="D170" s="222"/>
      <c r="E170" s="222"/>
      <c r="F170" s="222"/>
      <c r="G170" s="203"/>
    </row>
    <row r="171" spans="1:7" x14ac:dyDescent="0.25">
      <c r="A171" s="203"/>
      <c r="B171" s="222"/>
      <c r="C171" s="222"/>
      <c r="D171" s="222"/>
      <c r="E171" s="222"/>
      <c r="F171" s="222"/>
      <c r="G171" s="203"/>
    </row>
    <row r="172" spans="1:7" x14ac:dyDescent="0.25">
      <c r="A172" s="203"/>
      <c r="B172" s="222"/>
      <c r="C172" s="222"/>
      <c r="D172" s="222"/>
      <c r="E172" s="222"/>
      <c r="F172" s="222"/>
      <c r="G172" s="203"/>
    </row>
    <row r="173" spans="1:7" x14ac:dyDescent="0.25">
      <c r="A173" s="203"/>
      <c r="B173" s="222"/>
      <c r="C173" s="222"/>
      <c r="D173" s="222"/>
      <c r="E173" s="222"/>
      <c r="F173" s="222"/>
      <c r="G173" s="203"/>
    </row>
    <row r="174" spans="1:7" x14ac:dyDescent="0.25">
      <c r="A174" s="203"/>
      <c r="B174" s="222"/>
      <c r="C174" s="222"/>
      <c r="D174" s="222"/>
      <c r="E174" s="222"/>
      <c r="F174" s="222"/>
      <c r="G174" s="203"/>
    </row>
    <row r="175" spans="1:7" x14ac:dyDescent="0.25">
      <c r="A175" s="203"/>
      <c r="B175" s="222"/>
      <c r="C175" s="222"/>
      <c r="D175" s="222"/>
      <c r="E175" s="222"/>
      <c r="F175" s="222"/>
      <c r="G175" s="203"/>
    </row>
    <row r="176" spans="1:7" x14ac:dyDescent="0.25">
      <c r="A176" s="203"/>
      <c r="B176" s="222"/>
      <c r="C176" s="222"/>
      <c r="D176" s="222"/>
      <c r="E176" s="222"/>
      <c r="F176" s="222"/>
      <c r="G176" s="203"/>
    </row>
    <row r="177" spans="1:7" x14ac:dyDescent="0.25">
      <c r="A177" s="203"/>
      <c r="B177" s="222"/>
      <c r="C177" s="222"/>
      <c r="D177" s="222"/>
      <c r="E177" s="222"/>
      <c r="F177" s="222"/>
      <c r="G177" s="203"/>
    </row>
    <row r="178" spans="1:7" x14ac:dyDescent="0.25">
      <c r="A178" s="203"/>
      <c r="B178" s="222"/>
      <c r="C178" s="222"/>
      <c r="D178" s="222"/>
      <c r="E178" s="222"/>
      <c r="F178" s="222"/>
      <c r="G178" s="203"/>
    </row>
    <row r="179" spans="1:7" x14ac:dyDescent="0.25">
      <c r="A179" s="203"/>
      <c r="B179" s="222"/>
      <c r="C179" s="222"/>
      <c r="D179" s="222"/>
      <c r="E179" s="222"/>
      <c r="F179" s="222"/>
      <c r="G179" s="203"/>
    </row>
    <row r="180" spans="1:7" x14ac:dyDescent="0.25">
      <c r="A180" s="203"/>
      <c r="B180" s="222"/>
      <c r="C180" s="222"/>
      <c r="D180" s="222"/>
      <c r="E180" s="222"/>
      <c r="F180" s="222"/>
      <c r="G180" s="203"/>
    </row>
    <row r="181" spans="1:7" x14ac:dyDescent="0.25">
      <c r="A181" s="203"/>
      <c r="B181" s="222"/>
      <c r="C181" s="222"/>
      <c r="D181" s="222"/>
      <c r="E181" s="222"/>
      <c r="F181" s="222"/>
      <c r="G181" s="203"/>
    </row>
    <row r="182" spans="1:7" x14ac:dyDescent="0.25">
      <c r="A182" s="203"/>
      <c r="B182" s="222"/>
      <c r="C182" s="222"/>
      <c r="D182" s="222"/>
      <c r="E182" s="222"/>
      <c r="F182" s="222"/>
      <c r="G182" s="203"/>
    </row>
    <row r="183" spans="1:7" x14ac:dyDescent="0.25">
      <c r="A183" s="203"/>
      <c r="B183" s="222"/>
      <c r="C183" s="222"/>
      <c r="D183" s="222"/>
      <c r="E183" s="222"/>
      <c r="F183" s="222"/>
      <c r="G183" s="203"/>
    </row>
    <row r="184" spans="1:7" x14ac:dyDescent="0.25">
      <c r="A184" s="203"/>
      <c r="B184" s="222"/>
      <c r="C184" s="222"/>
      <c r="D184" s="222"/>
      <c r="E184" s="222"/>
      <c r="F184" s="222"/>
      <c r="G184" s="203"/>
    </row>
    <row r="185" spans="1:7" x14ac:dyDescent="0.25">
      <c r="A185" s="203"/>
      <c r="B185" s="222"/>
      <c r="C185" s="222"/>
      <c r="D185" s="222"/>
      <c r="E185" s="222"/>
      <c r="F185" s="222"/>
      <c r="G185" s="203"/>
    </row>
    <row r="186" spans="1:7" x14ac:dyDescent="0.25">
      <c r="A186" s="203"/>
      <c r="B186" s="222"/>
      <c r="C186" s="222"/>
      <c r="D186" s="222"/>
      <c r="E186" s="222"/>
      <c r="F186" s="222"/>
      <c r="G186" s="203"/>
    </row>
    <row r="187" spans="1:7" x14ac:dyDescent="0.25">
      <c r="A187" s="203"/>
      <c r="B187" s="222"/>
      <c r="C187" s="222"/>
      <c r="D187" s="222"/>
      <c r="E187" s="222"/>
      <c r="F187" s="222"/>
      <c r="G187" s="203"/>
    </row>
    <row r="188" spans="1:7" x14ac:dyDescent="0.25">
      <c r="A188" s="203"/>
      <c r="B188" s="222"/>
      <c r="C188" s="222"/>
      <c r="D188" s="222"/>
      <c r="E188" s="222"/>
      <c r="F188" s="222"/>
      <c r="G188" s="203"/>
    </row>
    <row r="189" spans="1:7" x14ac:dyDescent="0.25">
      <c r="A189" s="203"/>
      <c r="B189" s="222"/>
      <c r="C189" s="222"/>
      <c r="D189" s="222"/>
      <c r="E189" s="222"/>
      <c r="F189" s="222"/>
      <c r="G189" s="203"/>
    </row>
    <row r="190" spans="1:7" x14ac:dyDescent="0.25">
      <c r="A190" s="203"/>
      <c r="B190" s="222"/>
      <c r="C190" s="222"/>
      <c r="D190" s="222"/>
      <c r="E190" s="222"/>
      <c r="F190" s="222"/>
      <c r="G190" s="203"/>
    </row>
    <row r="191" spans="1:7" x14ac:dyDescent="0.25">
      <c r="A191" s="203"/>
      <c r="B191" s="222"/>
      <c r="C191" s="222"/>
      <c r="D191" s="222"/>
      <c r="E191" s="222"/>
      <c r="F191" s="222"/>
      <c r="G191" s="203"/>
    </row>
    <row r="192" spans="1:7" x14ac:dyDescent="0.25">
      <c r="A192" s="203"/>
      <c r="B192" s="222"/>
      <c r="C192" s="222"/>
      <c r="D192" s="222"/>
      <c r="E192" s="222"/>
      <c r="F192" s="222"/>
      <c r="G192" s="203"/>
    </row>
    <row r="193" spans="1:7" x14ac:dyDescent="0.25">
      <c r="A193" s="203"/>
      <c r="B193" s="222"/>
      <c r="C193" s="222"/>
      <c r="D193" s="222"/>
      <c r="E193" s="222"/>
      <c r="F193" s="222"/>
      <c r="G193" s="203"/>
    </row>
    <row r="194" spans="1:7" x14ac:dyDescent="0.25">
      <c r="A194" s="203"/>
      <c r="B194" s="222"/>
      <c r="C194" s="222"/>
      <c r="D194" s="222"/>
      <c r="E194" s="222"/>
      <c r="F194" s="222"/>
      <c r="G194" s="203"/>
    </row>
    <row r="195" spans="1:7" x14ac:dyDescent="0.25">
      <c r="A195" s="203"/>
      <c r="B195" s="222"/>
      <c r="C195" s="222"/>
      <c r="D195" s="222"/>
      <c r="E195" s="222"/>
      <c r="F195" s="222"/>
      <c r="G195" s="203"/>
    </row>
    <row r="196" spans="1:7" x14ac:dyDescent="0.25">
      <c r="A196" s="203"/>
      <c r="B196" s="222"/>
      <c r="C196" s="222"/>
      <c r="D196" s="222"/>
      <c r="E196" s="222"/>
      <c r="F196" s="222"/>
      <c r="G196" s="203"/>
    </row>
    <row r="197" spans="1:7" x14ac:dyDescent="0.25">
      <c r="A197" s="203"/>
      <c r="B197" s="222"/>
      <c r="C197" s="222"/>
      <c r="D197" s="222"/>
      <c r="E197" s="222"/>
      <c r="F197" s="222"/>
      <c r="G197" s="203"/>
    </row>
    <row r="198" spans="1:7" x14ac:dyDescent="0.25">
      <c r="A198" s="203"/>
      <c r="B198" s="222"/>
      <c r="C198" s="222"/>
      <c r="D198" s="222"/>
      <c r="E198" s="222"/>
      <c r="F198" s="222"/>
      <c r="G198" s="203"/>
    </row>
    <row r="199" spans="1:7" x14ac:dyDescent="0.25">
      <c r="A199" s="203"/>
      <c r="B199" s="222"/>
      <c r="C199" s="222"/>
      <c r="D199" s="222"/>
      <c r="E199" s="222"/>
      <c r="F199" s="222"/>
      <c r="G199" s="203"/>
    </row>
    <row r="200" spans="1:7" x14ac:dyDescent="0.25">
      <c r="A200" s="203"/>
      <c r="B200" s="222"/>
      <c r="C200" s="222"/>
      <c r="D200" s="222"/>
      <c r="E200" s="222"/>
      <c r="F200" s="222"/>
      <c r="G200" s="203"/>
    </row>
    <row r="201" spans="1:7" x14ac:dyDescent="0.25">
      <c r="A201" s="203"/>
      <c r="B201" s="222"/>
      <c r="C201" s="222"/>
      <c r="D201" s="222"/>
      <c r="E201" s="222"/>
      <c r="F201" s="222"/>
      <c r="G201" s="203"/>
    </row>
    <row r="202" spans="1:7" x14ac:dyDescent="0.25">
      <c r="A202" s="203"/>
      <c r="B202" s="222"/>
      <c r="C202" s="222"/>
      <c r="D202" s="222"/>
      <c r="E202" s="222"/>
      <c r="F202" s="222"/>
      <c r="G202" s="203"/>
    </row>
    <row r="203" spans="1:7" x14ac:dyDescent="0.25">
      <c r="A203" s="203"/>
      <c r="B203" s="222"/>
      <c r="C203" s="222"/>
      <c r="D203" s="222"/>
      <c r="E203" s="222"/>
      <c r="F203" s="222"/>
      <c r="G203" s="203"/>
    </row>
    <row r="204" spans="1:7" x14ac:dyDescent="0.25">
      <c r="A204" s="203"/>
      <c r="B204" s="222"/>
      <c r="C204" s="222"/>
      <c r="D204" s="222"/>
      <c r="E204" s="222"/>
      <c r="F204" s="222"/>
      <c r="G204" s="203"/>
    </row>
    <row r="205" spans="1:7" x14ac:dyDescent="0.25">
      <c r="A205" s="203"/>
      <c r="B205" s="222"/>
      <c r="C205" s="222"/>
      <c r="D205" s="222"/>
      <c r="E205" s="222"/>
      <c r="F205" s="222"/>
      <c r="G205" s="203"/>
    </row>
    <row r="206" spans="1:7" x14ac:dyDescent="0.25">
      <c r="A206" s="203"/>
      <c r="B206" s="222"/>
      <c r="C206" s="222"/>
      <c r="D206" s="222"/>
      <c r="E206" s="222"/>
      <c r="F206" s="222"/>
      <c r="G206" s="203"/>
    </row>
    <row r="207" spans="1:7" x14ac:dyDescent="0.25">
      <c r="A207" s="203"/>
      <c r="B207" s="222"/>
      <c r="C207" s="222"/>
      <c r="D207" s="222"/>
      <c r="E207" s="222"/>
      <c r="F207" s="222"/>
      <c r="G207" s="203"/>
    </row>
    <row r="208" spans="1:7" x14ac:dyDescent="0.25">
      <c r="A208" s="203"/>
      <c r="B208" s="222"/>
      <c r="C208" s="222"/>
      <c r="D208" s="222"/>
      <c r="E208" s="222"/>
      <c r="F208" s="222"/>
      <c r="G208" s="203"/>
    </row>
    <row r="209" spans="1:7" x14ac:dyDescent="0.25">
      <c r="A209" s="203"/>
      <c r="B209" s="222"/>
      <c r="C209" s="222"/>
      <c r="D209" s="222"/>
      <c r="E209" s="222"/>
      <c r="F209" s="222"/>
      <c r="G209" s="203"/>
    </row>
    <row r="210" spans="1:7" x14ac:dyDescent="0.25">
      <c r="A210" s="203"/>
      <c r="B210" s="222"/>
      <c r="C210" s="222"/>
      <c r="D210" s="222"/>
      <c r="E210" s="222"/>
      <c r="F210" s="222"/>
      <c r="G210" s="203"/>
    </row>
    <row r="211" spans="1:7" x14ac:dyDescent="0.25">
      <c r="A211" s="203"/>
      <c r="B211" s="222"/>
      <c r="C211" s="222"/>
      <c r="D211" s="222"/>
      <c r="E211" s="222"/>
      <c r="F211" s="222"/>
      <c r="G211" s="203"/>
    </row>
    <row r="212" spans="1:7" x14ac:dyDescent="0.25">
      <c r="A212" s="203"/>
      <c r="B212" s="222"/>
      <c r="C212" s="222"/>
      <c r="D212" s="222"/>
      <c r="E212" s="222"/>
      <c r="F212" s="222"/>
      <c r="G212" s="203"/>
    </row>
    <row r="213" spans="1:7" x14ac:dyDescent="0.25">
      <c r="A213" s="203"/>
      <c r="B213" s="222"/>
      <c r="C213" s="222"/>
      <c r="D213" s="222"/>
      <c r="E213" s="222"/>
      <c r="F213" s="222"/>
      <c r="G213" s="203"/>
    </row>
    <row r="214" spans="1:7" x14ac:dyDescent="0.25">
      <c r="A214" s="203"/>
      <c r="B214" s="222"/>
      <c r="C214" s="222"/>
      <c r="D214" s="222"/>
      <c r="E214" s="222"/>
      <c r="F214" s="222"/>
      <c r="G214" s="203"/>
    </row>
    <row r="215" spans="1:7" x14ac:dyDescent="0.25">
      <c r="A215" s="203"/>
      <c r="B215" s="222"/>
      <c r="C215" s="222"/>
      <c r="D215" s="222"/>
      <c r="E215" s="222"/>
      <c r="F215" s="222"/>
      <c r="G215" s="203"/>
    </row>
    <row r="216" spans="1:7" x14ac:dyDescent="0.25">
      <c r="A216" s="203"/>
      <c r="B216" s="222"/>
      <c r="C216" s="222"/>
      <c r="D216" s="222"/>
      <c r="E216" s="222"/>
      <c r="F216" s="222"/>
      <c r="G216" s="203"/>
    </row>
    <row r="217" spans="1:7" x14ac:dyDescent="0.25">
      <c r="A217" s="203"/>
      <c r="B217" s="222"/>
      <c r="C217" s="222"/>
      <c r="D217" s="222"/>
      <c r="E217" s="222"/>
      <c r="F217" s="222"/>
      <c r="G217" s="203"/>
    </row>
    <row r="218" spans="1:7" x14ac:dyDescent="0.25">
      <c r="A218" s="203"/>
      <c r="B218" s="222"/>
      <c r="C218" s="222"/>
      <c r="D218" s="222"/>
      <c r="E218" s="222"/>
      <c r="F218" s="222"/>
      <c r="G218" s="203"/>
    </row>
    <row r="219" spans="1:7" x14ac:dyDescent="0.25">
      <c r="A219" s="203"/>
      <c r="B219" s="222"/>
      <c r="C219" s="222"/>
      <c r="D219" s="222"/>
      <c r="E219" s="222"/>
      <c r="F219" s="222"/>
      <c r="G219" s="203"/>
    </row>
    <row r="220" spans="1:7" x14ac:dyDescent="0.25">
      <c r="A220" s="203"/>
      <c r="B220" s="222"/>
      <c r="C220" s="222"/>
      <c r="D220" s="222"/>
      <c r="E220" s="222"/>
      <c r="F220" s="222"/>
      <c r="G220" s="203"/>
    </row>
    <row r="221" spans="1:7" x14ac:dyDescent="0.25">
      <c r="A221" s="203"/>
      <c r="B221" s="222"/>
      <c r="C221" s="222"/>
      <c r="D221" s="222"/>
      <c r="E221" s="222"/>
      <c r="F221" s="222"/>
      <c r="G221" s="203"/>
    </row>
    <row r="222" spans="1:7" x14ac:dyDescent="0.25">
      <c r="A222" s="203"/>
      <c r="B222" s="222"/>
      <c r="C222" s="222"/>
      <c r="D222" s="222"/>
      <c r="E222" s="222"/>
      <c r="F222" s="222"/>
      <c r="G222" s="203"/>
    </row>
    <row r="223" spans="1:7" x14ac:dyDescent="0.25">
      <c r="A223" s="203"/>
      <c r="B223" s="222"/>
      <c r="C223" s="222"/>
      <c r="D223" s="222"/>
      <c r="E223" s="222"/>
      <c r="F223" s="222"/>
      <c r="G223" s="203"/>
    </row>
    <row r="224" spans="1:7" x14ac:dyDescent="0.25">
      <c r="A224" s="203"/>
      <c r="B224" s="222"/>
      <c r="C224" s="222"/>
      <c r="D224" s="222"/>
      <c r="E224" s="222"/>
      <c r="F224" s="222"/>
      <c r="G224" s="203"/>
    </row>
    <row r="225" spans="1:7" x14ac:dyDescent="0.25">
      <c r="A225" s="203"/>
      <c r="B225" s="222"/>
      <c r="C225" s="222"/>
      <c r="D225" s="222"/>
      <c r="E225" s="222"/>
      <c r="F225" s="222"/>
      <c r="G225" s="203"/>
    </row>
    <row r="226" spans="1:7" x14ac:dyDescent="0.25">
      <c r="A226" s="203"/>
      <c r="B226" s="222"/>
      <c r="C226" s="222"/>
      <c r="D226" s="222"/>
      <c r="E226" s="222"/>
      <c r="F226" s="222"/>
      <c r="G226" s="203"/>
    </row>
    <row r="227" spans="1:7" x14ac:dyDescent="0.25">
      <c r="A227" s="203"/>
      <c r="B227" s="222"/>
      <c r="C227" s="222"/>
      <c r="D227" s="222"/>
      <c r="E227" s="222"/>
      <c r="F227" s="222"/>
      <c r="G227" s="203"/>
    </row>
    <row r="228" spans="1:7" x14ac:dyDescent="0.25">
      <c r="A228" s="203"/>
      <c r="B228" s="222"/>
      <c r="C228" s="222"/>
      <c r="D228" s="222"/>
      <c r="E228" s="222"/>
      <c r="F228" s="222"/>
      <c r="G228" s="203"/>
    </row>
    <row r="229" spans="1:7" x14ac:dyDescent="0.25">
      <c r="A229" s="203"/>
      <c r="B229" s="222"/>
      <c r="C229" s="222"/>
      <c r="D229" s="222"/>
      <c r="E229" s="222"/>
      <c r="F229" s="222"/>
      <c r="G229" s="203"/>
    </row>
    <row r="230" spans="1:7" x14ac:dyDescent="0.25">
      <c r="A230" s="203"/>
      <c r="B230" s="222"/>
      <c r="C230" s="222"/>
      <c r="D230" s="222"/>
      <c r="E230" s="222"/>
      <c r="F230" s="222"/>
      <c r="G230" s="203"/>
    </row>
    <row r="231" spans="1:7" x14ac:dyDescent="0.25">
      <c r="A231" s="203"/>
      <c r="B231" s="222"/>
      <c r="C231" s="222"/>
      <c r="D231" s="222"/>
      <c r="E231" s="222"/>
      <c r="F231" s="222"/>
      <c r="G231" s="203"/>
    </row>
    <row r="232" spans="1:7" x14ac:dyDescent="0.25">
      <c r="A232" s="203"/>
      <c r="B232" s="222"/>
      <c r="C232" s="222"/>
      <c r="D232" s="222"/>
      <c r="E232" s="222"/>
      <c r="F232" s="222"/>
      <c r="G232" s="203"/>
    </row>
    <row r="233" spans="1:7" x14ac:dyDescent="0.25">
      <c r="A233" s="203"/>
      <c r="B233" s="222"/>
      <c r="C233" s="222"/>
      <c r="D233" s="222"/>
      <c r="E233" s="222"/>
      <c r="F233" s="222"/>
      <c r="G233" s="203"/>
    </row>
    <row r="234" spans="1:7" x14ac:dyDescent="0.25">
      <c r="A234" s="203"/>
      <c r="B234" s="222"/>
      <c r="C234" s="222"/>
      <c r="D234" s="222"/>
      <c r="E234" s="222"/>
      <c r="F234" s="222"/>
      <c r="G234" s="203"/>
    </row>
    <row r="235" spans="1:7" x14ac:dyDescent="0.25">
      <c r="A235" s="203"/>
      <c r="B235" s="222"/>
      <c r="C235" s="222"/>
      <c r="D235" s="222"/>
      <c r="E235" s="222"/>
      <c r="F235" s="222"/>
      <c r="G235" s="203"/>
    </row>
    <row r="236" spans="1:7" x14ac:dyDescent="0.25">
      <c r="A236" s="203"/>
      <c r="B236" s="222"/>
      <c r="C236" s="222"/>
      <c r="D236" s="222"/>
      <c r="E236" s="222"/>
      <c r="F236" s="222"/>
      <c r="G236" s="203"/>
    </row>
    <row r="237" spans="1:7" x14ac:dyDescent="0.25">
      <c r="A237" s="203"/>
      <c r="B237" s="222"/>
      <c r="C237" s="222"/>
      <c r="D237" s="222"/>
      <c r="E237" s="222"/>
      <c r="F237" s="222"/>
      <c r="G237" s="203"/>
    </row>
    <row r="238" spans="1:7" x14ac:dyDescent="0.25">
      <c r="A238" s="203"/>
      <c r="B238" s="222"/>
      <c r="C238" s="222"/>
      <c r="D238" s="222"/>
      <c r="E238" s="222"/>
      <c r="F238" s="222"/>
      <c r="G238" s="203"/>
    </row>
    <row r="239" spans="1:7" x14ac:dyDescent="0.25">
      <c r="A239" s="203"/>
      <c r="B239" s="222"/>
      <c r="C239" s="222"/>
      <c r="D239" s="222"/>
      <c r="E239" s="222"/>
      <c r="F239" s="222"/>
      <c r="G239" s="203"/>
    </row>
    <row r="240" spans="1:7" x14ac:dyDescent="0.25">
      <c r="A240" s="203"/>
      <c r="B240" s="222"/>
      <c r="C240" s="222"/>
      <c r="D240" s="222"/>
      <c r="E240" s="222"/>
      <c r="F240" s="222"/>
      <c r="G240" s="203"/>
    </row>
    <row r="241" spans="1:7" x14ac:dyDescent="0.25">
      <c r="A241" s="203"/>
      <c r="B241" s="222"/>
      <c r="C241" s="222"/>
      <c r="D241" s="222"/>
      <c r="E241" s="222"/>
      <c r="F241" s="222"/>
      <c r="G241" s="203"/>
    </row>
    <row r="242" spans="1:7" x14ac:dyDescent="0.25">
      <c r="A242" s="203"/>
      <c r="B242" s="222"/>
      <c r="C242" s="222"/>
      <c r="D242" s="222"/>
      <c r="E242" s="222"/>
      <c r="F242" s="222"/>
      <c r="G242" s="203"/>
    </row>
    <row r="243" spans="1:7" x14ac:dyDescent="0.25">
      <c r="A243" s="203"/>
      <c r="B243" s="222"/>
      <c r="C243" s="222"/>
      <c r="D243" s="222"/>
      <c r="E243" s="222"/>
      <c r="F243" s="222"/>
      <c r="G243" s="203"/>
    </row>
    <row r="244" spans="1:7" x14ac:dyDescent="0.25">
      <c r="A244" s="203"/>
      <c r="B244" s="222"/>
      <c r="C244" s="222"/>
      <c r="D244" s="222"/>
      <c r="E244" s="222"/>
      <c r="F244" s="222"/>
      <c r="G244" s="203"/>
    </row>
    <row r="245" spans="1:7" x14ac:dyDescent="0.25">
      <c r="A245" s="203"/>
      <c r="B245" s="222"/>
      <c r="C245" s="222"/>
      <c r="D245" s="222"/>
      <c r="E245" s="222"/>
      <c r="F245" s="222"/>
      <c r="G245" s="203"/>
    </row>
    <row r="246" spans="1:7" x14ac:dyDescent="0.25">
      <c r="A246" s="203"/>
      <c r="B246" s="222"/>
      <c r="C246" s="222"/>
      <c r="D246" s="222"/>
      <c r="E246" s="222"/>
      <c r="F246" s="222"/>
      <c r="G246" s="203"/>
    </row>
    <row r="247" spans="1:7" x14ac:dyDescent="0.25">
      <c r="A247" s="203"/>
      <c r="B247" s="222"/>
      <c r="C247" s="222"/>
      <c r="D247" s="222"/>
      <c r="E247" s="222"/>
      <c r="F247" s="222"/>
      <c r="G247" s="203"/>
    </row>
    <row r="248" spans="1:7" x14ac:dyDescent="0.25">
      <c r="A248" s="203"/>
      <c r="B248" s="222"/>
      <c r="C248" s="222"/>
      <c r="D248" s="222"/>
      <c r="E248" s="222"/>
      <c r="F248" s="222"/>
      <c r="G248" s="203"/>
    </row>
    <row r="249" spans="1:7" x14ac:dyDescent="0.25">
      <c r="A249" s="203"/>
      <c r="B249" s="222"/>
      <c r="C249" s="222"/>
      <c r="D249" s="222"/>
      <c r="E249" s="222"/>
      <c r="F249" s="222"/>
      <c r="G249" s="203"/>
    </row>
    <row r="250" spans="1:7" x14ac:dyDescent="0.25">
      <c r="A250" s="203"/>
      <c r="B250" s="222"/>
      <c r="C250" s="222"/>
      <c r="D250" s="222"/>
      <c r="E250" s="222"/>
      <c r="F250" s="222"/>
      <c r="G250" s="203"/>
    </row>
    <row r="251" spans="1:7" x14ac:dyDescent="0.25">
      <c r="A251" s="203"/>
      <c r="B251" s="222"/>
      <c r="C251" s="222"/>
      <c r="D251" s="222"/>
      <c r="E251" s="222"/>
      <c r="F251" s="222"/>
      <c r="G251" s="203"/>
    </row>
    <row r="252" spans="1:7" x14ac:dyDescent="0.25">
      <c r="A252" s="203"/>
      <c r="B252" s="222"/>
      <c r="C252" s="222"/>
      <c r="D252" s="222"/>
      <c r="E252" s="222"/>
      <c r="F252" s="222"/>
      <c r="G252" s="203"/>
    </row>
    <row r="253" spans="1:7" x14ac:dyDescent="0.25">
      <c r="A253" s="203"/>
      <c r="B253" s="222"/>
      <c r="C253" s="222"/>
      <c r="D253" s="222"/>
      <c r="E253" s="222"/>
      <c r="F253" s="222"/>
      <c r="G253" s="203"/>
    </row>
    <row r="254" spans="1:7" x14ac:dyDescent="0.25">
      <c r="A254" s="203"/>
      <c r="B254" s="222"/>
      <c r="C254" s="222"/>
      <c r="D254" s="222"/>
      <c r="E254" s="222"/>
      <c r="F254" s="222"/>
      <c r="G254" s="203"/>
    </row>
    <row r="255" spans="1:7" x14ac:dyDescent="0.25">
      <c r="A255" s="203"/>
      <c r="B255" s="222"/>
      <c r="C255" s="222"/>
      <c r="D255" s="222"/>
      <c r="E255" s="222"/>
      <c r="F255" s="222"/>
      <c r="G255" s="203"/>
    </row>
    <row r="256" spans="1:7" x14ac:dyDescent="0.25">
      <c r="A256" s="203"/>
      <c r="B256" s="222"/>
      <c r="C256" s="222"/>
      <c r="D256" s="222"/>
      <c r="E256" s="222"/>
      <c r="F256" s="222"/>
      <c r="G256" s="203"/>
    </row>
    <row r="257" spans="1:7" x14ac:dyDescent="0.25">
      <c r="A257" s="203"/>
      <c r="B257" s="222"/>
      <c r="C257" s="222"/>
      <c r="D257" s="222"/>
      <c r="E257" s="222"/>
      <c r="F257" s="222"/>
      <c r="G257" s="203"/>
    </row>
    <row r="258" spans="1:7" x14ac:dyDescent="0.25">
      <c r="A258" s="203"/>
      <c r="B258" s="222"/>
      <c r="C258" s="222"/>
      <c r="D258" s="222"/>
      <c r="E258" s="222"/>
      <c r="F258" s="222"/>
      <c r="G258" s="203"/>
    </row>
    <row r="259" spans="1:7" x14ac:dyDescent="0.25">
      <c r="A259" s="203"/>
      <c r="B259" s="222"/>
      <c r="C259" s="222"/>
      <c r="D259" s="222"/>
      <c r="E259" s="222"/>
      <c r="F259" s="222"/>
      <c r="G259" s="203"/>
    </row>
    <row r="260" spans="1:7" x14ac:dyDescent="0.25">
      <c r="A260" s="203"/>
      <c r="B260" s="222"/>
      <c r="C260" s="222"/>
      <c r="D260" s="222"/>
      <c r="E260" s="222"/>
      <c r="F260" s="222"/>
      <c r="G260" s="203"/>
    </row>
    <row r="261" spans="1:7" x14ac:dyDescent="0.25">
      <c r="A261" s="203"/>
      <c r="B261" s="222"/>
      <c r="C261" s="222"/>
      <c r="D261" s="222"/>
      <c r="E261" s="222"/>
      <c r="F261" s="222"/>
      <c r="G261" s="203"/>
    </row>
    <row r="262" spans="1:7" x14ac:dyDescent="0.25">
      <c r="A262" s="203"/>
      <c r="B262" s="222"/>
      <c r="C262" s="222"/>
      <c r="D262" s="222"/>
      <c r="E262" s="222"/>
      <c r="F262" s="222"/>
      <c r="G262" s="203"/>
    </row>
    <row r="263" spans="1:7" x14ac:dyDescent="0.25">
      <c r="A263" s="203"/>
      <c r="B263" s="222"/>
      <c r="C263" s="222"/>
      <c r="D263" s="222"/>
      <c r="E263" s="222"/>
      <c r="F263" s="222"/>
      <c r="G263" s="203"/>
    </row>
    <row r="264" spans="1:7" x14ac:dyDescent="0.25">
      <c r="A264" s="203"/>
      <c r="B264" s="222"/>
      <c r="C264" s="222"/>
      <c r="D264" s="222"/>
      <c r="E264" s="222"/>
      <c r="F264" s="222"/>
      <c r="G264" s="203"/>
    </row>
    <row r="265" spans="1:7" x14ac:dyDescent="0.25">
      <c r="A265" s="203"/>
      <c r="B265" s="222"/>
      <c r="C265" s="222"/>
      <c r="D265" s="222"/>
      <c r="E265" s="222"/>
      <c r="F265" s="222"/>
      <c r="G265" s="203"/>
    </row>
    <row r="266" spans="1:7" x14ac:dyDescent="0.25">
      <c r="A266" s="203"/>
      <c r="B266" s="222"/>
      <c r="C266" s="222"/>
      <c r="D266" s="222"/>
      <c r="E266" s="222"/>
      <c r="F266" s="222"/>
      <c r="G266" s="203"/>
    </row>
    <row r="267" spans="1:7" x14ac:dyDescent="0.25">
      <c r="A267" s="203"/>
      <c r="B267" s="222"/>
      <c r="C267" s="222"/>
      <c r="D267" s="222"/>
      <c r="E267" s="222"/>
      <c r="F267" s="222"/>
      <c r="G267" s="203"/>
    </row>
    <row r="268" spans="1:7" x14ac:dyDescent="0.25">
      <c r="A268" s="203"/>
      <c r="B268" s="222"/>
      <c r="C268" s="222"/>
      <c r="D268" s="222"/>
      <c r="E268" s="222"/>
      <c r="F268" s="222"/>
      <c r="G268" s="203"/>
    </row>
    <row r="269" spans="1:7" x14ac:dyDescent="0.25">
      <c r="A269" s="203"/>
      <c r="B269" s="222"/>
      <c r="C269" s="222"/>
      <c r="D269" s="222"/>
      <c r="E269" s="222"/>
      <c r="F269" s="222"/>
      <c r="G269" s="203"/>
    </row>
    <row r="270" spans="1:7" x14ac:dyDescent="0.25">
      <c r="A270" s="203"/>
      <c r="B270" s="222"/>
      <c r="C270" s="222"/>
      <c r="D270" s="222"/>
      <c r="E270" s="222"/>
      <c r="F270" s="222"/>
      <c r="G270" s="203"/>
    </row>
    <row r="271" spans="1:7" x14ac:dyDescent="0.25">
      <c r="A271" s="203"/>
      <c r="B271" s="222"/>
      <c r="C271" s="222"/>
      <c r="D271" s="222"/>
      <c r="E271" s="222"/>
      <c r="F271" s="222"/>
      <c r="G271" s="203"/>
    </row>
    <row r="272" spans="1:7" x14ac:dyDescent="0.25">
      <c r="A272" s="203"/>
      <c r="B272" s="222"/>
      <c r="C272" s="222"/>
      <c r="D272" s="222"/>
      <c r="E272" s="222"/>
      <c r="F272" s="222"/>
      <c r="G272" s="203"/>
    </row>
    <row r="273" spans="1:7" x14ac:dyDescent="0.25">
      <c r="A273" s="203"/>
      <c r="B273" s="222"/>
      <c r="C273" s="222"/>
      <c r="D273" s="222"/>
      <c r="E273" s="222"/>
      <c r="F273" s="222"/>
      <c r="G273" s="203"/>
    </row>
    <row r="274" spans="1:7" x14ac:dyDescent="0.25">
      <c r="A274" s="203"/>
      <c r="B274" s="222"/>
      <c r="C274" s="222"/>
      <c r="D274" s="222"/>
      <c r="E274" s="222"/>
      <c r="F274" s="222"/>
      <c r="G274" s="203"/>
    </row>
    <row r="275" spans="1:7" x14ac:dyDescent="0.25">
      <c r="A275" s="203"/>
      <c r="B275" s="222"/>
      <c r="C275" s="222"/>
      <c r="D275" s="222"/>
      <c r="E275" s="222"/>
      <c r="F275" s="222"/>
      <c r="G275" s="203"/>
    </row>
    <row r="276" spans="1:7" x14ac:dyDescent="0.25">
      <c r="A276" s="203"/>
      <c r="B276" s="222"/>
      <c r="C276" s="222"/>
      <c r="D276" s="222"/>
      <c r="E276" s="222"/>
      <c r="F276" s="222"/>
      <c r="G276" s="203"/>
    </row>
    <row r="277" spans="1:7" x14ac:dyDescent="0.25">
      <c r="A277" s="203"/>
      <c r="B277" s="222"/>
      <c r="C277" s="222"/>
      <c r="D277" s="222"/>
      <c r="E277" s="222"/>
      <c r="F277" s="222"/>
      <c r="G277" s="203"/>
    </row>
    <row r="278" spans="1:7" x14ac:dyDescent="0.25">
      <c r="A278" s="203"/>
      <c r="B278" s="222"/>
      <c r="C278" s="222"/>
      <c r="D278" s="222"/>
      <c r="E278" s="222"/>
      <c r="F278" s="222"/>
      <c r="G278" s="203"/>
    </row>
    <row r="279" spans="1:7" x14ac:dyDescent="0.25">
      <c r="A279" s="203"/>
      <c r="B279" s="222"/>
      <c r="C279" s="222"/>
      <c r="D279" s="222"/>
      <c r="E279" s="222"/>
      <c r="F279" s="222"/>
      <c r="G279" s="203"/>
    </row>
    <row r="280" spans="1:7" x14ac:dyDescent="0.25">
      <c r="A280" s="203"/>
      <c r="B280" s="222"/>
      <c r="C280" s="222"/>
      <c r="D280" s="222"/>
      <c r="E280" s="222"/>
      <c r="F280" s="222"/>
      <c r="G280" s="203"/>
    </row>
    <row r="281" spans="1:7" x14ac:dyDescent="0.25">
      <c r="A281" s="203"/>
      <c r="B281" s="222"/>
      <c r="C281" s="222"/>
      <c r="D281" s="222"/>
      <c r="E281" s="222"/>
      <c r="F281" s="222"/>
      <c r="G281" s="203"/>
    </row>
    <row r="282" spans="1:7" x14ac:dyDescent="0.25">
      <c r="A282" s="203"/>
      <c r="B282" s="222"/>
      <c r="C282" s="222"/>
      <c r="D282" s="222"/>
      <c r="E282" s="222"/>
      <c r="F282" s="222"/>
      <c r="G282" s="203"/>
    </row>
    <row r="283" spans="1:7" x14ac:dyDescent="0.25">
      <c r="A283" s="203"/>
      <c r="B283" s="222"/>
      <c r="C283" s="222"/>
      <c r="D283" s="222"/>
      <c r="E283" s="222"/>
      <c r="F283" s="222"/>
      <c r="G283" s="203"/>
    </row>
    <row r="284" spans="1:7" x14ac:dyDescent="0.25">
      <c r="A284" s="203"/>
      <c r="B284" s="222"/>
      <c r="C284" s="222"/>
      <c r="D284" s="222"/>
      <c r="E284" s="222"/>
      <c r="F284" s="222"/>
      <c r="G284" s="203"/>
    </row>
    <row r="285" spans="1:7" x14ac:dyDescent="0.25">
      <c r="A285" s="203"/>
      <c r="B285" s="222"/>
      <c r="C285" s="222"/>
      <c r="D285" s="222"/>
      <c r="E285" s="222"/>
      <c r="F285" s="222"/>
      <c r="G285" s="203"/>
    </row>
    <row r="286" spans="1:7" x14ac:dyDescent="0.25">
      <c r="A286" s="203"/>
      <c r="B286" s="222"/>
      <c r="C286" s="222"/>
      <c r="D286" s="222"/>
      <c r="E286" s="222"/>
      <c r="F286" s="222"/>
      <c r="G286" s="203"/>
    </row>
    <row r="287" spans="1:7" x14ac:dyDescent="0.25">
      <c r="A287" s="203"/>
      <c r="B287" s="222"/>
      <c r="C287" s="222"/>
      <c r="D287" s="222"/>
      <c r="E287" s="222"/>
      <c r="F287" s="222"/>
      <c r="G287" s="203"/>
    </row>
    <row r="288" spans="1:7" x14ac:dyDescent="0.25">
      <c r="A288" s="203"/>
      <c r="B288" s="222"/>
      <c r="C288" s="222"/>
      <c r="D288" s="222"/>
      <c r="E288" s="222"/>
      <c r="F288" s="222"/>
      <c r="G288" s="203"/>
    </row>
    <row r="289" spans="1:7" x14ac:dyDescent="0.25">
      <c r="A289" s="203"/>
      <c r="B289" s="222"/>
      <c r="C289" s="222"/>
      <c r="D289" s="222"/>
      <c r="E289" s="222"/>
      <c r="F289" s="222"/>
      <c r="G289" s="203"/>
    </row>
    <row r="290" spans="1:7" x14ac:dyDescent="0.25">
      <c r="A290" s="203"/>
      <c r="B290" s="222"/>
      <c r="C290" s="222"/>
      <c r="D290" s="222"/>
      <c r="E290" s="222"/>
      <c r="F290" s="222"/>
      <c r="G290" s="203"/>
    </row>
    <row r="291" spans="1:7" x14ac:dyDescent="0.25">
      <c r="A291" s="203"/>
      <c r="B291" s="222"/>
      <c r="C291" s="222"/>
      <c r="D291" s="222"/>
      <c r="E291" s="222"/>
      <c r="F291" s="222"/>
      <c r="G291" s="203"/>
    </row>
    <row r="292" spans="1:7" x14ac:dyDescent="0.25">
      <c r="A292" s="203"/>
      <c r="B292" s="222"/>
      <c r="C292" s="222"/>
      <c r="D292" s="222"/>
      <c r="E292" s="222"/>
      <c r="F292" s="222"/>
      <c r="G292" s="203"/>
    </row>
    <row r="293" spans="1:7" x14ac:dyDescent="0.25">
      <c r="A293" s="203"/>
      <c r="B293" s="222"/>
      <c r="C293" s="222"/>
      <c r="D293" s="222"/>
      <c r="E293" s="222"/>
      <c r="F293" s="222"/>
      <c r="G293" s="203"/>
    </row>
    <row r="294" spans="1:7" x14ac:dyDescent="0.25">
      <c r="A294" s="203"/>
      <c r="B294" s="222"/>
      <c r="C294" s="222"/>
      <c r="D294" s="222"/>
      <c r="E294" s="222"/>
      <c r="F294" s="222"/>
      <c r="G294" s="203"/>
    </row>
    <row r="295" spans="1:7" x14ac:dyDescent="0.25">
      <c r="A295" s="203"/>
      <c r="B295" s="222"/>
      <c r="C295" s="222"/>
      <c r="D295" s="222"/>
      <c r="E295" s="222"/>
      <c r="F295" s="222"/>
      <c r="G295" s="203"/>
    </row>
    <row r="296" spans="1:7" x14ac:dyDescent="0.25">
      <c r="A296" s="203"/>
      <c r="B296" s="222"/>
      <c r="C296" s="222"/>
      <c r="D296" s="222"/>
      <c r="E296" s="222"/>
      <c r="F296" s="222"/>
      <c r="G296" s="203"/>
    </row>
    <row r="297" spans="1:7" x14ac:dyDescent="0.25">
      <c r="A297" s="203"/>
      <c r="B297" s="222"/>
      <c r="C297" s="222"/>
      <c r="D297" s="222"/>
      <c r="E297" s="222"/>
      <c r="F297" s="222"/>
      <c r="G297" s="203"/>
    </row>
    <row r="298" spans="1:7" x14ac:dyDescent="0.25">
      <c r="A298" s="203"/>
      <c r="B298" s="222"/>
      <c r="C298" s="222"/>
      <c r="D298" s="222"/>
      <c r="E298" s="222"/>
      <c r="F298" s="222"/>
      <c r="G298" s="203"/>
    </row>
    <row r="299" spans="1:7" x14ac:dyDescent="0.25">
      <c r="A299" s="203"/>
      <c r="B299" s="222"/>
      <c r="C299" s="222"/>
      <c r="D299" s="222"/>
      <c r="E299" s="222"/>
      <c r="F299" s="222"/>
      <c r="G299" s="203"/>
    </row>
    <row r="300" spans="1:7" x14ac:dyDescent="0.25">
      <c r="A300" s="203"/>
      <c r="B300" s="222"/>
      <c r="C300" s="222"/>
      <c r="D300" s="222"/>
      <c r="E300" s="222"/>
      <c r="F300" s="222"/>
      <c r="G300" s="203"/>
    </row>
    <row r="301" spans="1:7" x14ac:dyDescent="0.25">
      <c r="A301" s="203"/>
      <c r="B301" s="222"/>
      <c r="C301" s="222"/>
      <c r="D301" s="222"/>
      <c r="E301" s="222"/>
      <c r="F301" s="222"/>
      <c r="G301" s="203"/>
    </row>
    <row r="302" spans="1:7" x14ac:dyDescent="0.25">
      <c r="A302" s="203"/>
      <c r="B302" s="222"/>
      <c r="C302" s="222"/>
      <c r="D302" s="222"/>
      <c r="E302" s="222"/>
      <c r="F302" s="222"/>
      <c r="G302" s="203"/>
    </row>
    <row r="303" spans="1:7" x14ac:dyDescent="0.25">
      <c r="A303" s="203"/>
      <c r="B303" s="222"/>
      <c r="C303" s="222"/>
      <c r="D303" s="222"/>
      <c r="E303" s="222"/>
      <c r="F303" s="222"/>
      <c r="G303" s="203"/>
    </row>
    <row r="304" spans="1:7" x14ac:dyDescent="0.25">
      <c r="A304" s="203"/>
      <c r="B304" s="222"/>
      <c r="C304" s="222"/>
      <c r="D304" s="222"/>
      <c r="E304" s="222"/>
      <c r="F304" s="222"/>
      <c r="G304" s="203"/>
    </row>
    <row r="305" spans="1:7" x14ac:dyDescent="0.25">
      <c r="A305" s="203"/>
      <c r="B305" s="222"/>
      <c r="C305" s="222"/>
      <c r="D305" s="222"/>
      <c r="E305" s="222"/>
      <c r="F305" s="222"/>
      <c r="G305" s="203"/>
    </row>
    <row r="306" spans="1:7" x14ac:dyDescent="0.25">
      <c r="A306" s="203"/>
      <c r="B306" s="222"/>
      <c r="C306" s="222"/>
      <c r="D306" s="222"/>
      <c r="E306" s="222"/>
      <c r="F306" s="222"/>
      <c r="G306" s="203"/>
    </row>
    <row r="307" spans="1:7" x14ac:dyDescent="0.25">
      <c r="A307" s="203"/>
      <c r="B307" s="222"/>
      <c r="C307" s="222"/>
      <c r="D307" s="222"/>
      <c r="E307" s="222"/>
      <c r="F307" s="222"/>
      <c r="G307" s="203"/>
    </row>
    <row r="308" spans="1:7" x14ac:dyDescent="0.25">
      <c r="A308" s="203"/>
      <c r="B308" s="222"/>
      <c r="C308" s="222"/>
      <c r="D308" s="222"/>
      <c r="E308" s="222"/>
      <c r="F308" s="222"/>
      <c r="G308" s="203"/>
    </row>
    <row r="309" spans="1:7" x14ac:dyDescent="0.25">
      <c r="A309" s="203"/>
      <c r="B309" s="222"/>
      <c r="C309" s="222"/>
      <c r="D309" s="222"/>
      <c r="E309" s="222"/>
      <c r="F309" s="222"/>
      <c r="G309" s="203"/>
    </row>
    <row r="310" spans="1:7" x14ac:dyDescent="0.25">
      <c r="A310" s="203"/>
      <c r="B310" s="222"/>
      <c r="C310" s="222"/>
      <c r="D310" s="222"/>
      <c r="E310" s="222"/>
      <c r="F310" s="222"/>
      <c r="G310" s="203"/>
    </row>
    <row r="311" spans="1:7" x14ac:dyDescent="0.25">
      <c r="A311" s="203"/>
      <c r="B311" s="222"/>
      <c r="C311" s="222"/>
      <c r="D311" s="222"/>
      <c r="E311" s="222"/>
      <c r="F311" s="222"/>
      <c r="G311" s="203"/>
    </row>
    <row r="312" spans="1:7" x14ac:dyDescent="0.25">
      <c r="A312" s="203"/>
      <c r="B312" s="222"/>
      <c r="C312" s="222"/>
      <c r="D312" s="222"/>
      <c r="E312" s="222"/>
      <c r="F312" s="222"/>
      <c r="G312" s="203"/>
    </row>
    <row r="313" spans="1:7" x14ac:dyDescent="0.25">
      <c r="A313" s="203"/>
      <c r="B313" s="222"/>
      <c r="C313" s="222"/>
      <c r="D313" s="222"/>
      <c r="E313" s="222"/>
      <c r="F313" s="222"/>
      <c r="G313" s="203"/>
    </row>
    <row r="314" spans="1:7" x14ac:dyDescent="0.25">
      <c r="A314" s="203"/>
      <c r="B314" s="222"/>
      <c r="C314" s="222"/>
      <c r="D314" s="222"/>
      <c r="E314" s="222"/>
      <c r="F314" s="222"/>
      <c r="G314" s="203"/>
    </row>
    <row r="315" spans="1:7" x14ac:dyDescent="0.25">
      <c r="A315" s="203"/>
      <c r="B315" s="222"/>
      <c r="C315" s="222"/>
      <c r="D315" s="222"/>
      <c r="E315" s="222"/>
      <c r="F315" s="222"/>
      <c r="G315" s="203"/>
    </row>
    <row r="316" spans="1:7" x14ac:dyDescent="0.25">
      <c r="A316" s="203"/>
      <c r="B316" s="222"/>
      <c r="C316" s="222"/>
      <c r="D316" s="222"/>
      <c r="E316" s="222"/>
      <c r="F316" s="222"/>
      <c r="G316" s="203"/>
    </row>
    <row r="317" spans="1:7" x14ac:dyDescent="0.25">
      <c r="A317" s="203"/>
      <c r="B317" s="222"/>
      <c r="C317" s="222"/>
      <c r="D317" s="222"/>
      <c r="E317" s="222"/>
      <c r="F317" s="222"/>
      <c r="G317" s="203"/>
    </row>
    <row r="318" spans="1:7" x14ac:dyDescent="0.25">
      <c r="A318" s="203"/>
      <c r="B318" s="222"/>
      <c r="C318" s="222"/>
      <c r="D318" s="222"/>
      <c r="E318" s="222"/>
      <c r="F318" s="222"/>
      <c r="G318" s="203"/>
    </row>
    <row r="319" spans="1:7" x14ac:dyDescent="0.25">
      <c r="A319" s="203"/>
      <c r="B319" s="222"/>
      <c r="C319" s="222"/>
      <c r="D319" s="222"/>
      <c r="E319" s="222"/>
      <c r="F319" s="222"/>
      <c r="G319" s="203"/>
    </row>
    <row r="320" spans="1:7" x14ac:dyDescent="0.25">
      <c r="A320" s="203"/>
      <c r="B320" s="222"/>
      <c r="C320" s="222"/>
      <c r="D320" s="222"/>
      <c r="E320" s="222"/>
      <c r="F320" s="222"/>
      <c r="G320" s="203"/>
    </row>
    <row r="321" spans="1:7" x14ac:dyDescent="0.25">
      <c r="A321" s="203"/>
      <c r="B321" s="222"/>
      <c r="C321" s="222"/>
      <c r="D321" s="222"/>
      <c r="E321" s="222"/>
      <c r="F321" s="222"/>
      <c r="G321" s="203"/>
    </row>
    <row r="322" spans="1:7" x14ac:dyDescent="0.25">
      <c r="A322" s="203"/>
      <c r="B322" s="222"/>
      <c r="C322" s="222"/>
      <c r="D322" s="222"/>
      <c r="E322" s="222"/>
      <c r="F322" s="222"/>
      <c r="G322" s="203"/>
    </row>
    <row r="323" spans="1:7" x14ac:dyDescent="0.25">
      <c r="A323" s="203"/>
      <c r="B323" s="222"/>
      <c r="C323" s="222"/>
      <c r="D323" s="222"/>
      <c r="E323" s="222"/>
      <c r="F323" s="222"/>
      <c r="G323" s="203"/>
    </row>
    <row r="324" spans="1:7" x14ac:dyDescent="0.25">
      <c r="A324" s="203"/>
      <c r="B324" s="222"/>
      <c r="C324" s="222"/>
      <c r="D324" s="222"/>
      <c r="E324" s="222"/>
      <c r="F324" s="222"/>
      <c r="G324" s="203"/>
    </row>
    <row r="325" spans="1:7" x14ac:dyDescent="0.25">
      <c r="A325" s="203"/>
      <c r="B325" s="222"/>
      <c r="C325" s="222"/>
      <c r="D325" s="222"/>
      <c r="E325" s="222"/>
      <c r="F325" s="222"/>
      <c r="G325" s="203"/>
    </row>
    <row r="326" spans="1:7" x14ac:dyDescent="0.25">
      <c r="A326" s="203"/>
      <c r="B326" s="222"/>
      <c r="C326" s="222"/>
      <c r="D326" s="222"/>
      <c r="E326" s="222"/>
      <c r="F326" s="222"/>
      <c r="G326" s="203"/>
    </row>
    <row r="327" spans="1:7" x14ac:dyDescent="0.25">
      <c r="A327" s="203"/>
      <c r="B327" s="222"/>
      <c r="C327" s="222"/>
      <c r="D327" s="222"/>
      <c r="E327" s="222"/>
      <c r="F327" s="222"/>
      <c r="G327" s="203"/>
    </row>
    <row r="328" spans="1:7" x14ac:dyDescent="0.25">
      <c r="A328" s="203"/>
      <c r="B328" s="222"/>
      <c r="C328" s="222"/>
      <c r="D328" s="222"/>
      <c r="E328" s="222"/>
      <c r="F328" s="222"/>
      <c r="G328" s="203"/>
    </row>
    <row r="329" spans="1:7" x14ac:dyDescent="0.25">
      <c r="A329" s="203"/>
      <c r="B329" s="222"/>
      <c r="C329" s="222"/>
      <c r="D329" s="222"/>
      <c r="E329" s="222"/>
      <c r="F329" s="222"/>
      <c r="G329" s="203"/>
    </row>
    <row r="330" spans="1:7" x14ac:dyDescent="0.25">
      <c r="A330" s="203"/>
      <c r="B330" s="222"/>
      <c r="C330" s="222"/>
      <c r="D330" s="222"/>
      <c r="E330" s="222"/>
      <c r="F330" s="222"/>
      <c r="G330" s="203"/>
    </row>
    <row r="331" spans="1:7" x14ac:dyDescent="0.25">
      <c r="A331" s="203"/>
      <c r="B331" s="222"/>
      <c r="C331" s="222"/>
      <c r="D331" s="222"/>
      <c r="E331" s="222"/>
      <c r="F331" s="222"/>
      <c r="G331" s="203"/>
    </row>
    <row r="332" spans="1:7" x14ac:dyDescent="0.25">
      <c r="A332" s="203"/>
      <c r="B332" s="222"/>
      <c r="C332" s="222"/>
      <c r="D332" s="222"/>
      <c r="E332" s="222"/>
      <c r="F332" s="222"/>
      <c r="G332" s="203"/>
    </row>
    <row r="333" spans="1:7" x14ac:dyDescent="0.25">
      <c r="A333" s="203"/>
      <c r="B333" s="222"/>
      <c r="C333" s="222"/>
      <c r="D333" s="222"/>
      <c r="E333" s="222"/>
      <c r="F333" s="222"/>
      <c r="G333" s="203"/>
    </row>
    <row r="334" spans="1:7" x14ac:dyDescent="0.25">
      <c r="A334" s="203"/>
      <c r="B334" s="222"/>
      <c r="C334" s="222"/>
      <c r="D334" s="222"/>
      <c r="E334" s="222"/>
      <c r="F334" s="222"/>
      <c r="G334" s="203"/>
    </row>
    <row r="335" spans="1:7" x14ac:dyDescent="0.25">
      <c r="A335" s="203"/>
      <c r="B335" s="222"/>
      <c r="C335" s="222"/>
      <c r="D335" s="222"/>
      <c r="E335" s="222"/>
      <c r="F335" s="222"/>
      <c r="G335" s="203"/>
    </row>
    <row r="336" spans="1:7" x14ac:dyDescent="0.25">
      <c r="A336" s="203"/>
      <c r="B336" s="222"/>
      <c r="C336" s="222"/>
      <c r="D336" s="222"/>
      <c r="E336" s="222"/>
      <c r="F336" s="222"/>
      <c r="G336" s="203"/>
    </row>
    <row r="337" spans="1:7" x14ac:dyDescent="0.25">
      <c r="A337" s="203"/>
      <c r="B337" s="222"/>
      <c r="C337" s="222"/>
      <c r="D337" s="222"/>
      <c r="E337" s="222"/>
      <c r="F337" s="222"/>
      <c r="G337" s="203"/>
    </row>
    <row r="338" spans="1:7" x14ac:dyDescent="0.25">
      <c r="A338" s="203"/>
      <c r="B338" s="222"/>
      <c r="C338" s="222"/>
      <c r="D338" s="222"/>
      <c r="E338" s="222"/>
      <c r="F338" s="222"/>
      <c r="G338" s="203"/>
    </row>
    <row r="339" spans="1:7" x14ac:dyDescent="0.25">
      <c r="A339" s="203"/>
      <c r="B339" s="222"/>
      <c r="C339" s="222"/>
      <c r="D339" s="222"/>
      <c r="E339" s="222"/>
      <c r="F339" s="222"/>
      <c r="G339" s="203"/>
    </row>
    <row r="340" spans="1:7" x14ac:dyDescent="0.25">
      <c r="A340" s="203"/>
      <c r="B340" s="222"/>
      <c r="C340" s="222"/>
      <c r="D340" s="222"/>
      <c r="E340" s="222"/>
      <c r="F340" s="222"/>
      <c r="G340" s="203"/>
    </row>
    <row r="341" spans="1:7" x14ac:dyDescent="0.25">
      <c r="A341" s="203"/>
      <c r="B341" s="222"/>
      <c r="C341" s="222"/>
      <c r="D341" s="222"/>
      <c r="E341" s="222"/>
      <c r="F341" s="222"/>
      <c r="G341" s="203"/>
    </row>
    <row r="342" spans="1:7" x14ac:dyDescent="0.25">
      <c r="A342" s="203"/>
      <c r="B342" s="222"/>
      <c r="C342" s="222"/>
      <c r="D342" s="222"/>
      <c r="E342" s="222"/>
      <c r="F342" s="222"/>
      <c r="G342" s="203"/>
    </row>
    <row r="343" spans="1:7" x14ac:dyDescent="0.25">
      <c r="A343" s="203"/>
      <c r="B343" s="222"/>
      <c r="C343" s="222"/>
      <c r="D343" s="222"/>
      <c r="E343" s="222"/>
      <c r="F343" s="222"/>
      <c r="G343" s="203"/>
    </row>
    <row r="344" spans="1:7" x14ac:dyDescent="0.25">
      <c r="A344" s="203"/>
      <c r="B344" s="222"/>
      <c r="C344" s="222"/>
      <c r="D344" s="222"/>
      <c r="E344" s="222"/>
      <c r="F344" s="222"/>
      <c r="G344" s="203"/>
    </row>
    <row r="345" spans="1:7" x14ac:dyDescent="0.25">
      <c r="A345" s="203"/>
      <c r="B345" s="222"/>
      <c r="C345" s="222"/>
      <c r="D345" s="222"/>
      <c r="E345" s="222"/>
      <c r="F345" s="222"/>
      <c r="G345" s="203"/>
    </row>
    <row r="346" spans="1:7" x14ac:dyDescent="0.25">
      <c r="A346" s="203"/>
      <c r="B346" s="222"/>
      <c r="C346" s="222"/>
      <c r="D346" s="222"/>
      <c r="E346" s="222"/>
      <c r="F346" s="222"/>
      <c r="G346" s="203"/>
    </row>
    <row r="347" spans="1:7" x14ac:dyDescent="0.25">
      <c r="A347" s="203"/>
      <c r="B347" s="222"/>
      <c r="C347" s="222"/>
      <c r="D347" s="222"/>
      <c r="E347" s="222"/>
      <c r="F347" s="222"/>
      <c r="G347" s="203"/>
    </row>
    <row r="348" spans="1:7" x14ac:dyDescent="0.25">
      <c r="A348" s="203"/>
      <c r="B348" s="222"/>
      <c r="C348" s="222"/>
      <c r="D348" s="222"/>
      <c r="E348" s="222"/>
      <c r="F348" s="222"/>
      <c r="G348" s="203"/>
    </row>
    <row r="349" spans="1:7" x14ac:dyDescent="0.25">
      <c r="A349" s="203"/>
      <c r="B349" s="222"/>
      <c r="C349" s="222"/>
      <c r="D349" s="222"/>
      <c r="E349" s="222"/>
      <c r="F349" s="222"/>
      <c r="G349" s="203"/>
    </row>
    <row r="350" spans="1:7" x14ac:dyDescent="0.25">
      <c r="A350" s="203"/>
      <c r="B350" s="222"/>
      <c r="C350" s="222"/>
      <c r="D350" s="222"/>
      <c r="E350" s="222"/>
      <c r="F350" s="222"/>
      <c r="G350" s="203"/>
    </row>
    <row r="351" spans="1:7" x14ac:dyDescent="0.25">
      <c r="A351" s="203"/>
      <c r="B351" s="222"/>
      <c r="C351" s="222"/>
      <c r="D351" s="222"/>
      <c r="E351" s="222"/>
      <c r="F351" s="222"/>
      <c r="G351" s="203"/>
    </row>
    <row r="352" spans="1:7" x14ac:dyDescent="0.25">
      <c r="A352" s="203"/>
      <c r="B352" s="222"/>
      <c r="D352" s="222"/>
      <c r="E352" s="222"/>
      <c r="F352" s="222"/>
      <c r="G352" s="203"/>
    </row>
  </sheetData>
  <mergeCells count="2">
    <mergeCell ref="E5:F5"/>
    <mergeCell ref="B5:C5"/>
  </mergeCells>
  <conditionalFormatting sqref="J21">
    <cfRule type="expression" dxfId="1" priority="2">
      <formula>$O$8="Annual Inputs"</formula>
    </cfRule>
  </conditionalFormatting>
  <conditionalFormatting sqref="J22:J107">
    <cfRule type="expression" dxfId="0" priority="1">
      <formula>$O$8="Annual Inputs"</formula>
    </cfRule>
  </conditionalFormatting>
  <dataValidations count="2">
    <dataValidation allowBlank="1" showInputMessage="1" showErrorMessage="1" sqref="G22 G33 E33 E22 C21 C32"/>
    <dataValidation type="list" allowBlank="1" showInputMessage="1" showErrorMessage="1" sqref="D118:E122 C112:C115 B113:B116 D113:E116 C107:C110 B108:B111 D108:E111 C93:C94 B94:B95 C90:C91 B91:B92 C102:C105 B103:B106 D103:E106 C117:C121">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75"/>
  <sheetViews>
    <sheetView zoomScale="90" zoomScaleNormal="90" workbookViewId="0">
      <pane xSplit="1" ySplit="2" topLeftCell="B3" activePane="bottomRight" state="frozen"/>
      <selection pane="topRight" activeCell="B1" sqref="B1"/>
      <selection pane="bottomLeft" activeCell="A3" sqref="A3"/>
      <selection pane="bottomRight"/>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7" t="s">
        <v>3</v>
      </c>
    </row>
    <row r="2" spans="1:42" x14ac:dyDescent="0.2">
      <c r="A2" s="7" t="s">
        <v>4</v>
      </c>
      <c r="B2" s="28">
        <v>0</v>
      </c>
      <c r="C2" s="28">
        <f t="shared" ref="C2:AP2" si="0">IF(B2="","",IF(B2+1&lt;=analysis_period,B2+1,""))</f>
        <v>1</v>
      </c>
      <c r="D2" s="28">
        <f t="shared" si="0"/>
        <v>2</v>
      </c>
      <c r="E2" s="28">
        <f t="shared" si="0"/>
        <v>3</v>
      </c>
      <c r="F2" s="28">
        <f t="shared" si="0"/>
        <v>4</v>
      </c>
      <c r="G2" s="28">
        <f t="shared" si="0"/>
        <v>5</v>
      </c>
      <c r="H2" s="28">
        <f t="shared" si="0"/>
        <v>6</v>
      </c>
      <c r="I2" s="28">
        <f t="shared" si="0"/>
        <v>7</v>
      </c>
      <c r="J2" s="28">
        <f t="shared" si="0"/>
        <v>8</v>
      </c>
      <c r="K2" s="28">
        <f t="shared" si="0"/>
        <v>9</v>
      </c>
      <c r="L2" s="28">
        <f t="shared" si="0"/>
        <v>10</v>
      </c>
      <c r="M2" s="28">
        <f t="shared" si="0"/>
        <v>11</v>
      </c>
      <c r="N2" s="28">
        <f t="shared" si="0"/>
        <v>12</v>
      </c>
      <c r="O2" s="28">
        <f t="shared" si="0"/>
        <v>13</v>
      </c>
      <c r="P2" s="28">
        <f t="shared" si="0"/>
        <v>14</v>
      </c>
      <c r="Q2" s="28">
        <f t="shared" si="0"/>
        <v>15</v>
      </c>
      <c r="R2" s="28">
        <f t="shared" si="0"/>
        <v>16</v>
      </c>
      <c r="S2" s="28">
        <f t="shared" si="0"/>
        <v>17</v>
      </c>
      <c r="T2" s="28">
        <f t="shared" si="0"/>
        <v>18</v>
      </c>
      <c r="U2" s="28">
        <f t="shared" si="0"/>
        <v>19</v>
      </c>
      <c r="V2" s="28">
        <f t="shared" si="0"/>
        <v>20</v>
      </c>
      <c r="W2" s="28">
        <f t="shared" si="0"/>
        <v>21</v>
      </c>
      <c r="X2" s="28">
        <f t="shared" si="0"/>
        <v>22</v>
      </c>
      <c r="Y2" s="28">
        <f t="shared" si="0"/>
        <v>23</v>
      </c>
      <c r="Z2" s="28">
        <f t="shared" si="0"/>
        <v>24</v>
      </c>
      <c r="AA2" s="28">
        <f t="shared" si="0"/>
        <v>25</v>
      </c>
      <c r="AB2" s="28" t="str">
        <f t="shared" si="0"/>
        <v/>
      </c>
      <c r="AC2" s="28" t="str">
        <f t="shared" si="0"/>
        <v/>
      </c>
      <c r="AD2" s="28" t="str">
        <f t="shared" si="0"/>
        <v/>
      </c>
      <c r="AE2" s="28" t="str">
        <f t="shared" si="0"/>
        <v/>
      </c>
      <c r="AF2" s="28" t="str">
        <f t="shared" si="0"/>
        <v/>
      </c>
      <c r="AG2" s="28" t="str">
        <f t="shared" si="0"/>
        <v/>
      </c>
      <c r="AH2" s="28" t="str">
        <f t="shared" si="0"/>
        <v/>
      </c>
      <c r="AI2" s="28" t="str">
        <f t="shared" si="0"/>
        <v/>
      </c>
      <c r="AJ2" s="28" t="str">
        <f t="shared" si="0"/>
        <v/>
      </c>
      <c r="AK2" s="28" t="str">
        <f t="shared" si="0"/>
        <v/>
      </c>
      <c r="AL2" s="28" t="str">
        <f t="shared" si="0"/>
        <v/>
      </c>
      <c r="AM2" s="28" t="str">
        <f t="shared" si="0"/>
        <v/>
      </c>
      <c r="AN2" s="28" t="str">
        <f t="shared" si="0"/>
        <v/>
      </c>
      <c r="AO2" s="28" t="str">
        <f t="shared" si="0"/>
        <v/>
      </c>
      <c r="AP2" s="28" t="str">
        <f t="shared" si="0"/>
        <v/>
      </c>
    </row>
    <row r="3" spans="1:42" x14ac:dyDescent="0.2">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row>
    <row r="4" spans="1:42" s="21" customFormat="1" x14ac:dyDescent="0.2">
      <c r="A4" s="30" t="s">
        <v>15</v>
      </c>
    </row>
    <row r="5" spans="1:42" s="21" customFormat="1" x14ac:dyDescent="0.2">
      <c r="A5" s="31" t="s">
        <v>188</v>
      </c>
      <c r="C5" s="21">
        <v>0.5</v>
      </c>
      <c r="D5" s="21">
        <v>0.5</v>
      </c>
      <c r="E5" s="21">
        <v>0.5</v>
      </c>
      <c r="F5" s="21">
        <v>0.5</v>
      </c>
      <c r="G5" s="21">
        <v>0.5</v>
      </c>
      <c r="H5" s="21">
        <v>0.5</v>
      </c>
      <c r="I5" s="21">
        <v>0.5</v>
      </c>
      <c r="J5" s="21">
        <v>0.5</v>
      </c>
      <c r="K5" s="21">
        <v>0.5</v>
      </c>
      <c r="L5" s="21">
        <v>0.5</v>
      </c>
      <c r="M5" s="21">
        <v>0.5</v>
      </c>
      <c r="N5" s="21">
        <v>0.5</v>
      </c>
      <c r="O5" s="21">
        <v>0.5</v>
      </c>
      <c r="P5" s="21">
        <v>0.5</v>
      </c>
      <c r="Q5" s="21">
        <v>0.5</v>
      </c>
      <c r="R5" s="21">
        <v>0.5</v>
      </c>
      <c r="S5" s="21">
        <v>0.5</v>
      </c>
      <c r="T5" s="21">
        <v>0.5</v>
      </c>
      <c r="U5" s="21">
        <v>0.5</v>
      </c>
      <c r="V5" s="21">
        <v>0.5</v>
      </c>
      <c r="W5" s="21">
        <v>0.5</v>
      </c>
      <c r="X5" s="21">
        <v>0.5</v>
      </c>
      <c r="Y5" s="21">
        <v>0.5</v>
      </c>
      <c r="Z5" s="21">
        <v>0.5</v>
      </c>
      <c r="AA5" s="21">
        <v>0.5</v>
      </c>
    </row>
    <row r="6" spans="1:42" x14ac:dyDescent="0.2">
      <c r="A6" s="31" t="s">
        <v>209</v>
      </c>
      <c r="B6" s="176"/>
      <c r="C6" s="25">
        <f t="shared" ref="C6:AP6" si="1">IF(C2&lt;=analysis_period,AnnualEnergyYear1*(1-C5/100)^(C2-1),0)</f>
        <v>32344836</v>
      </c>
      <c r="D6" s="25">
        <f t="shared" si="1"/>
        <v>32183111.82</v>
      </c>
      <c r="E6" s="25">
        <f t="shared" si="1"/>
        <v>32022196.260900002</v>
      </c>
      <c r="F6" s="25">
        <f t="shared" si="1"/>
        <v>31862085.279595502</v>
      </c>
      <c r="G6" s="25">
        <f t="shared" si="1"/>
        <v>31702774.853197526</v>
      </c>
      <c r="H6" s="25">
        <f t="shared" si="1"/>
        <v>31544260.978931539</v>
      </c>
      <c r="I6" s="25">
        <f t="shared" si="1"/>
        <v>31386539.674036879</v>
      </c>
      <c r="J6" s="25">
        <f t="shared" si="1"/>
        <v>31229606.975666694</v>
      </c>
      <c r="K6" s="25">
        <f t="shared" si="1"/>
        <v>31073458.940788362</v>
      </c>
      <c r="L6" s="25">
        <f t="shared" si="1"/>
        <v>30918091.64608442</v>
      </c>
      <c r="M6" s="25">
        <f t="shared" si="1"/>
        <v>30763501.187853999</v>
      </c>
      <c r="N6" s="25">
        <f t="shared" si="1"/>
        <v>30609683.681914728</v>
      </c>
      <c r="O6" s="25">
        <f t="shared" si="1"/>
        <v>30456635.263505157</v>
      </c>
      <c r="P6" s="25">
        <f t="shared" si="1"/>
        <v>30304352.087187633</v>
      </c>
      <c r="Q6" s="25">
        <f t="shared" si="1"/>
        <v>30152830.326751694</v>
      </c>
      <c r="R6" s="25">
        <f t="shared" si="1"/>
        <v>30002066.175117936</v>
      </c>
      <c r="S6" s="25">
        <f t="shared" si="1"/>
        <v>29852055.844242346</v>
      </c>
      <c r="T6" s="25">
        <f t="shared" si="1"/>
        <v>29702795.565021131</v>
      </c>
      <c r="U6" s="25">
        <f t="shared" si="1"/>
        <v>29554281.587196026</v>
      </c>
      <c r="V6" s="25">
        <f t="shared" si="1"/>
        <v>29406510.179260045</v>
      </c>
      <c r="W6" s="25">
        <f t="shared" si="1"/>
        <v>29259477.628363747</v>
      </c>
      <c r="X6" s="25">
        <f t="shared" si="1"/>
        <v>29113180.240221929</v>
      </c>
      <c r="Y6" s="25">
        <f t="shared" si="1"/>
        <v>28967614.339020818</v>
      </c>
      <c r="Z6" s="25">
        <f t="shared" si="1"/>
        <v>28822776.267325714</v>
      </c>
      <c r="AA6" s="25">
        <f t="shared" si="1"/>
        <v>28678662.385989085</v>
      </c>
      <c r="AB6" s="25">
        <f t="shared" si="1"/>
        <v>0</v>
      </c>
      <c r="AC6" s="25">
        <f t="shared" si="1"/>
        <v>0</v>
      </c>
      <c r="AD6" s="25">
        <f t="shared" si="1"/>
        <v>0</v>
      </c>
      <c r="AE6" s="25">
        <f t="shared" si="1"/>
        <v>0</v>
      </c>
      <c r="AF6" s="25">
        <f t="shared" si="1"/>
        <v>0</v>
      </c>
      <c r="AG6" s="25">
        <f t="shared" si="1"/>
        <v>0</v>
      </c>
      <c r="AH6" s="25">
        <f t="shared" si="1"/>
        <v>0</v>
      </c>
      <c r="AI6" s="25">
        <f t="shared" si="1"/>
        <v>0</v>
      </c>
      <c r="AJ6" s="25">
        <f t="shared" si="1"/>
        <v>0</v>
      </c>
      <c r="AK6" s="25">
        <f t="shared" si="1"/>
        <v>0</v>
      </c>
      <c r="AL6" s="25">
        <f t="shared" si="1"/>
        <v>0</v>
      </c>
      <c r="AM6" s="25">
        <f t="shared" si="1"/>
        <v>0</v>
      </c>
      <c r="AN6" s="25">
        <f t="shared" si="1"/>
        <v>0</v>
      </c>
      <c r="AO6" s="25">
        <f t="shared" si="1"/>
        <v>0</v>
      </c>
      <c r="AP6" s="25">
        <f t="shared" si="1"/>
        <v>0</v>
      </c>
    </row>
    <row r="7" spans="1:42" x14ac:dyDescent="0.2">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row>
    <row r="8" spans="1:42" x14ac:dyDescent="0.2">
      <c r="A8" s="30" t="s">
        <v>140</v>
      </c>
      <c r="C8" s="32"/>
      <c r="D8" s="32"/>
      <c r="E8" s="32"/>
      <c r="F8" s="32"/>
      <c r="G8" s="32"/>
      <c r="H8" s="32"/>
      <c r="I8" s="32"/>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33" t="s">
        <v>31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7" t="s">
        <v>32</v>
      </c>
      <c r="C10" s="25"/>
      <c r="D10" s="34"/>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row>
    <row r="11" spans="1:42" x14ac:dyDescent="0.2">
      <c r="A11" s="35" t="s">
        <v>16</v>
      </c>
      <c r="C11" s="359">
        <f>C6</f>
        <v>32344836</v>
      </c>
      <c r="D11" s="359">
        <f>D6</f>
        <v>32183111.82</v>
      </c>
      <c r="E11" s="359">
        <f>E6</f>
        <v>32022196.260900002</v>
      </c>
      <c r="F11" s="359">
        <f t="shared" ref="F11:AP11" si="2">F6</f>
        <v>31862085.279595502</v>
      </c>
      <c r="G11" s="359">
        <f t="shared" si="2"/>
        <v>31702774.853197526</v>
      </c>
      <c r="H11" s="359">
        <f t="shared" si="2"/>
        <v>31544260.978931539</v>
      </c>
      <c r="I11" s="359">
        <f t="shared" si="2"/>
        <v>31386539.674036879</v>
      </c>
      <c r="J11" s="359">
        <f t="shared" si="2"/>
        <v>31229606.975666694</v>
      </c>
      <c r="K11" s="359">
        <f t="shared" si="2"/>
        <v>31073458.940788362</v>
      </c>
      <c r="L11" s="359">
        <f t="shared" si="2"/>
        <v>30918091.64608442</v>
      </c>
      <c r="M11" s="359">
        <f t="shared" si="2"/>
        <v>30763501.187853999</v>
      </c>
      <c r="N11" s="359">
        <f t="shared" si="2"/>
        <v>30609683.681914728</v>
      </c>
      <c r="O11" s="359">
        <f t="shared" si="2"/>
        <v>30456635.263505157</v>
      </c>
      <c r="P11" s="359">
        <f t="shared" si="2"/>
        <v>30304352.087187633</v>
      </c>
      <c r="Q11" s="359">
        <f t="shared" si="2"/>
        <v>30152830.326751694</v>
      </c>
      <c r="R11" s="359">
        <f t="shared" si="2"/>
        <v>30002066.175117936</v>
      </c>
      <c r="S11" s="359">
        <f t="shared" si="2"/>
        <v>29852055.844242346</v>
      </c>
      <c r="T11" s="359">
        <f t="shared" si="2"/>
        <v>29702795.565021131</v>
      </c>
      <c r="U11" s="359">
        <f t="shared" si="2"/>
        <v>29554281.587196026</v>
      </c>
      <c r="V11" s="359">
        <f t="shared" si="2"/>
        <v>29406510.179260045</v>
      </c>
      <c r="W11" s="359">
        <f t="shared" si="2"/>
        <v>29259477.628363747</v>
      </c>
      <c r="X11" s="359">
        <f t="shared" si="2"/>
        <v>29113180.240221929</v>
      </c>
      <c r="Y11" s="359">
        <f t="shared" si="2"/>
        <v>28967614.339020818</v>
      </c>
      <c r="Z11" s="359">
        <f t="shared" si="2"/>
        <v>28822776.267325714</v>
      </c>
      <c r="AA11" s="359">
        <f t="shared" si="2"/>
        <v>28678662.385989085</v>
      </c>
      <c r="AB11" s="359">
        <f t="shared" si="2"/>
        <v>0</v>
      </c>
      <c r="AC11" s="359">
        <f t="shared" si="2"/>
        <v>0</v>
      </c>
      <c r="AD11" s="359">
        <f t="shared" si="2"/>
        <v>0</v>
      </c>
      <c r="AE11" s="359">
        <f t="shared" si="2"/>
        <v>0</v>
      </c>
      <c r="AF11" s="359">
        <f t="shared" si="2"/>
        <v>0</v>
      </c>
      <c r="AG11" s="359">
        <f t="shared" si="2"/>
        <v>0</v>
      </c>
      <c r="AH11" s="359">
        <f t="shared" si="2"/>
        <v>0</v>
      </c>
      <c r="AI11" s="359">
        <f t="shared" si="2"/>
        <v>0</v>
      </c>
      <c r="AJ11" s="359">
        <f t="shared" si="2"/>
        <v>0</v>
      </c>
      <c r="AK11" s="359">
        <f t="shared" si="2"/>
        <v>0</v>
      </c>
      <c r="AL11" s="359">
        <f t="shared" si="2"/>
        <v>0</v>
      </c>
      <c r="AM11" s="359">
        <f t="shared" si="2"/>
        <v>0</v>
      </c>
      <c r="AN11" s="359">
        <f t="shared" si="2"/>
        <v>0</v>
      </c>
      <c r="AO11" s="359">
        <f t="shared" si="2"/>
        <v>0</v>
      </c>
      <c r="AP11" s="359">
        <f t="shared" si="2"/>
        <v>0</v>
      </c>
    </row>
    <row r="12" spans="1:42" x14ac:dyDescent="0.2">
      <c r="A12" s="35" t="s">
        <v>17</v>
      </c>
      <c r="C12" s="371">
        <f t="shared" ref="C12:AP12" si="3">PPAPrice*(1+ppa_escalation/100)^(C2-1)</f>
        <v>17</v>
      </c>
      <c r="D12" s="371">
        <f t="shared" si="3"/>
        <v>17.170000000000002</v>
      </c>
      <c r="E12" s="371">
        <f t="shared" si="3"/>
        <v>17.341699999999999</v>
      </c>
      <c r="F12" s="371">
        <f t="shared" si="3"/>
        <v>17.515117</v>
      </c>
      <c r="G12" s="371">
        <f t="shared" si="3"/>
        <v>17.69026817</v>
      </c>
      <c r="H12" s="371">
        <f t="shared" si="3"/>
        <v>17.867170851699999</v>
      </c>
      <c r="I12" s="371">
        <f t="shared" si="3"/>
        <v>18.045842560217004</v>
      </c>
      <c r="J12" s="371">
        <f t="shared" si="3"/>
        <v>18.226300985819169</v>
      </c>
      <c r="K12" s="371">
        <f t="shared" si="3"/>
        <v>18.408563995677365</v>
      </c>
      <c r="L12" s="371">
        <f t="shared" si="3"/>
        <v>18.592649635634139</v>
      </c>
      <c r="M12" s="371">
        <f t="shared" si="3"/>
        <v>18.77857613199048</v>
      </c>
      <c r="N12" s="371">
        <f t="shared" si="3"/>
        <v>18.966361893310381</v>
      </c>
      <c r="O12" s="371">
        <f t="shared" si="3"/>
        <v>19.156025512243485</v>
      </c>
      <c r="P12" s="371">
        <f t="shared" si="3"/>
        <v>19.347585767365921</v>
      </c>
      <c r="Q12" s="371">
        <f t="shared" si="3"/>
        <v>19.541061625039582</v>
      </c>
      <c r="R12" s="371">
        <f t="shared" si="3"/>
        <v>19.736472241289974</v>
      </c>
      <c r="S12" s="371">
        <f t="shared" si="3"/>
        <v>19.93383696370288</v>
      </c>
      <c r="T12" s="371">
        <f t="shared" si="3"/>
        <v>20.13317533333991</v>
      </c>
      <c r="U12" s="371">
        <f t="shared" si="3"/>
        <v>20.334507086673309</v>
      </c>
      <c r="V12" s="371">
        <f t="shared" si="3"/>
        <v>20.537852157540037</v>
      </c>
      <c r="W12" s="371">
        <f t="shared" si="3"/>
        <v>20.743230679115438</v>
      </c>
      <c r="X12" s="371">
        <f t="shared" si="3"/>
        <v>20.950662985906593</v>
      </c>
      <c r="Y12" s="371">
        <f t="shared" si="3"/>
        <v>21.160169615765664</v>
      </c>
      <c r="Z12" s="371">
        <f t="shared" si="3"/>
        <v>21.371771311923315</v>
      </c>
      <c r="AA12" s="371">
        <f t="shared" si="3"/>
        <v>21.585489025042556</v>
      </c>
      <c r="AB12" s="371" t="e">
        <f t="shared" si="3"/>
        <v>#VALUE!</v>
      </c>
      <c r="AC12" s="371" t="e">
        <f t="shared" si="3"/>
        <v>#VALUE!</v>
      </c>
      <c r="AD12" s="371" t="e">
        <f t="shared" si="3"/>
        <v>#VALUE!</v>
      </c>
      <c r="AE12" s="371" t="e">
        <f t="shared" si="3"/>
        <v>#VALUE!</v>
      </c>
      <c r="AF12" s="371" t="e">
        <f t="shared" si="3"/>
        <v>#VALUE!</v>
      </c>
      <c r="AG12" s="371" t="e">
        <f t="shared" si="3"/>
        <v>#VALUE!</v>
      </c>
      <c r="AH12" s="371" t="e">
        <f t="shared" si="3"/>
        <v>#VALUE!</v>
      </c>
      <c r="AI12" s="371" t="e">
        <f t="shared" si="3"/>
        <v>#VALUE!</v>
      </c>
      <c r="AJ12" s="371" t="e">
        <f t="shared" si="3"/>
        <v>#VALUE!</v>
      </c>
      <c r="AK12" s="371" t="e">
        <f t="shared" si="3"/>
        <v>#VALUE!</v>
      </c>
      <c r="AL12" s="371" t="e">
        <f t="shared" si="3"/>
        <v>#VALUE!</v>
      </c>
      <c r="AM12" s="371" t="e">
        <f t="shared" si="3"/>
        <v>#VALUE!</v>
      </c>
      <c r="AN12" s="371" t="e">
        <f t="shared" si="3"/>
        <v>#VALUE!</v>
      </c>
      <c r="AO12" s="371" t="e">
        <f t="shared" si="3"/>
        <v>#VALUE!</v>
      </c>
      <c r="AP12" s="371" t="e">
        <f t="shared" si="3"/>
        <v>#VALUE!</v>
      </c>
    </row>
    <row r="13" spans="1:42" x14ac:dyDescent="0.2">
      <c r="A13" s="35" t="s">
        <v>30</v>
      </c>
      <c r="C13" s="359">
        <f>C11*C12/100</f>
        <v>5498622.1200000001</v>
      </c>
      <c r="D13" s="359">
        <f t="shared" ref="D13:AP13" si="4">D11*D12/100</f>
        <v>5525840.2994940011</v>
      </c>
      <c r="E13" s="359">
        <f t="shared" si="4"/>
        <v>5553193.2089764951</v>
      </c>
      <c r="F13" s="359">
        <f t="shared" si="4"/>
        <v>5580681.5153609291</v>
      </c>
      <c r="G13" s="359">
        <f t="shared" si="4"/>
        <v>5608305.8888619663</v>
      </c>
      <c r="H13" s="359">
        <f t="shared" si="4"/>
        <v>5636067.003011832</v>
      </c>
      <c r="I13" s="359">
        <f t="shared" si="4"/>
        <v>5663965.5346767427</v>
      </c>
      <c r="J13" s="359">
        <f t="shared" si="4"/>
        <v>5692002.1640733909</v>
      </c>
      <c r="K13" s="359">
        <f t="shared" si="4"/>
        <v>5720177.5747855557</v>
      </c>
      <c r="L13" s="359">
        <f t="shared" si="4"/>
        <v>5748492.4537807442</v>
      </c>
      <c r="M13" s="359">
        <f t="shared" si="4"/>
        <v>5776947.4914269587</v>
      </c>
      <c r="N13" s="359">
        <f t="shared" si="4"/>
        <v>5805543.381509521</v>
      </c>
      <c r="O13" s="359">
        <f t="shared" si="4"/>
        <v>5834280.821247994</v>
      </c>
      <c r="P13" s="359">
        <f t="shared" si="4"/>
        <v>5863160.5113131711</v>
      </c>
      <c r="Q13" s="359">
        <f t="shared" si="4"/>
        <v>5892183.1558441725</v>
      </c>
      <c r="R13" s="359">
        <f t="shared" si="4"/>
        <v>5921349.4624656001</v>
      </c>
      <c r="S13" s="359">
        <f t="shared" si="4"/>
        <v>5950660.142304807</v>
      </c>
      <c r="T13" s="359">
        <f t="shared" si="4"/>
        <v>5980115.9100092147</v>
      </c>
      <c r="U13" s="359">
        <f t="shared" si="4"/>
        <v>6009717.48376376</v>
      </c>
      <c r="V13" s="359">
        <f t="shared" si="4"/>
        <v>6039465.5853083897</v>
      </c>
      <c r="W13" s="359">
        <f t="shared" si="4"/>
        <v>6069360.9399556676</v>
      </c>
      <c r="X13" s="359">
        <f t="shared" si="4"/>
        <v>6099404.2766084485</v>
      </c>
      <c r="Y13" s="359">
        <f t="shared" si="4"/>
        <v>6129596.3277776614</v>
      </c>
      <c r="Z13" s="359">
        <f t="shared" si="4"/>
        <v>6159937.8296001591</v>
      </c>
      <c r="AA13" s="359">
        <f t="shared" si="4"/>
        <v>6190429.5218566814</v>
      </c>
      <c r="AB13" s="359" t="e">
        <f t="shared" si="4"/>
        <v>#VALUE!</v>
      </c>
      <c r="AC13" s="359" t="e">
        <f t="shared" si="4"/>
        <v>#VALUE!</v>
      </c>
      <c r="AD13" s="359" t="e">
        <f t="shared" si="4"/>
        <v>#VALUE!</v>
      </c>
      <c r="AE13" s="359" t="e">
        <f t="shared" si="4"/>
        <v>#VALUE!</v>
      </c>
      <c r="AF13" s="359" t="e">
        <f t="shared" si="4"/>
        <v>#VALUE!</v>
      </c>
      <c r="AG13" s="359" t="e">
        <f t="shared" si="4"/>
        <v>#VALUE!</v>
      </c>
      <c r="AH13" s="359" t="e">
        <f t="shared" si="4"/>
        <v>#VALUE!</v>
      </c>
      <c r="AI13" s="359" t="e">
        <f t="shared" si="4"/>
        <v>#VALUE!</v>
      </c>
      <c r="AJ13" s="359" t="e">
        <f t="shared" si="4"/>
        <v>#VALUE!</v>
      </c>
      <c r="AK13" s="359" t="e">
        <f t="shared" si="4"/>
        <v>#VALUE!</v>
      </c>
      <c r="AL13" s="359" t="e">
        <f t="shared" si="4"/>
        <v>#VALUE!</v>
      </c>
      <c r="AM13" s="359" t="e">
        <f t="shared" si="4"/>
        <v>#VALUE!</v>
      </c>
      <c r="AN13" s="359" t="e">
        <f t="shared" si="4"/>
        <v>#VALUE!</v>
      </c>
      <c r="AO13" s="359" t="e">
        <f t="shared" si="4"/>
        <v>#VALUE!</v>
      </c>
      <c r="AP13" s="359" t="e">
        <f t="shared" si="4"/>
        <v>#VALUE!</v>
      </c>
    </row>
    <row r="14" spans="1:42" x14ac:dyDescent="0.2">
      <c r="A14" s="7" t="s">
        <v>33</v>
      </c>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row>
    <row r="15" spans="1:42" x14ac:dyDescent="0.2">
      <c r="A15" s="35" t="str">
        <f>Inputs!B115</f>
        <v>Federal ($/W)</v>
      </c>
      <c r="C15" s="285">
        <f t="shared" ref="C15:AP15" si="5">IF(pbi_fed_for_ds="Yes",C509,0)</f>
        <v>0</v>
      </c>
      <c r="D15" s="285">
        <f t="shared" si="5"/>
        <v>0</v>
      </c>
      <c r="E15" s="285">
        <f t="shared" si="5"/>
        <v>0</v>
      </c>
      <c r="F15" s="285">
        <f t="shared" si="5"/>
        <v>0</v>
      </c>
      <c r="G15" s="285">
        <f t="shared" si="5"/>
        <v>0</v>
      </c>
      <c r="H15" s="285">
        <f t="shared" si="5"/>
        <v>0</v>
      </c>
      <c r="I15" s="285">
        <f t="shared" si="5"/>
        <v>0</v>
      </c>
      <c r="J15" s="285">
        <f t="shared" si="5"/>
        <v>0</v>
      </c>
      <c r="K15" s="285">
        <f t="shared" si="5"/>
        <v>0</v>
      </c>
      <c r="L15" s="285">
        <f t="shared" si="5"/>
        <v>0</v>
      </c>
      <c r="M15" s="285">
        <f t="shared" si="5"/>
        <v>0</v>
      </c>
      <c r="N15" s="285">
        <f t="shared" si="5"/>
        <v>0</v>
      </c>
      <c r="O15" s="285">
        <f t="shared" si="5"/>
        <v>0</v>
      </c>
      <c r="P15" s="285">
        <f t="shared" si="5"/>
        <v>0</v>
      </c>
      <c r="Q15" s="285">
        <f t="shared" si="5"/>
        <v>0</v>
      </c>
      <c r="R15" s="285">
        <f t="shared" si="5"/>
        <v>0</v>
      </c>
      <c r="S15" s="285">
        <f t="shared" si="5"/>
        <v>0</v>
      </c>
      <c r="T15" s="285">
        <f t="shared" si="5"/>
        <v>0</v>
      </c>
      <c r="U15" s="285">
        <f t="shared" si="5"/>
        <v>0</v>
      </c>
      <c r="V15" s="285">
        <f t="shared" si="5"/>
        <v>0</v>
      </c>
      <c r="W15" s="285">
        <f t="shared" si="5"/>
        <v>0</v>
      </c>
      <c r="X15" s="285">
        <f t="shared" si="5"/>
        <v>0</v>
      </c>
      <c r="Y15" s="285">
        <f t="shared" si="5"/>
        <v>0</v>
      </c>
      <c r="Z15" s="285">
        <f t="shared" si="5"/>
        <v>0</v>
      </c>
      <c r="AA15" s="285">
        <f t="shared" si="5"/>
        <v>0</v>
      </c>
      <c r="AB15" s="285">
        <f t="shared" si="5"/>
        <v>0</v>
      </c>
      <c r="AC15" s="285">
        <f t="shared" si="5"/>
        <v>0</v>
      </c>
      <c r="AD15" s="285">
        <f t="shared" si="5"/>
        <v>0</v>
      </c>
      <c r="AE15" s="285">
        <f t="shared" si="5"/>
        <v>0</v>
      </c>
      <c r="AF15" s="285">
        <f t="shared" si="5"/>
        <v>0</v>
      </c>
      <c r="AG15" s="285">
        <f t="shared" si="5"/>
        <v>0</v>
      </c>
      <c r="AH15" s="285">
        <f t="shared" si="5"/>
        <v>0</v>
      </c>
      <c r="AI15" s="285">
        <f t="shared" si="5"/>
        <v>0</v>
      </c>
      <c r="AJ15" s="285">
        <f t="shared" si="5"/>
        <v>0</v>
      </c>
      <c r="AK15" s="285">
        <f t="shared" si="5"/>
        <v>0</v>
      </c>
      <c r="AL15" s="285">
        <f t="shared" si="5"/>
        <v>0</v>
      </c>
      <c r="AM15" s="285">
        <f t="shared" si="5"/>
        <v>0</v>
      </c>
      <c r="AN15" s="285">
        <f t="shared" si="5"/>
        <v>0</v>
      </c>
      <c r="AO15" s="285">
        <f t="shared" si="5"/>
        <v>0</v>
      </c>
      <c r="AP15" s="285">
        <f t="shared" si="5"/>
        <v>0</v>
      </c>
    </row>
    <row r="16" spans="1:42" x14ac:dyDescent="0.2">
      <c r="A16" s="35" t="str">
        <f>Inputs!B116</f>
        <v>State ($/W)</v>
      </c>
      <c r="C16" s="285">
        <f t="shared" ref="C16:AP16" si="6">IF(pbi_sta_for_ds="Yes",C513,0)</f>
        <v>0</v>
      </c>
      <c r="D16" s="285">
        <f t="shared" si="6"/>
        <v>0</v>
      </c>
      <c r="E16" s="285">
        <f t="shared" si="6"/>
        <v>0</v>
      </c>
      <c r="F16" s="285">
        <f t="shared" si="6"/>
        <v>0</v>
      </c>
      <c r="G16" s="285">
        <f t="shared" si="6"/>
        <v>0</v>
      </c>
      <c r="H16" s="285">
        <f t="shared" si="6"/>
        <v>0</v>
      </c>
      <c r="I16" s="285">
        <f t="shared" si="6"/>
        <v>0</v>
      </c>
      <c r="J16" s="285">
        <f t="shared" si="6"/>
        <v>0</v>
      </c>
      <c r="K16" s="285">
        <f t="shared" si="6"/>
        <v>0</v>
      </c>
      <c r="L16" s="285">
        <f t="shared" si="6"/>
        <v>0</v>
      </c>
      <c r="M16" s="285">
        <f t="shared" si="6"/>
        <v>0</v>
      </c>
      <c r="N16" s="285">
        <f t="shared" si="6"/>
        <v>0</v>
      </c>
      <c r="O16" s="285">
        <f t="shared" si="6"/>
        <v>0</v>
      </c>
      <c r="P16" s="285">
        <f t="shared" si="6"/>
        <v>0</v>
      </c>
      <c r="Q16" s="285">
        <f t="shared" si="6"/>
        <v>0</v>
      </c>
      <c r="R16" s="285">
        <f t="shared" si="6"/>
        <v>0</v>
      </c>
      <c r="S16" s="285">
        <f t="shared" si="6"/>
        <v>0</v>
      </c>
      <c r="T16" s="285">
        <f t="shared" si="6"/>
        <v>0</v>
      </c>
      <c r="U16" s="285">
        <f t="shared" si="6"/>
        <v>0</v>
      </c>
      <c r="V16" s="285">
        <f t="shared" si="6"/>
        <v>0</v>
      </c>
      <c r="W16" s="285">
        <f t="shared" si="6"/>
        <v>0</v>
      </c>
      <c r="X16" s="285">
        <f t="shared" si="6"/>
        <v>0</v>
      </c>
      <c r="Y16" s="285">
        <f t="shared" si="6"/>
        <v>0</v>
      </c>
      <c r="Z16" s="285">
        <f t="shared" si="6"/>
        <v>0</v>
      </c>
      <c r="AA16" s="285">
        <f t="shared" si="6"/>
        <v>0</v>
      </c>
      <c r="AB16" s="285">
        <f t="shared" si="6"/>
        <v>0</v>
      </c>
      <c r="AC16" s="285">
        <f t="shared" si="6"/>
        <v>0</v>
      </c>
      <c r="AD16" s="285">
        <f t="shared" si="6"/>
        <v>0</v>
      </c>
      <c r="AE16" s="285">
        <f t="shared" si="6"/>
        <v>0</v>
      </c>
      <c r="AF16" s="285">
        <f t="shared" si="6"/>
        <v>0</v>
      </c>
      <c r="AG16" s="285">
        <f t="shared" si="6"/>
        <v>0</v>
      </c>
      <c r="AH16" s="285">
        <f t="shared" si="6"/>
        <v>0</v>
      </c>
      <c r="AI16" s="285">
        <f t="shared" si="6"/>
        <v>0</v>
      </c>
      <c r="AJ16" s="285">
        <f t="shared" si="6"/>
        <v>0</v>
      </c>
      <c r="AK16" s="285">
        <f t="shared" si="6"/>
        <v>0</v>
      </c>
      <c r="AL16" s="285">
        <f t="shared" si="6"/>
        <v>0</v>
      </c>
      <c r="AM16" s="285">
        <f t="shared" si="6"/>
        <v>0</v>
      </c>
      <c r="AN16" s="285">
        <f t="shared" si="6"/>
        <v>0</v>
      </c>
      <c r="AO16" s="285">
        <f t="shared" si="6"/>
        <v>0</v>
      </c>
      <c r="AP16" s="285">
        <f t="shared" si="6"/>
        <v>0</v>
      </c>
    </row>
    <row r="17" spans="1:42" x14ac:dyDescent="0.2">
      <c r="A17" s="35" t="str">
        <f>Inputs!B117</f>
        <v>Utility ($/W)</v>
      </c>
      <c r="C17" s="285">
        <f t="shared" ref="C17:AP17" si="7">IF(pbi_uti_for_ds="Yes",C517,0)</f>
        <v>0</v>
      </c>
      <c r="D17" s="285">
        <f t="shared" si="7"/>
        <v>0</v>
      </c>
      <c r="E17" s="285">
        <f t="shared" si="7"/>
        <v>0</v>
      </c>
      <c r="F17" s="285">
        <f t="shared" si="7"/>
        <v>0</v>
      </c>
      <c r="G17" s="285">
        <f t="shared" si="7"/>
        <v>0</v>
      </c>
      <c r="H17" s="285">
        <f t="shared" si="7"/>
        <v>0</v>
      </c>
      <c r="I17" s="285">
        <f t="shared" si="7"/>
        <v>0</v>
      </c>
      <c r="J17" s="285">
        <f t="shared" si="7"/>
        <v>0</v>
      </c>
      <c r="K17" s="285">
        <f t="shared" si="7"/>
        <v>0</v>
      </c>
      <c r="L17" s="285">
        <f t="shared" si="7"/>
        <v>0</v>
      </c>
      <c r="M17" s="285">
        <f t="shared" si="7"/>
        <v>0</v>
      </c>
      <c r="N17" s="285">
        <f t="shared" si="7"/>
        <v>0</v>
      </c>
      <c r="O17" s="285">
        <f t="shared" si="7"/>
        <v>0</v>
      </c>
      <c r="P17" s="285">
        <f t="shared" si="7"/>
        <v>0</v>
      </c>
      <c r="Q17" s="285">
        <f t="shared" si="7"/>
        <v>0</v>
      </c>
      <c r="R17" s="285">
        <f t="shared" si="7"/>
        <v>0</v>
      </c>
      <c r="S17" s="285">
        <f t="shared" si="7"/>
        <v>0</v>
      </c>
      <c r="T17" s="285">
        <f t="shared" si="7"/>
        <v>0</v>
      </c>
      <c r="U17" s="285">
        <f t="shared" si="7"/>
        <v>0</v>
      </c>
      <c r="V17" s="285">
        <f t="shared" si="7"/>
        <v>0</v>
      </c>
      <c r="W17" s="285">
        <f t="shared" si="7"/>
        <v>0</v>
      </c>
      <c r="X17" s="285">
        <f t="shared" si="7"/>
        <v>0</v>
      </c>
      <c r="Y17" s="285">
        <f t="shared" si="7"/>
        <v>0</v>
      </c>
      <c r="Z17" s="285">
        <f t="shared" si="7"/>
        <v>0</v>
      </c>
      <c r="AA17" s="285">
        <f t="shared" si="7"/>
        <v>0</v>
      </c>
      <c r="AB17" s="285">
        <f t="shared" si="7"/>
        <v>0</v>
      </c>
      <c r="AC17" s="285">
        <f t="shared" si="7"/>
        <v>0</v>
      </c>
      <c r="AD17" s="285">
        <f t="shared" si="7"/>
        <v>0</v>
      </c>
      <c r="AE17" s="285">
        <f t="shared" si="7"/>
        <v>0</v>
      </c>
      <c r="AF17" s="285">
        <f t="shared" si="7"/>
        <v>0</v>
      </c>
      <c r="AG17" s="285">
        <f t="shared" si="7"/>
        <v>0</v>
      </c>
      <c r="AH17" s="285">
        <f t="shared" si="7"/>
        <v>0</v>
      </c>
      <c r="AI17" s="285">
        <f t="shared" si="7"/>
        <v>0</v>
      </c>
      <c r="AJ17" s="285">
        <f t="shared" si="7"/>
        <v>0</v>
      </c>
      <c r="AK17" s="285">
        <f t="shared" si="7"/>
        <v>0</v>
      </c>
      <c r="AL17" s="285">
        <f t="shared" si="7"/>
        <v>0</v>
      </c>
      <c r="AM17" s="285">
        <f t="shared" si="7"/>
        <v>0</v>
      </c>
      <c r="AN17" s="285">
        <f t="shared" si="7"/>
        <v>0</v>
      </c>
      <c r="AO17" s="285">
        <f t="shared" si="7"/>
        <v>0</v>
      </c>
      <c r="AP17" s="285">
        <f t="shared" si="7"/>
        <v>0</v>
      </c>
    </row>
    <row r="18" spans="1:42" x14ac:dyDescent="0.2">
      <c r="A18" s="35" t="str">
        <f>Inputs!B118</f>
        <v>Other ($/W)</v>
      </c>
      <c r="C18" s="370">
        <f t="shared" ref="C18:AP18" si="8">IF(pbi_oth_for_ds="Yes",C521,0)</f>
        <v>0</v>
      </c>
      <c r="D18" s="370">
        <f t="shared" si="8"/>
        <v>0</v>
      </c>
      <c r="E18" s="370">
        <f t="shared" si="8"/>
        <v>0</v>
      </c>
      <c r="F18" s="370">
        <f t="shared" si="8"/>
        <v>0</v>
      </c>
      <c r="G18" s="370">
        <f t="shared" si="8"/>
        <v>0</v>
      </c>
      <c r="H18" s="370">
        <f t="shared" si="8"/>
        <v>0</v>
      </c>
      <c r="I18" s="370">
        <f t="shared" si="8"/>
        <v>0</v>
      </c>
      <c r="J18" s="370">
        <f t="shared" si="8"/>
        <v>0</v>
      </c>
      <c r="K18" s="370">
        <f t="shared" si="8"/>
        <v>0</v>
      </c>
      <c r="L18" s="370">
        <f t="shared" si="8"/>
        <v>0</v>
      </c>
      <c r="M18" s="370">
        <f t="shared" si="8"/>
        <v>0</v>
      </c>
      <c r="N18" s="370">
        <f t="shared" si="8"/>
        <v>0</v>
      </c>
      <c r="O18" s="370">
        <f t="shared" si="8"/>
        <v>0</v>
      </c>
      <c r="P18" s="370">
        <f t="shared" si="8"/>
        <v>0</v>
      </c>
      <c r="Q18" s="370">
        <f t="shared" si="8"/>
        <v>0</v>
      </c>
      <c r="R18" s="370">
        <f t="shared" si="8"/>
        <v>0</v>
      </c>
      <c r="S18" s="370">
        <f t="shared" si="8"/>
        <v>0</v>
      </c>
      <c r="T18" s="370">
        <f t="shared" si="8"/>
        <v>0</v>
      </c>
      <c r="U18" s="370">
        <f t="shared" si="8"/>
        <v>0</v>
      </c>
      <c r="V18" s="370">
        <f t="shared" si="8"/>
        <v>0</v>
      </c>
      <c r="W18" s="370">
        <f t="shared" si="8"/>
        <v>0</v>
      </c>
      <c r="X18" s="370">
        <f t="shared" si="8"/>
        <v>0</v>
      </c>
      <c r="Y18" s="370">
        <f t="shared" si="8"/>
        <v>0</v>
      </c>
      <c r="Z18" s="370">
        <f t="shared" si="8"/>
        <v>0</v>
      </c>
      <c r="AA18" s="370">
        <f t="shared" si="8"/>
        <v>0</v>
      </c>
      <c r="AB18" s="370">
        <f t="shared" si="8"/>
        <v>0</v>
      </c>
      <c r="AC18" s="370">
        <f t="shared" si="8"/>
        <v>0</v>
      </c>
      <c r="AD18" s="370">
        <f t="shared" si="8"/>
        <v>0</v>
      </c>
      <c r="AE18" s="370">
        <f t="shared" si="8"/>
        <v>0</v>
      </c>
      <c r="AF18" s="370">
        <f t="shared" si="8"/>
        <v>0</v>
      </c>
      <c r="AG18" s="370">
        <f t="shared" si="8"/>
        <v>0</v>
      </c>
      <c r="AH18" s="370">
        <f t="shared" si="8"/>
        <v>0</v>
      </c>
      <c r="AI18" s="370">
        <f t="shared" si="8"/>
        <v>0</v>
      </c>
      <c r="AJ18" s="370">
        <f t="shared" si="8"/>
        <v>0</v>
      </c>
      <c r="AK18" s="370">
        <f t="shared" si="8"/>
        <v>0</v>
      </c>
      <c r="AL18" s="370">
        <f t="shared" si="8"/>
        <v>0</v>
      </c>
      <c r="AM18" s="370">
        <f t="shared" si="8"/>
        <v>0</v>
      </c>
      <c r="AN18" s="370">
        <f t="shared" si="8"/>
        <v>0</v>
      </c>
      <c r="AO18" s="370">
        <f t="shared" si="8"/>
        <v>0</v>
      </c>
      <c r="AP18" s="370">
        <f t="shared" si="8"/>
        <v>0</v>
      </c>
    </row>
    <row r="19" spans="1:42" x14ac:dyDescent="0.2">
      <c r="A19" s="35" t="s">
        <v>34</v>
      </c>
      <c r="C19" s="373">
        <f>SUM(C15:C18)</f>
        <v>0</v>
      </c>
      <c r="D19" s="373">
        <f t="shared" ref="D19:AP19" si="9">SUM(D15:D18)</f>
        <v>0</v>
      </c>
      <c r="E19" s="373">
        <f t="shared" si="9"/>
        <v>0</v>
      </c>
      <c r="F19" s="373">
        <f t="shared" si="9"/>
        <v>0</v>
      </c>
      <c r="G19" s="373">
        <f t="shared" si="9"/>
        <v>0</v>
      </c>
      <c r="H19" s="373">
        <f t="shared" si="9"/>
        <v>0</v>
      </c>
      <c r="I19" s="373">
        <f t="shared" si="9"/>
        <v>0</v>
      </c>
      <c r="J19" s="373">
        <f t="shared" si="9"/>
        <v>0</v>
      </c>
      <c r="K19" s="373">
        <f t="shared" si="9"/>
        <v>0</v>
      </c>
      <c r="L19" s="373">
        <f t="shared" si="9"/>
        <v>0</v>
      </c>
      <c r="M19" s="373">
        <f t="shared" si="9"/>
        <v>0</v>
      </c>
      <c r="N19" s="373">
        <f t="shared" si="9"/>
        <v>0</v>
      </c>
      <c r="O19" s="373">
        <f t="shared" si="9"/>
        <v>0</v>
      </c>
      <c r="P19" s="373">
        <f t="shared" si="9"/>
        <v>0</v>
      </c>
      <c r="Q19" s="373">
        <f t="shared" si="9"/>
        <v>0</v>
      </c>
      <c r="R19" s="373">
        <f t="shared" si="9"/>
        <v>0</v>
      </c>
      <c r="S19" s="373">
        <f t="shared" si="9"/>
        <v>0</v>
      </c>
      <c r="T19" s="373">
        <f t="shared" si="9"/>
        <v>0</v>
      </c>
      <c r="U19" s="373">
        <f t="shared" si="9"/>
        <v>0</v>
      </c>
      <c r="V19" s="373">
        <f t="shared" si="9"/>
        <v>0</v>
      </c>
      <c r="W19" s="373">
        <f t="shared" si="9"/>
        <v>0</v>
      </c>
      <c r="X19" s="373">
        <f t="shared" si="9"/>
        <v>0</v>
      </c>
      <c r="Y19" s="373">
        <f t="shared" si="9"/>
        <v>0</v>
      </c>
      <c r="Z19" s="373">
        <f t="shared" si="9"/>
        <v>0</v>
      </c>
      <c r="AA19" s="373">
        <f t="shared" si="9"/>
        <v>0</v>
      </c>
      <c r="AB19" s="373">
        <f t="shared" si="9"/>
        <v>0</v>
      </c>
      <c r="AC19" s="373">
        <f t="shared" si="9"/>
        <v>0</v>
      </c>
      <c r="AD19" s="373">
        <f t="shared" si="9"/>
        <v>0</v>
      </c>
      <c r="AE19" s="373">
        <f t="shared" si="9"/>
        <v>0</v>
      </c>
      <c r="AF19" s="373">
        <f t="shared" si="9"/>
        <v>0</v>
      </c>
      <c r="AG19" s="373">
        <f t="shared" si="9"/>
        <v>0</v>
      </c>
      <c r="AH19" s="373">
        <f t="shared" si="9"/>
        <v>0</v>
      </c>
      <c r="AI19" s="373">
        <f t="shared" si="9"/>
        <v>0</v>
      </c>
      <c r="AJ19" s="373">
        <f t="shared" si="9"/>
        <v>0</v>
      </c>
      <c r="AK19" s="373">
        <f t="shared" si="9"/>
        <v>0</v>
      </c>
      <c r="AL19" s="373">
        <f t="shared" si="9"/>
        <v>0</v>
      </c>
      <c r="AM19" s="373">
        <f t="shared" si="9"/>
        <v>0</v>
      </c>
      <c r="AN19" s="373">
        <f t="shared" si="9"/>
        <v>0</v>
      </c>
      <c r="AO19" s="373">
        <f t="shared" si="9"/>
        <v>0</v>
      </c>
      <c r="AP19" s="373">
        <f t="shared" si="9"/>
        <v>0</v>
      </c>
    </row>
    <row r="20" spans="1:42" x14ac:dyDescent="0.2">
      <c r="A20" s="31" t="s">
        <v>75</v>
      </c>
      <c r="C20" s="360">
        <f t="shared" ref="C20:AP20" si="10">IF(C2=analysis_period,total_installed_cost*salvage_percentage/100,0)</f>
        <v>0</v>
      </c>
      <c r="D20" s="360">
        <f t="shared" si="10"/>
        <v>0</v>
      </c>
      <c r="E20" s="360">
        <f t="shared" si="10"/>
        <v>0</v>
      </c>
      <c r="F20" s="360">
        <f t="shared" si="10"/>
        <v>0</v>
      </c>
      <c r="G20" s="360">
        <f t="shared" si="10"/>
        <v>0</v>
      </c>
      <c r="H20" s="360">
        <f t="shared" si="10"/>
        <v>0</v>
      </c>
      <c r="I20" s="360">
        <f t="shared" si="10"/>
        <v>0</v>
      </c>
      <c r="J20" s="360">
        <f t="shared" si="10"/>
        <v>0</v>
      </c>
      <c r="K20" s="360">
        <f t="shared" si="10"/>
        <v>0</v>
      </c>
      <c r="L20" s="360">
        <f t="shared" si="10"/>
        <v>0</v>
      </c>
      <c r="M20" s="360">
        <f t="shared" si="10"/>
        <v>0</v>
      </c>
      <c r="N20" s="360">
        <f t="shared" si="10"/>
        <v>0</v>
      </c>
      <c r="O20" s="360">
        <f t="shared" si="10"/>
        <v>0</v>
      </c>
      <c r="P20" s="360">
        <f t="shared" si="10"/>
        <v>0</v>
      </c>
      <c r="Q20" s="360">
        <f t="shared" si="10"/>
        <v>0</v>
      </c>
      <c r="R20" s="360">
        <f t="shared" si="10"/>
        <v>0</v>
      </c>
      <c r="S20" s="360">
        <f t="shared" si="10"/>
        <v>0</v>
      </c>
      <c r="T20" s="360">
        <f t="shared" si="10"/>
        <v>0</v>
      </c>
      <c r="U20" s="360">
        <f t="shared" si="10"/>
        <v>0</v>
      </c>
      <c r="V20" s="360">
        <f t="shared" si="10"/>
        <v>0</v>
      </c>
      <c r="W20" s="360">
        <f t="shared" si="10"/>
        <v>0</v>
      </c>
      <c r="X20" s="360">
        <f t="shared" si="10"/>
        <v>0</v>
      </c>
      <c r="Y20" s="360">
        <f t="shared" si="10"/>
        <v>0</v>
      </c>
      <c r="Z20" s="360">
        <f t="shared" si="10"/>
        <v>0</v>
      </c>
      <c r="AA20" s="360">
        <f t="shared" si="10"/>
        <v>5000000</v>
      </c>
      <c r="AB20" s="360">
        <f t="shared" si="10"/>
        <v>0</v>
      </c>
      <c r="AC20" s="360">
        <f t="shared" si="10"/>
        <v>0</v>
      </c>
      <c r="AD20" s="360">
        <f t="shared" si="10"/>
        <v>0</v>
      </c>
      <c r="AE20" s="360">
        <f t="shared" si="10"/>
        <v>0</v>
      </c>
      <c r="AF20" s="360">
        <f t="shared" si="10"/>
        <v>0</v>
      </c>
      <c r="AG20" s="360">
        <f t="shared" si="10"/>
        <v>0</v>
      </c>
      <c r="AH20" s="360">
        <f t="shared" si="10"/>
        <v>0</v>
      </c>
      <c r="AI20" s="360">
        <f t="shared" si="10"/>
        <v>0</v>
      </c>
      <c r="AJ20" s="360">
        <f t="shared" si="10"/>
        <v>0</v>
      </c>
      <c r="AK20" s="360">
        <f t="shared" si="10"/>
        <v>0</v>
      </c>
      <c r="AL20" s="360">
        <f t="shared" si="10"/>
        <v>0</v>
      </c>
      <c r="AM20" s="360">
        <f t="shared" si="10"/>
        <v>0</v>
      </c>
      <c r="AN20" s="360">
        <f t="shared" si="10"/>
        <v>0</v>
      </c>
      <c r="AO20" s="360">
        <f t="shared" si="10"/>
        <v>0</v>
      </c>
      <c r="AP20" s="360">
        <f t="shared" si="10"/>
        <v>0</v>
      </c>
    </row>
    <row r="21" spans="1:42" x14ac:dyDescent="0.2">
      <c r="A21" s="31" t="s">
        <v>138</v>
      </c>
      <c r="C21" s="359">
        <f>C13+C19+C20</f>
        <v>5498622.1200000001</v>
      </c>
      <c r="D21" s="359">
        <f t="shared" ref="D21:AP21" si="11">D13+D19+D20</f>
        <v>5525840.2994940011</v>
      </c>
      <c r="E21" s="359">
        <f t="shared" si="11"/>
        <v>5553193.2089764951</v>
      </c>
      <c r="F21" s="359">
        <f t="shared" si="11"/>
        <v>5580681.5153609291</v>
      </c>
      <c r="G21" s="359">
        <f t="shared" si="11"/>
        <v>5608305.8888619663</v>
      </c>
      <c r="H21" s="359">
        <f t="shared" si="11"/>
        <v>5636067.003011832</v>
      </c>
      <c r="I21" s="359">
        <f t="shared" si="11"/>
        <v>5663965.5346767427</v>
      </c>
      <c r="J21" s="359">
        <f t="shared" si="11"/>
        <v>5692002.1640733909</v>
      </c>
      <c r="K21" s="359">
        <f t="shared" si="11"/>
        <v>5720177.5747855557</v>
      </c>
      <c r="L21" s="359">
        <f t="shared" si="11"/>
        <v>5748492.4537807442</v>
      </c>
      <c r="M21" s="359">
        <f t="shared" si="11"/>
        <v>5776947.4914269587</v>
      </c>
      <c r="N21" s="359">
        <f t="shared" si="11"/>
        <v>5805543.381509521</v>
      </c>
      <c r="O21" s="359">
        <f t="shared" si="11"/>
        <v>5834280.821247994</v>
      </c>
      <c r="P21" s="359">
        <f t="shared" si="11"/>
        <v>5863160.5113131711</v>
      </c>
      <c r="Q21" s="359">
        <f t="shared" si="11"/>
        <v>5892183.1558441725</v>
      </c>
      <c r="R21" s="359">
        <f t="shared" si="11"/>
        <v>5921349.4624656001</v>
      </c>
      <c r="S21" s="359">
        <f t="shared" si="11"/>
        <v>5950660.142304807</v>
      </c>
      <c r="T21" s="359">
        <f t="shared" si="11"/>
        <v>5980115.9100092147</v>
      </c>
      <c r="U21" s="359">
        <f t="shared" si="11"/>
        <v>6009717.48376376</v>
      </c>
      <c r="V21" s="359">
        <f t="shared" si="11"/>
        <v>6039465.5853083897</v>
      </c>
      <c r="W21" s="359">
        <f t="shared" si="11"/>
        <v>6069360.9399556676</v>
      </c>
      <c r="X21" s="359">
        <f t="shared" si="11"/>
        <v>6099404.2766084485</v>
      </c>
      <c r="Y21" s="359">
        <f t="shared" si="11"/>
        <v>6129596.3277776614</v>
      </c>
      <c r="Z21" s="359">
        <f t="shared" si="11"/>
        <v>6159937.8296001591</v>
      </c>
      <c r="AA21" s="359">
        <f t="shared" si="11"/>
        <v>11190429.521856681</v>
      </c>
      <c r="AB21" s="359" t="e">
        <f t="shared" si="11"/>
        <v>#VALUE!</v>
      </c>
      <c r="AC21" s="359" t="e">
        <f t="shared" si="11"/>
        <v>#VALUE!</v>
      </c>
      <c r="AD21" s="359" t="e">
        <f t="shared" si="11"/>
        <v>#VALUE!</v>
      </c>
      <c r="AE21" s="359" t="e">
        <f t="shared" si="11"/>
        <v>#VALUE!</v>
      </c>
      <c r="AF21" s="359" t="e">
        <f t="shared" si="11"/>
        <v>#VALUE!</v>
      </c>
      <c r="AG21" s="359" t="e">
        <f t="shared" si="11"/>
        <v>#VALUE!</v>
      </c>
      <c r="AH21" s="359" t="e">
        <f t="shared" si="11"/>
        <v>#VALUE!</v>
      </c>
      <c r="AI21" s="359" t="e">
        <f t="shared" si="11"/>
        <v>#VALUE!</v>
      </c>
      <c r="AJ21" s="359" t="e">
        <f t="shared" si="11"/>
        <v>#VALUE!</v>
      </c>
      <c r="AK21" s="359" t="e">
        <f t="shared" si="11"/>
        <v>#VALUE!</v>
      </c>
      <c r="AL21" s="359" t="e">
        <f t="shared" si="11"/>
        <v>#VALUE!</v>
      </c>
      <c r="AM21" s="359" t="e">
        <f t="shared" si="11"/>
        <v>#VALUE!</v>
      </c>
      <c r="AN21" s="359" t="e">
        <f t="shared" si="11"/>
        <v>#VALUE!</v>
      </c>
      <c r="AO21" s="359" t="e">
        <f t="shared" si="11"/>
        <v>#VALUE!</v>
      </c>
      <c r="AP21" s="359" t="e">
        <f t="shared" si="11"/>
        <v>#VALUE!</v>
      </c>
    </row>
    <row r="22" spans="1:42" x14ac:dyDescent="0.2">
      <c r="A22" s="31"/>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row>
    <row r="23" spans="1:42" x14ac:dyDescent="0.2">
      <c r="A23" s="31" t="s">
        <v>210</v>
      </c>
      <c r="C23" s="359">
        <f>PropertyTaxAssessedValue*(1-prop_tax_assessed_decline/100)^('Cash Flow'!C2-1)</f>
        <v>47500000</v>
      </c>
      <c r="D23" s="359">
        <f>PropertyTaxAssessedValue*(1-prop_tax_assessed_decline/100)^('Cash Flow'!D2-1)</f>
        <v>45125000</v>
      </c>
      <c r="E23" s="359">
        <f>PropertyTaxAssessedValue*(1-prop_tax_assessed_decline/100)^('Cash Flow'!E2-1)</f>
        <v>42868750</v>
      </c>
      <c r="F23" s="359">
        <f>PropertyTaxAssessedValue*(1-prop_tax_assessed_decline/100)^('Cash Flow'!F2-1)</f>
        <v>40725312.499999993</v>
      </c>
      <c r="G23" s="359">
        <f>PropertyTaxAssessedValue*(1-prop_tax_assessed_decline/100)^('Cash Flow'!G2-1)</f>
        <v>38689046.875</v>
      </c>
      <c r="H23" s="359">
        <f>PropertyTaxAssessedValue*(1-prop_tax_assessed_decline/100)^('Cash Flow'!H2-1)</f>
        <v>36754594.53125</v>
      </c>
      <c r="I23" s="359">
        <f>PropertyTaxAssessedValue*(1-prop_tax_assessed_decline/100)^('Cash Flow'!I2-1)</f>
        <v>34916864.804687493</v>
      </c>
      <c r="J23" s="359">
        <f>PropertyTaxAssessedValue*(1-prop_tax_assessed_decline/100)^('Cash Flow'!J2-1)</f>
        <v>33171021.564453121</v>
      </c>
      <c r="K23" s="359">
        <f>PropertyTaxAssessedValue*(1-prop_tax_assessed_decline/100)^('Cash Flow'!K2-1)</f>
        <v>31512470.486230467</v>
      </c>
      <c r="L23" s="359">
        <f>PropertyTaxAssessedValue*(1-prop_tax_assessed_decline/100)^('Cash Flow'!L2-1)</f>
        <v>29936846.961918943</v>
      </c>
      <c r="M23" s="359">
        <f>PropertyTaxAssessedValue*(1-prop_tax_assessed_decline/100)^('Cash Flow'!M2-1)</f>
        <v>28440004.613822997</v>
      </c>
      <c r="N23" s="359">
        <f>PropertyTaxAssessedValue*(1-prop_tax_assessed_decline/100)^('Cash Flow'!N2-1)</f>
        <v>27018004.383131843</v>
      </c>
      <c r="O23" s="359">
        <f>PropertyTaxAssessedValue*(1-prop_tax_assessed_decline/100)^('Cash Flow'!O2-1)</f>
        <v>25667104.16397525</v>
      </c>
      <c r="P23" s="359">
        <f>PropertyTaxAssessedValue*(1-prop_tax_assessed_decline/100)^('Cash Flow'!P2-1)</f>
        <v>24383748.95577649</v>
      </c>
      <c r="Q23" s="359">
        <f>PropertyTaxAssessedValue*(1-prop_tax_assessed_decline/100)^('Cash Flow'!Q2-1)</f>
        <v>23164561.507987663</v>
      </c>
      <c r="R23" s="359">
        <f>PropertyTaxAssessedValue*(1-prop_tax_assessed_decline/100)^('Cash Flow'!R2-1)</f>
        <v>22006333.432588283</v>
      </c>
      <c r="S23" s="359">
        <f>PropertyTaxAssessedValue*(1-prop_tax_assessed_decline/100)^('Cash Flow'!S2-1)</f>
        <v>20906016.760958869</v>
      </c>
      <c r="T23" s="359">
        <f>PropertyTaxAssessedValue*(1-prop_tax_assessed_decline/100)^('Cash Flow'!T2-1)</f>
        <v>19860715.922910925</v>
      </c>
      <c r="U23" s="359">
        <f>PropertyTaxAssessedValue*(1-prop_tax_assessed_decline/100)^('Cash Flow'!U2-1)</f>
        <v>18867680.126765378</v>
      </c>
      <c r="V23" s="359">
        <f>PropertyTaxAssessedValue*(1-prop_tax_assessed_decline/100)^('Cash Flow'!V2-1)</f>
        <v>17924296.120427109</v>
      </c>
      <c r="W23" s="359">
        <f>PropertyTaxAssessedValue*(1-prop_tax_assessed_decline/100)^('Cash Flow'!W2-1)</f>
        <v>17028081.314405754</v>
      </c>
      <c r="X23" s="359">
        <f>PropertyTaxAssessedValue*(1-prop_tax_assessed_decline/100)^('Cash Flow'!X2-1)</f>
        <v>16176677.248685466</v>
      </c>
      <c r="Y23" s="359">
        <f>PropertyTaxAssessedValue*(1-prop_tax_assessed_decline/100)^('Cash Flow'!Y2-1)</f>
        <v>15367843.386251191</v>
      </c>
      <c r="Z23" s="359">
        <f>PropertyTaxAssessedValue*(1-prop_tax_assessed_decline/100)^('Cash Flow'!Z2-1)</f>
        <v>14599451.216938633</v>
      </c>
      <c r="AA23" s="359">
        <f>PropertyTaxAssessedValue*(1-prop_tax_assessed_decline/100)^('Cash Flow'!AA2-1)</f>
        <v>13869478.656091701</v>
      </c>
      <c r="AB23" s="359" t="e">
        <f>PropertyTaxAssessedValue*(1-prop_tax_assessed_decline/100)^('Cash Flow'!AB2-1)</f>
        <v>#VALUE!</v>
      </c>
      <c r="AC23" s="359" t="e">
        <f>PropertyTaxAssessedValue*(1-prop_tax_assessed_decline/100)^('Cash Flow'!AC2-1)</f>
        <v>#VALUE!</v>
      </c>
      <c r="AD23" s="359" t="e">
        <f>PropertyTaxAssessedValue*(1-prop_tax_assessed_decline/100)^('Cash Flow'!AD2-1)</f>
        <v>#VALUE!</v>
      </c>
      <c r="AE23" s="359" t="e">
        <f>PropertyTaxAssessedValue*(1-prop_tax_assessed_decline/100)^('Cash Flow'!AE2-1)</f>
        <v>#VALUE!</v>
      </c>
      <c r="AF23" s="359" t="e">
        <f>PropertyTaxAssessedValue*(1-prop_tax_assessed_decline/100)^('Cash Flow'!AF2-1)</f>
        <v>#VALUE!</v>
      </c>
      <c r="AG23" s="359" t="e">
        <f>PropertyTaxAssessedValue*(1-prop_tax_assessed_decline/100)^('Cash Flow'!AG2-1)</f>
        <v>#VALUE!</v>
      </c>
      <c r="AH23" s="359" t="e">
        <f>PropertyTaxAssessedValue*(1-prop_tax_assessed_decline/100)^('Cash Flow'!AH2-1)</f>
        <v>#VALUE!</v>
      </c>
      <c r="AI23" s="359" t="e">
        <f>PropertyTaxAssessedValue*(1-prop_tax_assessed_decline/100)^('Cash Flow'!AI2-1)</f>
        <v>#VALUE!</v>
      </c>
      <c r="AJ23" s="359" t="e">
        <f>PropertyTaxAssessedValue*(1-prop_tax_assessed_decline/100)^('Cash Flow'!AJ2-1)</f>
        <v>#VALUE!</v>
      </c>
      <c r="AK23" s="359" t="e">
        <f>PropertyTaxAssessedValue*(1-prop_tax_assessed_decline/100)^('Cash Flow'!AK2-1)</f>
        <v>#VALUE!</v>
      </c>
      <c r="AL23" s="359" t="e">
        <f>PropertyTaxAssessedValue*(1-prop_tax_assessed_decline/100)^('Cash Flow'!AL2-1)</f>
        <v>#VALUE!</v>
      </c>
      <c r="AM23" s="359" t="e">
        <f>PropertyTaxAssessedValue*(1-prop_tax_assessed_decline/100)^('Cash Flow'!AM2-1)</f>
        <v>#VALUE!</v>
      </c>
      <c r="AN23" s="359" t="e">
        <f>PropertyTaxAssessedValue*(1-prop_tax_assessed_decline/100)^('Cash Flow'!AN2-1)</f>
        <v>#VALUE!</v>
      </c>
      <c r="AO23" s="359" t="e">
        <f>PropertyTaxAssessedValue*(1-prop_tax_assessed_decline/100)^('Cash Flow'!AO2-1)</f>
        <v>#VALUE!</v>
      </c>
      <c r="AP23" s="359" t="e">
        <f>PropertyTaxAssessedValue*(1-prop_tax_assessed_decline/100)^('Cash Flow'!AP2-1)</f>
        <v>#VALUE!</v>
      </c>
    </row>
    <row r="24" spans="1:42" x14ac:dyDescent="0.2">
      <c r="A24" s="3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row>
    <row r="25" spans="1:42" x14ac:dyDescent="0.2">
      <c r="A25" s="33" t="s">
        <v>18</v>
      </c>
      <c r="C25" s="25"/>
      <c r="D25" s="36"/>
      <c r="E25" s="36"/>
      <c r="F25" s="36"/>
      <c r="G25" s="36"/>
      <c r="H25" s="36"/>
      <c r="I25" s="36"/>
      <c r="J25" s="36"/>
      <c r="K25" s="36"/>
      <c r="L25" s="36"/>
      <c r="M25" s="36"/>
      <c r="N25" s="36"/>
      <c r="O25" s="36"/>
      <c r="P25" s="36"/>
      <c r="Q25" s="36"/>
      <c r="R25" s="36"/>
      <c r="S25" s="36"/>
    </row>
    <row r="26" spans="1:42" x14ac:dyDescent="0.2">
      <c r="A26" s="7" t="s">
        <v>211</v>
      </c>
      <c r="C26" s="359">
        <f t="shared" ref="C26:AP26" si="12">IF(C$2&lt;=analysis_period,om_fixed*(1+inflation_rate/100+om_fixed_escal/100)^B$2,0)</f>
        <v>10000</v>
      </c>
      <c r="D26" s="359">
        <f t="shared" si="12"/>
        <v>10350</v>
      </c>
      <c r="E26" s="359">
        <f t="shared" si="12"/>
        <v>10712.249999999998</v>
      </c>
      <c r="F26" s="359">
        <f t="shared" si="12"/>
        <v>11087.178749999997</v>
      </c>
      <c r="G26" s="359">
        <f t="shared" si="12"/>
        <v>11475.230006249996</v>
      </c>
      <c r="H26" s="359">
        <f t="shared" si="12"/>
        <v>11876.863056468745</v>
      </c>
      <c r="I26" s="359">
        <f t="shared" si="12"/>
        <v>12292.553263445152</v>
      </c>
      <c r="J26" s="359">
        <f t="shared" si="12"/>
        <v>12722.792627665731</v>
      </c>
      <c r="K26" s="359">
        <f t="shared" si="12"/>
        <v>13168.090369634028</v>
      </c>
      <c r="L26" s="359">
        <f t="shared" si="12"/>
        <v>13628.973532571217</v>
      </c>
      <c r="M26" s="359">
        <f t="shared" si="12"/>
        <v>14105.987606211211</v>
      </c>
      <c r="N26" s="359">
        <f t="shared" si="12"/>
        <v>14599.697172428603</v>
      </c>
      <c r="O26" s="359">
        <f t="shared" si="12"/>
        <v>15110.686573463603</v>
      </c>
      <c r="P26" s="359">
        <f t="shared" si="12"/>
        <v>15639.560603534826</v>
      </c>
      <c r="Q26" s="359">
        <f t="shared" si="12"/>
        <v>16186.945224658546</v>
      </c>
      <c r="R26" s="359">
        <f t="shared" si="12"/>
        <v>16753.488307521595</v>
      </c>
      <c r="S26" s="359">
        <f t="shared" si="12"/>
        <v>17339.860398284847</v>
      </c>
      <c r="T26" s="359">
        <f t="shared" si="12"/>
        <v>17946.755512224816</v>
      </c>
      <c r="U26" s="359">
        <f t="shared" si="12"/>
        <v>18574.891955152681</v>
      </c>
      <c r="V26" s="359">
        <f t="shared" si="12"/>
        <v>19225.013173583022</v>
      </c>
      <c r="W26" s="359">
        <f t="shared" si="12"/>
        <v>19897.888634658426</v>
      </c>
      <c r="X26" s="359">
        <f t="shared" si="12"/>
        <v>20594.314736871467</v>
      </c>
      <c r="Y26" s="359">
        <f t="shared" si="12"/>
        <v>21315.115752661972</v>
      </c>
      <c r="Z26" s="359">
        <f t="shared" si="12"/>
        <v>22061.14480400514</v>
      </c>
      <c r="AA26" s="359">
        <f t="shared" si="12"/>
        <v>22833.284872145316</v>
      </c>
      <c r="AB26" s="359">
        <f t="shared" si="12"/>
        <v>0</v>
      </c>
      <c r="AC26" s="359">
        <f t="shared" si="12"/>
        <v>0</v>
      </c>
      <c r="AD26" s="359">
        <f t="shared" si="12"/>
        <v>0</v>
      </c>
      <c r="AE26" s="359">
        <f t="shared" si="12"/>
        <v>0</v>
      </c>
      <c r="AF26" s="359">
        <f t="shared" si="12"/>
        <v>0</v>
      </c>
      <c r="AG26" s="359">
        <f t="shared" si="12"/>
        <v>0</v>
      </c>
      <c r="AH26" s="359">
        <f t="shared" si="12"/>
        <v>0</v>
      </c>
      <c r="AI26" s="359">
        <f t="shared" si="12"/>
        <v>0</v>
      </c>
      <c r="AJ26" s="359">
        <f t="shared" si="12"/>
        <v>0</v>
      </c>
      <c r="AK26" s="359">
        <f t="shared" si="12"/>
        <v>0</v>
      </c>
      <c r="AL26" s="359">
        <f t="shared" si="12"/>
        <v>0</v>
      </c>
      <c r="AM26" s="359">
        <f t="shared" si="12"/>
        <v>0</v>
      </c>
      <c r="AN26" s="359">
        <f t="shared" si="12"/>
        <v>0</v>
      </c>
      <c r="AO26" s="359">
        <f t="shared" si="12"/>
        <v>0</v>
      </c>
      <c r="AP26" s="359">
        <f t="shared" si="12"/>
        <v>0</v>
      </c>
    </row>
    <row r="27" spans="1:42" x14ac:dyDescent="0.2">
      <c r="A27" s="7" t="s">
        <v>0</v>
      </c>
    </row>
    <row r="28" spans="1:42" x14ac:dyDescent="0.2">
      <c r="A28" s="35" t="s">
        <v>19</v>
      </c>
      <c r="C28" s="374">
        <f t="shared" ref="C28:AP28" si="13">IF(C$2&lt;=analysis_period,system_capacity,0)</f>
        <v>10000</v>
      </c>
      <c r="D28" s="374">
        <f t="shared" si="13"/>
        <v>10000</v>
      </c>
      <c r="E28" s="374">
        <f t="shared" si="13"/>
        <v>10000</v>
      </c>
      <c r="F28" s="374">
        <f t="shared" si="13"/>
        <v>10000</v>
      </c>
      <c r="G28" s="374">
        <f t="shared" si="13"/>
        <v>10000</v>
      </c>
      <c r="H28" s="374">
        <f t="shared" si="13"/>
        <v>10000</v>
      </c>
      <c r="I28" s="374">
        <f t="shared" si="13"/>
        <v>10000</v>
      </c>
      <c r="J28" s="374">
        <f t="shared" si="13"/>
        <v>10000</v>
      </c>
      <c r="K28" s="374">
        <f t="shared" si="13"/>
        <v>10000</v>
      </c>
      <c r="L28" s="374">
        <f t="shared" si="13"/>
        <v>10000</v>
      </c>
      <c r="M28" s="374">
        <f t="shared" si="13"/>
        <v>10000</v>
      </c>
      <c r="N28" s="374">
        <f t="shared" si="13"/>
        <v>10000</v>
      </c>
      <c r="O28" s="374">
        <f t="shared" si="13"/>
        <v>10000</v>
      </c>
      <c r="P28" s="374">
        <f t="shared" si="13"/>
        <v>10000</v>
      </c>
      <c r="Q28" s="374">
        <f t="shared" si="13"/>
        <v>10000</v>
      </c>
      <c r="R28" s="374">
        <f t="shared" si="13"/>
        <v>10000</v>
      </c>
      <c r="S28" s="374">
        <f t="shared" si="13"/>
        <v>10000</v>
      </c>
      <c r="T28" s="374">
        <f t="shared" si="13"/>
        <v>10000</v>
      </c>
      <c r="U28" s="374">
        <f t="shared" si="13"/>
        <v>10000</v>
      </c>
      <c r="V28" s="374">
        <f t="shared" si="13"/>
        <v>10000</v>
      </c>
      <c r="W28" s="374">
        <f t="shared" si="13"/>
        <v>10000</v>
      </c>
      <c r="X28" s="374">
        <f t="shared" si="13"/>
        <v>10000</v>
      </c>
      <c r="Y28" s="374">
        <f t="shared" si="13"/>
        <v>10000</v>
      </c>
      <c r="Z28" s="374">
        <f t="shared" si="13"/>
        <v>10000</v>
      </c>
      <c r="AA28" s="374">
        <f t="shared" si="13"/>
        <v>10000</v>
      </c>
      <c r="AB28" s="374">
        <f t="shared" si="13"/>
        <v>0</v>
      </c>
      <c r="AC28" s="374">
        <f t="shared" si="13"/>
        <v>0</v>
      </c>
      <c r="AD28" s="374">
        <f t="shared" si="13"/>
        <v>0</v>
      </c>
      <c r="AE28" s="374">
        <f t="shared" si="13"/>
        <v>0</v>
      </c>
      <c r="AF28" s="374">
        <f t="shared" si="13"/>
        <v>0</v>
      </c>
      <c r="AG28" s="374">
        <f t="shared" si="13"/>
        <v>0</v>
      </c>
      <c r="AH28" s="374">
        <f t="shared" si="13"/>
        <v>0</v>
      </c>
      <c r="AI28" s="374">
        <f t="shared" si="13"/>
        <v>0</v>
      </c>
      <c r="AJ28" s="374">
        <f t="shared" si="13"/>
        <v>0</v>
      </c>
      <c r="AK28" s="374">
        <f t="shared" si="13"/>
        <v>0</v>
      </c>
      <c r="AL28" s="374">
        <f t="shared" si="13"/>
        <v>0</v>
      </c>
      <c r="AM28" s="374">
        <f t="shared" si="13"/>
        <v>0</v>
      </c>
      <c r="AN28" s="374">
        <f t="shared" si="13"/>
        <v>0</v>
      </c>
      <c r="AO28" s="374">
        <f t="shared" si="13"/>
        <v>0</v>
      </c>
      <c r="AP28" s="374">
        <f t="shared" si="13"/>
        <v>0</v>
      </c>
    </row>
    <row r="29" spans="1:42" x14ac:dyDescent="0.2">
      <c r="A29" s="35" t="s">
        <v>20</v>
      </c>
      <c r="C29" s="370">
        <f t="shared" ref="C29:AP29" si="14">IF(C$2&lt;=analysis_period,om_capacity*(1+inflation_rate/100+om_capacity_escal/100)^B$2,0)</f>
        <v>22</v>
      </c>
      <c r="D29" s="370">
        <f t="shared" si="14"/>
        <v>22.715</v>
      </c>
      <c r="E29" s="370">
        <f t="shared" si="14"/>
        <v>23.4532375</v>
      </c>
      <c r="F29" s="370">
        <f t="shared" si="14"/>
        <v>24.215467718749995</v>
      </c>
      <c r="G29" s="370">
        <f t="shared" si="14"/>
        <v>25.002470419609374</v>
      </c>
      <c r="H29" s="370">
        <f t="shared" si="14"/>
        <v>25.815050708246677</v>
      </c>
      <c r="I29" s="370">
        <f t="shared" si="14"/>
        <v>26.654039856264689</v>
      </c>
      <c r="J29" s="370">
        <f t="shared" si="14"/>
        <v>27.520296151593293</v>
      </c>
      <c r="K29" s="370">
        <f t="shared" si="14"/>
        <v>28.41470577652008</v>
      </c>
      <c r="L29" s="370">
        <f t="shared" si="14"/>
        <v>29.338183714256981</v>
      </c>
      <c r="M29" s="370">
        <f t="shared" si="14"/>
        <v>30.291674684970332</v>
      </c>
      <c r="N29" s="370">
        <f t="shared" si="14"/>
        <v>31.276154112231865</v>
      </c>
      <c r="O29" s="370">
        <f t="shared" si="14"/>
        <v>32.292629120879404</v>
      </c>
      <c r="P29" s="370">
        <f t="shared" si="14"/>
        <v>33.342139567307981</v>
      </c>
      <c r="Q29" s="370">
        <f t="shared" si="14"/>
        <v>34.425759103245483</v>
      </c>
      <c r="R29" s="370">
        <f t="shared" si="14"/>
        <v>35.544596274100968</v>
      </c>
      <c r="S29" s="370">
        <f t="shared" si="14"/>
        <v>36.699795653009254</v>
      </c>
      <c r="T29" s="370">
        <f t="shared" si="14"/>
        <v>37.892539011732048</v>
      </c>
      <c r="U29" s="370">
        <f t="shared" si="14"/>
        <v>39.124046529613338</v>
      </c>
      <c r="V29" s="370">
        <f t="shared" si="14"/>
        <v>40.395578041825772</v>
      </c>
      <c r="W29" s="370">
        <f t="shared" si="14"/>
        <v>41.708434328185113</v>
      </c>
      <c r="X29" s="370">
        <f t="shared" si="14"/>
        <v>43.063958443851128</v>
      </c>
      <c r="Y29" s="370">
        <f t="shared" si="14"/>
        <v>44.463537093276287</v>
      </c>
      <c r="Z29" s="370">
        <f t="shared" si="14"/>
        <v>45.908602048807765</v>
      </c>
      <c r="AA29" s="370">
        <f t="shared" si="14"/>
        <v>47.400631615394026</v>
      </c>
      <c r="AB29" s="370">
        <f t="shared" si="14"/>
        <v>0</v>
      </c>
      <c r="AC29" s="370">
        <f t="shared" si="14"/>
        <v>0</v>
      </c>
      <c r="AD29" s="370">
        <f t="shared" si="14"/>
        <v>0</v>
      </c>
      <c r="AE29" s="370">
        <f t="shared" si="14"/>
        <v>0</v>
      </c>
      <c r="AF29" s="370">
        <f t="shared" si="14"/>
        <v>0</v>
      </c>
      <c r="AG29" s="370">
        <f t="shared" si="14"/>
        <v>0</v>
      </c>
      <c r="AH29" s="370">
        <f t="shared" si="14"/>
        <v>0</v>
      </c>
      <c r="AI29" s="370">
        <f t="shared" si="14"/>
        <v>0</v>
      </c>
      <c r="AJ29" s="370">
        <f t="shared" si="14"/>
        <v>0</v>
      </c>
      <c r="AK29" s="370">
        <f t="shared" si="14"/>
        <v>0</v>
      </c>
      <c r="AL29" s="370">
        <f t="shared" si="14"/>
        <v>0</v>
      </c>
      <c r="AM29" s="370">
        <f t="shared" si="14"/>
        <v>0</v>
      </c>
      <c r="AN29" s="370">
        <f t="shared" si="14"/>
        <v>0</v>
      </c>
      <c r="AO29" s="370">
        <f t="shared" si="14"/>
        <v>0</v>
      </c>
      <c r="AP29" s="370">
        <f t="shared" si="14"/>
        <v>0</v>
      </c>
    </row>
    <row r="30" spans="1:42" x14ac:dyDescent="0.2">
      <c r="A30" s="35" t="s">
        <v>212</v>
      </c>
      <c r="C30" s="359">
        <f>C28*C29</f>
        <v>220000</v>
      </c>
      <c r="D30" s="359">
        <f t="shared" ref="D30:AP30" si="15">D28*D29</f>
        <v>227150</v>
      </c>
      <c r="E30" s="359">
        <f t="shared" si="15"/>
        <v>234532.375</v>
      </c>
      <c r="F30" s="359">
        <f t="shared" si="15"/>
        <v>242154.67718749994</v>
      </c>
      <c r="G30" s="359">
        <f t="shared" si="15"/>
        <v>250024.70419609375</v>
      </c>
      <c r="H30" s="359">
        <f t="shared" si="15"/>
        <v>258150.50708246676</v>
      </c>
      <c r="I30" s="359">
        <f t="shared" si="15"/>
        <v>266540.39856264688</v>
      </c>
      <c r="J30" s="359">
        <f t="shared" si="15"/>
        <v>275202.96151593293</v>
      </c>
      <c r="K30" s="359">
        <f t="shared" si="15"/>
        <v>284147.05776520079</v>
      </c>
      <c r="L30" s="359">
        <f t="shared" si="15"/>
        <v>293381.83714256983</v>
      </c>
      <c r="M30" s="359">
        <f t="shared" si="15"/>
        <v>302916.74684970331</v>
      </c>
      <c r="N30" s="359">
        <f t="shared" si="15"/>
        <v>312761.54112231865</v>
      </c>
      <c r="O30" s="359">
        <f t="shared" si="15"/>
        <v>322926.29120879405</v>
      </c>
      <c r="P30" s="359">
        <f t="shared" si="15"/>
        <v>333421.39567307982</v>
      </c>
      <c r="Q30" s="359">
        <f t="shared" si="15"/>
        <v>344257.5910324548</v>
      </c>
      <c r="R30" s="359">
        <f t="shared" si="15"/>
        <v>355445.96274100966</v>
      </c>
      <c r="S30" s="359">
        <f t="shared" si="15"/>
        <v>366997.95653009252</v>
      </c>
      <c r="T30" s="359">
        <f t="shared" si="15"/>
        <v>378925.39011732046</v>
      </c>
      <c r="U30" s="359">
        <f t="shared" si="15"/>
        <v>391240.46529613336</v>
      </c>
      <c r="V30" s="359">
        <f t="shared" si="15"/>
        <v>403955.78041825769</v>
      </c>
      <c r="W30" s="359">
        <f t="shared" si="15"/>
        <v>417084.34328185115</v>
      </c>
      <c r="X30" s="359">
        <f t="shared" si="15"/>
        <v>430639.58443851129</v>
      </c>
      <c r="Y30" s="359">
        <f t="shared" si="15"/>
        <v>444635.37093276286</v>
      </c>
      <c r="Z30" s="359">
        <f t="shared" si="15"/>
        <v>459086.02048807766</v>
      </c>
      <c r="AA30" s="359">
        <f t="shared" si="15"/>
        <v>474006.31615394028</v>
      </c>
      <c r="AB30" s="359">
        <f t="shared" si="15"/>
        <v>0</v>
      </c>
      <c r="AC30" s="359">
        <f t="shared" si="15"/>
        <v>0</v>
      </c>
      <c r="AD30" s="359">
        <f t="shared" si="15"/>
        <v>0</v>
      </c>
      <c r="AE30" s="359">
        <f t="shared" si="15"/>
        <v>0</v>
      </c>
      <c r="AF30" s="359">
        <f t="shared" si="15"/>
        <v>0</v>
      </c>
      <c r="AG30" s="359">
        <f t="shared" si="15"/>
        <v>0</v>
      </c>
      <c r="AH30" s="359">
        <f t="shared" si="15"/>
        <v>0</v>
      </c>
      <c r="AI30" s="359">
        <f t="shared" si="15"/>
        <v>0</v>
      </c>
      <c r="AJ30" s="359">
        <f t="shared" si="15"/>
        <v>0</v>
      </c>
      <c r="AK30" s="359">
        <f t="shared" si="15"/>
        <v>0</v>
      </c>
      <c r="AL30" s="359">
        <f t="shared" si="15"/>
        <v>0</v>
      </c>
      <c r="AM30" s="359">
        <f t="shared" si="15"/>
        <v>0</v>
      </c>
      <c r="AN30" s="359">
        <f t="shared" si="15"/>
        <v>0</v>
      </c>
      <c r="AO30" s="359">
        <f t="shared" si="15"/>
        <v>0</v>
      </c>
      <c r="AP30" s="359">
        <f t="shared" si="15"/>
        <v>0</v>
      </c>
    </row>
    <row r="31" spans="1:42" x14ac:dyDescent="0.2">
      <c r="A31" s="7" t="s">
        <v>1</v>
      </c>
    </row>
    <row r="32" spans="1:42" x14ac:dyDescent="0.2">
      <c r="A32" s="35" t="s">
        <v>22</v>
      </c>
      <c r="C32" s="359">
        <f>C6/1000</f>
        <v>32344.835999999999</v>
      </c>
      <c r="D32" s="359">
        <f t="shared" ref="D32:AP32" si="16">D6/1000</f>
        <v>32183.111820000002</v>
      </c>
      <c r="E32" s="359">
        <f t="shared" si="16"/>
        <v>32022.1962609</v>
      </c>
      <c r="F32" s="359">
        <f t="shared" si="16"/>
        <v>31862.085279595503</v>
      </c>
      <c r="G32" s="359">
        <f t="shared" si="16"/>
        <v>31702.774853197527</v>
      </c>
      <c r="H32" s="359">
        <f t="shared" si="16"/>
        <v>31544.260978931539</v>
      </c>
      <c r="I32" s="359">
        <f t="shared" si="16"/>
        <v>31386.539674036878</v>
      </c>
      <c r="J32" s="359">
        <f t="shared" si="16"/>
        <v>31229.606975666695</v>
      </c>
      <c r="K32" s="359">
        <f t="shared" si="16"/>
        <v>31073.458940788361</v>
      </c>
      <c r="L32" s="359">
        <f t="shared" si="16"/>
        <v>30918.09164608442</v>
      </c>
      <c r="M32" s="359">
        <f t="shared" si="16"/>
        <v>30763.501187853999</v>
      </c>
      <c r="N32" s="359">
        <f t="shared" si="16"/>
        <v>30609.683681914728</v>
      </c>
      <c r="O32" s="359">
        <f t="shared" si="16"/>
        <v>30456.635263505155</v>
      </c>
      <c r="P32" s="359">
        <f t="shared" si="16"/>
        <v>30304.352087187632</v>
      </c>
      <c r="Q32" s="359">
        <f t="shared" si="16"/>
        <v>30152.830326751693</v>
      </c>
      <c r="R32" s="359">
        <f t="shared" si="16"/>
        <v>30002.066175117936</v>
      </c>
      <c r="S32" s="359">
        <f t="shared" si="16"/>
        <v>29852.055844242346</v>
      </c>
      <c r="T32" s="359">
        <f t="shared" si="16"/>
        <v>29702.79556502113</v>
      </c>
      <c r="U32" s="359">
        <f t="shared" si="16"/>
        <v>29554.281587196027</v>
      </c>
      <c r="V32" s="359">
        <f t="shared" si="16"/>
        <v>29406.510179260044</v>
      </c>
      <c r="W32" s="359">
        <f t="shared" si="16"/>
        <v>29259.477628363747</v>
      </c>
      <c r="X32" s="359">
        <f t="shared" si="16"/>
        <v>29113.180240221929</v>
      </c>
      <c r="Y32" s="359">
        <f t="shared" si="16"/>
        <v>28967.61433902082</v>
      </c>
      <c r="Z32" s="359">
        <f t="shared" si="16"/>
        <v>28822.776267325713</v>
      </c>
      <c r="AA32" s="359">
        <f t="shared" si="16"/>
        <v>28678.662385989086</v>
      </c>
      <c r="AB32" s="359">
        <f t="shared" si="16"/>
        <v>0</v>
      </c>
      <c r="AC32" s="359">
        <f t="shared" si="16"/>
        <v>0</v>
      </c>
      <c r="AD32" s="359">
        <f t="shared" si="16"/>
        <v>0</v>
      </c>
      <c r="AE32" s="359">
        <f t="shared" si="16"/>
        <v>0</v>
      </c>
      <c r="AF32" s="359">
        <f t="shared" si="16"/>
        <v>0</v>
      </c>
      <c r="AG32" s="359">
        <f t="shared" si="16"/>
        <v>0</v>
      </c>
      <c r="AH32" s="359">
        <f t="shared" si="16"/>
        <v>0</v>
      </c>
      <c r="AI32" s="359">
        <f t="shared" si="16"/>
        <v>0</v>
      </c>
      <c r="AJ32" s="359">
        <f t="shared" si="16"/>
        <v>0</v>
      </c>
      <c r="AK32" s="359">
        <f t="shared" si="16"/>
        <v>0</v>
      </c>
      <c r="AL32" s="359">
        <f t="shared" si="16"/>
        <v>0</v>
      </c>
      <c r="AM32" s="359">
        <f t="shared" si="16"/>
        <v>0</v>
      </c>
      <c r="AN32" s="359">
        <f t="shared" si="16"/>
        <v>0</v>
      </c>
      <c r="AO32" s="359">
        <f t="shared" si="16"/>
        <v>0</v>
      </c>
      <c r="AP32" s="359">
        <f t="shared" si="16"/>
        <v>0</v>
      </c>
    </row>
    <row r="33" spans="1:42" x14ac:dyDescent="0.2">
      <c r="A33" s="35" t="s">
        <v>23</v>
      </c>
      <c r="C33" s="370">
        <f t="shared" ref="C33:AP33" si="17">IF(C$2&lt;=analysis_period,om_production*(1+inflation_rate/100+om_production_escal/100)^B$2,0)</f>
        <v>3.5</v>
      </c>
      <c r="D33" s="370">
        <f t="shared" si="17"/>
        <v>3.5874999999999995</v>
      </c>
      <c r="E33" s="370">
        <f t="shared" si="17"/>
        <v>3.6771874999999996</v>
      </c>
      <c r="F33" s="370">
        <f t="shared" si="17"/>
        <v>3.7691171874999996</v>
      </c>
      <c r="G33" s="370">
        <f t="shared" si="17"/>
        <v>3.8633451171874991</v>
      </c>
      <c r="H33" s="370">
        <f t="shared" si="17"/>
        <v>3.9599287451171863</v>
      </c>
      <c r="I33" s="370">
        <f t="shared" si="17"/>
        <v>4.0589269637451153</v>
      </c>
      <c r="J33" s="370">
        <f t="shared" si="17"/>
        <v>4.1604001378387441</v>
      </c>
      <c r="K33" s="370">
        <f t="shared" si="17"/>
        <v>4.2644101412847117</v>
      </c>
      <c r="L33" s="370">
        <f t="shared" si="17"/>
        <v>4.3710203948168287</v>
      </c>
      <c r="M33" s="370">
        <f t="shared" si="17"/>
        <v>4.4802959046872495</v>
      </c>
      <c r="N33" s="370">
        <f t="shared" si="17"/>
        <v>4.5923033023044306</v>
      </c>
      <c r="O33" s="370">
        <f t="shared" si="17"/>
        <v>4.7071108848620415</v>
      </c>
      <c r="P33" s="370">
        <f t="shared" si="17"/>
        <v>4.8247886569835918</v>
      </c>
      <c r="Q33" s="370">
        <f t="shared" si="17"/>
        <v>4.9454083734081813</v>
      </c>
      <c r="R33" s="370">
        <f t="shared" si="17"/>
        <v>5.0690435827433866</v>
      </c>
      <c r="S33" s="370">
        <f t="shared" si="17"/>
        <v>5.1957696723119708</v>
      </c>
      <c r="T33" s="370">
        <f t="shared" si="17"/>
        <v>5.3256639141197697</v>
      </c>
      <c r="U33" s="370">
        <f t="shared" si="17"/>
        <v>5.4588055119727636</v>
      </c>
      <c r="V33" s="370">
        <f t="shared" si="17"/>
        <v>5.5952756497720832</v>
      </c>
      <c r="W33" s="370">
        <f t="shared" si="17"/>
        <v>5.7351575410163846</v>
      </c>
      <c r="X33" s="370">
        <f t="shared" si="17"/>
        <v>5.8785364795417934</v>
      </c>
      <c r="Y33" s="370">
        <f t="shared" si="17"/>
        <v>6.0254998915303384</v>
      </c>
      <c r="Z33" s="370">
        <f t="shared" si="17"/>
        <v>6.1761373888185966</v>
      </c>
      <c r="AA33" s="370">
        <f t="shared" si="17"/>
        <v>6.330540823539061</v>
      </c>
      <c r="AB33" s="370">
        <f t="shared" si="17"/>
        <v>0</v>
      </c>
      <c r="AC33" s="370">
        <f t="shared" si="17"/>
        <v>0</v>
      </c>
      <c r="AD33" s="370">
        <f t="shared" si="17"/>
        <v>0</v>
      </c>
      <c r="AE33" s="370">
        <f t="shared" si="17"/>
        <v>0</v>
      </c>
      <c r="AF33" s="370">
        <f t="shared" si="17"/>
        <v>0</v>
      </c>
      <c r="AG33" s="370">
        <f t="shared" si="17"/>
        <v>0</v>
      </c>
      <c r="AH33" s="370">
        <f t="shared" si="17"/>
        <v>0</v>
      </c>
      <c r="AI33" s="370">
        <f t="shared" si="17"/>
        <v>0</v>
      </c>
      <c r="AJ33" s="370">
        <f t="shared" si="17"/>
        <v>0</v>
      </c>
      <c r="AK33" s="370">
        <f t="shared" si="17"/>
        <v>0</v>
      </c>
      <c r="AL33" s="370">
        <f t="shared" si="17"/>
        <v>0</v>
      </c>
      <c r="AM33" s="370">
        <f t="shared" si="17"/>
        <v>0</v>
      </c>
      <c r="AN33" s="370">
        <f t="shared" si="17"/>
        <v>0</v>
      </c>
      <c r="AO33" s="370">
        <f t="shared" si="17"/>
        <v>0</v>
      </c>
      <c r="AP33" s="370">
        <f t="shared" si="17"/>
        <v>0</v>
      </c>
    </row>
    <row r="34" spans="1:42" x14ac:dyDescent="0.2">
      <c r="A34" s="35" t="s">
        <v>213</v>
      </c>
      <c r="C34" s="375">
        <f>C32*C33</f>
        <v>113206.92599999999</v>
      </c>
      <c r="D34" s="375">
        <f t="shared" ref="D34:AP34" si="18">D32*D33</f>
        <v>115456.91365424999</v>
      </c>
      <c r="E34" s="375">
        <f t="shared" si="18"/>
        <v>117751.6198131282</v>
      </c>
      <c r="F34" s="375">
        <f t="shared" si="18"/>
        <v>120091.93325691414</v>
      </c>
      <c r="G34" s="375">
        <f t="shared" si="18"/>
        <v>122478.7604303953</v>
      </c>
      <c r="H34" s="375">
        <f t="shared" si="18"/>
        <v>124913.02579394939</v>
      </c>
      <c r="I34" s="375">
        <f t="shared" si="18"/>
        <v>127395.67218160411</v>
      </c>
      <c r="J34" s="375">
        <f t="shared" si="18"/>
        <v>129927.66116621353</v>
      </c>
      <c r="K34" s="375">
        <f t="shared" si="18"/>
        <v>132509.97343189199</v>
      </c>
      <c r="L34" s="375">
        <f t="shared" si="18"/>
        <v>135143.60915385082</v>
      </c>
      <c r="M34" s="375">
        <f t="shared" si="18"/>
        <v>137829.5883857836</v>
      </c>
      <c r="N34" s="375">
        <f t="shared" si="18"/>
        <v>140568.95145495105</v>
      </c>
      <c r="O34" s="375">
        <f t="shared" si="18"/>
        <v>143362.7593651182</v>
      </c>
      <c r="P34" s="375">
        <f t="shared" si="18"/>
        <v>146212.09420749993</v>
      </c>
      <c r="Q34" s="375">
        <f t="shared" si="18"/>
        <v>149118.05957987398</v>
      </c>
      <c r="R34" s="375">
        <f t="shared" si="18"/>
        <v>152081.78101402399</v>
      </c>
      <c r="S34" s="375">
        <f t="shared" si="18"/>
        <v>155104.40641167772</v>
      </c>
      <c r="T34" s="375">
        <f t="shared" si="18"/>
        <v>158187.10648910978</v>
      </c>
      <c r="U34" s="375">
        <f t="shared" si="18"/>
        <v>161331.07523058081</v>
      </c>
      <c r="V34" s="375">
        <f t="shared" si="18"/>
        <v>164537.53035078861</v>
      </c>
      <c r="W34" s="375">
        <f t="shared" si="18"/>
        <v>167807.71376651054</v>
      </c>
      <c r="X34" s="375">
        <f t="shared" si="18"/>
        <v>171142.89207761991</v>
      </c>
      <c r="Y34" s="375">
        <f t="shared" si="18"/>
        <v>174544.35705766262</v>
      </c>
      <c r="Z34" s="375">
        <f t="shared" si="18"/>
        <v>178013.42615418366</v>
      </c>
      <c r="AA34" s="375">
        <f t="shared" si="18"/>
        <v>181551.44299899804</v>
      </c>
      <c r="AB34" s="375">
        <f t="shared" si="18"/>
        <v>0</v>
      </c>
      <c r="AC34" s="375">
        <f t="shared" si="18"/>
        <v>0</v>
      </c>
      <c r="AD34" s="375">
        <f t="shared" si="18"/>
        <v>0</v>
      </c>
      <c r="AE34" s="375">
        <f t="shared" si="18"/>
        <v>0</v>
      </c>
      <c r="AF34" s="375">
        <f t="shared" si="18"/>
        <v>0</v>
      </c>
      <c r="AG34" s="375">
        <f t="shared" si="18"/>
        <v>0</v>
      </c>
      <c r="AH34" s="375">
        <f t="shared" si="18"/>
        <v>0</v>
      </c>
      <c r="AI34" s="375">
        <f t="shared" si="18"/>
        <v>0</v>
      </c>
      <c r="AJ34" s="375">
        <f t="shared" si="18"/>
        <v>0</v>
      </c>
      <c r="AK34" s="375">
        <f t="shared" si="18"/>
        <v>0</v>
      </c>
      <c r="AL34" s="375">
        <f t="shared" si="18"/>
        <v>0</v>
      </c>
      <c r="AM34" s="375">
        <f t="shared" si="18"/>
        <v>0</v>
      </c>
      <c r="AN34" s="375">
        <f t="shared" si="18"/>
        <v>0</v>
      </c>
      <c r="AO34" s="375">
        <f t="shared" si="18"/>
        <v>0</v>
      </c>
      <c r="AP34" s="375">
        <f t="shared" si="18"/>
        <v>0</v>
      </c>
    </row>
    <row r="35" spans="1:42" x14ac:dyDescent="0.2">
      <c r="A35" s="31" t="s">
        <v>2</v>
      </c>
      <c r="C35" s="359">
        <f t="shared" ref="C35:AP35" si="19">C23*property_tax_rate/100</f>
        <v>356250</v>
      </c>
      <c r="D35" s="359">
        <f t="shared" si="19"/>
        <v>338437.5</v>
      </c>
      <c r="E35" s="359">
        <f t="shared" si="19"/>
        <v>321515.625</v>
      </c>
      <c r="F35" s="359">
        <f t="shared" si="19"/>
        <v>305439.84374999994</v>
      </c>
      <c r="G35" s="359">
        <f t="shared" si="19"/>
        <v>290167.8515625</v>
      </c>
      <c r="H35" s="359">
        <f t="shared" si="19"/>
        <v>275659.458984375</v>
      </c>
      <c r="I35" s="359">
        <f t="shared" si="19"/>
        <v>261876.48603515618</v>
      </c>
      <c r="J35" s="359">
        <f t="shared" si="19"/>
        <v>248782.66173339839</v>
      </c>
      <c r="K35" s="359">
        <f t="shared" si="19"/>
        <v>236343.52864672852</v>
      </c>
      <c r="L35" s="359">
        <f t="shared" si="19"/>
        <v>224526.35221439204</v>
      </c>
      <c r="M35" s="359">
        <f t="shared" si="19"/>
        <v>213300.03460367248</v>
      </c>
      <c r="N35" s="359">
        <f t="shared" si="19"/>
        <v>202635.03287348882</v>
      </c>
      <c r="O35" s="359">
        <f t="shared" si="19"/>
        <v>192503.28122981437</v>
      </c>
      <c r="P35" s="359">
        <f t="shared" si="19"/>
        <v>182878.11716832369</v>
      </c>
      <c r="Q35" s="359">
        <f t="shared" si="19"/>
        <v>173734.21130990746</v>
      </c>
      <c r="R35" s="359">
        <f t="shared" si="19"/>
        <v>165047.50074441213</v>
      </c>
      <c r="S35" s="359">
        <f t="shared" si="19"/>
        <v>156795.12570719153</v>
      </c>
      <c r="T35" s="359">
        <f t="shared" si="19"/>
        <v>148955.36942183191</v>
      </c>
      <c r="U35" s="359">
        <f t="shared" si="19"/>
        <v>141507.60095074034</v>
      </c>
      <c r="V35" s="359">
        <f t="shared" si="19"/>
        <v>134432.22090320333</v>
      </c>
      <c r="W35" s="359">
        <f t="shared" si="19"/>
        <v>127710.60985804316</v>
      </c>
      <c r="X35" s="359">
        <f t="shared" si="19"/>
        <v>121325.07936514101</v>
      </c>
      <c r="Y35" s="359">
        <f t="shared" si="19"/>
        <v>115258.82539688394</v>
      </c>
      <c r="Z35" s="359">
        <f t="shared" si="19"/>
        <v>109495.88412703975</v>
      </c>
      <c r="AA35" s="359">
        <f t="shared" si="19"/>
        <v>104021.08992068775</v>
      </c>
      <c r="AB35" s="359" t="e">
        <f t="shared" si="19"/>
        <v>#VALUE!</v>
      </c>
      <c r="AC35" s="359" t="e">
        <f t="shared" si="19"/>
        <v>#VALUE!</v>
      </c>
      <c r="AD35" s="359" t="e">
        <f t="shared" si="19"/>
        <v>#VALUE!</v>
      </c>
      <c r="AE35" s="359" t="e">
        <f t="shared" si="19"/>
        <v>#VALUE!</v>
      </c>
      <c r="AF35" s="359" t="e">
        <f t="shared" si="19"/>
        <v>#VALUE!</v>
      </c>
      <c r="AG35" s="359" t="e">
        <f t="shared" si="19"/>
        <v>#VALUE!</v>
      </c>
      <c r="AH35" s="359" t="e">
        <f t="shared" si="19"/>
        <v>#VALUE!</v>
      </c>
      <c r="AI35" s="359" t="e">
        <f t="shared" si="19"/>
        <v>#VALUE!</v>
      </c>
      <c r="AJ35" s="359" t="e">
        <f t="shared" si="19"/>
        <v>#VALUE!</v>
      </c>
      <c r="AK35" s="359" t="e">
        <f t="shared" si="19"/>
        <v>#VALUE!</v>
      </c>
      <c r="AL35" s="359" t="e">
        <f t="shared" si="19"/>
        <v>#VALUE!</v>
      </c>
      <c r="AM35" s="359" t="e">
        <f t="shared" si="19"/>
        <v>#VALUE!</v>
      </c>
      <c r="AN35" s="359" t="e">
        <f t="shared" si="19"/>
        <v>#VALUE!</v>
      </c>
      <c r="AO35" s="359" t="e">
        <f t="shared" si="19"/>
        <v>#VALUE!</v>
      </c>
      <c r="AP35" s="359" t="e">
        <f t="shared" si="19"/>
        <v>#VALUE!</v>
      </c>
    </row>
    <row r="36" spans="1:42" x14ac:dyDescent="0.2">
      <c r="A36" s="31" t="s">
        <v>67</v>
      </c>
      <c r="C36" s="360">
        <f t="shared" ref="C36:AP36" si="20">IF(C$2&lt;=analysis_period,total_installed_cost*insurance_rate/100*(1+inflation_rate/100)^B$2,0)</f>
        <v>250000</v>
      </c>
      <c r="D36" s="360">
        <f t="shared" si="20"/>
        <v>256249.99999999997</v>
      </c>
      <c r="E36" s="360">
        <f t="shared" si="20"/>
        <v>262656.25</v>
      </c>
      <c r="F36" s="360">
        <f t="shared" si="20"/>
        <v>269222.65624999994</v>
      </c>
      <c r="G36" s="360">
        <f t="shared" si="20"/>
        <v>275953.22265624994</v>
      </c>
      <c r="H36" s="360">
        <f t="shared" si="20"/>
        <v>282852.05322265619</v>
      </c>
      <c r="I36" s="360">
        <f t="shared" si="20"/>
        <v>289923.35455322254</v>
      </c>
      <c r="J36" s="360">
        <f t="shared" si="20"/>
        <v>297171.43841705314</v>
      </c>
      <c r="K36" s="360">
        <f t="shared" si="20"/>
        <v>304600.7243774794</v>
      </c>
      <c r="L36" s="360">
        <f t="shared" si="20"/>
        <v>312215.74248691637</v>
      </c>
      <c r="M36" s="360">
        <f t="shared" si="20"/>
        <v>320021.13604908925</v>
      </c>
      <c r="N36" s="360">
        <f t="shared" si="20"/>
        <v>328021.66445031652</v>
      </c>
      <c r="O36" s="360">
        <f t="shared" si="20"/>
        <v>336222.2060615744</v>
      </c>
      <c r="P36" s="360">
        <f t="shared" si="20"/>
        <v>344627.76121311373</v>
      </c>
      <c r="Q36" s="360">
        <f t="shared" si="20"/>
        <v>353243.45524344151</v>
      </c>
      <c r="R36" s="360">
        <f t="shared" si="20"/>
        <v>362074.5416245276</v>
      </c>
      <c r="S36" s="360">
        <f t="shared" si="20"/>
        <v>371126.40516514081</v>
      </c>
      <c r="T36" s="360">
        <f t="shared" si="20"/>
        <v>380404.56529426924</v>
      </c>
      <c r="U36" s="360">
        <f t="shared" si="20"/>
        <v>389914.67942662601</v>
      </c>
      <c r="V36" s="360">
        <f t="shared" si="20"/>
        <v>399662.54641229165</v>
      </c>
      <c r="W36" s="360">
        <f t="shared" si="20"/>
        <v>409654.11007259891</v>
      </c>
      <c r="X36" s="360">
        <f t="shared" si="20"/>
        <v>419895.46282441379</v>
      </c>
      <c r="Y36" s="360">
        <f t="shared" si="20"/>
        <v>430392.84939502412</v>
      </c>
      <c r="Z36" s="360">
        <f t="shared" si="20"/>
        <v>441152.67062989977</v>
      </c>
      <c r="AA36" s="360">
        <f t="shared" si="20"/>
        <v>452181.48739564721</v>
      </c>
      <c r="AB36" s="360">
        <f t="shared" si="20"/>
        <v>0</v>
      </c>
      <c r="AC36" s="360">
        <f t="shared" si="20"/>
        <v>0</v>
      </c>
      <c r="AD36" s="360">
        <f t="shared" si="20"/>
        <v>0</v>
      </c>
      <c r="AE36" s="360">
        <f t="shared" si="20"/>
        <v>0</v>
      </c>
      <c r="AF36" s="360">
        <f t="shared" si="20"/>
        <v>0</v>
      </c>
      <c r="AG36" s="360">
        <f t="shared" si="20"/>
        <v>0</v>
      </c>
      <c r="AH36" s="360">
        <f t="shared" si="20"/>
        <v>0</v>
      </c>
      <c r="AI36" s="360">
        <f t="shared" si="20"/>
        <v>0</v>
      </c>
      <c r="AJ36" s="360">
        <f t="shared" si="20"/>
        <v>0</v>
      </c>
      <c r="AK36" s="360">
        <f t="shared" si="20"/>
        <v>0</v>
      </c>
      <c r="AL36" s="360">
        <f t="shared" si="20"/>
        <v>0</v>
      </c>
      <c r="AM36" s="360">
        <f t="shared" si="20"/>
        <v>0</v>
      </c>
      <c r="AN36" s="360">
        <f t="shared" si="20"/>
        <v>0</v>
      </c>
      <c r="AO36" s="360">
        <f t="shared" si="20"/>
        <v>0</v>
      </c>
      <c r="AP36" s="360">
        <f t="shared" si="20"/>
        <v>0</v>
      </c>
    </row>
    <row r="37" spans="1:42" x14ac:dyDescent="0.2">
      <c r="A37" s="7" t="s">
        <v>29</v>
      </c>
      <c r="C37" s="359">
        <f t="shared" ref="C37:AP37" si="21">C26+C30+C34+C35+C36</f>
        <v>949456.92599999998</v>
      </c>
      <c r="D37" s="359">
        <f t="shared" si="21"/>
        <v>947644.41365424998</v>
      </c>
      <c r="E37" s="359">
        <f t="shared" si="21"/>
        <v>947168.11981312814</v>
      </c>
      <c r="F37" s="359">
        <f t="shared" si="21"/>
        <v>947996.28919441393</v>
      </c>
      <c r="G37" s="359">
        <f t="shared" si="21"/>
        <v>950099.76885148906</v>
      </c>
      <c r="H37" s="359">
        <f t="shared" si="21"/>
        <v>953451.90813991614</v>
      </c>
      <c r="I37" s="359">
        <f t="shared" si="21"/>
        <v>958028.46459607489</v>
      </c>
      <c r="J37" s="359">
        <f t="shared" si="21"/>
        <v>963807.5154602637</v>
      </c>
      <c r="K37" s="359">
        <f t="shared" si="21"/>
        <v>970769.37459093472</v>
      </c>
      <c r="L37" s="359">
        <f t="shared" si="21"/>
        <v>978896.51453030028</v>
      </c>
      <c r="M37" s="359">
        <f t="shared" si="21"/>
        <v>988173.49349445989</v>
      </c>
      <c r="N37" s="359">
        <f t="shared" si="21"/>
        <v>998586.88707350357</v>
      </c>
      <c r="O37" s="359">
        <f t="shared" si="21"/>
        <v>1010125.2244387646</v>
      </c>
      <c r="P37" s="359">
        <f t="shared" si="21"/>
        <v>1022778.9288655519</v>
      </c>
      <c r="Q37" s="359">
        <f t="shared" si="21"/>
        <v>1036540.2623903363</v>
      </c>
      <c r="R37" s="359">
        <f t="shared" si="21"/>
        <v>1051403.274431495</v>
      </c>
      <c r="S37" s="359">
        <f t="shared" si="21"/>
        <v>1067363.7542123874</v>
      </c>
      <c r="T37" s="359">
        <f t="shared" si="21"/>
        <v>1084419.1868347563</v>
      </c>
      <c r="U37" s="359">
        <f t="shared" si="21"/>
        <v>1102568.7128592331</v>
      </c>
      <c r="V37" s="359">
        <f t="shared" si="21"/>
        <v>1121813.0912581244</v>
      </c>
      <c r="W37" s="359">
        <f t="shared" si="21"/>
        <v>1142154.6656136622</v>
      </c>
      <c r="X37" s="359">
        <f t="shared" si="21"/>
        <v>1163597.3334425574</v>
      </c>
      <c r="Y37" s="359">
        <f t="shared" si="21"/>
        <v>1186146.5185349956</v>
      </c>
      <c r="Z37" s="359">
        <f t="shared" si="21"/>
        <v>1209809.1462032059</v>
      </c>
      <c r="AA37" s="359">
        <f t="shared" si="21"/>
        <v>1234593.6213414185</v>
      </c>
      <c r="AB37" s="359" t="e">
        <f t="shared" si="21"/>
        <v>#VALUE!</v>
      </c>
      <c r="AC37" s="359" t="e">
        <f t="shared" si="21"/>
        <v>#VALUE!</v>
      </c>
      <c r="AD37" s="359" t="e">
        <f t="shared" si="21"/>
        <v>#VALUE!</v>
      </c>
      <c r="AE37" s="359" t="e">
        <f t="shared" si="21"/>
        <v>#VALUE!</v>
      </c>
      <c r="AF37" s="359" t="e">
        <f t="shared" si="21"/>
        <v>#VALUE!</v>
      </c>
      <c r="AG37" s="359" t="e">
        <f t="shared" si="21"/>
        <v>#VALUE!</v>
      </c>
      <c r="AH37" s="359" t="e">
        <f t="shared" si="21"/>
        <v>#VALUE!</v>
      </c>
      <c r="AI37" s="359" t="e">
        <f t="shared" si="21"/>
        <v>#VALUE!</v>
      </c>
      <c r="AJ37" s="359" t="e">
        <f t="shared" si="21"/>
        <v>#VALUE!</v>
      </c>
      <c r="AK37" s="359" t="e">
        <f t="shared" si="21"/>
        <v>#VALUE!</v>
      </c>
      <c r="AL37" s="359" t="e">
        <f t="shared" si="21"/>
        <v>#VALUE!</v>
      </c>
      <c r="AM37" s="359" t="e">
        <f t="shared" si="21"/>
        <v>#VALUE!</v>
      </c>
      <c r="AN37" s="359" t="e">
        <f t="shared" si="21"/>
        <v>#VALUE!</v>
      </c>
      <c r="AO37" s="359" t="e">
        <f t="shared" si="21"/>
        <v>#VALUE!</v>
      </c>
      <c r="AP37" s="359" t="e">
        <f t="shared" si="21"/>
        <v>#VALUE!</v>
      </c>
    </row>
    <row r="39" spans="1:42" ht="13.5" thickBot="1" x14ac:dyDescent="0.25">
      <c r="A39" s="33" t="s">
        <v>35</v>
      </c>
      <c r="C39" s="376">
        <f t="shared" ref="C39:AP39" si="22">C21-C37</f>
        <v>4549165.1940000001</v>
      </c>
      <c r="D39" s="376">
        <f t="shared" si="22"/>
        <v>4578195.885839751</v>
      </c>
      <c r="E39" s="376">
        <f t="shared" si="22"/>
        <v>4606025.0891633667</v>
      </c>
      <c r="F39" s="376">
        <f t="shared" si="22"/>
        <v>4632685.2261665147</v>
      </c>
      <c r="G39" s="376">
        <f t="shared" si="22"/>
        <v>4658206.1200104775</v>
      </c>
      <c r="H39" s="376">
        <f t="shared" si="22"/>
        <v>4682615.0948719159</v>
      </c>
      <c r="I39" s="376">
        <f t="shared" si="22"/>
        <v>4705937.0700806677</v>
      </c>
      <c r="J39" s="376">
        <f t="shared" si="22"/>
        <v>4728194.6486131269</v>
      </c>
      <c r="K39" s="376">
        <f t="shared" si="22"/>
        <v>4749408.2001946215</v>
      </c>
      <c r="L39" s="376">
        <f t="shared" si="22"/>
        <v>4769595.9392504441</v>
      </c>
      <c r="M39" s="376">
        <f t="shared" si="22"/>
        <v>4788773.9979324993</v>
      </c>
      <c r="N39" s="376">
        <f t="shared" si="22"/>
        <v>4806956.4944360172</v>
      </c>
      <c r="O39" s="376">
        <f t="shared" si="22"/>
        <v>4824155.5968092289</v>
      </c>
      <c r="P39" s="376">
        <f t="shared" si="22"/>
        <v>4840381.5824476192</v>
      </c>
      <c r="Q39" s="376">
        <f t="shared" si="22"/>
        <v>4855642.8934538364</v>
      </c>
      <c r="R39" s="376">
        <f t="shared" si="22"/>
        <v>4869946.1880341051</v>
      </c>
      <c r="S39" s="376">
        <f t="shared" si="22"/>
        <v>4883296.3880924191</v>
      </c>
      <c r="T39" s="376">
        <f t="shared" si="22"/>
        <v>4895696.7231744584</v>
      </c>
      <c r="U39" s="376">
        <f t="shared" si="22"/>
        <v>4907148.770904527</v>
      </c>
      <c r="V39" s="376">
        <f t="shared" si="22"/>
        <v>4917652.4940502653</v>
      </c>
      <c r="W39" s="376">
        <f t="shared" si="22"/>
        <v>4927206.2743420051</v>
      </c>
      <c r="X39" s="376">
        <f t="shared" si="22"/>
        <v>4935806.9431658909</v>
      </c>
      <c r="Y39" s="376">
        <f t="shared" si="22"/>
        <v>4943449.8092426658</v>
      </c>
      <c r="Z39" s="376">
        <f t="shared" si="22"/>
        <v>4950128.6833969532</v>
      </c>
      <c r="AA39" s="376">
        <f t="shared" si="22"/>
        <v>9955835.900515262</v>
      </c>
      <c r="AB39" s="376" t="e">
        <f t="shared" si="22"/>
        <v>#VALUE!</v>
      </c>
      <c r="AC39" s="376" t="e">
        <f t="shared" si="22"/>
        <v>#VALUE!</v>
      </c>
      <c r="AD39" s="376" t="e">
        <f t="shared" si="22"/>
        <v>#VALUE!</v>
      </c>
      <c r="AE39" s="376" t="e">
        <f t="shared" si="22"/>
        <v>#VALUE!</v>
      </c>
      <c r="AF39" s="376" t="e">
        <f t="shared" si="22"/>
        <v>#VALUE!</v>
      </c>
      <c r="AG39" s="376" t="e">
        <f t="shared" si="22"/>
        <v>#VALUE!</v>
      </c>
      <c r="AH39" s="376" t="e">
        <f t="shared" si="22"/>
        <v>#VALUE!</v>
      </c>
      <c r="AI39" s="376" t="e">
        <f t="shared" si="22"/>
        <v>#VALUE!</v>
      </c>
      <c r="AJ39" s="376" t="e">
        <f t="shared" si="22"/>
        <v>#VALUE!</v>
      </c>
      <c r="AK39" s="376" t="e">
        <f t="shared" si="22"/>
        <v>#VALUE!</v>
      </c>
      <c r="AL39" s="376" t="e">
        <f t="shared" si="22"/>
        <v>#VALUE!</v>
      </c>
      <c r="AM39" s="376" t="e">
        <f t="shared" si="22"/>
        <v>#VALUE!</v>
      </c>
      <c r="AN39" s="376" t="e">
        <f t="shared" si="22"/>
        <v>#VALUE!</v>
      </c>
      <c r="AO39" s="376" t="e">
        <f t="shared" si="22"/>
        <v>#VALUE!</v>
      </c>
      <c r="AP39" s="376" t="e">
        <f t="shared" si="22"/>
        <v>#VALUE!</v>
      </c>
    </row>
    <row r="40" spans="1:42" ht="13.5" thickTop="1" x14ac:dyDescent="0.2">
      <c r="C40" s="36"/>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row>
    <row r="41" spans="1:42" x14ac:dyDescent="0.2">
      <c r="A41" s="30" t="s">
        <v>141</v>
      </c>
      <c r="B41" s="21"/>
      <c r="C41" s="24"/>
      <c r="D41" s="24"/>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row>
    <row r="42" spans="1:42" x14ac:dyDescent="0.2">
      <c r="A42" s="33" t="s">
        <v>107</v>
      </c>
      <c r="B42" s="25"/>
      <c r="C42" s="25"/>
      <c r="D42" s="25"/>
      <c r="E42" s="25"/>
      <c r="F42" s="25"/>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row>
    <row r="43" spans="1:42" x14ac:dyDescent="0.2">
      <c r="A43" s="31" t="s">
        <v>53</v>
      </c>
      <c r="B43" s="359"/>
      <c r="C43" s="359">
        <f>C39</f>
        <v>4549165.1940000001</v>
      </c>
      <c r="D43" s="359">
        <f t="shared" ref="D43:AP43" si="23">D39</f>
        <v>4578195.885839751</v>
      </c>
      <c r="E43" s="359">
        <f t="shared" si="23"/>
        <v>4606025.0891633667</v>
      </c>
      <c r="F43" s="359">
        <f t="shared" si="23"/>
        <v>4632685.2261665147</v>
      </c>
      <c r="G43" s="359">
        <f t="shared" si="23"/>
        <v>4658206.1200104775</v>
      </c>
      <c r="H43" s="359">
        <f t="shared" si="23"/>
        <v>4682615.0948719159</v>
      </c>
      <c r="I43" s="359">
        <f t="shared" si="23"/>
        <v>4705937.0700806677</v>
      </c>
      <c r="J43" s="359">
        <f t="shared" si="23"/>
        <v>4728194.6486131269</v>
      </c>
      <c r="K43" s="359">
        <f t="shared" si="23"/>
        <v>4749408.2001946215</v>
      </c>
      <c r="L43" s="359">
        <f t="shared" si="23"/>
        <v>4769595.9392504441</v>
      </c>
      <c r="M43" s="359">
        <f t="shared" si="23"/>
        <v>4788773.9979324993</v>
      </c>
      <c r="N43" s="359">
        <f t="shared" si="23"/>
        <v>4806956.4944360172</v>
      </c>
      <c r="O43" s="359">
        <f t="shared" si="23"/>
        <v>4824155.5968092289</v>
      </c>
      <c r="P43" s="359">
        <f t="shared" si="23"/>
        <v>4840381.5824476192</v>
      </c>
      <c r="Q43" s="359">
        <f t="shared" si="23"/>
        <v>4855642.8934538364</v>
      </c>
      <c r="R43" s="359">
        <f t="shared" si="23"/>
        <v>4869946.1880341051</v>
      </c>
      <c r="S43" s="359">
        <f t="shared" si="23"/>
        <v>4883296.3880924191</v>
      </c>
      <c r="T43" s="359">
        <f t="shared" si="23"/>
        <v>4895696.7231744584</v>
      </c>
      <c r="U43" s="359">
        <f t="shared" si="23"/>
        <v>4907148.770904527</v>
      </c>
      <c r="V43" s="359">
        <f t="shared" si="23"/>
        <v>4917652.4940502653</v>
      </c>
      <c r="W43" s="359">
        <f t="shared" si="23"/>
        <v>4927206.2743420051</v>
      </c>
      <c r="X43" s="359">
        <f t="shared" si="23"/>
        <v>4935806.9431658909</v>
      </c>
      <c r="Y43" s="359">
        <f t="shared" si="23"/>
        <v>4943449.8092426658</v>
      </c>
      <c r="Z43" s="359">
        <f t="shared" si="23"/>
        <v>4950128.6833969532</v>
      </c>
      <c r="AA43" s="359">
        <f t="shared" si="23"/>
        <v>9955835.900515262</v>
      </c>
      <c r="AB43" s="359" t="e">
        <f t="shared" si="23"/>
        <v>#VALUE!</v>
      </c>
      <c r="AC43" s="359" t="e">
        <f t="shared" si="23"/>
        <v>#VALUE!</v>
      </c>
      <c r="AD43" s="359" t="e">
        <f t="shared" si="23"/>
        <v>#VALUE!</v>
      </c>
      <c r="AE43" s="359" t="e">
        <f t="shared" si="23"/>
        <v>#VALUE!</v>
      </c>
      <c r="AF43" s="359" t="e">
        <f t="shared" si="23"/>
        <v>#VALUE!</v>
      </c>
      <c r="AG43" s="359" t="e">
        <f t="shared" si="23"/>
        <v>#VALUE!</v>
      </c>
      <c r="AH43" s="359" t="e">
        <f t="shared" si="23"/>
        <v>#VALUE!</v>
      </c>
      <c r="AI43" s="359" t="e">
        <f t="shared" si="23"/>
        <v>#VALUE!</v>
      </c>
      <c r="AJ43" s="359" t="e">
        <f t="shared" si="23"/>
        <v>#VALUE!</v>
      </c>
      <c r="AK43" s="359" t="e">
        <f t="shared" si="23"/>
        <v>#VALUE!</v>
      </c>
      <c r="AL43" s="359" t="e">
        <f t="shared" si="23"/>
        <v>#VALUE!</v>
      </c>
      <c r="AM43" s="359" t="e">
        <f t="shared" si="23"/>
        <v>#VALUE!</v>
      </c>
      <c r="AN43" s="359" t="e">
        <f t="shared" si="23"/>
        <v>#VALUE!</v>
      </c>
      <c r="AO43" s="359" t="e">
        <f t="shared" si="23"/>
        <v>#VALUE!</v>
      </c>
      <c r="AP43" s="359" t="e">
        <f t="shared" si="23"/>
        <v>#VALUE!</v>
      </c>
    </row>
    <row r="44" spans="1:42" x14ac:dyDescent="0.2">
      <c r="A44" s="31" t="s">
        <v>326</v>
      </c>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row>
    <row r="45" spans="1:42" x14ac:dyDescent="0.2">
      <c r="A45" s="35" t="str">
        <f>A15</f>
        <v>Federal ($/W)</v>
      </c>
      <c r="B45" s="272"/>
      <c r="C45" s="285">
        <f t="shared" ref="C45:AP45" si="24">IF(pbi_fed_for_ds="Yes",0,C509)</f>
        <v>0</v>
      </c>
      <c r="D45" s="285">
        <f t="shared" si="24"/>
        <v>0</v>
      </c>
      <c r="E45" s="285">
        <f t="shared" si="24"/>
        <v>0</v>
      </c>
      <c r="F45" s="285">
        <f t="shared" si="24"/>
        <v>0</v>
      </c>
      <c r="G45" s="285">
        <f t="shared" si="24"/>
        <v>0</v>
      </c>
      <c r="H45" s="285">
        <f t="shared" si="24"/>
        <v>0</v>
      </c>
      <c r="I45" s="285">
        <f t="shared" si="24"/>
        <v>0</v>
      </c>
      <c r="J45" s="285">
        <f t="shared" si="24"/>
        <v>0</v>
      </c>
      <c r="K45" s="285">
        <f t="shared" si="24"/>
        <v>0</v>
      </c>
      <c r="L45" s="285">
        <f t="shared" si="24"/>
        <v>0</v>
      </c>
      <c r="M45" s="285">
        <f t="shared" si="24"/>
        <v>0</v>
      </c>
      <c r="N45" s="285">
        <f t="shared" si="24"/>
        <v>0</v>
      </c>
      <c r="O45" s="285">
        <f t="shared" si="24"/>
        <v>0</v>
      </c>
      <c r="P45" s="285">
        <f t="shared" si="24"/>
        <v>0</v>
      </c>
      <c r="Q45" s="285">
        <f t="shared" si="24"/>
        <v>0</v>
      </c>
      <c r="R45" s="285">
        <f t="shared" si="24"/>
        <v>0</v>
      </c>
      <c r="S45" s="285">
        <f t="shared" si="24"/>
        <v>0</v>
      </c>
      <c r="T45" s="285">
        <f t="shared" si="24"/>
        <v>0</v>
      </c>
      <c r="U45" s="285">
        <f t="shared" si="24"/>
        <v>0</v>
      </c>
      <c r="V45" s="285">
        <f t="shared" si="24"/>
        <v>0</v>
      </c>
      <c r="W45" s="285">
        <f t="shared" si="24"/>
        <v>0</v>
      </c>
      <c r="X45" s="285">
        <f t="shared" si="24"/>
        <v>0</v>
      </c>
      <c r="Y45" s="285">
        <f t="shared" si="24"/>
        <v>0</v>
      </c>
      <c r="Z45" s="285">
        <f t="shared" si="24"/>
        <v>0</v>
      </c>
      <c r="AA45" s="285">
        <f t="shared" si="24"/>
        <v>0</v>
      </c>
      <c r="AB45" s="285">
        <f t="shared" si="24"/>
        <v>0</v>
      </c>
      <c r="AC45" s="285">
        <f t="shared" si="24"/>
        <v>0</v>
      </c>
      <c r="AD45" s="285">
        <f t="shared" si="24"/>
        <v>0</v>
      </c>
      <c r="AE45" s="285">
        <f t="shared" si="24"/>
        <v>0</v>
      </c>
      <c r="AF45" s="285">
        <f t="shared" si="24"/>
        <v>0</v>
      </c>
      <c r="AG45" s="285">
        <f t="shared" si="24"/>
        <v>0</v>
      </c>
      <c r="AH45" s="285">
        <f t="shared" si="24"/>
        <v>0</v>
      </c>
      <c r="AI45" s="285">
        <f t="shared" si="24"/>
        <v>0</v>
      </c>
      <c r="AJ45" s="285">
        <f t="shared" si="24"/>
        <v>0</v>
      </c>
      <c r="AK45" s="285">
        <f t="shared" si="24"/>
        <v>0</v>
      </c>
      <c r="AL45" s="285">
        <f t="shared" si="24"/>
        <v>0</v>
      </c>
      <c r="AM45" s="285">
        <f t="shared" si="24"/>
        <v>0</v>
      </c>
      <c r="AN45" s="285">
        <f t="shared" si="24"/>
        <v>0</v>
      </c>
      <c r="AO45" s="285">
        <f t="shared" si="24"/>
        <v>0</v>
      </c>
      <c r="AP45" s="285">
        <f t="shared" si="24"/>
        <v>0</v>
      </c>
    </row>
    <row r="46" spans="1:42" x14ac:dyDescent="0.2">
      <c r="A46" s="35" t="str">
        <f>A16</f>
        <v>State ($/W)</v>
      </c>
      <c r="B46" s="272"/>
      <c r="C46" s="285">
        <f t="shared" ref="C46:AP46" si="25">IF(pbi_sta_for_ds="Yes",0,C513)</f>
        <v>0</v>
      </c>
      <c r="D46" s="285">
        <f t="shared" si="25"/>
        <v>0</v>
      </c>
      <c r="E46" s="285">
        <f t="shared" si="25"/>
        <v>0</v>
      </c>
      <c r="F46" s="285">
        <f t="shared" si="25"/>
        <v>0</v>
      </c>
      <c r="G46" s="285">
        <f t="shared" si="25"/>
        <v>0</v>
      </c>
      <c r="H46" s="285">
        <f t="shared" si="25"/>
        <v>0</v>
      </c>
      <c r="I46" s="285">
        <f t="shared" si="25"/>
        <v>0</v>
      </c>
      <c r="J46" s="285">
        <f t="shared" si="25"/>
        <v>0</v>
      </c>
      <c r="K46" s="285">
        <f t="shared" si="25"/>
        <v>0</v>
      </c>
      <c r="L46" s="285">
        <f t="shared" si="25"/>
        <v>0</v>
      </c>
      <c r="M46" s="285">
        <f t="shared" si="25"/>
        <v>0</v>
      </c>
      <c r="N46" s="285">
        <f t="shared" si="25"/>
        <v>0</v>
      </c>
      <c r="O46" s="285">
        <f t="shared" si="25"/>
        <v>0</v>
      </c>
      <c r="P46" s="285">
        <f t="shared" si="25"/>
        <v>0</v>
      </c>
      <c r="Q46" s="285">
        <f t="shared" si="25"/>
        <v>0</v>
      </c>
      <c r="R46" s="285">
        <f t="shared" si="25"/>
        <v>0</v>
      </c>
      <c r="S46" s="285">
        <f t="shared" si="25"/>
        <v>0</v>
      </c>
      <c r="T46" s="285">
        <f t="shared" si="25"/>
        <v>0</v>
      </c>
      <c r="U46" s="285">
        <f t="shared" si="25"/>
        <v>0</v>
      </c>
      <c r="V46" s="285">
        <f t="shared" si="25"/>
        <v>0</v>
      </c>
      <c r="W46" s="285">
        <f t="shared" si="25"/>
        <v>0</v>
      </c>
      <c r="X46" s="285">
        <f t="shared" si="25"/>
        <v>0</v>
      </c>
      <c r="Y46" s="285">
        <f t="shared" si="25"/>
        <v>0</v>
      </c>
      <c r="Z46" s="285">
        <f t="shared" si="25"/>
        <v>0</v>
      </c>
      <c r="AA46" s="285">
        <f t="shared" si="25"/>
        <v>0</v>
      </c>
      <c r="AB46" s="285">
        <f t="shared" si="25"/>
        <v>0</v>
      </c>
      <c r="AC46" s="285">
        <f t="shared" si="25"/>
        <v>0</v>
      </c>
      <c r="AD46" s="285">
        <f t="shared" si="25"/>
        <v>0</v>
      </c>
      <c r="AE46" s="285">
        <f t="shared" si="25"/>
        <v>0</v>
      </c>
      <c r="AF46" s="285">
        <f t="shared" si="25"/>
        <v>0</v>
      </c>
      <c r="AG46" s="285">
        <f t="shared" si="25"/>
        <v>0</v>
      </c>
      <c r="AH46" s="285">
        <f t="shared" si="25"/>
        <v>0</v>
      </c>
      <c r="AI46" s="285">
        <f t="shared" si="25"/>
        <v>0</v>
      </c>
      <c r="AJ46" s="285">
        <f t="shared" si="25"/>
        <v>0</v>
      </c>
      <c r="AK46" s="285">
        <f t="shared" si="25"/>
        <v>0</v>
      </c>
      <c r="AL46" s="285">
        <f t="shared" si="25"/>
        <v>0</v>
      </c>
      <c r="AM46" s="285">
        <f t="shared" si="25"/>
        <v>0</v>
      </c>
      <c r="AN46" s="285">
        <f t="shared" si="25"/>
        <v>0</v>
      </c>
      <c r="AO46" s="285">
        <f t="shared" si="25"/>
        <v>0</v>
      </c>
      <c r="AP46" s="285">
        <f t="shared" si="25"/>
        <v>0</v>
      </c>
    </row>
    <row r="47" spans="1:42" x14ac:dyDescent="0.2">
      <c r="A47" s="35" t="str">
        <f>A17</f>
        <v>Utility ($/W)</v>
      </c>
      <c r="B47" s="272"/>
      <c r="C47" s="285">
        <f t="shared" ref="C47:AP47" si="26">IF(pbi_uti_for_ds="Yes",0,C517)</f>
        <v>0</v>
      </c>
      <c r="D47" s="285">
        <f t="shared" si="26"/>
        <v>0</v>
      </c>
      <c r="E47" s="285">
        <f t="shared" si="26"/>
        <v>0</v>
      </c>
      <c r="F47" s="285">
        <f t="shared" si="26"/>
        <v>0</v>
      </c>
      <c r="G47" s="285">
        <f t="shared" si="26"/>
        <v>0</v>
      </c>
      <c r="H47" s="285">
        <f t="shared" si="26"/>
        <v>0</v>
      </c>
      <c r="I47" s="285">
        <f t="shared" si="26"/>
        <v>0</v>
      </c>
      <c r="J47" s="285">
        <f t="shared" si="26"/>
        <v>0</v>
      </c>
      <c r="K47" s="285">
        <f t="shared" si="26"/>
        <v>0</v>
      </c>
      <c r="L47" s="285">
        <f t="shared" si="26"/>
        <v>0</v>
      </c>
      <c r="M47" s="285">
        <f t="shared" si="26"/>
        <v>0</v>
      </c>
      <c r="N47" s="285">
        <f t="shared" si="26"/>
        <v>0</v>
      </c>
      <c r="O47" s="285">
        <f t="shared" si="26"/>
        <v>0</v>
      </c>
      <c r="P47" s="285">
        <f t="shared" si="26"/>
        <v>0</v>
      </c>
      <c r="Q47" s="285">
        <f t="shared" si="26"/>
        <v>0</v>
      </c>
      <c r="R47" s="285">
        <f t="shared" si="26"/>
        <v>0</v>
      </c>
      <c r="S47" s="285">
        <f t="shared" si="26"/>
        <v>0</v>
      </c>
      <c r="T47" s="285">
        <f t="shared" si="26"/>
        <v>0</v>
      </c>
      <c r="U47" s="285">
        <f t="shared" si="26"/>
        <v>0</v>
      </c>
      <c r="V47" s="285">
        <f t="shared" si="26"/>
        <v>0</v>
      </c>
      <c r="W47" s="285">
        <f t="shared" si="26"/>
        <v>0</v>
      </c>
      <c r="X47" s="285">
        <f t="shared" si="26"/>
        <v>0</v>
      </c>
      <c r="Y47" s="285">
        <f t="shared" si="26"/>
        <v>0</v>
      </c>
      <c r="Z47" s="285">
        <f t="shared" si="26"/>
        <v>0</v>
      </c>
      <c r="AA47" s="285">
        <f t="shared" si="26"/>
        <v>0</v>
      </c>
      <c r="AB47" s="285">
        <f t="shared" si="26"/>
        <v>0</v>
      </c>
      <c r="AC47" s="285">
        <f t="shared" si="26"/>
        <v>0</v>
      </c>
      <c r="AD47" s="285">
        <f t="shared" si="26"/>
        <v>0</v>
      </c>
      <c r="AE47" s="285">
        <f t="shared" si="26"/>
        <v>0</v>
      </c>
      <c r="AF47" s="285">
        <f t="shared" si="26"/>
        <v>0</v>
      </c>
      <c r="AG47" s="285">
        <f t="shared" si="26"/>
        <v>0</v>
      </c>
      <c r="AH47" s="285">
        <f t="shared" si="26"/>
        <v>0</v>
      </c>
      <c r="AI47" s="285">
        <f t="shared" si="26"/>
        <v>0</v>
      </c>
      <c r="AJ47" s="285">
        <f t="shared" si="26"/>
        <v>0</v>
      </c>
      <c r="AK47" s="285">
        <f t="shared" si="26"/>
        <v>0</v>
      </c>
      <c r="AL47" s="285">
        <f t="shared" si="26"/>
        <v>0</v>
      </c>
      <c r="AM47" s="285">
        <f t="shared" si="26"/>
        <v>0</v>
      </c>
      <c r="AN47" s="285">
        <f t="shared" si="26"/>
        <v>0</v>
      </c>
      <c r="AO47" s="285">
        <f t="shared" si="26"/>
        <v>0</v>
      </c>
      <c r="AP47" s="285">
        <f t="shared" si="26"/>
        <v>0</v>
      </c>
    </row>
    <row r="48" spans="1:42" x14ac:dyDescent="0.2">
      <c r="A48" s="35" t="str">
        <f>A18</f>
        <v>Other ($/W)</v>
      </c>
      <c r="B48" s="370"/>
      <c r="C48" s="370">
        <f t="shared" ref="C48:AP48" si="27">IF(pbi_oth_for_ds="Yes",0,C521)</f>
        <v>0</v>
      </c>
      <c r="D48" s="370">
        <f t="shared" si="27"/>
        <v>0</v>
      </c>
      <c r="E48" s="370">
        <f t="shared" si="27"/>
        <v>0</v>
      </c>
      <c r="F48" s="370">
        <f t="shared" si="27"/>
        <v>0</v>
      </c>
      <c r="G48" s="370">
        <f t="shared" si="27"/>
        <v>0</v>
      </c>
      <c r="H48" s="370">
        <f t="shared" si="27"/>
        <v>0</v>
      </c>
      <c r="I48" s="370">
        <f t="shared" si="27"/>
        <v>0</v>
      </c>
      <c r="J48" s="370">
        <f t="shared" si="27"/>
        <v>0</v>
      </c>
      <c r="K48" s="370">
        <f t="shared" si="27"/>
        <v>0</v>
      </c>
      <c r="L48" s="370">
        <f t="shared" si="27"/>
        <v>0</v>
      </c>
      <c r="M48" s="370">
        <f t="shared" si="27"/>
        <v>0</v>
      </c>
      <c r="N48" s="370">
        <f t="shared" si="27"/>
        <v>0</v>
      </c>
      <c r="O48" s="370">
        <f t="shared" si="27"/>
        <v>0</v>
      </c>
      <c r="P48" s="370">
        <f t="shared" si="27"/>
        <v>0</v>
      </c>
      <c r="Q48" s="370">
        <f t="shared" si="27"/>
        <v>0</v>
      </c>
      <c r="R48" s="370">
        <f t="shared" si="27"/>
        <v>0</v>
      </c>
      <c r="S48" s="370">
        <f t="shared" si="27"/>
        <v>0</v>
      </c>
      <c r="T48" s="370">
        <f t="shared" si="27"/>
        <v>0</v>
      </c>
      <c r="U48" s="370">
        <f t="shared" si="27"/>
        <v>0</v>
      </c>
      <c r="V48" s="370">
        <f t="shared" si="27"/>
        <v>0</v>
      </c>
      <c r="W48" s="370">
        <f t="shared" si="27"/>
        <v>0</v>
      </c>
      <c r="X48" s="370">
        <f t="shared" si="27"/>
        <v>0</v>
      </c>
      <c r="Y48" s="370">
        <f t="shared" si="27"/>
        <v>0</v>
      </c>
      <c r="Z48" s="370">
        <f t="shared" si="27"/>
        <v>0</v>
      </c>
      <c r="AA48" s="370">
        <f t="shared" si="27"/>
        <v>0</v>
      </c>
      <c r="AB48" s="370">
        <f t="shared" si="27"/>
        <v>0</v>
      </c>
      <c r="AC48" s="370">
        <f t="shared" si="27"/>
        <v>0</v>
      </c>
      <c r="AD48" s="370">
        <f t="shared" si="27"/>
        <v>0</v>
      </c>
      <c r="AE48" s="370">
        <f t="shared" si="27"/>
        <v>0</v>
      </c>
      <c r="AF48" s="370">
        <f t="shared" si="27"/>
        <v>0</v>
      </c>
      <c r="AG48" s="370">
        <f t="shared" si="27"/>
        <v>0</v>
      </c>
      <c r="AH48" s="370">
        <f t="shared" si="27"/>
        <v>0</v>
      </c>
      <c r="AI48" s="370">
        <f t="shared" si="27"/>
        <v>0</v>
      </c>
      <c r="AJ48" s="370">
        <f t="shared" si="27"/>
        <v>0</v>
      </c>
      <c r="AK48" s="370">
        <f t="shared" si="27"/>
        <v>0</v>
      </c>
      <c r="AL48" s="370">
        <f t="shared" si="27"/>
        <v>0</v>
      </c>
      <c r="AM48" s="370">
        <f t="shared" si="27"/>
        <v>0</v>
      </c>
      <c r="AN48" s="370">
        <f t="shared" si="27"/>
        <v>0</v>
      </c>
      <c r="AO48" s="370">
        <f t="shared" si="27"/>
        <v>0</v>
      </c>
      <c r="AP48" s="370">
        <f t="shared" si="27"/>
        <v>0</v>
      </c>
    </row>
    <row r="49" spans="1:42" x14ac:dyDescent="0.2">
      <c r="A49" s="35" t="s">
        <v>21</v>
      </c>
      <c r="B49" s="272"/>
      <c r="C49" s="272">
        <f>SUM(C45:C48)</f>
        <v>0</v>
      </c>
      <c r="D49" s="272">
        <f t="shared" ref="D49:AP49" si="28">SUM(D45:D48)</f>
        <v>0</v>
      </c>
      <c r="E49" s="272">
        <f t="shared" si="28"/>
        <v>0</v>
      </c>
      <c r="F49" s="272">
        <f t="shared" si="28"/>
        <v>0</v>
      </c>
      <c r="G49" s="272">
        <f t="shared" si="28"/>
        <v>0</v>
      </c>
      <c r="H49" s="272">
        <f t="shared" si="28"/>
        <v>0</v>
      </c>
      <c r="I49" s="272">
        <f t="shared" si="28"/>
        <v>0</v>
      </c>
      <c r="J49" s="272">
        <f t="shared" si="28"/>
        <v>0</v>
      </c>
      <c r="K49" s="272">
        <f t="shared" si="28"/>
        <v>0</v>
      </c>
      <c r="L49" s="272">
        <f t="shared" si="28"/>
        <v>0</v>
      </c>
      <c r="M49" s="272">
        <f t="shared" si="28"/>
        <v>0</v>
      </c>
      <c r="N49" s="272">
        <f t="shared" si="28"/>
        <v>0</v>
      </c>
      <c r="O49" s="272">
        <f t="shared" si="28"/>
        <v>0</v>
      </c>
      <c r="P49" s="272">
        <f t="shared" si="28"/>
        <v>0</v>
      </c>
      <c r="Q49" s="272">
        <f t="shared" si="28"/>
        <v>0</v>
      </c>
      <c r="R49" s="272">
        <f t="shared" si="28"/>
        <v>0</v>
      </c>
      <c r="S49" s="272">
        <f t="shared" si="28"/>
        <v>0</v>
      </c>
      <c r="T49" s="272">
        <f t="shared" si="28"/>
        <v>0</v>
      </c>
      <c r="U49" s="272">
        <f t="shared" si="28"/>
        <v>0</v>
      </c>
      <c r="V49" s="272">
        <f t="shared" si="28"/>
        <v>0</v>
      </c>
      <c r="W49" s="272">
        <f t="shared" si="28"/>
        <v>0</v>
      </c>
      <c r="X49" s="272">
        <f t="shared" si="28"/>
        <v>0</v>
      </c>
      <c r="Y49" s="272">
        <f t="shared" si="28"/>
        <v>0</v>
      </c>
      <c r="Z49" s="272">
        <f t="shared" si="28"/>
        <v>0</v>
      </c>
      <c r="AA49" s="272">
        <f t="shared" si="28"/>
        <v>0</v>
      </c>
      <c r="AB49" s="272">
        <f t="shared" si="28"/>
        <v>0</v>
      </c>
      <c r="AC49" s="272">
        <f t="shared" si="28"/>
        <v>0</v>
      </c>
      <c r="AD49" s="272">
        <f t="shared" si="28"/>
        <v>0</v>
      </c>
      <c r="AE49" s="272">
        <f t="shared" si="28"/>
        <v>0</v>
      </c>
      <c r="AF49" s="272">
        <f t="shared" si="28"/>
        <v>0</v>
      </c>
      <c r="AG49" s="272">
        <f t="shared" si="28"/>
        <v>0</v>
      </c>
      <c r="AH49" s="272">
        <f t="shared" si="28"/>
        <v>0</v>
      </c>
      <c r="AI49" s="272">
        <f t="shared" si="28"/>
        <v>0</v>
      </c>
      <c r="AJ49" s="272">
        <f t="shared" si="28"/>
        <v>0</v>
      </c>
      <c r="AK49" s="272">
        <f t="shared" si="28"/>
        <v>0</v>
      </c>
      <c r="AL49" s="272">
        <f t="shared" si="28"/>
        <v>0</v>
      </c>
      <c r="AM49" s="272">
        <f t="shared" si="28"/>
        <v>0</v>
      </c>
      <c r="AN49" s="272">
        <f t="shared" si="28"/>
        <v>0</v>
      </c>
      <c r="AO49" s="272">
        <f t="shared" si="28"/>
        <v>0</v>
      </c>
      <c r="AP49" s="272">
        <f t="shared" si="28"/>
        <v>0</v>
      </c>
    </row>
    <row r="50" spans="1:42" x14ac:dyDescent="0.2">
      <c r="A50" s="31" t="s">
        <v>62</v>
      </c>
      <c r="B50" s="359">
        <v>0</v>
      </c>
      <c r="C50" s="359">
        <f t="shared" ref="C50:AP50" si="29">C675</f>
        <v>41167.264126356073</v>
      </c>
      <c r="D50" s="359">
        <f t="shared" si="29"/>
        <v>46831.208905513122</v>
      </c>
      <c r="E50" s="359">
        <f t="shared" si="29"/>
        <v>52499.615954782093</v>
      </c>
      <c r="F50" s="359">
        <f t="shared" si="29"/>
        <v>58172.407885753179</v>
      </c>
      <c r="G50" s="359">
        <f t="shared" si="29"/>
        <v>63849.514081265967</v>
      </c>
      <c r="H50" s="359">
        <f t="shared" si="29"/>
        <v>69530.87043618469</v>
      </c>
      <c r="I50" s="359">
        <f t="shared" si="29"/>
        <v>75216.419113501557</v>
      </c>
      <c r="J50" s="359">
        <f t="shared" si="29"/>
        <v>80906.108315074336</v>
      </c>
      <c r="K50" s="359">
        <f t="shared" si="29"/>
        <v>86599.892066341868</v>
      </c>
      <c r="L50" s="359">
        <f t="shared" si="29"/>
        <v>92297.730014395027</v>
      </c>
      <c r="M50" s="359">
        <f t="shared" si="29"/>
        <v>97999.587238816399</v>
      </c>
      <c r="N50" s="359">
        <f t="shared" si="29"/>
        <v>103705.43407473076</v>
      </c>
      <c r="O50" s="359">
        <f t="shared" si="29"/>
        <v>43112.573513160329</v>
      </c>
      <c r="P50" s="359">
        <f t="shared" si="29"/>
        <v>17580.33379915385</v>
      </c>
      <c r="Q50" s="359">
        <f t="shared" si="29"/>
        <v>25070.491644900023</v>
      </c>
      <c r="R50" s="359">
        <f t="shared" si="29"/>
        <v>32571.666275809937</v>
      </c>
      <c r="S50" s="359">
        <f t="shared" si="29"/>
        <v>40083.81558411719</v>
      </c>
      <c r="T50" s="359">
        <f t="shared" si="29"/>
        <v>47606.91442083921</v>
      </c>
      <c r="U50" s="359">
        <f t="shared" si="29"/>
        <v>55140.954191582307</v>
      </c>
      <c r="V50" s="359">
        <f t="shared" si="29"/>
        <v>62685.942486069544</v>
      </c>
      <c r="W50" s="359">
        <f t="shared" si="29"/>
        <v>70241.90274012326</v>
      </c>
      <c r="X50" s="359">
        <f t="shared" si="29"/>
        <v>77808.873928910529</v>
      </c>
      <c r="Y50" s="359">
        <f t="shared" si="29"/>
        <v>85386.910290333239</v>
      </c>
      <c r="Z50" s="359">
        <f t="shared" si="29"/>
        <v>92976.081077513663</v>
      </c>
      <c r="AA50" s="359">
        <f t="shared" si="29"/>
        <v>12345.936213414185</v>
      </c>
      <c r="AB50" s="359">
        <f t="shared" si="29"/>
        <v>0</v>
      </c>
      <c r="AC50" s="359">
        <f t="shared" si="29"/>
        <v>0</v>
      </c>
      <c r="AD50" s="359">
        <f t="shared" si="29"/>
        <v>0</v>
      </c>
      <c r="AE50" s="359">
        <f t="shared" si="29"/>
        <v>0</v>
      </c>
      <c r="AF50" s="359">
        <f t="shared" si="29"/>
        <v>0</v>
      </c>
      <c r="AG50" s="359">
        <f t="shared" si="29"/>
        <v>0</v>
      </c>
      <c r="AH50" s="359">
        <f t="shared" si="29"/>
        <v>0</v>
      </c>
      <c r="AI50" s="359">
        <f t="shared" si="29"/>
        <v>0</v>
      </c>
      <c r="AJ50" s="359">
        <f t="shared" si="29"/>
        <v>0</v>
      </c>
      <c r="AK50" s="359">
        <f t="shared" si="29"/>
        <v>0</v>
      </c>
      <c r="AL50" s="359">
        <f t="shared" si="29"/>
        <v>0</v>
      </c>
      <c r="AM50" s="359">
        <f t="shared" si="29"/>
        <v>0</v>
      </c>
      <c r="AN50" s="359">
        <f t="shared" si="29"/>
        <v>0</v>
      </c>
      <c r="AO50" s="359">
        <f t="shared" si="29"/>
        <v>0</v>
      </c>
      <c r="AP50" s="359">
        <f t="shared" si="29"/>
        <v>0</v>
      </c>
    </row>
    <row r="51" spans="1:42" x14ac:dyDescent="0.2">
      <c r="A51" s="31" t="s">
        <v>108</v>
      </c>
      <c r="B51" s="360">
        <v>0</v>
      </c>
      <c r="C51" s="360">
        <f>-C533</f>
        <v>-3332804.9212657087</v>
      </c>
      <c r="D51" s="360">
        <f t="shared" ref="D51:AP51" si="30">-D533</f>
        <v>-3346875.4332092679</v>
      </c>
      <c r="E51" s="360">
        <f t="shared" si="30"/>
        <v>-3360314.0802929336</v>
      </c>
      <c r="F51" s="360">
        <f t="shared" si="30"/>
        <v>-3373142.8032805575</v>
      </c>
      <c r="G51" s="360">
        <f t="shared" si="30"/>
        <v>-3385383.3665034119</v>
      </c>
      <c r="H51" s="360">
        <f t="shared" si="30"/>
        <v>-3397057.5065063308</v>
      </c>
      <c r="I51" s="360">
        <f t="shared" si="30"/>
        <v>-3408187.0870293332</v>
      </c>
      <c r="J51" s="360">
        <f t="shared" si="30"/>
        <v>-3418794.2612354984</v>
      </c>
      <c r="K51" s="360">
        <f t="shared" si="30"/>
        <v>-3428901.642156403</v>
      </c>
      <c r="L51" s="360">
        <f t="shared" si="30"/>
        <v>-3438532.4823930459</v>
      </c>
      <c r="M51" s="360">
        <f t="shared" si="30"/>
        <v>-3447710.8641833258</v>
      </c>
      <c r="N51" s="360">
        <f t="shared" si="30"/>
        <v>-3456461.9010272808</v>
      </c>
      <c r="O51" s="360">
        <f t="shared" si="30"/>
        <v>-3464811.9521490457</v>
      </c>
      <c r="P51" s="360">
        <f t="shared" si="30"/>
        <v>0</v>
      </c>
      <c r="Q51" s="360">
        <f t="shared" si="30"/>
        <v>0</v>
      </c>
      <c r="R51" s="360">
        <f t="shared" si="30"/>
        <v>0</v>
      </c>
      <c r="S51" s="360">
        <f t="shared" si="30"/>
        <v>0</v>
      </c>
      <c r="T51" s="360">
        <f t="shared" si="30"/>
        <v>0</v>
      </c>
      <c r="U51" s="360">
        <f t="shared" si="30"/>
        <v>0</v>
      </c>
      <c r="V51" s="360">
        <f t="shared" si="30"/>
        <v>0</v>
      </c>
      <c r="W51" s="360">
        <f t="shared" si="30"/>
        <v>0</v>
      </c>
      <c r="X51" s="360">
        <f t="shared" si="30"/>
        <v>0</v>
      </c>
      <c r="Y51" s="360">
        <f t="shared" si="30"/>
        <v>0</v>
      </c>
      <c r="Z51" s="360">
        <f t="shared" si="30"/>
        <v>0</v>
      </c>
      <c r="AA51" s="360">
        <f t="shared" si="30"/>
        <v>0</v>
      </c>
      <c r="AB51" s="360">
        <f t="shared" si="30"/>
        <v>0</v>
      </c>
      <c r="AC51" s="360">
        <f t="shared" si="30"/>
        <v>0</v>
      </c>
      <c r="AD51" s="360">
        <f t="shared" si="30"/>
        <v>0</v>
      </c>
      <c r="AE51" s="360">
        <f t="shared" si="30"/>
        <v>0</v>
      </c>
      <c r="AF51" s="360">
        <f t="shared" si="30"/>
        <v>0</v>
      </c>
      <c r="AG51" s="360">
        <f t="shared" si="30"/>
        <v>0</v>
      </c>
      <c r="AH51" s="360">
        <f t="shared" si="30"/>
        <v>0</v>
      </c>
      <c r="AI51" s="360">
        <f t="shared" si="30"/>
        <v>0</v>
      </c>
      <c r="AJ51" s="360">
        <f t="shared" si="30"/>
        <v>0</v>
      </c>
      <c r="AK51" s="360">
        <f t="shared" si="30"/>
        <v>0</v>
      </c>
      <c r="AL51" s="360">
        <f t="shared" si="30"/>
        <v>0</v>
      </c>
      <c r="AM51" s="360">
        <f t="shared" si="30"/>
        <v>0</v>
      </c>
      <c r="AN51" s="360">
        <f t="shared" si="30"/>
        <v>0</v>
      </c>
      <c r="AO51" s="360">
        <f t="shared" si="30"/>
        <v>0</v>
      </c>
      <c r="AP51" s="360">
        <f t="shared" si="30"/>
        <v>0</v>
      </c>
    </row>
    <row r="52" spans="1:42" x14ac:dyDescent="0.2">
      <c r="A52" s="31" t="s">
        <v>21</v>
      </c>
      <c r="B52" s="359">
        <f>B43+B49+B50+B51</f>
        <v>0</v>
      </c>
      <c r="C52" s="359">
        <f>C43+C49+C50+C51</f>
        <v>1257527.5368606471</v>
      </c>
      <c r="D52" s="359">
        <f t="shared" ref="D52:AP52" si="31">D43+D49+D50+D51</f>
        <v>1278151.6615359965</v>
      </c>
      <c r="E52" s="359">
        <f t="shared" si="31"/>
        <v>1298210.624825215</v>
      </c>
      <c r="F52" s="359">
        <f t="shared" si="31"/>
        <v>1317714.8307717107</v>
      </c>
      <c r="G52" s="359">
        <f t="shared" si="31"/>
        <v>1336672.2675883314</v>
      </c>
      <c r="H52" s="359">
        <f t="shared" si="31"/>
        <v>1355088.4588017701</v>
      </c>
      <c r="I52" s="359">
        <f t="shared" si="31"/>
        <v>1372966.4021648364</v>
      </c>
      <c r="J52" s="359">
        <f t="shared" si="31"/>
        <v>1390306.4956927025</v>
      </c>
      <c r="K52" s="359">
        <f t="shared" si="31"/>
        <v>1407106.4501045602</v>
      </c>
      <c r="L52" s="359">
        <f t="shared" si="31"/>
        <v>1423361.1868717931</v>
      </c>
      <c r="M52" s="359">
        <f t="shared" si="31"/>
        <v>1439062.72098799</v>
      </c>
      <c r="N52" s="359">
        <f t="shared" si="31"/>
        <v>1454200.027483467</v>
      </c>
      <c r="O52" s="359">
        <f t="shared" si="31"/>
        <v>1402456.2181733437</v>
      </c>
      <c r="P52" s="359">
        <f t="shared" si="31"/>
        <v>4857961.9162467727</v>
      </c>
      <c r="Q52" s="359">
        <f t="shared" si="31"/>
        <v>4880713.3850987367</v>
      </c>
      <c r="R52" s="359">
        <f t="shared" si="31"/>
        <v>4902517.8543099146</v>
      </c>
      <c r="S52" s="359">
        <f t="shared" si="31"/>
        <v>4923380.2036765367</v>
      </c>
      <c r="T52" s="359">
        <f t="shared" si="31"/>
        <v>4943303.6375952978</v>
      </c>
      <c r="U52" s="359">
        <f t="shared" si="31"/>
        <v>4962289.7250961093</v>
      </c>
      <c r="V52" s="359">
        <f t="shared" si="31"/>
        <v>4980338.4365363345</v>
      </c>
      <c r="W52" s="359">
        <f t="shared" si="31"/>
        <v>4997448.1770821288</v>
      </c>
      <c r="X52" s="359">
        <f t="shared" si="31"/>
        <v>5013615.817094801</v>
      </c>
      <c r="Y52" s="359">
        <f t="shared" si="31"/>
        <v>5028836.7195329992</v>
      </c>
      <c r="Z52" s="359">
        <f t="shared" si="31"/>
        <v>5043104.7644744664</v>
      </c>
      <c r="AA52" s="359">
        <f t="shared" si="31"/>
        <v>9968181.8367286772</v>
      </c>
      <c r="AB52" s="359" t="e">
        <f t="shared" si="31"/>
        <v>#VALUE!</v>
      </c>
      <c r="AC52" s="359" t="e">
        <f t="shared" si="31"/>
        <v>#VALUE!</v>
      </c>
      <c r="AD52" s="359" t="e">
        <f t="shared" si="31"/>
        <v>#VALUE!</v>
      </c>
      <c r="AE52" s="359" t="e">
        <f t="shared" si="31"/>
        <v>#VALUE!</v>
      </c>
      <c r="AF52" s="359" t="e">
        <f t="shared" si="31"/>
        <v>#VALUE!</v>
      </c>
      <c r="AG52" s="359" t="e">
        <f t="shared" si="31"/>
        <v>#VALUE!</v>
      </c>
      <c r="AH52" s="359" t="e">
        <f t="shared" si="31"/>
        <v>#VALUE!</v>
      </c>
      <c r="AI52" s="359" t="e">
        <f t="shared" si="31"/>
        <v>#VALUE!</v>
      </c>
      <c r="AJ52" s="359" t="e">
        <f t="shared" si="31"/>
        <v>#VALUE!</v>
      </c>
      <c r="AK52" s="359" t="e">
        <f t="shared" si="31"/>
        <v>#VALUE!</v>
      </c>
      <c r="AL52" s="359" t="e">
        <f t="shared" si="31"/>
        <v>#VALUE!</v>
      </c>
      <c r="AM52" s="359" t="e">
        <f t="shared" si="31"/>
        <v>#VALUE!</v>
      </c>
      <c r="AN52" s="359" t="e">
        <f t="shared" si="31"/>
        <v>#VALUE!</v>
      </c>
      <c r="AO52" s="359" t="e">
        <f t="shared" si="31"/>
        <v>#VALUE!</v>
      </c>
      <c r="AP52" s="359" t="e">
        <f t="shared" si="31"/>
        <v>#VALUE!</v>
      </c>
    </row>
    <row r="53" spans="1:42" x14ac:dyDescent="0.2">
      <c r="A53" s="31"/>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33" t="s">
        <v>100</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1" t="s">
        <v>101</v>
      </c>
      <c r="B55" s="393">
        <f>-total_installed_cost+C491+C497+C503</f>
        <v>-25000000</v>
      </c>
      <c r="C55" s="359">
        <v>0</v>
      </c>
      <c r="D55" s="359">
        <v>0</v>
      </c>
      <c r="E55" s="359">
        <v>0</v>
      </c>
      <c r="F55" s="359">
        <v>0</v>
      </c>
      <c r="G55" s="359">
        <v>0</v>
      </c>
      <c r="H55" s="359">
        <v>0</v>
      </c>
      <c r="I55" s="359">
        <v>0</v>
      </c>
      <c r="J55" s="359">
        <v>0</v>
      </c>
      <c r="K55" s="359">
        <v>0</v>
      </c>
      <c r="L55" s="359">
        <v>0</v>
      </c>
      <c r="M55" s="359">
        <v>0</v>
      </c>
      <c r="N55" s="359">
        <v>0</v>
      </c>
      <c r="O55" s="359">
        <v>0</v>
      </c>
      <c r="P55" s="359">
        <v>0</v>
      </c>
      <c r="Q55" s="359">
        <v>0</v>
      </c>
      <c r="R55" s="359">
        <v>0</v>
      </c>
      <c r="S55" s="359">
        <v>0</v>
      </c>
      <c r="T55" s="359">
        <v>0</v>
      </c>
      <c r="U55" s="359">
        <v>0</v>
      </c>
      <c r="V55" s="359">
        <v>0</v>
      </c>
      <c r="W55" s="359">
        <v>0</v>
      </c>
      <c r="X55" s="359">
        <v>0</v>
      </c>
      <c r="Y55" s="359">
        <v>0</v>
      </c>
      <c r="Z55" s="359">
        <v>0</v>
      </c>
      <c r="AA55" s="359">
        <v>0</v>
      </c>
      <c r="AB55" s="359">
        <v>0</v>
      </c>
      <c r="AC55" s="359">
        <v>0</v>
      </c>
      <c r="AD55" s="359">
        <v>0</v>
      </c>
      <c r="AE55" s="359">
        <v>0</v>
      </c>
      <c r="AF55" s="359">
        <v>0</v>
      </c>
      <c r="AG55" s="359">
        <v>0</v>
      </c>
      <c r="AH55" s="359">
        <v>0</v>
      </c>
      <c r="AI55" s="359">
        <v>0</v>
      </c>
      <c r="AJ55" s="359">
        <v>0</v>
      </c>
      <c r="AK55" s="359">
        <v>0</v>
      </c>
      <c r="AL55" s="359">
        <v>0</v>
      </c>
      <c r="AM55" s="359">
        <v>0</v>
      </c>
      <c r="AN55" s="359">
        <v>0</v>
      </c>
      <c r="AO55" s="359">
        <v>0</v>
      </c>
      <c r="AP55" s="359">
        <v>0</v>
      </c>
    </row>
    <row r="56" spans="1:42" x14ac:dyDescent="0.2">
      <c r="A56" s="31" t="s">
        <v>102</v>
      </c>
      <c r="B56" s="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5" t="s">
        <v>103</v>
      </c>
      <c r="B57" s="393">
        <f t="shared" ref="B57:AP57" si="32">-B567-B568</f>
        <v>-1583634.7433178036</v>
      </c>
      <c r="C57" s="393">
        <f t="shared" si="32"/>
        <v>-10752.108088796725</v>
      </c>
      <c r="D57" s="393">
        <f t="shared" si="32"/>
        <v>-10307.112342079869</v>
      </c>
      <c r="E57" s="393">
        <f t="shared" si="32"/>
        <v>-9874.124815980671</v>
      </c>
      <c r="F57" s="393">
        <f t="shared" si="32"/>
        <v>-9452.1829051712994</v>
      </c>
      <c r="G57" s="393">
        <f t="shared" si="32"/>
        <v>-9040.361059792107</v>
      </c>
      <c r="H57" s="393">
        <f t="shared" si="32"/>
        <v>-8637.7685958340298</v>
      </c>
      <c r="I57" s="393">
        <f t="shared" si="32"/>
        <v>-8243.5476046144031</v>
      </c>
      <c r="J57" s="393">
        <f t="shared" si="32"/>
        <v>-7856.8709561091382</v>
      </c>
      <c r="K57" s="393">
        <f t="shared" si="32"/>
        <v>-7476.9403910455294</v>
      </c>
      <c r="L57" s="393">
        <f t="shared" si="32"/>
        <v>-7102.9846970573999</v>
      </c>
      <c r="M57" s="393">
        <f t="shared" si="32"/>
        <v>-6734.2579642659985</v>
      </c>
      <c r="N57" s="393">
        <f t="shared" si="32"/>
        <v>28546.939299916616</v>
      </c>
      <c r="O57" s="393">
        <f t="shared" si="32"/>
        <v>1650566.0634386342</v>
      </c>
      <c r="P57" s="393">
        <f t="shared" si="32"/>
        <v>0</v>
      </c>
      <c r="Q57" s="393">
        <f t="shared" si="32"/>
        <v>0</v>
      </c>
      <c r="R57" s="393">
        <f t="shared" si="32"/>
        <v>0</v>
      </c>
      <c r="S57" s="393">
        <f t="shared" si="32"/>
        <v>0</v>
      </c>
      <c r="T57" s="393">
        <f t="shared" si="32"/>
        <v>0</v>
      </c>
      <c r="U57" s="393">
        <f t="shared" si="32"/>
        <v>0</v>
      </c>
      <c r="V57" s="393">
        <f t="shared" si="32"/>
        <v>0</v>
      </c>
      <c r="W57" s="393">
        <f t="shared" si="32"/>
        <v>0</v>
      </c>
      <c r="X57" s="393">
        <f t="shared" si="32"/>
        <v>0</v>
      </c>
      <c r="Y57" s="393">
        <f t="shared" si="32"/>
        <v>0</v>
      </c>
      <c r="Z57" s="393">
        <f t="shared" si="32"/>
        <v>0</v>
      </c>
      <c r="AA57" s="393">
        <f t="shared" si="32"/>
        <v>0</v>
      </c>
      <c r="AB57" s="393">
        <f t="shared" si="32"/>
        <v>0</v>
      </c>
      <c r="AC57" s="393">
        <f t="shared" si="32"/>
        <v>0</v>
      </c>
      <c r="AD57" s="393">
        <f t="shared" si="32"/>
        <v>0</v>
      </c>
      <c r="AE57" s="393">
        <f t="shared" si="32"/>
        <v>0</v>
      </c>
      <c r="AF57" s="393">
        <f t="shared" si="32"/>
        <v>0</v>
      </c>
      <c r="AG57" s="393">
        <f t="shared" si="32"/>
        <v>0</v>
      </c>
      <c r="AH57" s="393">
        <f t="shared" si="32"/>
        <v>0</v>
      </c>
      <c r="AI57" s="393">
        <f t="shared" si="32"/>
        <v>0</v>
      </c>
      <c r="AJ57" s="393">
        <f t="shared" si="32"/>
        <v>0</v>
      </c>
      <c r="AK57" s="393">
        <f t="shared" si="32"/>
        <v>0</v>
      </c>
      <c r="AL57" s="393">
        <f t="shared" si="32"/>
        <v>0</v>
      </c>
      <c r="AM57" s="393">
        <f t="shared" si="32"/>
        <v>0</v>
      </c>
      <c r="AN57" s="393">
        <f t="shared" si="32"/>
        <v>0</v>
      </c>
      <c r="AO57" s="393">
        <f t="shared" si="32"/>
        <v>0</v>
      </c>
      <c r="AP57" s="393">
        <f t="shared" si="32"/>
        <v>0</v>
      </c>
    </row>
    <row r="58" spans="1:42" x14ac:dyDescent="0.2">
      <c r="A58" s="35" t="s">
        <v>109</v>
      </c>
      <c r="B58" s="393">
        <f t="shared" ref="B58:AP58" si="33">-B573-B574</f>
        <v>-474728.46299999999</v>
      </c>
      <c r="C58" s="393">
        <f t="shared" si="33"/>
        <v>906.25617287500063</v>
      </c>
      <c r="D58" s="393">
        <f t="shared" si="33"/>
        <v>238.14692056091735</v>
      </c>
      <c r="E58" s="393">
        <f t="shared" si="33"/>
        <v>-414.08469064289238</v>
      </c>
      <c r="F58" s="393">
        <f t="shared" si="33"/>
        <v>-1051.7398285375675</v>
      </c>
      <c r="G58" s="393">
        <f t="shared" si="33"/>
        <v>-1676.0696442135377</v>
      </c>
      <c r="H58" s="393">
        <f t="shared" si="33"/>
        <v>-2288.2782280793763</v>
      </c>
      <c r="I58" s="393">
        <f t="shared" si="33"/>
        <v>-2889.5254320944077</v>
      </c>
      <c r="J58" s="393">
        <f t="shared" si="33"/>
        <v>-3480.9295653355075</v>
      </c>
      <c r="K58" s="393">
        <f t="shared" si="33"/>
        <v>-4063.5699696827796</v>
      </c>
      <c r="L58" s="393">
        <f t="shared" si="33"/>
        <v>-4638.4894820798072</v>
      </c>
      <c r="M58" s="393">
        <f t="shared" si="33"/>
        <v>-5206.6967895218404</v>
      </c>
      <c r="N58" s="393">
        <f t="shared" si="33"/>
        <v>-5769.1686826305231</v>
      </c>
      <c r="O58" s="393">
        <f t="shared" si="33"/>
        <v>-6326.852213393664</v>
      </c>
      <c r="P58" s="393">
        <f t="shared" si="33"/>
        <v>-6880.666762392153</v>
      </c>
      <c r="Q58" s="393">
        <f t="shared" si="33"/>
        <v>-7431.5060205793707</v>
      </c>
      <c r="R58" s="393">
        <f t="shared" si="33"/>
        <v>-7980.2398904461879</v>
      </c>
      <c r="S58" s="393">
        <f t="shared" si="33"/>
        <v>-8527.7163111844566</v>
      </c>
      <c r="T58" s="393">
        <f t="shared" si="33"/>
        <v>-9074.7630122384289</v>
      </c>
      <c r="U58" s="393">
        <f t="shared" si="33"/>
        <v>-9622.1891994456528</v>
      </c>
      <c r="V58" s="393">
        <f t="shared" si="33"/>
        <v>-10170.787177768885</v>
      </c>
      <c r="W58" s="393">
        <f t="shared" si="33"/>
        <v>-10721.333914447576</v>
      </c>
      <c r="X58" s="393">
        <f t="shared" si="33"/>
        <v>-11274.592546219123</v>
      </c>
      <c r="Y58" s="393">
        <f t="shared" si="33"/>
        <v>-11831.313834105153</v>
      </c>
      <c r="Z58" s="393">
        <f t="shared" si="33"/>
        <v>-12392.237569106277</v>
      </c>
      <c r="AA58" s="393">
        <f t="shared" si="33"/>
        <v>617296.81067070924</v>
      </c>
      <c r="AB58" s="393">
        <f t="shared" si="33"/>
        <v>0</v>
      </c>
      <c r="AC58" s="393">
        <f t="shared" si="33"/>
        <v>0</v>
      </c>
      <c r="AD58" s="393">
        <f t="shared" si="33"/>
        <v>0</v>
      </c>
      <c r="AE58" s="393">
        <f t="shared" si="33"/>
        <v>0</v>
      </c>
      <c r="AF58" s="393">
        <f t="shared" si="33"/>
        <v>0</v>
      </c>
      <c r="AG58" s="393">
        <f t="shared" si="33"/>
        <v>0</v>
      </c>
      <c r="AH58" s="393">
        <f t="shared" si="33"/>
        <v>0</v>
      </c>
      <c r="AI58" s="393">
        <f t="shared" si="33"/>
        <v>0</v>
      </c>
      <c r="AJ58" s="393">
        <f t="shared" si="33"/>
        <v>0</v>
      </c>
      <c r="AK58" s="393">
        <f t="shared" si="33"/>
        <v>0</v>
      </c>
      <c r="AL58" s="393">
        <f t="shared" si="33"/>
        <v>0</v>
      </c>
      <c r="AM58" s="393">
        <f t="shared" si="33"/>
        <v>0</v>
      </c>
      <c r="AN58" s="393">
        <f t="shared" si="33"/>
        <v>0</v>
      </c>
      <c r="AO58" s="393">
        <f t="shared" si="33"/>
        <v>0</v>
      </c>
      <c r="AP58" s="393">
        <f t="shared" si="33"/>
        <v>0</v>
      </c>
    </row>
    <row r="59" spans="1:42" x14ac:dyDescent="0.2">
      <c r="A59" s="35" t="s">
        <v>150</v>
      </c>
      <c r="B59" s="389">
        <f>-B579-B580</f>
        <v>0</v>
      </c>
      <c r="C59" s="389">
        <f t="shared" ref="C59:AP59" si="34">-C579-C580</f>
        <v>-273351.3870419304</v>
      </c>
      <c r="D59" s="389">
        <f t="shared" si="34"/>
        <v>-273351.3870419304</v>
      </c>
      <c r="E59" s="389">
        <f t="shared" si="34"/>
        <v>-273351.3870419304</v>
      </c>
      <c r="F59" s="389">
        <f t="shared" si="34"/>
        <v>-273351.3870419304</v>
      </c>
      <c r="G59" s="389">
        <f t="shared" si="34"/>
        <v>-273351.3870419304</v>
      </c>
      <c r="H59" s="389">
        <f t="shared" si="34"/>
        <v>-273351.3870419304</v>
      </c>
      <c r="I59" s="389">
        <f t="shared" si="34"/>
        <v>-273351.3870419304</v>
      </c>
      <c r="J59" s="389">
        <f t="shared" si="34"/>
        <v>-273351.3870419304</v>
      </c>
      <c r="K59" s="389">
        <f t="shared" si="34"/>
        <v>-273351.3870419304</v>
      </c>
      <c r="L59" s="389">
        <f t="shared" si="34"/>
        <v>-273351.3870419304</v>
      </c>
      <c r="M59" s="389">
        <f t="shared" si="34"/>
        <v>-273351.3870419304</v>
      </c>
      <c r="N59" s="389">
        <f t="shared" si="34"/>
        <v>3006865.2574612345</v>
      </c>
      <c r="O59" s="389">
        <f t="shared" si="34"/>
        <v>-367627.22552491649</v>
      </c>
      <c r="P59" s="389">
        <f t="shared" si="34"/>
        <v>-367627.22552491649</v>
      </c>
      <c r="Q59" s="389">
        <f t="shared" si="34"/>
        <v>-367627.22552491649</v>
      </c>
      <c r="R59" s="389">
        <f t="shared" si="34"/>
        <v>-367627.22552491649</v>
      </c>
      <c r="S59" s="389">
        <f t="shared" si="34"/>
        <v>-367627.22552491649</v>
      </c>
      <c r="T59" s="389">
        <f t="shared" si="34"/>
        <v>-367627.22552491649</v>
      </c>
      <c r="U59" s="389">
        <f t="shared" si="34"/>
        <v>-367627.22552491649</v>
      </c>
      <c r="V59" s="389">
        <f t="shared" si="34"/>
        <v>-367627.22552491649</v>
      </c>
      <c r="W59" s="389">
        <f t="shared" si="34"/>
        <v>-367627.22552491649</v>
      </c>
      <c r="X59" s="389">
        <f t="shared" si="34"/>
        <v>-367627.22552491649</v>
      </c>
      <c r="Y59" s="389">
        <f t="shared" si="34"/>
        <v>-367627.22552491649</v>
      </c>
      <c r="Z59" s="389">
        <f t="shared" si="34"/>
        <v>4043899.4807740813</v>
      </c>
      <c r="AA59" s="389">
        <f t="shared" si="34"/>
        <v>0</v>
      </c>
      <c r="AB59" s="389">
        <f t="shared" si="34"/>
        <v>0</v>
      </c>
      <c r="AC59" s="389">
        <f t="shared" si="34"/>
        <v>0</v>
      </c>
      <c r="AD59" s="389">
        <f t="shared" si="34"/>
        <v>0</v>
      </c>
      <c r="AE59" s="389">
        <f t="shared" si="34"/>
        <v>0</v>
      </c>
      <c r="AF59" s="389">
        <f t="shared" si="34"/>
        <v>0</v>
      </c>
      <c r="AG59" s="389">
        <f t="shared" si="34"/>
        <v>0</v>
      </c>
      <c r="AH59" s="389">
        <f t="shared" si="34"/>
        <v>0</v>
      </c>
      <c r="AI59" s="389">
        <f t="shared" si="34"/>
        <v>0</v>
      </c>
      <c r="AJ59" s="389">
        <f t="shared" si="34"/>
        <v>0</v>
      </c>
      <c r="AK59" s="389">
        <f t="shared" si="34"/>
        <v>0</v>
      </c>
      <c r="AL59" s="389">
        <f t="shared" si="34"/>
        <v>0</v>
      </c>
      <c r="AM59" s="389">
        <f t="shared" si="34"/>
        <v>0</v>
      </c>
      <c r="AN59" s="389">
        <f t="shared" si="34"/>
        <v>0</v>
      </c>
      <c r="AO59" s="389">
        <f t="shared" si="34"/>
        <v>0</v>
      </c>
      <c r="AP59" s="389">
        <f t="shared" si="34"/>
        <v>0</v>
      </c>
    </row>
    <row r="60" spans="1:42" x14ac:dyDescent="0.2">
      <c r="A60" s="35" t="s">
        <v>151</v>
      </c>
      <c r="B60" s="389">
        <f>-B611-B612</f>
        <v>0</v>
      </c>
      <c r="C60" s="389">
        <f t="shared" ref="C60:AP60" si="35">-C611-C612</f>
        <v>0</v>
      </c>
      <c r="D60" s="389">
        <f t="shared" si="35"/>
        <v>0</v>
      </c>
      <c r="E60" s="389">
        <f t="shared" si="35"/>
        <v>0</v>
      </c>
      <c r="F60" s="389">
        <f t="shared" si="35"/>
        <v>0</v>
      </c>
      <c r="G60" s="389">
        <f t="shared" si="35"/>
        <v>0</v>
      </c>
      <c r="H60" s="389">
        <f t="shared" si="35"/>
        <v>0</v>
      </c>
      <c r="I60" s="389">
        <f t="shared" si="35"/>
        <v>0</v>
      </c>
      <c r="J60" s="389">
        <f t="shared" si="35"/>
        <v>0</v>
      </c>
      <c r="K60" s="389">
        <f t="shared" si="35"/>
        <v>0</v>
      </c>
      <c r="L60" s="389">
        <f t="shared" si="35"/>
        <v>0</v>
      </c>
      <c r="M60" s="389">
        <f t="shared" si="35"/>
        <v>0</v>
      </c>
      <c r="N60" s="389">
        <f t="shared" si="35"/>
        <v>0</v>
      </c>
      <c r="O60" s="389">
        <f t="shared" si="35"/>
        <v>0</v>
      </c>
      <c r="P60" s="389">
        <f t="shared" si="35"/>
        <v>0</v>
      </c>
      <c r="Q60" s="389">
        <f t="shared" si="35"/>
        <v>0</v>
      </c>
      <c r="R60" s="389">
        <f t="shared" si="35"/>
        <v>0</v>
      </c>
      <c r="S60" s="389">
        <f t="shared" si="35"/>
        <v>0</v>
      </c>
      <c r="T60" s="389">
        <f t="shared" si="35"/>
        <v>0</v>
      </c>
      <c r="U60" s="389">
        <f t="shared" si="35"/>
        <v>0</v>
      </c>
      <c r="V60" s="389">
        <f t="shared" si="35"/>
        <v>0</v>
      </c>
      <c r="W60" s="389">
        <f t="shared" si="35"/>
        <v>0</v>
      </c>
      <c r="X60" s="389">
        <f t="shared" si="35"/>
        <v>0</v>
      </c>
      <c r="Y60" s="389">
        <f t="shared" si="35"/>
        <v>0</v>
      </c>
      <c r="Z60" s="389">
        <f t="shared" si="35"/>
        <v>0</v>
      </c>
      <c r="AA60" s="389">
        <f t="shared" si="35"/>
        <v>0</v>
      </c>
      <c r="AB60" s="389">
        <f t="shared" si="35"/>
        <v>0</v>
      </c>
      <c r="AC60" s="389">
        <f t="shared" si="35"/>
        <v>0</v>
      </c>
      <c r="AD60" s="389">
        <f t="shared" si="35"/>
        <v>0</v>
      </c>
      <c r="AE60" s="389">
        <f t="shared" si="35"/>
        <v>0</v>
      </c>
      <c r="AF60" s="389">
        <f t="shared" si="35"/>
        <v>0</v>
      </c>
      <c r="AG60" s="389">
        <f t="shared" si="35"/>
        <v>0</v>
      </c>
      <c r="AH60" s="389">
        <f t="shared" si="35"/>
        <v>0</v>
      </c>
      <c r="AI60" s="389">
        <f t="shared" si="35"/>
        <v>0</v>
      </c>
      <c r="AJ60" s="389">
        <f t="shared" si="35"/>
        <v>0</v>
      </c>
      <c r="AK60" s="389">
        <f t="shared" si="35"/>
        <v>0</v>
      </c>
      <c r="AL60" s="389">
        <f t="shared" si="35"/>
        <v>0</v>
      </c>
      <c r="AM60" s="389">
        <f t="shared" si="35"/>
        <v>0</v>
      </c>
      <c r="AN60" s="389">
        <f t="shared" si="35"/>
        <v>0</v>
      </c>
      <c r="AO60" s="389">
        <f t="shared" si="35"/>
        <v>0</v>
      </c>
      <c r="AP60" s="389">
        <f t="shared" si="35"/>
        <v>0</v>
      </c>
    </row>
    <row r="61" spans="1:42" x14ac:dyDescent="0.2">
      <c r="A61" s="35" t="s">
        <v>152</v>
      </c>
      <c r="B61" s="394">
        <f>-B643-B644</f>
        <v>0</v>
      </c>
      <c r="C61" s="394">
        <f t="shared" ref="C61:AP61" si="36">-C643-C644</f>
        <v>0</v>
      </c>
      <c r="D61" s="394">
        <f t="shared" si="36"/>
        <v>0</v>
      </c>
      <c r="E61" s="394">
        <f t="shared" si="36"/>
        <v>0</v>
      </c>
      <c r="F61" s="394">
        <f t="shared" si="36"/>
        <v>0</v>
      </c>
      <c r="G61" s="394">
        <f t="shared" si="36"/>
        <v>0</v>
      </c>
      <c r="H61" s="394">
        <f t="shared" si="36"/>
        <v>0</v>
      </c>
      <c r="I61" s="394">
        <f t="shared" si="36"/>
        <v>0</v>
      </c>
      <c r="J61" s="394">
        <f t="shared" si="36"/>
        <v>0</v>
      </c>
      <c r="K61" s="394">
        <f t="shared" si="36"/>
        <v>0</v>
      </c>
      <c r="L61" s="394">
        <f t="shared" si="36"/>
        <v>0</v>
      </c>
      <c r="M61" s="394">
        <f t="shared" si="36"/>
        <v>0</v>
      </c>
      <c r="N61" s="394">
        <f t="shared" si="36"/>
        <v>0</v>
      </c>
      <c r="O61" s="394">
        <f t="shared" si="36"/>
        <v>0</v>
      </c>
      <c r="P61" s="394">
        <f t="shared" si="36"/>
        <v>0</v>
      </c>
      <c r="Q61" s="394">
        <f t="shared" si="36"/>
        <v>0</v>
      </c>
      <c r="R61" s="394">
        <f t="shared" si="36"/>
        <v>0</v>
      </c>
      <c r="S61" s="394">
        <f t="shared" si="36"/>
        <v>0</v>
      </c>
      <c r="T61" s="394">
        <f t="shared" si="36"/>
        <v>0</v>
      </c>
      <c r="U61" s="394">
        <f t="shared" si="36"/>
        <v>0</v>
      </c>
      <c r="V61" s="394">
        <f t="shared" si="36"/>
        <v>0</v>
      </c>
      <c r="W61" s="394">
        <f t="shared" si="36"/>
        <v>0</v>
      </c>
      <c r="X61" s="394">
        <f t="shared" si="36"/>
        <v>0</v>
      </c>
      <c r="Y61" s="394">
        <f t="shared" si="36"/>
        <v>0</v>
      </c>
      <c r="Z61" s="394">
        <f t="shared" si="36"/>
        <v>0</v>
      </c>
      <c r="AA61" s="394">
        <f t="shared" si="36"/>
        <v>0</v>
      </c>
      <c r="AB61" s="394">
        <f t="shared" si="36"/>
        <v>0</v>
      </c>
      <c r="AC61" s="394">
        <f t="shared" si="36"/>
        <v>0</v>
      </c>
      <c r="AD61" s="394">
        <f t="shared" si="36"/>
        <v>0</v>
      </c>
      <c r="AE61" s="394">
        <f t="shared" si="36"/>
        <v>0</v>
      </c>
      <c r="AF61" s="394">
        <f t="shared" si="36"/>
        <v>0</v>
      </c>
      <c r="AG61" s="394">
        <f t="shared" si="36"/>
        <v>0</v>
      </c>
      <c r="AH61" s="394">
        <f t="shared" si="36"/>
        <v>0</v>
      </c>
      <c r="AI61" s="394">
        <f t="shared" si="36"/>
        <v>0</v>
      </c>
      <c r="AJ61" s="394">
        <f t="shared" si="36"/>
        <v>0</v>
      </c>
      <c r="AK61" s="394">
        <f t="shared" si="36"/>
        <v>0</v>
      </c>
      <c r="AL61" s="394">
        <f t="shared" si="36"/>
        <v>0</v>
      </c>
      <c r="AM61" s="394">
        <f t="shared" si="36"/>
        <v>0</v>
      </c>
      <c r="AN61" s="394">
        <f t="shared" si="36"/>
        <v>0</v>
      </c>
      <c r="AO61" s="394">
        <f t="shared" si="36"/>
        <v>0</v>
      </c>
      <c r="AP61" s="394">
        <f t="shared" si="36"/>
        <v>0</v>
      </c>
    </row>
    <row r="62" spans="1:42" x14ac:dyDescent="0.2">
      <c r="A62" s="35" t="s">
        <v>21</v>
      </c>
      <c r="B62" s="393">
        <f>SUM(B57:B61)</f>
        <v>-2058363.2063178036</v>
      </c>
      <c r="C62" s="393">
        <f t="shared" ref="C62:AP62" si="37">SUM(C57:C61)</f>
        <v>-283197.23895785213</v>
      </c>
      <c r="D62" s="393">
        <f t="shared" si="37"/>
        <v>-283420.35246344935</v>
      </c>
      <c r="E62" s="393">
        <f t="shared" si="37"/>
        <v>-283639.59654855396</v>
      </c>
      <c r="F62" s="393">
        <f t="shared" si="37"/>
        <v>-283855.30977563927</v>
      </c>
      <c r="G62" s="393">
        <f t="shared" si="37"/>
        <v>-284067.81774593604</v>
      </c>
      <c r="H62" s="393">
        <f t="shared" si="37"/>
        <v>-284277.43386584381</v>
      </c>
      <c r="I62" s="393">
        <f t="shared" si="37"/>
        <v>-284484.46007863921</v>
      </c>
      <c r="J62" s="393">
        <f t="shared" si="37"/>
        <v>-284689.18756337505</v>
      </c>
      <c r="K62" s="393">
        <f t="shared" si="37"/>
        <v>-284891.89740265871</v>
      </c>
      <c r="L62" s="393">
        <f t="shared" si="37"/>
        <v>-285092.86122106761</v>
      </c>
      <c r="M62" s="393">
        <f t="shared" si="37"/>
        <v>-285292.34179571824</v>
      </c>
      <c r="N62" s="393">
        <f t="shared" si="37"/>
        <v>3029643.0280785207</v>
      </c>
      <c r="O62" s="393">
        <f t="shared" si="37"/>
        <v>1276611.9857003239</v>
      </c>
      <c r="P62" s="393">
        <f t="shared" si="37"/>
        <v>-374507.89228730864</v>
      </c>
      <c r="Q62" s="393">
        <f t="shared" si="37"/>
        <v>-375058.73154549586</v>
      </c>
      <c r="R62" s="393">
        <f t="shared" si="37"/>
        <v>-375607.46541536268</v>
      </c>
      <c r="S62" s="393">
        <f t="shared" si="37"/>
        <v>-376154.94183610094</v>
      </c>
      <c r="T62" s="393">
        <f t="shared" si="37"/>
        <v>-376701.98853715492</v>
      </c>
      <c r="U62" s="393">
        <f t="shared" si="37"/>
        <v>-377249.41472436214</v>
      </c>
      <c r="V62" s="393">
        <f t="shared" si="37"/>
        <v>-377798.01270268537</v>
      </c>
      <c r="W62" s="393">
        <f t="shared" si="37"/>
        <v>-378348.55943936406</v>
      </c>
      <c r="X62" s="393">
        <f t="shared" si="37"/>
        <v>-378901.81807113561</v>
      </c>
      <c r="Y62" s="393">
        <f t="shared" si="37"/>
        <v>-379458.53935902164</v>
      </c>
      <c r="Z62" s="393">
        <f t="shared" si="37"/>
        <v>4031507.243204975</v>
      </c>
      <c r="AA62" s="393">
        <f t="shared" si="37"/>
        <v>617296.81067070924</v>
      </c>
      <c r="AB62" s="393">
        <f t="shared" si="37"/>
        <v>0</v>
      </c>
      <c r="AC62" s="393">
        <f t="shared" si="37"/>
        <v>0</v>
      </c>
      <c r="AD62" s="393">
        <f t="shared" si="37"/>
        <v>0</v>
      </c>
      <c r="AE62" s="393">
        <f t="shared" si="37"/>
        <v>0</v>
      </c>
      <c r="AF62" s="393">
        <f t="shared" si="37"/>
        <v>0</v>
      </c>
      <c r="AG62" s="393">
        <f t="shared" si="37"/>
        <v>0</v>
      </c>
      <c r="AH62" s="393">
        <f t="shared" si="37"/>
        <v>0</v>
      </c>
      <c r="AI62" s="393">
        <f t="shared" si="37"/>
        <v>0</v>
      </c>
      <c r="AJ62" s="393">
        <f t="shared" si="37"/>
        <v>0</v>
      </c>
      <c r="AK62" s="393">
        <f t="shared" si="37"/>
        <v>0</v>
      </c>
      <c r="AL62" s="393">
        <f t="shared" si="37"/>
        <v>0</v>
      </c>
      <c r="AM62" s="393">
        <f t="shared" si="37"/>
        <v>0</v>
      </c>
      <c r="AN62" s="393">
        <f t="shared" si="37"/>
        <v>0</v>
      </c>
      <c r="AO62" s="393">
        <f t="shared" si="37"/>
        <v>0</v>
      </c>
      <c r="AP62" s="393">
        <f t="shared" si="37"/>
        <v>0</v>
      </c>
    </row>
    <row r="63" spans="1:42" x14ac:dyDescent="0.2">
      <c r="A63" s="31" t="s">
        <v>117</v>
      </c>
    </row>
    <row r="64" spans="1:42" x14ac:dyDescent="0.2">
      <c r="A64" s="35" t="s">
        <v>156</v>
      </c>
      <c r="B64" s="353">
        <f>B580</f>
        <v>0</v>
      </c>
      <c r="C64" s="353">
        <f t="shared" ref="C64:AP64" si="38">C580</f>
        <v>0</v>
      </c>
      <c r="D64" s="353">
        <f t="shared" si="38"/>
        <v>0</v>
      </c>
      <c r="E64" s="353">
        <f t="shared" si="38"/>
        <v>0</v>
      </c>
      <c r="F64" s="353">
        <f t="shared" si="38"/>
        <v>0</v>
      </c>
      <c r="G64" s="353">
        <f t="shared" si="38"/>
        <v>0</v>
      </c>
      <c r="H64" s="353">
        <f t="shared" si="38"/>
        <v>0</v>
      </c>
      <c r="I64" s="353">
        <f t="shared" si="38"/>
        <v>0</v>
      </c>
      <c r="J64" s="353">
        <f t="shared" si="38"/>
        <v>0</v>
      </c>
      <c r="K64" s="353">
        <f t="shared" si="38"/>
        <v>0</v>
      </c>
      <c r="L64" s="353">
        <f t="shared" si="38"/>
        <v>0</v>
      </c>
      <c r="M64" s="353">
        <f t="shared" si="38"/>
        <v>0</v>
      </c>
      <c r="N64" s="353">
        <f t="shared" si="38"/>
        <v>-3280216.644503165</v>
      </c>
      <c r="O64" s="353">
        <f t="shared" si="38"/>
        <v>0</v>
      </c>
      <c r="P64" s="353">
        <f t="shared" si="38"/>
        <v>0</v>
      </c>
      <c r="Q64" s="353">
        <f t="shared" si="38"/>
        <v>0</v>
      </c>
      <c r="R64" s="353">
        <f t="shared" si="38"/>
        <v>0</v>
      </c>
      <c r="S64" s="353">
        <f t="shared" si="38"/>
        <v>0</v>
      </c>
      <c r="T64" s="353">
        <f t="shared" si="38"/>
        <v>0</v>
      </c>
      <c r="U64" s="353">
        <f t="shared" si="38"/>
        <v>0</v>
      </c>
      <c r="V64" s="353">
        <f t="shared" si="38"/>
        <v>0</v>
      </c>
      <c r="W64" s="353">
        <f t="shared" si="38"/>
        <v>0</v>
      </c>
      <c r="X64" s="353">
        <f t="shared" si="38"/>
        <v>0</v>
      </c>
      <c r="Y64" s="353">
        <f t="shared" si="38"/>
        <v>0</v>
      </c>
      <c r="Z64" s="353">
        <f t="shared" si="38"/>
        <v>-4411526.7062989976</v>
      </c>
      <c r="AA64" s="353">
        <f t="shared" si="38"/>
        <v>0</v>
      </c>
      <c r="AB64" s="353">
        <f t="shared" si="38"/>
        <v>0</v>
      </c>
      <c r="AC64" s="353">
        <f t="shared" si="38"/>
        <v>0</v>
      </c>
      <c r="AD64" s="353">
        <f t="shared" si="38"/>
        <v>0</v>
      </c>
      <c r="AE64" s="353">
        <f t="shared" si="38"/>
        <v>0</v>
      </c>
      <c r="AF64" s="353">
        <f t="shared" si="38"/>
        <v>0</v>
      </c>
      <c r="AG64" s="353">
        <f t="shared" si="38"/>
        <v>0</v>
      </c>
      <c r="AH64" s="353">
        <f t="shared" si="38"/>
        <v>0</v>
      </c>
      <c r="AI64" s="353">
        <f t="shared" si="38"/>
        <v>0</v>
      </c>
      <c r="AJ64" s="353">
        <f t="shared" si="38"/>
        <v>0</v>
      </c>
      <c r="AK64" s="353">
        <f t="shared" si="38"/>
        <v>0</v>
      </c>
      <c r="AL64" s="353">
        <f t="shared" si="38"/>
        <v>0</v>
      </c>
      <c r="AM64" s="353">
        <f t="shared" si="38"/>
        <v>0</v>
      </c>
      <c r="AN64" s="353">
        <f t="shared" si="38"/>
        <v>0</v>
      </c>
      <c r="AO64" s="353">
        <f t="shared" si="38"/>
        <v>0</v>
      </c>
      <c r="AP64" s="353">
        <f t="shared" si="38"/>
        <v>0</v>
      </c>
    </row>
    <row r="65" spans="1:42" x14ac:dyDescent="0.2">
      <c r="A65" s="35" t="s">
        <v>157</v>
      </c>
      <c r="B65" s="353">
        <f>B612</f>
        <v>0</v>
      </c>
      <c r="C65" s="353">
        <f t="shared" ref="C65:AP65" si="39">C612</f>
        <v>0</v>
      </c>
      <c r="D65" s="353">
        <f t="shared" si="39"/>
        <v>0</v>
      </c>
      <c r="E65" s="353">
        <f t="shared" si="39"/>
        <v>0</v>
      </c>
      <c r="F65" s="353">
        <f t="shared" si="39"/>
        <v>0</v>
      </c>
      <c r="G65" s="353">
        <f t="shared" si="39"/>
        <v>0</v>
      </c>
      <c r="H65" s="353">
        <f t="shared" si="39"/>
        <v>0</v>
      </c>
      <c r="I65" s="353">
        <f t="shared" si="39"/>
        <v>0</v>
      </c>
      <c r="J65" s="353">
        <f t="shared" si="39"/>
        <v>0</v>
      </c>
      <c r="K65" s="353">
        <f t="shared" si="39"/>
        <v>0</v>
      </c>
      <c r="L65" s="353">
        <f t="shared" si="39"/>
        <v>0</v>
      </c>
      <c r="M65" s="353">
        <f t="shared" si="39"/>
        <v>0</v>
      </c>
      <c r="N65" s="353">
        <f t="shared" si="39"/>
        <v>0</v>
      </c>
      <c r="O65" s="353">
        <f t="shared" si="39"/>
        <v>0</v>
      </c>
      <c r="P65" s="353">
        <f t="shared" si="39"/>
        <v>0</v>
      </c>
      <c r="Q65" s="353">
        <f t="shared" si="39"/>
        <v>0</v>
      </c>
      <c r="R65" s="353">
        <f t="shared" si="39"/>
        <v>0</v>
      </c>
      <c r="S65" s="353">
        <f t="shared" si="39"/>
        <v>0</v>
      </c>
      <c r="T65" s="353">
        <f t="shared" si="39"/>
        <v>0</v>
      </c>
      <c r="U65" s="353">
        <f t="shared" si="39"/>
        <v>0</v>
      </c>
      <c r="V65" s="353">
        <f t="shared" si="39"/>
        <v>0</v>
      </c>
      <c r="W65" s="353">
        <f t="shared" si="39"/>
        <v>0</v>
      </c>
      <c r="X65" s="353">
        <f t="shared" si="39"/>
        <v>0</v>
      </c>
      <c r="Y65" s="353">
        <f t="shared" si="39"/>
        <v>0</v>
      </c>
      <c r="Z65" s="353">
        <f t="shared" si="39"/>
        <v>0</v>
      </c>
      <c r="AA65" s="353">
        <f t="shared" si="39"/>
        <v>0</v>
      </c>
      <c r="AB65" s="353">
        <f t="shared" si="39"/>
        <v>0</v>
      </c>
      <c r="AC65" s="353">
        <f t="shared" si="39"/>
        <v>0</v>
      </c>
      <c r="AD65" s="353">
        <f t="shared" si="39"/>
        <v>0</v>
      </c>
      <c r="AE65" s="353">
        <f t="shared" si="39"/>
        <v>0</v>
      </c>
      <c r="AF65" s="353">
        <f t="shared" si="39"/>
        <v>0</v>
      </c>
      <c r="AG65" s="353">
        <f t="shared" si="39"/>
        <v>0</v>
      </c>
      <c r="AH65" s="353">
        <f t="shared" si="39"/>
        <v>0</v>
      </c>
      <c r="AI65" s="353">
        <f t="shared" si="39"/>
        <v>0</v>
      </c>
      <c r="AJ65" s="353">
        <f t="shared" si="39"/>
        <v>0</v>
      </c>
      <c r="AK65" s="353">
        <f t="shared" si="39"/>
        <v>0</v>
      </c>
      <c r="AL65" s="353">
        <f t="shared" si="39"/>
        <v>0</v>
      </c>
      <c r="AM65" s="353">
        <f t="shared" si="39"/>
        <v>0</v>
      </c>
      <c r="AN65" s="353">
        <f t="shared" si="39"/>
        <v>0</v>
      </c>
      <c r="AO65" s="353">
        <f t="shared" si="39"/>
        <v>0</v>
      </c>
      <c r="AP65" s="353">
        <f t="shared" si="39"/>
        <v>0</v>
      </c>
    </row>
    <row r="66" spans="1:42" x14ac:dyDescent="0.2">
      <c r="A66" s="35" t="s">
        <v>158</v>
      </c>
      <c r="B66" s="360">
        <f>B644</f>
        <v>0</v>
      </c>
      <c r="C66" s="360">
        <f t="shared" ref="C66:AP66" si="40">C644</f>
        <v>0</v>
      </c>
      <c r="D66" s="360">
        <f t="shared" si="40"/>
        <v>0</v>
      </c>
      <c r="E66" s="360">
        <f t="shared" si="40"/>
        <v>0</v>
      </c>
      <c r="F66" s="360">
        <f t="shared" si="40"/>
        <v>0</v>
      </c>
      <c r="G66" s="360">
        <f t="shared" si="40"/>
        <v>0</v>
      </c>
      <c r="H66" s="360">
        <f t="shared" si="40"/>
        <v>0</v>
      </c>
      <c r="I66" s="360">
        <f t="shared" si="40"/>
        <v>0</v>
      </c>
      <c r="J66" s="360">
        <f t="shared" si="40"/>
        <v>0</v>
      </c>
      <c r="K66" s="360">
        <f t="shared" si="40"/>
        <v>0</v>
      </c>
      <c r="L66" s="360">
        <f t="shared" si="40"/>
        <v>0</v>
      </c>
      <c r="M66" s="360">
        <f t="shared" si="40"/>
        <v>0</v>
      </c>
      <c r="N66" s="360">
        <f t="shared" si="40"/>
        <v>0</v>
      </c>
      <c r="O66" s="360">
        <f t="shared" si="40"/>
        <v>0</v>
      </c>
      <c r="P66" s="360">
        <f t="shared" si="40"/>
        <v>0</v>
      </c>
      <c r="Q66" s="360">
        <f t="shared" si="40"/>
        <v>0</v>
      </c>
      <c r="R66" s="360">
        <f t="shared" si="40"/>
        <v>0</v>
      </c>
      <c r="S66" s="360">
        <f t="shared" si="40"/>
        <v>0</v>
      </c>
      <c r="T66" s="360">
        <f t="shared" si="40"/>
        <v>0</v>
      </c>
      <c r="U66" s="360">
        <f t="shared" si="40"/>
        <v>0</v>
      </c>
      <c r="V66" s="360">
        <f t="shared" si="40"/>
        <v>0</v>
      </c>
      <c r="W66" s="360">
        <f t="shared" si="40"/>
        <v>0</v>
      </c>
      <c r="X66" s="360">
        <f t="shared" si="40"/>
        <v>0</v>
      </c>
      <c r="Y66" s="360">
        <f t="shared" si="40"/>
        <v>0</v>
      </c>
      <c r="Z66" s="360">
        <f t="shared" si="40"/>
        <v>0</v>
      </c>
      <c r="AA66" s="360">
        <f t="shared" si="40"/>
        <v>0</v>
      </c>
      <c r="AB66" s="360">
        <f t="shared" si="40"/>
        <v>0</v>
      </c>
      <c r="AC66" s="360">
        <f t="shared" si="40"/>
        <v>0</v>
      </c>
      <c r="AD66" s="360">
        <f t="shared" si="40"/>
        <v>0</v>
      </c>
      <c r="AE66" s="360">
        <f t="shared" si="40"/>
        <v>0</v>
      </c>
      <c r="AF66" s="360">
        <f t="shared" si="40"/>
        <v>0</v>
      </c>
      <c r="AG66" s="360">
        <f t="shared" si="40"/>
        <v>0</v>
      </c>
      <c r="AH66" s="360">
        <f t="shared" si="40"/>
        <v>0</v>
      </c>
      <c r="AI66" s="360">
        <f t="shared" si="40"/>
        <v>0</v>
      </c>
      <c r="AJ66" s="360">
        <f t="shared" si="40"/>
        <v>0</v>
      </c>
      <c r="AK66" s="360">
        <f t="shared" si="40"/>
        <v>0</v>
      </c>
      <c r="AL66" s="360">
        <f t="shared" si="40"/>
        <v>0</v>
      </c>
      <c r="AM66" s="360">
        <f t="shared" si="40"/>
        <v>0</v>
      </c>
      <c r="AN66" s="360">
        <f t="shared" si="40"/>
        <v>0</v>
      </c>
      <c r="AO66" s="360">
        <f t="shared" si="40"/>
        <v>0</v>
      </c>
      <c r="AP66" s="360">
        <f t="shared" si="40"/>
        <v>0</v>
      </c>
    </row>
    <row r="67" spans="1:42" x14ac:dyDescent="0.2">
      <c r="A67" s="35" t="s">
        <v>21</v>
      </c>
      <c r="B67" s="377">
        <f>SUM(B64:B66)</f>
        <v>0</v>
      </c>
      <c r="C67" s="377">
        <f t="shared" ref="C67:AP67" si="41">SUM(C64:C66)</f>
        <v>0</v>
      </c>
      <c r="D67" s="377">
        <f t="shared" si="41"/>
        <v>0</v>
      </c>
      <c r="E67" s="377">
        <f t="shared" si="41"/>
        <v>0</v>
      </c>
      <c r="F67" s="377">
        <f t="shared" si="41"/>
        <v>0</v>
      </c>
      <c r="G67" s="377">
        <f t="shared" si="41"/>
        <v>0</v>
      </c>
      <c r="H67" s="377">
        <f t="shared" si="41"/>
        <v>0</v>
      </c>
      <c r="I67" s="377">
        <f t="shared" si="41"/>
        <v>0</v>
      </c>
      <c r="J67" s="377">
        <f t="shared" si="41"/>
        <v>0</v>
      </c>
      <c r="K67" s="377">
        <f t="shared" si="41"/>
        <v>0</v>
      </c>
      <c r="L67" s="377">
        <f t="shared" si="41"/>
        <v>0</v>
      </c>
      <c r="M67" s="377">
        <f t="shared" si="41"/>
        <v>0</v>
      </c>
      <c r="N67" s="377">
        <f t="shared" si="41"/>
        <v>-3280216.644503165</v>
      </c>
      <c r="O67" s="377">
        <f t="shared" si="41"/>
        <v>0</v>
      </c>
      <c r="P67" s="377">
        <f t="shared" si="41"/>
        <v>0</v>
      </c>
      <c r="Q67" s="377">
        <f t="shared" si="41"/>
        <v>0</v>
      </c>
      <c r="R67" s="377">
        <f t="shared" si="41"/>
        <v>0</v>
      </c>
      <c r="S67" s="377">
        <f t="shared" si="41"/>
        <v>0</v>
      </c>
      <c r="T67" s="377">
        <f t="shared" si="41"/>
        <v>0</v>
      </c>
      <c r="U67" s="377">
        <f t="shared" si="41"/>
        <v>0</v>
      </c>
      <c r="V67" s="377">
        <f t="shared" si="41"/>
        <v>0</v>
      </c>
      <c r="W67" s="377">
        <f t="shared" si="41"/>
        <v>0</v>
      </c>
      <c r="X67" s="377">
        <f t="shared" si="41"/>
        <v>0</v>
      </c>
      <c r="Y67" s="377">
        <f t="shared" si="41"/>
        <v>0</v>
      </c>
      <c r="Z67" s="377">
        <f t="shared" si="41"/>
        <v>-4411526.7062989976</v>
      </c>
      <c r="AA67" s="377">
        <f t="shared" si="41"/>
        <v>0</v>
      </c>
      <c r="AB67" s="377">
        <f t="shared" si="41"/>
        <v>0</v>
      </c>
      <c r="AC67" s="377">
        <f t="shared" si="41"/>
        <v>0</v>
      </c>
      <c r="AD67" s="377">
        <f t="shared" si="41"/>
        <v>0</v>
      </c>
      <c r="AE67" s="377">
        <f t="shared" si="41"/>
        <v>0</v>
      </c>
      <c r="AF67" s="377">
        <f t="shared" si="41"/>
        <v>0</v>
      </c>
      <c r="AG67" s="377">
        <f t="shared" si="41"/>
        <v>0</v>
      </c>
      <c r="AH67" s="377">
        <f t="shared" si="41"/>
        <v>0</v>
      </c>
      <c r="AI67" s="377">
        <f t="shared" si="41"/>
        <v>0</v>
      </c>
      <c r="AJ67" s="377">
        <f t="shared" si="41"/>
        <v>0</v>
      </c>
      <c r="AK67" s="377">
        <f t="shared" si="41"/>
        <v>0</v>
      </c>
      <c r="AL67" s="377">
        <f t="shared" si="41"/>
        <v>0</v>
      </c>
      <c r="AM67" s="377">
        <f t="shared" si="41"/>
        <v>0</v>
      </c>
      <c r="AN67" s="377">
        <f t="shared" si="41"/>
        <v>0</v>
      </c>
      <c r="AO67" s="377">
        <f t="shared" si="41"/>
        <v>0</v>
      </c>
      <c r="AP67" s="377">
        <f t="shared" si="41"/>
        <v>0</v>
      </c>
    </row>
    <row r="68" spans="1:42" x14ac:dyDescent="0.2">
      <c r="A68" s="31" t="s">
        <v>21</v>
      </c>
      <c r="B68" s="359">
        <f>B55+B62+B67</f>
        <v>-27058363.206317805</v>
      </c>
      <c r="C68" s="359">
        <f t="shared" ref="C68:AP68" si="42">C55+C62+C67</f>
        <v>-283197.23895785213</v>
      </c>
      <c r="D68" s="359">
        <f t="shared" si="42"/>
        <v>-283420.35246344935</v>
      </c>
      <c r="E68" s="359">
        <f t="shared" si="42"/>
        <v>-283639.59654855396</v>
      </c>
      <c r="F68" s="359">
        <f t="shared" si="42"/>
        <v>-283855.30977563927</v>
      </c>
      <c r="G68" s="359">
        <f t="shared" si="42"/>
        <v>-284067.81774593604</v>
      </c>
      <c r="H68" s="359">
        <f t="shared" si="42"/>
        <v>-284277.43386584381</v>
      </c>
      <c r="I68" s="359">
        <f t="shared" si="42"/>
        <v>-284484.46007863921</v>
      </c>
      <c r="J68" s="359">
        <f t="shared" si="42"/>
        <v>-284689.18756337505</v>
      </c>
      <c r="K68" s="359">
        <f t="shared" si="42"/>
        <v>-284891.89740265871</v>
      </c>
      <c r="L68" s="359">
        <f t="shared" si="42"/>
        <v>-285092.86122106761</v>
      </c>
      <c r="M68" s="359">
        <f t="shared" si="42"/>
        <v>-285292.34179571824</v>
      </c>
      <c r="N68" s="359">
        <f t="shared" si="42"/>
        <v>-250573.61642464437</v>
      </c>
      <c r="O68" s="359">
        <f t="shared" si="42"/>
        <v>1276611.9857003239</v>
      </c>
      <c r="P68" s="359">
        <f t="shared" si="42"/>
        <v>-374507.89228730864</v>
      </c>
      <c r="Q68" s="359">
        <f t="shared" si="42"/>
        <v>-375058.73154549586</v>
      </c>
      <c r="R68" s="359">
        <f t="shared" si="42"/>
        <v>-375607.46541536268</v>
      </c>
      <c r="S68" s="359">
        <f t="shared" si="42"/>
        <v>-376154.94183610094</v>
      </c>
      <c r="T68" s="359">
        <f t="shared" si="42"/>
        <v>-376701.98853715492</v>
      </c>
      <c r="U68" s="359">
        <f t="shared" si="42"/>
        <v>-377249.41472436214</v>
      </c>
      <c r="V68" s="359">
        <f t="shared" si="42"/>
        <v>-377798.01270268537</v>
      </c>
      <c r="W68" s="359">
        <f t="shared" si="42"/>
        <v>-378348.55943936406</v>
      </c>
      <c r="X68" s="359">
        <f t="shared" si="42"/>
        <v>-378901.81807113561</v>
      </c>
      <c r="Y68" s="359">
        <f t="shared" si="42"/>
        <v>-379458.53935902164</v>
      </c>
      <c r="Z68" s="359">
        <f t="shared" si="42"/>
        <v>-380019.46309402259</v>
      </c>
      <c r="AA68" s="359">
        <f t="shared" si="42"/>
        <v>617296.81067070924</v>
      </c>
      <c r="AB68" s="359">
        <f t="shared" si="42"/>
        <v>0</v>
      </c>
      <c r="AC68" s="359">
        <f t="shared" si="42"/>
        <v>0</v>
      </c>
      <c r="AD68" s="359">
        <f t="shared" si="42"/>
        <v>0</v>
      </c>
      <c r="AE68" s="359">
        <f t="shared" si="42"/>
        <v>0</v>
      </c>
      <c r="AF68" s="359">
        <f t="shared" si="42"/>
        <v>0</v>
      </c>
      <c r="AG68" s="359">
        <f t="shared" si="42"/>
        <v>0</v>
      </c>
      <c r="AH68" s="359">
        <f t="shared" si="42"/>
        <v>0</v>
      </c>
      <c r="AI68" s="359">
        <f t="shared" si="42"/>
        <v>0</v>
      </c>
      <c r="AJ68" s="359">
        <f t="shared" si="42"/>
        <v>0</v>
      </c>
      <c r="AK68" s="359">
        <f t="shared" si="42"/>
        <v>0</v>
      </c>
      <c r="AL68" s="359">
        <f t="shared" si="42"/>
        <v>0</v>
      </c>
      <c r="AM68" s="359">
        <f t="shared" si="42"/>
        <v>0</v>
      </c>
      <c r="AN68" s="359">
        <f t="shared" si="42"/>
        <v>0</v>
      </c>
      <c r="AO68" s="359">
        <f t="shared" si="42"/>
        <v>0</v>
      </c>
      <c r="AP68" s="359">
        <f t="shared" si="42"/>
        <v>0</v>
      </c>
    </row>
    <row r="69" spans="1:42" x14ac:dyDescent="0.2">
      <c r="A69" s="31"/>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row>
    <row r="70" spans="1:42" x14ac:dyDescent="0.2">
      <c r="A70" s="33" t="s">
        <v>104</v>
      </c>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row>
    <row r="71" spans="1:42" x14ac:dyDescent="0.2">
      <c r="A71" s="31" t="s">
        <v>118</v>
      </c>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row>
    <row r="72" spans="1:42" x14ac:dyDescent="0.2">
      <c r="A72" s="35" t="s">
        <v>119</v>
      </c>
      <c r="B72" s="359">
        <f>C491+C497</f>
        <v>25000000</v>
      </c>
      <c r="C72" s="359"/>
      <c r="D72" s="359"/>
      <c r="E72" s="359"/>
      <c r="F72" s="359"/>
      <c r="G72" s="359"/>
      <c r="H72" s="359"/>
      <c r="I72" s="359"/>
      <c r="J72" s="359"/>
      <c r="K72" s="359"/>
      <c r="L72" s="359"/>
      <c r="M72" s="359"/>
      <c r="N72" s="359"/>
      <c r="O72" s="359"/>
      <c r="P72" s="359"/>
      <c r="Q72" s="359"/>
      <c r="R72" s="359"/>
      <c r="S72" s="359"/>
      <c r="T72" s="359"/>
      <c r="U72" s="359"/>
      <c r="V72" s="359"/>
      <c r="W72" s="359"/>
      <c r="X72" s="359"/>
      <c r="Y72" s="359"/>
      <c r="Z72" s="359"/>
      <c r="AA72" s="359"/>
      <c r="AB72" s="359"/>
      <c r="AC72" s="359"/>
      <c r="AD72" s="359"/>
      <c r="AE72" s="359"/>
      <c r="AF72" s="359"/>
      <c r="AG72" s="359"/>
      <c r="AH72" s="359"/>
      <c r="AI72" s="359"/>
      <c r="AJ72" s="359"/>
      <c r="AK72" s="359"/>
      <c r="AL72" s="359"/>
      <c r="AM72" s="359"/>
      <c r="AN72" s="359"/>
      <c r="AO72" s="359"/>
      <c r="AP72" s="359"/>
    </row>
    <row r="73" spans="1:42" x14ac:dyDescent="0.2">
      <c r="A73" s="35" t="s">
        <v>99</v>
      </c>
      <c r="B73" s="360">
        <f>C503</f>
        <v>0</v>
      </c>
      <c r="C73" s="353"/>
      <c r="D73" s="353"/>
      <c r="E73" s="353"/>
      <c r="F73" s="353"/>
      <c r="G73" s="353"/>
      <c r="H73" s="353"/>
      <c r="I73" s="353"/>
      <c r="J73" s="353"/>
      <c r="K73" s="353"/>
      <c r="L73" s="353"/>
      <c r="M73" s="353"/>
      <c r="N73" s="353"/>
      <c r="O73" s="353"/>
      <c r="P73" s="353"/>
      <c r="Q73" s="353"/>
      <c r="R73" s="353"/>
      <c r="S73" s="353"/>
      <c r="T73" s="353"/>
      <c r="U73" s="353"/>
      <c r="V73" s="353"/>
      <c r="W73" s="353"/>
      <c r="X73" s="353"/>
      <c r="Y73" s="353"/>
      <c r="Z73" s="353"/>
      <c r="AA73" s="353"/>
      <c r="AB73" s="353"/>
      <c r="AC73" s="353"/>
      <c r="AD73" s="353"/>
      <c r="AE73" s="353"/>
      <c r="AF73" s="353"/>
      <c r="AG73" s="353"/>
      <c r="AH73" s="353"/>
      <c r="AI73" s="353"/>
      <c r="AJ73" s="353"/>
      <c r="AK73" s="353"/>
      <c r="AL73" s="353"/>
      <c r="AM73" s="353"/>
      <c r="AN73" s="353"/>
      <c r="AO73" s="353"/>
      <c r="AP73" s="353"/>
    </row>
    <row r="74" spans="1:42" x14ac:dyDescent="0.2">
      <c r="A74" s="35" t="s">
        <v>21</v>
      </c>
      <c r="B74" s="359">
        <f>SUM(B72:B73)</f>
        <v>25000000</v>
      </c>
      <c r="C74" s="359"/>
      <c r="D74" s="359"/>
      <c r="E74" s="359"/>
      <c r="F74" s="359"/>
      <c r="G74" s="359"/>
      <c r="H74" s="359"/>
      <c r="I74" s="359"/>
      <c r="J74" s="359"/>
      <c r="K74" s="359"/>
      <c r="L74" s="359"/>
      <c r="M74" s="359"/>
      <c r="N74" s="359"/>
      <c r="O74" s="359"/>
      <c r="P74" s="359"/>
      <c r="Q74" s="359"/>
      <c r="R74" s="359"/>
      <c r="S74" s="359"/>
      <c r="T74" s="359"/>
      <c r="U74" s="359"/>
      <c r="V74" s="359"/>
      <c r="W74" s="359"/>
      <c r="X74" s="359"/>
      <c r="Y74" s="359"/>
      <c r="Z74" s="359"/>
      <c r="AA74" s="359"/>
      <c r="AB74" s="359"/>
      <c r="AC74" s="359"/>
      <c r="AD74" s="359"/>
      <c r="AE74" s="359"/>
      <c r="AF74" s="359"/>
      <c r="AG74" s="359"/>
      <c r="AH74" s="359"/>
      <c r="AI74" s="359"/>
      <c r="AJ74" s="359"/>
      <c r="AK74" s="359"/>
      <c r="AL74" s="359"/>
      <c r="AM74" s="359"/>
      <c r="AN74" s="359"/>
      <c r="AO74" s="359"/>
      <c r="AP74" s="359"/>
    </row>
    <row r="75" spans="1:42" x14ac:dyDescent="0.2">
      <c r="A75" s="31" t="s">
        <v>165</v>
      </c>
      <c r="B75" s="359">
        <f>total_installed_cost-B74</f>
        <v>25000000</v>
      </c>
      <c r="C75" s="359"/>
      <c r="D75" s="359"/>
      <c r="E75" s="359"/>
      <c r="F75" s="359"/>
      <c r="G75" s="359"/>
      <c r="H75" s="359"/>
      <c r="I75" s="359"/>
      <c r="J75" s="359"/>
      <c r="K75" s="359"/>
      <c r="L75" s="359"/>
      <c r="M75" s="359"/>
      <c r="N75" s="359"/>
      <c r="O75" s="359"/>
      <c r="P75" s="359"/>
      <c r="Q75" s="359"/>
      <c r="R75" s="359"/>
      <c r="S75" s="359"/>
      <c r="T75" s="359"/>
      <c r="U75" s="359"/>
      <c r="V75" s="359"/>
      <c r="W75" s="359"/>
      <c r="X75" s="359"/>
      <c r="Y75" s="359"/>
      <c r="Z75" s="359"/>
      <c r="AA75" s="359"/>
      <c r="AB75" s="359"/>
      <c r="AC75" s="359"/>
      <c r="AD75" s="359"/>
      <c r="AE75" s="359"/>
      <c r="AF75" s="359"/>
      <c r="AG75" s="359"/>
      <c r="AH75" s="359"/>
      <c r="AI75" s="359"/>
      <c r="AJ75" s="359"/>
      <c r="AK75" s="359"/>
      <c r="AL75" s="359"/>
      <c r="AM75" s="359"/>
      <c r="AN75" s="359"/>
      <c r="AO75" s="359"/>
      <c r="AP75" s="359"/>
    </row>
    <row r="76" spans="1:42" x14ac:dyDescent="0.2">
      <c r="A76" s="31" t="s">
        <v>105</v>
      </c>
      <c r="B76" s="360">
        <f>Inputs!E55</f>
        <v>0</v>
      </c>
      <c r="C76" s="360">
        <f>-C532</f>
        <v>165535.43463010155</v>
      </c>
      <c r="D76" s="360">
        <f t="shared" ref="D76:AP76" si="43">-D532</f>
        <v>158101.73039606726</v>
      </c>
      <c r="E76" s="360">
        <f t="shared" si="43"/>
        <v>150926.15279557323</v>
      </c>
      <c r="F76" s="360">
        <f t="shared" si="43"/>
        <v>144006.62615123577</v>
      </c>
      <c r="G76" s="360">
        <f t="shared" si="43"/>
        <v>137342.82356374757</v>
      </c>
      <c r="H76" s="360">
        <f t="shared" si="43"/>
        <v>130936.24144708226</v>
      </c>
      <c r="I76" s="360">
        <f t="shared" si="43"/>
        <v>124790.28477841662</v>
      </c>
      <c r="J76" s="360">
        <f t="shared" si="43"/>
        <v>118910.36377535295</v>
      </c>
      <c r="K76" s="360">
        <f t="shared" si="43"/>
        <v>113304.00278403936</v>
      </c>
      <c r="L76" s="360">
        <f t="shared" si="43"/>
        <v>107980.96223859116</v>
      </c>
      <c r="M76" s="360">
        <f t="shared" si="43"/>
        <v>102953.37463475624</v>
      </c>
      <c r="N76" s="360">
        <f t="shared" si="43"/>
        <v>98235.895550179295</v>
      </c>
      <c r="O76" s="360">
        <f t="shared" si="43"/>
        <v>163679.82527177734</v>
      </c>
      <c r="P76" s="360">
        <f t="shared" si="43"/>
        <v>0</v>
      </c>
      <c r="Q76" s="360">
        <f t="shared" si="43"/>
        <v>0</v>
      </c>
      <c r="R76" s="360">
        <f t="shared" si="43"/>
        <v>0</v>
      </c>
      <c r="S76" s="360">
        <f t="shared" si="43"/>
        <v>0</v>
      </c>
      <c r="T76" s="360">
        <f t="shared" si="43"/>
        <v>0</v>
      </c>
      <c r="U76" s="360">
        <f t="shared" si="43"/>
        <v>0</v>
      </c>
      <c r="V76" s="360">
        <f t="shared" si="43"/>
        <v>0</v>
      </c>
      <c r="W76" s="360">
        <f t="shared" si="43"/>
        <v>0</v>
      </c>
      <c r="X76" s="360">
        <f t="shared" si="43"/>
        <v>0</v>
      </c>
      <c r="Y76" s="360">
        <f t="shared" si="43"/>
        <v>0</v>
      </c>
      <c r="Z76" s="360">
        <f t="shared" si="43"/>
        <v>0</v>
      </c>
      <c r="AA76" s="360">
        <f t="shared" si="43"/>
        <v>0</v>
      </c>
      <c r="AB76" s="360">
        <f t="shared" si="43"/>
        <v>0</v>
      </c>
      <c r="AC76" s="360">
        <f t="shared" si="43"/>
        <v>0</v>
      </c>
      <c r="AD76" s="360">
        <f t="shared" si="43"/>
        <v>0</v>
      </c>
      <c r="AE76" s="360">
        <f t="shared" si="43"/>
        <v>0</v>
      </c>
      <c r="AF76" s="360">
        <f t="shared" si="43"/>
        <v>0</v>
      </c>
      <c r="AG76" s="360">
        <f t="shared" si="43"/>
        <v>0</v>
      </c>
      <c r="AH76" s="360">
        <f t="shared" si="43"/>
        <v>0</v>
      </c>
      <c r="AI76" s="360">
        <f t="shared" si="43"/>
        <v>0</v>
      </c>
      <c r="AJ76" s="360">
        <f t="shared" si="43"/>
        <v>0</v>
      </c>
      <c r="AK76" s="360">
        <f t="shared" si="43"/>
        <v>0</v>
      </c>
      <c r="AL76" s="360">
        <f t="shared" si="43"/>
        <v>0</v>
      </c>
      <c r="AM76" s="360">
        <f t="shared" si="43"/>
        <v>0</v>
      </c>
      <c r="AN76" s="360">
        <f t="shared" si="43"/>
        <v>0</v>
      </c>
      <c r="AO76" s="360">
        <f t="shared" si="43"/>
        <v>0</v>
      </c>
      <c r="AP76" s="360">
        <f t="shared" si="43"/>
        <v>0</v>
      </c>
    </row>
    <row r="77" spans="1:42" x14ac:dyDescent="0.2">
      <c r="A77" s="31" t="s">
        <v>21</v>
      </c>
      <c r="B77" s="360">
        <f>SUM(B74:B76)</f>
        <v>50000000</v>
      </c>
      <c r="C77" s="358">
        <f>SUM(C74:C76)</f>
        <v>165535.43463010155</v>
      </c>
      <c r="D77" s="358">
        <f t="shared" ref="D77:AP77" si="44">SUM(D74:D76)</f>
        <v>158101.73039606726</v>
      </c>
      <c r="E77" s="358">
        <f t="shared" si="44"/>
        <v>150926.15279557323</v>
      </c>
      <c r="F77" s="358">
        <f t="shared" si="44"/>
        <v>144006.62615123577</v>
      </c>
      <c r="G77" s="358">
        <f t="shared" si="44"/>
        <v>137342.82356374757</v>
      </c>
      <c r="H77" s="358">
        <f t="shared" si="44"/>
        <v>130936.24144708226</v>
      </c>
      <c r="I77" s="358">
        <f t="shared" si="44"/>
        <v>124790.28477841662</v>
      </c>
      <c r="J77" s="358">
        <f t="shared" si="44"/>
        <v>118910.36377535295</v>
      </c>
      <c r="K77" s="358">
        <f t="shared" si="44"/>
        <v>113304.00278403936</v>
      </c>
      <c r="L77" s="358">
        <f t="shared" si="44"/>
        <v>107980.96223859116</v>
      </c>
      <c r="M77" s="358">
        <f t="shared" si="44"/>
        <v>102953.37463475624</v>
      </c>
      <c r="N77" s="358">
        <f t="shared" si="44"/>
        <v>98235.895550179295</v>
      </c>
      <c r="O77" s="358">
        <f t="shared" si="44"/>
        <v>163679.82527177734</v>
      </c>
      <c r="P77" s="358">
        <f t="shared" si="44"/>
        <v>0</v>
      </c>
      <c r="Q77" s="358">
        <f t="shared" si="44"/>
        <v>0</v>
      </c>
      <c r="R77" s="358">
        <f t="shared" si="44"/>
        <v>0</v>
      </c>
      <c r="S77" s="358">
        <f t="shared" si="44"/>
        <v>0</v>
      </c>
      <c r="T77" s="358">
        <f t="shared" si="44"/>
        <v>0</v>
      </c>
      <c r="U77" s="358">
        <f t="shared" si="44"/>
        <v>0</v>
      </c>
      <c r="V77" s="358">
        <f t="shared" si="44"/>
        <v>0</v>
      </c>
      <c r="W77" s="358">
        <f t="shared" si="44"/>
        <v>0</v>
      </c>
      <c r="X77" s="358">
        <f t="shared" si="44"/>
        <v>0</v>
      </c>
      <c r="Y77" s="358">
        <f t="shared" si="44"/>
        <v>0</v>
      </c>
      <c r="Z77" s="358">
        <f t="shared" si="44"/>
        <v>0</v>
      </c>
      <c r="AA77" s="358">
        <f t="shared" si="44"/>
        <v>0</v>
      </c>
      <c r="AB77" s="358">
        <f t="shared" si="44"/>
        <v>0</v>
      </c>
      <c r="AC77" s="358">
        <f t="shared" si="44"/>
        <v>0</v>
      </c>
      <c r="AD77" s="358">
        <f t="shared" si="44"/>
        <v>0</v>
      </c>
      <c r="AE77" s="358">
        <f t="shared" si="44"/>
        <v>0</v>
      </c>
      <c r="AF77" s="358">
        <f t="shared" si="44"/>
        <v>0</v>
      </c>
      <c r="AG77" s="358">
        <f t="shared" si="44"/>
        <v>0</v>
      </c>
      <c r="AH77" s="358">
        <f t="shared" si="44"/>
        <v>0</v>
      </c>
      <c r="AI77" s="358">
        <f t="shared" si="44"/>
        <v>0</v>
      </c>
      <c r="AJ77" s="358">
        <f t="shared" si="44"/>
        <v>0</v>
      </c>
      <c r="AK77" s="358">
        <f t="shared" si="44"/>
        <v>0</v>
      </c>
      <c r="AL77" s="358">
        <f t="shared" si="44"/>
        <v>0</v>
      </c>
      <c r="AM77" s="358">
        <f t="shared" si="44"/>
        <v>0</v>
      </c>
      <c r="AN77" s="358">
        <f t="shared" si="44"/>
        <v>0</v>
      </c>
      <c r="AO77" s="358">
        <f t="shared" si="44"/>
        <v>0</v>
      </c>
      <c r="AP77" s="358">
        <f t="shared" si="44"/>
        <v>0</v>
      </c>
    </row>
    <row r="78" spans="1:42" ht="13.5" thickBot="1" x14ac:dyDescent="0.25">
      <c r="A78" s="33" t="s">
        <v>106</v>
      </c>
      <c r="B78" s="376">
        <f>B52+B68+B77</f>
        <v>22941636.793682195</v>
      </c>
      <c r="C78" s="376">
        <f t="shared" ref="C78:AP78" si="45">C52+C68+C77</f>
        <v>1139865.7325328966</v>
      </c>
      <c r="D78" s="376">
        <f t="shared" si="45"/>
        <v>1152833.0394686144</v>
      </c>
      <c r="E78" s="376">
        <f t="shared" si="45"/>
        <v>1165497.1810722342</v>
      </c>
      <c r="F78" s="376">
        <f t="shared" si="45"/>
        <v>1177866.1471473072</v>
      </c>
      <c r="G78" s="376">
        <f t="shared" si="45"/>
        <v>1189947.2734061428</v>
      </c>
      <c r="H78" s="376">
        <f t="shared" si="45"/>
        <v>1201747.2663830086</v>
      </c>
      <c r="I78" s="376">
        <f t="shared" si="45"/>
        <v>1213272.2268646138</v>
      </c>
      <c r="J78" s="376">
        <f t="shared" si="45"/>
        <v>1224527.6719046803</v>
      </c>
      <c r="K78" s="376">
        <f t="shared" si="45"/>
        <v>1235518.555485941</v>
      </c>
      <c r="L78" s="376">
        <f t="shared" si="45"/>
        <v>1246249.2878893167</v>
      </c>
      <c r="M78" s="376">
        <f t="shared" si="45"/>
        <v>1256723.753827028</v>
      </c>
      <c r="N78" s="376">
        <f t="shared" si="45"/>
        <v>1301862.3066090019</v>
      </c>
      <c r="O78" s="376">
        <f t="shared" si="45"/>
        <v>2842748.0291454452</v>
      </c>
      <c r="P78" s="376">
        <f t="shared" si="45"/>
        <v>4483454.0239594644</v>
      </c>
      <c r="Q78" s="376">
        <f t="shared" si="45"/>
        <v>4505654.6535532409</v>
      </c>
      <c r="R78" s="376">
        <f t="shared" si="45"/>
        <v>4526910.3888945524</v>
      </c>
      <c r="S78" s="376">
        <f t="shared" si="45"/>
        <v>4547225.2618404357</v>
      </c>
      <c r="T78" s="376">
        <f t="shared" si="45"/>
        <v>4566601.6490581427</v>
      </c>
      <c r="U78" s="376">
        <f t="shared" si="45"/>
        <v>4585040.3103717472</v>
      </c>
      <c r="V78" s="376">
        <f t="shared" si="45"/>
        <v>4602540.4238336487</v>
      </c>
      <c r="W78" s="376">
        <f t="shared" si="45"/>
        <v>4619099.6176427649</v>
      </c>
      <c r="X78" s="376">
        <f t="shared" si="45"/>
        <v>4634713.9990236657</v>
      </c>
      <c r="Y78" s="376">
        <f t="shared" si="45"/>
        <v>4649378.1801739773</v>
      </c>
      <c r="Z78" s="376">
        <f t="shared" si="45"/>
        <v>4663085.3013804443</v>
      </c>
      <c r="AA78" s="376">
        <f t="shared" si="45"/>
        <v>10585478.647399386</v>
      </c>
      <c r="AB78" s="376" t="e">
        <f t="shared" si="45"/>
        <v>#VALUE!</v>
      </c>
      <c r="AC78" s="376" t="e">
        <f t="shared" si="45"/>
        <v>#VALUE!</v>
      </c>
      <c r="AD78" s="376" t="e">
        <f t="shared" si="45"/>
        <v>#VALUE!</v>
      </c>
      <c r="AE78" s="376" t="e">
        <f t="shared" si="45"/>
        <v>#VALUE!</v>
      </c>
      <c r="AF78" s="376" t="e">
        <f t="shared" si="45"/>
        <v>#VALUE!</v>
      </c>
      <c r="AG78" s="376" t="e">
        <f t="shared" si="45"/>
        <v>#VALUE!</v>
      </c>
      <c r="AH78" s="376" t="e">
        <f t="shared" si="45"/>
        <v>#VALUE!</v>
      </c>
      <c r="AI78" s="376" t="e">
        <f t="shared" si="45"/>
        <v>#VALUE!</v>
      </c>
      <c r="AJ78" s="376" t="e">
        <f t="shared" si="45"/>
        <v>#VALUE!</v>
      </c>
      <c r="AK78" s="376" t="e">
        <f t="shared" si="45"/>
        <v>#VALUE!</v>
      </c>
      <c r="AL78" s="376" t="e">
        <f t="shared" si="45"/>
        <v>#VALUE!</v>
      </c>
      <c r="AM78" s="376" t="e">
        <f t="shared" si="45"/>
        <v>#VALUE!</v>
      </c>
      <c r="AN78" s="376" t="e">
        <f t="shared" si="45"/>
        <v>#VALUE!</v>
      </c>
      <c r="AO78" s="376" t="e">
        <f t="shared" si="45"/>
        <v>#VALUE!</v>
      </c>
      <c r="AP78" s="376" t="e">
        <f t="shared" si="45"/>
        <v>#VALUE!</v>
      </c>
    </row>
    <row r="79" spans="1:42" s="194" customFormat="1" ht="13.5" thickTop="1" x14ac:dyDescent="0.2">
      <c r="A79" s="7"/>
      <c r="G79" s="378"/>
      <c r="H79" s="378"/>
      <c r="I79" s="378"/>
      <c r="J79" s="378"/>
      <c r="K79" s="378"/>
      <c r="L79" s="378"/>
      <c r="M79" s="378"/>
      <c r="N79" s="378"/>
      <c r="O79" s="378"/>
      <c r="P79" s="378"/>
      <c r="Q79" s="378"/>
      <c r="R79" s="378"/>
      <c r="S79" s="378"/>
      <c r="T79" s="378"/>
      <c r="U79" s="378"/>
      <c r="V79" s="378"/>
      <c r="W79" s="378"/>
      <c r="X79" s="378"/>
      <c r="Y79" s="378"/>
      <c r="Z79" s="378"/>
      <c r="AA79" s="378"/>
      <c r="AB79" s="378"/>
      <c r="AC79" s="378"/>
      <c r="AD79" s="378"/>
      <c r="AE79" s="378"/>
      <c r="AF79" s="378"/>
      <c r="AG79" s="378"/>
      <c r="AH79" s="378"/>
      <c r="AI79" s="378"/>
      <c r="AJ79" s="378"/>
      <c r="AK79" s="378"/>
      <c r="AL79" s="378"/>
      <c r="AM79" s="378"/>
      <c r="AN79" s="378"/>
      <c r="AO79" s="378"/>
      <c r="AP79" s="378"/>
    </row>
    <row r="80" spans="1:42" s="194" customFormat="1" x14ac:dyDescent="0.2">
      <c r="A80" s="30" t="s">
        <v>134</v>
      </c>
      <c r="G80" s="378"/>
      <c r="H80" s="378"/>
      <c r="I80" s="378"/>
      <c r="J80" s="378"/>
      <c r="K80" s="378"/>
      <c r="L80" s="378"/>
      <c r="M80" s="378"/>
      <c r="N80" s="378"/>
      <c r="O80" s="378"/>
      <c r="P80" s="378"/>
      <c r="Q80" s="378"/>
      <c r="R80" s="378"/>
      <c r="S80" s="378"/>
      <c r="T80" s="378"/>
      <c r="U80" s="378"/>
      <c r="V80" s="378"/>
      <c r="W80" s="378"/>
      <c r="X80" s="378"/>
      <c r="Y80" s="378"/>
      <c r="Z80" s="378"/>
      <c r="AA80" s="378"/>
      <c r="AB80" s="378"/>
      <c r="AC80" s="378"/>
      <c r="AD80" s="378"/>
      <c r="AE80" s="378"/>
      <c r="AF80" s="378"/>
      <c r="AG80" s="378"/>
      <c r="AH80" s="378"/>
      <c r="AI80" s="378"/>
      <c r="AJ80" s="378"/>
      <c r="AK80" s="378"/>
      <c r="AL80" s="378"/>
      <c r="AM80" s="378"/>
      <c r="AN80" s="378"/>
      <c r="AO80" s="378"/>
      <c r="AP80" s="378"/>
    </row>
    <row r="81" spans="1:42" s="194" customFormat="1" x14ac:dyDescent="0.2">
      <c r="A81" s="37" t="s">
        <v>126</v>
      </c>
      <c r="G81" s="378"/>
      <c r="H81" s="378"/>
      <c r="I81" s="378"/>
      <c r="J81" s="378"/>
      <c r="K81" s="378"/>
      <c r="L81" s="378"/>
      <c r="M81" s="378"/>
      <c r="N81" s="378"/>
      <c r="O81" s="378"/>
      <c r="P81" s="378"/>
      <c r="Q81" s="378"/>
      <c r="R81" s="378"/>
      <c r="S81" s="378"/>
      <c r="T81" s="378"/>
      <c r="U81" s="378"/>
      <c r="V81" s="378"/>
      <c r="W81" s="378"/>
      <c r="X81" s="378"/>
      <c r="Y81" s="378"/>
      <c r="Z81" s="378"/>
      <c r="AA81" s="378"/>
      <c r="AB81" s="378"/>
      <c r="AC81" s="378"/>
      <c r="AD81" s="378"/>
      <c r="AE81" s="378"/>
      <c r="AF81" s="378"/>
      <c r="AG81" s="378"/>
      <c r="AH81" s="378"/>
      <c r="AI81" s="378"/>
      <c r="AJ81" s="378"/>
      <c r="AK81" s="378"/>
      <c r="AL81" s="378"/>
      <c r="AM81" s="378"/>
      <c r="AN81" s="378"/>
      <c r="AO81" s="378"/>
      <c r="AP81" s="378"/>
    </row>
    <row r="82" spans="1:42" x14ac:dyDescent="0.2">
      <c r="A82" s="188" t="s">
        <v>127</v>
      </c>
      <c r="B82" s="353">
        <f>-B75</f>
        <v>-25000000</v>
      </c>
      <c r="C82" s="353">
        <f t="shared" ref="C82:AP82" si="46">-C75</f>
        <v>0</v>
      </c>
      <c r="D82" s="353">
        <f t="shared" si="46"/>
        <v>0</v>
      </c>
      <c r="E82" s="353">
        <f t="shared" si="46"/>
        <v>0</v>
      </c>
      <c r="F82" s="353">
        <f t="shared" si="46"/>
        <v>0</v>
      </c>
      <c r="G82" s="353">
        <f t="shared" si="46"/>
        <v>0</v>
      </c>
      <c r="H82" s="353">
        <f t="shared" si="46"/>
        <v>0</v>
      </c>
      <c r="I82" s="353">
        <f t="shared" si="46"/>
        <v>0</v>
      </c>
      <c r="J82" s="353">
        <f t="shared" si="46"/>
        <v>0</v>
      </c>
      <c r="K82" s="353">
        <f t="shared" si="46"/>
        <v>0</v>
      </c>
      <c r="L82" s="353">
        <f t="shared" si="46"/>
        <v>0</v>
      </c>
      <c r="M82" s="353">
        <f t="shared" si="46"/>
        <v>0</v>
      </c>
      <c r="N82" s="353">
        <f t="shared" si="46"/>
        <v>0</v>
      </c>
      <c r="O82" s="353">
        <f t="shared" si="46"/>
        <v>0</v>
      </c>
      <c r="P82" s="353">
        <f t="shared" si="46"/>
        <v>0</v>
      </c>
      <c r="Q82" s="353">
        <f t="shared" si="46"/>
        <v>0</v>
      </c>
      <c r="R82" s="353">
        <f t="shared" si="46"/>
        <v>0</v>
      </c>
      <c r="S82" s="353">
        <f t="shared" si="46"/>
        <v>0</v>
      </c>
      <c r="T82" s="353">
        <f t="shared" si="46"/>
        <v>0</v>
      </c>
      <c r="U82" s="353">
        <f t="shared" si="46"/>
        <v>0</v>
      </c>
      <c r="V82" s="353">
        <f t="shared" si="46"/>
        <v>0</v>
      </c>
      <c r="W82" s="353">
        <f t="shared" si="46"/>
        <v>0</v>
      </c>
      <c r="X82" s="353">
        <f t="shared" si="46"/>
        <v>0</v>
      </c>
      <c r="Y82" s="353">
        <f t="shared" si="46"/>
        <v>0</v>
      </c>
      <c r="Z82" s="353">
        <f t="shared" si="46"/>
        <v>0</v>
      </c>
      <c r="AA82" s="353">
        <f t="shared" si="46"/>
        <v>0</v>
      </c>
      <c r="AB82" s="353">
        <f t="shared" si="46"/>
        <v>0</v>
      </c>
      <c r="AC82" s="353">
        <f t="shared" si="46"/>
        <v>0</v>
      </c>
      <c r="AD82" s="353">
        <f t="shared" si="46"/>
        <v>0</v>
      </c>
      <c r="AE82" s="353">
        <f t="shared" si="46"/>
        <v>0</v>
      </c>
      <c r="AF82" s="353">
        <f t="shared" si="46"/>
        <v>0</v>
      </c>
      <c r="AG82" s="353">
        <f t="shared" si="46"/>
        <v>0</v>
      </c>
      <c r="AH82" s="353">
        <f t="shared" si="46"/>
        <v>0</v>
      </c>
      <c r="AI82" s="353">
        <f t="shared" si="46"/>
        <v>0</v>
      </c>
      <c r="AJ82" s="353">
        <f t="shared" si="46"/>
        <v>0</v>
      </c>
      <c r="AK82" s="353">
        <f t="shared" si="46"/>
        <v>0</v>
      </c>
      <c r="AL82" s="353">
        <f t="shared" si="46"/>
        <v>0</v>
      </c>
      <c r="AM82" s="353">
        <f t="shared" si="46"/>
        <v>0</v>
      </c>
      <c r="AN82" s="353">
        <f t="shared" si="46"/>
        <v>0</v>
      </c>
      <c r="AO82" s="353">
        <f t="shared" si="46"/>
        <v>0</v>
      </c>
      <c r="AP82" s="353">
        <f t="shared" si="46"/>
        <v>0</v>
      </c>
    </row>
    <row r="83" spans="1:42" x14ac:dyDescent="0.2">
      <c r="A83" s="188" t="s">
        <v>128</v>
      </c>
      <c r="B83" s="360">
        <f>B78</f>
        <v>22941636.793682195</v>
      </c>
      <c r="C83" s="360">
        <f t="shared" ref="C83:AP83" si="47">C78</f>
        <v>1139865.7325328966</v>
      </c>
      <c r="D83" s="360">
        <f t="shared" si="47"/>
        <v>1152833.0394686144</v>
      </c>
      <c r="E83" s="360">
        <f t="shared" si="47"/>
        <v>1165497.1810722342</v>
      </c>
      <c r="F83" s="360">
        <f t="shared" si="47"/>
        <v>1177866.1471473072</v>
      </c>
      <c r="G83" s="360">
        <f t="shared" si="47"/>
        <v>1189947.2734061428</v>
      </c>
      <c r="H83" s="360">
        <f t="shared" si="47"/>
        <v>1201747.2663830086</v>
      </c>
      <c r="I83" s="360">
        <f t="shared" si="47"/>
        <v>1213272.2268646138</v>
      </c>
      <c r="J83" s="360">
        <f t="shared" si="47"/>
        <v>1224527.6719046803</v>
      </c>
      <c r="K83" s="360">
        <f t="shared" si="47"/>
        <v>1235518.555485941</v>
      </c>
      <c r="L83" s="360">
        <f t="shared" si="47"/>
        <v>1246249.2878893167</v>
      </c>
      <c r="M83" s="360">
        <f t="shared" si="47"/>
        <v>1256723.753827028</v>
      </c>
      <c r="N83" s="360">
        <f t="shared" si="47"/>
        <v>1301862.3066090019</v>
      </c>
      <c r="O83" s="360">
        <f t="shared" si="47"/>
        <v>2842748.0291454452</v>
      </c>
      <c r="P83" s="360">
        <f t="shared" si="47"/>
        <v>4483454.0239594644</v>
      </c>
      <c r="Q83" s="360">
        <f t="shared" si="47"/>
        <v>4505654.6535532409</v>
      </c>
      <c r="R83" s="360">
        <f t="shared" si="47"/>
        <v>4526910.3888945524</v>
      </c>
      <c r="S83" s="360">
        <f t="shared" si="47"/>
        <v>4547225.2618404357</v>
      </c>
      <c r="T83" s="360">
        <f t="shared" si="47"/>
        <v>4566601.6490581427</v>
      </c>
      <c r="U83" s="360">
        <f t="shared" si="47"/>
        <v>4585040.3103717472</v>
      </c>
      <c r="V83" s="360">
        <f t="shared" si="47"/>
        <v>4602540.4238336487</v>
      </c>
      <c r="W83" s="360">
        <f t="shared" si="47"/>
        <v>4619099.6176427649</v>
      </c>
      <c r="X83" s="360">
        <f t="shared" si="47"/>
        <v>4634713.9990236657</v>
      </c>
      <c r="Y83" s="360">
        <f t="shared" si="47"/>
        <v>4649378.1801739773</v>
      </c>
      <c r="Z83" s="360">
        <f t="shared" si="47"/>
        <v>4663085.3013804443</v>
      </c>
      <c r="AA83" s="360">
        <f t="shared" si="47"/>
        <v>10585478.647399386</v>
      </c>
      <c r="AB83" s="360" t="e">
        <f t="shared" si="47"/>
        <v>#VALUE!</v>
      </c>
      <c r="AC83" s="360" t="e">
        <f t="shared" si="47"/>
        <v>#VALUE!</v>
      </c>
      <c r="AD83" s="360" t="e">
        <f t="shared" si="47"/>
        <v>#VALUE!</v>
      </c>
      <c r="AE83" s="360" t="e">
        <f t="shared" si="47"/>
        <v>#VALUE!</v>
      </c>
      <c r="AF83" s="360" t="e">
        <f t="shared" si="47"/>
        <v>#VALUE!</v>
      </c>
      <c r="AG83" s="360" t="e">
        <f t="shared" si="47"/>
        <v>#VALUE!</v>
      </c>
      <c r="AH83" s="360" t="e">
        <f t="shared" si="47"/>
        <v>#VALUE!</v>
      </c>
      <c r="AI83" s="360" t="e">
        <f t="shared" si="47"/>
        <v>#VALUE!</v>
      </c>
      <c r="AJ83" s="360" t="e">
        <f t="shared" si="47"/>
        <v>#VALUE!</v>
      </c>
      <c r="AK83" s="360" t="e">
        <f t="shared" si="47"/>
        <v>#VALUE!</v>
      </c>
      <c r="AL83" s="360" t="e">
        <f t="shared" si="47"/>
        <v>#VALUE!</v>
      </c>
      <c r="AM83" s="360" t="e">
        <f t="shared" si="47"/>
        <v>#VALUE!</v>
      </c>
      <c r="AN83" s="360" t="e">
        <f t="shared" si="47"/>
        <v>#VALUE!</v>
      </c>
      <c r="AO83" s="360" t="e">
        <f t="shared" si="47"/>
        <v>#VALUE!</v>
      </c>
      <c r="AP83" s="360" t="e">
        <f t="shared" si="47"/>
        <v>#VALUE!</v>
      </c>
    </row>
    <row r="84" spans="1:42" x14ac:dyDescent="0.2">
      <c r="A84" s="188" t="s">
        <v>21</v>
      </c>
      <c r="B84" s="359">
        <f>SUM(B82:B83)</f>
        <v>-2058363.2063178048</v>
      </c>
      <c r="C84" s="359">
        <f t="shared" ref="C84:AP84" si="48">SUM(C82:C83)</f>
        <v>1139865.7325328966</v>
      </c>
      <c r="D84" s="359">
        <f t="shared" si="48"/>
        <v>1152833.0394686144</v>
      </c>
      <c r="E84" s="359">
        <f t="shared" si="48"/>
        <v>1165497.1810722342</v>
      </c>
      <c r="F84" s="359">
        <f t="shared" si="48"/>
        <v>1177866.1471473072</v>
      </c>
      <c r="G84" s="359">
        <f t="shared" si="48"/>
        <v>1189947.2734061428</v>
      </c>
      <c r="H84" s="359">
        <f t="shared" si="48"/>
        <v>1201747.2663830086</v>
      </c>
      <c r="I84" s="359">
        <f t="shared" si="48"/>
        <v>1213272.2268646138</v>
      </c>
      <c r="J84" s="359">
        <f t="shared" si="48"/>
        <v>1224527.6719046803</v>
      </c>
      <c r="K84" s="359">
        <f t="shared" si="48"/>
        <v>1235518.555485941</v>
      </c>
      <c r="L84" s="359">
        <f t="shared" si="48"/>
        <v>1246249.2878893167</v>
      </c>
      <c r="M84" s="359">
        <f t="shared" si="48"/>
        <v>1256723.753827028</v>
      </c>
      <c r="N84" s="359">
        <f t="shared" si="48"/>
        <v>1301862.3066090019</v>
      </c>
      <c r="O84" s="359">
        <f t="shared" si="48"/>
        <v>2842748.0291454452</v>
      </c>
      <c r="P84" s="359">
        <f t="shared" si="48"/>
        <v>4483454.0239594644</v>
      </c>
      <c r="Q84" s="359">
        <f t="shared" si="48"/>
        <v>4505654.6535532409</v>
      </c>
      <c r="R84" s="359">
        <f t="shared" si="48"/>
        <v>4526910.3888945524</v>
      </c>
      <c r="S84" s="359">
        <f t="shared" si="48"/>
        <v>4547225.2618404357</v>
      </c>
      <c r="T84" s="359">
        <f t="shared" si="48"/>
        <v>4566601.6490581427</v>
      </c>
      <c r="U84" s="359">
        <f t="shared" si="48"/>
        <v>4585040.3103717472</v>
      </c>
      <c r="V84" s="359">
        <f t="shared" si="48"/>
        <v>4602540.4238336487</v>
      </c>
      <c r="W84" s="359">
        <f t="shared" si="48"/>
        <v>4619099.6176427649</v>
      </c>
      <c r="X84" s="359">
        <f t="shared" si="48"/>
        <v>4634713.9990236657</v>
      </c>
      <c r="Y84" s="359">
        <f t="shared" si="48"/>
        <v>4649378.1801739773</v>
      </c>
      <c r="Z84" s="359">
        <f t="shared" si="48"/>
        <v>4663085.3013804443</v>
      </c>
      <c r="AA84" s="359">
        <f t="shared" si="48"/>
        <v>10585478.647399386</v>
      </c>
      <c r="AB84" s="359" t="e">
        <f t="shared" si="48"/>
        <v>#VALUE!</v>
      </c>
      <c r="AC84" s="359" t="e">
        <f t="shared" si="48"/>
        <v>#VALUE!</v>
      </c>
      <c r="AD84" s="359" t="e">
        <f t="shared" si="48"/>
        <v>#VALUE!</v>
      </c>
      <c r="AE84" s="359" t="e">
        <f t="shared" si="48"/>
        <v>#VALUE!</v>
      </c>
      <c r="AF84" s="359" t="e">
        <f t="shared" si="48"/>
        <v>#VALUE!</v>
      </c>
      <c r="AG84" s="359" t="e">
        <f t="shared" si="48"/>
        <v>#VALUE!</v>
      </c>
      <c r="AH84" s="359" t="e">
        <f t="shared" si="48"/>
        <v>#VALUE!</v>
      </c>
      <c r="AI84" s="359" t="e">
        <f t="shared" si="48"/>
        <v>#VALUE!</v>
      </c>
      <c r="AJ84" s="359" t="e">
        <f t="shared" si="48"/>
        <v>#VALUE!</v>
      </c>
      <c r="AK84" s="359" t="e">
        <f t="shared" si="48"/>
        <v>#VALUE!</v>
      </c>
      <c r="AL84" s="359" t="e">
        <f t="shared" si="48"/>
        <v>#VALUE!</v>
      </c>
      <c r="AM84" s="359" t="e">
        <f t="shared" si="48"/>
        <v>#VALUE!</v>
      </c>
      <c r="AN84" s="359" t="e">
        <f t="shared" si="48"/>
        <v>#VALUE!</v>
      </c>
      <c r="AO84" s="359" t="e">
        <f t="shared" si="48"/>
        <v>#VALUE!</v>
      </c>
      <c r="AP84" s="359" t="e">
        <f t="shared" si="48"/>
        <v>#VALUE!</v>
      </c>
    </row>
    <row r="85" spans="1:42" s="194" customFormat="1" x14ac:dyDescent="0.2">
      <c r="A85" s="188"/>
    </row>
    <row r="86" spans="1:42" x14ac:dyDescent="0.2">
      <c r="A86" s="188" t="s">
        <v>316</v>
      </c>
      <c r="B86" s="373">
        <f>ROUND(IF(ISERROR(IRR($B84:B$84)*100),0,IRR($B84:B$84*100)),4)</f>
        <v>0</v>
      </c>
      <c r="C86" s="373">
        <f>ROUND(IF(ISERROR(IRR($B84:C$84)),0,IRR($B84:C$84)*100),4)</f>
        <v>-44.622700000000002</v>
      </c>
      <c r="D86" s="373">
        <f>ROUND(IF(ISERROR(IRR($B84:D$84)),0,IRR($B84:D$84)*100),4)</f>
        <v>7.4846000000000004</v>
      </c>
      <c r="E86" s="373">
        <f>ROUND(IF(ISERROR(IRR($B84:E$84)),0,IRR($B84:E$84)*100),4)</f>
        <v>31.0688</v>
      </c>
      <c r="F86" s="373">
        <f>ROUND(IF(ISERROR(IRR($B84:F$84)),0,IRR($B84:F$84)*100),4)</f>
        <v>42.423499999999997</v>
      </c>
      <c r="G86" s="373">
        <f>ROUND(IF(ISERROR(IRR($B84:G$84)),0,IRR($B84:G$84)*100),4)</f>
        <v>48.337800000000001</v>
      </c>
      <c r="H86" s="373">
        <f>ROUND(IF(ISERROR(IRR($B84:H$84)),0,IRR($B84:H$84)*100),4)</f>
        <v>51.607599999999998</v>
      </c>
      <c r="I86" s="373">
        <f>ROUND(IF(ISERROR(IRR($B84:I$84)),0,IRR($B84:I$84)*100),4)</f>
        <v>53.494700000000002</v>
      </c>
      <c r="J86" s="373">
        <f>ROUND(IF(ISERROR(IRR($B84:J$84)),0,IRR($B84:J$84)*100),4)</f>
        <v>54.617800000000003</v>
      </c>
      <c r="K86" s="373">
        <f>ROUND(IF(ISERROR(IRR($B84:K$84)),0,IRR($B84:K$84)*100),4)</f>
        <v>55.301400000000001</v>
      </c>
      <c r="L86" s="373">
        <f>ROUND(IF(ISERROR(IRR($B84:L$84)),0,IRR($B84:L$84)*100),4)</f>
        <v>55.7241</v>
      </c>
      <c r="M86" s="373">
        <f>ROUND(IF(ISERROR(IRR($B84:M$84)),0,IRR($B84:M$84)*100),4)</f>
        <v>55.988599999999998</v>
      </c>
      <c r="N86" s="373">
        <f>ROUND(IF(ISERROR(IRR($B84:N$84)),0,IRR($B84:N$84)*100),4)</f>
        <v>56.16</v>
      </c>
      <c r="O86" s="373">
        <f>ROUND(IF(ISERROR(IRR($B84:O$84)),0,IRR($B84:O$84)*100),4)</f>
        <v>56.393500000000003</v>
      </c>
      <c r="P86" s="373">
        <f>ROUND(IF(ISERROR(IRR($B84:P$84)),0,IRR($B84:P$84)*100),4)</f>
        <v>56.621699999999997</v>
      </c>
      <c r="Q86" s="373">
        <f>ROUND(IF(ISERROR(IRR($B84:Q$84)),0,IRR($B84:Q$84)*100),4)</f>
        <v>56.764200000000002</v>
      </c>
      <c r="R86" s="373">
        <f>ROUND(IF(ISERROR(IRR($B84:R$84)),0,IRR($B84:R$84)*100),4)</f>
        <v>56.853900000000003</v>
      </c>
      <c r="S86" s="373">
        <f>ROUND(IF(ISERROR(IRR($B84:S$84)),0,IRR($B84:S$84)*100),4)</f>
        <v>56.910600000000002</v>
      </c>
      <c r="T86" s="373">
        <f>ROUND(IF(ISERROR(IRR($B84:T$84)),0,IRR($B84:T$84)*100),4)</f>
        <v>56.9465</v>
      </c>
      <c r="U86" s="373">
        <f>ROUND(IF(ISERROR(IRR($B84:U$84)),0,IRR($B84:U$84)*100),4)</f>
        <v>56.9694</v>
      </c>
      <c r="V86" s="373">
        <f>ROUND(IF(ISERROR(IRR($B84:V$84)),0,IRR($B84:V$84)*100),4)</f>
        <v>56.984000000000002</v>
      </c>
      <c r="W86" s="373">
        <f>ROUND(IF(ISERROR(IRR($B84:W$84)),0,IRR($B84:W$84)*100),4)</f>
        <v>56.993299999999998</v>
      </c>
      <c r="X86" s="373">
        <f>ROUND(IF(ISERROR(IRR($B84:X$84)),0,IRR($B84:X$84)*100),4)</f>
        <v>56.999200000000002</v>
      </c>
      <c r="Y86" s="373">
        <f>ROUND(IF(ISERROR(IRR($B84:Y$84)),0,IRR($B84:Y$84)*100),4)</f>
        <v>57.003</v>
      </c>
      <c r="Z86" s="373">
        <f>ROUND(IF(ISERROR(IRR($B84:Z$84)),0,IRR($B84:Z$84)*100),4)</f>
        <v>57.005400000000002</v>
      </c>
      <c r="AA86" s="373">
        <f>ROUND(IF(ISERROR(IRR($B84:AA$84)),0,IRR($B84:AA$84)*100),4)</f>
        <v>57.008899999999997</v>
      </c>
      <c r="AB86" s="373">
        <f>ROUND(IF(ISERROR(IRR($B84:AB$84)),0,IRR($B84:AB$84)*100),4)</f>
        <v>0</v>
      </c>
      <c r="AC86" s="373">
        <f>ROUND(IF(ISERROR(IRR($B84:AC$84)),0,IRR($B84:AC$84)*100),4)</f>
        <v>0</v>
      </c>
      <c r="AD86" s="373">
        <f>ROUND(IF(ISERROR(IRR($B84:AD$84)),0,IRR($B84:AD$84)*100),4)</f>
        <v>0</v>
      </c>
      <c r="AE86" s="373">
        <f>ROUND(IF(ISERROR(IRR($B84:AE$84)),0,IRR($B84:AE$84)*100),4)</f>
        <v>0</v>
      </c>
      <c r="AF86" s="373">
        <f>ROUND(IF(ISERROR(IRR($B84:AF$84)),0,IRR($B84:AF$84)*100),4)</f>
        <v>0</v>
      </c>
      <c r="AG86" s="373">
        <f>ROUND(IF(ISERROR(IRR($B84:AG$84)),0,IRR($B84:AG$84)*100),4)</f>
        <v>0</v>
      </c>
      <c r="AH86" s="373">
        <f>ROUND(IF(ISERROR(IRR($B84:AH$84)),0,IRR($B84:AH$84)*100),4)</f>
        <v>0</v>
      </c>
      <c r="AI86" s="373">
        <f>ROUND(IF(ISERROR(IRR($B84:AI$84)),0,IRR($B84:AI$84)*100),4)</f>
        <v>0</v>
      </c>
      <c r="AJ86" s="373">
        <f>ROUND(IF(ISERROR(IRR($B84:AJ$84)),0,IRR($B84:AJ$84)*100),4)</f>
        <v>0</v>
      </c>
      <c r="AK86" s="373">
        <f>ROUND(IF(ISERROR(IRR($B84:AK$84)),0,IRR($B84:AK$84)*100),4)</f>
        <v>0</v>
      </c>
      <c r="AL86" s="373">
        <f>ROUND(IF(ISERROR(IRR($B84:AL$84)),0,IRR($B84:AL$84)*100),4)</f>
        <v>0</v>
      </c>
      <c r="AM86" s="373">
        <f>ROUND(IF(ISERROR(IRR($B84:AM$84)),0,IRR($B84:AM$84)*100),4)</f>
        <v>0</v>
      </c>
      <c r="AN86" s="373">
        <f>ROUND(IF(ISERROR(IRR($B84:AN$84)),0,IRR($B84:AN$84)*100),4)</f>
        <v>0</v>
      </c>
      <c r="AO86" s="373">
        <f>ROUND(IF(ISERROR(IRR($B84:AO$84)),0,IRR($B84:AO$84)*100),4)</f>
        <v>0</v>
      </c>
      <c r="AP86" s="373">
        <f>ROUND(IF(ISERROR(IRR($B84:AP$84)),0,IRR($B84:AP$84)*100),4)</f>
        <v>0</v>
      </c>
    </row>
    <row r="87" spans="1:42" x14ac:dyDescent="0.2">
      <c r="A87" s="188" t="s">
        <v>170</v>
      </c>
      <c r="B87" s="377">
        <f>B84</f>
        <v>-2058363.2063178048</v>
      </c>
      <c r="C87" s="377">
        <f>NPV(NominalDiscountRate/100,$C84:C84)+$B$84</f>
        <v>-1028674.1977063353</v>
      </c>
      <c r="D87" s="377">
        <f>NPV(NominalDiscountRate/100,$C84:D84)+$B$84</f>
        <v>-87930.813470341731</v>
      </c>
      <c r="E87" s="377">
        <f>NPV(NominalDiscountRate/100,$C84:E84)+$B$84</f>
        <v>771217.94098488661</v>
      </c>
      <c r="F87" s="377">
        <f>NPV(NominalDiscountRate/100,$C84:F84)+$B$84</f>
        <v>1555559.9142530165</v>
      </c>
      <c r="G87" s="377">
        <f>NPV(NominalDiscountRate/100,$C84:G84)+$B$84</f>
        <v>2271356.485648986</v>
      </c>
      <c r="H87" s="377">
        <f>NPV(NominalDiscountRate/100,$C84:H84)+$B$84</f>
        <v>2924377.8916266048</v>
      </c>
      <c r="I87" s="377">
        <f>NPV(NominalDiscountRate/100,$C84:I84)+$B$84</f>
        <v>3519937.0535238227</v>
      </c>
      <c r="J87" s="377">
        <f>NPV(NominalDiscountRate/100,$C84:J84)+$B$84</f>
        <v>4062921.808971975</v>
      </c>
      <c r="K87" s="377">
        <f>NPV(NominalDiscountRate/100,$C84:K84)+$B$84</f>
        <v>4557825.4902617605</v>
      </c>
      <c r="L87" s="377">
        <f>NPV(NominalDiscountRate/100,$C84:L84)+$B$84</f>
        <v>5008775.8257670691</v>
      </c>
      <c r="M87" s="377">
        <f>NPV(NominalDiscountRate/100,$C84:M84)+$B$84</f>
        <v>5419562.1665428495</v>
      </c>
      <c r="N87" s="377">
        <f>NPV(NominalDiscountRate/100,$C84:N84)+$B$84</f>
        <v>5803971.2154519828</v>
      </c>
      <c r="O87" s="377">
        <f>NPV(NominalDiscountRate/100,$C84:O84)+$B$84</f>
        <v>6562233.2218290772</v>
      </c>
      <c r="P87" s="377">
        <f>NPV(NominalDiscountRate/100,$C84:P84)+$B$84</f>
        <v>7642537.3316738941</v>
      </c>
      <c r="Q87" s="377">
        <f>NPV(NominalDiscountRate/100,$C84:Q84)+$B$84</f>
        <v>8623254.0706917886</v>
      </c>
      <c r="R87" s="377">
        <f>NPV(NominalDiscountRate/100,$C84:R84)+$B$84</f>
        <v>9513356.4533511773</v>
      </c>
      <c r="S87" s="377">
        <f>NPV(NominalDiscountRate/100,$C84:S84)+$B$84</f>
        <v>10321031.962287864</v>
      </c>
      <c r="T87" s="377">
        <f>NPV(NominalDiscountRate/100,$C84:T84)+$B$84</f>
        <v>11053748.43164292</v>
      </c>
      <c r="U87" s="377">
        <f>NPV(NominalDiscountRate/100,$C84:U84)+$B$84</f>
        <v>11718314.803548373</v>
      </c>
      <c r="V87" s="377">
        <f>NPV(NominalDiscountRate/100,$C84:V84)+$B$84</f>
        <v>12320937.097062781</v>
      </c>
      <c r="W87" s="377">
        <f>NPV(NominalDiscountRate/100,$C84:W84)+$B$84</f>
        <v>12867269.916184327</v>
      </c>
      <c r="X87" s="377">
        <f>NPV(NominalDiscountRate/100,$C84:X84)+$B$84</f>
        <v>13362463.809469683</v>
      </c>
      <c r="Y87" s="377">
        <f>NPV(NominalDiscountRate/100,$C84:Y84)+$B$84</f>
        <v>13811208.778756255</v>
      </c>
      <c r="Z87" s="377">
        <f>NPV(NominalDiscountRate/100,$C84:Z84)+$B$84</f>
        <v>14217774.218920646</v>
      </c>
      <c r="AA87" s="377">
        <f>NPV(NominalDiscountRate/100,$C84:AA84)+$B$84</f>
        <v>15051493.755552031</v>
      </c>
      <c r="AB87" s="377" t="e">
        <f>NPV(NominalDiscountRate/100,$C84:AB84)+$B$84</f>
        <v>#VALUE!</v>
      </c>
      <c r="AC87" s="377" t="e">
        <f>NPV(NominalDiscountRate/100,$C84:AC84)+$B$84</f>
        <v>#VALUE!</v>
      </c>
      <c r="AD87" s="377" t="e">
        <f>NPV(NominalDiscountRate/100,$C84:AD84)+$B$84</f>
        <v>#VALUE!</v>
      </c>
      <c r="AE87" s="377" t="e">
        <f>NPV(NominalDiscountRate/100,$C84:AE84)+$B$84</f>
        <v>#VALUE!</v>
      </c>
      <c r="AF87" s="377" t="e">
        <f>NPV(NominalDiscountRate/100,$C84:AF84)+$B$84</f>
        <v>#VALUE!</v>
      </c>
      <c r="AG87" s="377" t="e">
        <f>NPV(NominalDiscountRate/100,$C84:AG84)+$B$84</f>
        <v>#VALUE!</v>
      </c>
      <c r="AH87" s="377" t="e">
        <f>NPV(NominalDiscountRate/100,$C84:AH84)+$B$84</f>
        <v>#VALUE!</v>
      </c>
      <c r="AI87" s="377" t="e">
        <f>NPV(NominalDiscountRate/100,$C84:AI84)+$B$84</f>
        <v>#VALUE!</v>
      </c>
      <c r="AJ87" s="377" t="e">
        <f>NPV(NominalDiscountRate/100,$C84:AJ84)+$B$84</f>
        <v>#VALUE!</v>
      </c>
      <c r="AK87" s="377" t="e">
        <f>NPV(NominalDiscountRate/100,$C84:AK84)+$B$84</f>
        <v>#VALUE!</v>
      </c>
      <c r="AL87" s="377" t="e">
        <f>NPV(NominalDiscountRate/100,$C84:AL84)+$B$84</f>
        <v>#VALUE!</v>
      </c>
      <c r="AM87" s="377" t="e">
        <f>NPV(NominalDiscountRate/100,$C84:AM84)+$B$84</f>
        <v>#VALUE!</v>
      </c>
      <c r="AN87" s="377" t="e">
        <f>NPV(NominalDiscountRate/100,$C84:AN84)+$B$84</f>
        <v>#VALUE!</v>
      </c>
      <c r="AO87" s="377" t="e">
        <f>NPV(NominalDiscountRate/100,$C84:AO84)+$B$84</f>
        <v>#VALUE!</v>
      </c>
      <c r="AP87" s="377" t="e">
        <f>NPV(NominalDiscountRate/100,$C84:AP84)+$B$84</f>
        <v>#VALUE!</v>
      </c>
    </row>
    <row r="88" spans="1:42" s="194" customFormat="1" x14ac:dyDescent="0.2">
      <c r="A88" s="31"/>
      <c r="G88" s="378"/>
      <c r="H88" s="378"/>
      <c r="I88" s="378"/>
      <c r="J88" s="378"/>
      <c r="K88" s="378"/>
      <c r="L88" s="378"/>
      <c r="M88" s="378"/>
      <c r="N88" s="378"/>
      <c r="O88" s="378"/>
      <c r="P88" s="378"/>
      <c r="Q88" s="378"/>
      <c r="R88" s="378"/>
      <c r="S88" s="378"/>
      <c r="T88" s="378"/>
      <c r="U88" s="378"/>
      <c r="V88" s="378"/>
      <c r="W88" s="378"/>
      <c r="X88" s="378"/>
      <c r="Y88" s="378"/>
      <c r="Z88" s="378"/>
      <c r="AA88" s="378"/>
      <c r="AB88" s="378"/>
      <c r="AC88" s="378"/>
      <c r="AD88" s="378"/>
      <c r="AE88" s="378"/>
      <c r="AF88" s="378"/>
      <c r="AG88" s="378"/>
      <c r="AH88" s="378"/>
      <c r="AI88" s="378"/>
      <c r="AJ88" s="378"/>
      <c r="AK88" s="378"/>
      <c r="AL88" s="378"/>
      <c r="AM88" s="378"/>
      <c r="AN88" s="378"/>
      <c r="AO88" s="378"/>
      <c r="AP88" s="378"/>
    </row>
    <row r="89" spans="1:42" s="194" customFormat="1" x14ac:dyDescent="0.2">
      <c r="A89" s="37" t="s">
        <v>129</v>
      </c>
      <c r="G89" s="378"/>
      <c r="H89" s="378"/>
      <c r="I89" s="378"/>
      <c r="J89" s="378"/>
      <c r="K89" s="378"/>
      <c r="L89" s="378"/>
      <c r="M89" s="378"/>
      <c r="N89" s="378"/>
      <c r="O89" s="378"/>
      <c r="P89" s="378"/>
      <c r="Q89" s="378"/>
      <c r="R89" s="378"/>
      <c r="S89" s="378"/>
      <c r="T89" s="378"/>
      <c r="U89" s="378"/>
      <c r="V89" s="378"/>
      <c r="W89" s="378"/>
      <c r="X89" s="378"/>
      <c r="Y89" s="378"/>
      <c r="Z89" s="378"/>
      <c r="AA89" s="378"/>
      <c r="AB89" s="378"/>
      <c r="AC89" s="378"/>
      <c r="AD89" s="378"/>
      <c r="AE89" s="378"/>
      <c r="AF89" s="378"/>
      <c r="AG89" s="378"/>
      <c r="AH89" s="378"/>
      <c r="AI89" s="378"/>
      <c r="AJ89" s="378"/>
      <c r="AK89" s="378"/>
      <c r="AL89" s="378"/>
      <c r="AM89" s="378"/>
      <c r="AN89" s="378"/>
      <c r="AO89" s="378"/>
      <c r="AP89" s="378"/>
    </row>
    <row r="90" spans="1:42" s="379" customFormat="1" x14ac:dyDescent="0.2">
      <c r="A90" s="189" t="s">
        <v>130</v>
      </c>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row>
    <row r="91" spans="1:42" x14ac:dyDescent="0.2">
      <c r="A91" s="190" t="s">
        <v>127</v>
      </c>
      <c r="B91" s="353">
        <f>B82</f>
        <v>-25000000</v>
      </c>
      <c r="C91" s="353">
        <f t="shared" ref="C91:AP92" si="49">C82</f>
        <v>0</v>
      </c>
      <c r="D91" s="353">
        <f t="shared" si="49"/>
        <v>0</v>
      </c>
      <c r="E91" s="353">
        <f t="shared" si="49"/>
        <v>0</v>
      </c>
      <c r="F91" s="353">
        <f t="shared" si="49"/>
        <v>0</v>
      </c>
      <c r="G91" s="353">
        <f t="shared" si="49"/>
        <v>0</v>
      </c>
      <c r="H91" s="353">
        <f t="shared" si="49"/>
        <v>0</v>
      </c>
      <c r="I91" s="353">
        <f t="shared" si="49"/>
        <v>0</v>
      </c>
      <c r="J91" s="353">
        <f t="shared" si="49"/>
        <v>0</v>
      </c>
      <c r="K91" s="353">
        <f t="shared" si="49"/>
        <v>0</v>
      </c>
      <c r="L91" s="353">
        <f t="shared" si="49"/>
        <v>0</v>
      </c>
      <c r="M91" s="353">
        <f t="shared" si="49"/>
        <v>0</v>
      </c>
      <c r="N91" s="353">
        <f t="shared" si="49"/>
        <v>0</v>
      </c>
      <c r="O91" s="353">
        <f t="shared" si="49"/>
        <v>0</v>
      </c>
      <c r="P91" s="353">
        <f t="shared" si="49"/>
        <v>0</v>
      </c>
      <c r="Q91" s="353">
        <f t="shared" si="49"/>
        <v>0</v>
      </c>
      <c r="R91" s="353">
        <f t="shared" si="49"/>
        <v>0</v>
      </c>
      <c r="S91" s="353">
        <f t="shared" si="49"/>
        <v>0</v>
      </c>
      <c r="T91" s="353">
        <f t="shared" si="49"/>
        <v>0</v>
      </c>
      <c r="U91" s="353">
        <f t="shared" si="49"/>
        <v>0</v>
      </c>
      <c r="V91" s="353">
        <f t="shared" si="49"/>
        <v>0</v>
      </c>
      <c r="W91" s="353">
        <f t="shared" si="49"/>
        <v>0</v>
      </c>
      <c r="X91" s="353">
        <f t="shared" si="49"/>
        <v>0</v>
      </c>
      <c r="Y91" s="353">
        <f t="shared" si="49"/>
        <v>0</v>
      </c>
      <c r="Z91" s="353">
        <f t="shared" si="49"/>
        <v>0</v>
      </c>
      <c r="AA91" s="353">
        <f t="shared" si="49"/>
        <v>0</v>
      </c>
      <c r="AB91" s="353">
        <f t="shared" si="49"/>
        <v>0</v>
      </c>
      <c r="AC91" s="353">
        <f t="shared" si="49"/>
        <v>0</v>
      </c>
      <c r="AD91" s="353">
        <f t="shared" si="49"/>
        <v>0</v>
      </c>
      <c r="AE91" s="353">
        <f t="shared" si="49"/>
        <v>0</v>
      </c>
      <c r="AF91" s="353">
        <f t="shared" si="49"/>
        <v>0</v>
      </c>
      <c r="AG91" s="353">
        <f t="shared" si="49"/>
        <v>0</v>
      </c>
      <c r="AH91" s="353">
        <f t="shared" si="49"/>
        <v>0</v>
      </c>
      <c r="AI91" s="353">
        <f t="shared" si="49"/>
        <v>0</v>
      </c>
      <c r="AJ91" s="353">
        <f t="shared" si="49"/>
        <v>0</v>
      </c>
      <c r="AK91" s="353">
        <f t="shared" si="49"/>
        <v>0</v>
      </c>
      <c r="AL91" s="353">
        <f t="shared" si="49"/>
        <v>0</v>
      </c>
      <c r="AM91" s="353">
        <f t="shared" si="49"/>
        <v>0</v>
      </c>
      <c r="AN91" s="353">
        <f t="shared" si="49"/>
        <v>0</v>
      </c>
      <c r="AO91" s="353">
        <f t="shared" si="49"/>
        <v>0</v>
      </c>
      <c r="AP91" s="353">
        <f t="shared" si="49"/>
        <v>0</v>
      </c>
    </row>
    <row r="92" spans="1:42" x14ac:dyDescent="0.2">
      <c r="A92" s="190" t="s">
        <v>128</v>
      </c>
      <c r="B92" s="360">
        <f>B83</f>
        <v>22941636.793682195</v>
      </c>
      <c r="C92" s="360">
        <f t="shared" si="49"/>
        <v>1139865.7325328966</v>
      </c>
      <c r="D92" s="360">
        <f t="shared" si="49"/>
        <v>1152833.0394686144</v>
      </c>
      <c r="E92" s="360">
        <f t="shared" si="49"/>
        <v>1165497.1810722342</v>
      </c>
      <c r="F92" s="360">
        <f t="shared" si="49"/>
        <v>1177866.1471473072</v>
      </c>
      <c r="G92" s="360">
        <f t="shared" si="49"/>
        <v>1189947.2734061428</v>
      </c>
      <c r="H92" s="360">
        <f t="shared" si="49"/>
        <v>1201747.2663830086</v>
      </c>
      <c r="I92" s="360">
        <f t="shared" si="49"/>
        <v>1213272.2268646138</v>
      </c>
      <c r="J92" s="360">
        <f t="shared" si="49"/>
        <v>1224527.6719046803</v>
      </c>
      <c r="K92" s="360">
        <f t="shared" si="49"/>
        <v>1235518.555485941</v>
      </c>
      <c r="L92" s="360">
        <f t="shared" si="49"/>
        <v>1246249.2878893167</v>
      </c>
      <c r="M92" s="360">
        <f t="shared" si="49"/>
        <v>1256723.753827028</v>
      </c>
      <c r="N92" s="360">
        <f t="shared" si="49"/>
        <v>1301862.3066090019</v>
      </c>
      <c r="O92" s="360">
        <f t="shared" si="49"/>
        <v>2842748.0291454452</v>
      </c>
      <c r="P92" s="360">
        <f t="shared" si="49"/>
        <v>4483454.0239594644</v>
      </c>
      <c r="Q92" s="360">
        <f t="shared" si="49"/>
        <v>4505654.6535532409</v>
      </c>
      <c r="R92" s="360">
        <f t="shared" si="49"/>
        <v>4526910.3888945524</v>
      </c>
      <c r="S92" s="360">
        <f t="shared" si="49"/>
        <v>4547225.2618404357</v>
      </c>
      <c r="T92" s="360">
        <f t="shared" si="49"/>
        <v>4566601.6490581427</v>
      </c>
      <c r="U92" s="360">
        <f t="shared" si="49"/>
        <v>4585040.3103717472</v>
      </c>
      <c r="V92" s="360">
        <f t="shared" si="49"/>
        <v>4602540.4238336487</v>
      </c>
      <c r="W92" s="360">
        <f t="shared" si="49"/>
        <v>4619099.6176427649</v>
      </c>
      <c r="X92" s="360">
        <f t="shared" si="49"/>
        <v>4634713.9990236657</v>
      </c>
      <c r="Y92" s="360">
        <f t="shared" si="49"/>
        <v>4649378.1801739773</v>
      </c>
      <c r="Z92" s="360">
        <f t="shared" si="49"/>
        <v>4663085.3013804443</v>
      </c>
      <c r="AA92" s="360">
        <f t="shared" si="49"/>
        <v>10585478.647399386</v>
      </c>
      <c r="AB92" s="360" t="e">
        <f t="shared" si="49"/>
        <v>#VALUE!</v>
      </c>
      <c r="AC92" s="360" t="e">
        <f t="shared" si="49"/>
        <v>#VALUE!</v>
      </c>
      <c r="AD92" s="360" t="e">
        <f t="shared" si="49"/>
        <v>#VALUE!</v>
      </c>
      <c r="AE92" s="360" t="e">
        <f t="shared" si="49"/>
        <v>#VALUE!</v>
      </c>
      <c r="AF92" s="360" t="e">
        <f t="shared" si="49"/>
        <v>#VALUE!</v>
      </c>
      <c r="AG92" s="360" t="e">
        <f t="shared" si="49"/>
        <v>#VALUE!</v>
      </c>
      <c r="AH92" s="360" t="e">
        <f t="shared" si="49"/>
        <v>#VALUE!</v>
      </c>
      <c r="AI92" s="360" t="e">
        <f t="shared" si="49"/>
        <v>#VALUE!</v>
      </c>
      <c r="AJ92" s="360" t="e">
        <f t="shared" si="49"/>
        <v>#VALUE!</v>
      </c>
      <c r="AK92" s="360" t="e">
        <f t="shared" si="49"/>
        <v>#VALUE!</v>
      </c>
      <c r="AL92" s="360" t="e">
        <f t="shared" si="49"/>
        <v>#VALUE!</v>
      </c>
      <c r="AM92" s="360" t="e">
        <f t="shared" si="49"/>
        <v>#VALUE!</v>
      </c>
      <c r="AN92" s="360" t="e">
        <f t="shared" si="49"/>
        <v>#VALUE!</v>
      </c>
      <c r="AO92" s="360" t="e">
        <f t="shared" si="49"/>
        <v>#VALUE!</v>
      </c>
      <c r="AP92" s="360" t="e">
        <f t="shared" si="49"/>
        <v>#VALUE!</v>
      </c>
    </row>
    <row r="93" spans="1:42" x14ac:dyDescent="0.2">
      <c r="A93" s="190" t="s">
        <v>131</v>
      </c>
      <c r="B93" s="359">
        <f>SUM(B91:B92)</f>
        <v>-2058363.2063178048</v>
      </c>
      <c r="C93" s="359">
        <f t="shared" ref="C93:AP93" si="50">SUM(C91:C92)</f>
        <v>1139865.7325328966</v>
      </c>
      <c r="D93" s="359">
        <f t="shared" si="50"/>
        <v>1152833.0394686144</v>
      </c>
      <c r="E93" s="359">
        <f t="shared" si="50"/>
        <v>1165497.1810722342</v>
      </c>
      <c r="F93" s="359">
        <f t="shared" si="50"/>
        <v>1177866.1471473072</v>
      </c>
      <c r="G93" s="359">
        <f t="shared" si="50"/>
        <v>1189947.2734061428</v>
      </c>
      <c r="H93" s="359">
        <f t="shared" si="50"/>
        <v>1201747.2663830086</v>
      </c>
      <c r="I93" s="359">
        <f t="shared" si="50"/>
        <v>1213272.2268646138</v>
      </c>
      <c r="J93" s="359">
        <f t="shared" si="50"/>
        <v>1224527.6719046803</v>
      </c>
      <c r="K93" s="359">
        <f t="shared" si="50"/>
        <v>1235518.555485941</v>
      </c>
      <c r="L93" s="359">
        <f t="shared" si="50"/>
        <v>1246249.2878893167</v>
      </c>
      <c r="M93" s="359">
        <f t="shared" si="50"/>
        <v>1256723.753827028</v>
      </c>
      <c r="N93" s="359">
        <f t="shared" si="50"/>
        <v>1301862.3066090019</v>
      </c>
      <c r="O93" s="359">
        <f t="shared" si="50"/>
        <v>2842748.0291454452</v>
      </c>
      <c r="P93" s="359">
        <f t="shared" si="50"/>
        <v>4483454.0239594644</v>
      </c>
      <c r="Q93" s="359">
        <f t="shared" si="50"/>
        <v>4505654.6535532409</v>
      </c>
      <c r="R93" s="359">
        <f t="shared" si="50"/>
        <v>4526910.3888945524</v>
      </c>
      <c r="S93" s="359">
        <f t="shared" si="50"/>
        <v>4547225.2618404357</v>
      </c>
      <c r="T93" s="359">
        <f t="shared" si="50"/>
        <v>4566601.6490581427</v>
      </c>
      <c r="U93" s="359">
        <f t="shared" si="50"/>
        <v>4585040.3103717472</v>
      </c>
      <c r="V93" s="359">
        <f t="shared" si="50"/>
        <v>4602540.4238336487</v>
      </c>
      <c r="W93" s="359">
        <f t="shared" si="50"/>
        <v>4619099.6176427649</v>
      </c>
      <c r="X93" s="359">
        <f t="shared" si="50"/>
        <v>4634713.9990236657</v>
      </c>
      <c r="Y93" s="359">
        <f t="shared" si="50"/>
        <v>4649378.1801739773</v>
      </c>
      <c r="Z93" s="359">
        <f t="shared" si="50"/>
        <v>4663085.3013804443</v>
      </c>
      <c r="AA93" s="359">
        <f t="shared" si="50"/>
        <v>10585478.647399386</v>
      </c>
      <c r="AB93" s="359" t="e">
        <f t="shared" si="50"/>
        <v>#VALUE!</v>
      </c>
      <c r="AC93" s="359" t="e">
        <f t="shared" si="50"/>
        <v>#VALUE!</v>
      </c>
      <c r="AD93" s="359" t="e">
        <f t="shared" si="50"/>
        <v>#VALUE!</v>
      </c>
      <c r="AE93" s="359" t="e">
        <f t="shared" si="50"/>
        <v>#VALUE!</v>
      </c>
      <c r="AF93" s="359" t="e">
        <f t="shared" si="50"/>
        <v>#VALUE!</v>
      </c>
      <c r="AG93" s="359" t="e">
        <f t="shared" si="50"/>
        <v>#VALUE!</v>
      </c>
      <c r="AH93" s="359" t="e">
        <f t="shared" si="50"/>
        <v>#VALUE!</v>
      </c>
      <c r="AI93" s="359" t="e">
        <f t="shared" si="50"/>
        <v>#VALUE!</v>
      </c>
      <c r="AJ93" s="359" t="e">
        <f t="shared" si="50"/>
        <v>#VALUE!</v>
      </c>
      <c r="AK93" s="359" t="e">
        <f t="shared" si="50"/>
        <v>#VALUE!</v>
      </c>
      <c r="AL93" s="359" t="e">
        <f t="shared" si="50"/>
        <v>#VALUE!</v>
      </c>
      <c r="AM93" s="359" t="e">
        <f t="shared" si="50"/>
        <v>#VALUE!</v>
      </c>
      <c r="AN93" s="359" t="e">
        <f t="shared" si="50"/>
        <v>#VALUE!</v>
      </c>
      <c r="AO93" s="359" t="e">
        <f t="shared" si="50"/>
        <v>#VALUE!</v>
      </c>
      <c r="AP93" s="359" t="e">
        <f t="shared" si="50"/>
        <v>#VALUE!</v>
      </c>
    </row>
    <row r="94" spans="1:42" s="194" customFormat="1" x14ac:dyDescent="0.2">
      <c r="A94" s="188" t="s">
        <v>5</v>
      </c>
      <c r="G94" s="378"/>
      <c r="H94" s="378"/>
      <c r="I94" s="378"/>
      <c r="J94" s="378"/>
      <c r="K94" s="378"/>
      <c r="L94" s="378"/>
      <c r="M94" s="378"/>
      <c r="N94" s="378"/>
      <c r="O94" s="378"/>
      <c r="P94" s="378"/>
      <c r="Q94" s="378"/>
      <c r="R94" s="378"/>
      <c r="S94" s="378"/>
      <c r="T94" s="378"/>
      <c r="U94" s="378"/>
      <c r="V94" s="378"/>
      <c r="W94" s="378"/>
      <c r="X94" s="378"/>
      <c r="Y94" s="378"/>
      <c r="Z94" s="378"/>
      <c r="AA94" s="378"/>
      <c r="AB94" s="378"/>
      <c r="AC94" s="378"/>
      <c r="AD94" s="378"/>
      <c r="AE94" s="378"/>
      <c r="AF94" s="378"/>
      <c r="AG94" s="378"/>
      <c r="AH94" s="378"/>
      <c r="AI94" s="378"/>
      <c r="AJ94" s="378"/>
      <c r="AK94" s="378"/>
      <c r="AL94" s="378"/>
      <c r="AM94" s="378"/>
      <c r="AN94" s="378"/>
      <c r="AO94" s="378"/>
      <c r="AP94" s="378"/>
    </row>
    <row r="95" spans="1:42" x14ac:dyDescent="0.2">
      <c r="A95" s="190" t="s">
        <v>8</v>
      </c>
      <c r="B95" s="359">
        <v>0</v>
      </c>
      <c r="C95" s="359">
        <f>I213+K213</f>
        <v>0</v>
      </c>
      <c r="D95" s="359">
        <v>0</v>
      </c>
      <c r="E95" s="359">
        <v>0</v>
      </c>
      <c r="F95" s="359">
        <v>0</v>
      </c>
      <c r="G95" s="359">
        <v>0</v>
      </c>
      <c r="H95" s="359">
        <v>0</v>
      </c>
      <c r="I95" s="359">
        <v>0</v>
      </c>
      <c r="J95" s="359">
        <v>0</v>
      </c>
      <c r="K95" s="359">
        <v>0</v>
      </c>
      <c r="L95" s="359">
        <v>0</v>
      </c>
      <c r="M95" s="359">
        <v>0</v>
      </c>
      <c r="N95" s="359">
        <v>0</v>
      </c>
      <c r="O95" s="359">
        <v>0</v>
      </c>
      <c r="P95" s="359">
        <v>0</v>
      </c>
      <c r="Q95" s="359">
        <v>0</v>
      </c>
      <c r="R95" s="359">
        <v>0</v>
      </c>
      <c r="S95" s="359">
        <v>0</v>
      </c>
      <c r="T95" s="359">
        <v>0</v>
      </c>
      <c r="U95" s="359">
        <v>0</v>
      </c>
      <c r="V95" s="359">
        <v>0</v>
      </c>
      <c r="W95" s="359">
        <v>0</v>
      </c>
      <c r="X95" s="359">
        <v>0</v>
      </c>
      <c r="Y95" s="359">
        <v>0</v>
      </c>
      <c r="Z95" s="359">
        <v>0</v>
      </c>
      <c r="AA95" s="359">
        <v>0</v>
      </c>
      <c r="AB95" s="359">
        <v>0</v>
      </c>
      <c r="AC95" s="359">
        <v>0</v>
      </c>
      <c r="AD95" s="359">
        <v>0</v>
      </c>
      <c r="AE95" s="359">
        <v>0</v>
      </c>
      <c r="AF95" s="359">
        <v>0</v>
      </c>
      <c r="AG95" s="359">
        <v>0</v>
      </c>
      <c r="AH95" s="359">
        <v>0</v>
      </c>
      <c r="AI95" s="359">
        <v>0</v>
      </c>
      <c r="AJ95" s="359">
        <v>0</v>
      </c>
      <c r="AK95" s="359">
        <v>0</v>
      </c>
      <c r="AL95" s="359">
        <v>0</v>
      </c>
      <c r="AM95" s="359">
        <v>0</v>
      </c>
      <c r="AN95" s="359">
        <v>0</v>
      </c>
      <c r="AO95" s="359">
        <v>0</v>
      </c>
      <c r="AP95" s="359">
        <v>0</v>
      </c>
    </row>
    <row r="96" spans="1:42" x14ac:dyDescent="0.2">
      <c r="A96" s="190" t="s">
        <v>7</v>
      </c>
      <c r="B96" s="360">
        <v>0</v>
      </c>
      <c r="C96" s="360">
        <f>I347+K347</f>
        <v>6450000</v>
      </c>
      <c r="D96" s="360">
        <v>0</v>
      </c>
      <c r="E96" s="360">
        <v>0</v>
      </c>
      <c r="F96" s="360">
        <v>0</v>
      </c>
      <c r="G96" s="360">
        <v>0</v>
      </c>
      <c r="H96" s="360">
        <v>0</v>
      </c>
      <c r="I96" s="360">
        <v>0</v>
      </c>
      <c r="J96" s="360">
        <v>0</v>
      </c>
      <c r="K96" s="360">
        <v>0</v>
      </c>
      <c r="L96" s="360">
        <v>0</v>
      </c>
      <c r="M96" s="360">
        <v>0</v>
      </c>
      <c r="N96" s="360">
        <v>0</v>
      </c>
      <c r="O96" s="360">
        <v>0</v>
      </c>
      <c r="P96" s="360">
        <v>0</v>
      </c>
      <c r="Q96" s="360">
        <v>0</v>
      </c>
      <c r="R96" s="360">
        <v>0</v>
      </c>
      <c r="S96" s="360">
        <v>0</v>
      </c>
      <c r="T96" s="360">
        <v>0</v>
      </c>
      <c r="U96" s="360">
        <v>0</v>
      </c>
      <c r="V96" s="360">
        <v>0</v>
      </c>
      <c r="W96" s="360">
        <v>0</v>
      </c>
      <c r="X96" s="360">
        <v>0</v>
      </c>
      <c r="Y96" s="360">
        <v>0</v>
      </c>
      <c r="Z96" s="360">
        <v>0</v>
      </c>
      <c r="AA96" s="360">
        <v>0</v>
      </c>
      <c r="AB96" s="360">
        <v>0</v>
      </c>
      <c r="AC96" s="360">
        <v>0</v>
      </c>
      <c r="AD96" s="360">
        <v>0</v>
      </c>
      <c r="AE96" s="360">
        <v>0</v>
      </c>
      <c r="AF96" s="360">
        <v>0</v>
      </c>
      <c r="AG96" s="360">
        <v>0</v>
      </c>
      <c r="AH96" s="360">
        <v>0</v>
      </c>
      <c r="AI96" s="360">
        <v>0</v>
      </c>
      <c r="AJ96" s="360">
        <v>0</v>
      </c>
      <c r="AK96" s="360">
        <v>0</v>
      </c>
      <c r="AL96" s="360">
        <v>0</v>
      </c>
      <c r="AM96" s="360">
        <v>0</v>
      </c>
      <c r="AN96" s="360">
        <v>0</v>
      </c>
      <c r="AO96" s="360">
        <v>0</v>
      </c>
      <c r="AP96" s="360">
        <v>0</v>
      </c>
    </row>
    <row r="97" spans="1:42" x14ac:dyDescent="0.2">
      <c r="A97" s="190" t="s">
        <v>21</v>
      </c>
      <c r="B97" s="359">
        <f>SUM(B95:B96)</f>
        <v>0</v>
      </c>
      <c r="C97" s="359">
        <f>SUM(C95:C96)</f>
        <v>6450000</v>
      </c>
      <c r="D97" s="359">
        <f>SUM(D95:D96)</f>
        <v>0</v>
      </c>
      <c r="E97" s="359">
        <f t="shared" ref="E97:AP97" si="51">SUM(E95:E96)</f>
        <v>0</v>
      </c>
      <c r="F97" s="359">
        <f t="shared" si="51"/>
        <v>0</v>
      </c>
      <c r="G97" s="359">
        <f t="shared" si="51"/>
        <v>0</v>
      </c>
      <c r="H97" s="359">
        <f t="shared" si="51"/>
        <v>0</v>
      </c>
      <c r="I97" s="359">
        <f t="shared" si="51"/>
        <v>0</v>
      </c>
      <c r="J97" s="359">
        <f t="shared" si="51"/>
        <v>0</v>
      </c>
      <c r="K97" s="359">
        <f t="shared" si="51"/>
        <v>0</v>
      </c>
      <c r="L97" s="359">
        <f t="shared" si="51"/>
        <v>0</v>
      </c>
      <c r="M97" s="359">
        <f t="shared" si="51"/>
        <v>0</v>
      </c>
      <c r="N97" s="359">
        <f t="shared" si="51"/>
        <v>0</v>
      </c>
      <c r="O97" s="359">
        <f t="shared" si="51"/>
        <v>0</v>
      </c>
      <c r="P97" s="359">
        <f t="shared" si="51"/>
        <v>0</v>
      </c>
      <c r="Q97" s="359">
        <f t="shared" si="51"/>
        <v>0</v>
      </c>
      <c r="R97" s="359">
        <f t="shared" si="51"/>
        <v>0</v>
      </c>
      <c r="S97" s="359">
        <f t="shared" si="51"/>
        <v>0</v>
      </c>
      <c r="T97" s="359">
        <f t="shared" si="51"/>
        <v>0</v>
      </c>
      <c r="U97" s="359">
        <f t="shared" si="51"/>
        <v>0</v>
      </c>
      <c r="V97" s="359">
        <f t="shared" si="51"/>
        <v>0</v>
      </c>
      <c r="W97" s="359">
        <f t="shared" si="51"/>
        <v>0</v>
      </c>
      <c r="X97" s="359">
        <f t="shared" si="51"/>
        <v>0</v>
      </c>
      <c r="Y97" s="359">
        <f t="shared" si="51"/>
        <v>0</v>
      </c>
      <c r="Z97" s="359">
        <f t="shared" si="51"/>
        <v>0</v>
      </c>
      <c r="AA97" s="359">
        <f t="shared" si="51"/>
        <v>0</v>
      </c>
      <c r="AB97" s="359">
        <f t="shared" si="51"/>
        <v>0</v>
      </c>
      <c r="AC97" s="359">
        <f t="shared" si="51"/>
        <v>0</v>
      </c>
      <c r="AD97" s="359">
        <f t="shared" si="51"/>
        <v>0</v>
      </c>
      <c r="AE97" s="359">
        <f t="shared" si="51"/>
        <v>0</v>
      </c>
      <c r="AF97" s="359">
        <f t="shared" si="51"/>
        <v>0</v>
      </c>
      <c r="AG97" s="359">
        <f t="shared" si="51"/>
        <v>0</v>
      </c>
      <c r="AH97" s="359">
        <f t="shared" si="51"/>
        <v>0</v>
      </c>
      <c r="AI97" s="359">
        <f t="shared" si="51"/>
        <v>0</v>
      </c>
      <c r="AJ97" s="359">
        <f t="shared" si="51"/>
        <v>0</v>
      </c>
      <c r="AK97" s="359">
        <f t="shared" si="51"/>
        <v>0</v>
      </c>
      <c r="AL97" s="359">
        <f t="shared" si="51"/>
        <v>0</v>
      </c>
      <c r="AM97" s="359">
        <f t="shared" si="51"/>
        <v>0</v>
      </c>
      <c r="AN97" s="359">
        <f t="shared" si="51"/>
        <v>0</v>
      </c>
      <c r="AO97" s="359">
        <f t="shared" si="51"/>
        <v>0</v>
      </c>
      <c r="AP97" s="359">
        <f t="shared" si="51"/>
        <v>0</v>
      </c>
    </row>
    <row r="98" spans="1:42" s="194" customFormat="1" x14ac:dyDescent="0.2">
      <c r="A98" s="188" t="s">
        <v>9</v>
      </c>
      <c r="G98" s="378"/>
      <c r="H98" s="378"/>
      <c r="I98" s="378"/>
      <c r="J98" s="378"/>
      <c r="K98" s="378"/>
      <c r="L98" s="378"/>
      <c r="M98" s="378"/>
      <c r="N98" s="378"/>
      <c r="O98" s="378"/>
      <c r="P98" s="378"/>
      <c r="Q98" s="378"/>
      <c r="R98" s="378"/>
      <c r="S98" s="378"/>
      <c r="T98" s="378"/>
      <c r="U98" s="378"/>
      <c r="V98" s="378"/>
      <c r="W98" s="378"/>
      <c r="X98" s="378"/>
      <c r="Y98" s="378"/>
      <c r="Z98" s="378"/>
      <c r="AA98" s="378"/>
      <c r="AB98" s="378"/>
      <c r="AC98" s="378"/>
      <c r="AD98" s="378"/>
      <c r="AE98" s="378"/>
      <c r="AF98" s="378"/>
      <c r="AG98" s="378"/>
      <c r="AH98" s="378"/>
      <c r="AI98" s="378"/>
      <c r="AJ98" s="378"/>
      <c r="AK98" s="378"/>
      <c r="AL98" s="378"/>
      <c r="AM98" s="378"/>
      <c r="AN98" s="378"/>
      <c r="AO98" s="378"/>
      <c r="AP98" s="378"/>
    </row>
    <row r="99" spans="1:42" x14ac:dyDescent="0.2">
      <c r="A99" s="190" t="s">
        <v>8</v>
      </c>
      <c r="B99" s="359">
        <f>B477</f>
        <v>0</v>
      </c>
      <c r="C99" s="359">
        <f t="shared" ref="C99:AO99" si="52">C477</f>
        <v>0</v>
      </c>
      <c r="D99" s="359">
        <f t="shared" si="52"/>
        <v>0</v>
      </c>
      <c r="E99" s="359">
        <f t="shared" si="52"/>
        <v>0</v>
      </c>
      <c r="F99" s="359">
        <f t="shared" si="52"/>
        <v>0</v>
      </c>
      <c r="G99" s="359">
        <f t="shared" si="52"/>
        <v>0</v>
      </c>
      <c r="H99" s="359">
        <f t="shared" si="52"/>
        <v>0</v>
      </c>
      <c r="I99" s="359">
        <f t="shared" si="52"/>
        <v>0</v>
      </c>
      <c r="J99" s="359">
        <f t="shared" si="52"/>
        <v>0</v>
      </c>
      <c r="K99" s="359">
        <f t="shared" si="52"/>
        <v>0</v>
      </c>
      <c r="L99" s="359">
        <f t="shared" si="52"/>
        <v>0</v>
      </c>
      <c r="M99" s="359">
        <f t="shared" si="52"/>
        <v>0</v>
      </c>
      <c r="N99" s="359">
        <f t="shared" si="52"/>
        <v>0</v>
      </c>
      <c r="O99" s="359">
        <f t="shared" si="52"/>
        <v>0</v>
      </c>
      <c r="P99" s="359">
        <f t="shared" si="52"/>
        <v>0</v>
      </c>
      <c r="Q99" s="359">
        <f t="shared" si="52"/>
        <v>0</v>
      </c>
      <c r="R99" s="359">
        <f t="shared" si="52"/>
        <v>0</v>
      </c>
      <c r="S99" s="359">
        <f t="shared" si="52"/>
        <v>0</v>
      </c>
      <c r="T99" s="359">
        <f t="shared" si="52"/>
        <v>0</v>
      </c>
      <c r="U99" s="359">
        <f t="shared" si="52"/>
        <v>0</v>
      </c>
      <c r="V99" s="359">
        <f t="shared" si="52"/>
        <v>0</v>
      </c>
      <c r="W99" s="359">
        <f t="shared" si="52"/>
        <v>0</v>
      </c>
      <c r="X99" s="359">
        <f t="shared" si="52"/>
        <v>0</v>
      </c>
      <c r="Y99" s="359">
        <f t="shared" si="52"/>
        <v>0</v>
      </c>
      <c r="Z99" s="359">
        <f t="shared" si="52"/>
        <v>0</v>
      </c>
      <c r="AA99" s="359">
        <f t="shared" si="52"/>
        <v>0</v>
      </c>
      <c r="AB99" s="359">
        <f t="shared" si="52"/>
        <v>0</v>
      </c>
      <c r="AC99" s="359">
        <f t="shared" si="52"/>
        <v>0</v>
      </c>
      <c r="AD99" s="359">
        <f t="shared" si="52"/>
        <v>0</v>
      </c>
      <c r="AE99" s="359">
        <f t="shared" si="52"/>
        <v>0</v>
      </c>
      <c r="AF99" s="359">
        <f t="shared" si="52"/>
        <v>0</v>
      </c>
      <c r="AG99" s="359">
        <f t="shared" si="52"/>
        <v>0</v>
      </c>
      <c r="AH99" s="359">
        <f t="shared" si="52"/>
        <v>0</v>
      </c>
      <c r="AI99" s="359">
        <f t="shared" si="52"/>
        <v>0</v>
      </c>
      <c r="AJ99" s="359">
        <f t="shared" si="52"/>
        <v>0</v>
      </c>
      <c r="AK99" s="359">
        <f t="shared" si="52"/>
        <v>0</v>
      </c>
      <c r="AL99" s="359">
        <f t="shared" si="52"/>
        <v>0</v>
      </c>
      <c r="AM99" s="359">
        <f t="shared" si="52"/>
        <v>0</v>
      </c>
      <c r="AN99" s="359">
        <f t="shared" si="52"/>
        <v>0</v>
      </c>
      <c r="AO99" s="359">
        <f t="shared" si="52"/>
        <v>0</v>
      </c>
      <c r="AP99" s="359">
        <f>AP477</f>
        <v>0</v>
      </c>
    </row>
    <row r="100" spans="1:42" x14ac:dyDescent="0.2">
      <c r="A100" s="190" t="s">
        <v>7</v>
      </c>
      <c r="B100" s="360">
        <f>B483</f>
        <v>0</v>
      </c>
      <c r="C100" s="360">
        <f t="shared" ref="C100:AO100" si="53">C483</f>
        <v>0</v>
      </c>
      <c r="D100" s="360">
        <f t="shared" si="53"/>
        <v>0</v>
      </c>
      <c r="E100" s="360">
        <f t="shared" si="53"/>
        <v>0</v>
      </c>
      <c r="F100" s="360">
        <f t="shared" si="53"/>
        <v>0</v>
      </c>
      <c r="G100" s="360">
        <f t="shared" si="53"/>
        <v>0</v>
      </c>
      <c r="H100" s="360">
        <f t="shared" si="53"/>
        <v>0</v>
      </c>
      <c r="I100" s="360">
        <f t="shared" si="53"/>
        <v>0</v>
      </c>
      <c r="J100" s="360">
        <f t="shared" si="53"/>
        <v>0</v>
      </c>
      <c r="K100" s="360">
        <f t="shared" si="53"/>
        <v>0</v>
      </c>
      <c r="L100" s="360">
        <f t="shared" si="53"/>
        <v>0</v>
      </c>
      <c r="M100" s="360">
        <f t="shared" si="53"/>
        <v>0</v>
      </c>
      <c r="N100" s="360">
        <f t="shared" si="53"/>
        <v>0</v>
      </c>
      <c r="O100" s="360">
        <f t="shared" si="53"/>
        <v>0</v>
      </c>
      <c r="P100" s="360">
        <f t="shared" si="53"/>
        <v>0</v>
      </c>
      <c r="Q100" s="360">
        <f t="shared" si="53"/>
        <v>0</v>
      </c>
      <c r="R100" s="360">
        <f t="shared" si="53"/>
        <v>0</v>
      </c>
      <c r="S100" s="360">
        <f t="shared" si="53"/>
        <v>0</v>
      </c>
      <c r="T100" s="360">
        <f t="shared" si="53"/>
        <v>0</v>
      </c>
      <c r="U100" s="360">
        <f t="shared" si="53"/>
        <v>0</v>
      </c>
      <c r="V100" s="360">
        <f t="shared" si="53"/>
        <v>0</v>
      </c>
      <c r="W100" s="360">
        <f t="shared" si="53"/>
        <v>0</v>
      </c>
      <c r="X100" s="360">
        <f t="shared" si="53"/>
        <v>0</v>
      </c>
      <c r="Y100" s="360">
        <f t="shared" si="53"/>
        <v>0</v>
      </c>
      <c r="Z100" s="360">
        <f t="shared" si="53"/>
        <v>0</v>
      </c>
      <c r="AA100" s="360">
        <f t="shared" si="53"/>
        <v>0</v>
      </c>
      <c r="AB100" s="360">
        <f t="shared" si="53"/>
        <v>0</v>
      </c>
      <c r="AC100" s="360">
        <f t="shared" si="53"/>
        <v>0</v>
      </c>
      <c r="AD100" s="360">
        <f t="shared" si="53"/>
        <v>0</v>
      </c>
      <c r="AE100" s="360">
        <f t="shared" si="53"/>
        <v>0</v>
      </c>
      <c r="AF100" s="360">
        <f t="shared" si="53"/>
        <v>0</v>
      </c>
      <c r="AG100" s="360">
        <f t="shared" si="53"/>
        <v>0</v>
      </c>
      <c r="AH100" s="360">
        <f t="shared" si="53"/>
        <v>0</v>
      </c>
      <c r="AI100" s="360">
        <f t="shared" si="53"/>
        <v>0</v>
      </c>
      <c r="AJ100" s="360">
        <f t="shared" si="53"/>
        <v>0</v>
      </c>
      <c r="AK100" s="360">
        <f t="shared" si="53"/>
        <v>0</v>
      </c>
      <c r="AL100" s="360">
        <f t="shared" si="53"/>
        <v>0</v>
      </c>
      <c r="AM100" s="360">
        <f t="shared" si="53"/>
        <v>0</v>
      </c>
      <c r="AN100" s="360">
        <f t="shared" si="53"/>
        <v>0</v>
      </c>
      <c r="AO100" s="360">
        <f t="shared" si="53"/>
        <v>0</v>
      </c>
      <c r="AP100" s="360">
        <f>AP483</f>
        <v>0</v>
      </c>
    </row>
    <row r="101" spans="1:42" x14ac:dyDescent="0.2">
      <c r="A101" s="190" t="s">
        <v>21</v>
      </c>
      <c r="B101" s="359">
        <f>SUM(B99:B100)</f>
        <v>0</v>
      </c>
      <c r="C101" s="359">
        <f>SUM(C99:C100)</f>
        <v>0</v>
      </c>
      <c r="D101" s="359">
        <f>SUM(D99:D100)</f>
        <v>0</v>
      </c>
      <c r="E101" s="359">
        <f t="shared" ref="E101:AP101" si="54">SUM(E99:E100)</f>
        <v>0</v>
      </c>
      <c r="F101" s="359">
        <f t="shared" si="54"/>
        <v>0</v>
      </c>
      <c r="G101" s="359">
        <f t="shared" si="54"/>
        <v>0</v>
      </c>
      <c r="H101" s="359">
        <f t="shared" si="54"/>
        <v>0</v>
      </c>
      <c r="I101" s="359">
        <f t="shared" si="54"/>
        <v>0</v>
      </c>
      <c r="J101" s="359">
        <f t="shared" si="54"/>
        <v>0</v>
      </c>
      <c r="K101" s="359">
        <f t="shared" si="54"/>
        <v>0</v>
      </c>
      <c r="L101" s="359">
        <f t="shared" si="54"/>
        <v>0</v>
      </c>
      <c r="M101" s="359">
        <f t="shared" si="54"/>
        <v>0</v>
      </c>
      <c r="N101" s="359">
        <f t="shared" si="54"/>
        <v>0</v>
      </c>
      <c r="O101" s="359">
        <f t="shared" si="54"/>
        <v>0</v>
      </c>
      <c r="P101" s="359">
        <f t="shared" si="54"/>
        <v>0</v>
      </c>
      <c r="Q101" s="359">
        <f t="shared" si="54"/>
        <v>0</v>
      </c>
      <c r="R101" s="359">
        <f t="shared" si="54"/>
        <v>0</v>
      </c>
      <c r="S101" s="359">
        <f t="shared" si="54"/>
        <v>0</v>
      </c>
      <c r="T101" s="359">
        <f t="shared" si="54"/>
        <v>0</v>
      </c>
      <c r="U101" s="359">
        <f t="shared" si="54"/>
        <v>0</v>
      </c>
      <c r="V101" s="359">
        <f t="shared" si="54"/>
        <v>0</v>
      </c>
      <c r="W101" s="359">
        <f t="shared" si="54"/>
        <v>0</v>
      </c>
      <c r="X101" s="359">
        <f t="shared" si="54"/>
        <v>0</v>
      </c>
      <c r="Y101" s="359">
        <f t="shared" si="54"/>
        <v>0</v>
      </c>
      <c r="Z101" s="359">
        <f t="shared" si="54"/>
        <v>0</v>
      </c>
      <c r="AA101" s="359">
        <f t="shared" si="54"/>
        <v>0</v>
      </c>
      <c r="AB101" s="359">
        <f t="shared" si="54"/>
        <v>0</v>
      </c>
      <c r="AC101" s="359">
        <f t="shared" si="54"/>
        <v>0</v>
      </c>
      <c r="AD101" s="359">
        <f t="shared" si="54"/>
        <v>0</v>
      </c>
      <c r="AE101" s="359">
        <f t="shared" si="54"/>
        <v>0</v>
      </c>
      <c r="AF101" s="359">
        <f t="shared" si="54"/>
        <v>0</v>
      </c>
      <c r="AG101" s="359">
        <f t="shared" si="54"/>
        <v>0</v>
      </c>
      <c r="AH101" s="359">
        <f t="shared" si="54"/>
        <v>0</v>
      </c>
      <c r="AI101" s="359">
        <f t="shared" si="54"/>
        <v>0</v>
      </c>
      <c r="AJ101" s="359">
        <f t="shared" si="54"/>
        <v>0</v>
      </c>
      <c r="AK101" s="359">
        <f t="shared" si="54"/>
        <v>0</v>
      </c>
      <c r="AL101" s="359">
        <f t="shared" si="54"/>
        <v>0</v>
      </c>
      <c r="AM101" s="359">
        <f t="shared" si="54"/>
        <v>0</v>
      </c>
      <c r="AN101" s="359">
        <f t="shared" si="54"/>
        <v>0</v>
      </c>
      <c r="AO101" s="359">
        <f t="shared" si="54"/>
        <v>0</v>
      </c>
      <c r="AP101" s="359">
        <f t="shared" si="54"/>
        <v>0</v>
      </c>
    </row>
    <row r="102" spans="1:42" s="194" customFormat="1" x14ac:dyDescent="0.2">
      <c r="A102" s="188" t="s">
        <v>132</v>
      </c>
    </row>
    <row r="103" spans="1:42" x14ac:dyDescent="0.2">
      <c r="A103" s="190" t="s">
        <v>8</v>
      </c>
      <c r="B103" s="359">
        <f>B161</f>
        <v>0</v>
      </c>
      <c r="C103" s="359">
        <f>C161</f>
        <v>-961892.10747605341</v>
      </c>
      <c r="D103" s="359">
        <f t="shared" ref="D103:AP103" si="55">D161</f>
        <v>703636.09771808435</v>
      </c>
      <c r="E103" s="359">
        <f t="shared" si="55"/>
        <v>397484.97973717726</v>
      </c>
      <c r="F103" s="359">
        <f t="shared" si="55"/>
        <v>213268.02341012002</v>
      </c>
      <c r="G103" s="359">
        <f t="shared" si="55"/>
        <v>211907.73938520584</v>
      </c>
      <c r="H103" s="359">
        <f t="shared" si="55"/>
        <v>73510.898868466742</v>
      </c>
      <c r="I103" s="359">
        <f t="shared" si="55"/>
        <v>-64703.713016501897</v>
      </c>
      <c r="J103" s="359">
        <f t="shared" si="55"/>
        <v>-65657.418160534522</v>
      </c>
      <c r="K103" s="359">
        <f t="shared" si="55"/>
        <v>-66577.290653186705</v>
      </c>
      <c r="L103" s="359">
        <f t="shared" si="55"/>
        <v>-67475.426175384506</v>
      </c>
      <c r="M103" s="359">
        <f t="shared" si="55"/>
        <v>-68334.88555177534</v>
      </c>
      <c r="N103" s="359">
        <f t="shared" si="55"/>
        <v>3539059.8715444552</v>
      </c>
      <c r="O103" s="359">
        <f t="shared" si="55"/>
        <v>5706859.766428601</v>
      </c>
      <c r="P103" s="359">
        <f t="shared" si="55"/>
        <v>3207523.4353043335</v>
      </c>
      <c r="Q103" s="359">
        <f t="shared" si="55"/>
        <v>1820715.4688793391</v>
      </c>
      <c r="R103" s="359">
        <f t="shared" si="55"/>
        <v>1816003.098072724</v>
      </c>
      <c r="S103" s="359">
        <f t="shared" si="55"/>
        <v>772176.78587895737</v>
      </c>
      <c r="T103" s="359">
        <f t="shared" si="55"/>
        <v>-268091.63596517732</v>
      </c>
      <c r="U103" s="359">
        <f t="shared" si="55"/>
        <v>-269135.87077772192</v>
      </c>
      <c r="V103" s="359">
        <f t="shared" si="55"/>
        <v>-270128.54990693432</v>
      </c>
      <c r="W103" s="359">
        <f t="shared" si="55"/>
        <v>-272788.33563695301</v>
      </c>
      <c r="X103" s="359">
        <f t="shared" si="55"/>
        <v>-275396.30583764997</v>
      </c>
      <c r="Y103" s="359">
        <f t="shared" si="55"/>
        <v>-276233.45547175087</v>
      </c>
      <c r="Z103" s="359">
        <f t="shared" si="55"/>
        <v>4575661.1789853666</v>
      </c>
      <c r="AA103" s="359">
        <f t="shared" si="55"/>
        <v>7216389.5661687227</v>
      </c>
      <c r="AB103" s="359" t="e">
        <f t="shared" si="55"/>
        <v>#VALUE!</v>
      </c>
      <c r="AC103" s="359" t="e">
        <f t="shared" si="55"/>
        <v>#VALUE!</v>
      </c>
      <c r="AD103" s="359" t="e">
        <f t="shared" si="55"/>
        <v>#VALUE!</v>
      </c>
      <c r="AE103" s="359" t="e">
        <f t="shared" si="55"/>
        <v>#VALUE!</v>
      </c>
      <c r="AF103" s="359" t="e">
        <f t="shared" si="55"/>
        <v>#VALUE!</v>
      </c>
      <c r="AG103" s="359" t="e">
        <f t="shared" si="55"/>
        <v>#VALUE!</v>
      </c>
      <c r="AH103" s="359" t="e">
        <f t="shared" si="55"/>
        <v>#VALUE!</v>
      </c>
      <c r="AI103" s="359" t="e">
        <f t="shared" si="55"/>
        <v>#VALUE!</v>
      </c>
      <c r="AJ103" s="359" t="e">
        <f t="shared" si="55"/>
        <v>#VALUE!</v>
      </c>
      <c r="AK103" s="359" t="e">
        <f t="shared" si="55"/>
        <v>#VALUE!</v>
      </c>
      <c r="AL103" s="359" t="e">
        <f t="shared" si="55"/>
        <v>#VALUE!</v>
      </c>
      <c r="AM103" s="359" t="e">
        <f t="shared" si="55"/>
        <v>#VALUE!</v>
      </c>
      <c r="AN103" s="359" t="e">
        <f t="shared" si="55"/>
        <v>#VALUE!</v>
      </c>
      <c r="AO103" s="359" t="e">
        <f t="shared" si="55"/>
        <v>#VALUE!</v>
      </c>
      <c r="AP103" s="359" t="e">
        <f t="shared" si="55"/>
        <v>#VALUE!</v>
      </c>
    </row>
    <row r="104" spans="1:42" x14ac:dyDescent="0.2">
      <c r="A104" s="190" t="s">
        <v>7</v>
      </c>
      <c r="B104" s="360">
        <f>B200</f>
        <v>0</v>
      </c>
      <c r="C104" s="360">
        <f>C200</f>
        <v>-7534469.355412812</v>
      </c>
      <c r="D104" s="360">
        <f t="shared" ref="D104:AP104" si="56">D200</f>
        <v>1431411.6240046611</v>
      </c>
      <c r="E104" s="360">
        <f t="shared" si="56"/>
        <v>710330.1281467526</v>
      </c>
      <c r="F104" s="360">
        <f t="shared" si="56"/>
        <v>274516.34077994904</v>
      </c>
      <c r="G104" s="360">
        <f t="shared" si="56"/>
        <v>266336.08730285172</v>
      </c>
      <c r="H104" s="360">
        <f t="shared" si="56"/>
        <v>-61932.185440993126</v>
      </c>
      <c r="I104" s="360">
        <f t="shared" si="56"/>
        <v>-389104.60145832732</v>
      </c>
      <c r="J104" s="360">
        <f t="shared" si="56"/>
        <v>-394839.837392669</v>
      </c>
      <c r="K104" s="360">
        <f t="shared" si="56"/>
        <v>-400371.61606439098</v>
      </c>
      <c r="L104" s="360">
        <f t="shared" si="56"/>
        <v>-405772.67650015326</v>
      </c>
      <c r="M104" s="360">
        <f t="shared" si="56"/>
        <v>-410941.1526590854</v>
      </c>
      <c r="N104" s="360">
        <f t="shared" si="56"/>
        <v>21282619.136605974</v>
      </c>
      <c r="O104" s="360">
        <f t="shared" si="56"/>
        <v>34318979.413568355</v>
      </c>
      <c r="P104" s="360">
        <f t="shared" si="56"/>
        <v>19288879.567761969</v>
      </c>
      <c r="Q104" s="360">
        <f t="shared" si="56"/>
        <v>10949120.751488024</v>
      </c>
      <c r="R104" s="360">
        <f t="shared" si="56"/>
        <v>10920782.267046427</v>
      </c>
      <c r="S104" s="360">
        <f t="shared" si="56"/>
        <v>4643590.3987175478</v>
      </c>
      <c r="T104" s="360">
        <f t="shared" si="56"/>
        <v>-1612205.6108269524</v>
      </c>
      <c r="U104" s="360">
        <f t="shared" si="56"/>
        <v>-1618485.2592678461</v>
      </c>
      <c r="V104" s="360">
        <f t="shared" si="56"/>
        <v>-1624454.8705767002</v>
      </c>
      <c r="W104" s="360">
        <f t="shared" si="56"/>
        <v>-1640449.8547622219</v>
      </c>
      <c r="X104" s="360">
        <f t="shared" si="56"/>
        <v>-1656133.2391964132</v>
      </c>
      <c r="Y104" s="360">
        <f t="shared" si="56"/>
        <v>-1661167.5526778472</v>
      </c>
      <c r="Z104" s="360">
        <f t="shared" si="56"/>
        <v>27516362.453625631</v>
      </c>
      <c r="AA104" s="360">
        <f t="shared" si="56"/>
        <v>43396742.709278278</v>
      </c>
      <c r="AB104" s="360" t="e">
        <f t="shared" si="56"/>
        <v>#VALUE!</v>
      </c>
      <c r="AC104" s="360" t="e">
        <f t="shared" si="56"/>
        <v>#VALUE!</v>
      </c>
      <c r="AD104" s="360" t="e">
        <f t="shared" si="56"/>
        <v>#VALUE!</v>
      </c>
      <c r="AE104" s="360" t="e">
        <f t="shared" si="56"/>
        <v>#VALUE!</v>
      </c>
      <c r="AF104" s="360" t="e">
        <f t="shared" si="56"/>
        <v>#VALUE!</v>
      </c>
      <c r="AG104" s="360" t="e">
        <f t="shared" si="56"/>
        <v>#VALUE!</v>
      </c>
      <c r="AH104" s="360" t="e">
        <f t="shared" si="56"/>
        <v>#VALUE!</v>
      </c>
      <c r="AI104" s="360" t="e">
        <f t="shared" si="56"/>
        <v>#VALUE!</v>
      </c>
      <c r="AJ104" s="360" t="e">
        <f t="shared" si="56"/>
        <v>#VALUE!</v>
      </c>
      <c r="AK104" s="360" t="e">
        <f t="shared" si="56"/>
        <v>#VALUE!</v>
      </c>
      <c r="AL104" s="360" t="e">
        <f t="shared" si="56"/>
        <v>#VALUE!</v>
      </c>
      <c r="AM104" s="360" t="e">
        <f t="shared" si="56"/>
        <v>#VALUE!</v>
      </c>
      <c r="AN104" s="360" t="e">
        <f t="shared" si="56"/>
        <v>#VALUE!</v>
      </c>
      <c r="AO104" s="360" t="e">
        <f t="shared" si="56"/>
        <v>#VALUE!</v>
      </c>
      <c r="AP104" s="360" t="e">
        <f t="shared" si="56"/>
        <v>#VALUE!</v>
      </c>
    </row>
    <row r="105" spans="1:42" x14ac:dyDescent="0.2">
      <c r="A105" s="190" t="s">
        <v>21</v>
      </c>
      <c r="B105" s="358">
        <f>SUM(B103:B104)</f>
        <v>0</v>
      </c>
      <c r="C105" s="358">
        <f>SUM(C103:C104)</f>
        <v>-8496361.4628888648</v>
      </c>
      <c r="D105" s="358">
        <f>SUM(D103:D104)</f>
        <v>2135047.7217227453</v>
      </c>
      <c r="E105" s="358">
        <f t="shared" ref="E105:AP105" si="57">SUM(E103:E104)</f>
        <v>1107815.1078839297</v>
      </c>
      <c r="F105" s="358">
        <f t="shared" si="57"/>
        <v>487784.36419006903</v>
      </c>
      <c r="G105" s="358">
        <f t="shared" si="57"/>
        <v>478243.82668805757</v>
      </c>
      <c r="H105" s="358">
        <f t="shared" si="57"/>
        <v>11578.713427473616</v>
      </c>
      <c r="I105" s="358">
        <f t="shared" si="57"/>
        <v>-453808.31447482924</v>
      </c>
      <c r="J105" s="358">
        <f t="shared" si="57"/>
        <v>-460497.25555320352</v>
      </c>
      <c r="K105" s="358">
        <f t="shared" si="57"/>
        <v>-466948.90671757772</v>
      </c>
      <c r="L105" s="358">
        <f t="shared" si="57"/>
        <v>-473248.10267553775</v>
      </c>
      <c r="M105" s="358">
        <f t="shared" si="57"/>
        <v>-479276.03821086074</v>
      </c>
      <c r="N105" s="358">
        <f t="shared" si="57"/>
        <v>24821679.008150429</v>
      </c>
      <c r="O105" s="358">
        <f t="shared" si="57"/>
        <v>40025839.179996952</v>
      </c>
      <c r="P105" s="358">
        <f t="shared" si="57"/>
        <v>22496403.003066301</v>
      </c>
      <c r="Q105" s="358">
        <f t="shared" si="57"/>
        <v>12769836.220367363</v>
      </c>
      <c r="R105" s="358">
        <f t="shared" si="57"/>
        <v>12736785.365119152</v>
      </c>
      <c r="S105" s="358">
        <f t="shared" si="57"/>
        <v>5415767.184596505</v>
      </c>
      <c r="T105" s="358">
        <f t="shared" si="57"/>
        <v>-1880297.2467921297</v>
      </c>
      <c r="U105" s="358">
        <f t="shared" si="57"/>
        <v>-1887621.1300455681</v>
      </c>
      <c r="V105" s="358">
        <f t="shared" si="57"/>
        <v>-1894583.4204836346</v>
      </c>
      <c r="W105" s="358">
        <f t="shared" si="57"/>
        <v>-1913238.190399175</v>
      </c>
      <c r="X105" s="358">
        <f t="shared" si="57"/>
        <v>-1931529.545034063</v>
      </c>
      <c r="Y105" s="358">
        <f t="shared" si="57"/>
        <v>-1937401.008149598</v>
      </c>
      <c r="Z105" s="358">
        <f t="shared" si="57"/>
        <v>32092023.632610999</v>
      </c>
      <c r="AA105" s="358">
        <f t="shared" si="57"/>
        <v>50613132.275447004</v>
      </c>
      <c r="AB105" s="358" t="e">
        <f t="shared" si="57"/>
        <v>#VALUE!</v>
      </c>
      <c r="AC105" s="358" t="e">
        <f t="shared" si="57"/>
        <v>#VALUE!</v>
      </c>
      <c r="AD105" s="358" t="e">
        <f t="shared" si="57"/>
        <v>#VALUE!</v>
      </c>
      <c r="AE105" s="358" t="e">
        <f t="shared" si="57"/>
        <v>#VALUE!</v>
      </c>
      <c r="AF105" s="358" t="e">
        <f t="shared" si="57"/>
        <v>#VALUE!</v>
      </c>
      <c r="AG105" s="358" t="e">
        <f t="shared" si="57"/>
        <v>#VALUE!</v>
      </c>
      <c r="AH105" s="358" t="e">
        <f t="shared" si="57"/>
        <v>#VALUE!</v>
      </c>
      <c r="AI105" s="358" t="e">
        <f t="shared" si="57"/>
        <v>#VALUE!</v>
      </c>
      <c r="AJ105" s="358" t="e">
        <f t="shared" si="57"/>
        <v>#VALUE!</v>
      </c>
      <c r="AK105" s="358" t="e">
        <f t="shared" si="57"/>
        <v>#VALUE!</v>
      </c>
      <c r="AL105" s="358" t="e">
        <f t="shared" si="57"/>
        <v>#VALUE!</v>
      </c>
      <c r="AM105" s="358" t="e">
        <f t="shared" si="57"/>
        <v>#VALUE!</v>
      </c>
      <c r="AN105" s="358" t="e">
        <f t="shared" si="57"/>
        <v>#VALUE!</v>
      </c>
      <c r="AO105" s="358" t="e">
        <f t="shared" si="57"/>
        <v>#VALUE!</v>
      </c>
      <c r="AP105" s="358" t="e">
        <f t="shared" si="57"/>
        <v>#VALUE!</v>
      </c>
    </row>
    <row r="106" spans="1:42" x14ac:dyDescent="0.2">
      <c r="A106" s="188" t="s">
        <v>21</v>
      </c>
      <c r="B106" s="359">
        <f>B93+B97+B101+B105</f>
        <v>-2058363.2063178048</v>
      </c>
      <c r="C106" s="359">
        <f t="shared" ref="C106:AP106" si="58">C93+C97+C101+C105</f>
        <v>-906495.7303559687</v>
      </c>
      <c r="D106" s="359">
        <f t="shared" si="58"/>
        <v>3287880.7611913597</v>
      </c>
      <c r="E106" s="359">
        <f t="shared" si="58"/>
        <v>2273312.2889561639</v>
      </c>
      <c r="F106" s="359">
        <f t="shared" si="58"/>
        <v>1665650.5113373762</v>
      </c>
      <c r="G106" s="359">
        <f t="shared" si="58"/>
        <v>1668191.1000942003</v>
      </c>
      <c r="H106" s="359">
        <f t="shared" si="58"/>
        <v>1213325.9798104821</v>
      </c>
      <c r="I106" s="359">
        <f t="shared" si="58"/>
        <v>759463.91238978459</v>
      </c>
      <c r="J106" s="359">
        <f t="shared" si="58"/>
        <v>764030.4163514768</v>
      </c>
      <c r="K106" s="359">
        <f t="shared" si="58"/>
        <v>768569.64876836329</v>
      </c>
      <c r="L106" s="359">
        <f t="shared" si="58"/>
        <v>773001.18521377887</v>
      </c>
      <c r="M106" s="359">
        <f t="shared" si="58"/>
        <v>777447.71561616729</v>
      </c>
      <c r="N106" s="359">
        <f t="shared" si="58"/>
        <v>26123541.31475943</v>
      </c>
      <c r="O106" s="359">
        <f t="shared" si="58"/>
        <v>42868587.209142394</v>
      </c>
      <c r="P106" s="359">
        <f t="shared" si="58"/>
        <v>26979857.027025767</v>
      </c>
      <c r="Q106" s="359">
        <f t="shared" si="58"/>
        <v>17275490.873920605</v>
      </c>
      <c r="R106" s="359">
        <f t="shared" si="58"/>
        <v>17263695.754013702</v>
      </c>
      <c r="S106" s="359">
        <f t="shared" si="58"/>
        <v>9962992.4464369416</v>
      </c>
      <c r="T106" s="359">
        <f t="shared" si="58"/>
        <v>2686304.402266013</v>
      </c>
      <c r="U106" s="359">
        <f t="shared" si="58"/>
        <v>2697419.1803261791</v>
      </c>
      <c r="V106" s="359">
        <f t="shared" si="58"/>
        <v>2707957.0033500139</v>
      </c>
      <c r="W106" s="359">
        <f t="shared" si="58"/>
        <v>2705861.4272435899</v>
      </c>
      <c r="X106" s="359">
        <f t="shared" si="58"/>
        <v>2703184.4539896026</v>
      </c>
      <c r="Y106" s="359">
        <f t="shared" si="58"/>
        <v>2711977.1720243795</v>
      </c>
      <c r="Z106" s="359">
        <f t="shared" si="58"/>
        <v>36755108.933991447</v>
      </c>
      <c r="AA106" s="359">
        <f t="shared" si="58"/>
        <v>61198610.922846392</v>
      </c>
      <c r="AB106" s="359" t="e">
        <f t="shared" si="58"/>
        <v>#VALUE!</v>
      </c>
      <c r="AC106" s="359" t="e">
        <f t="shared" si="58"/>
        <v>#VALUE!</v>
      </c>
      <c r="AD106" s="359" t="e">
        <f t="shared" si="58"/>
        <v>#VALUE!</v>
      </c>
      <c r="AE106" s="359" t="e">
        <f t="shared" si="58"/>
        <v>#VALUE!</v>
      </c>
      <c r="AF106" s="359" t="e">
        <f t="shared" si="58"/>
        <v>#VALUE!</v>
      </c>
      <c r="AG106" s="359" t="e">
        <f t="shared" si="58"/>
        <v>#VALUE!</v>
      </c>
      <c r="AH106" s="359" t="e">
        <f t="shared" si="58"/>
        <v>#VALUE!</v>
      </c>
      <c r="AI106" s="359" t="e">
        <f t="shared" si="58"/>
        <v>#VALUE!</v>
      </c>
      <c r="AJ106" s="359" t="e">
        <f t="shared" si="58"/>
        <v>#VALUE!</v>
      </c>
      <c r="AK106" s="359" t="e">
        <f t="shared" si="58"/>
        <v>#VALUE!</v>
      </c>
      <c r="AL106" s="359" t="e">
        <f t="shared" si="58"/>
        <v>#VALUE!</v>
      </c>
      <c r="AM106" s="359" t="e">
        <f t="shared" si="58"/>
        <v>#VALUE!</v>
      </c>
      <c r="AN106" s="359" t="e">
        <f t="shared" si="58"/>
        <v>#VALUE!</v>
      </c>
      <c r="AO106" s="359" t="e">
        <f t="shared" si="58"/>
        <v>#VALUE!</v>
      </c>
      <c r="AP106" s="359" t="e">
        <f t="shared" si="58"/>
        <v>#VALUE!</v>
      </c>
    </row>
    <row r="107" spans="1:42" s="194" customFormat="1" x14ac:dyDescent="0.2">
      <c r="A107" s="190"/>
    </row>
    <row r="108" spans="1:42" x14ac:dyDescent="0.2">
      <c r="A108" s="188" t="s">
        <v>169</v>
      </c>
      <c r="B108" s="283">
        <f>ROUND(IF(ISERROR(IRR($B106:B106)),0,IRR($B106:B106)*100),4)</f>
        <v>0</v>
      </c>
      <c r="C108" s="283">
        <f>ROUND(IF(ISERROR(IRR($B106:C106)),0,IRR($B106:C106)*100),4)</f>
        <v>0</v>
      </c>
      <c r="D108" s="283">
        <f>ROUND(IF(ISERROR(IRR($B106:D106)),0,IRR($B106:D106)*100),4)</f>
        <v>6.2694999999999999</v>
      </c>
      <c r="E108" s="283">
        <f>ROUND(IF(ISERROR(IRR($B106:E106)),0,IRR($B106:E106)*100),4)</f>
        <v>34.956899999999997</v>
      </c>
      <c r="F108" s="283">
        <f>ROUND(IF(ISERROR(IRR($B106:F106)),0,IRR($B106:F106)*100),4)</f>
        <v>45.063899999999997</v>
      </c>
      <c r="G108" s="283">
        <f>ROUND(IF(ISERROR(IRR($B106:G106)),0,IRR($B106:G106)*100),4)</f>
        <v>50.466299999999997</v>
      </c>
      <c r="H108" s="283">
        <f>ROUND(IF(ISERROR(IRR($B106:H106)),0,IRR($B106:H106)*100),4)</f>
        <v>52.689500000000002</v>
      </c>
      <c r="I108" s="283">
        <f>ROUND(IF(ISERROR(IRR($B106:I106)),0,IRR($B106:I106)*100),4)</f>
        <v>53.529800000000002</v>
      </c>
      <c r="J108" s="283">
        <f>ROUND(IF(ISERROR(IRR($B106:J106)),0,IRR($B106:J106)*100),4)</f>
        <v>54.056100000000001</v>
      </c>
      <c r="K108" s="283">
        <f>ROUND(IF(ISERROR(IRR($B106:K106)),0,IRR($B106:K106)*100),4)</f>
        <v>54.388300000000001</v>
      </c>
      <c r="L108" s="283">
        <f>ROUND(IF(ISERROR(IRR($B106:L106)),0,IRR($B106:L106)*100),4)</f>
        <v>54.599499999999999</v>
      </c>
      <c r="M108" s="283">
        <f>ROUND(IF(ISERROR(IRR($B106:M106)),0,IRR($B106:M106)*100),4)</f>
        <v>54.734499999999997</v>
      </c>
      <c r="N108" s="283">
        <f>ROUND(IF(ISERROR(IRR($B106:N106)),0,IRR($B106:N106)*100),4)</f>
        <v>57.231699999999996</v>
      </c>
      <c r="O108" s="283">
        <f>ROUND(IF(ISERROR(IRR($B106:O106)),0,IRR($B106:O106)*100),4)</f>
        <v>59.228299999999997</v>
      </c>
      <c r="P108" s="283">
        <f>ROUND(IF(ISERROR(IRR($B106:P106)),0,IRR($B106:P106)*100),4)</f>
        <v>59.899900000000002</v>
      </c>
      <c r="Q108" s="283">
        <f>ROUND(IF(ISERROR(IRR($B106:Q106)),0,IRR($B106:Q106)*100),4)</f>
        <v>60.152999999999999</v>
      </c>
      <c r="R108" s="283">
        <f>ROUND(IF(ISERROR(IRR($B106:R106)),0,IRR($B106:R106)*100),4)</f>
        <v>60.306399999999996</v>
      </c>
      <c r="S108" s="283">
        <f>ROUND(IF(ISERROR(IRR($B106:S106)),0,IRR($B106:S106)*100),4)</f>
        <v>60.360799999999998</v>
      </c>
      <c r="T108" s="283">
        <f>ROUND(IF(ISERROR(IRR($B106:T106)),0,IRR($B106:T106)*100),4)</f>
        <v>60.369799999999998</v>
      </c>
      <c r="U108" s="283">
        <f>ROUND(IF(ISERROR(IRR($B106:U106)),0,IRR($B106:U106)*100),4)</f>
        <v>60.375500000000002</v>
      </c>
      <c r="V108" s="283">
        <f>ROUND(IF(ISERROR(IRR($B106:V106)),0,IRR($B106:V106)*100),4)</f>
        <v>60.379100000000001</v>
      </c>
      <c r="W108" s="283">
        <f>ROUND(IF(ISERROR(IRR($B106:W106)),0,IRR($B106:W106)*100),4)</f>
        <v>60.381300000000003</v>
      </c>
      <c r="X108" s="283">
        <f>ROUND(IF(ISERROR(IRR($B106:X106)),0,IRR($B106:X106)*100),4)</f>
        <v>60.3827</v>
      </c>
      <c r="Y108" s="283">
        <f>ROUND(IF(ISERROR(IRR($B106:Y106)),0,IRR($B106:Y106)*100),4)</f>
        <v>60.383499999999998</v>
      </c>
      <c r="Z108" s="283">
        <f>ROUND(IF(ISERROR(IRR($B106:Z106)),0,IRR($B106:Z106)*100),4)</f>
        <v>60.390799999999999</v>
      </c>
      <c r="AA108" s="283">
        <f>ROUND(IF(ISERROR(IRR($B106:AA106)),0,IRR($B106:AA106)*100),4)</f>
        <v>60.398400000000002</v>
      </c>
      <c r="AB108" s="283">
        <f>ROUND(IF(ISERROR(IRR($B106:AB106)),0,IRR($B106:AB106)*100),4)</f>
        <v>0</v>
      </c>
      <c r="AC108" s="283">
        <f>ROUND(IF(ISERROR(IRR($B106:AC106)),0,IRR($B106:AC106)*100),4)</f>
        <v>0</v>
      </c>
      <c r="AD108" s="283">
        <f>ROUND(IF(ISERROR(IRR($B106:AD106)),0,IRR($B106:AD106)*100),4)</f>
        <v>0</v>
      </c>
      <c r="AE108" s="283">
        <f>ROUND(IF(ISERROR(IRR($B106:AE106)),0,IRR($B106:AE106)*100),4)</f>
        <v>0</v>
      </c>
      <c r="AF108" s="283">
        <f>ROUND(IF(ISERROR(IRR($B106:AF106)),0,IRR($B106:AF106)*100),4)</f>
        <v>0</v>
      </c>
      <c r="AG108" s="283">
        <f>ROUND(IF(ISERROR(IRR($B106:AG106)),0,IRR($B106:AG106)*100),4)</f>
        <v>0</v>
      </c>
      <c r="AH108" s="283">
        <f>ROUND(IF(ISERROR(IRR($B106:AH106)),0,IRR($B106:AH106)*100),4)</f>
        <v>0</v>
      </c>
      <c r="AI108" s="283">
        <f>ROUND(IF(ISERROR(IRR($B106:AI106)),0,IRR($B106:AI106)*100),4)</f>
        <v>0</v>
      </c>
      <c r="AJ108" s="283">
        <f>ROUND(IF(ISERROR(IRR($B106:AJ106)),0,IRR($B106:AJ106)*100),4)</f>
        <v>0</v>
      </c>
      <c r="AK108" s="283">
        <f>ROUND(IF(ISERROR(IRR($B106:AK106)),0,IRR($B106:AK106)*100),4)</f>
        <v>0</v>
      </c>
      <c r="AL108" s="283">
        <f>ROUND(IF(ISERROR(IRR($B106:AL106)),0,IRR($B106:AL106)*100),4)</f>
        <v>0</v>
      </c>
      <c r="AM108" s="283">
        <f>ROUND(IF(ISERROR(IRR($B106:AM106)),0,IRR($B106:AM106)*100),4)</f>
        <v>0</v>
      </c>
      <c r="AN108" s="283">
        <f>ROUND(IF(ISERROR(IRR($B106:AN106)),0,IRR($B106:AN106)*100),4)</f>
        <v>0</v>
      </c>
      <c r="AO108" s="283">
        <f>ROUND(IF(ISERROR(IRR($B106:AO106)),0,IRR($B106:AO106)*100),4)</f>
        <v>0</v>
      </c>
      <c r="AP108" s="283">
        <f>ROUND(IF(ISERROR(IRR($B106:AP106)),0,IRR($B106:AP106)*100),4)</f>
        <v>0</v>
      </c>
    </row>
    <row r="109" spans="1:42" s="21" customFormat="1" x14ac:dyDescent="0.2">
      <c r="A109" s="191" t="s">
        <v>168</v>
      </c>
      <c r="B109" s="284">
        <f>MAX($B$108:B108)</f>
        <v>0</v>
      </c>
      <c r="C109" s="284">
        <f>MAX($B$108:C108)</f>
        <v>0</v>
      </c>
      <c r="D109" s="284">
        <f>MAX($B$108:D108)</f>
        <v>6.2694999999999999</v>
      </c>
      <c r="E109" s="284">
        <f>MAX($B$108:E108)</f>
        <v>34.956899999999997</v>
      </c>
      <c r="F109" s="284">
        <f>MAX($B$108:F108)</f>
        <v>45.063899999999997</v>
      </c>
      <c r="G109" s="284">
        <f>MAX($B$108:G108)</f>
        <v>50.466299999999997</v>
      </c>
      <c r="H109" s="284">
        <f>MAX($B$108:H108)</f>
        <v>52.689500000000002</v>
      </c>
      <c r="I109" s="284">
        <f>MAX($B$108:I108)</f>
        <v>53.529800000000002</v>
      </c>
      <c r="J109" s="284">
        <f>MAX($B$108:J108)</f>
        <v>54.056100000000001</v>
      </c>
      <c r="K109" s="284">
        <f>MAX($B$108:K108)</f>
        <v>54.388300000000001</v>
      </c>
      <c r="L109" s="284">
        <f>MAX($B$108:L108)</f>
        <v>54.599499999999999</v>
      </c>
      <c r="M109" s="284">
        <f>MAX($B$108:M108)</f>
        <v>54.734499999999997</v>
      </c>
      <c r="N109" s="284">
        <f>MAX($B$108:N108)</f>
        <v>57.231699999999996</v>
      </c>
      <c r="O109" s="284">
        <f>MAX($B$108:O108)</f>
        <v>59.228299999999997</v>
      </c>
      <c r="P109" s="284">
        <f>MAX($B$108:P108)</f>
        <v>59.899900000000002</v>
      </c>
      <c r="Q109" s="284">
        <f>MAX($B$108:Q108)</f>
        <v>60.152999999999999</v>
      </c>
      <c r="R109" s="284">
        <f>MAX($B$108:R108)</f>
        <v>60.306399999999996</v>
      </c>
      <c r="S109" s="284">
        <f>MAX($B$108:S108)</f>
        <v>60.360799999999998</v>
      </c>
      <c r="T109" s="284">
        <f>MAX($B$108:T108)</f>
        <v>60.369799999999998</v>
      </c>
      <c r="U109" s="284">
        <f>MAX($B$108:U108)</f>
        <v>60.375500000000002</v>
      </c>
      <c r="V109" s="284">
        <f>MAX($B$108:V108)</f>
        <v>60.379100000000001</v>
      </c>
      <c r="W109" s="284">
        <f>MAX($B$108:W108)</f>
        <v>60.381300000000003</v>
      </c>
      <c r="X109" s="284">
        <f>MAX($B$108:X108)</f>
        <v>60.3827</v>
      </c>
      <c r="Y109" s="284">
        <f>MAX($B$108:Y108)</f>
        <v>60.383499999999998</v>
      </c>
      <c r="Z109" s="284">
        <f>MAX($B$108:Z108)</f>
        <v>60.390799999999999</v>
      </c>
      <c r="AA109" s="284">
        <f>MAX($B$108:AA108)</f>
        <v>60.398400000000002</v>
      </c>
      <c r="AB109" s="284">
        <f>MAX($B$108:AB108)</f>
        <v>60.398400000000002</v>
      </c>
      <c r="AC109" s="284">
        <f>MAX($B$108:AC108)</f>
        <v>60.398400000000002</v>
      </c>
      <c r="AD109" s="284">
        <f>MAX($B$108:AD108)</f>
        <v>60.398400000000002</v>
      </c>
      <c r="AE109" s="284">
        <f>MAX($B$108:AE108)</f>
        <v>60.398400000000002</v>
      </c>
      <c r="AF109" s="284">
        <f>MAX($B$108:AF108)</f>
        <v>60.398400000000002</v>
      </c>
      <c r="AG109" s="284">
        <f>MAX($B$108:AG108)</f>
        <v>60.398400000000002</v>
      </c>
      <c r="AH109" s="284">
        <f>MAX($B$108:AH108)</f>
        <v>60.398400000000002</v>
      </c>
      <c r="AI109" s="284">
        <f>MAX($B$108:AI108)</f>
        <v>60.398400000000002</v>
      </c>
      <c r="AJ109" s="284">
        <f>MAX($B$108:AJ108)</f>
        <v>60.398400000000002</v>
      </c>
      <c r="AK109" s="284">
        <f>MAX($B$108:AK108)</f>
        <v>60.398400000000002</v>
      </c>
      <c r="AL109" s="284">
        <f>MAX($B$108:AL108)</f>
        <v>60.398400000000002</v>
      </c>
      <c r="AM109" s="284">
        <f>MAX($B$108:AM108)</f>
        <v>60.398400000000002</v>
      </c>
      <c r="AN109" s="284">
        <f>MAX($B$108:AN108)</f>
        <v>60.398400000000002</v>
      </c>
      <c r="AO109" s="284">
        <f>MAX($B$108:AO108)</f>
        <v>60.398400000000002</v>
      </c>
      <c r="AP109" s="284">
        <f>MAX($B$108:AP108)</f>
        <v>60.398400000000002</v>
      </c>
    </row>
    <row r="110" spans="1:42" x14ac:dyDescent="0.2">
      <c r="A110" s="188" t="s">
        <v>170</v>
      </c>
      <c r="B110" s="377">
        <f>B106</f>
        <v>-2058363.2063178048</v>
      </c>
      <c r="C110" s="377">
        <f>NPV(NominalDiscountRate/100,$C106:C106)+$B106</f>
        <v>-2877239.2048326815</v>
      </c>
      <c r="D110" s="377">
        <f>NPV(NominalDiscountRate/100,$C106:D106)+$B106</f>
        <v>-194238.31194251659</v>
      </c>
      <c r="E110" s="377">
        <f>NPV(NominalDiscountRate/100,$C106:E106)+$B106</f>
        <v>1481538.7326210975</v>
      </c>
      <c r="F110" s="377">
        <f>NPV(NominalDiscountRate/100,$C106:F106)+$B106</f>
        <v>2590696.6891525034</v>
      </c>
      <c r="G110" s="377">
        <f>NPV(NominalDiscountRate/100,$C106:G106)+$B106</f>
        <v>3594174.3192685926</v>
      </c>
      <c r="H110" s="377">
        <f>NPV(NominalDiscountRate/100,$C106:H106)+$B106</f>
        <v>4253487.5204791455</v>
      </c>
      <c r="I110" s="377">
        <f>NPV(NominalDiscountRate/100,$C106:I106)+$B106</f>
        <v>4626285.7113047177</v>
      </c>
      <c r="J110" s="377">
        <f>NPV(NominalDiscountRate/100,$C106:J106)+$B106</f>
        <v>4965075.0080237305</v>
      </c>
      <c r="K110" s="377">
        <f>NPV(NominalDiscountRate/100,$C106:K106)+$B106</f>
        <v>5272935.9841411291</v>
      </c>
      <c r="L110" s="377">
        <f>NPV(NominalDiscountRate/100,$C106:L106)+$B106</f>
        <v>5552643.380731524</v>
      </c>
      <c r="M110" s="377">
        <f>NPV(NominalDiscountRate/100,$C106:M106)+$B106</f>
        <v>5806768.3634653287</v>
      </c>
      <c r="N110" s="377">
        <f>NPV(NominalDiscountRate/100,$C106:N106)+$B106</f>
        <v>13520430.2614752</v>
      </c>
      <c r="O110" s="377">
        <f>NPV(NominalDiscountRate/100,$C106:O106)+$B106</f>
        <v>24955007.161886323</v>
      </c>
      <c r="P110" s="377">
        <f>NPV(NominalDiscountRate/100,$C106:P106)+$B106</f>
        <v>31455899.169156529</v>
      </c>
      <c r="Q110" s="377">
        <f>NPV(NominalDiscountRate/100,$C106:Q106)+$B106</f>
        <v>35216143.656923413</v>
      </c>
      <c r="R110" s="377">
        <f>NPV(NominalDiscountRate/100,$C106:R106)+$B106</f>
        <v>38610612.600212298</v>
      </c>
      <c r="S110" s="377">
        <f>NPV(NominalDiscountRate/100,$C106:S106)+$B106</f>
        <v>40380233.529757246</v>
      </c>
      <c r="T110" s="377">
        <f>NPV(NominalDiscountRate/100,$C106:T106)+$B106</f>
        <v>40811254.15045169</v>
      </c>
      <c r="U110" s="377">
        <f>NPV(NominalDiscountRate/100,$C106:U106)+$B106</f>
        <v>41202224.33976987</v>
      </c>
      <c r="V110" s="377">
        <f>NPV(NominalDiscountRate/100,$C106:V106)+$B106</f>
        <v>41556784.019821078</v>
      </c>
      <c r="W110" s="377">
        <f>NPV(NominalDiscountRate/100,$C106:W106)+$B106</f>
        <v>41876824.942093424</v>
      </c>
      <c r="X110" s="377">
        <f>NPV(NominalDiscountRate/100,$C106:X106)+$B106</f>
        <v>42165645.446297467</v>
      </c>
      <c r="Y110" s="377">
        <f>NPV(NominalDiscountRate/100,$C106:Y106)+$B106</f>
        <v>42427397.892668784</v>
      </c>
      <c r="Z110" s="377">
        <f>NPV(NominalDiscountRate/100,$C106:Z106)+$B106</f>
        <v>45632005.159367189</v>
      </c>
      <c r="AA110" s="377">
        <f>NPV(NominalDiscountRate/100,$C106:AA106)+$B106</f>
        <v>50452049.603329584</v>
      </c>
      <c r="AB110" s="377" t="e">
        <f>NPV(NominalDiscountRate/100,$C106:AB106)+$B106</f>
        <v>#VALUE!</v>
      </c>
      <c r="AC110" s="377" t="e">
        <f>NPV(NominalDiscountRate/100,$C106:AC106)+$B106</f>
        <v>#VALUE!</v>
      </c>
      <c r="AD110" s="377" t="e">
        <f>NPV(NominalDiscountRate/100,$C106:AD106)+$B106</f>
        <v>#VALUE!</v>
      </c>
      <c r="AE110" s="377" t="e">
        <f>NPV(NominalDiscountRate/100,$C106:AE106)+$B106</f>
        <v>#VALUE!</v>
      </c>
      <c r="AF110" s="377" t="e">
        <f>NPV(NominalDiscountRate/100,$C106:AF106)+$B106</f>
        <v>#VALUE!</v>
      </c>
      <c r="AG110" s="377" t="e">
        <f>NPV(NominalDiscountRate/100,$C106:AG106)+$B106</f>
        <v>#VALUE!</v>
      </c>
      <c r="AH110" s="377" t="e">
        <f>NPV(NominalDiscountRate/100,$C106:AH106)+$B106</f>
        <v>#VALUE!</v>
      </c>
      <c r="AI110" s="377" t="e">
        <f>NPV(NominalDiscountRate/100,$C106:AI106)+$B106</f>
        <v>#VALUE!</v>
      </c>
      <c r="AJ110" s="377" t="e">
        <f>NPV(NominalDiscountRate/100,$C106:AJ106)+$B106</f>
        <v>#VALUE!</v>
      </c>
      <c r="AK110" s="377" t="e">
        <f>NPV(NominalDiscountRate/100,$C106:AK106)+$B106</f>
        <v>#VALUE!</v>
      </c>
      <c r="AL110" s="377" t="e">
        <f>NPV(NominalDiscountRate/100,$C106:AL106)+$B106</f>
        <v>#VALUE!</v>
      </c>
      <c r="AM110" s="377" t="e">
        <f>NPV(NominalDiscountRate/100,$C106:AM106)+$B106</f>
        <v>#VALUE!</v>
      </c>
      <c r="AN110" s="377" t="e">
        <f>NPV(NominalDiscountRate/100,$C106:AN106)+$B106</f>
        <v>#VALUE!</v>
      </c>
      <c r="AO110" s="377" t="e">
        <f>NPV(NominalDiscountRate/100,$C106:AO106)+$B106</f>
        <v>#VALUE!</v>
      </c>
      <c r="AP110" s="377" t="e">
        <f>NPV(NominalDiscountRate/100,$C106:AP106)+$B106</f>
        <v>#VALUE!</v>
      </c>
    </row>
    <row r="111" spans="1:42" x14ac:dyDescent="0.2">
      <c r="A111" s="190"/>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row>
    <row r="112" spans="1:42" x14ac:dyDescent="0.2">
      <c r="A112" s="188" t="s">
        <v>167</v>
      </c>
      <c r="B112" s="380">
        <f>SUM(C112:AP112)</f>
        <v>12</v>
      </c>
      <c r="C112" s="372">
        <f>IF(AND(B109&lt;flip_target_percent,C109&gt;=flip_target_percent),C$2,0)</f>
        <v>0</v>
      </c>
      <c r="D112" s="372">
        <f t="shared" ref="D112:AP112" si="59">IF(AND(C109&lt;flip_target_percent,D109&gt;=flip_target_percent),D$2,0)</f>
        <v>0</v>
      </c>
      <c r="E112" s="372">
        <f t="shared" si="59"/>
        <v>0</v>
      </c>
      <c r="F112" s="372">
        <f t="shared" si="59"/>
        <v>0</v>
      </c>
      <c r="G112" s="372">
        <f t="shared" si="59"/>
        <v>0</v>
      </c>
      <c r="H112" s="372">
        <f t="shared" si="59"/>
        <v>0</v>
      </c>
      <c r="I112" s="372">
        <f t="shared" si="59"/>
        <v>0</v>
      </c>
      <c r="J112" s="372">
        <f t="shared" si="59"/>
        <v>0</v>
      </c>
      <c r="K112" s="372">
        <f t="shared" si="59"/>
        <v>0</v>
      </c>
      <c r="L112" s="372">
        <f t="shared" si="59"/>
        <v>0</v>
      </c>
      <c r="M112" s="372">
        <f t="shared" si="59"/>
        <v>0</v>
      </c>
      <c r="N112" s="372">
        <f t="shared" si="59"/>
        <v>12</v>
      </c>
      <c r="O112" s="372">
        <f t="shared" si="59"/>
        <v>0</v>
      </c>
      <c r="P112" s="372">
        <f t="shared" si="59"/>
        <v>0</v>
      </c>
      <c r="Q112" s="372">
        <f t="shared" si="59"/>
        <v>0</v>
      </c>
      <c r="R112" s="372">
        <f t="shared" si="59"/>
        <v>0</v>
      </c>
      <c r="S112" s="372">
        <f t="shared" si="59"/>
        <v>0</v>
      </c>
      <c r="T112" s="372">
        <f t="shared" si="59"/>
        <v>0</v>
      </c>
      <c r="U112" s="372">
        <f t="shared" si="59"/>
        <v>0</v>
      </c>
      <c r="V112" s="372">
        <f t="shared" si="59"/>
        <v>0</v>
      </c>
      <c r="W112" s="372">
        <f t="shared" si="59"/>
        <v>0</v>
      </c>
      <c r="X112" s="372">
        <f t="shared" si="59"/>
        <v>0</v>
      </c>
      <c r="Y112" s="372">
        <f t="shared" si="59"/>
        <v>0</v>
      </c>
      <c r="Z112" s="372">
        <f t="shared" si="59"/>
        <v>0</v>
      </c>
      <c r="AA112" s="372">
        <f t="shared" si="59"/>
        <v>0</v>
      </c>
      <c r="AB112" s="372">
        <f t="shared" si="59"/>
        <v>0</v>
      </c>
      <c r="AC112" s="372">
        <f t="shared" si="59"/>
        <v>0</v>
      </c>
      <c r="AD112" s="372">
        <f t="shared" si="59"/>
        <v>0</v>
      </c>
      <c r="AE112" s="372">
        <f t="shared" si="59"/>
        <v>0</v>
      </c>
      <c r="AF112" s="372">
        <f t="shared" si="59"/>
        <v>0</v>
      </c>
      <c r="AG112" s="372">
        <f t="shared" si="59"/>
        <v>0</v>
      </c>
      <c r="AH112" s="372">
        <f t="shared" si="59"/>
        <v>0</v>
      </c>
      <c r="AI112" s="372">
        <f t="shared" si="59"/>
        <v>0</v>
      </c>
      <c r="AJ112" s="372">
        <f t="shared" si="59"/>
        <v>0</v>
      </c>
      <c r="AK112" s="372">
        <f t="shared" si="59"/>
        <v>0</v>
      </c>
      <c r="AL112" s="372">
        <f t="shared" si="59"/>
        <v>0</v>
      </c>
      <c r="AM112" s="372">
        <f t="shared" si="59"/>
        <v>0</v>
      </c>
      <c r="AN112" s="372">
        <f t="shared" si="59"/>
        <v>0</v>
      </c>
      <c r="AO112" s="372">
        <f t="shared" si="59"/>
        <v>0</v>
      </c>
      <c r="AP112" s="372">
        <f t="shared" si="59"/>
        <v>0</v>
      </c>
    </row>
    <row r="113" spans="1:42" s="194" customFormat="1" x14ac:dyDescent="0.2">
      <c r="A113" s="7"/>
      <c r="B113" s="378"/>
    </row>
    <row r="114" spans="1:42" s="194" customFormat="1" x14ac:dyDescent="0.2">
      <c r="A114" s="30" t="s">
        <v>182</v>
      </c>
      <c r="G114" s="378"/>
      <c r="H114" s="378"/>
      <c r="I114" s="378"/>
      <c r="J114" s="378"/>
      <c r="K114" s="378"/>
      <c r="L114" s="378"/>
      <c r="M114" s="378"/>
      <c r="N114" s="378"/>
      <c r="O114" s="378"/>
      <c r="P114" s="378"/>
      <c r="Q114" s="378"/>
      <c r="R114" s="378"/>
      <c r="S114" s="378"/>
      <c r="T114" s="378"/>
      <c r="U114" s="378"/>
      <c r="V114" s="378"/>
      <c r="W114" s="378"/>
      <c r="X114" s="378"/>
      <c r="Y114" s="378"/>
      <c r="Z114" s="378"/>
      <c r="AA114" s="378"/>
      <c r="AB114" s="378"/>
      <c r="AC114" s="378"/>
      <c r="AD114" s="378"/>
      <c r="AE114" s="378"/>
      <c r="AF114" s="378"/>
      <c r="AG114" s="378"/>
      <c r="AH114" s="378"/>
      <c r="AI114" s="378"/>
      <c r="AJ114" s="378"/>
      <c r="AK114" s="378"/>
      <c r="AL114" s="378"/>
      <c r="AM114" s="378"/>
      <c r="AN114" s="378"/>
      <c r="AO114" s="378"/>
      <c r="AP114" s="378"/>
    </row>
    <row r="115" spans="1:42" x14ac:dyDescent="0.2">
      <c r="A115" s="31" t="s">
        <v>183</v>
      </c>
      <c r="B115" s="381">
        <f t="array" ref="B115">SUM(IF(ISNUMBER(C115:AP115),C115:AP115))</f>
        <v>1</v>
      </c>
      <c r="C115" s="382">
        <f>IF(C106&lt;0,1,0)</f>
        <v>1</v>
      </c>
      <c r="D115" s="382">
        <f t="shared" ref="D115:L115" si="60">IF(D106&lt;0,1,0)</f>
        <v>0</v>
      </c>
      <c r="E115" s="382">
        <f t="shared" si="60"/>
        <v>0</v>
      </c>
      <c r="F115" s="382">
        <f t="shared" si="60"/>
        <v>0</v>
      </c>
      <c r="G115" s="382">
        <f t="shared" si="60"/>
        <v>0</v>
      </c>
      <c r="H115" s="382">
        <f t="shared" si="60"/>
        <v>0</v>
      </c>
      <c r="I115" s="382">
        <f t="shared" si="60"/>
        <v>0</v>
      </c>
      <c r="J115" s="382">
        <f t="shared" si="60"/>
        <v>0</v>
      </c>
      <c r="K115" s="382">
        <f t="shared" si="60"/>
        <v>0</v>
      </c>
      <c r="L115" s="382">
        <f t="shared" si="60"/>
        <v>0</v>
      </c>
      <c r="M115" s="382">
        <f t="shared" ref="M115:AP115" si="61">IF(M106&lt;0,1,0)</f>
        <v>0</v>
      </c>
      <c r="N115" s="382">
        <f t="shared" si="61"/>
        <v>0</v>
      </c>
      <c r="O115" s="382">
        <f t="shared" si="61"/>
        <v>0</v>
      </c>
      <c r="P115" s="382">
        <f t="shared" si="61"/>
        <v>0</v>
      </c>
      <c r="Q115" s="382">
        <f t="shared" si="61"/>
        <v>0</v>
      </c>
      <c r="R115" s="382">
        <f t="shared" si="61"/>
        <v>0</v>
      </c>
      <c r="S115" s="382">
        <f t="shared" si="61"/>
        <v>0</v>
      </c>
      <c r="T115" s="382">
        <f t="shared" si="61"/>
        <v>0</v>
      </c>
      <c r="U115" s="382">
        <f t="shared" si="61"/>
        <v>0</v>
      </c>
      <c r="V115" s="382">
        <f t="shared" si="61"/>
        <v>0</v>
      </c>
      <c r="W115" s="382">
        <f t="shared" si="61"/>
        <v>0</v>
      </c>
      <c r="X115" s="382">
        <f t="shared" si="61"/>
        <v>0</v>
      </c>
      <c r="Y115" s="382">
        <f t="shared" si="61"/>
        <v>0</v>
      </c>
      <c r="Z115" s="382">
        <f t="shared" si="61"/>
        <v>0</v>
      </c>
      <c r="AA115" s="382">
        <f t="shared" si="61"/>
        <v>0</v>
      </c>
      <c r="AB115" s="382" t="e">
        <f t="shared" si="61"/>
        <v>#VALUE!</v>
      </c>
      <c r="AC115" s="382" t="e">
        <f t="shared" si="61"/>
        <v>#VALUE!</v>
      </c>
      <c r="AD115" s="382" t="e">
        <f t="shared" si="61"/>
        <v>#VALUE!</v>
      </c>
      <c r="AE115" s="382" t="e">
        <f t="shared" si="61"/>
        <v>#VALUE!</v>
      </c>
      <c r="AF115" s="382" t="e">
        <f t="shared" si="61"/>
        <v>#VALUE!</v>
      </c>
      <c r="AG115" s="382" t="e">
        <f t="shared" si="61"/>
        <v>#VALUE!</v>
      </c>
      <c r="AH115" s="382" t="e">
        <f t="shared" si="61"/>
        <v>#VALUE!</v>
      </c>
      <c r="AI115" s="382" t="e">
        <f t="shared" si="61"/>
        <v>#VALUE!</v>
      </c>
      <c r="AJ115" s="382" t="e">
        <f t="shared" si="61"/>
        <v>#VALUE!</v>
      </c>
      <c r="AK115" s="382" t="e">
        <f t="shared" si="61"/>
        <v>#VALUE!</v>
      </c>
      <c r="AL115" s="382" t="e">
        <f t="shared" si="61"/>
        <v>#VALUE!</v>
      </c>
      <c r="AM115" s="382" t="e">
        <f t="shared" si="61"/>
        <v>#VALUE!</v>
      </c>
      <c r="AN115" s="382" t="e">
        <f t="shared" si="61"/>
        <v>#VALUE!</v>
      </c>
      <c r="AO115" s="382" t="e">
        <f t="shared" si="61"/>
        <v>#VALUE!</v>
      </c>
      <c r="AP115" s="382" t="e">
        <f t="shared" si="61"/>
        <v>#VALUE!</v>
      </c>
    </row>
    <row r="116" spans="1:42" x14ac:dyDescent="0.2">
      <c r="A116" s="31" t="s">
        <v>184</v>
      </c>
      <c r="B116" s="383">
        <f t="array" ref="B116">IF(B115&gt;0,SUM(IF(ISNUMBER(C116:AP116),C116:AP116)),"N/A")</f>
        <v>0</v>
      </c>
      <c r="C116" s="382">
        <f>IF(AND(B106&gt;=0,C106&lt;0),C$2,0)</f>
        <v>0</v>
      </c>
      <c r="D116" s="382">
        <f t="shared" ref="D116:L116" si="62">IF(AND(C106&gt;=0,D106&lt;0),D$2,0)</f>
        <v>0</v>
      </c>
      <c r="E116" s="382">
        <f t="shared" si="62"/>
        <v>0</v>
      </c>
      <c r="F116" s="382">
        <f t="shared" si="62"/>
        <v>0</v>
      </c>
      <c r="G116" s="382">
        <f t="shared" si="62"/>
        <v>0</v>
      </c>
      <c r="H116" s="382">
        <f t="shared" si="62"/>
        <v>0</v>
      </c>
      <c r="I116" s="382">
        <f t="shared" si="62"/>
        <v>0</v>
      </c>
      <c r="J116" s="382">
        <f t="shared" si="62"/>
        <v>0</v>
      </c>
      <c r="K116" s="382">
        <f t="shared" si="62"/>
        <v>0</v>
      </c>
      <c r="L116" s="382">
        <f t="shared" si="62"/>
        <v>0</v>
      </c>
      <c r="M116" s="382">
        <f t="shared" ref="M116:AP116" si="63">IF(AND(L106&gt;=0,M106&lt;0),M$2,0)</f>
        <v>0</v>
      </c>
      <c r="N116" s="382">
        <f t="shared" si="63"/>
        <v>0</v>
      </c>
      <c r="O116" s="382">
        <f t="shared" si="63"/>
        <v>0</v>
      </c>
      <c r="P116" s="382">
        <f t="shared" si="63"/>
        <v>0</v>
      </c>
      <c r="Q116" s="382">
        <f t="shared" si="63"/>
        <v>0</v>
      </c>
      <c r="R116" s="382">
        <f t="shared" si="63"/>
        <v>0</v>
      </c>
      <c r="S116" s="382">
        <f t="shared" si="63"/>
        <v>0</v>
      </c>
      <c r="T116" s="382">
        <f t="shared" si="63"/>
        <v>0</v>
      </c>
      <c r="U116" s="382">
        <f t="shared" si="63"/>
        <v>0</v>
      </c>
      <c r="V116" s="382">
        <f t="shared" si="63"/>
        <v>0</v>
      </c>
      <c r="W116" s="382">
        <f t="shared" si="63"/>
        <v>0</v>
      </c>
      <c r="X116" s="382">
        <f t="shared" si="63"/>
        <v>0</v>
      </c>
      <c r="Y116" s="382">
        <f t="shared" si="63"/>
        <v>0</v>
      </c>
      <c r="Z116" s="382">
        <f t="shared" si="63"/>
        <v>0</v>
      </c>
      <c r="AA116" s="382">
        <f t="shared" si="63"/>
        <v>0</v>
      </c>
      <c r="AB116" s="382" t="e">
        <f t="shared" si="63"/>
        <v>#VALUE!</v>
      </c>
      <c r="AC116" s="382" t="e">
        <f t="shared" si="63"/>
        <v>#VALUE!</v>
      </c>
      <c r="AD116" s="382" t="e">
        <f t="shared" si="63"/>
        <v>#VALUE!</v>
      </c>
      <c r="AE116" s="382" t="e">
        <f t="shared" si="63"/>
        <v>#VALUE!</v>
      </c>
      <c r="AF116" s="382" t="e">
        <f t="shared" si="63"/>
        <v>#VALUE!</v>
      </c>
      <c r="AG116" s="382" t="e">
        <f t="shared" si="63"/>
        <v>#VALUE!</v>
      </c>
      <c r="AH116" s="382" t="e">
        <f t="shared" si="63"/>
        <v>#VALUE!</v>
      </c>
      <c r="AI116" s="382" t="e">
        <f t="shared" si="63"/>
        <v>#VALUE!</v>
      </c>
      <c r="AJ116" s="382" t="e">
        <f t="shared" si="63"/>
        <v>#VALUE!</v>
      </c>
      <c r="AK116" s="382" t="e">
        <f t="shared" si="63"/>
        <v>#VALUE!</v>
      </c>
      <c r="AL116" s="382" t="e">
        <f t="shared" si="63"/>
        <v>#VALUE!</v>
      </c>
      <c r="AM116" s="382" t="e">
        <f t="shared" si="63"/>
        <v>#VALUE!</v>
      </c>
      <c r="AN116" s="382" t="e">
        <f t="shared" si="63"/>
        <v>#VALUE!</v>
      </c>
      <c r="AO116" s="382" t="e">
        <f t="shared" si="63"/>
        <v>#VALUE!</v>
      </c>
      <c r="AP116" s="382" t="e">
        <f t="shared" si="63"/>
        <v>#VALUE!</v>
      </c>
    </row>
    <row r="117" spans="1:42" s="194" customFormat="1" x14ac:dyDescent="0.2">
      <c r="A117" s="7"/>
      <c r="B117" s="378"/>
    </row>
    <row r="118" spans="1:42" s="194" customFormat="1" x14ac:dyDescent="0.2">
      <c r="A118" s="30" t="s">
        <v>135</v>
      </c>
      <c r="G118" s="378"/>
      <c r="H118" s="378"/>
      <c r="I118" s="378"/>
      <c r="J118" s="378"/>
      <c r="K118" s="378"/>
      <c r="L118" s="378"/>
      <c r="M118" s="378"/>
      <c r="N118" s="378"/>
      <c r="O118" s="378"/>
      <c r="P118" s="378"/>
      <c r="Q118" s="378"/>
      <c r="R118" s="378"/>
      <c r="S118" s="378"/>
      <c r="T118" s="378"/>
      <c r="U118" s="378"/>
      <c r="V118" s="378"/>
      <c r="W118" s="378"/>
      <c r="X118" s="378"/>
      <c r="Y118" s="378"/>
      <c r="Z118" s="378"/>
      <c r="AA118" s="378"/>
      <c r="AB118" s="378"/>
      <c r="AC118" s="378"/>
      <c r="AD118" s="378"/>
      <c r="AE118" s="378"/>
      <c r="AF118" s="378"/>
      <c r="AG118" s="378"/>
      <c r="AH118" s="378"/>
      <c r="AI118" s="378"/>
      <c r="AJ118" s="378"/>
      <c r="AK118" s="378"/>
      <c r="AL118" s="378"/>
      <c r="AM118" s="378"/>
      <c r="AN118" s="378"/>
      <c r="AO118" s="378"/>
      <c r="AP118" s="378"/>
    </row>
    <row r="119" spans="1:42" x14ac:dyDescent="0.2">
      <c r="A119" s="31" t="s">
        <v>174</v>
      </c>
      <c r="B119" s="365">
        <f t="array" ref="B119">SUM(IF(ISNUMBER(C119:AP119),C119:AP119))</f>
        <v>145949500.60401389</v>
      </c>
      <c r="C119" s="359">
        <f t="shared" ref="C119:AP119" si="64">C13</f>
        <v>5498622.1200000001</v>
      </c>
      <c r="D119" s="359">
        <f t="shared" si="64"/>
        <v>5525840.2994940011</v>
      </c>
      <c r="E119" s="359">
        <f t="shared" si="64"/>
        <v>5553193.2089764951</v>
      </c>
      <c r="F119" s="359">
        <f t="shared" si="64"/>
        <v>5580681.5153609291</v>
      </c>
      <c r="G119" s="359">
        <f t="shared" si="64"/>
        <v>5608305.8888619663</v>
      </c>
      <c r="H119" s="359">
        <f t="shared" si="64"/>
        <v>5636067.003011832</v>
      </c>
      <c r="I119" s="359">
        <f t="shared" si="64"/>
        <v>5663965.5346767427</v>
      </c>
      <c r="J119" s="359">
        <f t="shared" si="64"/>
        <v>5692002.1640733909</v>
      </c>
      <c r="K119" s="359">
        <f t="shared" si="64"/>
        <v>5720177.5747855557</v>
      </c>
      <c r="L119" s="359">
        <f t="shared" si="64"/>
        <v>5748492.4537807442</v>
      </c>
      <c r="M119" s="359">
        <f t="shared" si="64"/>
        <v>5776947.4914269587</v>
      </c>
      <c r="N119" s="359">
        <f t="shared" si="64"/>
        <v>5805543.381509521</v>
      </c>
      <c r="O119" s="359">
        <f t="shared" si="64"/>
        <v>5834280.821247994</v>
      </c>
      <c r="P119" s="359">
        <f t="shared" si="64"/>
        <v>5863160.5113131711</v>
      </c>
      <c r="Q119" s="359">
        <f t="shared" si="64"/>
        <v>5892183.1558441725</v>
      </c>
      <c r="R119" s="359">
        <f t="shared" si="64"/>
        <v>5921349.4624656001</v>
      </c>
      <c r="S119" s="359">
        <f t="shared" si="64"/>
        <v>5950660.142304807</v>
      </c>
      <c r="T119" s="359">
        <f t="shared" si="64"/>
        <v>5980115.9100092147</v>
      </c>
      <c r="U119" s="359">
        <f t="shared" si="64"/>
        <v>6009717.48376376</v>
      </c>
      <c r="V119" s="359">
        <f t="shared" si="64"/>
        <v>6039465.5853083897</v>
      </c>
      <c r="W119" s="359">
        <f t="shared" si="64"/>
        <v>6069360.9399556676</v>
      </c>
      <c r="X119" s="359">
        <f t="shared" si="64"/>
        <v>6099404.2766084485</v>
      </c>
      <c r="Y119" s="359">
        <f t="shared" si="64"/>
        <v>6129596.3277776614</v>
      </c>
      <c r="Z119" s="359">
        <f t="shared" si="64"/>
        <v>6159937.8296001591</v>
      </c>
      <c r="AA119" s="359">
        <f t="shared" si="64"/>
        <v>6190429.5218566814</v>
      </c>
      <c r="AB119" s="359" t="e">
        <f t="shared" si="64"/>
        <v>#VALUE!</v>
      </c>
      <c r="AC119" s="359" t="e">
        <f t="shared" si="64"/>
        <v>#VALUE!</v>
      </c>
      <c r="AD119" s="359" t="e">
        <f t="shared" si="64"/>
        <v>#VALUE!</v>
      </c>
      <c r="AE119" s="359" t="e">
        <f t="shared" si="64"/>
        <v>#VALUE!</v>
      </c>
      <c r="AF119" s="359" t="e">
        <f t="shared" si="64"/>
        <v>#VALUE!</v>
      </c>
      <c r="AG119" s="359" t="e">
        <f t="shared" si="64"/>
        <v>#VALUE!</v>
      </c>
      <c r="AH119" s="359" t="e">
        <f t="shared" si="64"/>
        <v>#VALUE!</v>
      </c>
      <c r="AI119" s="359" t="e">
        <f t="shared" si="64"/>
        <v>#VALUE!</v>
      </c>
      <c r="AJ119" s="359" t="e">
        <f t="shared" si="64"/>
        <v>#VALUE!</v>
      </c>
      <c r="AK119" s="359" t="e">
        <f t="shared" si="64"/>
        <v>#VALUE!</v>
      </c>
      <c r="AL119" s="359" t="e">
        <f t="shared" si="64"/>
        <v>#VALUE!</v>
      </c>
      <c r="AM119" s="359" t="e">
        <f t="shared" si="64"/>
        <v>#VALUE!</v>
      </c>
      <c r="AN119" s="359" t="e">
        <f t="shared" si="64"/>
        <v>#VALUE!</v>
      </c>
      <c r="AO119" s="359" t="e">
        <f t="shared" si="64"/>
        <v>#VALUE!</v>
      </c>
      <c r="AP119" s="359" t="e">
        <f t="shared" si="64"/>
        <v>#VALUE!</v>
      </c>
    </row>
    <row r="120" spans="1:42" x14ac:dyDescent="0.2">
      <c r="A120" s="31" t="s">
        <v>60</v>
      </c>
      <c r="B120" s="365">
        <f>SUM(C120:AP120)</f>
        <v>761913385.18817294</v>
      </c>
      <c r="C120" s="359">
        <f t="shared" ref="C120:AP120" si="65">C6</f>
        <v>32344836</v>
      </c>
      <c r="D120" s="359">
        <f t="shared" si="65"/>
        <v>32183111.82</v>
      </c>
      <c r="E120" s="359">
        <f t="shared" si="65"/>
        <v>32022196.260900002</v>
      </c>
      <c r="F120" s="359">
        <f t="shared" si="65"/>
        <v>31862085.279595502</v>
      </c>
      <c r="G120" s="359">
        <f t="shared" si="65"/>
        <v>31702774.853197526</v>
      </c>
      <c r="H120" s="359">
        <f t="shared" si="65"/>
        <v>31544260.978931539</v>
      </c>
      <c r="I120" s="359">
        <f t="shared" si="65"/>
        <v>31386539.674036879</v>
      </c>
      <c r="J120" s="359">
        <f t="shared" si="65"/>
        <v>31229606.975666694</v>
      </c>
      <c r="K120" s="359">
        <f t="shared" si="65"/>
        <v>31073458.940788362</v>
      </c>
      <c r="L120" s="359">
        <f t="shared" si="65"/>
        <v>30918091.64608442</v>
      </c>
      <c r="M120" s="359">
        <f t="shared" si="65"/>
        <v>30763501.187853999</v>
      </c>
      <c r="N120" s="359">
        <f t="shared" si="65"/>
        <v>30609683.681914728</v>
      </c>
      <c r="O120" s="359">
        <f t="shared" si="65"/>
        <v>30456635.263505157</v>
      </c>
      <c r="P120" s="359">
        <f t="shared" si="65"/>
        <v>30304352.087187633</v>
      </c>
      <c r="Q120" s="359">
        <f t="shared" si="65"/>
        <v>30152830.326751694</v>
      </c>
      <c r="R120" s="359">
        <f t="shared" si="65"/>
        <v>30002066.175117936</v>
      </c>
      <c r="S120" s="359">
        <f t="shared" si="65"/>
        <v>29852055.844242346</v>
      </c>
      <c r="T120" s="359">
        <f t="shared" si="65"/>
        <v>29702795.565021131</v>
      </c>
      <c r="U120" s="359">
        <f t="shared" si="65"/>
        <v>29554281.587196026</v>
      </c>
      <c r="V120" s="359">
        <f t="shared" si="65"/>
        <v>29406510.179260045</v>
      </c>
      <c r="W120" s="359">
        <f t="shared" si="65"/>
        <v>29259477.628363747</v>
      </c>
      <c r="X120" s="359">
        <f t="shared" si="65"/>
        <v>29113180.240221929</v>
      </c>
      <c r="Y120" s="359">
        <f t="shared" si="65"/>
        <v>28967614.339020818</v>
      </c>
      <c r="Z120" s="359">
        <f t="shared" si="65"/>
        <v>28822776.267325714</v>
      </c>
      <c r="AA120" s="359">
        <f t="shared" si="65"/>
        <v>28678662.385989085</v>
      </c>
      <c r="AB120" s="359">
        <f t="shared" si="65"/>
        <v>0</v>
      </c>
      <c r="AC120" s="359">
        <f t="shared" si="65"/>
        <v>0</v>
      </c>
      <c r="AD120" s="359">
        <f t="shared" si="65"/>
        <v>0</v>
      </c>
      <c r="AE120" s="359">
        <f t="shared" si="65"/>
        <v>0</v>
      </c>
      <c r="AF120" s="359">
        <f t="shared" si="65"/>
        <v>0</v>
      </c>
      <c r="AG120" s="359">
        <f t="shared" si="65"/>
        <v>0</v>
      </c>
      <c r="AH120" s="359">
        <f t="shared" si="65"/>
        <v>0</v>
      </c>
      <c r="AI120" s="359">
        <f t="shared" si="65"/>
        <v>0</v>
      </c>
      <c r="AJ120" s="359">
        <f t="shared" si="65"/>
        <v>0</v>
      </c>
      <c r="AK120" s="359">
        <f t="shared" si="65"/>
        <v>0</v>
      </c>
      <c r="AL120" s="359">
        <f t="shared" si="65"/>
        <v>0</v>
      </c>
      <c r="AM120" s="359">
        <f t="shared" si="65"/>
        <v>0</v>
      </c>
      <c r="AN120" s="359">
        <f t="shared" si="65"/>
        <v>0</v>
      </c>
      <c r="AO120" s="359">
        <f t="shared" si="65"/>
        <v>0</v>
      </c>
      <c r="AP120" s="359">
        <f t="shared" si="65"/>
        <v>0</v>
      </c>
    </row>
    <row r="121" spans="1:42" s="194" customFormat="1" x14ac:dyDescent="0.2">
      <c r="A121" s="7"/>
      <c r="G121" s="378"/>
      <c r="H121" s="378"/>
      <c r="I121" s="378"/>
      <c r="J121" s="378"/>
      <c r="K121" s="378"/>
      <c r="L121" s="378"/>
      <c r="M121" s="378"/>
      <c r="N121" s="378"/>
      <c r="O121" s="378"/>
      <c r="P121" s="378"/>
      <c r="Q121" s="378"/>
      <c r="R121" s="378"/>
      <c r="S121" s="378"/>
      <c r="T121" s="378"/>
      <c r="U121" s="378"/>
      <c r="V121" s="378"/>
      <c r="W121" s="378"/>
      <c r="X121" s="378"/>
      <c r="Y121" s="378"/>
      <c r="Z121" s="378"/>
      <c r="AA121" s="378"/>
      <c r="AB121" s="378"/>
      <c r="AC121" s="378"/>
      <c r="AD121" s="378"/>
      <c r="AE121" s="378"/>
      <c r="AF121" s="378"/>
      <c r="AG121" s="378"/>
      <c r="AH121" s="378"/>
      <c r="AI121" s="378"/>
      <c r="AJ121" s="378"/>
      <c r="AK121" s="378"/>
      <c r="AL121" s="378"/>
      <c r="AM121" s="378"/>
      <c r="AN121" s="378"/>
      <c r="AO121" s="378"/>
      <c r="AP121" s="378"/>
    </row>
    <row r="122" spans="1:42" s="194" customFormat="1" x14ac:dyDescent="0.2">
      <c r="A122" s="7" t="s">
        <v>172</v>
      </c>
      <c r="B122" s="365">
        <f>NPV(NominalDiscountRate/100,IF(ISNUMBER(C119:AP119),C119:AP119))</f>
        <v>0</v>
      </c>
      <c r="G122" s="378"/>
      <c r="H122" s="378"/>
      <c r="I122" s="378"/>
      <c r="J122" s="378"/>
      <c r="K122" s="378"/>
      <c r="L122" s="378"/>
      <c r="M122" s="378"/>
      <c r="N122" s="378"/>
      <c r="O122" s="378"/>
      <c r="P122" s="378"/>
      <c r="Q122" s="378"/>
      <c r="R122" s="378"/>
      <c r="S122" s="378"/>
      <c r="T122" s="378"/>
      <c r="U122" s="378"/>
      <c r="V122" s="378"/>
      <c r="W122" s="378"/>
      <c r="X122" s="378"/>
      <c r="Y122" s="378"/>
      <c r="Z122" s="378"/>
      <c r="AA122" s="378"/>
      <c r="AB122" s="378"/>
      <c r="AC122" s="378"/>
      <c r="AD122" s="378"/>
      <c r="AE122" s="378"/>
      <c r="AF122" s="378"/>
      <c r="AG122" s="378"/>
      <c r="AH122" s="378"/>
      <c r="AI122" s="378"/>
      <c r="AJ122" s="378"/>
      <c r="AK122" s="378"/>
      <c r="AL122" s="378"/>
      <c r="AM122" s="378"/>
      <c r="AN122" s="378"/>
      <c r="AO122" s="378"/>
      <c r="AP122" s="378"/>
    </row>
    <row r="123" spans="1:42" s="194" customFormat="1" x14ac:dyDescent="0.2">
      <c r="A123" s="7" t="s">
        <v>173</v>
      </c>
      <c r="B123" s="365">
        <f>NPV(NominalDiscountRate/100,C120:AP120)</f>
        <v>268726595.4935537</v>
      </c>
      <c r="G123" s="378"/>
      <c r="H123" s="378"/>
      <c r="I123" s="378"/>
      <c r="J123" s="378"/>
      <c r="K123" s="378"/>
      <c r="L123" s="378"/>
      <c r="M123" s="378"/>
      <c r="N123" s="378"/>
      <c r="O123" s="378"/>
      <c r="P123" s="378"/>
      <c r="Q123" s="378"/>
      <c r="R123" s="378"/>
      <c r="S123" s="378"/>
      <c r="T123" s="378"/>
      <c r="U123" s="378"/>
      <c r="V123" s="378"/>
      <c r="W123" s="378"/>
      <c r="X123" s="378"/>
      <c r="Y123" s="378"/>
      <c r="Z123" s="378"/>
      <c r="AA123" s="378"/>
      <c r="AB123" s="378"/>
      <c r="AC123" s="378"/>
      <c r="AD123" s="378"/>
      <c r="AE123" s="378"/>
      <c r="AF123" s="378"/>
      <c r="AG123" s="378"/>
      <c r="AH123" s="378"/>
      <c r="AI123" s="378"/>
      <c r="AJ123" s="378"/>
      <c r="AK123" s="378"/>
      <c r="AL123" s="378"/>
      <c r="AM123" s="378"/>
      <c r="AN123" s="378"/>
      <c r="AO123" s="378"/>
      <c r="AP123" s="378"/>
    </row>
    <row r="124" spans="1:42" s="194" customFormat="1" x14ac:dyDescent="0.2">
      <c r="A124" s="7" t="s">
        <v>164</v>
      </c>
      <c r="B124" s="365">
        <f>B122/B123</f>
        <v>0</v>
      </c>
      <c r="G124" s="378"/>
      <c r="H124" s="378"/>
      <c r="I124" s="378"/>
      <c r="J124" s="378"/>
      <c r="K124" s="378"/>
      <c r="L124" s="378"/>
      <c r="M124" s="378"/>
      <c r="N124" s="378"/>
      <c r="O124" s="378"/>
      <c r="P124" s="378"/>
      <c r="Q124" s="378"/>
      <c r="R124" s="378"/>
      <c r="S124" s="378"/>
      <c r="T124" s="378"/>
      <c r="U124" s="378"/>
      <c r="V124" s="378"/>
      <c r="W124" s="378"/>
      <c r="X124" s="378"/>
      <c r="Y124" s="378"/>
      <c r="Z124" s="378"/>
      <c r="AA124" s="378"/>
      <c r="AB124" s="378"/>
      <c r="AC124" s="378"/>
      <c r="AD124" s="378"/>
      <c r="AE124" s="378"/>
      <c r="AF124" s="378"/>
      <c r="AG124" s="378"/>
      <c r="AH124" s="378"/>
      <c r="AI124" s="378"/>
      <c r="AJ124" s="378"/>
      <c r="AK124" s="378"/>
      <c r="AL124" s="378"/>
      <c r="AM124" s="378"/>
      <c r="AN124" s="378"/>
      <c r="AO124" s="378"/>
      <c r="AP124" s="378"/>
    </row>
    <row r="125" spans="1:42" s="194" customFormat="1" x14ac:dyDescent="0.2">
      <c r="A125" s="7"/>
      <c r="G125" s="378"/>
      <c r="H125" s="378"/>
      <c r="I125" s="378"/>
      <c r="J125" s="378"/>
      <c r="K125" s="378"/>
      <c r="L125" s="378"/>
      <c r="M125" s="378"/>
      <c r="N125" s="378"/>
      <c r="O125" s="378"/>
      <c r="P125" s="378"/>
      <c r="Q125" s="378"/>
      <c r="R125" s="378"/>
      <c r="S125" s="378"/>
      <c r="T125" s="378"/>
      <c r="U125" s="378"/>
      <c r="V125" s="378"/>
      <c r="W125" s="378"/>
      <c r="X125" s="378"/>
      <c r="Y125" s="378"/>
      <c r="Z125" s="378"/>
      <c r="AA125" s="378"/>
      <c r="AB125" s="378"/>
      <c r="AC125" s="378"/>
      <c r="AD125" s="378"/>
      <c r="AE125" s="378"/>
      <c r="AF125" s="378"/>
      <c r="AG125" s="378"/>
      <c r="AH125" s="378"/>
      <c r="AI125" s="378"/>
      <c r="AJ125" s="378"/>
      <c r="AK125" s="378"/>
      <c r="AL125" s="378"/>
      <c r="AM125" s="378"/>
      <c r="AN125" s="378"/>
      <c r="AO125" s="378"/>
      <c r="AP125" s="378"/>
    </row>
    <row r="126" spans="1:42" s="194" customFormat="1" x14ac:dyDescent="0.2">
      <c r="A126" s="30" t="s">
        <v>52</v>
      </c>
    </row>
    <row r="127" spans="1:42" s="379" customFormat="1" x14ac:dyDescent="0.2">
      <c r="A127" s="37" t="s">
        <v>66</v>
      </c>
    </row>
    <row r="128" spans="1:42" s="21" customFormat="1" x14ac:dyDescent="0.2">
      <c r="A128" s="189" t="s">
        <v>53</v>
      </c>
      <c r="B128" s="379"/>
      <c r="C128" s="352">
        <f t="shared" ref="C128:AP128" si="66">C39</f>
        <v>4549165.1940000001</v>
      </c>
      <c r="D128" s="352">
        <f t="shared" si="66"/>
        <v>4578195.885839751</v>
      </c>
      <c r="E128" s="352">
        <f t="shared" si="66"/>
        <v>4606025.0891633667</v>
      </c>
      <c r="F128" s="352">
        <f t="shared" si="66"/>
        <v>4632685.2261665147</v>
      </c>
      <c r="G128" s="352">
        <f t="shared" si="66"/>
        <v>4658206.1200104775</v>
      </c>
      <c r="H128" s="352">
        <f t="shared" si="66"/>
        <v>4682615.0948719159</v>
      </c>
      <c r="I128" s="352">
        <f t="shared" si="66"/>
        <v>4705937.0700806677</v>
      </c>
      <c r="J128" s="352">
        <f t="shared" si="66"/>
        <v>4728194.6486131269</v>
      </c>
      <c r="K128" s="352">
        <f t="shared" si="66"/>
        <v>4749408.2001946215</v>
      </c>
      <c r="L128" s="352">
        <f t="shared" si="66"/>
        <v>4769595.9392504441</v>
      </c>
      <c r="M128" s="352">
        <f t="shared" si="66"/>
        <v>4788773.9979324993</v>
      </c>
      <c r="N128" s="352">
        <f t="shared" si="66"/>
        <v>4806956.4944360172</v>
      </c>
      <c r="O128" s="352">
        <f t="shared" si="66"/>
        <v>4824155.5968092289</v>
      </c>
      <c r="P128" s="352">
        <f t="shared" si="66"/>
        <v>4840381.5824476192</v>
      </c>
      <c r="Q128" s="352">
        <f t="shared" si="66"/>
        <v>4855642.8934538364</v>
      </c>
      <c r="R128" s="352">
        <f t="shared" si="66"/>
        <v>4869946.1880341051</v>
      </c>
      <c r="S128" s="352">
        <f t="shared" si="66"/>
        <v>4883296.3880924191</v>
      </c>
      <c r="T128" s="352">
        <f t="shared" si="66"/>
        <v>4895696.7231744584</v>
      </c>
      <c r="U128" s="352">
        <f t="shared" si="66"/>
        <v>4907148.770904527</v>
      </c>
      <c r="V128" s="352">
        <f t="shared" si="66"/>
        <v>4917652.4940502653</v>
      </c>
      <c r="W128" s="352">
        <f t="shared" si="66"/>
        <v>4927206.2743420051</v>
      </c>
      <c r="X128" s="352">
        <f t="shared" si="66"/>
        <v>4935806.9431658909</v>
      </c>
      <c r="Y128" s="352">
        <f t="shared" si="66"/>
        <v>4943449.8092426658</v>
      </c>
      <c r="Z128" s="352">
        <f t="shared" si="66"/>
        <v>4950128.6833969532</v>
      </c>
      <c r="AA128" s="352">
        <f t="shared" si="66"/>
        <v>9955835.900515262</v>
      </c>
      <c r="AB128" s="352" t="e">
        <f t="shared" si="66"/>
        <v>#VALUE!</v>
      </c>
      <c r="AC128" s="352" t="e">
        <f t="shared" si="66"/>
        <v>#VALUE!</v>
      </c>
      <c r="AD128" s="352" t="e">
        <f t="shared" si="66"/>
        <v>#VALUE!</v>
      </c>
      <c r="AE128" s="352" t="e">
        <f t="shared" si="66"/>
        <v>#VALUE!</v>
      </c>
      <c r="AF128" s="352" t="e">
        <f t="shared" si="66"/>
        <v>#VALUE!</v>
      </c>
      <c r="AG128" s="352" t="e">
        <f t="shared" si="66"/>
        <v>#VALUE!</v>
      </c>
      <c r="AH128" s="352" t="e">
        <f t="shared" si="66"/>
        <v>#VALUE!</v>
      </c>
      <c r="AI128" s="352" t="e">
        <f t="shared" si="66"/>
        <v>#VALUE!</v>
      </c>
      <c r="AJ128" s="352" t="e">
        <f t="shared" si="66"/>
        <v>#VALUE!</v>
      </c>
      <c r="AK128" s="352" t="e">
        <f t="shared" si="66"/>
        <v>#VALUE!</v>
      </c>
      <c r="AL128" s="352" t="e">
        <f t="shared" si="66"/>
        <v>#VALUE!</v>
      </c>
      <c r="AM128" s="352" t="e">
        <f t="shared" si="66"/>
        <v>#VALUE!</v>
      </c>
      <c r="AN128" s="352" t="e">
        <f t="shared" si="66"/>
        <v>#VALUE!</v>
      </c>
      <c r="AO128" s="352" t="e">
        <f t="shared" si="66"/>
        <v>#VALUE!</v>
      </c>
      <c r="AP128" s="352" t="e">
        <f t="shared" si="66"/>
        <v>#VALUE!</v>
      </c>
    </row>
    <row r="129" spans="1:42" s="21" customFormat="1" x14ac:dyDescent="0.2">
      <c r="A129" s="189" t="s">
        <v>62</v>
      </c>
      <c r="B129" s="379"/>
      <c r="C129" s="352">
        <f t="shared" ref="C129:AP129" si="67">C675</f>
        <v>41167.264126356073</v>
      </c>
      <c r="D129" s="352">
        <f t="shared" si="67"/>
        <v>46831.208905513122</v>
      </c>
      <c r="E129" s="352">
        <f t="shared" si="67"/>
        <v>52499.615954782093</v>
      </c>
      <c r="F129" s="352">
        <f t="shared" si="67"/>
        <v>58172.407885753179</v>
      </c>
      <c r="G129" s="352">
        <f t="shared" si="67"/>
        <v>63849.514081265967</v>
      </c>
      <c r="H129" s="352">
        <f t="shared" si="67"/>
        <v>69530.87043618469</v>
      </c>
      <c r="I129" s="352">
        <f t="shared" si="67"/>
        <v>75216.419113501557</v>
      </c>
      <c r="J129" s="352">
        <f t="shared" si="67"/>
        <v>80906.108315074336</v>
      </c>
      <c r="K129" s="352">
        <f t="shared" si="67"/>
        <v>86599.892066341868</v>
      </c>
      <c r="L129" s="352">
        <f t="shared" si="67"/>
        <v>92297.730014395027</v>
      </c>
      <c r="M129" s="352">
        <f t="shared" si="67"/>
        <v>97999.587238816399</v>
      </c>
      <c r="N129" s="352">
        <f t="shared" si="67"/>
        <v>103705.43407473076</v>
      </c>
      <c r="O129" s="352">
        <f t="shared" si="67"/>
        <v>43112.573513160329</v>
      </c>
      <c r="P129" s="352">
        <f t="shared" si="67"/>
        <v>17580.33379915385</v>
      </c>
      <c r="Q129" s="352">
        <f t="shared" si="67"/>
        <v>25070.491644900023</v>
      </c>
      <c r="R129" s="352">
        <f t="shared" si="67"/>
        <v>32571.666275809937</v>
      </c>
      <c r="S129" s="352">
        <f t="shared" si="67"/>
        <v>40083.81558411719</v>
      </c>
      <c r="T129" s="352">
        <f t="shared" si="67"/>
        <v>47606.91442083921</v>
      </c>
      <c r="U129" s="352">
        <f t="shared" si="67"/>
        <v>55140.954191582307</v>
      </c>
      <c r="V129" s="352">
        <f t="shared" si="67"/>
        <v>62685.942486069544</v>
      </c>
      <c r="W129" s="352">
        <f t="shared" si="67"/>
        <v>70241.90274012326</v>
      </c>
      <c r="X129" s="352">
        <f t="shared" si="67"/>
        <v>77808.873928910529</v>
      </c>
      <c r="Y129" s="352">
        <f t="shared" si="67"/>
        <v>85386.910290333239</v>
      </c>
      <c r="Z129" s="352">
        <f t="shared" si="67"/>
        <v>92976.081077513663</v>
      </c>
      <c r="AA129" s="352">
        <f t="shared" si="67"/>
        <v>12345.936213414185</v>
      </c>
      <c r="AB129" s="352">
        <f t="shared" si="67"/>
        <v>0</v>
      </c>
      <c r="AC129" s="352">
        <f t="shared" si="67"/>
        <v>0</v>
      </c>
      <c r="AD129" s="352">
        <f t="shared" si="67"/>
        <v>0</v>
      </c>
      <c r="AE129" s="352">
        <f t="shared" si="67"/>
        <v>0</v>
      </c>
      <c r="AF129" s="352">
        <f t="shared" si="67"/>
        <v>0</v>
      </c>
      <c r="AG129" s="352">
        <f t="shared" si="67"/>
        <v>0</v>
      </c>
      <c r="AH129" s="352">
        <f t="shared" si="67"/>
        <v>0</v>
      </c>
      <c r="AI129" s="352">
        <f t="shared" si="67"/>
        <v>0</v>
      </c>
      <c r="AJ129" s="352">
        <f t="shared" si="67"/>
        <v>0</v>
      </c>
      <c r="AK129" s="352">
        <f t="shared" si="67"/>
        <v>0</v>
      </c>
      <c r="AL129" s="352">
        <f t="shared" si="67"/>
        <v>0</v>
      </c>
      <c r="AM129" s="352">
        <f t="shared" si="67"/>
        <v>0</v>
      </c>
      <c r="AN129" s="352">
        <f t="shared" si="67"/>
        <v>0</v>
      </c>
      <c r="AO129" s="352">
        <f t="shared" si="67"/>
        <v>0</v>
      </c>
      <c r="AP129" s="352">
        <f t="shared" si="67"/>
        <v>0</v>
      </c>
    </row>
    <row r="130" spans="1:42" s="21" customFormat="1" x14ac:dyDescent="0.2">
      <c r="A130" s="189" t="s">
        <v>54</v>
      </c>
      <c r="B130" s="379"/>
      <c r="C130" s="352">
        <f>-C533</f>
        <v>-3332804.9212657087</v>
      </c>
      <c r="D130" s="352">
        <f t="shared" ref="D130:AP130" si="68">-D533</f>
        <v>-3346875.4332092679</v>
      </c>
      <c r="E130" s="352">
        <f t="shared" si="68"/>
        <v>-3360314.0802929336</v>
      </c>
      <c r="F130" s="352">
        <f t="shared" si="68"/>
        <v>-3373142.8032805575</v>
      </c>
      <c r="G130" s="352">
        <f t="shared" si="68"/>
        <v>-3385383.3665034119</v>
      </c>
      <c r="H130" s="352">
        <f t="shared" si="68"/>
        <v>-3397057.5065063308</v>
      </c>
      <c r="I130" s="352">
        <f t="shared" si="68"/>
        <v>-3408187.0870293332</v>
      </c>
      <c r="J130" s="352">
        <f t="shared" si="68"/>
        <v>-3418794.2612354984</v>
      </c>
      <c r="K130" s="352">
        <f t="shared" si="68"/>
        <v>-3428901.642156403</v>
      </c>
      <c r="L130" s="352">
        <f t="shared" si="68"/>
        <v>-3438532.4823930459</v>
      </c>
      <c r="M130" s="352">
        <f t="shared" si="68"/>
        <v>-3447710.8641833258</v>
      </c>
      <c r="N130" s="352">
        <f t="shared" si="68"/>
        <v>-3456461.9010272808</v>
      </c>
      <c r="O130" s="352">
        <f t="shared" si="68"/>
        <v>-3464811.9521490457</v>
      </c>
      <c r="P130" s="352">
        <f t="shared" si="68"/>
        <v>0</v>
      </c>
      <c r="Q130" s="352">
        <f t="shared" si="68"/>
        <v>0</v>
      </c>
      <c r="R130" s="352">
        <f t="shared" si="68"/>
        <v>0</v>
      </c>
      <c r="S130" s="352">
        <f t="shared" si="68"/>
        <v>0</v>
      </c>
      <c r="T130" s="352">
        <f t="shared" si="68"/>
        <v>0</v>
      </c>
      <c r="U130" s="352">
        <f t="shared" si="68"/>
        <v>0</v>
      </c>
      <c r="V130" s="352">
        <f t="shared" si="68"/>
        <v>0</v>
      </c>
      <c r="W130" s="352">
        <f t="shared" si="68"/>
        <v>0</v>
      </c>
      <c r="X130" s="352">
        <f t="shared" si="68"/>
        <v>0</v>
      </c>
      <c r="Y130" s="352">
        <f t="shared" si="68"/>
        <v>0</v>
      </c>
      <c r="Z130" s="352">
        <f t="shared" si="68"/>
        <v>0</v>
      </c>
      <c r="AA130" s="352">
        <f t="shared" si="68"/>
        <v>0</v>
      </c>
      <c r="AB130" s="352">
        <f t="shared" si="68"/>
        <v>0</v>
      </c>
      <c r="AC130" s="352">
        <f t="shared" si="68"/>
        <v>0</v>
      </c>
      <c r="AD130" s="352">
        <f t="shared" si="68"/>
        <v>0</v>
      </c>
      <c r="AE130" s="352">
        <f t="shared" si="68"/>
        <v>0</v>
      </c>
      <c r="AF130" s="352">
        <f t="shared" si="68"/>
        <v>0</v>
      </c>
      <c r="AG130" s="352">
        <f t="shared" si="68"/>
        <v>0</v>
      </c>
      <c r="AH130" s="352">
        <f t="shared" si="68"/>
        <v>0</v>
      </c>
      <c r="AI130" s="352">
        <f t="shared" si="68"/>
        <v>0</v>
      </c>
      <c r="AJ130" s="352">
        <f t="shared" si="68"/>
        <v>0</v>
      </c>
      <c r="AK130" s="352">
        <f t="shared" si="68"/>
        <v>0</v>
      </c>
      <c r="AL130" s="352">
        <f t="shared" si="68"/>
        <v>0</v>
      </c>
      <c r="AM130" s="352">
        <f t="shared" si="68"/>
        <v>0</v>
      </c>
      <c r="AN130" s="352">
        <f t="shared" si="68"/>
        <v>0</v>
      </c>
      <c r="AO130" s="352">
        <f t="shared" si="68"/>
        <v>0</v>
      </c>
      <c r="AP130" s="352">
        <f t="shared" si="68"/>
        <v>0</v>
      </c>
    </row>
    <row r="131" spans="1:42" s="12" customFormat="1" x14ac:dyDescent="0.2">
      <c r="A131" s="189" t="s">
        <v>57</v>
      </c>
      <c r="B131" s="379"/>
      <c r="C131" s="315">
        <f t="shared" ref="C131:AP131" si="69">IF(C$2&lt;=analysis_period,-C253-C283-C309-C335,0)</f>
        <v>-8768580.128205128</v>
      </c>
      <c r="D131" s="315">
        <f t="shared" si="69"/>
        <v>-14071535.256410256</v>
      </c>
      <c r="E131" s="315">
        <f t="shared" si="69"/>
        <v>-8525210.256410256</v>
      </c>
      <c r="F131" s="315">
        <f t="shared" si="69"/>
        <v>-5195315.256410256</v>
      </c>
      <c r="G131" s="315">
        <f t="shared" si="69"/>
        <v>-5189540.256410256</v>
      </c>
      <c r="H131" s="315">
        <f t="shared" si="69"/>
        <v>-2691650.2564102565</v>
      </c>
      <c r="I131" s="315">
        <f t="shared" si="69"/>
        <v>-196535.25641025641</v>
      </c>
      <c r="J131" s="315">
        <f t="shared" si="69"/>
        <v>-196535.25641025641</v>
      </c>
      <c r="K131" s="315">
        <f t="shared" si="69"/>
        <v>-196610.25641025641</v>
      </c>
      <c r="L131" s="315">
        <f t="shared" si="69"/>
        <v>-196535.25641025641</v>
      </c>
      <c r="M131" s="315">
        <f t="shared" si="69"/>
        <v>-196610.25641025641</v>
      </c>
      <c r="N131" s="315">
        <f t="shared" si="69"/>
        <v>-65800743.146473557</v>
      </c>
      <c r="O131" s="315">
        <f t="shared" si="69"/>
        <v>-105163542.88051154</v>
      </c>
      <c r="P131" s="315">
        <f t="shared" si="69"/>
        <v>-63176569.830871023</v>
      </c>
      <c r="Q131" s="315">
        <f t="shared" si="69"/>
        <v>-37984631.001086719</v>
      </c>
      <c r="R131" s="315">
        <f t="shared" si="69"/>
        <v>-37920756.001086719</v>
      </c>
      <c r="S131" s="315">
        <f t="shared" si="69"/>
        <v>-18962958.128748488</v>
      </c>
      <c r="T131" s="315">
        <f t="shared" si="69"/>
        <v>-68910.256410256407</v>
      </c>
      <c r="U131" s="315">
        <f t="shared" si="69"/>
        <v>-68910.256410256407</v>
      </c>
      <c r="V131" s="315">
        <f t="shared" si="69"/>
        <v>-68910.256410256407</v>
      </c>
      <c r="W131" s="315">
        <f t="shared" si="69"/>
        <v>-37660.256410256399</v>
      </c>
      <c r="X131" s="315">
        <f t="shared" si="69"/>
        <v>-6410.2564102563992</v>
      </c>
      <c r="Y131" s="315">
        <f t="shared" si="69"/>
        <v>-6410.2564102563992</v>
      </c>
      <c r="Z131" s="315">
        <f t="shared" si="69"/>
        <v>-88236944.382390216</v>
      </c>
      <c r="AA131" s="315">
        <f t="shared" si="69"/>
        <v>-141175264.85797819</v>
      </c>
      <c r="AB131" s="315">
        <f t="shared" si="69"/>
        <v>0</v>
      </c>
      <c r="AC131" s="315">
        <f t="shared" si="69"/>
        <v>0</v>
      </c>
      <c r="AD131" s="315">
        <f t="shared" si="69"/>
        <v>0</v>
      </c>
      <c r="AE131" s="315">
        <f t="shared" si="69"/>
        <v>0</v>
      </c>
      <c r="AF131" s="315">
        <f t="shared" si="69"/>
        <v>0</v>
      </c>
      <c r="AG131" s="315">
        <f t="shared" si="69"/>
        <v>0</v>
      </c>
      <c r="AH131" s="315">
        <f t="shared" si="69"/>
        <v>0</v>
      </c>
      <c r="AI131" s="315">
        <f t="shared" si="69"/>
        <v>0</v>
      </c>
      <c r="AJ131" s="315">
        <f t="shared" si="69"/>
        <v>0</v>
      </c>
      <c r="AK131" s="315">
        <f t="shared" si="69"/>
        <v>0</v>
      </c>
      <c r="AL131" s="315">
        <f t="shared" si="69"/>
        <v>0</v>
      </c>
      <c r="AM131" s="315">
        <f t="shared" si="69"/>
        <v>0</v>
      </c>
      <c r="AN131" s="315">
        <f t="shared" si="69"/>
        <v>0</v>
      </c>
      <c r="AO131" s="315">
        <f t="shared" si="69"/>
        <v>0</v>
      </c>
      <c r="AP131" s="315">
        <f t="shared" si="69"/>
        <v>0</v>
      </c>
    </row>
    <row r="132" spans="1:42" s="21" customFormat="1" x14ac:dyDescent="0.2">
      <c r="A132" s="189" t="s">
        <v>319</v>
      </c>
      <c r="B132" s="379"/>
      <c r="C132" s="352">
        <f t="shared" ref="C132:AP132" si="70">SUM(C128:C131)</f>
        <v>-7511052.5913444813</v>
      </c>
      <c r="D132" s="352">
        <f t="shared" si="70"/>
        <v>-12793383.594874259</v>
      </c>
      <c r="E132" s="352">
        <f t="shared" si="70"/>
        <v>-7226999.6315850411</v>
      </c>
      <c r="F132" s="352">
        <f t="shared" si="70"/>
        <v>-3877600.4256385453</v>
      </c>
      <c r="G132" s="352">
        <f t="shared" si="70"/>
        <v>-3852867.9888219247</v>
      </c>
      <c r="H132" s="352">
        <f t="shared" si="70"/>
        <v>-1336561.7976084864</v>
      </c>
      <c r="I132" s="352">
        <f t="shared" si="70"/>
        <v>1176431.1457545799</v>
      </c>
      <c r="J132" s="352">
        <f t="shared" si="70"/>
        <v>1193771.239282446</v>
      </c>
      <c r="K132" s="352">
        <f t="shared" si="70"/>
        <v>1210496.1936943037</v>
      </c>
      <c r="L132" s="352">
        <f t="shared" si="70"/>
        <v>1226825.9304615366</v>
      </c>
      <c r="M132" s="352">
        <f t="shared" si="70"/>
        <v>1242452.4645777335</v>
      </c>
      <c r="N132" s="352">
        <f t="shared" si="70"/>
        <v>-64346543.118990093</v>
      </c>
      <c r="O132" s="352">
        <f t="shared" si="70"/>
        <v>-103761086.6623382</v>
      </c>
      <c r="P132" s="352">
        <f t="shared" si="70"/>
        <v>-58318607.914624251</v>
      </c>
      <c r="Q132" s="352">
        <f t="shared" si="70"/>
        <v>-33103917.615987983</v>
      </c>
      <c r="R132" s="352">
        <f t="shared" si="70"/>
        <v>-33018238.146776803</v>
      </c>
      <c r="S132" s="352">
        <f t="shared" si="70"/>
        <v>-14039577.925071951</v>
      </c>
      <c r="T132" s="352">
        <f t="shared" si="70"/>
        <v>4874393.3811850417</v>
      </c>
      <c r="U132" s="352">
        <f t="shared" si="70"/>
        <v>4893379.4686858533</v>
      </c>
      <c r="V132" s="352">
        <f t="shared" si="70"/>
        <v>4911428.1801260784</v>
      </c>
      <c r="W132" s="352">
        <f t="shared" si="70"/>
        <v>4959787.9206718728</v>
      </c>
      <c r="X132" s="352">
        <f t="shared" si="70"/>
        <v>5007205.560684545</v>
      </c>
      <c r="Y132" s="352">
        <f t="shared" si="70"/>
        <v>5022426.4631227432</v>
      </c>
      <c r="Z132" s="352">
        <f t="shared" si="70"/>
        <v>-83193839.61791575</v>
      </c>
      <c r="AA132" s="352">
        <f t="shared" si="70"/>
        <v>-131207083.02124952</v>
      </c>
      <c r="AB132" s="352" t="e">
        <f t="shared" si="70"/>
        <v>#VALUE!</v>
      </c>
      <c r="AC132" s="352" t="e">
        <f t="shared" si="70"/>
        <v>#VALUE!</v>
      </c>
      <c r="AD132" s="352" t="e">
        <f t="shared" si="70"/>
        <v>#VALUE!</v>
      </c>
      <c r="AE132" s="352" t="e">
        <f t="shared" si="70"/>
        <v>#VALUE!</v>
      </c>
      <c r="AF132" s="352" t="e">
        <f t="shared" si="70"/>
        <v>#VALUE!</v>
      </c>
      <c r="AG132" s="352" t="e">
        <f t="shared" si="70"/>
        <v>#VALUE!</v>
      </c>
      <c r="AH132" s="352" t="e">
        <f t="shared" si="70"/>
        <v>#VALUE!</v>
      </c>
      <c r="AI132" s="352" t="e">
        <f t="shared" si="70"/>
        <v>#VALUE!</v>
      </c>
      <c r="AJ132" s="352" t="e">
        <f t="shared" si="70"/>
        <v>#VALUE!</v>
      </c>
      <c r="AK132" s="352" t="e">
        <f t="shared" si="70"/>
        <v>#VALUE!</v>
      </c>
      <c r="AL132" s="352" t="e">
        <f t="shared" si="70"/>
        <v>#VALUE!</v>
      </c>
      <c r="AM132" s="352" t="e">
        <f t="shared" si="70"/>
        <v>#VALUE!</v>
      </c>
      <c r="AN132" s="352" t="e">
        <f t="shared" si="70"/>
        <v>#VALUE!</v>
      </c>
      <c r="AO132" s="352" t="e">
        <f t="shared" si="70"/>
        <v>#VALUE!</v>
      </c>
      <c r="AP132" s="352" t="e">
        <f t="shared" si="70"/>
        <v>#VALUE!</v>
      </c>
    </row>
    <row r="133" spans="1:42" s="21" customFormat="1" x14ac:dyDescent="0.2">
      <c r="A133" s="189" t="str">
        <f>Inputs!B103</f>
        <v>Investment Based Incentive (IBI)</v>
      </c>
      <c r="B133" s="379"/>
    </row>
    <row r="134" spans="1:42" s="21" customFormat="1" x14ac:dyDescent="0.2">
      <c r="A134" s="192" t="str">
        <f>Inputs!B104</f>
        <v>As fixed amount</v>
      </c>
      <c r="B134" s="379"/>
    </row>
    <row r="135" spans="1:42" s="379" customFormat="1" x14ac:dyDescent="0.2">
      <c r="A135" s="172" t="s">
        <v>7</v>
      </c>
      <c r="C135" s="352">
        <f>IF(ibi_fed_amount_tax_sta="Yes",C487,0)</f>
        <v>0</v>
      </c>
    </row>
    <row r="136" spans="1:42" s="379" customFormat="1" x14ac:dyDescent="0.2">
      <c r="A136" s="172" t="s">
        <v>8</v>
      </c>
      <c r="C136" s="352">
        <f>IF(ibi_sta_amount_tax_sta="Yes",C488,0)</f>
        <v>0</v>
      </c>
    </row>
    <row r="137" spans="1:42" s="379" customFormat="1" x14ac:dyDescent="0.2">
      <c r="A137" s="172" t="s">
        <v>317</v>
      </c>
      <c r="C137" s="352">
        <f>IF(ibi_uti_amount_tax_sta="Yes",C489,0)</f>
        <v>0</v>
      </c>
    </row>
    <row r="138" spans="1:42" s="194" customFormat="1" x14ac:dyDescent="0.2">
      <c r="A138" s="172" t="s">
        <v>318</v>
      </c>
      <c r="C138" s="315">
        <f>IF(ibi_oth_amount_tax_sta="Yes",C490,0)</f>
        <v>0</v>
      </c>
      <c r="D138" s="378"/>
      <c r="E138" s="378"/>
      <c r="F138" s="378"/>
      <c r="G138" s="378"/>
      <c r="H138" s="378"/>
      <c r="I138" s="378"/>
      <c r="J138" s="378"/>
      <c r="K138" s="378"/>
      <c r="L138" s="378"/>
      <c r="M138" s="378"/>
      <c r="N138" s="378"/>
      <c r="O138" s="378"/>
      <c r="P138" s="378"/>
      <c r="Q138" s="378"/>
      <c r="R138" s="378"/>
      <c r="S138" s="378"/>
      <c r="T138" s="378"/>
      <c r="U138" s="378"/>
      <c r="V138" s="378"/>
      <c r="W138" s="378"/>
      <c r="X138" s="378"/>
      <c r="Y138" s="378"/>
      <c r="Z138" s="378"/>
      <c r="AA138" s="378"/>
      <c r="AB138" s="378"/>
      <c r="AC138" s="378"/>
      <c r="AD138" s="378"/>
      <c r="AE138" s="378"/>
      <c r="AF138" s="378"/>
      <c r="AG138" s="378"/>
      <c r="AH138" s="378"/>
      <c r="AI138" s="378"/>
      <c r="AJ138" s="378"/>
      <c r="AK138" s="378"/>
      <c r="AL138" s="378"/>
      <c r="AM138" s="378"/>
      <c r="AN138" s="378"/>
      <c r="AO138" s="378"/>
      <c r="AP138" s="378"/>
    </row>
    <row r="139" spans="1:42" s="194" customFormat="1" x14ac:dyDescent="0.2">
      <c r="A139" s="172" t="s">
        <v>21</v>
      </c>
      <c r="C139" s="353">
        <f>SUM(C135:C138)</f>
        <v>0</v>
      </c>
      <c r="D139" s="378"/>
      <c r="E139" s="378"/>
      <c r="F139" s="378"/>
      <c r="G139" s="378"/>
      <c r="H139" s="378"/>
      <c r="I139" s="378"/>
      <c r="J139" s="378"/>
      <c r="K139" s="378"/>
      <c r="L139" s="378"/>
      <c r="M139" s="378"/>
      <c r="N139" s="378"/>
      <c r="O139" s="378"/>
      <c r="P139" s="378"/>
      <c r="Q139" s="378"/>
      <c r="R139" s="378"/>
      <c r="S139" s="378"/>
      <c r="T139" s="378"/>
      <c r="U139" s="378"/>
      <c r="V139" s="378"/>
      <c r="W139" s="378"/>
      <c r="X139" s="378"/>
      <c r="Y139" s="378"/>
      <c r="Z139" s="378"/>
      <c r="AA139" s="378"/>
      <c r="AB139" s="378"/>
      <c r="AC139" s="378"/>
      <c r="AD139" s="378"/>
      <c r="AE139" s="378"/>
      <c r="AF139" s="378"/>
      <c r="AG139" s="378"/>
      <c r="AH139" s="378"/>
      <c r="AI139" s="378"/>
      <c r="AJ139" s="378"/>
      <c r="AK139" s="378"/>
      <c r="AL139" s="378"/>
      <c r="AM139" s="378"/>
      <c r="AN139" s="378"/>
      <c r="AO139" s="378"/>
      <c r="AP139" s="378"/>
    </row>
    <row r="140" spans="1:42" s="194" customFormat="1" x14ac:dyDescent="0.2">
      <c r="A140" s="192" t="str">
        <f>Inputs!B109</f>
        <v>As percentage</v>
      </c>
      <c r="C140" s="36"/>
      <c r="D140" s="378"/>
      <c r="E140" s="378"/>
      <c r="F140" s="378"/>
      <c r="G140" s="378"/>
      <c r="H140" s="378"/>
      <c r="I140" s="378"/>
      <c r="J140" s="378"/>
      <c r="K140" s="378"/>
      <c r="L140" s="378"/>
      <c r="M140" s="378"/>
      <c r="N140" s="378"/>
      <c r="O140" s="378"/>
      <c r="P140" s="378"/>
      <c r="Q140" s="378"/>
      <c r="R140" s="378"/>
      <c r="S140" s="378"/>
      <c r="T140" s="378"/>
      <c r="U140" s="378"/>
      <c r="V140" s="378"/>
      <c r="W140" s="378"/>
      <c r="X140" s="378"/>
      <c r="Y140" s="378"/>
      <c r="Z140" s="378"/>
      <c r="AA140" s="378"/>
      <c r="AB140" s="378"/>
      <c r="AC140" s="378"/>
      <c r="AD140" s="378"/>
      <c r="AE140" s="378"/>
      <c r="AF140" s="378"/>
      <c r="AG140" s="378"/>
      <c r="AH140" s="378"/>
      <c r="AI140" s="378"/>
      <c r="AJ140" s="378"/>
      <c r="AK140" s="378"/>
      <c r="AL140" s="378"/>
      <c r="AM140" s="378"/>
      <c r="AN140" s="378"/>
      <c r="AO140" s="378"/>
      <c r="AP140" s="378"/>
    </row>
    <row r="141" spans="1:42" s="194" customFormat="1" x14ac:dyDescent="0.2">
      <c r="A141" s="172" t="s">
        <v>7</v>
      </c>
      <c r="C141" s="352">
        <f>IF(ibi_fed_percent_tax_sta="Yes",C493,0)</f>
        <v>25000000</v>
      </c>
      <c r="D141" s="378"/>
      <c r="E141" s="378"/>
      <c r="F141" s="378"/>
      <c r="G141" s="378"/>
      <c r="H141" s="378"/>
      <c r="I141" s="378"/>
      <c r="J141" s="378"/>
      <c r="K141" s="378"/>
      <c r="L141" s="378"/>
      <c r="M141" s="378"/>
      <c r="N141" s="378"/>
      <c r="O141" s="378"/>
      <c r="P141" s="378"/>
      <c r="Q141" s="378"/>
      <c r="R141" s="378"/>
      <c r="S141" s="378"/>
      <c r="T141" s="378"/>
      <c r="U141" s="378"/>
      <c r="V141" s="378"/>
      <c r="W141" s="378"/>
      <c r="X141" s="378"/>
      <c r="Y141" s="378"/>
      <c r="Z141" s="378"/>
      <c r="AA141" s="378"/>
      <c r="AB141" s="378"/>
      <c r="AC141" s="378"/>
      <c r="AD141" s="378"/>
      <c r="AE141" s="378"/>
      <c r="AF141" s="378"/>
      <c r="AG141" s="378"/>
      <c r="AH141" s="378"/>
      <c r="AI141" s="378"/>
      <c r="AJ141" s="378"/>
      <c r="AK141" s="378"/>
      <c r="AL141" s="378"/>
      <c r="AM141" s="378"/>
      <c r="AN141" s="378"/>
      <c r="AO141" s="378"/>
      <c r="AP141" s="378"/>
    </row>
    <row r="142" spans="1:42" s="194" customFormat="1" x14ac:dyDescent="0.2">
      <c r="A142" s="172" t="s">
        <v>8</v>
      </c>
      <c r="C142" s="352">
        <f>IF(ibi_fed_percent_tax_sta="Yes",C494,0)</f>
        <v>0</v>
      </c>
      <c r="D142" s="378"/>
      <c r="E142" s="378"/>
      <c r="F142" s="378"/>
      <c r="G142" s="378"/>
      <c r="H142" s="378"/>
      <c r="I142" s="378"/>
      <c r="J142" s="378"/>
      <c r="K142" s="378"/>
      <c r="L142" s="378"/>
      <c r="M142" s="378"/>
      <c r="N142" s="378"/>
      <c r="O142" s="378"/>
      <c r="P142" s="378"/>
      <c r="Q142" s="378"/>
      <c r="R142" s="378"/>
      <c r="S142" s="378"/>
      <c r="T142" s="378"/>
      <c r="U142" s="378"/>
      <c r="V142" s="378"/>
      <c r="W142" s="378"/>
      <c r="X142" s="378"/>
      <c r="Y142" s="378"/>
      <c r="Z142" s="378"/>
      <c r="AA142" s="378"/>
      <c r="AB142" s="378"/>
      <c r="AC142" s="378"/>
      <c r="AD142" s="378"/>
      <c r="AE142" s="378"/>
      <c r="AF142" s="378"/>
      <c r="AG142" s="378"/>
      <c r="AH142" s="378"/>
      <c r="AI142" s="378"/>
      <c r="AJ142" s="378"/>
      <c r="AK142" s="378"/>
      <c r="AL142" s="378"/>
      <c r="AM142" s="378"/>
      <c r="AN142" s="378"/>
      <c r="AO142" s="378"/>
      <c r="AP142" s="378"/>
    </row>
    <row r="143" spans="1:42" s="194" customFormat="1" x14ac:dyDescent="0.2">
      <c r="A143" s="172" t="s">
        <v>317</v>
      </c>
      <c r="C143" s="352">
        <f>IF(ibi_fed_percent_tax_sta="Yes",C495,0)</f>
        <v>0</v>
      </c>
      <c r="D143" s="378"/>
      <c r="E143" s="378"/>
      <c r="F143" s="378"/>
      <c r="G143" s="378"/>
      <c r="H143" s="378"/>
      <c r="I143" s="378"/>
      <c r="J143" s="378"/>
      <c r="K143" s="378"/>
      <c r="L143" s="378"/>
      <c r="M143" s="378"/>
      <c r="N143" s="378"/>
      <c r="O143" s="378"/>
      <c r="P143" s="378"/>
      <c r="Q143" s="378"/>
      <c r="R143" s="378"/>
      <c r="S143" s="378"/>
      <c r="T143" s="378"/>
      <c r="U143" s="378"/>
      <c r="V143" s="378"/>
      <c r="W143" s="378"/>
      <c r="X143" s="378"/>
      <c r="Y143" s="378"/>
      <c r="Z143" s="378"/>
      <c r="AA143" s="378"/>
      <c r="AB143" s="378"/>
      <c r="AC143" s="378"/>
      <c r="AD143" s="378"/>
      <c r="AE143" s="378"/>
      <c r="AF143" s="378"/>
      <c r="AG143" s="378"/>
      <c r="AH143" s="378"/>
      <c r="AI143" s="378"/>
      <c r="AJ143" s="378"/>
      <c r="AK143" s="378"/>
      <c r="AL143" s="378"/>
      <c r="AM143" s="378"/>
      <c r="AN143" s="378"/>
      <c r="AO143" s="378"/>
      <c r="AP143" s="378"/>
    </row>
    <row r="144" spans="1:42" s="194" customFormat="1" x14ac:dyDescent="0.2">
      <c r="A144" s="172" t="s">
        <v>318</v>
      </c>
      <c r="C144" s="315">
        <f>IF(ibi_fed_percent_tax_sta="Yes",C496,0)</f>
        <v>0</v>
      </c>
      <c r="D144" s="378"/>
      <c r="E144" s="378"/>
      <c r="F144" s="378"/>
      <c r="G144" s="378"/>
      <c r="H144" s="378"/>
      <c r="I144" s="378"/>
      <c r="J144" s="378"/>
      <c r="K144" s="378"/>
      <c r="L144" s="378"/>
      <c r="M144" s="378"/>
      <c r="N144" s="378"/>
      <c r="O144" s="378"/>
      <c r="P144" s="378"/>
      <c r="Q144" s="378"/>
      <c r="R144" s="378"/>
      <c r="S144" s="378"/>
      <c r="T144" s="378"/>
      <c r="U144" s="378"/>
      <c r="V144" s="378"/>
      <c r="W144" s="378"/>
      <c r="X144" s="378"/>
      <c r="Y144" s="378"/>
      <c r="Z144" s="378"/>
      <c r="AA144" s="378"/>
      <c r="AB144" s="378"/>
      <c r="AC144" s="378"/>
      <c r="AD144" s="378"/>
      <c r="AE144" s="378"/>
      <c r="AF144" s="378"/>
      <c r="AG144" s="378"/>
      <c r="AH144" s="378"/>
      <c r="AI144" s="378"/>
      <c r="AJ144" s="378"/>
      <c r="AK144" s="378"/>
      <c r="AL144" s="378"/>
      <c r="AM144" s="378"/>
      <c r="AN144" s="378"/>
      <c r="AO144" s="378"/>
      <c r="AP144" s="378"/>
    </row>
    <row r="145" spans="1:42" s="194" customFormat="1" x14ac:dyDescent="0.2">
      <c r="A145" s="172" t="s">
        <v>21</v>
      </c>
      <c r="C145" s="353">
        <f>SUM(C141:C144)</f>
        <v>25000000</v>
      </c>
      <c r="D145" s="378"/>
      <c r="E145" s="378"/>
      <c r="F145" s="378"/>
      <c r="G145" s="378"/>
      <c r="H145" s="378"/>
      <c r="I145" s="378"/>
      <c r="J145" s="378"/>
      <c r="K145" s="378"/>
      <c r="L145" s="378"/>
      <c r="M145" s="378"/>
      <c r="N145" s="378"/>
      <c r="O145" s="378"/>
      <c r="P145" s="378"/>
      <c r="Q145" s="378"/>
      <c r="R145" s="378"/>
      <c r="S145" s="378"/>
      <c r="T145" s="378"/>
      <c r="U145" s="378"/>
      <c r="V145" s="378"/>
      <c r="W145" s="378"/>
      <c r="X145" s="378"/>
      <c r="Y145" s="378"/>
      <c r="Z145" s="378"/>
      <c r="AA145" s="378"/>
      <c r="AB145" s="378"/>
      <c r="AC145" s="378"/>
      <c r="AD145" s="378"/>
      <c r="AE145" s="378"/>
      <c r="AF145" s="378"/>
      <c r="AG145" s="378"/>
      <c r="AH145" s="378"/>
      <c r="AI145" s="378"/>
      <c r="AJ145" s="378"/>
      <c r="AK145" s="378"/>
      <c r="AL145" s="378"/>
      <c r="AM145" s="378"/>
      <c r="AN145" s="378"/>
      <c r="AO145" s="378"/>
      <c r="AP145" s="378"/>
    </row>
    <row r="146" spans="1:42" s="194" customFormat="1" x14ac:dyDescent="0.2">
      <c r="A146" s="189" t="str">
        <f>Inputs!B114</f>
        <v>Capacity Based Incentive (CBI)</v>
      </c>
      <c r="C146" s="378"/>
      <c r="D146" s="378"/>
      <c r="E146" s="378"/>
      <c r="F146" s="378"/>
      <c r="G146" s="378"/>
      <c r="H146" s="378"/>
      <c r="I146" s="378"/>
      <c r="J146" s="378"/>
      <c r="K146" s="378"/>
      <c r="L146" s="378"/>
      <c r="M146" s="378"/>
      <c r="N146" s="378"/>
      <c r="O146" s="378"/>
      <c r="P146" s="378"/>
      <c r="Q146" s="378"/>
      <c r="R146" s="378"/>
      <c r="S146" s="378"/>
      <c r="T146" s="378"/>
      <c r="U146" s="378"/>
      <c r="V146" s="378"/>
      <c r="W146" s="378"/>
      <c r="X146" s="378"/>
      <c r="Y146" s="378"/>
      <c r="Z146" s="378"/>
      <c r="AA146" s="378"/>
      <c r="AB146" s="378"/>
      <c r="AC146" s="378"/>
      <c r="AD146" s="378"/>
      <c r="AE146" s="378"/>
      <c r="AF146" s="378"/>
      <c r="AG146" s="378"/>
      <c r="AH146" s="378"/>
      <c r="AI146" s="378"/>
      <c r="AJ146" s="378"/>
      <c r="AK146" s="378"/>
      <c r="AL146" s="378"/>
      <c r="AM146" s="378"/>
      <c r="AN146" s="378"/>
      <c r="AO146" s="378"/>
      <c r="AP146" s="378"/>
    </row>
    <row r="147" spans="1:42" s="194" customFormat="1" x14ac:dyDescent="0.2">
      <c r="A147" s="192" t="s">
        <v>7</v>
      </c>
      <c r="C147" s="313">
        <f>IF(cbi_fed_tax_sta="Yes",C499,0)</f>
        <v>0</v>
      </c>
      <c r="D147" s="378"/>
      <c r="E147" s="378"/>
      <c r="F147" s="378"/>
      <c r="G147" s="378"/>
      <c r="H147" s="378"/>
      <c r="I147" s="378"/>
      <c r="J147" s="378"/>
      <c r="K147" s="378"/>
      <c r="L147" s="378"/>
      <c r="M147" s="378"/>
      <c r="N147" s="378"/>
      <c r="O147" s="378"/>
      <c r="P147" s="378"/>
      <c r="Q147" s="378"/>
      <c r="R147" s="378"/>
      <c r="S147" s="378"/>
      <c r="T147" s="378"/>
      <c r="U147" s="378"/>
      <c r="V147" s="378"/>
      <c r="W147" s="378"/>
      <c r="X147" s="378"/>
      <c r="Y147" s="378"/>
      <c r="Z147" s="378"/>
      <c r="AA147" s="378"/>
      <c r="AB147" s="378"/>
      <c r="AC147" s="378"/>
      <c r="AD147" s="378"/>
      <c r="AE147" s="378"/>
      <c r="AF147" s="378"/>
      <c r="AG147" s="378"/>
      <c r="AH147" s="378"/>
      <c r="AI147" s="378"/>
      <c r="AJ147" s="378"/>
      <c r="AK147" s="378"/>
      <c r="AL147" s="378"/>
      <c r="AM147" s="378"/>
      <c r="AN147" s="378"/>
      <c r="AO147" s="378"/>
      <c r="AP147" s="378"/>
    </row>
    <row r="148" spans="1:42" s="194" customFormat="1" x14ac:dyDescent="0.2">
      <c r="A148" s="192" t="s">
        <v>8</v>
      </c>
      <c r="C148" s="313">
        <f>IF(cbi_fed_tax_sta="Yes",C500,0)</f>
        <v>0</v>
      </c>
      <c r="D148" s="378"/>
      <c r="E148" s="378"/>
      <c r="F148" s="378"/>
      <c r="G148" s="378"/>
      <c r="H148" s="378"/>
      <c r="I148" s="378"/>
      <c r="J148" s="378"/>
      <c r="K148" s="378"/>
      <c r="L148" s="378"/>
      <c r="M148" s="378"/>
      <c r="N148" s="378"/>
      <c r="O148" s="378"/>
      <c r="P148" s="378"/>
      <c r="Q148" s="378"/>
      <c r="R148" s="378"/>
      <c r="S148" s="378"/>
      <c r="T148" s="378"/>
      <c r="U148" s="378"/>
      <c r="V148" s="378"/>
      <c r="W148" s="378"/>
      <c r="X148" s="378"/>
      <c r="Y148" s="378"/>
      <c r="Z148" s="378"/>
      <c r="AA148" s="378"/>
      <c r="AB148" s="378"/>
      <c r="AC148" s="378"/>
      <c r="AD148" s="378"/>
      <c r="AE148" s="378"/>
      <c r="AF148" s="378"/>
      <c r="AG148" s="378"/>
      <c r="AH148" s="378"/>
      <c r="AI148" s="378"/>
      <c r="AJ148" s="378"/>
      <c r="AK148" s="378"/>
      <c r="AL148" s="378"/>
      <c r="AM148" s="378"/>
      <c r="AN148" s="378"/>
      <c r="AO148" s="378"/>
      <c r="AP148" s="378"/>
    </row>
    <row r="149" spans="1:42" s="194" customFormat="1" x14ac:dyDescent="0.2">
      <c r="A149" s="192" t="s">
        <v>317</v>
      </c>
      <c r="C149" s="313">
        <f>IF(cbi_fed_tax_sta="Yes",C501,0)</f>
        <v>0</v>
      </c>
      <c r="D149" s="378"/>
      <c r="E149" s="378"/>
      <c r="F149" s="378"/>
      <c r="G149" s="378"/>
      <c r="H149" s="378"/>
      <c r="I149" s="378"/>
      <c r="J149" s="378"/>
      <c r="K149" s="378"/>
      <c r="L149" s="378"/>
      <c r="M149" s="378"/>
      <c r="N149" s="378"/>
      <c r="O149" s="378"/>
      <c r="P149" s="378"/>
      <c r="Q149" s="378"/>
      <c r="R149" s="378"/>
      <c r="S149" s="378"/>
      <c r="T149" s="378"/>
      <c r="U149" s="378"/>
      <c r="V149" s="378"/>
      <c r="W149" s="378"/>
      <c r="X149" s="378"/>
      <c r="Y149" s="378"/>
      <c r="Z149" s="378"/>
      <c r="AA149" s="378"/>
      <c r="AB149" s="378"/>
      <c r="AC149" s="378"/>
      <c r="AD149" s="378"/>
      <c r="AE149" s="378"/>
      <c r="AF149" s="378"/>
      <c r="AG149" s="378"/>
      <c r="AH149" s="378"/>
      <c r="AI149" s="378"/>
      <c r="AJ149" s="378"/>
      <c r="AK149" s="378"/>
      <c r="AL149" s="378"/>
      <c r="AM149" s="378"/>
      <c r="AN149" s="378"/>
      <c r="AO149" s="378"/>
      <c r="AP149" s="378"/>
    </row>
    <row r="150" spans="1:42" s="194" customFormat="1" x14ac:dyDescent="0.2">
      <c r="A150" s="192" t="s">
        <v>318</v>
      </c>
      <c r="C150" s="315">
        <f>IF(cbi_fed_tax_sta="Yes",C502,0)</f>
        <v>0</v>
      </c>
      <c r="D150" s="378"/>
      <c r="E150" s="378"/>
      <c r="F150" s="378"/>
      <c r="G150" s="378"/>
      <c r="H150" s="378"/>
      <c r="I150" s="378"/>
      <c r="J150" s="378"/>
      <c r="K150" s="378"/>
      <c r="L150" s="378"/>
      <c r="M150" s="378"/>
      <c r="N150" s="378"/>
      <c r="O150" s="378"/>
      <c r="P150" s="378"/>
      <c r="Q150" s="378"/>
      <c r="R150" s="378"/>
      <c r="S150" s="378"/>
      <c r="T150" s="378"/>
      <c r="U150" s="378"/>
      <c r="V150" s="378"/>
      <c r="W150" s="378"/>
      <c r="X150" s="378"/>
      <c r="Y150" s="378"/>
      <c r="Z150" s="378"/>
      <c r="AA150" s="378"/>
      <c r="AB150" s="378"/>
      <c r="AC150" s="378"/>
      <c r="AD150" s="378"/>
      <c r="AE150" s="378"/>
      <c r="AF150" s="378"/>
      <c r="AG150" s="378"/>
      <c r="AH150" s="378"/>
      <c r="AI150" s="378"/>
      <c r="AJ150" s="378"/>
      <c r="AK150" s="378"/>
      <c r="AL150" s="378"/>
      <c r="AM150" s="378"/>
      <c r="AN150" s="378"/>
      <c r="AO150" s="378"/>
      <c r="AP150" s="378"/>
    </row>
    <row r="151" spans="1:42" s="194" customFormat="1" x14ac:dyDescent="0.2">
      <c r="A151" s="192" t="s">
        <v>21</v>
      </c>
      <c r="C151" s="353">
        <f>SUM(C147:C150)</f>
        <v>0</v>
      </c>
      <c r="D151" s="378"/>
      <c r="E151" s="378"/>
      <c r="F151" s="378"/>
      <c r="G151" s="378"/>
      <c r="H151" s="378"/>
      <c r="I151" s="378"/>
      <c r="J151" s="378"/>
      <c r="K151" s="378"/>
      <c r="L151" s="378"/>
      <c r="M151" s="378"/>
      <c r="N151" s="378"/>
      <c r="O151" s="378"/>
      <c r="P151" s="378"/>
      <c r="Q151" s="378"/>
      <c r="R151" s="378"/>
      <c r="S151" s="378"/>
      <c r="T151" s="378"/>
      <c r="U151" s="378"/>
      <c r="V151" s="378"/>
      <c r="W151" s="378"/>
      <c r="X151" s="378"/>
      <c r="Y151" s="378"/>
      <c r="Z151" s="378"/>
      <c r="AA151" s="378"/>
      <c r="AB151" s="378"/>
      <c r="AC151" s="378"/>
      <c r="AD151" s="378"/>
      <c r="AE151" s="378"/>
      <c r="AF151" s="378"/>
      <c r="AG151" s="378"/>
      <c r="AH151" s="378"/>
      <c r="AI151" s="378"/>
      <c r="AJ151" s="378"/>
      <c r="AK151" s="378"/>
      <c r="AL151" s="378"/>
      <c r="AM151" s="378"/>
      <c r="AN151" s="378"/>
      <c r="AO151" s="378"/>
      <c r="AP151" s="378"/>
    </row>
    <row r="152" spans="1:42" s="194" customFormat="1" x14ac:dyDescent="0.2">
      <c r="A152" s="189" t="str">
        <f>Inputs!B119</f>
        <v>Production Based Incentive (PBI)</v>
      </c>
      <c r="C152" s="36"/>
      <c r="D152" s="378"/>
      <c r="E152" s="378"/>
      <c r="F152" s="378"/>
      <c r="G152" s="378"/>
      <c r="H152" s="378"/>
      <c r="I152" s="378"/>
      <c r="J152" s="378"/>
      <c r="K152" s="378"/>
      <c r="L152" s="378"/>
      <c r="M152" s="378"/>
      <c r="N152" s="378"/>
      <c r="O152" s="378"/>
      <c r="P152" s="378"/>
      <c r="Q152" s="378"/>
      <c r="R152" s="378"/>
      <c r="S152" s="378"/>
      <c r="T152" s="378"/>
      <c r="U152" s="378"/>
      <c r="V152" s="378"/>
      <c r="W152" s="378"/>
      <c r="X152" s="378"/>
      <c r="Y152" s="378"/>
      <c r="Z152" s="378"/>
      <c r="AA152" s="378"/>
      <c r="AB152" s="378"/>
      <c r="AC152" s="378"/>
      <c r="AD152" s="378"/>
      <c r="AE152" s="378"/>
      <c r="AF152" s="378"/>
      <c r="AG152" s="378"/>
      <c r="AH152" s="378"/>
      <c r="AI152" s="378"/>
      <c r="AJ152" s="378"/>
      <c r="AK152" s="378"/>
      <c r="AL152" s="378"/>
      <c r="AM152" s="378"/>
      <c r="AN152" s="378"/>
      <c r="AO152" s="378"/>
      <c r="AP152" s="378"/>
    </row>
    <row r="153" spans="1:42" x14ac:dyDescent="0.2">
      <c r="A153" s="192" t="s">
        <v>7</v>
      </c>
      <c r="B153" s="194"/>
      <c r="C153" s="313">
        <f t="shared" ref="C153:AP153" si="71">IF(AND(pbi_fed_tax_sta="Yes",pbi_fed_for_ds="No"),C509,0)</f>
        <v>0</v>
      </c>
      <c r="D153" s="313">
        <f t="shared" si="71"/>
        <v>0</v>
      </c>
      <c r="E153" s="313">
        <f t="shared" si="71"/>
        <v>0</v>
      </c>
      <c r="F153" s="313">
        <f t="shared" si="71"/>
        <v>0</v>
      </c>
      <c r="G153" s="313">
        <f t="shared" si="71"/>
        <v>0</v>
      </c>
      <c r="H153" s="313">
        <f t="shared" si="71"/>
        <v>0</v>
      </c>
      <c r="I153" s="313">
        <f t="shared" si="71"/>
        <v>0</v>
      </c>
      <c r="J153" s="313">
        <f t="shared" si="71"/>
        <v>0</v>
      </c>
      <c r="K153" s="313">
        <f t="shared" si="71"/>
        <v>0</v>
      </c>
      <c r="L153" s="313">
        <f t="shared" si="71"/>
        <v>0</v>
      </c>
      <c r="M153" s="313">
        <f t="shared" si="71"/>
        <v>0</v>
      </c>
      <c r="N153" s="313">
        <f t="shared" si="71"/>
        <v>0</v>
      </c>
      <c r="O153" s="313">
        <f t="shared" si="71"/>
        <v>0</v>
      </c>
      <c r="P153" s="313">
        <f t="shared" si="71"/>
        <v>0</v>
      </c>
      <c r="Q153" s="313">
        <f t="shared" si="71"/>
        <v>0</v>
      </c>
      <c r="R153" s="313">
        <f t="shared" si="71"/>
        <v>0</v>
      </c>
      <c r="S153" s="313">
        <f t="shared" si="71"/>
        <v>0</v>
      </c>
      <c r="T153" s="313">
        <f t="shared" si="71"/>
        <v>0</v>
      </c>
      <c r="U153" s="313">
        <f t="shared" si="71"/>
        <v>0</v>
      </c>
      <c r="V153" s="313">
        <f t="shared" si="71"/>
        <v>0</v>
      </c>
      <c r="W153" s="313">
        <f t="shared" si="71"/>
        <v>0</v>
      </c>
      <c r="X153" s="313">
        <f t="shared" si="71"/>
        <v>0</v>
      </c>
      <c r="Y153" s="313">
        <f t="shared" si="71"/>
        <v>0</v>
      </c>
      <c r="Z153" s="313">
        <f t="shared" si="71"/>
        <v>0</v>
      </c>
      <c r="AA153" s="313">
        <f t="shared" si="71"/>
        <v>0</v>
      </c>
      <c r="AB153" s="313">
        <f t="shared" si="71"/>
        <v>0</v>
      </c>
      <c r="AC153" s="313">
        <f t="shared" si="71"/>
        <v>0</v>
      </c>
      <c r="AD153" s="313">
        <f t="shared" si="71"/>
        <v>0</v>
      </c>
      <c r="AE153" s="313">
        <f t="shared" si="71"/>
        <v>0</v>
      </c>
      <c r="AF153" s="313">
        <f t="shared" si="71"/>
        <v>0</v>
      </c>
      <c r="AG153" s="313">
        <f t="shared" si="71"/>
        <v>0</v>
      </c>
      <c r="AH153" s="313">
        <f t="shared" si="71"/>
        <v>0</v>
      </c>
      <c r="AI153" s="313">
        <f t="shared" si="71"/>
        <v>0</v>
      </c>
      <c r="AJ153" s="313">
        <f t="shared" si="71"/>
        <v>0</v>
      </c>
      <c r="AK153" s="313">
        <f t="shared" si="71"/>
        <v>0</v>
      </c>
      <c r="AL153" s="313">
        <f t="shared" si="71"/>
        <v>0</v>
      </c>
      <c r="AM153" s="313">
        <f t="shared" si="71"/>
        <v>0</v>
      </c>
      <c r="AN153" s="313">
        <f t="shared" si="71"/>
        <v>0</v>
      </c>
      <c r="AO153" s="313">
        <f t="shared" si="71"/>
        <v>0</v>
      </c>
      <c r="AP153" s="313">
        <f t="shared" si="71"/>
        <v>0</v>
      </c>
    </row>
    <row r="154" spans="1:42" x14ac:dyDescent="0.2">
      <c r="A154" s="192" t="s">
        <v>8</v>
      </c>
      <c r="B154" s="194"/>
      <c r="C154" s="313">
        <f t="shared" ref="C154:AP154" si="72">IF(AND(pbi_sta_tax_sta="Yes",pbi_sta_for_ds="No"),C513,0)</f>
        <v>0</v>
      </c>
      <c r="D154" s="313">
        <f t="shared" si="72"/>
        <v>0</v>
      </c>
      <c r="E154" s="313">
        <f t="shared" si="72"/>
        <v>0</v>
      </c>
      <c r="F154" s="313">
        <f t="shared" si="72"/>
        <v>0</v>
      </c>
      <c r="G154" s="313">
        <f t="shared" si="72"/>
        <v>0</v>
      </c>
      <c r="H154" s="313">
        <f t="shared" si="72"/>
        <v>0</v>
      </c>
      <c r="I154" s="313">
        <f t="shared" si="72"/>
        <v>0</v>
      </c>
      <c r="J154" s="313">
        <f t="shared" si="72"/>
        <v>0</v>
      </c>
      <c r="K154" s="313">
        <f t="shared" si="72"/>
        <v>0</v>
      </c>
      <c r="L154" s="313">
        <f t="shared" si="72"/>
        <v>0</v>
      </c>
      <c r="M154" s="313">
        <f t="shared" si="72"/>
        <v>0</v>
      </c>
      <c r="N154" s="313">
        <f t="shared" si="72"/>
        <v>0</v>
      </c>
      <c r="O154" s="313">
        <f t="shared" si="72"/>
        <v>0</v>
      </c>
      <c r="P154" s="313">
        <f t="shared" si="72"/>
        <v>0</v>
      </c>
      <c r="Q154" s="313">
        <f t="shared" si="72"/>
        <v>0</v>
      </c>
      <c r="R154" s="313">
        <f t="shared" si="72"/>
        <v>0</v>
      </c>
      <c r="S154" s="313">
        <f t="shared" si="72"/>
        <v>0</v>
      </c>
      <c r="T154" s="313">
        <f t="shared" si="72"/>
        <v>0</v>
      </c>
      <c r="U154" s="313">
        <f t="shared" si="72"/>
        <v>0</v>
      </c>
      <c r="V154" s="313">
        <f t="shared" si="72"/>
        <v>0</v>
      </c>
      <c r="W154" s="313">
        <f t="shared" si="72"/>
        <v>0</v>
      </c>
      <c r="X154" s="313">
        <f t="shared" si="72"/>
        <v>0</v>
      </c>
      <c r="Y154" s="313">
        <f t="shared" si="72"/>
        <v>0</v>
      </c>
      <c r="Z154" s="313">
        <f t="shared" si="72"/>
        <v>0</v>
      </c>
      <c r="AA154" s="313">
        <f t="shared" si="72"/>
        <v>0</v>
      </c>
      <c r="AB154" s="313">
        <f t="shared" si="72"/>
        <v>0</v>
      </c>
      <c r="AC154" s="313">
        <f t="shared" si="72"/>
        <v>0</v>
      </c>
      <c r="AD154" s="313">
        <f t="shared" si="72"/>
        <v>0</v>
      </c>
      <c r="AE154" s="313">
        <f t="shared" si="72"/>
        <v>0</v>
      </c>
      <c r="AF154" s="313">
        <f t="shared" si="72"/>
        <v>0</v>
      </c>
      <c r="AG154" s="313">
        <f t="shared" si="72"/>
        <v>0</v>
      </c>
      <c r="AH154" s="313">
        <f t="shared" si="72"/>
        <v>0</v>
      </c>
      <c r="AI154" s="313">
        <f t="shared" si="72"/>
        <v>0</v>
      </c>
      <c r="AJ154" s="313">
        <f t="shared" si="72"/>
        <v>0</v>
      </c>
      <c r="AK154" s="313">
        <f t="shared" si="72"/>
        <v>0</v>
      </c>
      <c r="AL154" s="313">
        <f t="shared" si="72"/>
        <v>0</v>
      </c>
      <c r="AM154" s="313">
        <f t="shared" si="72"/>
        <v>0</v>
      </c>
      <c r="AN154" s="313">
        <f t="shared" si="72"/>
        <v>0</v>
      </c>
      <c r="AO154" s="313">
        <f t="shared" si="72"/>
        <v>0</v>
      </c>
      <c r="AP154" s="313">
        <f t="shared" si="72"/>
        <v>0</v>
      </c>
    </row>
    <row r="155" spans="1:42" x14ac:dyDescent="0.2">
      <c r="A155" s="192" t="s">
        <v>317</v>
      </c>
      <c r="B155" s="194"/>
      <c r="C155" s="313">
        <f t="shared" ref="C155:AP155" si="73">IF(AND(pbi_uti_tax_sta="Yes",pbi_uti_for_ds="No"),C517,0)</f>
        <v>0</v>
      </c>
      <c r="D155" s="313">
        <f t="shared" si="73"/>
        <v>0</v>
      </c>
      <c r="E155" s="313">
        <f t="shared" si="73"/>
        <v>0</v>
      </c>
      <c r="F155" s="313">
        <f t="shared" si="73"/>
        <v>0</v>
      </c>
      <c r="G155" s="313">
        <f t="shared" si="73"/>
        <v>0</v>
      </c>
      <c r="H155" s="313">
        <f t="shared" si="73"/>
        <v>0</v>
      </c>
      <c r="I155" s="313">
        <f t="shared" si="73"/>
        <v>0</v>
      </c>
      <c r="J155" s="313">
        <f t="shared" si="73"/>
        <v>0</v>
      </c>
      <c r="K155" s="313">
        <f t="shared" si="73"/>
        <v>0</v>
      </c>
      <c r="L155" s="313">
        <f t="shared" si="73"/>
        <v>0</v>
      </c>
      <c r="M155" s="313">
        <f t="shared" si="73"/>
        <v>0</v>
      </c>
      <c r="N155" s="313">
        <f t="shared" si="73"/>
        <v>0</v>
      </c>
      <c r="O155" s="313">
        <f t="shared" si="73"/>
        <v>0</v>
      </c>
      <c r="P155" s="313">
        <f t="shared" si="73"/>
        <v>0</v>
      </c>
      <c r="Q155" s="313">
        <f t="shared" si="73"/>
        <v>0</v>
      </c>
      <c r="R155" s="313">
        <f t="shared" si="73"/>
        <v>0</v>
      </c>
      <c r="S155" s="313">
        <f t="shared" si="73"/>
        <v>0</v>
      </c>
      <c r="T155" s="313">
        <f t="shared" si="73"/>
        <v>0</v>
      </c>
      <c r="U155" s="313">
        <f t="shared" si="73"/>
        <v>0</v>
      </c>
      <c r="V155" s="313">
        <f t="shared" si="73"/>
        <v>0</v>
      </c>
      <c r="W155" s="313">
        <f t="shared" si="73"/>
        <v>0</v>
      </c>
      <c r="X155" s="313">
        <f t="shared" si="73"/>
        <v>0</v>
      </c>
      <c r="Y155" s="313">
        <f t="shared" si="73"/>
        <v>0</v>
      </c>
      <c r="Z155" s="313">
        <f t="shared" si="73"/>
        <v>0</v>
      </c>
      <c r="AA155" s="313">
        <f t="shared" si="73"/>
        <v>0</v>
      </c>
      <c r="AB155" s="313">
        <f t="shared" si="73"/>
        <v>0</v>
      </c>
      <c r="AC155" s="313">
        <f t="shared" si="73"/>
        <v>0</v>
      </c>
      <c r="AD155" s="313">
        <f t="shared" si="73"/>
        <v>0</v>
      </c>
      <c r="AE155" s="313">
        <f t="shared" si="73"/>
        <v>0</v>
      </c>
      <c r="AF155" s="313">
        <f t="shared" si="73"/>
        <v>0</v>
      </c>
      <c r="AG155" s="313">
        <f t="shared" si="73"/>
        <v>0</v>
      </c>
      <c r="AH155" s="313">
        <f t="shared" si="73"/>
        <v>0</v>
      </c>
      <c r="AI155" s="313">
        <f t="shared" si="73"/>
        <v>0</v>
      </c>
      <c r="AJ155" s="313">
        <f t="shared" si="73"/>
        <v>0</v>
      </c>
      <c r="AK155" s="313">
        <f t="shared" si="73"/>
        <v>0</v>
      </c>
      <c r="AL155" s="313">
        <f t="shared" si="73"/>
        <v>0</v>
      </c>
      <c r="AM155" s="313">
        <f t="shared" si="73"/>
        <v>0</v>
      </c>
      <c r="AN155" s="313">
        <f t="shared" si="73"/>
        <v>0</v>
      </c>
      <c r="AO155" s="313">
        <f t="shared" si="73"/>
        <v>0</v>
      </c>
      <c r="AP155" s="313">
        <f t="shared" si="73"/>
        <v>0</v>
      </c>
    </row>
    <row r="156" spans="1:42" x14ac:dyDescent="0.2">
      <c r="A156" s="192" t="s">
        <v>318</v>
      </c>
      <c r="B156" s="194"/>
      <c r="C156" s="315">
        <f t="shared" ref="C156:AP156" si="74">IF(AND(pbi_oth_tax_sta="Yes",pbi_oth_for_ds="No"),C521,0)</f>
        <v>0</v>
      </c>
      <c r="D156" s="315">
        <f t="shared" si="74"/>
        <v>0</v>
      </c>
      <c r="E156" s="315">
        <f t="shared" si="74"/>
        <v>0</v>
      </c>
      <c r="F156" s="315">
        <f t="shared" si="74"/>
        <v>0</v>
      </c>
      <c r="G156" s="315">
        <f t="shared" si="74"/>
        <v>0</v>
      </c>
      <c r="H156" s="315">
        <f t="shared" si="74"/>
        <v>0</v>
      </c>
      <c r="I156" s="315">
        <f t="shared" si="74"/>
        <v>0</v>
      </c>
      <c r="J156" s="315">
        <f t="shared" si="74"/>
        <v>0</v>
      </c>
      <c r="K156" s="315">
        <f t="shared" si="74"/>
        <v>0</v>
      </c>
      <c r="L156" s="315">
        <f t="shared" si="74"/>
        <v>0</v>
      </c>
      <c r="M156" s="315">
        <f t="shared" si="74"/>
        <v>0</v>
      </c>
      <c r="N156" s="315">
        <f t="shared" si="74"/>
        <v>0</v>
      </c>
      <c r="O156" s="315">
        <f t="shared" si="74"/>
        <v>0</v>
      </c>
      <c r="P156" s="315">
        <f t="shared" si="74"/>
        <v>0</v>
      </c>
      <c r="Q156" s="315">
        <f t="shared" si="74"/>
        <v>0</v>
      </c>
      <c r="R156" s="315">
        <f t="shared" si="74"/>
        <v>0</v>
      </c>
      <c r="S156" s="315">
        <f t="shared" si="74"/>
        <v>0</v>
      </c>
      <c r="T156" s="315">
        <f t="shared" si="74"/>
        <v>0</v>
      </c>
      <c r="U156" s="315">
        <f t="shared" si="74"/>
        <v>0</v>
      </c>
      <c r="V156" s="315">
        <f t="shared" si="74"/>
        <v>0</v>
      </c>
      <c r="W156" s="315">
        <f t="shared" si="74"/>
        <v>0</v>
      </c>
      <c r="X156" s="315">
        <f t="shared" si="74"/>
        <v>0</v>
      </c>
      <c r="Y156" s="315">
        <f t="shared" si="74"/>
        <v>0</v>
      </c>
      <c r="Z156" s="315">
        <f t="shared" si="74"/>
        <v>0</v>
      </c>
      <c r="AA156" s="315">
        <f t="shared" si="74"/>
        <v>0</v>
      </c>
      <c r="AB156" s="315">
        <f t="shared" si="74"/>
        <v>0</v>
      </c>
      <c r="AC156" s="315">
        <f t="shared" si="74"/>
        <v>0</v>
      </c>
      <c r="AD156" s="315">
        <f t="shared" si="74"/>
        <v>0</v>
      </c>
      <c r="AE156" s="315">
        <f t="shared" si="74"/>
        <v>0</v>
      </c>
      <c r="AF156" s="315">
        <f t="shared" si="74"/>
        <v>0</v>
      </c>
      <c r="AG156" s="315">
        <f t="shared" si="74"/>
        <v>0</v>
      </c>
      <c r="AH156" s="315">
        <f t="shared" si="74"/>
        <v>0</v>
      </c>
      <c r="AI156" s="315">
        <f t="shared" si="74"/>
        <v>0</v>
      </c>
      <c r="AJ156" s="315">
        <f t="shared" si="74"/>
        <v>0</v>
      </c>
      <c r="AK156" s="315">
        <f t="shared" si="74"/>
        <v>0</v>
      </c>
      <c r="AL156" s="315">
        <f t="shared" si="74"/>
        <v>0</v>
      </c>
      <c r="AM156" s="315">
        <f t="shared" si="74"/>
        <v>0</v>
      </c>
      <c r="AN156" s="315">
        <f t="shared" si="74"/>
        <v>0</v>
      </c>
      <c r="AO156" s="315">
        <f t="shared" si="74"/>
        <v>0</v>
      </c>
      <c r="AP156" s="315">
        <f t="shared" si="74"/>
        <v>0</v>
      </c>
    </row>
    <row r="157" spans="1:42" x14ac:dyDescent="0.2">
      <c r="A157" s="192" t="s">
        <v>21</v>
      </c>
      <c r="B157" s="194"/>
      <c r="C157" s="358">
        <f>SUM(C153:C156)</f>
        <v>0</v>
      </c>
      <c r="D157" s="358">
        <f t="shared" ref="D157:AL157" si="75">SUM(D153:D156)</f>
        <v>0</v>
      </c>
      <c r="E157" s="358">
        <f t="shared" si="75"/>
        <v>0</v>
      </c>
      <c r="F157" s="358">
        <f t="shared" si="75"/>
        <v>0</v>
      </c>
      <c r="G157" s="358">
        <f t="shared" si="75"/>
        <v>0</v>
      </c>
      <c r="H157" s="358">
        <f t="shared" si="75"/>
        <v>0</v>
      </c>
      <c r="I157" s="358">
        <f t="shared" si="75"/>
        <v>0</v>
      </c>
      <c r="J157" s="358">
        <f t="shared" si="75"/>
        <v>0</v>
      </c>
      <c r="K157" s="358">
        <f t="shared" si="75"/>
        <v>0</v>
      </c>
      <c r="L157" s="358">
        <f t="shared" si="75"/>
        <v>0</v>
      </c>
      <c r="M157" s="358">
        <f t="shared" si="75"/>
        <v>0</v>
      </c>
      <c r="N157" s="358">
        <f t="shared" si="75"/>
        <v>0</v>
      </c>
      <c r="O157" s="358">
        <f t="shared" si="75"/>
        <v>0</v>
      </c>
      <c r="P157" s="358">
        <f t="shared" si="75"/>
        <v>0</v>
      </c>
      <c r="Q157" s="358">
        <f t="shared" si="75"/>
        <v>0</v>
      </c>
      <c r="R157" s="358">
        <f t="shared" si="75"/>
        <v>0</v>
      </c>
      <c r="S157" s="358">
        <f t="shared" si="75"/>
        <v>0</v>
      </c>
      <c r="T157" s="358">
        <f t="shared" si="75"/>
        <v>0</v>
      </c>
      <c r="U157" s="358">
        <f t="shared" si="75"/>
        <v>0</v>
      </c>
      <c r="V157" s="358">
        <f t="shared" si="75"/>
        <v>0</v>
      </c>
      <c r="W157" s="358">
        <f t="shared" si="75"/>
        <v>0</v>
      </c>
      <c r="X157" s="358">
        <f t="shared" si="75"/>
        <v>0</v>
      </c>
      <c r="Y157" s="358">
        <f t="shared" si="75"/>
        <v>0</v>
      </c>
      <c r="Z157" s="358">
        <f t="shared" si="75"/>
        <v>0</v>
      </c>
      <c r="AA157" s="358">
        <f t="shared" si="75"/>
        <v>0</v>
      </c>
      <c r="AB157" s="358">
        <f t="shared" si="75"/>
        <v>0</v>
      </c>
      <c r="AC157" s="358">
        <f t="shared" si="75"/>
        <v>0</v>
      </c>
      <c r="AD157" s="358">
        <f t="shared" si="75"/>
        <v>0</v>
      </c>
      <c r="AE157" s="358">
        <f t="shared" si="75"/>
        <v>0</v>
      </c>
      <c r="AF157" s="358">
        <f t="shared" si="75"/>
        <v>0</v>
      </c>
      <c r="AG157" s="358">
        <f t="shared" si="75"/>
        <v>0</v>
      </c>
      <c r="AH157" s="358">
        <f t="shared" si="75"/>
        <v>0</v>
      </c>
      <c r="AI157" s="358">
        <f t="shared" si="75"/>
        <v>0</v>
      </c>
      <c r="AJ157" s="358">
        <f t="shared" si="75"/>
        <v>0</v>
      </c>
      <c r="AK157" s="358">
        <f t="shared" si="75"/>
        <v>0</v>
      </c>
      <c r="AL157" s="358">
        <f t="shared" si="75"/>
        <v>0</v>
      </c>
      <c r="AM157" s="358">
        <f>SUM(AM153:AM156)</f>
        <v>0</v>
      </c>
      <c r="AN157" s="358">
        <f t="shared" ref="AN157:AP157" si="76">SUM(AN153:AN156)</f>
        <v>0</v>
      </c>
      <c r="AO157" s="358">
        <f t="shared" si="76"/>
        <v>0</v>
      </c>
      <c r="AP157" s="358">
        <f t="shared" si="76"/>
        <v>0</v>
      </c>
    </row>
    <row r="158" spans="1:42" x14ac:dyDescent="0.2">
      <c r="A158" s="189" t="s">
        <v>64</v>
      </c>
      <c r="B158" s="194"/>
      <c r="C158" s="353">
        <f>C139+C145+C151+C157</f>
        <v>25000000</v>
      </c>
      <c r="D158" s="353">
        <f>D139+D145+D151+D157</f>
        <v>0</v>
      </c>
      <c r="E158" s="353">
        <f t="shared" ref="E158:AP158" si="77">E139+E145+E151+E157</f>
        <v>0</v>
      </c>
      <c r="F158" s="353">
        <f t="shared" si="77"/>
        <v>0</v>
      </c>
      <c r="G158" s="353">
        <f t="shared" si="77"/>
        <v>0</v>
      </c>
      <c r="H158" s="353">
        <f t="shared" si="77"/>
        <v>0</v>
      </c>
      <c r="I158" s="353">
        <f t="shared" si="77"/>
        <v>0</v>
      </c>
      <c r="J158" s="353">
        <f t="shared" si="77"/>
        <v>0</v>
      </c>
      <c r="K158" s="353">
        <f t="shared" si="77"/>
        <v>0</v>
      </c>
      <c r="L158" s="353">
        <f t="shared" si="77"/>
        <v>0</v>
      </c>
      <c r="M158" s="353">
        <f t="shared" si="77"/>
        <v>0</v>
      </c>
      <c r="N158" s="353">
        <f t="shared" si="77"/>
        <v>0</v>
      </c>
      <c r="O158" s="353">
        <f t="shared" si="77"/>
        <v>0</v>
      </c>
      <c r="P158" s="353">
        <f t="shared" si="77"/>
        <v>0</v>
      </c>
      <c r="Q158" s="353">
        <f t="shared" si="77"/>
        <v>0</v>
      </c>
      <c r="R158" s="353">
        <f t="shared" si="77"/>
        <v>0</v>
      </c>
      <c r="S158" s="353">
        <f t="shared" si="77"/>
        <v>0</v>
      </c>
      <c r="T158" s="353">
        <f t="shared" si="77"/>
        <v>0</v>
      </c>
      <c r="U158" s="353">
        <f t="shared" si="77"/>
        <v>0</v>
      </c>
      <c r="V158" s="353">
        <f t="shared" si="77"/>
        <v>0</v>
      </c>
      <c r="W158" s="353">
        <f t="shared" si="77"/>
        <v>0</v>
      </c>
      <c r="X158" s="353">
        <f t="shared" si="77"/>
        <v>0</v>
      </c>
      <c r="Y158" s="353">
        <f t="shared" si="77"/>
        <v>0</v>
      </c>
      <c r="Z158" s="353">
        <f t="shared" si="77"/>
        <v>0</v>
      </c>
      <c r="AA158" s="353">
        <f t="shared" si="77"/>
        <v>0</v>
      </c>
      <c r="AB158" s="353">
        <f t="shared" si="77"/>
        <v>0</v>
      </c>
      <c r="AC158" s="353">
        <f t="shared" si="77"/>
        <v>0</v>
      </c>
      <c r="AD158" s="353">
        <f t="shared" si="77"/>
        <v>0</v>
      </c>
      <c r="AE158" s="353">
        <f t="shared" si="77"/>
        <v>0</v>
      </c>
      <c r="AF158" s="353">
        <f t="shared" si="77"/>
        <v>0</v>
      </c>
      <c r="AG158" s="353">
        <f t="shared" si="77"/>
        <v>0</v>
      </c>
      <c r="AH158" s="353">
        <f t="shared" si="77"/>
        <v>0</v>
      </c>
      <c r="AI158" s="353">
        <f t="shared" si="77"/>
        <v>0</v>
      </c>
      <c r="AJ158" s="353">
        <f t="shared" si="77"/>
        <v>0</v>
      </c>
      <c r="AK158" s="353">
        <f t="shared" si="77"/>
        <v>0</v>
      </c>
      <c r="AL158" s="353">
        <f t="shared" si="77"/>
        <v>0</v>
      </c>
      <c r="AM158" s="353">
        <f t="shared" si="77"/>
        <v>0</v>
      </c>
      <c r="AN158" s="353">
        <f t="shared" si="77"/>
        <v>0</v>
      </c>
      <c r="AO158" s="353">
        <f t="shared" si="77"/>
        <v>0</v>
      </c>
      <c r="AP158" s="353">
        <f t="shared" si="77"/>
        <v>0</v>
      </c>
    </row>
    <row r="159" spans="1:42" s="194" customFormat="1" x14ac:dyDescent="0.2">
      <c r="A159" s="192"/>
      <c r="C159" s="378"/>
      <c r="D159" s="378"/>
      <c r="E159" s="378"/>
      <c r="F159" s="378"/>
      <c r="G159" s="378"/>
      <c r="H159" s="378"/>
      <c r="I159" s="378"/>
      <c r="J159" s="378"/>
      <c r="K159" s="378"/>
      <c r="L159" s="378"/>
      <c r="M159" s="378"/>
      <c r="N159" s="378"/>
      <c r="O159" s="378"/>
      <c r="P159" s="378"/>
      <c r="Q159" s="378"/>
      <c r="R159" s="378"/>
      <c r="S159" s="378"/>
      <c r="T159" s="378"/>
      <c r="U159" s="378"/>
      <c r="V159" s="378"/>
      <c r="W159" s="378"/>
      <c r="X159" s="378"/>
      <c r="Y159" s="378"/>
      <c r="Z159" s="378"/>
      <c r="AA159" s="378"/>
      <c r="AB159" s="378"/>
      <c r="AC159" s="378"/>
      <c r="AD159" s="378"/>
      <c r="AE159" s="378"/>
      <c r="AF159" s="378"/>
      <c r="AG159" s="378"/>
      <c r="AH159" s="378"/>
      <c r="AI159" s="378"/>
      <c r="AJ159" s="378"/>
      <c r="AK159" s="378"/>
      <c r="AL159" s="378"/>
      <c r="AM159" s="378"/>
      <c r="AN159" s="378"/>
      <c r="AO159" s="378"/>
      <c r="AP159" s="378"/>
    </row>
    <row r="160" spans="1:42" x14ac:dyDescent="0.2">
      <c r="A160" s="189" t="s">
        <v>320</v>
      </c>
      <c r="B160" s="194"/>
      <c r="C160" s="389">
        <f>C132+C158</f>
        <v>17488947.408655517</v>
      </c>
      <c r="D160" s="389">
        <f t="shared" ref="D160:AP160" si="78">D132+D158</f>
        <v>-12793383.594874259</v>
      </c>
      <c r="E160" s="389">
        <f t="shared" si="78"/>
        <v>-7226999.6315850411</v>
      </c>
      <c r="F160" s="389">
        <f t="shared" si="78"/>
        <v>-3877600.4256385453</v>
      </c>
      <c r="G160" s="389">
        <f t="shared" si="78"/>
        <v>-3852867.9888219247</v>
      </c>
      <c r="H160" s="389">
        <f t="shared" si="78"/>
        <v>-1336561.7976084864</v>
      </c>
      <c r="I160" s="389">
        <f t="shared" si="78"/>
        <v>1176431.1457545799</v>
      </c>
      <c r="J160" s="389">
        <f t="shared" si="78"/>
        <v>1193771.239282446</v>
      </c>
      <c r="K160" s="389">
        <f t="shared" si="78"/>
        <v>1210496.1936943037</v>
      </c>
      <c r="L160" s="389">
        <f t="shared" si="78"/>
        <v>1226825.9304615366</v>
      </c>
      <c r="M160" s="389">
        <f t="shared" si="78"/>
        <v>1242452.4645777335</v>
      </c>
      <c r="N160" s="389">
        <f t="shared" si="78"/>
        <v>-64346543.118990093</v>
      </c>
      <c r="O160" s="389">
        <f t="shared" si="78"/>
        <v>-103761086.6623382</v>
      </c>
      <c r="P160" s="389">
        <f t="shared" si="78"/>
        <v>-58318607.914624251</v>
      </c>
      <c r="Q160" s="389">
        <f t="shared" si="78"/>
        <v>-33103917.615987983</v>
      </c>
      <c r="R160" s="389">
        <f t="shared" si="78"/>
        <v>-33018238.146776803</v>
      </c>
      <c r="S160" s="389">
        <f t="shared" si="78"/>
        <v>-14039577.925071951</v>
      </c>
      <c r="T160" s="389">
        <f t="shared" si="78"/>
        <v>4874393.3811850417</v>
      </c>
      <c r="U160" s="389">
        <f t="shared" si="78"/>
        <v>4893379.4686858533</v>
      </c>
      <c r="V160" s="389">
        <f t="shared" si="78"/>
        <v>4911428.1801260784</v>
      </c>
      <c r="W160" s="389">
        <f t="shared" si="78"/>
        <v>4959787.9206718728</v>
      </c>
      <c r="X160" s="389">
        <f t="shared" si="78"/>
        <v>5007205.560684545</v>
      </c>
      <c r="Y160" s="389">
        <f t="shared" si="78"/>
        <v>5022426.4631227432</v>
      </c>
      <c r="Z160" s="389">
        <f t="shared" si="78"/>
        <v>-83193839.61791575</v>
      </c>
      <c r="AA160" s="389">
        <f t="shared" si="78"/>
        <v>-131207083.02124952</v>
      </c>
      <c r="AB160" s="389" t="e">
        <f t="shared" si="78"/>
        <v>#VALUE!</v>
      </c>
      <c r="AC160" s="389" t="e">
        <f t="shared" si="78"/>
        <v>#VALUE!</v>
      </c>
      <c r="AD160" s="389" t="e">
        <f t="shared" si="78"/>
        <v>#VALUE!</v>
      </c>
      <c r="AE160" s="389" t="e">
        <f t="shared" si="78"/>
        <v>#VALUE!</v>
      </c>
      <c r="AF160" s="389" t="e">
        <f t="shared" si="78"/>
        <v>#VALUE!</v>
      </c>
      <c r="AG160" s="389" t="e">
        <f t="shared" si="78"/>
        <v>#VALUE!</v>
      </c>
      <c r="AH160" s="389" t="e">
        <f t="shared" si="78"/>
        <v>#VALUE!</v>
      </c>
      <c r="AI160" s="389" t="e">
        <f t="shared" si="78"/>
        <v>#VALUE!</v>
      </c>
      <c r="AJ160" s="389" t="e">
        <f t="shared" si="78"/>
        <v>#VALUE!</v>
      </c>
      <c r="AK160" s="389" t="e">
        <f t="shared" si="78"/>
        <v>#VALUE!</v>
      </c>
      <c r="AL160" s="389" t="e">
        <f t="shared" si="78"/>
        <v>#VALUE!</v>
      </c>
      <c r="AM160" s="389" t="e">
        <f t="shared" si="78"/>
        <v>#VALUE!</v>
      </c>
      <c r="AN160" s="389" t="e">
        <f t="shared" si="78"/>
        <v>#VALUE!</v>
      </c>
      <c r="AO160" s="389" t="e">
        <f t="shared" si="78"/>
        <v>#VALUE!</v>
      </c>
      <c r="AP160" s="389" t="e">
        <f t="shared" si="78"/>
        <v>#VALUE!</v>
      </c>
    </row>
    <row r="161" spans="1:42" x14ac:dyDescent="0.2">
      <c r="A161" s="38" t="s">
        <v>63</v>
      </c>
      <c r="B161" s="194"/>
      <c r="C161" s="392">
        <f t="shared" ref="C161:AP161" si="79">C160*-state_tax_rate/100</f>
        <v>-961892.10747605341</v>
      </c>
      <c r="D161" s="392">
        <f t="shared" si="79"/>
        <v>703636.09771808435</v>
      </c>
      <c r="E161" s="392">
        <f t="shared" si="79"/>
        <v>397484.97973717726</v>
      </c>
      <c r="F161" s="392">
        <f t="shared" si="79"/>
        <v>213268.02341012002</v>
      </c>
      <c r="G161" s="392">
        <f t="shared" si="79"/>
        <v>211907.73938520584</v>
      </c>
      <c r="H161" s="392">
        <f t="shared" si="79"/>
        <v>73510.898868466742</v>
      </c>
      <c r="I161" s="392">
        <f t="shared" si="79"/>
        <v>-64703.713016501897</v>
      </c>
      <c r="J161" s="392">
        <f t="shared" si="79"/>
        <v>-65657.418160534522</v>
      </c>
      <c r="K161" s="392">
        <f t="shared" si="79"/>
        <v>-66577.290653186705</v>
      </c>
      <c r="L161" s="392">
        <f t="shared" si="79"/>
        <v>-67475.426175384506</v>
      </c>
      <c r="M161" s="392">
        <f t="shared" si="79"/>
        <v>-68334.88555177534</v>
      </c>
      <c r="N161" s="392">
        <f t="shared" si="79"/>
        <v>3539059.8715444552</v>
      </c>
      <c r="O161" s="392">
        <f t="shared" si="79"/>
        <v>5706859.766428601</v>
      </c>
      <c r="P161" s="392">
        <f t="shared" si="79"/>
        <v>3207523.4353043335</v>
      </c>
      <c r="Q161" s="392">
        <f t="shared" si="79"/>
        <v>1820715.4688793391</v>
      </c>
      <c r="R161" s="392">
        <f t="shared" si="79"/>
        <v>1816003.098072724</v>
      </c>
      <c r="S161" s="392">
        <f t="shared" si="79"/>
        <v>772176.78587895737</v>
      </c>
      <c r="T161" s="392">
        <f t="shared" si="79"/>
        <v>-268091.63596517732</v>
      </c>
      <c r="U161" s="392">
        <f t="shared" si="79"/>
        <v>-269135.87077772192</v>
      </c>
      <c r="V161" s="392">
        <f t="shared" si="79"/>
        <v>-270128.54990693432</v>
      </c>
      <c r="W161" s="392">
        <f t="shared" si="79"/>
        <v>-272788.33563695301</v>
      </c>
      <c r="X161" s="392">
        <f t="shared" si="79"/>
        <v>-275396.30583764997</v>
      </c>
      <c r="Y161" s="392">
        <f t="shared" si="79"/>
        <v>-276233.45547175087</v>
      </c>
      <c r="Z161" s="392">
        <f t="shared" si="79"/>
        <v>4575661.1789853666</v>
      </c>
      <c r="AA161" s="392">
        <f t="shared" si="79"/>
        <v>7216389.5661687227</v>
      </c>
      <c r="AB161" s="392" t="e">
        <f t="shared" si="79"/>
        <v>#VALUE!</v>
      </c>
      <c r="AC161" s="392" t="e">
        <f t="shared" si="79"/>
        <v>#VALUE!</v>
      </c>
      <c r="AD161" s="392" t="e">
        <f t="shared" si="79"/>
        <v>#VALUE!</v>
      </c>
      <c r="AE161" s="392" t="e">
        <f t="shared" si="79"/>
        <v>#VALUE!</v>
      </c>
      <c r="AF161" s="392" t="e">
        <f t="shared" si="79"/>
        <v>#VALUE!</v>
      </c>
      <c r="AG161" s="392" t="e">
        <f t="shared" si="79"/>
        <v>#VALUE!</v>
      </c>
      <c r="AH161" s="392" t="e">
        <f t="shared" si="79"/>
        <v>#VALUE!</v>
      </c>
      <c r="AI161" s="392" t="e">
        <f t="shared" si="79"/>
        <v>#VALUE!</v>
      </c>
      <c r="AJ161" s="392" t="e">
        <f t="shared" si="79"/>
        <v>#VALUE!</v>
      </c>
      <c r="AK161" s="392" t="e">
        <f t="shared" si="79"/>
        <v>#VALUE!</v>
      </c>
      <c r="AL161" s="392" t="e">
        <f t="shared" si="79"/>
        <v>#VALUE!</v>
      </c>
      <c r="AM161" s="392" t="e">
        <f t="shared" si="79"/>
        <v>#VALUE!</v>
      </c>
      <c r="AN161" s="392" t="e">
        <f t="shared" si="79"/>
        <v>#VALUE!</v>
      </c>
      <c r="AO161" s="392" t="e">
        <f t="shared" si="79"/>
        <v>#VALUE!</v>
      </c>
      <c r="AP161" s="392" t="e">
        <f t="shared" si="79"/>
        <v>#VALUE!</v>
      </c>
    </row>
    <row r="162" spans="1:42" s="379" customFormat="1" x14ac:dyDescent="0.2">
      <c r="A162" s="12"/>
    </row>
    <row r="163" spans="1:42" s="379" customFormat="1" x14ac:dyDescent="0.2">
      <c r="A163" s="37" t="s">
        <v>56</v>
      </c>
    </row>
    <row r="164" spans="1:42" s="21" customFormat="1" x14ac:dyDescent="0.2">
      <c r="A164" s="189" t="s">
        <v>53</v>
      </c>
      <c r="B164" s="379"/>
      <c r="C164" s="387">
        <f>C$39</f>
        <v>4549165.1940000001</v>
      </c>
      <c r="D164" s="387">
        <f t="shared" ref="D164:AP164" si="80">D$39</f>
        <v>4578195.885839751</v>
      </c>
      <c r="E164" s="387">
        <f t="shared" si="80"/>
        <v>4606025.0891633667</v>
      </c>
      <c r="F164" s="387">
        <f t="shared" si="80"/>
        <v>4632685.2261665147</v>
      </c>
      <c r="G164" s="387">
        <f t="shared" si="80"/>
        <v>4658206.1200104775</v>
      </c>
      <c r="H164" s="387">
        <f t="shared" si="80"/>
        <v>4682615.0948719159</v>
      </c>
      <c r="I164" s="387">
        <f t="shared" si="80"/>
        <v>4705937.0700806677</v>
      </c>
      <c r="J164" s="387">
        <f t="shared" si="80"/>
        <v>4728194.6486131269</v>
      </c>
      <c r="K164" s="387">
        <f t="shared" si="80"/>
        <v>4749408.2001946215</v>
      </c>
      <c r="L164" s="387">
        <f t="shared" si="80"/>
        <v>4769595.9392504441</v>
      </c>
      <c r="M164" s="387">
        <f t="shared" si="80"/>
        <v>4788773.9979324993</v>
      </c>
      <c r="N164" s="387">
        <f t="shared" si="80"/>
        <v>4806956.4944360172</v>
      </c>
      <c r="O164" s="387">
        <f t="shared" si="80"/>
        <v>4824155.5968092289</v>
      </c>
      <c r="P164" s="387">
        <f t="shared" si="80"/>
        <v>4840381.5824476192</v>
      </c>
      <c r="Q164" s="387">
        <f t="shared" si="80"/>
        <v>4855642.8934538364</v>
      </c>
      <c r="R164" s="387">
        <f t="shared" si="80"/>
        <v>4869946.1880341051</v>
      </c>
      <c r="S164" s="387">
        <f t="shared" si="80"/>
        <v>4883296.3880924191</v>
      </c>
      <c r="T164" s="387">
        <f t="shared" si="80"/>
        <v>4895696.7231744584</v>
      </c>
      <c r="U164" s="387">
        <f t="shared" si="80"/>
        <v>4907148.770904527</v>
      </c>
      <c r="V164" s="387">
        <f t="shared" si="80"/>
        <v>4917652.4940502653</v>
      </c>
      <c r="W164" s="387">
        <f t="shared" si="80"/>
        <v>4927206.2743420051</v>
      </c>
      <c r="X164" s="387">
        <f t="shared" si="80"/>
        <v>4935806.9431658909</v>
      </c>
      <c r="Y164" s="387">
        <f t="shared" si="80"/>
        <v>4943449.8092426658</v>
      </c>
      <c r="Z164" s="387">
        <f t="shared" si="80"/>
        <v>4950128.6833969532</v>
      </c>
      <c r="AA164" s="387">
        <f t="shared" si="80"/>
        <v>9955835.900515262</v>
      </c>
      <c r="AB164" s="387" t="e">
        <f t="shared" si="80"/>
        <v>#VALUE!</v>
      </c>
      <c r="AC164" s="387" t="e">
        <f t="shared" si="80"/>
        <v>#VALUE!</v>
      </c>
      <c r="AD164" s="387" t="e">
        <f t="shared" si="80"/>
        <v>#VALUE!</v>
      </c>
      <c r="AE164" s="387" t="e">
        <f t="shared" si="80"/>
        <v>#VALUE!</v>
      </c>
      <c r="AF164" s="387" t="e">
        <f t="shared" si="80"/>
        <v>#VALUE!</v>
      </c>
      <c r="AG164" s="387" t="e">
        <f t="shared" si="80"/>
        <v>#VALUE!</v>
      </c>
      <c r="AH164" s="387" t="e">
        <f t="shared" si="80"/>
        <v>#VALUE!</v>
      </c>
      <c r="AI164" s="387" t="e">
        <f t="shared" si="80"/>
        <v>#VALUE!</v>
      </c>
      <c r="AJ164" s="387" t="e">
        <f t="shared" si="80"/>
        <v>#VALUE!</v>
      </c>
      <c r="AK164" s="387" t="e">
        <f t="shared" si="80"/>
        <v>#VALUE!</v>
      </c>
      <c r="AL164" s="387" t="e">
        <f t="shared" si="80"/>
        <v>#VALUE!</v>
      </c>
      <c r="AM164" s="387" t="e">
        <f t="shared" si="80"/>
        <v>#VALUE!</v>
      </c>
      <c r="AN164" s="387" t="e">
        <f t="shared" si="80"/>
        <v>#VALUE!</v>
      </c>
      <c r="AO164" s="387" t="e">
        <f t="shared" si="80"/>
        <v>#VALUE!</v>
      </c>
      <c r="AP164" s="387" t="e">
        <f t="shared" si="80"/>
        <v>#VALUE!</v>
      </c>
    </row>
    <row r="165" spans="1:42" s="21" customFormat="1" x14ac:dyDescent="0.2">
      <c r="A165" s="189" t="s">
        <v>62</v>
      </c>
      <c r="B165" s="379"/>
      <c r="C165" s="387">
        <f t="shared" ref="C165:AP165" si="81">C675</f>
        <v>41167.264126356073</v>
      </c>
      <c r="D165" s="387">
        <f t="shared" si="81"/>
        <v>46831.208905513122</v>
      </c>
      <c r="E165" s="387">
        <f t="shared" si="81"/>
        <v>52499.615954782093</v>
      </c>
      <c r="F165" s="387">
        <f t="shared" si="81"/>
        <v>58172.407885753179</v>
      </c>
      <c r="G165" s="387">
        <f t="shared" si="81"/>
        <v>63849.514081265967</v>
      </c>
      <c r="H165" s="387">
        <f t="shared" si="81"/>
        <v>69530.87043618469</v>
      </c>
      <c r="I165" s="387">
        <f t="shared" si="81"/>
        <v>75216.419113501557</v>
      </c>
      <c r="J165" s="387">
        <f t="shared" si="81"/>
        <v>80906.108315074336</v>
      </c>
      <c r="K165" s="387">
        <f t="shared" si="81"/>
        <v>86599.892066341868</v>
      </c>
      <c r="L165" s="387">
        <f t="shared" si="81"/>
        <v>92297.730014395027</v>
      </c>
      <c r="M165" s="387">
        <f t="shared" si="81"/>
        <v>97999.587238816399</v>
      </c>
      <c r="N165" s="387">
        <f t="shared" si="81"/>
        <v>103705.43407473076</v>
      </c>
      <c r="O165" s="387">
        <f t="shared" si="81"/>
        <v>43112.573513160329</v>
      </c>
      <c r="P165" s="387">
        <f t="shared" si="81"/>
        <v>17580.33379915385</v>
      </c>
      <c r="Q165" s="387">
        <f t="shared" si="81"/>
        <v>25070.491644900023</v>
      </c>
      <c r="R165" s="387">
        <f t="shared" si="81"/>
        <v>32571.666275809937</v>
      </c>
      <c r="S165" s="387">
        <f t="shared" si="81"/>
        <v>40083.81558411719</v>
      </c>
      <c r="T165" s="387">
        <f t="shared" si="81"/>
        <v>47606.91442083921</v>
      </c>
      <c r="U165" s="387">
        <f t="shared" si="81"/>
        <v>55140.954191582307</v>
      </c>
      <c r="V165" s="387">
        <f t="shared" si="81"/>
        <v>62685.942486069544</v>
      </c>
      <c r="W165" s="387">
        <f t="shared" si="81"/>
        <v>70241.90274012326</v>
      </c>
      <c r="X165" s="387">
        <f t="shared" si="81"/>
        <v>77808.873928910529</v>
      </c>
      <c r="Y165" s="387">
        <f t="shared" si="81"/>
        <v>85386.910290333239</v>
      </c>
      <c r="Z165" s="387">
        <f t="shared" si="81"/>
        <v>92976.081077513663</v>
      </c>
      <c r="AA165" s="387">
        <f t="shared" si="81"/>
        <v>12345.936213414185</v>
      </c>
      <c r="AB165" s="387">
        <f t="shared" si="81"/>
        <v>0</v>
      </c>
      <c r="AC165" s="387">
        <f t="shared" si="81"/>
        <v>0</v>
      </c>
      <c r="AD165" s="387">
        <f t="shared" si="81"/>
        <v>0</v>
      </c>
      <c r="AE165" s="387">
        <f t="shared" si="81"/>
        <v>0</v>
      </c>
      <c r="AF165" s="387">
        <f t="shared" si="81"/>
        <v>0</v>
      </c>
      <c r="AG165" s="387">
        <f t="shared" si="81"/>
        <v>0</v>
      </c>
      <c r="AH165" s="387">
        <f t="shared" si="81"/>
        <v>0</v>
      </c>
      <c r="AI165" s="387">
        <f t="shared" si="81"/>
        <v>0</v>
      </c>
      <c r="AJ165" s="387">
        <f t="shared" si="81"/>
        <v>0</v>
      </c>
      <c r="AK165" s="387">
        <f t="shared" si="81"/>
        <v>0</v>
      </c>
      <c r="AL165" s="387">
        <f t="shared" si="81"/>
        <v>0</v>
      </c>
      <c r="AM165" s="387">
        <f t="shared" si="81"/>
        <v>0</v>
      </c>
      <c r="AN165" s="387">
        <f t="shared" si="81"/>
        <v>0</v>
      </c>
      <c r="AO165" s="387">
        <f t="shared" si="81"/>
        <v>0</v>
      </c>
      <c r="AP165" s="387">
        <f t="shared" si="81"/>
        <v>0</v>
      </c>
    </row>
    <row r="166" spans="1:42" s="21" customFormat="1" x14ac:dyDescent="0.2">
      <c r="A166" s="189" t="s">
        <v>54</v>
      </c>
      <c r="B166" s="379"/>
      <c r="C166" s="387">
        <f>-C533</f>
        <v>-3332804.9212657087</v>
      </c>
      <c r="D166" s="387">
        <f t="shared" ref="D166:AP166" si="82">-D533</f>
        <v>-3346875.4332092679</v>
      </c>
      <c r="E166" s="387">
        <f t="shared" si="82"/>
        <v>-3360314.0802929336</v>
      </c>
      <c r="F166" s="387">
        <f t="shared" si="82"/>
        <v>-3373142.8032805575</v>
      </c>
      <c r="G166" s="387">
        <f t="shared" si="82"/>
        <v>-3385383.3665034119</v>
      </c>
      <c r="H166" s="387">
        <f t="shared" si="82"/>
        <v>-3397057.5065063308</v>
      </c>
      <c r="I166" s="387">
        <f t="shared" si="82"/>
        <v>-3408187.0870293332</v>
      </c>
      <c r="J166" s="387">
        <f t="shared" si="82"/>
        <v>-3418794.2612354984</v>
      </c>
      <c r="K166" s="387">
        <f t="shared" si="82"/>
        <v>-3428901.642156403</v>
      </c>
      <c r="L166" s="387">
        <f t="shared" si="82"/>
        <v>-3438532.4823930459</v>
      </c>
      <c r="M166" s="387">
        <f t="shared" si="82"/>
        <v>-3447710.8641833258</v>
      </c>
      <c r="N166" s="387">
        <f t="shared" si="82"/>
        <v>-3456461.9010272808</v>
      </c>
      <c r="O166" s="387">
        <f t="shared" si="82"/>
        <v>-3464811.9521490457</v>
      </c>
      <c r="P166" s="387">
        <f t="shared" si="82"/>
        <v>0</v>
      </c>
      <c r="Q166" s="387">
        <f t="shared" si="82"/>
        <v>0</v>
      </c>
      <c r="R166" s="387">
        <f t="shared" si="82"/>
        <v>0</v>
      </c>
      <c r="S166" s="387">
        <f t="shared" si="82"/>
        <v>0</v>
      </c>
      <c r="T166" s="387">
        <f t="shared" si="82"/>
        <v>0</v>
      </c>
      <c r="U166" s="387">
        <f t="shared" si="82"/>
        <v>0</v>
      </c>
      <c r="V166" s="387">
        <f t="shared" si="82"/>
        <v>0</v>
      </c>
      <c r="W166" s="387">
        <f t="shared" si="82"/>
        <v>0</v>
      </c>
      <c r="X166" s="387">
        <f t="shared" si="82"/>
        <v>0</v>
      </c>
      <c r="Y166" s="387">
        <f t="shared" si="82"/>
        <v>0</v>
      </c>
      <c r="Z166" s="387">
        <f t="shared" si="82"/>
        <v>0</v>
      </c>
      <c r="AA166" s="387">
        <f t="shared" si="82"/>
        <v>0</v>
      </c>
      <c r="AB166" s="387">
        <f t="shared" si="82"/>
        <v>0</v>
      </c>
      <c r="AC166" s="387">
        <f t="shared" si="82"/>
        <v>0</v>
      </c>
      <c r="AD166" s="387">
        <f t="shared" si="82"/>
        <v>0</v>
      </c>
      <c r="AE166" s="387">
        <f t="shared" si="82"/>
        <v>0</v>
      </c>
      <c r="AF166" s="387">
        <f t="shared" si="82"/>
        <v>0</v>
      </c>
      <c r="AG166" s="387">
        <f t="shared" si="82"/>
        <v>0</v>
      </c>
      <c r="AH166" s="387">
        <f t="shared" si="82"/>
        <v>0</v>
      </c>
      <c r="AI166" s="387">
        <f t="shared" si="82"/>
        <v>0</v>
      </c>
      <c r="AJ166" s="387">
        <f t="shared" si="82"/>
        <v>0</v>
      </c>
      <c r="AK166" s="387">
        <f t="shared" si="82"/>
        <v>0</v>
      </c>
      <c r="AL166" s="387">
        <f t="shared" si="82"/>
        <v>0</v>
      </c>
      <c r="AM166" s="387">
        <f t="shared" si="82"/>
        <v>0</v>
      </c>
      <c r="AN166" s="387">
        <f t="shared" si="82"/>
        <v>0</v>
      </c>
      <c r="AO166" s="387">
        <f t="shared" si="82"/>
        <v>0</v>
      </c>
      <c r="AP166" s="387">
        <f t="shared" si="82"/>
        <v>0</v>
      </c>
    </row>
    <row r="167" spans="1:42" s="12" customFormat="1" x14ac:dyDescent="0.2">
      <c r="A167" s="189" t="s">
        <v>57</v>
      </c>
      <c r="B167" s="379"/>
      <c r="C167" s="390">
        <f t="shared" ref="C167:AP167" si="83">IF(C$2&lt;=analysis_period,-C387-C418-C444-C470,0)</f>
        <v>-3768580.128205128</v>
      </c>
      <c r="D167" s="390">
        <f t="shared" si="83"/>
        <v>-6071535.256410256</v>
      </c>
      <c r="E167" s="390">
        <f t="shared" si="83"/>
        <v>-3725210.2564102565</v>
      </c>
      <c r="F167" s="390">
        <f t="shared" si="83"/>
        <v>-2315315.2564102565</v>
      </c>
      <c r="G167" s="390">
        <f t="shared" si="83"/>
        <v>-2309540.2564102565</v>
      </c>
      <c r="H167" s="390">
        <f t="shared" si="83"/>
        <v>-1251650.2564102565</v>
      </c>
      <c r="I167" s="390">
        <f t="shared" si="83"/>
        <v>-196535.25641025641</v>
      </c>
      <c r="J167" s="390">
        <f t="shared" si="83"/>
        <v>-196535.25641025641</v>
      </c>
      <c r="K167" s="390">
        <f t="shared" si="83"/>
        <v>-196610.25641025641</v>
      </c>
      <c r="L167" s="390">
        <f t="shared" si="83"/>
        <v>-196535.25641025641</v>
      </c>
      <c r="M167" s="390">
        <f t="shared" si="83"/>
        <v>-196610.25641025641</v>
      </c>
      <c r="N167" s="390">
        <f t="shared" si="83"/>
        <v>-65800743.146473557</v>
      </c>
      <c r="O167" s="390">
        <f t="shared" si="83"/>
        <v>-105163542.88051154</v>
      </c>
      <c r="P167" s="390">
        <f t="shared" si="83"/>
        <v>-63176569.830871023</v>
      </c>
      <c r="Q167" s="390">
        <f t="shared" si="83"/>
        <v>-37984631.001086719</v>
      </c>
      <c r="R167" s="390">
        <f t="shared" si="83"/>
        <v>-37920756.001086719</v>
      </c>
      <c r="S167" s="390">
        <f t="shared" si="83"/>
        <v>-18962958.128748488</v>
      </c>
      <c r="T167" s="390">
        <f t="shared" si="83"/>
        <v>-68910.256410256407</v>
      </c>
      <c r="U167" s="390">
        <f t="shared" si="83"/>
        <v>-68910.256410256407</v>
      </c>
      <c r="V167" s="390">
        <f t="shared" si="83"/>
        <v>-68910.256410256407</v>
      </c>
      <c r="W167" s="390">
        <f t="shared" si="83"/>
        <v>-37660.256410256399</v>
      </c>
      <c r="X167" s="390">
        <f t="shared" si="83"/>
        <v>-6410.2564102563992</v>
      </c>
      <c r="Y167" s="390">
        <f t="shared" si="83"/>
        <v>-6410.2564102563992</v>
      </c>
      <c r="Z167" s="390">
        <f t="shared" si="83"/>
        <v>-88236944.382390216</v>
      </c>
      <c r="AA167" s="390">
        <f t="shared" si="83"/>
        <v>-141175264.85797819</v>
      </c>
      <c r="AB167" s="390">
        <f t="shared" si="83"/>
        <v>0</v>
      </c>
      <c r="AC167" s="390">
        <f t="shared" si="83"/>
        <v>0</v>
      </c>
      <c r="AD167" s="390">
        <f t="shared" si="83"/>
        <v>0</v>
      </c>
      <c r="AE167" s="390">
        <f t="shared" si="83"/>
        <v>0</v>
      </c>
      <c r="AF167" s="390">
        <f t="shared" si="83"/>
        <v>0</v>
      </c>
      <c r="AG167" s="390">
        <f t="shared" si="83"/>
        <v>0</v>
      </c>
      <c r="AH167" s="390">
        <f t="shared" si="83"/>
        <v>0</v>
      </c>
      <c r="AI167" s="390">
        <f t="shared" si="83"/>
        <v>0</v>
      </c>
      <c r="AJ167" s="390">
        <f t="shared" si="83"/>
        <v>0</v>
      </c>
      <c r="AK167" s="390">
        <f t="shared" si="83"/>
        <v>0</v>
      </c>
      <c r="AL167" s="390">
        <f t="shared" si="83"/>
        <v>0</v>
      </c>
      <c r="AM167" s="390">
        <f t="shared" si="83"/>
        <v>0</v>
      </c>
      <c r="AN167" s="390">
        <f t="shared" si="83"/>
        <v>0</v>
      </c>
      <c r="AO167" s="390">
        <f t="shared" si="83"/>
        <v>0</v>
      </c>
      <c r="AP167" s="390">
        <f t="shared" si="83"/>
        <v>0</v>
      </c>
    </row>
    <row r="168" spans="1:42" s="21" customFormat="1" x14ac:dyDescent="0.2">
      <c r="A168" s="189" t="s">
        <v>63</v>
      </c>
      <c r="B168" s="379"/>
      <c r="C168" s="390">
        <f>C161</f>
        <v>-961892.10747605341</v>
      </c>
      <c r="D168" s="390">
        <f t="shared" ref="D168:AP168" si="84">D161</f>
        <v>703636.09771808435</v>
      </c>
      <c r="E168" s="390">
        <f t="shared" si="84"/>
        <v>397484.97973717726</v>
      </c>
      <c r="F168" s="390">
        <f t="shared" si="84"/>
        <v>213268.02341012002</v>
      </c>
      <c r="G168" s="390">
        <f t="shared" si="84"/>
        <v>211907.73938520584</v>
      </c>
      <c r="H168" s="390">
        <f t="shared" si="84"/>
        <v>73510.898868466742</v>
      </c>
      <c r="I168" s="390">
        <f t="shared" si="84"/>
        <v>-64703.713016501897</v>
      </c>
      <c r="J168" s="390">
        <f t="shared" si="84"/>
        <v>-65657.418160534522</v>
      </c>
      <c r="K168" s="390">
        <f t="shared" si="84"/>
        <v>-66577.290653186705</v>
      </c>
      <c r="L168" s="390">
        <f t="shared" si="84"/>
        <v>-67475.426175384506</v>
      </c>
      <c r="M168" s="390">
        <f t="shared" si="84"/>
        <v>-68334.88555177534</v>
      </c>
      <c r="N168" s="390">
        <f t="shared" si="84"/>
        <v>3539059.8715444552</v>
      </c>
      <c r="O168" s="390">
        <f t="shared" si="84"/>
        <v>5706859.766428601</v>
      </c>
      <c r="P168" s="390">
        <f t="shared" si="84"/>
        <v>3207523.4353043335</v>
      </c>
      <c r="Q168" s="390">
        <f t="shared" si="84"/>
        <v>1820715.4688793391</v>
      </c>
      <c r="R168" s="390">
        <f t="shared" si="84"/>
        <v>1816003.098072724</v>
      </c>
      <c r="S168" s="390">
        <f t="shared" si="84"/>
        <v>772176.78587895737</v>
      </c>
      <c r="T168" s="390">
        <f t="shared" si="84"/>
        <v>-268091.63596517732</v>
      </c>
      <c r="U168" s="390">
        <f t="shared" si="84"/>
        <v>-269135.87077772192</v>
      </c>
      <c r="V168" s="390">
        <f t="shared" si="84"/>
        <v>-270128.54990693432</v>
      </c>
      <c r="W168" s="390">
        <f t="shared" si="84"/>
        <v>-272788.33563695301</v>
      </c>
      <c r="X168" s="390">
        <f t="shared" si="84"/>
        <v>-275396.30583764997</v>
      </c>
      <c r="Y168" s="390">
        <f t="shared" si="84"/>
        <v>-276233.45547175087</v>
      </c>
      <c r="Z168" s="390">
        <f t="shared" si="84"/>
        <v>4575661.1789853666</v>
      </c>
      <c r="AA168" s="390">
        <f t="shared" si="84"/>
        <v>7216389.5661687227</v>
      </c>
      <c r="AB168" s="390" t="e">
        <f t="shared" si="84"/>
        <v>#VALUE!</v>
      </c>
      <c r="AC168" s="390" t="e">
        <f t="shared" si="84"/>
        <v>#VALUE!</v>
      </c>
      <c r="AD168" s="390" t="e">
        <f t="shared" si="84"/>
        <v>#VALUE!</v>
      </c>
      <c r="AE168" s="390" t="e">
        <f t="shared" si="84"/>
        <v>#VALUE!</v>
      </c>
      <c r="AF168" s="390" t="e">
        <f t="shared" si="84"/>
        <v>#VALUE!</v>
      </c>
      <c r="AG168" s="390" t="e">
        <f t="shared" si="84"/>
        <v>#VALUE!</v>
      </c>
      <c r="AH168" s="390" t="e">
        <f t="shared" si="84"/>
        <v>#VALUE!</v>
      </c>
      <c r="AI168" s="390" t="e">
        <f t="shared" si="84"/>
        <v>#VALUE!</v>
      </c>
      <c r="AJ168" s="390" t="e">
        <f t="shared" si="84"/>
        <v>#VALUE!</v>
      </c>
      <c r="AK168" s="390" t="e">
        <f t="shared" si="84"/>
        <v>#VALUE!</v>
      </c>
      <c r="AL168" s="390" t="e">
        <f t="shared" si="84"/>
        <v>#VALUE!</v>
      </c>
      <c r="AM168" s="390" t="e">
        <f t="shared" si="84"/>
        <v>#VALUE!</v>
      </c>
      <c r="AN168" s="390" t="e">
        <f t="shared" si="84"/>
        <v>#VALUE!</v>
      </c>
      <c r="AO168" s="390" t="e">
        <f t="shared" si="84"/>
        <v>#VALUE!</v>
      </c>
      <c r="AP168" s="390" t="e">
        <f t="shared" si="84"/>
        <v>#VALUE!</v>
      </c>
    </row>
    <row r="169" spans="1:42" s="21" customFormat="1" x14ac:dyDescent="0.2">
      <c r="A169" s="189" t="s">
        <v>84</v>
      </c>
      <c r="B169" s="379"/>
      <c r="C169" s="390">
        <f>C95</f>
        <v>0</v>
      </c>
      <c r="D169" s="390">
        <f t="shared" ref="D169:AP169" si="85">D95</f>
        <v>0</v>
      </c>
      <c r="E169" s="390">
        <f t="shared" si="85"/>
        <v>0</v>
      </c>
      <c r="F169" s="390">
        <f t="shared" si="85"/>
        <v>0</v>
      </c>
      <c r="G169" s="390">
        <f t="shared" si="85"/>
        <v>0</v>
      </c>
      <c r="H169" s="390">
        <f t="shared" si="85"/>
        <v>0</v>
      </c>
      <c r="I169" s="390">
        <f t="shared" si="85"/>
        <v>0</v>
      </c>
      <c r="J169" s="390">
        <f t="shared" si="85"/>
        <v>0</v>
      </c>
      <c r="K169" s="390">
        <f t="shared" si="85"/>
        <v>0</v>
      </c>
      <c r="L169" s="390">
        <f t="shared" si="85"/>
        <v>0</v>
      </c>
      <c r="M169" s="390">
        <f t="shared" si="85"/>
        <v>0</v>
      </c>
      <c r="N169" s="390">
        <f t="shared" si="85"/>
        <v>0</v>
      </c>
      <c r="O169" s="390">
        <f t="shared" si="85"/>
        <v>0</v>
      </c>
      <c r="P169" s="390">
        <f t="shared" si="85"/>
        <v>0</v>
      </c>
      <c r="Q169" s="390">
        <f t="shared" si="85"/>
        <v>0</v>
      </c>
      <c r="R169" s="390">
        <f t="shared" si="85"/>
        <v>0</v>
      </c>
      <c r="S169" s="390">
        <f t="shared" si="85"/>
        <v>0</v>
      </c>
      <c r="T169" s="390">
        <f t="shared" si="85"/>
        <v>0</v>
      </c>
      <c r="U169" s="390">
        <f t="shared" si="85"/>
        <v>0</v>
      </c>
      <c r="V169" s="390">
        <f t="shared" si="85"/>
        <v>0</v>
      </c>
      <c r="W169" s="390">
        <f t="shared" si="85"/>
        <v>0</v>
      </c>
      <c r="X169" s="390">
        <f t="shared" si="85"/>
        <v>0</v>
      </c>
      <c r="Y169" s="390">
        <f t="shared" si="85"/>
        <v>0</v>
      </c>
      <c r="Z169" s="390">
        <f t="shared" si="85"/>
        <v>0</v>
      </c>
      <c r="AA169" s="390">
        <f t="shared" si="85"/>
        <v>0</v>
      </c>
      <c r="AB169" s="390">
        <f t="shared" si="85"/>
        <v>0</v>
      </c>
      <c r="AC169" s="390">
        <f t="shared" si="85"/>
        <v>0</v>
      </c>
      <c r="AD169" s="390">
        <f t="shared" si="85"/>
        <v>0</v>
      </c>
      <c r="AE169" s="390">
        <f t="shared" si="85"/>
        <v>0</v>
      </c>
      <c r="AF169" s="390">
        <f t="shared" si="85"/>
        <v>0</v>
      </c>
      <c r="AG169" s="390">
        <f t="shared" si="85"/>
        <v>0</v>
      </c>
      <c r="AH169" s="390">
        <f t="shared" si="85"/>
        <v>0</v>
      </c>
      <c r="AI169" s="390">
        <f t="shared" si="85"/>
        <v>0</v>
      </c>
      <c r="AJ169" s="390">
        <f t="shared" si="85"/>
        <v>0</v>
      </c>
      <c r="AK169" s="390">
        <f t="shared" si="85"/>
        <v>0</v>
      </c>
      <c r="AL169" s="390">
        <f t="shared" si="85"/>
        <v>0</v>
      </c>
      <c r="AM169" s="390">
        <f t="shared" si="85"/>
        <v>0</v>
      </c>
      <c r="AN169" s="390">
        <f t="shared" si="85"/>
        <v>0</v>
      </c>
      <c r="AO169" s="390">
        <f t="shared" si="85"/>
        <v>0</v>
      </c>
      <c r="AP169" s="390">
        <f t="shared" si="85"/>
        <v>0</v>
      </c>
    </row>
    <row r="170" spans="1:42" s="21" customFormat="1" x14ac:dyDescent="0.2">
      <c r="A170" s="189" t="s">
        <v>181</v>
      </c>
      <c r="B170" s="379"/>
      <c r="C170" s="388">
        <f>C99</f>
        <v>0</v>
      </c>
      <c r="D170" s="388">
        <f t="shared" ref="D170:AP170" si="86">D99</f>
        <v>0</v>
      </c>
      <c r="E170" s="388">
        <f t="shared" si="86"/>
        <v>0</v>
      </c>
      <c r="F170" s="388">
        <f t="shared" si="86"/>
        <v>0</v>
      </c>
      <c r="G170" s="388">
        <f t="shared" si="86"/>
        <v>0</v>
      </c>
      <c r="H170" s="388">
        <f t="shared" si="86"/>
        <v>0</v>
      </c>
      <c r="I170" s="388">
        <f t="shared" si="86"/>
        <v>0</v>
      </c>
      <c r="J170" s="388">
        <f t="shared" si="86"/>
        <v>0</v>
      </c>
      <c r="K170" s="388">
        <f t="shared" si="86"/>
        <v>0</v>
      </c>
      <c r="L170" s="388">
        <f t="shared" si="86"/>
        <v>0</v>
      </c>
      <c r="M170" s="388">
        <f t="shared" si="86"/>
        <v>0</v>
      </c>
      <c r="N170" s="388">
        <f t="shared" si="86"/>
        <v>0</v>
      </c>
      <c r="O170" s="388">
        <f t="shared" si="86"/>
        <v>0</v>
      </c>
      <c r="P170" s="388">
        <f t="shared" si="86"/>
        <v>0</v>
      </c>
      <c r="Q170" s="388">
        <f t="shared" si="86"/>
        <v>0</v>
      </c>
      <c r="R170" s="388">
        <f t="shared" si="86"/>
        <v>0</v>
      </c>
      <c r="S170" s="388">
        <f t="shared" si="86"/>
        <v>0</v>
      </c>
      <c r="T170" s="388">
        <f t="shared" si="86"/>
        <v>0</v>
      </c>
      <c r="U170" s="388">
        <f t="shared" si="86"/>
        <v>0</v>
      </c>
      <c r="V170" s="388">
        <f t="shared" si="86"/>
        <v>0</v>
      </c>
      <c r="W170" s="388">
        <f t="shared" si="86"/>
        <v>0</v>
      </c>
      <c r="X170" s="388">
        <f t="shared" si="86"/>
        <v>0</v>
      </c>
      <c r="Y170" s="388">
        <f t="shared" si="86"/>
        <v>0</v>
      </c>
      <c r="Z170" s="388">
        <f t="shared" si="86"/>
        <v>0</v>
      </c>
      <c r="AA170" s="388">
        <f t="shared" si="86"/>
        <v>0</v>
      </c>
      <c r="AB170" s="388">
        <f t="shared" si="86"/>
        <v>0</v>
      </c>
      <c r="AC170" s="388">
        <f t="shared" si="86"/>
        <v>0</v>
      </c>
      <c r="AD170" s="388">
        <f t="shared" si="86"/>
        <v>0</v>
      </c>
      <c r="AE170" s="388">
        <f t="shared" si="86"/>
        <v>0</v>
      </c>
      <c r="AF170" s="388">
        <f t="shared" si="86"/>
        <v>0</v>
      </c>
      <c r="AG170" s="388">
        <f t="shared" si="86"/>
        <v>0</v>
      </c>
      <c r="AH170" s="388">
        <f t="shared" si="86"/>
        <v>0</v>
      </c>
      <c r="AI170" s="388">
        <f t="shared" si="86"/>
        <v>0</v>
      </c>
      <c r="AJ170" s="388">
        <f t="shared" si="86"/>
        <v>0</v>
      </c>
      <c r="AK170" s="388">
        <f t="shared" si="86"/>
        <v>0</v>
      </c>
      <c r="AL170" s="388">
        <f t="shared" si="86"/>
        <v>0</v>
      </c>
      <c r="AM170" s="388">
        <f t="shared" si="86"/>
        <v>0</v>
      </c>
      <c r="AN170" s="388">
        <f t="shared" si="86"/>
        <v>0</v>
      </c>
      <c r="AO170" s="388">
        <f t="shared" si="86"/>
        <v>0</v>
      </c>
      <c r="AP170" s="388">
        <f t="shared" si="86"/>
        <v>0</v>
      </c>
    </row>
    <row r="171" spans="1:42" s="21" customFormat="1" x14ac:dyDescent="0.2">
      <c r="A171" s="189" t="s">
        <v>55</v>
      </c>
      <c r="B171" s="379"/>
      <c r="C171" s="387">
        <f>SUM(C164:C170)</f>
        <v>-3472944.6988205342</v>
      </c>
      <c r="D171" s="387">
        <f t="shared" ref="D171:AP171" si="87">SUM(D164:D170)</f>
        <v>-4089747.4971561749</v>
      </c>
      <c r="E171" s="387">
        <f t="shared" si="87"/>
        <v>-2029514.6518478643</v>
      </c>
      <c r="F171" s="387">
        <f t="shared" si="87"/>
        <v>-784332.40222842572</v>
      </c>
      <c r="G171" s="387">
        <f t="shared" si="87"/>
        <v>-760960.24943671934</v>
      </c>
      <c r="H171" s="387">
        <f t="shared" si="87"/>
        <v>176949.10125998035</v>
      </c>
      <c r="I171" s="387">
        <f t="shared" si="87"/>
        <v>1111727.4327380781</v>
      </c>
      <c r="J171" s="387">
        <f t="shared" si="87"/>
        <v>1128113.8211219115</v>
      </c>
      <c r="K171" s="387">
        <f t="shared" si="87"/>
        <v>1143918.9030411171</v>
      </c>
      <c r="L171" s="387">
        <f t="shared" si="87"/>
        <v>1159350.5042861521</v>
      </c>
      <c r="M171" s="387">
        <f t="shared" si="87"/>
        <v>1174117.5790259582</v>
      </c>
      <c r="N171" s="387">
        <f t="shared" si="87"/>
        <v>-60807483.247445635</v>
      </c>
      <c r="O171" s="387">
        <f t="shared" si="87"/>
        <v>-98054226.895909593</v>
      </c>
      <c r="P171" s="387">
        <f t="shared" si="87"/>
        <v>-55111084.479319915</v>
      </c>
      <c r="Q171" s="387">
        <f t="shared" si="87"/>
        <v>-31283202.147108644</v>
      </c>
      <c r="R171" s="387">
        <f t="shared" si="87"/>
        <v>-31202235.04870408</v>
      </c>
      <c r="S171" s="387">
        <f t="shared" si="87"/>
        <v>-13267401.139192993</v>
      </c>
      <c r="T171" s="387">
        <f t="shared" si="87"/>
        <v>4606301.745219864</v>
      </c>
      <c r="U171" s="387">
        <f t="shared" si="87"/>
        <v>4624243.5979081318</v>
      </c>
      <c r="V171" s="387">
        <f t="shared" si="87"/>
        <v>4641299.6302191438</v>
      </c>
      <c r="W171" s="387">
        <f t="shared" si="87"/>
        <v>4686999.5850349199</v>
      </c>
      <c r="X171" s="387">
        <f t="shared" si="87"/>
        <v>4731809.2548468951</v>
      </c>
      <c r="Y171" s="387">
        <f t="shared" si="87"/>
        <v>4746193.0076509919</v>
      </c>
      <c r="Z171" s="387">
        <f t="shared" si="87"/>
        <v>-78618178.438930377</v>
      </c>
      <c r="AA171" s="387">
        <f t="shared" si="87"/>
        <v>-123990693.45508079</v>
      </c>
      <c r="AB171" s="387" t="e">
        <f t="shared" si="87"/>
        <v>#VALUE!</v>
      </c>
      <c r="AC171" s="387" t="e">
        <f t="shared" si="87"/>
        <v>#VALUE!</v>
      </c>
      <c r="AD171" s="387" t="e">
        <f t="shared" si="87"/>
        <v>#VALUE!</v>
      </c>
      <c r="AE171" s="387" t="e">
        <f t="shared" si="87"/>
        <v>#VALUE!</v>
      </c>
      <c r="AF171" s="387" t="e">
        <f t="shared" si="87"/>
        <v>#VALUE!</v>
      </c>
      <c r="AG171" s="387" t="e">
        <f t="shared" si="87"/>
        <v>#VALUE!</v>
      </c>
      <c r="AH171" s="387" t="e">
        <f t="shared" si="87"/>
        <v>#VALUE!</v>
      </c>
      <c r="AI171" s="387" t="e">
        <f t="shared" si="87"/>
        <v>#VALUE!</v>
      </c>
      <c r="AJ171" s="387" t="e">
        <f t="shared" si="87"/>
        <v>#VALUE!</v>
      </c>
      <c r="AK171" s="387" t="e">
        <f t="shared" si="87"/>
        <v>#VALUE!</v>
      </c>
      <c r="AL171" s="387" t="e">
        <f t="shared" si="87"/>
        <v>#VALUE!</v>
      </c>
      <c r="AM171" s="387" t="e">
        <f t="shared" si="87"/>
        <v>#VALUE!</v>
      </c>
      <c r="AN171" s="387" t="e">
        <f t="shared" si="87"/>
        <v>#VALUE!</v>
      </c>
      <c r="AO171" s="387" t="e">
        <f t="shared" si="87"/>
        <v>#VALUE!</v>
      </c>
      <c r="AP171" s="387" t="e">
        <f t="shared" si="87"/>
        <v>#VALUE!</v>
      </c>
    </row>
    <row r="172" spans="1:42" s="21" customFormat="1" x14ac:dyDescent="0.2">
      <c r="A172" s="189" t="str">
        <f>Inputs!B103</f>
        <v>Investment Based Incentive (IBI)</v>
      </c>
      <c r="B172" s="379"/>
    </row>
    <row r="173" spans="1:42" s="21" customFormat="1" x14ac:dyDescent="0.2">
      <c r="A173" s="192" t="str">
        <f>Inputs!B104</f>
        <v>As fixed amount</v>
      </c>
      <c r="B173" s="379"/>
    </row>
    <row r="174" spans="1:42" s="21" customFormat="1" x14ac:dyDescent="0.2">
      <c r="A174" s="172" t="s">
        <v>7</v>
      </c>
      <c r="B174" s="379"/>
      <c r="C174" s="387">
        <f>IF(ibi_fed_amount_tax_fed="Yes",C487,0)</f>
        <v>0</v>
      </c>
    </row>
    <row r="175" spans="1:42" s="21" customFormat="1" x14ac:dyDescent="0.2">
      <c r="A175" s="172" t="s">
        <v>8</v>
      </c>
      <c r="B175" s="379"/>
      <c r="C175" s="387">
        <f>IF(ibi_sta_amount_tax_fed="Yes",C488,0)</f>
        <v>0</v>
      </c>
    </row>
    <row r="176" spans="1:42" s="21" customFormat="1" x14ac:dyDescent="0.2">
      <c r="A176" s="172" t="s">
        <v>317</v>
      </c>
      <c r="B176" s="379"/>
      <c r="C176" s="387">
        <f>IF(ibi_uti_amount_tax_fed="Yes",C489,0)</f>
        <v>0</v>
      </c>
    </row>
    <row r="177" spans="1:42" x14ac:dyDescent="0.2">
      <c r="A177" s="172" t="s">
        <v>318</v>
      </c>
      <c r="B177" s="194"/>
      <c r="C177" s="388">
        <f>IF(ibi_oth_amount_tax_fed="Yes",C490,0)</f>
        <v>0</v>
      </c>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row>
    <row r="178" spans="1:42" x14ac:dyDescent="0.2">
      <c r="A178" s="172" t="s">
        <v>21</v>
      </c>
      <c r="B178" s="194"/>
      <c r="C178" s="389">
        <f>SUM(C174:C177)</f>
        <v>0</v>
      </c>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row>
    <row r="179" spans="1:42" x14ac:dyDescent="0.2">
      <c r="A179" s="192" t="str">
        <f>Inputs!B109</f>
        <v>As percentage</v>
      </c>
      <c r="B179" s="194"/>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row>
    <row r="180" spans="1:42" x14ac:dyDescent="0.2">
      <c r="A180" s="172" t="s">
        <v>7</v>
      </c>
      <c r="B180" s="194"/>
      <c r="C180" s="387">
        <f>C493</f>
        <v>25000000</v>
      </c>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row>
    <row r="181" spans="1:42" x14ac:dyDescent="0.2">
      <c r="A181" s="172" t="s">
        <v>8</v>
      </c>
      <c r="B181" s="194"/>
      <c r="C181" s="387">
        <f t="shared" ref="C181:C183" si="88">C494</f>
        <v>0</v>
      </c>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row>
    <row r="182" spans="1:42" x14ac:dyDescent="0.2">
      <c r="A182" s="172" t="s">
        <v>317</v>
      </c>
      <c r="B182" s="194"/>
      <c r="C182" s="387">
        <f t="shared" si="88"/>
        <v>0</v>
      </c>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row>
    <row r="183" spans="1:42" x14ac:dyDescent="0.2">
      <c r="A183" s="172" t="s">
        <v>318</v>
      </c>
      <c r="B183" s="194"/>
      <c r="C183" s="388">
        <f t="shared" si="88"/>
        <v>0</v>
      </c>
      <c r="D183" s="36"/>
      <c r="E183" s="36"/>
      <c r="F183" s="36"/>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row>
    <row r="184" spans="1:42" x14ac:dyDescent="0.2">
      <c r="A184" s="172" t="s">
        <v>21</v>
      </c>
      <c r="B184" s="194"/>
      <c r="C184" s="389">
        <f>SUM(C180:C183)</f>
        <v>25000000</v>
      </c>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row>
    <row r="185" spans="1:42" x14ac:dyDescent="0.2">
      <c r="A185" s="189" t="str">
        <f>Inputs!B114</f>
        <v>Capacity Based Incentive (CBI)</v>
      </c>
      <c r="B185" s="194"/>
      <c r="C185" s="36"/>
      <c r="D185" s="36"/>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row>
    <row r="186" spans="1:42" x14ac:dyDescent="0.2">
      <c r="A186" s="192" t="s">
        <v>7</v>
      </c>
      <c r="B186" s="194"/>
      <c r="C186" s="390">
        <f>C499</f>
        <v>0</v>
      </c>
      <c r="D186" s="36"/>
      <c r="E186" s="36"/>
      <c r="F186" s="36"/>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row>
    <row r="187" spans="1:42" x14ac:dyDescent="0.2">
      <c r="A187" s="192" t="s">
        <v>8</v>
      </c>
      <c r="B187" s="194"/>
      <c r="C187" s="390">
        <f t="shared" ref="C187:C189" si="89">C500</f>
        <v>0</v>
      </c>
      <c r="D187" s="36"/>
      <c r="E187" s="36"/>
      <c r="F187" s="36"/>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row>
    <row r="188" spans="1:42" x14ac:dyDescent="0.2">
      <c r="A188" s="192" t="s">
        <v>317</v>
      </c>
      <c r="B188" s="194"/>
      <c r="C188" s="390">
        <f t="shared" si="89"/>
        <v>0</v>
      </c>
      <c r="D188" s="36"/>
      <c r="E188" s="3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row>
    <row r="189" spans="1:42" x14ac:dyDescent="0.2">
      <c r="A189" s="192" t="s">
        <v>318</v>
      </c>
      <c r="B189" s="194"/>
      <c r="C189" s="388">
        <f t="shared" si="89"/>
        <v>0</v>
      </c>
      <c r="D189" s="36"/>
      <c r="E189" s="36"/>
      <c r="F189" s="36"/>
      <c r="G189" s="36"/>
      <c r="H189" s="36"/>
      <c r="I189" s="36"/>
      <c r="J189" s="36"/>
      <c r="K189" s="36"/>
      <c r="L189" s="36"/>
      <c r="M189" s="36"/>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row>
    <row r="190" spans="1:42" x14ac:dyDescent="0.2">
      <c r="A190" s="192" t="s">
        <v>21</v>
      </c>
      <c r="B190" s="194"/>
      <c r="C190" s="389">
        <f>SUM(C186:C189)</f>
        <v>0</v>
      </c>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row>
    <row r="191" spans="1:42" x14ac:dyDescent="0.2">
      <c r="A191" s="189" t="str">
        <f>Inputs!B119</f>
        <v>Production Based Incentive (PBI)</v>
      </c>
      <c r="B191" s="194"/>
      <c r="C191" s="36"/>
      <c r="D191" s="36"/>
      <c r="E191" s="36"/>
      <c r="F191" s="36"/>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row>
    <row r="192" spans="1:42" x14ac:dyDescent="0.2">
      <c r="A192" s="192" t="s">
        <v>7</v>
      </c>
      <c r="B192" s="194"/>
      <c r="C192" s="390">
        <f t="shared" ref="C192:AP192" si="90">IF(AND(pbi_fed_tax_fed="Yes",pbi_fed_for_ds="No"),C509,0)</f>
        <v>0</v>
      </c>
      <c r="D192" s="390">
        <f t="shared" si="90"/>
        <v>0</v>
      </c>
      <c r="E192" s="390">
        <f t="shared" si="90"/>
        <v>0</v>
      </c>
      <c r="F192" s="390">
        <f t="shared" si="90"/>
        <v>0</v>
      </c>
      <c r="G192" s="390">
        <f t="shared" si="90"/>
        <v>0</v>
      </c>
      <c r="H192" s="390">
        <f t="shared" si="90"/>
        <v>0</v>
      </c>
      <c r="I192" s="390">
        <f t="shared" si="90"/>
        <v>0</v>
      </c>
      <c r="J192" s="390">
        <f t="shared" si="90"/>
        <v>0</v>
      </c>
      <c r="K192" s="390">
        <f t="shared" si="90"/>
        <v>0</v>
      </c>
      <c r="L192" s="390">
        <f t="shared" si="90"/>
        <v>0</v>
      </c>
      <c r="M192" s="390">
        <f t="shared" si="90"/>
        <v>0</v>
      </c>
      <c r="N192" s="390">
        <f t="shared" si="90"/>
        <v>0</v>
      </c>
      <c r="O192" s="390">
        <f t="shared" si="90"/>
        <v>0</v>
      </c>
      <c r="P192" s="390">
        <f t="shared" si="90"/>
        <v>0</v>
      </c>
      <c r="Q192" s="390">
        <f t="shared" si="90"/>
        <v>0</v>
      </c>
      <c r="R192" s="390">
        <f t="shared" si="90"/>
        <v>0</v>
      </c>
      <c r="S192" s="390">
        <f t="shared" si="90"/>
        <v>0</v>
      </c>
      <c r="T192" s="390">
        <f t="shared" si="90"/>
        <v>0</v>
      </c>
      <c r="U192" s="390">
        <f t="shared" si="90"/>
        <v>0</v>
      </c>
      <c r="V192" s="390">
        <f t="shared" si="90"/>
        <v>0</v>
      </c>
      <c r="W192" s="390">
        <f t="shared" si="90"/>
        <v>0</v>
      </c>
      <c r="X192" s="390">
        <f t="shared" si="90"/>
        <v>0</v>
      </c>
      <c r="Y192" s="390">
        <f t="shared" si="90"/>
        <v>0</v>
      </c>
      <c r="Z192" s="390">
        <f t="shared" si="90"/>
        <v>0</v>
      </c>
      <c r="AA192" s="390">
        <f t="shared" si="90"/>
        <v>0</v>
      </c>
      <c r="AB192" s="390">
        <f t="shared" si="90"/>
        <v>0</v>
      </c>
      <c r="AC192" s="390">
        <f t="shared" si="90"/>
        <v>0</v>
      </c>
      <c r="AD192" s="390">
        <f t="shared" si="90"/>
        <v>0</v>
      </c>
      <c r="AE192" s="390">
        <f t="shared" si="90"/>
        <v>0</v>
      </c>
      <c r="AF192" s="390">
        <f t="shared" si="90"/>
        <v>0</v>
      </c>
      <c r="AG192" s="390">
        <f t="shared" si="90"/>
        <v>0</v>
      </c>
      <c r="AH192" s="390">
        <f t="shared" si="90"/>
        <v>0</v>
      </c>
      <c r="AI192" s="390">
        <f t="shared" si="90"/>
        <v>0</v>
      </c>
      <c r="AJ192" s="390">
        <f t="shared" si="90"/>
        <v>0</v>
      </c>
      <c r="AK192" s="390">
        <f t="shared" si="90"/>
        <v>0</v>
      </c>
      <c r="AL192" s="390">
        <f t="shared" si="90"/>
        <v>0</v>
      </c>
      <c r="AM192" s="390">
        <f t="shared" si="90"/>
        <v>0</v>
      </c>
      <c r="AN192" s="390">
        <f t="shared" si="90"/>
        <v>0</v>
      </c>
      <c r="AO192" s="390">
        <f t="shared" si="90"/>
        <v>0</v>
      </c>
      <c r="AP192" s="390">
        <f t="shared" si="90"/>
        <v>0</v>
      </c>
    </row>
    <row r="193" spans="1:42" x14ac:dyDescent="0.2">
      <c r="A193" s="192" t="s">
        <v>8</v>
      </c>
      <c r="B193" s="194"/>
      <c r="C193" s="390">
        <f t="shared" ref="C193:AP193" si="91">IF(AND(pbi_sta_tax_fed="Yes",pbi_sta_for_ds="No"),C513,0)</f>
        <v>0</v>
      </c>
      <c r="D193" s="390">
        <f t="shared" si="91"/>
        <v>0</v>
      </c>
      <c r="E193" s="390">
        <f t="shared" si="91"/>
        <v>0</v>
      </c>
      <c r="F193" s="390">
        <f t="shared" si="91"/>
        <v>0</v>
      </c>
      <c r="G193" s="390">
        <f t="shared" si="91"/>
        <v>0</v>
      </c>
      <c r="H193" s="390">
        <f t="shared" si="91"/>
        <v>0</v>
      </c>
      <c r="I193" s="390">
        <f t="shared" si="91"/>
        <v>0</v>
      </c>
      <c r="J193" s="390">
        <f t="shared" si="91"/>
        <v>0</v>
      </c>
      <c r="K193" s="390">
        <f t="shared" si="91"/>
        <v>0</v>
      </c>
      <c r="L193" s="390">
        <f t="shared" si="91"/>
        <v>0</v>
      </c>
      <c r="M193" s="390">
        <f t="shared" si="91"/>
        <v>0</v>
      </c>
      <c r="N193" s="390">
        <f t="shared" si="91"/>
        <v>0</v>
      </c>
      <c r="O193" s="390">
        <f t="shared" si="91"/>
        <v>0</v>
      </c>
      <c r="P193" s="390">
        <f t="shared" si="91"/>
        <v>0</v>
      </c>
      <c r="Q193" s="390">
        <f t="shared" si="91"/>
        <v>0</v>
      </c>
      <c r="R193" s="390">
        <f t="shared" si="91"/>
        <v>0</v>
      </c>
      <c r="S193" s="390">
        <f t="shared" si="91"/>
        <v>0</v>
      </c>
      <c r="T193" s="390">
        <f t="shared" si="91"/>
        <v>0</v>
      </c>
      <c r="U193" s="390">
        <f t="shared" si="91"/>
        <v>0</v>
      </c>
      <c r="V193" s="390">
        <f t="shared" si="91"/>
        <v>0</v>
      </c>
      <c r="W193" s="390">
        <f t="shared" si="91"/>
        <v>0</v>
      </c>
      <c r="X193" s="390">
        <f t="shared" si="91"/>
        <v>0</v>
      </c>
      <c r="Y193" s="390">
        <f t="shared" si="91"/>
        <v>0</v>
      </c>
      <c r="Z193" s="390">
        <f t="shared" si="91"/>
        <v>0</v>
      </c>
      <c r="AA193" s="390">
        <f t="shared" si="91"/>
        <v>0</v>
      </c>
      <c r="AB193" s="390">
        <f t="shared" si="91"/>
        <v>0</v>
      </c>
      <c r="AC193" s="390">
        <f t="shared" si="91"/>
        <v>0</v>
      </c>
      <c r="AD193" s="390">
        <f t="shared" si="91"/>
        <v>0</v>
      </c>
      <c r="AE193" s="390">
        <f t="shared" si="91"/>
        <v>0</v>
      </c>
      <c r="AF193" s="390">
        <f t="shared" si="91"/>
        <v>0</v>
      </c>
      <c r="AG193" s="390">
        <f t="shared" si="91"/>
        <v>0</v>
      </c>
      <c r="AH193" s="390">
        <f t="shared" si="91"/>
        <v>0</v>
      </c>
      <c r="AI193" s="390">
        <f t="shared" si="91"/>
        <v>0</v>
      </c>
      <c r="AJ193" s="390">
        <f t="shared" si="91"/>
        <v>0</v>
      </c>
      <c r="AK193" s="390">
        <f t="shared" si="91"/>
        <v>0</v>
      </c>
      <c r="AL193" s="390">
        <f t="shared" si="91"/>
        <v>0</v>
      </c>
      <c r="AM193" s="390">
        <f t="shared" si="91"/>
        <v>0</v>
      </c>
      <c r="AN193" s="390">
        <f t="shared" si="91"/>
        <v>0</v>
      </c>
      <c r="AO193" s="390">
        <f t="shared" si="91"/>
        <v>0</v>
      </c>
      <c r="AP193" s="390">
        <f t="shared" si="91"/>
        <v>0</v>
      </c>
    </row>
    <row r="194" spans="1:42" x14ac:dyDescent="0.2">
      <c r="A194" s="192" t="s">
        <v>317</v>
      </c>
      <c r="B194" s="194"/>
      <c r="C194" s="390">
        <f t="shared" ref="C194:AP194" si="92">IF(AND(pbi_uti_tax_fed="Yes",pbi_uti_for_ds="No"),C517,0)</f>
        <v>0</v>
      </c>
      <c r="D194" s="390">
        <f t="shared" si="92"/>
        <v>0</v>
      </c>
      <c r="E194" s="390">
        <f t="shared" si="92"/>
        <v>0</v>
      </c>
      <c r="F194" s="390">
        <f t="shared" si="92"/>
        <v>0</v>
      </c>
      <c r="G194" s="390">
        <f t="shared" si="92"/>
        <v>0</v>
      </c>
      <c r="H194" s="390">
        <f t="shared" si="92"/>
        <v>0</v>
      </c>
      <c r="I194" s="390">
        <f t="shared" si="92"/>
        <v>0</v>
      </c>
      <c r="J194" s="390">
        <f t="shared" si="92"/>
        <v>0</v>
      </c>
      <c r="K194" s="390">
        <f t="shared" si="92"/>
        <v>0</v>
      </c>
      <c r="L194" s="390">
        <f t="shared" si="92"/>
        <v>0</v>
      </c>
      <c r="M194" s="390">
        <f t="shared" si="92"/>
        <v>0</v>
      </c>
      <c r="N194" s="390">
        <f t="shared" si="92"/>
        <v>0</v>
      </c>
      <c r="O194" s="390">
        <f t="shared" si="92"/>
        <v>0</v>
      </c>
      <c r="P194" s="390">
        <f t="shared" si="92"/>
        <v>0</v>
      </c>
      <c r="Q194" s="390">
        <f t="shared" si="92"/>
        <v>0</v>
      </c>
      <c r="R194" s="390">
        <f t="shared" si="92"/>
        <v>0</v>
      </c>
      <c r="S194" s="390">
        <f t="shared" si="92"/>
        <v>0</v>
      </c>
      <c r="T194" s="390">
        <f t="shared" si="92"/>
        <v>0</v>
      </c>
      <c r="U194" s="390">
        <f t="shared" si="92"/>
        <v>0</v>
      </c>
      <c r="V194" s="390">
        <f t="shared" si="92"/>
        <v>0</v>
      </c>
      <c r="W194" s="390">
        <f t="shared" si="92"/>
        <v>0</v>
      </c>
      <c r="X194" s="390">
        <f t="shared" si="92"/>
        <v>0</v>
      </c>
      <c r="Y194" s="390">
        <f t="shared" si="92"/>
        <v>0</v>
      </c>
      <c r="Z194" s="390">
        <f t="shared" si="92"/>
        <v>0</v>
      </c>
      <c r="AA194" s="390">
        <f t="shared" si="92"/>
        <v>0</v>
      </c>
      <c r="AB194" s="390">
        <f t="shared" si="92"/>
        <v>0</v>
      </c>
      <c r="AC194" s="390">
        <f t="shared" si="92"/>
        <v>0</v>
      </c>
      <c r="AD194" s="390">
        <f t="shared" si="92"/>
        <v>0</v>
      </c>
      <c r="AE194" s="390">
        <f t="shared" si="92"/>
        <v>0</v>
      </c>
      <c r="AF194" s="390">
        <f t="shared" si="92"/>
        <v>0</v>
      </c>
      <c r="AG194" s="390">
        <f t="shared" si="92"/>
        <v>0</v>
      </c>
      <c r="AH194" s="390">
        <f t="shared" si="92"/>
        <v>0</v>
      </c>
      <c r="AI194" s="390">
        <f t="shared" si="92"/>
        <v>0</v>
      </c>
      <c r="AJ194" s="390">
        <f t="shared" si="92"/>
        <v>0</v>
      </c>
      <c r="AK194" s="390">
        <f t="shared" si="92"/>
        <v>0</v>
      </c>
      <c r="AL194" s="390">
        <f t="shared" si="92"/>
        <v>0</v>
      </c>
      <c r="AM194" s="390">
        <f t="shared" si="92"/>
        <v>0</v>
      </c>
      <c r="AN194" s="390">
        <f t="shared" si="92"/>
        <v>0</v>
      </c>
      <c r="AO194" s="390">
        <f t="shared" si="92"/>
        <v>0</v>
      </c>
      <c r="AP194" s="390">
        <f t="shared" si="92"/>
        <v>0</v>
      </c>
    </row>
    <row r="195" spans="1:42" x14ac:dyDescent="0.2">
      <c r="A195" s="192" t="s">
        <v>318</v>
      </c>
      <c r="B195" s="194"/>
      <c r="C195" s="390">
        <f t="shared" ref="C195:AP195" si="93">IF(AND(pbi_oth_tax_fed="Yes",pbi_oth_for_ds="No"),C521,0)</f>
        <v>0</v>
      </c>
      <c r="D195" s="390">
        <f t="shared" si="93"/>
        <v>0</v>
      </c>
      <c r="E195" s="390">
        <f t="shared" si="93"/>
        <v>0</v>
      </c>
      <c r="F195" s="390">
        <f t="shared" si="93"/>
        <v>0</v>
      </c>
      <c r="G195" s="390">
        <f t="shared" si="93"/>
        <v>0</v>
      </c>
      <c r="H195" s="390">
        <f t="shared" si="93"/>
        <v>0</v>
      </c>
      <c r="I195" s="390">
        <f t="shared" si="93"/>
        <v>0</v>
      </c>
      <c r="J195" s="390">
        <f t="shared" si="93"/>
        <v>0</v>
      </c>
      <c r="K195" s="390">
        <f t="shared" si="93"/>
        <v>0</v>
      </c>
      <c r="L195" s="390">
        <f t="shared" si="93"/>
        <v>0</v>
      </c>
      <c r="M195" s="390">
        <f t="shared" si="93"/>
        <v>0</v>
      </c>
      <c r="N195" s="390">
        <f t="shared" si="93"/>
        <v>0</v>
      </c>
      <c r="O195" s="390">
        <f t="shared" si="93"/>
        <v>0</v>
      </c>
      <c r="P195" s="390">
        <f t="shared" si="93"/>
        <v>0</v>
      </c>
      <c r="Q195" s="390">
        <f t="shared" si="93"/>
        <v>0</v>
      </c>
      <c r="R195" s="390">
        <f t="shared" si="93"/>
        <v>0</v>
      </c>
      <c r="S195" s="390">
        <f t="shared" si="93"/>
        <v>0</v>
      </c>
      <c r="T195" s="390">
        <f t="shared" si="93"/>
        <v>0</v>
      </c>
      <c r="U195" s="390">
        <f t="shared" si="93"/>
        <v>0</v>
      </c>
      <c r="V195" s="390">
        <f t="shared" si="93"/>
        <v>0</v>
      </c>
      <c r="W195" s="390">
        <f t="shared" si="93"/>
        <v>0</v>
      </c>
      <c r="X195" s="390">
        <f t="shared" si="93"/>
        <v>0</v>
      </c>
      <c r="Y195" s="390">
        <f t="shared" si="93"/>
        <v>0</v>
      </c>
      <c r="Z195" s="390">
        <f t="shared" si="93"/>
        <v>0</v>
      </c>
      <c r="AA195" s="390">
        <f t="shared" si="93"/>
        <v>0</v>
      </c>
      <c r="AB195" s="390">
        <f t="shared" si="93"/>
        <v>0</v>
      </c>
      <c r="AC195" s="390">
        <f t="shared" si="93"/>
        <v>0</v>
      </c>
      <c r="AD195" s="390">
        <f t="shared" si="93"/>
        <v>0</v>
      </c>
      <c r="AE195" s="390">
        <f t="shared" si="93"/>
        <v>0</v>
      </c>
      <c r="AF195" s="390">
        <f t="shared" si="93"/>
        <v>0</v>
      </c>
      <c r="AG195" s="390">
        <f t="shared" si="93"/>
        <v>0</v>
      </c>
      <c r="AH195" s="390">
        <f t="shared" si="93"/>
        <v>0</v>
      </c>
      <c r="AI195" s="390">
        <f t="shared" si="93"/>
        <v>0</v>
      </c>
      <c r="AJ195" s="390">
        <f t="shared" si="93"/>
        <v>0</v>
      </c>
      <c r="AK195" s="390">
        <f t="shared" si="93"/>
        <v>0</v>
      </c>
      <c r="AL195" s="390">
        <f t="shared" si="93"/>
        <v>0</v>
      </c>
      <c r="AM195" s="390">
        <f t="shared" si="93"/>
        <v>0</v>
      </c>
      <c r="AN195" s="390">
        <f t="shared" si="93"/>
        <v>0</v>
      </c>
      <c r="AO195" s="390">
        <f t="shared" si="93"/>
        <v>0</v>
      </c>
      <c r="AP195" s="390">
        <f t="shared" si="93"/>
        <v>0</v>
      </c>
    </row>
    <row r="196" spans="1:42" x14ac:dyDescent="0.2">
      <c r="A196" s="192" t="s">
        <v>21</v>
      </c>
      <c r="B196" s="194"/>
      <c r="C196" s="391">
        <f>SUM(C192:C195)</f>
        <v>0</v>
      </c>
      <c r="D196" s="391">
        <f t="shared" ref="D196:AP196" si="94">SUM(D192:D195)</f>
        <v>0</v>
      </c>
      <c r="E196" s="391">
        <f t="shared" si="94"/>
        <v>0</v>
      </c>
      <c r="F196" s="391">
        <f t="shared" si="94"/>
        <v>0</v>
      </c>
      <c r="G196" s="391">
        <f t="shared" si="94"/>
        <v>0</v>
      </c>
      <c r="H196" s="391">
        <f t="shared" si="94"/>
        <v>0</v>
      </c>
      <c r="I196" s="391">
        <f t="shared" si="94"/>
        <v>0</v>
      </c>
      <c r="J196" s="391">
        <f t="shared" si="94"/>
        <v>0</v>
      </c>
      <c r="K196" s="391">
        <f t="shared" si="94"/>
        <v>0</v>
      </c>
      <c r="L196" s="391">
        <f t="shared" si="94"/>
        <v>0</v>
      </c>
      <c r="M196" s="391">
        <f t="shared" si="94"/>
        <v>0</v>
      </c>
      <c r="N196" s="391">
        <f t="shared" si="94"/>
        <v>0</v>
      </c>
      <c r="O196" s="391">
        <f t="shared" si="94"/>
        <v>0</v>
      </c>
      <c r="P196" s="391">
        <f t="shared" si="94"/>
        <v>0</v>
      </c>
      <c r="Q196" s="391">
        <f t="shared" si="94"/>
        <v>0</v>
      </c>
      <c r="R196" s="391">
        <f t="shared" si="94"/>
        <v>0</v>
      </c>
      <c r="S196" s="391">
        <f t="shared" si="94"/>
        <v>0</v>
      </c>
      <c r="T196" s="391">
        <f t="shared" si="94"/>
        <v>0</v>
      </c>
      <c r="U196" s="391">
        <f t="shared" si="94"/>
        <v>0</v>
      </c>
      <c r="V196" s="391">
        <f t="shared" si="94"/>
        <v>0</v>
      </c>
      <c r="W196" s="391">
        <f t="shared" si="94"/>
        <v>0</v>
      </c>
      <c r="X196" s="391">
        <f t="shared" si="94"/>
        <v>0</v>
      </c>
      <c r="Y196" s="391">
        <f t="shared" si="94"/>
        <v>0</v>
      </c>
      <c r="Z196" s="391">
        <f t="shared" si="94"/>
        <v>0</v>
      </c>
      <c r="AA196" s="391">
        <f t="shared" si="94"/>
        <v>0</v>
      </c>
      <c r="AB196" s="391">
        <f t="shared" si="94"/>
        <v>0</v>
      </c>
      <c r="AC196" s="391">
        <f t="shared" si="94"/>
        <v>0</v>
      </c>
      <c r="AD196" s="391">
        <f t="shared" si="94"/>
        <v>0</v>
      </c>
      <c r="AE196" s="391">
        <f t="shared" si="94"/>
        <v>0</v>
      </c>
      <c r="AF196" s="391">
        <f t="shared" si="94"/>
        <v>0</v>
      </c>
      <c r="AG196" s="391">
        <f t="shared" si="94"/>
        <v>0</v>
      </c>
      <c r="AH196" s="391">
        <f t="shared" si="94"/>
        <v>0</v>
      </c>
      <c r="AI196" s="391">
        <f t="shared" si="94"/>
        <v>0</v>
      </c>
      <c r="AJ196" s="391">
        <f t="shared" si="94"/>
        <v>0</v>
      </c>
      <c r="AK196" s="391">
        <f t="shared" si="94"/>
        <v>0</v>
      </c>
      <c r="AL196" s="391">
        <f t="shared" si="94"/>
        <v>0</v>
      </c>
      <c r="AM196" s="391">
        <f t="shared" si="94"/>
        <v>0</v>
      </c>
      <c r="AN196" s="391">
        <f t="shared" si="94"/>
        <v>0</v>
      </c>
      <c r="AO196" s="391">
        <f t="shared" si="94"/>
        <v>0</v>
      </c>
      <c r="AP196" s="391">
        <f t="shared" si="94"/>
        <v>0</v>
      </c>
    </row>
    <row r="197" spans="1:42" x14ac:dyDescent="0.2">
      <c r="A197" s="189" t="s">
        <v>64</v>
      </c>
      <c r="B197" s="194"/>
      <c r="C197" s="389">
        <f>C178+C184+C190+C196</f>
        <v>25000000</v>
      </c>
      <c r="D197" s="389">
        <f t="shared" ref="D197:AP197" si="95">D178+D184+D190+D196</f>
        <v>0</v>
      </c>
      <c r="E197" s="389">
        <f t="shared" si="95"/>
        <v>0</v>
      </c>
      <c r="F197" s="389">
        <f t="shared" si="95"/>
        <v>0</v>
      </c>
      <c r="G197" s="389">
        <f t="shared" si="95"/>
        <v>0</v>
      </c>
      <c r="H197" s="389">
        <f t="shared" si="95"/>
        <v>0</v>
      </c>
      <c r="I197" s="389">
        <f t="shared" si="95"/>
        <v>0</v>
      </c>
      <c r="J197" s="389">
        <f t="shared" si="95"/>
        <v>0</v>
      </c>
      <c r="K197" s="389">
        <f t="shared" si="95"/>
        <v>0</v>
      </c>
      <c r="L197" s="389">
        <f t="shared" si="95"/>
        <v>0</v>
      </c>
      <c r="M197" s="389">
        <f t="shared" si="95"/>
        <v>0</v>
      </c>
      <c r="N197" s="389">
        <f t="shared" si="95"/>
        <v>0</v>
      </c>
      <c r="O197" s="389">
        <f t="shared" si="95"/>
        <v>0</v>
      </c>
      <c r="P197" s="389">
        <f t="shared" si="95"/>
        <v>0</v>
      </c>
      <c r="Q197" s="389">
        <f t="shared" si="95"/>
        <v>0</v>
      </c>
      <c r="R197" s="389">
        <f t="shared" si="95"/>
        <v>0</v>
      </c>
      <c r="S197" s="389">
        <f t="shared" si="95"/>
        <v>0</v>
      </c>
      <c r="T197" s="389">
        <f t="shared" si="95"/>
        <v>0</v>
      </c>
      <c r="U197" s="389">
        <f t="shared" si="95"/>
        <v>0</v>
      </c>
      <c r="V197" s="389">
        <f t="shared" si="95"/>
        <v>0</v>
      </c>
      <c r="W197" s="389">
        <f t="shared" si="95"/>
        <v>0</v>
      </c>
      <c r="X197" s="389">
        <f t="shared" si="95"/>
        <v>0</v>
      </c>
      <c r="Y197" s="389">
        <f t="shared" si="95"/>
        <v>0</v>
      </c>
      <c r="Z197" s="389">
        <f t="shared" si="95"/>
        <v>0</v>
      </c>
      <c r="AA197" s="389">
        <f t="shared" si="95"/>
        <v>0</v>
      </c>
      <c r="AB197" s="389">
        <f t="shared" si="95"/>
        <v>0</v>
      </c>
      <c r="AC197" s="389">
        <f t="shared" si="95"/>
        <v>0</v>
      </c>
      <c r="AD197" s="389">
        <f t="shared" si="95"/>
        <v>0</v>
      </c>
      <c r="AE197" s="389">
        <f t="shared" si="95"/>
        <v>0</v>
      </c>
      <c r="AF197" s="389">
        <f t="shared" si="95"/>
        <v>0</v>
      </c>
      <c r="AG197" s="389">
        <f t="shared" si="95"/>
        <v>0</v>
      </c>
      <c r="AH197" s="389">
        <f t="shared" si="95"/>
        <v>0</v>
      </c>
      <c r="AI197" s="389">
        <f t="shared" si="95"/>
        <v>0</v>
      </c>
      <c r="AJ197" s="389">
        <f t="shared" si="95"/>
        <v>0</v>
      </c>
      <c r="AK197" s="389">
        <f t="shared" si="95"/>
        <v>0</v>
      </c>
      <c r="AL197" s="389">
        <f t="shared" si="95"/>
        <v>0</v>
      </c>
      <c r="AM197" s="389">
        <f t="shared" si="95"/>
        <v>0</v>
      </c>
      <c r="AN197" s="389">
        <f t="shared" si="95"/>
        <v>0</v>
      </c>
      <c r="AO197" s="389">
        <f t="shared" si="95"/>
        <v>0</v>
      </c>
      <c r="AP197" s="389">
        <f t="shared" si="95"/>
        <v>0</v>
      </c>
    </row>
    <row r="198" spans="1:42" x14ac:dyDescent="0.2">
      <c r="A198" s="192"/>
      <c r="B198" s="194"/>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row>
    <row r="199" spans="1:42" x14ac:dyDescent="0.2">
      <c r="A199" s="189" t="s">
        <v>65</v>
      </c>
      <c r="B199" s="194"/>
      <c r="C199" s="392">
        <f>C171+C197</f>
        <v>21527055.301179465</v>
      </c>
      <c r="D199" s="392">
        <f t="shared" ref="D199:AP199" si="96">D171+D197</f>
        <v>-4089747.4971561749</v>
      </c>
      <c r="E199" s="392">
        <f t="shared" si="96"/>
        <v>-2029514.6518478643</v>
      </c>
      <c r="F199" s="392">
        <f t="shared" si="96"/>
        <v>-784332.40222842572</v>
      </c>
      <c r="G199" s="392">
        <f t="shared" si="96"/>
        <v>-760960.24943671934</v>
      </c>
      <c r="H199" s="392">
        <f t="shared" si="96"/>
        <v>176949.10125998035</v>
      </c>
      <c r="I199" s="392">
        <f t="shared" si="96"/>
        <v>1111727.4327380781</v>
      </c>
      <c r="J199" s="392">
        <f t="shared" si="96"/>
        <v>1128113.8211219115</v>
      </c>
      <c r="K199" s="392">
        <f t="shared" si="96"/>
        <v>1143918.9030411171</v>
      </c>
      <c r="L199" s="392">
        <f t="shared" si="96"/>
        <v>1159350.5042861521</v>
      </c>
      <c r="M199" s="392">
        <f t="shared" si="96"/>
        <v>1174117.5790259582</v>
      </c>
      <c r="N199" s="392">
        <f t="shared" si="96"/>
        <v>-60807483.247445635</v>
      </c>
      <c r="O199" s="392">
        <f t="shared" si="96"/>
        <v>-98054226.895909593</v>
      </c>
      <c r="P199" s="392">
        <f t="shared" si="96"/>
        <v>-55111084.479319915</v>
      </c>
      <c r="Q199" s="392">
        <f t="shared" si="96"/>
        <v>-31283202.147108644</v>
      </c>
      <c r="R199" s="392">
        <f t="shared" si="96"/>
        <v>-31202235.04870408</v>
      </c>
      <c r="S199" s="392">
        <f t="shared" si="96"/>
        <v>-13267401.139192993</v>
      </c>
      <c r="T199" s="392">
        <f t="shared" si="96"/>
        <v>4606301.745219864</v>
      </c>
      <c r="U199" s="392">
        <f t="shared" si="96"/>
        <v>4624243.5979081318</v>
      </c>
      <c r="V199" s="392">
        <f t="shared" si="96"/>
        <v>4641299.6302191438</v>
      </c>
      <c r="W199" s="392">
        <f t="shared" si="96"/>
        <v>4686999.5850349199</v>
      </c>
      <c r="X199" s="392">
        <f t="shared" si="96"/>
        <v>4731809.2548468951</v>
      </c>
      <c r="Y199" s="392">
        <f t="shared" si="96"/>
        <v>4746193.0076509919</v>
      </c>
      <c r="Z199" s="392">
        <f t="shared" si="96"/>
        <v>-78618178.438930377</v>
      </c>
      <c r="AA199" s="392">
        <f t="shared" si="96"/>
        <v>-123990693.45508079</v>
      </c>
      <c r="AB199" s="392" t="e">
        <f t="shared" si="96"/>
        <v>#VALUE!</v>
      </c>
      <c r="AC199" s="392" t="e">
        <f t="shared" si="96"/>
        <v>#VALUE!</v>
      </c>
      <c r="AD199" s="392" t="e">
        <f t="shared" si="96"/>
        <v>#VALUE!</v>
      </c>
      <c r="AE199" s="392" t="e">
        <f t="shared" si="96"/>
        <v>#VALUE!</v>
      </c>
      <c r="AF199" s="392" t="e">
        <f t="shared" si="96"/>
        <v>#VALUE!</v>
      </c>
      <c r="AG199" s="392" t="e">
        <f t="shared" si="96"/>
        <v>#VALUE!</v>
      </c>
      <c r="AH199" s="392" t="e">
        <f t="shared" si="96"/>
        <v>#VALUE!</v>
      </c>
      <c r="AI199" s="392" t="e">
        <f t="shared" si="96"/>
        <v>#VALUE!</v>
      </c>
      <c r="AJ199" s="392" t="e">
        <f t="shared" si="96"/>
        <v>#VALUE!</v>
      </c>
      <c r="AK199" s="392" t="e">
        <f t="shared" si="96"/>
        <v>#VALUE!</v>
      </c>
      <c r="AL199" s="392" t="e">
        <f t="shared" si="96"/>
        <v>#VALUE!</v>
      </c>
      <c r="AM199" s="392" t="e">
        <f t="shared" si="96"/>
        <v>#VALUE!</v>
      </c>
      <c r="AN199" s="392" t="e">
        <f t="shared" si="96"/>
        <v>#VALUE!</v>
      </c>
      <c r="AO199" s="392" t="e">
        <f t="shared" si="96"/>
        <v>#VALUE!</v>
      </c>
      <c r="AP199" s="392" t="e">
        <f t="shared" si="96"/>
        <v>#VALUE!</v>
      </c>
    </row>
    <row r="200" spans="1:42" x14ac:dyDescent="0.2">
      <c r="A200" s="189" t="s">
        <v>133</v>
      </c>
      <c r="B200" s="194"/>
      <c r="C200" s="392">
        <f t="shared" ref="C200:AP200" si="97">C199*-federal_tax_rate/100</f>
        <v>-7534469.355412812</v>
      </c>
      <c r="D200" s="392">
        <f t="shared" si="97"/>
        <v>1431411.6240046611</v>
      </c>
      <c r="E200" s="392">
        <f t="shared" si="97"/>
        <v>710330.1281467526</v>
      </c>
      <c r="F200" s="392">
        <f t="shared" si="97"/>
        <v>274516.34077994904</v>
      </c>
      <c r="G200" s="392">
        <f t="shared" si="97"/>
        <v>266336.08730285172</v>
      </c>
      <c r="H200" s="392">
        <f t="shared" si="97"/>
        <v>-61932.185440993126</v>
      </c>
      <c r="I200" s="392">
        <f t="shared" si="97"/>
        <v>-389104.60145832732</v>
      </c>
      <c r="J200" s="392">
        <f t="shared" si="97"/>
        <v>-394839.837392669</v>
      </c>
      <c r="K200" s="392">
        <f t="shared" si="97"/>
        <v>-400371.61606439098</v>
      </c>
      <c r="L200" s="392">
        <f t="shared" si="97"/>
        <v>-405772.67650015326</v>
      </c>
      <c r="M200" s="392">
        <f t="shared" si="97"/>
        <v>-410941.1526590854</v>
      </c>
      <c r="N200" s="392">
        <f t="shared" si="97"/>
        <v>21282619.136605974</v>
      </c>
      <c r="O200" s="392">
        <f t="shared" si="97"/>
        <v>34318979.413568355</v>
      </c>
      <c r="P200" s="392">
        <f t="shared" si="97"/>
        <v>19288879.567761969</v>
      </c>
      <c r="Q200" s="392">
        <f t="shared" si="97"/>
        <v>10949120.751488024</v>
      </c>
      <c r="R200" s="392">
        <f t="shared" si="97"/>
        <v>10920782.267046427</v>
      </c>
      <c r="S200" s="392">
        <f t="shared" si="97"/>
        <v>4643590.3987175478</v>
      </c>
      <c r="T200" s="392">
        <f t="shared" si="97"/>
        <v>-1612205.6108269524</v>
      </c>
      <c r="U200" s="392">
        <f t="shared" si="97"/>
        <v>-1618485.2592678461</v>
      </c>
      <c r="V200" s="392">
        <f t="shared" si="97"/>
        <v>-1624454.8705767002</v>
      </c>
      <c r="W200" s="392">
        <f t="shared" si="97"/>
        <v>-1640449.8547622219</v>
      </c>
      <c r="X200" s="392">
        <f t="shared" si="97"/>
        <v>-1656133.2391964132</v>
      </c>
      <c r="Y200" s="392">
        <f t="shared" si="97"/>
        <v>-1661167.5526778472</v>
      </c>
      <c r="Z200" s="392">
        <f t="shared" si="97"/>
        <v>27516362.453625631</v>
      </c>
      <c r="AA200" s="392">
        <f t="shared" si="97"/>
        <v>43396742.709278278</v>
      </c>
      <c r="AB200" s="392" t="e">
        <f t="shared" si="97"/>
        <v>#VALUE!</v>
      </c>
      <c r="AC200" s="392" t="e">
        <f t="shared" si="97"/>
        <v>#VALUE!</v>
      </c>
      <c r="AD200" s="392" t="e">
        <f t="shared" si="97"/>
        <v>#VALUE!</v>
      </c>
      <c r="AE200" s="392" t="e">
        <f t="shared" si="97"/>
        <v>#VALUE!</v>
      </c>
      <c r="AF200" s="392" t="e">
        <f t="shared" si="97"/>
        <v>#VALUE!</v>
      </c>
      <c r="AG200" s="392" t="e">
        <f t="shared" si="97"/>
        <v>#VALUE!</v>
      </c>
      <c r="AH200" s="392" t="e">
        <f t="shared" si="97"/>
        <v>#VALUE!</v>
      </c>
      <c r="AI200" s="392" t="e">
        <f t="shared" si="97"/>
        <v>#VALUE!</v>
      </c>
      <c r="AJ200" s="392" t="e">
        <f t="shared" si="97"/>
        <v>#VALUE!</v>
      </c>
      <c r="AK200" s="392" t="e">
        <f t="shared" si="97"/>
        <v>#VALUE!</v>
      </c>
      <c r="AL200" s="392" t="e">
        <f t="shared" si="97"/>
        <v>#VALUE!</v>
      </c>
      <c r="AM200" s="392" t="e">
        <f t="shared" si="97"/>
        <v>#VALUE!</v>
      </c>
      <c r="AN200" s="392" t="e">
        <f t="shared" si="97"/>
        <v>#VALUE!</v>
      </c>
      <c r="AO200" s="392" t="e">
        <f t="shared" si="97"/>
        <v>#VALUE!</v>
      </c>
      <c r="AP200" s="392" t="e">
        <f t="shared" si="97"/>
        <v>#VALUE!</v>
      </c>
    </row>
    <row r="201" spans="1:42" x14ac:dyDescent="0.2">
      <c r="A201" s="40"/>
      <c r="B201" s="194"/>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row>
    <row r="202" spans="1:42" x14ac:dyDescent="0.2">
      <c r="A202" s="30" t="s">
        <v>178</v>
      </c>
      <c r="B202" s="194"/>
    </row>
    <row r="203" spans="1:42" x14ac:dyDescent="0.2">
      <c r="A203" s="37" t="s">
        <v>179</v>
      </c>
      <c r="B203" s="194"/>
    </row>
    <row r="204" spans="1:42" x14ac:dyDescent="0.2">
      <c r="A204" s="7" t="s">
        <v>36</v>
      </c>
      <c r="B204" s="194"/>
      <c r="G204" s="59" t="s">
        <v>90</v>
      </c>
      <c r="H204" s="60"/>
      <c r="I204" s="60"/>
      <c r="J204" s="61"/>
      <c r="K204" s="50" t="s">
        <v>91</v>
      </c>
      <c r="L204" s="51"/>
    </row>
    <row r="205" spans="1:42" ht="51" x14ac:dyDescent="0.2">
      <c r="B205" s="384" t="s">
        <v>80</v>
      </c>
      <c r="C205" s="23" t="s">
        <v>76</v>
      </c>
      <c r="D205" s="23" t="s">
        <v>78</v>
      </c>
      <c r="E205" s="42" t="s">
        <v>79</v>
      </c>
      <c r="F205" s="23" t="s">
        <v>81</v>
      </c>
      <c r="G205" s="23" t="s">
        <v>85</v>
      </c>
      <c r="H205" s="23" t="s">
        <v>87</v>
      </c>
      <c r="I205" s="105" t="s">
        <v>86</v>
      </c>
      <c r="J205" s="23" t="s">
        <v>88</v>
      </c>
      <c r="K205" s="52" t="s">
        <v>6</v>
      </c>
      <c r="L205" s="346" t="s">
        <v>88</v>
      </c>
      <c r="M205" s="43" t="s">
        <v>92</v>
      </c>
      <c r="N205" s="43" t="s">
        <v>93</v>
      </c>
      <c r="O205" s="23" t="s">
        <v>82</v>
      </c>
      <c r="P205" s="345" t="s">
        <v>147</v>
      </c>
      <c r="Q205" s="23" t="s">
        <v>148</v>
      </c>
    </row>
    <row r="206" spans="1:42" s="21" customFormat="1" x14ac:dyDescent="0.2">
      <c r="A206" s="55" t="str">
        <f>Inputs!B131</f>
        <v>5-yr MACRS</v>
      </c>
      <c r="B206" s="326">
        <f t="shared" ref="B206:B211" si="98">C206/$C$213*100</f>
        <v>93</v>
      </c>
      <c r="C206" s="313">
        <f>Inputs!H131</f>
        <v>46500000</v>
      </c>
      <c r="D206" s="313">
        <f t="shared" ref="D206:E211" si="99">IF(StateBasisReduction="5-Yr MACRS",D213,$B206/100*D$213)</f>
        <v>0</v>
      </c>
      <c r="E206" s="313">
        <f t="shared" si="99"/>
        <v>0</v>
      </c>
      <c r="F206" s="317">
        <f>C206-D206-E206</f>
        <v>46500000</v>
      </c>
      <c r="G206" s="318">
        <f>IF(Inputs!G131="Yes",F206,0)</f>
        <v>46500000</v>
      </c>
      <c r="H206" s="328">
        <f t="shared" ref="H206:H211" si="100">IF($G$213=0,0,G206/$G$213)*100</f>
        <v>100</v>
      </c>
      <c r="I206" s="321">
        <f>$I$213*H206/100</f>
        <v>0</v>
      </c>
      <c r="J206" s="322">
        <f>I206*0.5</f>
        <v>0</v>
      </c>
      <c r="K206" s="319">
        <f>H206/100*$K$213</f>
        <v>0</v>
      </c>
      <c r="L206" s="322">
        <f>K206*0.5</f>
        <v>0</v>
      </c>
      <c r="M206" s="313">
        <f t="shared" ref="M206:M211" si="101">IF(itc_sta_amount_deprbas_sta="Yes",L206,0)+IF(itc_sta_percent_deprbas_sta="Yes",J206,0)</f>
        <v>0</v>
      </c>
      <c r="N206" s="313">
        <f t="shared" ref="N206:N211" si="102">IF(itc_fed_amount_deprbas_sta="Yes",L340,0)+IF(itc_fed_percent_deprbas_sta="Yes",J340,0)</f>
        <v>3225000</v>
      </c>
      <c r="O206" s="323">
        <f t="shared" ref="O206:O211" si="103">F206-M206-N206</f>
        <v>43275000</v>
      </c>
      <c r="P206" s="313">
        <f>IF(Inputs!E131="Yes",O206*depr_bonus_sta,0)</f>
        <v>0</v>
      </c>
      <c r="Q206" s="317">
        <f>O206-P206</f>
        <v>43275000</v>
      </c>
    </row>
    <row r="207" spans="1:42" s="21" customFormat="1" x14ac:dyDescent="0.2">
      <c r="A207" s="55" t="str">
        <f>Inputs!B132</f>
        <v>15-yr MACRS</v>
      </c>
      <c r="B207" s="326">
        <f t="shared" si="98"/>
        <v>1.5</v>
      </c>
      <c r="C207" s="313">
        <f>Inputs!H132</f>
        <v>750000</v>
      </c>
      <c r="D207" s="313">
        <f t="shared" si="99"/>
        <v>0</v>
      </c>
      <c r="E207" s="313">
        <f t="shared" si="99"/>
        <v>0</v>
      </c>
      <c r="F207" s="317">
        <f t="shared" ref="F207:F211" si="104">C207-D207-E207</f>
        <v>750000</v>
      </c>
      <c r="G207" s="319">
        <f>IF(Inputs!G132="Yes",F207,0)</f>
        <v>0</v>
      </c>
      <c r="H207" s="329">
        <f t="shared" si="100"/>
        <v>0</v>
      </c>
      <c r="I207" s="313">
        <f t="shared" ref="I207:I211" si="105">$I$213*H207/100</f>
        <v>0</v>
      </c>
      <c r="J207" s="324">
        <f t="shared" ref="J207:J211" si="106">I207*0.5</f>
        <v>0</v>
      </c>
      <c r="K207" s="319">
        <f t="shared" ref="K207:K211" si="107">H207/100*$K$213</f>
        <v>0</v>
      </c>
      <c r="L207" s="324">
        <f t="shared" ref="L207:L211" si="108">K207*0.5</f>
        <v>0</v>
      </c>
      <c r="M207" s="313">
        <f t="shared" si="101"/>
        <v>0</v>
      </c>
      <c r="N207" s="313">
        <f t="shared" si="102"/>
        <v>0</v>
      </c>
      <c r="O207" s="317">
        <f t="shared" si="103"/>
        <v>750000</v>
      </c>
      <c r="P207" s="313">
        <f>IF(Inputs!E132="Yes",O207*depr_bonus_sta,0)</f>
        <v>0</v>
      </c>
      <c r="Q207" s="317">
        <f t="shared" ref="Q207:Q211" si="109">O207-P207</f>
        <v>750000</v>
      </c>
    </row>
    <row r="208" spans="1:42" s="21" customFormat="1" x14ac:dyDescent="0.2">
      <c r="A208" s="55" t="str">
        <f>Inputs!B133</f>
        <v>5-yr SL</v>
      </c>
      <c r="B208" s="326">
        <f t="shared" si="98"/>
        <v>0</v>
      </c>
      <c r="C208" s="313">
        <f>Inputs!H133</f>
        <v>0</v>
      </c>
      <c r="D208" s="313">
        <f t="shared" si="99"/>
        <v>0</v>
      </c>
      <c r="E208" s="313">
        <f t="shared" si="99"/>
        <v>0</v>
      </c>
      <c r="F208" s="317">
        <f t="shared" si="104"/>
        <v>0</v>
      </c>
      <c r="G208" s="319">
        <f>IF(Inputs!G133="Yes",F208,0)</f>
        <v>0</v>
      </c>
      <c r="H208" s="329">
        <f t="shared" si="100"/>
        <v>0</v>
      </c>
      <c r="I208" s="313">
        <f t="shared" si="105"/>
        <v>0</v>
      </c>
      <c r="J208" s="324">
        <f t="shared" si="106"/>
        <v>0</v>
      </c>
      <c r="K208" s="319">
        <f t="shared" si="107"/>
        <v>0</v>
      </c>
      <c r="L208" s="324">
        <f t="shared" si="108"/>
        <v>0</v>
      </c>
      <c r="M208" s="313">
        <f t="shared" si="101"/>
        <v>0</v>
      </c>
      <c r="N208" s="313">
        <f t="shared" si="102"/>
        <v>0</v>
      </c>
      <c r="O208" s="317">
        <f t="shared" si="103"/>
        <v>0</v>
      </c>
      <c r="P208" s="313">
        <f>IF(Inputs!E133="Yes",O208*depr_bonus_sta,0)</f>
        <v>0</v>
      </c>
      <c r="Q208" s="317">
        <f t="shared" si="109"/>
        <v>0</v>
      </c>
    </row>
    <row r="209" spans="1:17" s="21" customFormat="1" x14ac:dyDescent="0.2">
      <c r="A209" s="55" t="str">
        <f>Inputs!B134</f>
        <v>15-yr SL</v>
      </c>
      <c r="B209" s="326">
        <f t="shared" si="98"/>
        <v>2.5</v>
      </c>
      <c r="C209" s="313">
        <f>Inputs!H134</f>
        <v>1250000</v>
      </c>
      <c r="D209" s="313">
        <f t="shared" si="99"/>
        <v>0</v>
      </c>
      <c r="E209" s="313">
        <f t="shared" si="99"/>
        <v>0</v>
      </c>
      <c r="F209" s="317">
        <f t="shared" si="104"/>
        <v>1250000</v>
      </c>
      <c r="G209" s="319">
        <f>IF(Inputs!G134="Yes",F209,0)</f>
        <v>0</v>
      </c>
      <c r="H209" s="329">
        <f t="shared" si="100"/>
        <v>0</v>
      </c>
      <c r="I209" s="313">
        <f t="shared" si="105"/>
        <v>0</v>
      </c>
      <c r="J209" s="324">
        <f t="shared" si="106"/>
        <v>0</v>
      </c>
      <c r="K209" s="319">
        <f t="shared" si="107"/>
        <v>0</v>
      </c>
      <c r="L209" s="324">
        <f t="shared" si="108"/>
        <v>0</v>
      </c>
      <c r="M209" s="313">
        <f t="shared" si="101"/>
        <v>0</v>
      </c>
      <c r="N209" s="313">
        <f t="shared" si="102"/>
        <v>0</v>
      </c>
      <c r="O209" s="317">
        <f t="shared" si="103"/>
        <v>1250000</v>
      </c>
      <c r="P209" s="313">
        <f>IF(Inputs!E134="Yes",O209*depr_bonus_sta,0)</f>
        <v>0</v>
      </c>
      <c r="Q209" s="317">
        <f t="shared" si="109"/>
        <v>1250000</v>
      </c>
    </row>
    <row r="210" spans="1:17" s="21" customFormat="1" x14ac:dyDescent="0.2">
      <c r="A210" s="55" t="str">
        <f>Inputs!B135</f>
        <v>20-yr SL</v>
      </c>
      <c r="B210" s="326">
        <f t="shared" si="98"/>
        <v>2.5</v>
      </c>
      <c r="C210" s="313">
        <f>Inputs!H135</f>
        <v>1250000</v>
      </c>
      <c r="D210" s="313">
        <f t="shared" si="99"/>
        <v>0</v>
      </c>
      <c r="E210" s="313">
        <f t="shared" si="99"/>
        <v>0</v>
      </c>
      <c r="F210" s="317">
        <f t="shared" si="104"/>
        <v>1250000</v>
      </c>
      <c r="G210" s="319">
        <f>IF(Inputs!G135="Yes",F210,0)</f>
        <v>0</v>
      </c>
      <c r="H210" s="329">
        <f t="shared" si="100"/>
        <v>0</v>
      </c>
      <c r="I210" s="313">
        <f t="shared" si="105"/>
        <v>0</v>
      </c>
      <c r="J210" s="324">
        <f t="shared" si="106"/>
        <v>0</v>
      </c>
      <c r="K210" s="319">
        <f t="shared" si="107"/>
        <v>0</v>
      </c>
      <c r="L210" s="324">
        <f t="shared" si="108"/>
        <v>0</v>
      </c>
      <c r="M210" s="313">
        <f t="shared" si="101"/>
        <v>0</v>
      </c>
      <c r="N210" s="313">
        <f t="shared" si="102"/>
        <v>0</v>
      </c>
      <c r="O210" s="317">
        <f t="shared" si="103"/>
        <v>1250000</v>
      </c>
      <c r="P210" s="313">
        <f>IF(Inputs!E135="Yes",O210*depr_bonus_sta,0)</f>
        <v>0</v>
      </c>
      <c r="Q210" s="317">
        <f t="shared" si="109"/>
        <v>1250000</v>
      </c>
    </row>
    <row r="211" spans="1:17" s="21" customFormat="1" x14ac:dyDescent="0.2">
      <c r="A211" s="55" t="str">
        <f>Inputs!B136</f>
        <v>39-yr SL</v>
      </c>
      <c r="B211" s="326">
        <f t="shared" si="98"/>
        <v>0.5</v>
      </c>
      <c r="C211" s="313">
        <f>Inputs!H136</f>
        <v>250000</v>
      </c>
      <c r="D211" s="313">
        <f t="shared" si="99"/>
        <v>0</v>
      </c>
      <c r="E211" s="313">
        <f t="shared" si="99"/>
        <v>0</v>
      </c>
      <c r="F211" s="317">
        <f t="shared" si="104"/>
        <v>250000</v>
      </c>
      <c r="G211" s="319">
        <f>IF(Inputs!G136="Yes",F211,0)</f>
        <v>0</v>
      </c>
      <c r="H211" s="329">
        <f t="shared" si="100"/>
        <v>0</v>
      </c>
      <c r="I211" s="313">
        <f t="shared" si="105"/>
        <v>0</v>
      </c>
      <c r="J211" s="324">
        <f t="shared" si="106"/>
        <v>0</v>
      </c>
      <c r="K211" s="319">
        <f t="shared" si="107"/>
        <v>0</v>
      </c>
      <c r="L211" s="324">
        <f t="shared" si="108"/>
        <v>0</v>
      </c>
      <c r="M211" s="313">
        <f t="shared" si="101"/>
        <v>0</v>
      </c>
      <c r="N211" s="313">
        <f t="shared" si="102"/>
        <v>0</v>
      </c>
      <c r="O211" s="317">
        <f t="shared" si="103"/>
        <v>250000</v>
      </c>
      <c r="P211" s="313">
        <f>IF(Inputs!E136="Yes",O211*depr_bonus_sta,0)</f>
        <v>0</v>
      </c>
      <c r="Q211" s="317">
        <f t="shared" si="109"/>
        <v>250000</v>
      </c>
    </row>
    <row r="212" spans="1:17" x14ac:dyDescent="0.2">
      <c r="A212" s="58" t="s">
        <v>166</v>
      </c>
      <c r="B212" s="44"/>
      <c r="C212" s="314"/>
      <c r="D212" s="314"/>
      <c r="E212" s="314"/>
      <c r="F212" s="325"/>
      <c r="G212" s="347"/>
      <c r="H212" s="330"/>
      <c r="I212" s="336"/>
      <c r="J212" s="343"/>
      <c r="K212" s="347"/>
      <c r="L212" s="343"/>
      <c r="M212" s="314"/>
      <c r="N212" s="314"/>
      <c r="O212" s="325"/>
      <c r="P212" s="314"/>
      <c r="Q212" s="325"/>
    </row>
    <row r="213" spans="1:17" s="21" customFormat="1" x14ac:dyDescent="0.2">
      <c r="B213" s="327">
        <f>SUM(B206:B212)</f>
        <v>100</v>
      </c>
      <c r="C213" s="315">
        <f>SUM(C206:C212)</f>
        <v>50000000</v>
      </c>
      <c r="D213" s="315">
        <f>B222+B228</f>
        <v>0</v>
      </c>
      <c r="E213" s="315">
        <f>B234</f>
        <v>0</v>
      </c>
      <c r="F213" s="338">
        <f t="shared" ref="F213:Q213" si="110">SUM(F206:F212)</f>
        <v>50000000</v>
      </c>
      <c r="G213" s="339">
        <f>SUM(G206:G212)</f>
        <v>46500000</v>
      </c>
      <c r="H213" s="331">
        <f>SUM(H206:H212)</f>
        <v>100</v>
      </c>
      <c r="I213" s="341">
        <f>MIN(itc_sta_percent_maxvalue,itc_sta_percent/100*G213)</f>
        <v>0</v>
      </c>
      <c r="J213" s="341">
        <f>SUM(J206:J212)</f>
        <v>0</v>
      </c>
      <c r="K213" s="339">
        <f>itc_sta_amount</f>
        <v>0</v>
      </c>
      <c r="L213" s="342">
        <f>SUM(L206:L212)</f>
        <v>0</v>
      </c>
      <c r="M213" s="315">
        <f t="shared" si="110"/>
        <v>0</v>
      </c>
      <c r="N213" s="315">
        <f t="shared" si="110"/>
        <v>3225000</v>
      </c>
      <c r="O213" s="320">
        <f t="shared" si="110"/>
        <v>46775000</v>
      </c>
      <c r="P213" s="320">
        <f t="shared" si="110"/>
        <v>0</v>
      </c>
      <c r="Q213" s="320">
        <f t="shared" si="110"/>
        <v>46775000</v>
      </c>
    </row>
    <row r="214" spans="1:17" s="194" customFormat="1" x14ac:dyDescent="0.2">
      <c r="A214" s="7"/>
      <c r="B214" s="7"/>
    </row>
    <row r="215" spans="1:17" s="194" customFormat="1" x14ac:dyDescent="0.2">
      <c r="A215" s="7" t="s">
        <v>89</v>
      </c>
      <c r="B215" s="7"/>
    </row>
    <row r="216" spans="1:17" s="194" customFormat="1" x14ac:dyDescent="0.2">
      <c r="A216" s="35" t="str">
        <f>A485</f>
        <v>Investment Based Incentive (IBI)</v>
      </c>
      <c r="B216" s="7"/>
    </row>
    <row r="217" spans="1:17" s="194" customFormat="1" x14ac:dyDescent="0.2">
      <c r="A217" s="39" t="str">
        <f t="shared" ref="A217:A233" si="111">A486</f>
        <v>As fixed amount</v>
      </c>
      <c r="B217" s="7"/>
    </row>
    <row r="218" spans="1:17" s="194" customFormat="1" x14ac:dyDescent="0.2">
      <c r="A218" s="45" t="str">
        <f t="shared" si="111"/>
        <v>Federal ($)</v>
      </c>
      <c r="B218" s="393">
        <f>IF(ibi_fed_amount_deprbas_sta="Yes",ibi_fed_amount,0)</f>
        <v>0</v>
      </c>
    </row>
    <row r="219" spans="1:17" s="194" customFormat="1" x14ac:dyDescent="0.2">
      <c r="A219" s="45" t="str">
        <f t="shared" si="111"/>
        <v>State ($)</v>
      </c>
      <c r="B219" s="393">
        <f>IF(ibi_sta_amount_deprbas_sta="Yes",ibi_sta_amount,0)</f>
        <v>0</v>
      </c>
    </row>
    <row r="220" spans="1:17" s="194" customFormat="1" x14ac:dyDescent="0.2">
      <c r="A220" s="45" t="str">
        <f t="shared" si="111"/>
        <v>Utility ($)</v>
      </c>
      <c r="B220" s="393">
        <f>IF(ibi_uti_amount_deprbas_sta="Yes",ibi_uti_amount,0)</f>
        <v>0</v>
      </c>
    </row>
    <row r="221" spans="1:17" s="194" customFormat="1" x14ac:dyDescent="0.2">
      <c r="A221" s="45" t="str">
        <f t="shared" si="111"/>
        <v>Other ($)</v>
      </c>
      <c r="B221" s="394">
        <f>IF(ibi_oth_amount_deprbas_sta="Yes",ibi_oth_amount,0)</f>
        <v>0</v>
      </c>
    </row>
    <row r="222" spans="1:17" s="194" customFormat="1" x14ac:dyDescent="0.2">
      <c r="A222" s="45" t="str">
        <f t="shared" si="111"/>
        <v>Total</v>
      </c>
      <c r="B222" s="393">
        <f>SUM(B218:B221)</f>
        <v>0</v>
      </c>
    </row>
    <row r="223" spans="1:17" s="194" customFormat="1" x14ac:dyDescent="0.2">
      <c r="A223" s="39" t="str">
        <f t="shared" si="111"/>
        <v>As percentage</v>
      </c>
      <c r="B223" s="7"/>
    </row>
    <row r="224" spans="1:17" s="194" customFormat="1" x14ac:dyDescent="0.2">
      <c r="A224" s="45" t="str">
        <f t="shared" si="111"/>
        <v>Federal (% of total installed cost)</v>
      </c>
      <c r="B224" s="393">
        <f>IF(ibi_fed_percent_deprbas_sta="Yes",C493,0)</f>
        <v>0</v>
      </c>
    </row>
    <row r="225" spans="1:42" s="194" customFormat="1" x14ac:dyDescent="0.2">
      <c r="A225" s="45" t="str">
        <f>A494</f>
        <v>State (% of total installed cost)</v>
      </c>
      <c r="B225" s="393">
        <f>IF(ibi_fed_percent_deprbas_sta="Yes",C494,0)</f>
        <v>0</v>
      </c>
    </row>
    <row r="226" spans="1:42" s="194" customFormat="1" x14ac:dyDescent="0.2">
      <c r="A226" s="45" t="str">
        <f t="shared" si="111"/>
        <v>Utility (% of total installed cost)</v>
      </c>
      <c r="B226" s="393">
        <f>IF(ibi_fed_percent_deprbas_sta="Yes",C495,0)</f>
        <v>0</v>
      </c>
    </row>
    <row r="227" spans="1:42" s="194" customFormat="1" x14ac:dyDescent="0.2">
      <c r="A227" s="45" t="str">
        <f t="shared" si="111"/>
        <v>Other (% of total installed cost)</v>
      </c>
      <c r="B227" s="394">
        <f>IF(ibi_fed_percent_deprbas_sta="Yes",C496,0)</f>
        <v>0</v>
      </c>
    </row>
    <row r="228" spans="1:42" s="194" customFormat="1" x14ac:dyDescent="0.2">
      <c r="A228" s="45" t="str">
        <f t="shared" si="111"/>
        <v>Total</v>
      </c>
      <c r="B228" s="393">
        <f>SUM(B224:B227)</f>
        <v>0</v>
      </c>
    </row>
    <row r="229" spans="1:42" s="194" customFormat="1" x14ac:dyDescent="0.2">
      <c r="A229" s="35" t="str">
        <f t="shared" si="111"/>
        <v>Capacity Based Incentive (CBI)</v>
      </c>
      <c r="B229" s="7"/>
    </row>
    <row r="230" spans="1:42" s="194" customFormat="1" x14ac:dyDescent="0.2">
      <c r="A230" s="39" t="str">
        <f t="shared" si="111"/>
        <v>Federal ($/W)</v>
      </c>
      <c r="B230" s="393">
        <f>IF(cbi_fed_deprbas_sta="Yes",C499,0)</f>
        <v>0</v>
      </c>
    </row>
    <row r="231" spans="1:42" s="194" customFormat="1" x14ac:dyDescent="0.2">
      <c r="A231" s="39" t="str">
        <f>A500</f>
        <v>State ($/W)</v>
      </c>
      <c r="B231" s="393">
        <f>IF(cbi_fed_deprbas_sta="Yes",C500,0)</f>
        <v>0</v>
      </c>
    </row>
    <row r="232" spans="1:42" s="194" customFormat="1" x14ac:dyDescent="0.2">
      <c r="A232" s="39" t="str">
        <f t="shared" si="111"/>
        <v>Utility ($/W)</v>
      </c>
      <c r="B232" s="393">
        <f>IF(cbi_fed_deprbas_sta="Yes",C501,0)</f>
        <v>0</v>
      </c>
    </row>
    <row r="233" spans="1:42" s="194" customFormat="1" x14ac:dyDescent="0.2">
      <c r="A233" s="39" t="str">
        <f t="shared" si="111"/>
        <v>Other ($/W)</v>
      </c>
      <c r="B233" s="393">
        <f>IF(cbi_fed_deprbas_sta="Yes",C502,0)</f>
        <v>0</v>
      </c>
    </row>
    <row r="234" spans="1:42" s="194" customFormat="1" x14ac:dyDescent="0.2">
      <c r="A234" s="39" t="str">
        <f>A503</f>
        <v>Total</v>
      </c>
      <c r="B234" s="392">
        <f>SUM(B230:B233)</f>
        <v>0</v>
      </c>
    </row>
    <row r="235" spans="1:42" s="194" customFormat="1" x14ac:dyDescent="0.2">
      <c r="A235" s="35" t="s">
        <v>77</v>
      </c>
      <c r="B235" s="393">
        <f>B222+B228+B234</f>
        <v>0</v>
      </c>
    </row>
    <row r="236" spans="1:42" s="194" customFormat="1" x14ac:dyDescent="0.2">
      <c r="A236" s="7"/>
      <c r="B236" s="7"/>
    </row>
    <row r="237" spans="1:42" s="194" customFormat="1" x14ac:dyDescent="0.2">
      <c r="A237" s="7" t="s">
        <v>136</v>
      </c>
      <c r="B237" s="7"/>
    </row>
    <row r="238" spans="1:42" s="194" customFormat="1" x14ac:dyDescent="0.2">
      <c r="A238" s="35" t="s">
        <v>83</v>
      </c>
      <c r="B238" s="7"/>
    </row>
    <row r="239" spans="1:42" x14ac:dyDescent="0.2">
      <c r="A239" s="41" t="str">
        <f>A206</f>
        <v>5-yr MACRS</v>
      </c>
      <c r="B239" s="399">
        <f t="array" ref="B239">SUM(IF(ISNUMBER(C239:AP239),C239:AP239))</f>
        <v>100</v>
      </c>
      <c r="C239" s="400">
        <f>LOOKUP(C$2,'Depreciation Schedules'!$A$3:$A$42,'Depreciation Schedules'!$B$3:$B$42)</f>
        <v>20</v>
      </c>
      <c r="D239" s="400">
        <f>LOOKUP(D$2,'Depreciation Schedules'!$A$3:$A$42,'Depreciation Schedules'!$B$3:$B$42)</f>
        <v>32</v>
      </c>
      <c r="E239" s="400">
        <f>LOOKUP(E$2,'Depreciation Schedules'!$A$3:$A$42,'Depreciation Schedules'!$B$3:$B$42)</f>
        <v>19.2</v>
      </c>
      <c r="F239" s="400">
        <f>LOOKUP(F$2,'Depreciation Schedules'!$A$3:$A$42,'Depreciation Schedules'!$B$3:$B$42)</f>
        <v>11.52</v>
      </c>
      <c r="G239" s="400">
        <f>LOOKUP(G$2,'Depreciation Schedules'!$A$3:$A$42,'Depreciation Schedules'!$B$3:$B$42)</f>
        <v>11.52</v>
      </c>
      <c r="H239" s="400">
        <f>LOOKUP(H$2,'Depreciation Schedules'!$A$3:$A$42,'Depreciation Schedules'!$B$3:$B$42)</f>
        <v>5.76</v>
      </c>
      <c r="I239" s="400">
        <f>LOOKUP(I$2,'Depreciation Schedules'!$A$3:$A$42,'Depreciation Schedules'!$B$3:$B$42)</f>
        <v>0</v>
      </c>
      <c r="J239" s="400">
        <f>LOOKUP(J$2,'Depreciation Schedules'!$A$3:$A$42,'Depreciation Schedules'!$B$3:$B$42)</f>
        <v>0</v>
      </c>
      <c r="K239" s="400">
        <f>LOOKUP(K$2,'Depreciation Schedules'!$A$3:$A$42,'Depreciation Schedules'!$B$3:$B$42)</f>
        <v>0</v>
      </c>
      <c r="L239" s="400">
        <f>LOOKUP(L$2,'Depreciation Schedules'!$A$3:$A$42,'Depreciation Schedules'!$B$3:$B$42)</f>
        <v>0</v>
      </c>
      <c r="M239" s="400">
        <f>LOOKUP(M$2,'Depreciation Schedules'!$A$3:$A$42,'Depreciation Schedules'!$B$3:$B$42)</f>
        <v>0</v>
      </c>
      <c r="N239" s="400">
        <f>LOOKUP(N$2,'Depreciation Schedules'!$A$3:$A$42,'Depreciation Schedules'!$B$3:$B$42)</f>
        <v>0</v>
      </c>
      <c r="O239" s="400">
        <f>LOOKUP(O$2,'Depreciation Schedules'!$A$3:$A$42,'Depreciation Schedules'!$B$3:$B$42)</f>
        <v>0</v>
      </c>
      <c r="P239" s="400">
        <f>LOOKUP(P$2,'Depreciation Schedules'!$A$3:$A$42,'Depreciation Schedules'!$B$3:$B$42)</f>
        <v>0</v>
      </c>
      <c r="Q239" s="400">
        <f>LOOKUP(Q$2,'Depreciation Schedules'!$A$3:$A$42,'Depreciation Schedules'!$B$3:$B$42)</f>
        <v>0</v>
      </c>
      <c r="R239" s="400">
        <f>LOOKUP(R$2,'Depreciation Schedules'!$A$3:$A$42,'Depreciation Schedules'!$B$3:$B$42)</f>
        <v>0</v>
      </c>
      <c r="S239" s="400">
        <f>LOOKUP(S$2,'Depreciation Schedules'!$A$3:$A$42,'Depreciation Schedules'!$B$3:$B$42)</f>
        <v>0</v>
      </c>
      <c r="T239" s="400">
        <f>LOOKUP(T$2,'Depreciation Schedules'!$A$3:$A$42,'Depreciation Schedules'!$B$3:$B$42)</f>
        <v>0</v>
      </c>
      <c r="U239" s="400">
        <f>LOOKUP(U$2,'Depreciation Schedules'!$A$3:$A$42,'Depreciation Schedules'!$B$3:$B$42)</f>
        <v>0</v>
      </c>
      <c r="V239" s="400">
        <f>LOOKUP(V$2,'Depreciation Schedules'!$A$3:$A$42,'Depreciation Schedules'!$B$3:$B$42)</f>
        <v>0</v>
      </c>
      <c r="W239" s="400">
        <f>LOOKUP(W$2,'Depreciation Schedules'!$A$3:$A$42,'Depreciation Schedules'!$B$3:$B$42)</f>
        <v>0</v>
      </c>
      <c r="X239" s="400">
        <f>LOOKUP(X$2,'Depreciation Schedules'!$A$3:$A$42,'Depreciation Schedules'!$B$3:$B$42)</f>
        <v>0</v>
      </c>
      <c r="Y239" s="400">
        <f>LOOKUP(Y$2,'Depreciation Schedules'!$A$3:$A$42,'Depreciation Schedules'!$B$3:$B$42)</f>
        <v>0</v>
      </c>
      <c r="Z239" s="400">
        <f>LOOKUP(Z$2,'Depreciation Schedules'!$A$3:$A$42,'Depreciation Schedules'!$B$3:$B$42)</f>
        <v>0</v>
      </c>
      <c r="AA239" s="400">
        <f>LOOKUP(AA$2,'Depreciation Schedules'!$A$3:$A$42,'Depreciation Schedules'!$B$3:$B$42)</f>
        <v>0</v>
      </c>
      <c r="AB239" s="400" t="e">
        <f>LOOKUP(AB$2,'Depreciation Schedules'!$A$3:$A$42,'Depreciation Schedules'!$B$3:$B$42)</f>
        <v>#N/A</v>
      </c>
      <c r="AC239" s="400" t="e">
        <f>LOOKUP(AC$2,'Depreciation Schedules'!$A$3:$A$42,'Depreciation Schedules'!$B$3:$B$42)</f>
        <v>#N/A</v>
      </c>
      <c r="AD239" s="400" t="e">
        <f>LOOKUP(AD$2,'Depreciation Schedules'!$A$3:$A$42,'Depreciation Schedules'!$B$3:$B$42)</f>
        <v>#N/A</v>
      </c>
      <c r="AE239" s="400" t="e">
        <f>LOOKUP(AE$2,'Depreciation Schedules'!$A$3:$A$42,'Depreciation Schedules'!$B$3:$B$42)</f>
        <v>#N/A</v>
      </c>
      <c r="AF239" s="400" t="e">
        <f>LOOKUP(AF$2,'Depreciation Schedules'!$A$3:$A$42,'Depreciation Schedules'!$B$3:$B$42)</f>
        <v>#N/A</v>
      </c>
      <c r="AG239" s="400" t="e">
        <f>LOOKUP(AG$2,'Depreciation Schedules'!$A$3:$A$42,'Depreciation Schedules'!$B$3:$B$42)</f>
        <v>#N/A</v>
      </c>
      <c r="AH239" s="400" t="e">
        <f>LOOKUP(AH$2,'Depreciation Schedules'!$A$3:$A$42,'Depreciation Schedules'!$B$3:$B$42)</f>
        <v>#N/A</v>
      </c>
      <c r="AI239" s="400" t="e">
        <f>LOOKUP(AI$2,'Depreciation Schedules'!$A$3:$A$42,'Depreciation Schedules'!$B$3:$B$42)</f>
        <v>#N/A</v>
      </c>
      <c r="AJ239" s="400" t="e">
        <f>LOOKUP(AJ$2,'Depreciation Schedules'!$A$3:$A$42,'Depreciation Schedules'!$B$3:$B$42)</f>
        <v>#N/A</v>
      </c>
      <c r="AK239" s="400" t="e">
        <f>LOOKUP(AK$2,'Depreciation Schedules'!$A$3:$A$42,'Depreciation Schedules'!$B$3:$B$42)</f>
        <v>#N/A</v>
      </c>
      <c r="AL239" s="400" t="e">
        <f>LOOKUP(AL$2,'Depreciation Schedules'!$A$3:$A$42,'Depreciation Schedules'!$B$3:$B$42)</f>
        <v>#N/A</v>
      </c>
      <c r="AM239" s="400" t="e">
        <f>LOOKUP(AM$2,'Depreciation Schedules'!$A$3:$A$42,'Depreciation Schedules'!$B$3:$B$42)</f>
        <v>#N/A</v>
      </c>
      <c r="AN239" s="400" t="e">
        <f>LOOKUP(AN$2,'Depreciation Schedules'!$A$3:$A$42,'Depreciation Schedules'!$B$3:$B$42)</f>
        <v>#N/A</v>
      </c>
      <c r="AO239" s="400" t="e">
        <f>LOOKUP(AO$2,'Depreciation Schedules'!$A$3:$A$42,'Depreciation Schedules'!$B$3:$B$42)</f>
        <v>#N/A</v>
      </c>
      <c r="AP239" s="400" t="e">
        <f>LOOKUP(AP$2,'Depreciation Schedules'!$A$3:$A$42,'Depreciation Schedules'!$B$3:$B$42)</f>
        <v>#N/A</v>
      </c>
    </row>
    <row r="240" spans="1:42" x14ac:dyDescent="0.2">
      <c r="A240" s="41" t="str">
        <f t="shared" ref="A240:A244" si="112">A207</f>
        <v>15-yr MACRS</v>
      </c>
      <c r="B240" s="399">
        <f t="array" ref="B240">SUM(IF(ISNUMBER(C240:AP240),C240:AP240))</f>
        <v>99.990000000000009</v>
      </c>
      <c r="C240" s="400">
        <f>LOOKUP(C$2,'Depreciation Schedules'!$A$3:$A$42,'Depreciation Schedules'!$C$3:$C$42)</f>
        <v>5</v>
      </c>
      <c r="D240" s="400">
        <f>LOOKUP(D$2,'Depreciation Schedules'!$A$3:$A$42,'Depreciation Schedules'!$C$3:$C$42)</f>
        <v>9.5</v>
      </c>
      <c r="E240" s="400">
        <f>LOOKUP(E$2,'Depreciation Schedules'!$A$3:$A$42,'Depreciation Schedules'!$C$3:$C$42)</f>
        <v>8.5500000000000007</v>
      </c>
      <c r="F240" s="400">
        <f>LOOKUP(F$2,'Depreciation Schedules'!$A$3:$A$42,'Depreciation Schedules'!$C$3:$C$42)</f>
        <v>7.7</v>
      </c>
      <c r="G240" s="400">
        <f>LOOKUP(G$2,'Depreciation Schedules'!$A$3:$A$42,'Depreciation Schedules'!$C$3:$C$42)</f>
        <v>6.93</v>
      </c>
      <c r="H240" s="400">
        <f>LOOKUP(H$2,'Depreciation Schedules'!$A$3:$A$42,'Depreciation Schedules'!$C$3:$C$42)</f>
        <v>6.23</v>
      </c>
      <c r="I240" s="400">
        <f>LOOKUP(I$2,'Depreciation Schedules'!$A$3:$A$42,'Depreciation Schedules'!$C$3:$C$42)</f>
        <v>5.9</v>
      </c>
      <c r="J240" s="400">
        <f>LOOKUP(J$2,'Depreciation Schedules'!$A$3:$A$42,'Depreciation Schedules'!$C$3:$C$42)</f>
        <v>5.9</v>
      </c>
      <c r="K240" s="400">
        <f>LOOKUP(K$2,'Depreciation Schedules'!$A$3:$A$42,'Depreciation Schedules'!$C$3:$C$42)</f>
        <v>5.91</v>
      </c>
      <c r="L240" s="400">
        <f>LOOKUP(L$2,'Depreciation Schedules'!$A$3:$A$42,'Depreciation Schedules'!$C$3:$C$42)</f>
        <v>5.9</v>
      </c>
      <c r="M240" s="400">
        <f>LOOKUP(M$2,'Depreciation Schedules'!$A$3:$A$42,'Depreciation Schedules'!$C$3:$C$42)</f>
        <v>5.91</v>
      </c>
      <c r="N240" s="400">
        <f>LOOKUP(N$2,'Depreciation Schedules'!$A$3:$A$42,'Depreciation Schedules'!$C$3:$C$42)</f>
        <v>5.9</v>
      </c>
      <c r="O240" s="400">
        <f>LOOKUP(O$2,'Depreciation Schedules'!$A$3:$A$42,'Depreciation Schedules'!$C$3:$C$42)</f>
        <v>5.91</v>
      </c>
      <c r="P240" s="400">
        <f>LOOKUP(P$2,'Depreciation Schedules'!$A$3:$A$42,'Depreciation Schedules'!$C$3:$C$42)</f>
        <v>5.9</v>
      </c>
      <c r="Q240" s="400">
        <f>LOOKUP(Q$2,'Depreciation Schedules'!$A$3:$A$42,'Depreciation Schedules'!$C$3:$C$42)</f>
        <v>5.9</v>
      </c>
      <c r="R240" s="400">
        <f>LOOKUP(R$2,'Depreciation Schedules'!$A$3:$A$42,'Depreciation Schedules'!$C$3:$C$42)</f>
        <v>2.95</v>
      </c>
      <c r="S240" s="400">
        <f>LOOKUP(S$2,'Depreciation Schedules'!$A$3:$A$42,'Depreciation Schedules'!$C$3:$C$42)</f>
        <v>0</v>
      </c>
      <c r="T240" s="400">
        <f>LOOKUP(T$2,'Depreciation Schedules'!$A$3:$A$42,'Depreciation Schedules'!$C$3:$C$42)</f>
        <v>0</v>
      </c>
      <c r="U240" s="400">
        <f>LOOKUP(U$2,'Depreciation Schedules'!$A$3:$A$42,'Depreciation Schedules'!$C$3:$C$42)</f>
        <v>0</v>
      </c>
      <c r="V240" s="400">
        <f>LOOKUP(V$2,'Depreciation Schedules'!$A$3:$A$42,'Depreciation Schedules'!$C$3:$C$42)</f>
        <v>0</v>
      </c>
      <c r="W240" s="400">
        <f>LOOKUP(W$2,'Depreciation Schedules'!$A$3:$A$42,'Depreciation Schedules'!$C$3:$C$42)</f>
        <v>0</v>
      </c>
      <c r="X240" s="400">
        <f>LOOKUP(X$2,'Depreciation Schedules'!$A$3:$A$42,'Depreciation Schedules'!$C$3:$C$42)</f>
        <v>0</v>
      </c>
      <c r="Y240" s="400">
        <f>LOOKUP(Y$2,'Depreciation Schedules'!$A$3:$A$42,'Depreciation Schedules'!$C$3:$C$42)</f>
        <v>0</v>
      </c>
      <c r="Z240" s="400">
        <f>LOOKUP(Z$2,'Depreciation Schedules'!$A$3:$A$42,'Depreciation Schedules'!$C$3:$C$42)</f>
        <v>0</v>
      </c>
      <c r="AA240" s="400">
        <f>LOOKUP(AA$2,'Depreciation Schedules'!$A$3:$A$42,'Depreciation Schedules'!$C$3:$C$42)</f>
        <v>0</v>
      </c>
      <c r="AB240" s="400" t="e">
        <f>LOOKUP(AB$2,'Depreciation Schedules'!$A$3:$A$42,'Depreciation Schedules'!$C$3:$C$42)</f>
        <v>#N/A</v>
      </c>
      <c r="AC240" s="400" t="e">
        <f>LOOKUP(AC$2,'Depreciation Schedules'!$A$3:$A$42,'Depreciation Schedules'!$C$3:$C$42)</f>
        <v>#N/A</v>
      </c>
      <c r="AD240" s="400" t="e">
        <f>LOOKUP(AD$2,'Depreciation Schedules'!$A$3:$A$42,'Depreciation Schedules'!$C$3:$C$42)</f>
        <v>#N/A</v>
      </c>
      <c r="AE240" s="400" t="e">
        <f>LOOKUP(AE$2,'Depreciation Schedules'!$A$3:$A$42,'Depreciation Schedules'!$C$3:$C$42)</f>
        <v>#N/A</v>
      </c>
      <c r="AF240" s="400" t="e">
        <f>LOOKUP(AF$2,'Depreciation Schedules'!$A$3:$A$42,'Depreciation Schedules'!$C$3:$C$42)</f>
        <v>#N/A</v>
      </c>
      <c r="AG240" s="400" t="e">
        <f>LOOKUP(AG$2,'Depreciation Schedules'!$A$3:$A$42,'Depreciation Schedules'!$C$3:$C$42)</f>
        <v>#N/A</v>
      </c>
      <c r="AH240" s="400" t="e">
        <f>LOOKUP(AH$2,'Depreciation Schedules'!$A$3:$A$42,'Depreciation Schedules'!$C$3:$C$42)</f>
        <v>#N/A</v>
      </c>
      <c r="AI240" s="400" t="e">
        <f>LOOKUP(AI$2,'Depreciation Schedules'!$A$3:$A$42,'Depreciation Schedules'!$C$3:$C$42)</f>
        <v>#N/A</v>
      </c>
      <c r="AJ240" s="400" t="e">
        <f>LOOKUP(AJ$2,'Depreciation Schedules'!$A$3:$A$42,'Depreciation Schedules'!$C$3:$C$42)</f>
        <v>#N/A</v>
      </c>
      <c r="AK240" s="400" t="e">
        <f>LOOKUP(AK$2,'Depreciation Schedules'!$A$3:$A$42,'Depreciation Schedules'!$C$3:$C$42)</f>
        <v>#N/A</v>
      </c>
      <c r="AL240" s="400" t="e">
        <f>LOOKUP(AL$2,'Depreciation Schedules'!$A$3:$A$42,'Depreciation Schedules'!$C$3:$C$42)</f>
        <v>#N/A</v>
      </c>
      <c r="AM240" s="400" t="e">
        <f>LOOKUP(AM$2,'Depreciation Schedules'!$A$3:$A$42,'Depreciation Schedules'!$C$3:$C$42)</f>
        <v>#N/A</v>
      </c>
      <c r="AN240" s="400" t="e">
        <f>LOOKUP(AN$2,'Depreciation Schedules'!$A$3:$A$42,'Depreciation Schedules'!$C$3:$C$42)</f>
        <v>#N/A</v>
      </c>
      <c r="AO240" s="400" t="e">
        <f>LOOKUP(AO$2,'Depreciation Schedules'!$A$3:$A$42,'Depreciation Schedules'!$C$3:$C$42)</f>
        <v>#N/A</v>
      </c>
      <c r="AP240" s="400" t="e">
        <f>LOOKUP(AP$2,'Depreciation Schedules'!$A$3:$A$42,'Depreciation Schedules'!$C$3:$C$42)</f>
        <v>#N/A</v>
      </c>
    </row>
    <row r="241" spans="1:42" x14ac:dyDescent="0.2">
      <c r="A241" s="41" t="str">
        <f t="shared" si="112"/>
        <v>5-yr SL</v>
      </c>
      <c r="B241" s="399">
        <f t="array" ref="B241">SUM(IF(ISNUMBER(C241:AP241),C241:AP241))</f>
        <v>100</v>
      </c>
      <c r="C241" s="400">
        <f>LOOKUP(C$2,'Depreciation Schedules'!$A$3:$A$42,'Depreciation Schedules'!$D$3:$D$42)</f>
        <v>10</v>
      </c>
      <c r="D241" s="400">
        <f>LOOKUP(D$2,'Depreciation Schedules'!$A$3:$A$42,'Depreciation Schedules'!$D$3:$D$42)</f>
        <v>20</v>
      </c>
      <c r="E241" s="400">
        <f>LOOKUP(E$2,'Depreciation Schedules'!$A$3:$A$42,'Depreciation Schedules'!$D$3:$D$42)</f>
        <v>20</v>
      </c>
      <c r="F241" s="400">
        <f>LOOKUP(F$2,'Depreciation Schedules'!$A$3:$A$42,'Depreciation Schedules'!$D$3:$D$42)</f>
        <v>20</v>
      </c>
      <c r="G241" s="400">
        <f>LOOKUP(G$2,'Depreciation Schedules'!$A$3:$A$42,'Depreciation Schedules'!$D$3:$D$42)</f>
        <v>20</v>
      </c>
      <c r="H241" s="400">
        <f>LOOKUP(H$2,'Depreciation Schedules'!$A$3:$A$42,'Depreciation Schedules'!$D$3:$D$42)</f>
        <v>10</v>
      </c>
      <c r="I241" s="400">
        <f>LOOKUP(I$2,'Depreciation Schedules'!$A$3:$A$42,'Depreciation Schedules'!$D$3:$D$42)</f>
        <v>0</v>
      </c>
      <c r="J241" s="400">
        <f>LOOKUP(J$2,'Depreciation Schedules'!$A$3:$A$42,'Depreciation Schedules'!$D$3:$D$42)</f>
        <v>0</v>
      </c>
      <c r="K241" s="400">
        <f>LOOKUP(K$2,'Depreciation Schedules'!$A$3:$A$42,'Depreciation Schedules'!$D$3:$D$42)</f>
        <v>0</v>
      </c>
      <c r="L241" s="400">
        <f>LOOKUP(L$2,'Depreciation Schedules'!$A$3:$A$42,'Depreciation Schedules'!$D$3:$D$42)</f>
        <v>0</v>
      </c>
      <c r="M241" s="400">
        <f>LOOKUP(M$2,'Depreciation Schedules'!$A$3:$A$42,'Depreciation Schedules'!$D$3:$D$42)</f>
        <v>0</v>
      </c>
      <c r="N241" s="400">
        <f>LOOKUP(N$2,'Depreciation Schedules'!$A$3:$A$42,'Depreciation Schedules'!$D$3:$D$42)</f>
        <v>0</v>
      </c>
      <c r="O241" s="400">
        <f>LOOKUP(O$2,'Depreciation Schedules'!$A$3:$A$42,'Depreciation Schedules'!$D$3:$D$42)</f>
        <v>0</v>
      </c>
      <c r="P241" s="400">
        <f>LOOKUP(P$2,'Depreciation Schedules'!$A$3:$A$42,'Depreciation Schedules'!$D$3:$D$42)</f>
        <v>0</v>
      </c>
      <c r="Q241" s="400">
        <f>LOOKUP(Q$2,'Depreciation Schedules'!$A$3:$A$42,'Depreciation Schedules'!$D$3:$D$42)</f>
        <v>0</v>
      </c>
      <c r="R241" s="400">
        <f>LOOKUP(R$2,'Depreciation Schedules'!$A$3:$A$42,'Depreciation Schedules'!$D$3:$D$42)</f>
        <v>0</v>
      </c>
      <c r="S241" s="400">
        <f>LOOKUP(S$2,'Depreciation Schedules'!$A$3:$A$42,'Depreciation Schedules'!$D$3:$D$42)</f>
        <v>0</v>
      </c>
      <c r="T241" s="400">
        <f>LOOKUP(T$2,'Depreciation Schedules'!$A$3:$A$42,'Depreciation Schedules'!$D$3:$D$42)</f>
        <v>0</v>
      </c>
      <c r="U241" s="400">
        <f>LOOKUP(U$2,'Depreciation Schedules'!$A$3:$A$42,'Depreciation Schedules'!$D$3:$D$42)</f>
        <v>0</v>
      </c>
      <c r="V241" s="400">
        <f>LOOKUP(V$2,'Depreciation Schedules'!$A$3:$A$42,'Depreciation Schedules'!$D$3:$D$42)</f>
        <v>0</v>
      </c>
      <c r="W241" s="400">
        <f>LOOKUP(W$2,'Depreciation Schedules'!$A$3:$A$42,'Depreciation Schedules'!$D$3:$D$42)</f>
        <v>0</v>
      </c>
      <c r="X241" s="400">
        <f>LOOKUP(X$2,'Depreciation Schedules'!$A$3:$A$42,'Depreciation Schedules'!$D$3:$D$42)</f>
        <v>0</v>
      </c>
      <c r="Y241" s="400">
        <f>LOOKUP(Y$2,'Depreciation Schedules'!$A$3:$A$42,'Depreciation Schedules'!$D$3:$D$42)</f>
        <v>0</v>
      </c>
      <c r="Z241" s="400">
        <f>LOOKUP(Z$2,'Depreciation Schedules'!$A$3:$A$42,'Depreciation Schedules'!$D$3:$D$42)</f>
        <v>0</v>
      </c>
      <c r="AA241" s="400">
        <f>LOOKUP(AA$2,'Depreciation Schedules'!$A$3:$A$42,'Depreciation Schedules'!$D$3:$D$42)</f>
        <v>0</v>
      </c>
      <c r="AB241" s="400" t="e">
        <f>LOOKUP(AB$2,'Depreciation Schedules'!$A$3:$A$42,'Depreciation Schedules'!$D$3:$D$42)</f>
        <v>#N/A</v>
      </c>
      <c r="AC241" s="400" t="e">
        <f>LOOKUP(AC$2,'Depreciation Schedules'!$A$3:$A$42,'Depreciation Schedules'!$D$3:$D$42)</f>
        <v>#N/A</v>
      </c>
      <c r="AD241" s="400" t="e">
        <f>LOOKUP(AD$2,'Depreciation Schedules'!$A$3:$A$42,'Depreciation Schedules'!$D$3:$D$42)</f>
        <v>#N/A</v>
      </c>
      <c r="AE241" s="400" t="e">
        <f>LOOKUP(AE$2,'Depreciation Schedules'!$A$3:$A$42,'Depreciation Schedules'!$D$3:$D$42)</f>
        <v>#N/A</v>
      </c>
      <c r="AF241" s="400" t="e">
        <f>LOOKUP(AF$2,'Depreciation Schedules'!$A$3:$A$42,'Depreciation Schedules'!$D$3:$D$42)</f>
        <v>#N/A</v>
      </c>
      <c r="AG241" s="400" t="e">
        <f>LOOKUP(AG$2,'Depreciation Schedules'!$A$3:$A$42,'Depreciation Schedules'!$D$3:$D$42)</f>
        <v>#N/A</v>
      </c>
      <c r="AH241" s="400" t="e">
        <f>LOOKUP(AH$2,'Depreciation Schedules'!$A$3:$A$42,'Depreciation Schedules'!$D$3:$D$42)</f>
        <v>#N/A</v>
      </c>
      <c r="AI241" s="400" t="e">
        <f>LOOKUP(AI$2,'Depreciation Schedules'!$A$3:$A$42,'Depreciation Schedules'!$D$3:$D$42)</f>
        <v>#N/A</v>
      </c>
      <c r="AJ241" s="400" t="e">
        <f>LOOKUP(AJ$2,'Depreciation Schedules'!$A$3:$A$42,'Depreciation Schedules'!$D$3:$D$42)</f>
        <v>#N/A</v>
      </c>
      <c r="AK241" s="400" t="e">
        <f>LOOKUP(AK$2,'Depreciation Schedules'!$A$3:$A$42,'Depreciation Schedules'!$D$3:$D$42)</f>
        <v>#N/A</v>
      </c>
      <c r="AL241" s="400" t="e">
        <f>LOOKUP(AL$2,'Depreciation Schedules'!$A$3:$A$42,'Depreciation Schedules'!$D$3:$D$42)</f>
        <v>#N/A</v>
      </c>
      <c r="AM241" s="400" t="e">
        <f>LOOKUP(AM$2,'Depreciation Schedules'!$A$3:$A$42,'Depreciation Schedules'!$D$3:$D$42)</f>
        <v>#N/A</v>
      </c>
      <c r="AN241" s="400" t="e">
        <f>LOOKUP(AN$2,'Depreciation Schedules'!$A$3:$A$42,'Depreciation Schedules'!$D$3:$D$42)</f>
        <v>#N/A</v>
      </c>
      <c r="AO241" s="400" t="e">
        <f>LOOKUP(AO$2,'Depreciation Schedules'!$A$3:$A$42,'Depreciation Schedules'!$D$3:$D$42)</f>
        <v>#N/A</v>
      </c>
      <c r="AP241" s="400" t="e">
        <f>LOOKUP(AP$2,'Depreciation Schedules'!$A$3:$A$42,'Depreciation Schedules'!$D$3:$D$42)</f>
        <v>#N/A</v>
      </c>
    </row>
    <row r="242" spans="1:42" x14ac:dyDescent="0.2">
      <c r="A242" s="41" t="str">
        <f t="shared" si="112"/>
        <v>15-yr SL</v>
      </c>
      <c r="B242" s="399">
        <f t="array" ref="B242">SUM(IF(ISNUMBER(C242:AP242),C242:AP242))</f>
        <v>100.02000000000001</v>
      </c>
      <c r="C242" s="400">
        <f>LOOKUP(C$2,'Depreciation Schedules'!$A$3:$A$42,'Depreciation Schedules'!$E$3:$E$42)</f>
        <v>3.33</v>
      </c>
      <c r="D242" s="400">
        <f>LOOKUP(D$2,'Depreciation Schedules'!$A$3:$A$42,'Depreciation Schedules'!$E$3:$E$42)</f>
        <v>6.67</v>
      </c>
      <c r="E242" s="400">
        <f>LOOKUP(E$2,'Depreciation Schedules'!$A$3:$A$42,'Depreciation Schedules'!$E$3:$E$42)</f>
        <v>6.67</v>
      </c>
      <c r="F242" s="400">
        <f>LOOKUP(F$2,'Depreciation Schedules'!$A$3:$A$42,'Depreciation Schedules'!$E$3:$E$42)</f>
        <v>6.67</v>
      </c>
      <c r="G242" s="400">
        <f>LOOKUP(G$2,'Depreciation Schedules'!$A$3:$A$42,'Depreciation Schedules'!$E$3:$E$42)</f>
        <v>6.67</v>
      </c>
      <c r="H242" s="400">
        <f>LOOKUP(H$2,'Depreciation Schedules'!$A$3:$A$42,'Depreciation Schedules'!$E$3:$E$42)</f>
        <v>6.67</v>
      </c>
      <c r="I242" s="400">
        <f>LOOKUP(I$2,'Depreciation Schedules'!$A$3:$A$42,'Depreciation Schedules'!$E$3:$E$42)</f>
        <v>6.67</v>
      </c>
      <c r="J242" s="400">
        <f>LOOKUP(J$2,'Depreciation Schedules'!$A$3:$A$42,'Depreciation Schedules'!$E$3:$E$42)</f>
        <v>6.67</v>
      </c>
      <c r="K242" s="400">
        <f>LOOKUP(K$2,'Depreciation Schedules'!$A$3:$A$42,'Depreciation Schedules'!$E$3:$E$42)</f>
        <v>6.67</v>
      </c>
      <c r="L242" s="400">
        <f>LOOKUP(L$2,'Depreciation Schedules'!$A$3:$A$42,'Depreciation Schedules'!$E$3:$E$42)</f>
        <v>6.67</v>
      </c>
      <c r="M242" s="400">
        <f>LOOKUP(M$2,'Depreciation Schedules'!$A$3:$A$42,'Depreciation Schedules'!$E$3:$E$42)</f>
        <v>6.67</v>
      </c>
      <c r="N242" s="400">
        <f>LOOKUP(N$2,'Depreciation Schedules'!$A$3:$A$42,'Depreciation Schedules'!$E$3:$E$42)</f>
        <v>6.66</v>
      </c>
      <c r="O242" s="400">
        <f>LOOKUP(O$2,'Depreciation Schedules'!$A$3:$A$42,'Depreciation Schedules'!$E$3:$E$42)</f>
        <v>6.67</v>
      </c>
      <c r="P242" s="400">
        <f>LOOKUP(P$2,'Depreciation Schedules'!$A$3:$A$42,'Depreciation Schedules'!$E$3:$E$42)</f>
        <v>6.66</v>
      </c>
      <c r="Q242" s="400">
        <f>LOOKUP(Q$2,'Depreciation Schedules'!$A$3:$A$42,'Depreciation Schedules'!$E$3:$E$42)</f>
        <v>6.67</v>
      </c>
      <c r="R242" s="400">
        <f>LOOKUP(R$2,'Depreciation Schedules'!$A$3:$A$42,'Depreciation Schedules'!$E$3:$E$42)</f>
        <v>3.33</v>
      </c>
      <c r="S242" s="400">
        <f>LOOKUP(S$2,'Depreciation Schedules'!$A$3:$A$42,'Depreciation Schedules'!$E$3:$E$42)</f>
        <v>0</v>
      </c>
      <c r="T242" s="400">
        <f>LOOKUP(T$2,'Depreciation Schedules'!$A$3:$A$42,'Depreciation Schedules'!$E$3:$E$42)</f>
        <v>0</v>
      </c>
      <c r="U242" s="400">
        <f>LOOKUP(U$2,'Depreciation Schedules'!$A$3:$A$42,'Depreciation Schedules'!$E$3:$E$42)</f>
        <v>0</v>
      </c>
      <c r="V242" s="400">
        <f>LOOKUP(V$2,'Depreciation Schedules'!$A$3:$A$42,'Depreciation Schedules'!$E$3:$E$42)</f>
        <v>0</v>
      </c>
      <c r="W242" s="400">
        <f>LOOKUP(W$2,'Depreciation Schedules'!$A$3:$A$42,'Depreciation Schedules'!$E$3:$E$42)</f>
        <v>0</v>
      </c>
      <c r="X242" s="400">
        <f>LOOKUP(X$2,'Depreciation Schedules'!$A$3:$A$42,'Depreciation Schedules'!$E$3:$E$42)</f>
        <v>0</v>
      </c>
      <c r="Y242" s="400">
        <f>LOOKUP(Y$2,'Depreciation Schedules'!$A$3:$A$42,'Depreciation Schedules'!$E$3:$E$42)</f>
        <v>0</v>
      </c>
      <c r="Z242" s="400">
        <f>LOOKUP(Z$2,'Depreciation Schedules'!$A$3:$A$42,'Depreciation Schedules'!$E$3:$E$42)</f>
        <v>0</v>
      </c>
      <c r="AA242" s="400">
        <f>LOOKUP(AA$2,'Depreciation Schedules'!$A$3:$A$42,'Depreciation Schedules'!$E$3:$E$42)</f>
        <v>0</v>
      </c>
      <c r="AB242" s="400" t="e">
        <f>LOOKUP(AB$2,'Depreciation Schedules'!$A$3:$A$42,'Depreciation Schedules'!$E$3:$E$42)</f>
        <v>#N/A</v>
      </c>
      <c r="AC242" s="400" t="e">
        <f>LOOKUP(AC$2,'Depreciation Schedules'!$A$3:$A$42,'Depreciation Schedules'!$E$3:$E$42)</f>
        <v>#N/A</v>
      </c>
      <c r="AD242" s="400" t="e">
        <f>LOOKUP(AD$2,'Depreciation Schedules'!$A$3:$A$42,'Depreciation Schedules'!$E$3:$E$42)</f>
        <v>#N/A</v>
      </c>
      <c r="AE242" s="400" t="e">
        <f>LOOKUP(AE$2,'Depreciation Schedules'!$A$3:$A$42,'Depreciation Schedules'!$E$3:$E$42)</f>
        <v>#N/A</v>
      </c>
      <c r="AF242" s="400" t="e">
        <f>LOOKUP(AF$2,'Depreciation Schedules'!$A$3:$A$42,'Depreciation Schedules'!$E$3:$E$42)</f>
        <v>#N/A</v>
      </c>
      <c r="AG242" s="400" t="e">
        <f>LOOKUP(AG$2,'Depreciation Schedules'!$A$3:$A$42,'Depreciation Schedules'!$E$3:$E$42)</f>
        <v>#N/A</v>
      </c>
      <c r="AH242" s="400" t="e">
        <f>LOOKUP(AH$2,'Depreciation Schedules'!$A$3:$A$42,'Depreciation Schedules'!$E$3:$E$42)</f>
        <v>#N/A</v>
      </c>
      <c r="AI242" s="400" t="e">
        <f>LOOKUP(AI$2,'Depreciation Schedules'!$A$3:$A$42,'Depreciation Schedules'!$E$3:$E$42)</f>
        <v>#N/A</v>
      </c>
      <c r="AJ242" s="400" t="e">
        <f>LOOKUP(AJ$2,'Depreciation Schedules'!$A$3:$A$42,'Depreciation Schedules'!$E$3:$E$42)</f>
        <v>#N/A</v>
      </c>
      <c r="AK242" s="400" t="e">
        <f>LOOKUP(AK$2,'Depreciation Schedules'!$A$3:$A$42,'Depreciation Schedules'!$E$3:$E$42)</f>
        <v>#N/A</v>
      </c>
      <c r="AL242" s="400" t="e">
        <f>LOOKUP(AL$2,'Depreciation Schedules'!$A$3:$A$42,'Depreciation Schedules'!$E$3:$E$42)</f>
        <v>#N/A</v>
      </c>
      <c r="AM242" s="400" t="e">
        <f>LOOKUP(AM$2,'Depreciation Schedules'!$A$3:$A$42,'Depreciation Schedules'!$E$3:$E$42)</f>
        <v>#N/A</v>
      </c>
      <c r="AN242" s="400" t="e">
        <f>LOOKUP(AN$2,'Depreciation Schedules'!$A$3:$A$42,'Depreciation Schedules'!$E$3:$E$42)</f>
        <v>#N/A</v>
      </c>
      <c r="AO242" s="400" t="e">
        <f>LOOKUP(AO$2,'Depreciation Schedules'!$A$3:$A$42,'Depreciation Schedules'!$E$3:$E$42)</f>
        <v>#N/A</v>
      </c>
      <c r="AP242" s="400" t="e">
        <f>LOOKUP(AP$2,'Depreciation Schedules'!$A$3:$A$42,'Depreciation Schedules'!$E$3:$E$42)</f>
        <v>#N/A</v>
      </c>
    </row>
    <row r="243" spans="1:42" x14ac:dyDescent="0.2">
      <c r="A243" s="41" t="str">
        <f t="shared" si="112"/>
        <v>20-yr SL</v>
      </c>
      <c r="B243" s="399">
        <f t="array" ref="B243">SUM(IF(ISNUMBER(C243:AP243),C243:AP243))</f>
        <v>100</v>
      </c>
      <c r="C243" s="400">
        <f>LOOKUP(C$2,'Depreciation Schedules'!$A$3:$A$42,'Depreciation Schedules'!$F$3:$F$42)</f>
        <v>2.5</v>
      </c>
      <c r="D243" s="400">
        <f>LOOKUP(D$2,'Depreciation Schedules'!$A$3:$A$42,'Depreciation Schedules'!$F$3:$F$42)</f>
        <v>5</v>
      </c>
      <c r="E243" s="400">
        <f>LOOKUP(E$2,'Depreciation Schedules'!$A$3:$A$42,'Depreciation Schedules'!$F$3:$F$42)</f>
        <v>5</v>
      </c>
      <c r="F243" s="400">
        <f>LOOKUP(F$2,'Depreciation Schedules'!$A$3:$A$42,'Depreciation Schedules'!$F$3:$F$42)</f>
        <v>5</v>
      </c>
      <c r="G243" s="400">
        <f>LOOKUP(G$2,'Depreciation Schedules'!$A$3:$A$42,'Depreciation Schedules'!$F$3:$F$42)</f>
        <v>5</v>
      </c>
      <c r="H243" s="400">
        <f>LOOKUP(H$2,'Depreciation Schedules'!$A$3:$A$42,'Depreciation Schedules'!$F$3:$F$42)</f>
        <v>5</v>
      </c>
      <c r="I243" s="400">
        <f>LOOKUP(I$2,'Depreciation Schedules'!$A$3:$A$42,'Depreciation Schedules'!$F$3:$F$42)</f>
        <v>5</v>
      </c>
      <c r="J243" s="400">
        <f>LOOKUP(J$2,'Depreciation Schedules'!$A$3:$A$42,'Depreciation Schedules'!$F$3:$F$42)</f>
        <v>5</v>
      </c>
      <c r="K243" s="400">
        <f>LOOKUP(K$2,'Depreciation Schedules'!$A$3:$A$42,'Depreciation Schedules'!$F$3:$F$42)</f>
        <v>5</v>
      </c>
      <c r="L243" s="400">
        <f>LOOKUP(L$2,'Depreciation Schedules'!$A$3:$A$42,'Depreciation Schedules'!$F$3:$F$42)</f>
        <v>5</v>
      </c>
      <c r="M243" s="400">
        <f>LOOKUP(M$2,'Depreciation Schedules'!$A$3:$A$42,'Depreciation Schedules'!$F$3:$F$42)</f>
        <v>5</v>
      </c>
      <c r="N243" s="400">
        <f>LOOKUP(N$2,'Depreciation Schedules'!$A$3:$A$42,'Depreciation Schedules'!$F$3:$F$42)</f>
        <v>5</v>
      </c>
      <c r="O243" s="400">
        <f>LOOKUP(O$2,'Depreciation Schedules'!$A$3:$A$42,'Depreciation Schedules'!$F$3:$F$42)</f>
        <v>5</v>
      </c>
      <c r="P243" s="400">
        <f>LOOKUP(P$2,'Depreciation Schedules'!$A$3:$A$42,'Depreciation Schedules'!$F$3:$F$42)</f>
        <v>5</v>
      </c>
      <c r="Q243" s="400">
        <f>LOOKUP(Q$2,'Depreciation Schedules'!$A$3:$A$42,'Depreciation Schedules'!$F$3:$F$42)</f>
        <v>5</v>
      </c>
      <c r="R243" s="400">
        <f>LOOKUP(R$2,'Depreciation Schedules'!$A$3:$A$42,'Depreciation Schedules'!$F$3:$F$42)</f>
        <v>5</v>
      </c>
      <c r="S243" s="400">
        <f>LOOKUP(S$2,'Depreciation Schedules'!$A$3:$A$42,'Depreciation Schedules'!$F$3:$F$42)</f>
        <v>5</v>
      </c>
      <c r="T243" s="400">
        <f>LOOKUP(T$2,'Depreciation Schedules'!$A$3:$A$42,'Depreciation Schedules'!$F$3:$F$42)</f>
        <v>5</v>
      </c>
      <c r="U243" s="400">
        <f>LOOKUP(U$2,'Depreciation Schedules'!$A$3:$A$42,'Depreciation Schedules'!$F$3:$F$42)</f>
        <v>5</v>
      </c>
      <c r="V243" s="400">
        <f>LOOKUP(V$2,'Depreciation Schedules'!$A$3:$A$42,'Depreciation Schedules'!$F$3:$F$42)</f>
        <v>5</v>
      </c>
      <c r="W243" s="400">
        <f>LOOKUP(W$2,'Depreciation Schedules'!$A$3:$A$42,'Depreciation Schedules'!$F$3:$F$42)</f>
        <v>2.5</v>
      </c>
      <c r="X243" s="400">
        <f>LOOKUP(X$2,'Depreciation Schedules'!$A$3:$A$42,'Depreciation Schedules'!$F$3:$F$42)</f>
        <v>0</v>
      </c>
      <c r="Y243" s="400">
        <f>LOOKUP(Y$2,'Depreciation Schedules'!$A$3:$A$42,'Depreciation Schedules'!$F$3:$F$42)</f>
        <v>0</v>
      </c>
      <c r="Z243" s="400">
        <f>LOOKUP(Z$2,'Depreciation Schedules'!$A$3:$A$42,'Depreciation Schedules'!$F$3:$F$42)</f>
        <v>0</v>
      </c>
      <c r="AA243" s="400">
        <f>LOOKUP(AA$2,'Depreciation Schedules'!$A$3:$A$42,'Depreciation Schedules'!$F$3:$F$42)</f>
        <v>0</v>
      </c>
      <c r="AB243" s="400" t="e">
        <f>LOOKUP(AB$2,'Depreciation Schedules'!$A$3:$A$42,'Depreciation Schedules'!$F$3:$F$42)</f>
        <v>#N/A</v>
      </c>
      <c r="AC243" s="400" t="e">
        <f>LOOKUP(AC$2,'Depreciation Schedules'!$A$3:$A$42,'Depreciation Schedules'!$F$3:$F$42)</f>
        <v>#N/A</v>
      </c>
      <c r="AD243" s="400" t="e">
        <f>LOOKUP(AD$2,'Depreciation Schedules'!$A$3:$A$42,'Depreciation Schedules'!$F$3:$F$42)</f>
        <v>#N/A</v>
      </c>
      <c r="AE243" s="400" t="e">
        <f>LOOKUP(AE$2,'Depreciation Schedules'!$A$3:$A$42,'Depreciation Schedules'!$F$3:$F$42)</f>
        <v>#N/A</v>
      </c>
      <c r="AF243" s="400" t="e">
        <f>LOOKUP(AF$2,'Depreciation Schedules'!$A$3:$A$42,'Depreciation Schedules'!$F$3:$F$42)</f>
        <v>#N/A</v>
      </c>
      <c r="AG243" s="400" t="e">
        <f>LOOKUP(AG$2,'Depreciation Schedules'!$A$3:$A$42,'Depreciation Schedules'!$F$3:$F$42)</f>
        <v>#N/A</v>
      </c>
      <c r="AH243" s="400" t="e">
        <f>LOOKUP(AH$2,'Depreciation Schedules'!$A$3:$A$42,'Depreciation Schedules'!$F$3:$F$42)</f>
        <v>#N/A</v>
      </c>
      <c r="AI243" s="400" t="e">
        <f>LOOKUP(AI$2,'Depreciation Schedules'!$A$3:$A$42,'Depreciation Schedules'!$F$3:$F$42)</f>
        <v>#N/A</v>
      </c>
      <c r="AJ243" s="400" t="e">
        <f>LOOKUP(AJ$2,'Depreciation Schedules'!$A$3:$A$42,'Depreciation Schedules'!$F$3:$F$42)</f>
        <v>#N/A</v>
      </c>
      <c r="AK243" s="400" t="e">
        <f>LOOKUP(AK$2,'Depreciation Schedules'!$A$3:$A$42,'Depreciation Schedules'!$F$3:$F$42)</f>
        <v>#N/A</v>
      </c>
      <c r="AL243" s="400" t="e">
        <f>LOOKUP(AL$2,'Depreciation Schedules'!$A$3:$A$42,'Depreciation Schedules'!$F$3:$F$42)</f>
        <v>#N/A</v>
      </c>
      <c r="AM243" s="400" t="e">
        <f>LOOKUP(AM$2,'Depreciation Schedules'!$A$3:$A$42,'Depreciation Schedules'!$F$3:$F$42)</f>
        <v>#N/A</v>
      </c>
      <c r="AN243" s="400" t="e">
        <f>LOOKUP(AN$2,'Depreciation Schedules'!$A$3:$A$42,'Depreciation Schedules'!$F$3:$F$42)</f>
        <v>#N/A</v>
      </c>
      <c r="AO243" s="400" t="e">
        <f>LOOKUP(AO$2,'Depreciation Schedules'!$A$3:$A$42,'Depreciation Schedules'!$F$3:$F$42)</f>
        <v>#N/A</v>
      </c>
      <c r="AP243" s="400" t="e">
        <f>LOOKUP(AP$2,'Depreciation Schedules'!$A$3:$A$42,'Depreciation Schedules'!$F$3:$F$42)</f>
        <v>#N/A</v>
      </c>
    </row>
    <row r="244" spans="1:42" x14ac:dyDescent="0.2">
      <c r="A244" s="41" t="str">
        <f t="shared" si="112"/>
        <v>39-yr SL</v>
      </c>
      <c r="B244" s="403">
        <f t="array" ref="B244">SUM(IF(ISNUMBER(C244:AP244),C244:AP244))</f>
        <v>62.820512820512739</v>
      </c>
      <c r="C244" s="400">
        <f>LOOKUP(C$2,'Depreciation Schedules'!$A$3:$A$42,'Depreciation Schedules'!$G$3:$G$42)</f>
        <v>1.2820512820512799</v>
      </c>
      <c r="D244" s="400">
        <f>LOOKUP(D$2,'Depreciation Schedules'!$A$3:$A$42,'Depreciation Schedules'!$G$3:$G$42)</f>
        <v>2.5641025641025599</v>
      </c>
      <c r="E244" s="400">
        <f>LOOKUP(E$2,'Depreciation Schedules'!$A$3:$A$42,'Depreciation Schedules'!$G$3:$G$42)</f>
        <v>2.5641025641025599</v>
      </c>
      <c r="F244" s="400">
        <f>LOOKUP(F$2,'Depreciation Schedules'!$A$3:$A$42,'Depreciation Schedules'!$G$3:$G$42)</f>
        <v>2.5641025641025599</v>
      </c>
      <c r="G244" s="400">
        <f>LOOKUP(G$2,'Depreciation Schedules'!$A$3:$A$42,'Depreciation Schedules'!$G$3:$G$42)</f>
        <v>2.5641025641025599</v>
      </c>
      <c r="H244" s="400">
        <f>LOOKUP(H$2,'Depreciation Schedules'!$A$3:$A$42,'Depreciation Schedules'!$G$3:$G$42)</f>
        <v>2.5641025641025599</v>
      </c>
      <c r="I244" s="400">
        <f>LOOKUP(I$2,'Depreciation Schedules'!$A$3:$A$42,'Depreciation Schedules'!$G$3:$G$42)</f>
        <v>2.5641025641025599</v>
      </c>
      <c r="J244" s="400">
        <f>LOOKUP(J$2,'Depreciation Schedules'!$A$3:$A$42,'Depreciation Schedules'!$G$3:$G$42)</f>
        <v>2.5641025641025599</v>
      </c>
      <c r="K244" s="400">
        <f>LOOKUP(K$2,'Depreciation Schedules'!$A$3:$A$42,'Depreciation Schedules'!$G$3:$G$42)</f>
        <v>2.5641025641025599</v>
      </c>
      <c r="L244" s="400">
        <f>LOOKUP(L$2,'Depreciation Schedules'!$A$3:$A$42,'Depreciation Schedules'!$G$3:$G$42)</f>
        <v>2.5641025641025599</v>
      </c>
      <c r="M244" s="400">
        <f>LOOKUP(M$2,'Depreciation Schedules'!$A$3:$A$42,'Depreciation Schedules'!$G$3:$G$42)</f>
        <v>2.5641025641025599</v>
      </c>
      <c r="N244" s="400">
        <f>LOOKUP(N$2,'Depreciation Schedules'!$A$3:$A$42,'Depreciation Schedules'!$G$3:$G$42)</f>
        <v>2.5641025641025599</v>
      </c>
      <c r="O244" s="400">
        <f>LOOKUP(O$2,'Depreciation Schedules'!$A$3:$A$42,'Depreciation Schedules'!$G$3:$G$42)</f>
        <v>2.5641025641025599</v>
      </c>
      <c r="P244" s="400">
        <f>LOOKUP(P$2,'Depreciation Schedules'!$A$3:$A$42,'Depreciation Schedules'!$G$3:$G$42)</f>
        <v>2.5641025641025599</v>
      </c>
      <c r="Q244" s="400">
        <f>LOOKUP(Q$2,'Depreciation Schedules'!$A$3:$A$42,'Depreciation Schedules'!$G$3:$G$42)</f>
        <v>2.5641025641025599</v>
      </c>
      <c r="R244" s="400">
        <f>LOOKUP(R$2,'Depreciation Schedules'!$A$3:$A$42,'Depreciation Schedules'!$G$3:$G$42)</f>
        <v>2.5641025641025599</v>
      </c>
      <c r="S244" s="400">
        <f>LOOKUP(S$2,'Depreciation Schedules'!$A$3:$A$42,'Depreciation Schedules'!$G$3:$G$42)</f>
        <v>2.5641025641025599</v>
      </c>
      <c r="T244" s="400">
        <f>LOOKUP(T$2,'Depreciation Schedules'!$A$3:$A$42,'Depreciation Schedules'!$G$3:$G$42)</f>
        <v>2.5641025641025599</v>
      </c>
      <c r="U244" s="400">
        <f>LOOKUP(U$2,'Depreciation Schedules'!$A$3:$A$42,'Depreciation Schedules'!$G$3:$G$42)</f>
        <v>2.5641025641025599</v>
      </c>
      <c r="V244" s="400">
        <f>LOOKUP(V$2,'Depreciation Schedules'!$A$3:$A$42,'Depreciation Schedules'!$G$3:$G$42)</f>
        <v>2.5641025641025599</v>
      </c>
      <c r="W244" s="400">
        <f>LOOKUP(W$2,'Depreciation Schedules'!$A$3:$A$42,'Depreciation Schedules'!$G$3:$G$42)</f>
        <v>2.5641025641025599</v>
      </c>
      <c r="X244" s="400">
        <f>LOOKUP(X$2,'Depreciation Schedules'!$A$3:$A$42,'Depreciation Schedules'!$G$3:$G$42)</f>
        <v>2.5641025641025599</v>
      </c>
      <c r="Y244" s="400">
        <f>LOOKUP(Y$2,'Depreciation Schedules'!$A$3:$A$42,'Depreciation Schedules'!$G$3:$G$42)</f>
        <v>2.5641025641025599</v>
      </c>
      <c r="Z244" s="400">
        <f>LOOKUP(Z$2,'Depreciation Schedules'!$A$3:$A$42,'Depreciation Schedules'!$G$3:$G$42)</f>
        <v>2.5641025641025599</v>
      </c>
      <c r="AA244" s="400">
        <f>LOOKUP(AA$2,'Depreciation Schedules'!$A$3:$A$42,'Depreciation Schedules'!$G$3:$G$42)</f>
        <v>2.5641025641025599</v>
      </c>
      <c r="AB244" s="400" t="e">
        <f>LOOKUP(AB$2,'Depreciation Schedules'!$A$3:$A$42,'Depreciation Schedules'!$G$3:$G$42)</f>
        <v>#N/A</v>
      </c>
      <c r="AC244" s="400" t="e">
        <f>LOOKUP(AC$2,'Depreciation Schedules'!$A$3:$A$42,'Depreciation Schedules'!$G$3:$G$42)</f>
        <v>#N/A</v>
      </c>
      <c r="AD244" s="400" t="e">
        <f>LOOKUP(AD$2,'Depreciation Schedules'!$A$3:$A$42,'Depreciation Schedules'!$G$3:$G$42)</f>
        <v>#N/A</v>
      </c>
      <c r="AE244" s="400" t="e">
        <f>LOOKUP(AE$2,'Depreciation Schedules'!$A$3:$A$42,'Depreciation Schedules'!$G$3:$G$42)</f>
        <v>#N/A</v>
      </c>
      <c r="AF244" s="400" t="e">
        <f>LOOKUP(AF$2,'Depreciation Schedules'!$A$3:$A$42,'Depreciation Schedules'!$G$3:$G$42)</f>
        <v>#N/A</v>
      </c>
      <c r="AG244" s="400" t="e">
        <f>LOOKUP(AG$2,'Depreciation Schedules'!$A$3:$A$42,'Depreciation Schedules'!$G$3:$G$42)</f>
        <v>#N/A</v>
      </c>
      <c r="AH244" s="400" t="e">
        <f>LOOKUP(AH$2,'Depreciation Schedules'!$A$3:$A$42,'Depreciation Schedules'!$G$3:$G$42)</f>
        <v>#N/A</v>
      </c>
      <c r="AI244" s="400" t="e">
        <f>LOOKUP(AI$2,'Depreciation Schedules'!$A$3:$A$42,'Depreciation Schedules'!$G$3:$G$42)</f>
        <v>#N/A</v>
      </c>
      <c r="AJ244" s="400" t="e">
        <f>LOOKUP(AJ$2,'Depreciation Schedules'!$A$3:$A$42,'Depreciation Schedules'!$G$3:$G$42)</f>
        <v>#N/A</v>
      </c>
      <c r="AK244" s="400" t="e">
        <f>LOOKUP(AK$2,'Depreciation Schedules'!$A$3:$A$42,'Depreciation Schedules'!$G$3:$G$42)</f>
        <v>#N/A</v>
      </c>
      <c r="AL244" s="400" t="e">
        <f>LOOKUP(AL$2,'Depreciation Schedules'!$A$3:$A$42,'Depreciation Schedules'!$G$3:$G$42)</f>
        <v>#N/A</v>
      </c>
      <c r="AM244" s="400" t="e">
        <f>LOOKUP(AM$2,'Depreciation Schedules'!$A$3:$A$42,'Depreciation Schedules'!$G$3:$G$42)</f>
        <v>#N/A</v>
      </c>
      <c r="AN244" s="400" t="e">
        <f>LOOKUP(AN$2,'Depreciation Schedules'!$A$3:$A$42,'Depreciation Schedules'!$G$3:$G$42)</f>
        <v>#N/A</v>
      </c>
      <c r="AO244" s="400" t="e">
        <f>LOOKUP(AO$2,'Depreciation Schedules'!$A$3:$A$42,'Depreciation Schedules'!$G$3:$G$42)</f>
        <v>#N/A</v>
      </c>
      <c r="AP244" s="400" t="e">
        <f>LOOKUP(AP$2,'Depreciation Schedules'!$A$3:$A$42,'Depreciation Schedules'!$G$3:$G$42)</f>
        <v>#N/A</v>
      </c>
    </row>
    <row r="245" spans="1:42" x14ac:dyDescent="0.2">
      <c r="A245" s="35" t="s">
        <v>6</v>
      </c>
      <c r="C245" s="36"/>
      <c r="D245" s="36"/>
      <c r="E245" s="36"/>
      <c r="F245" s="36"/>
      <c r="G245" s="36"/>
      <c r="H245" s="36"/>
      <c r="I245" s="36"/>
      <c r="J245" s="36"/>
      <c r="K245" s="36"/>
      <c r="L245" s="36"/>
      <c r="M245" s="36"/>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row>
    <row r="246" spans="1:42" x14ac:dyDescent="0.2">
      <c r="A246" s="41" t="str">
        <f>A239</f>
        <v>5-yr MACRS</v>
      </c>
      <c r="B246" s="404">
        <f>SUM(IF(ISNUMBER(C246:AP246),C246:AP246))</f>
        <v>0</v>
      </c>
      <c r="C246" s="353">
        <f t="shared" ref="C246:AP246" si="113">C239/100*$Q206</f>
        <v>8655000</v>
      </c>
      <c r="D246" s="353">
        <f t="shared" si="113"/>
        <v>13848000</v>
      </c>
      <c r="E246" s="353">
        <f t="shared" si="113"/>
        <v>8308800</v>
      </c>
      <c r="F246" s="353">
        <f t="shared" si="113"/>
        <v>4985280</v>
      </c>
      <c r="G246" s="353">
        <f t="shared" si="113"/>
        <v>4985280</v>
      </c>
      <c r="H246" s="353">
        <f t="shared" si="113"/>
        <v>2492640</v>
      </c>
      <c r="I246" s="353">
        <f t="shared" si="113"/>
        <v>0</v>
      </c>
      <c r="J246" s="353">
        <f t="shared" si="113"/>
        <v>0</v>
      </c>
      <c r="K246" s="353">
        <f t="shared" si="113"/>
        <v>0</v>
      </c>
      <c r="L246" s="353">
        <f t="shared" si="113"/>
        <v>0</v>
      </c>
      <c r="M246" s="353">
        <f t="shared" si="113"/>
        <v>0</v>
      </c>
      <c r="N246" s="353">
        <f t="shared" si="113"/>
        <v>0</v>
      </c>
      <c r="O246" s="353">
        <f t="shared" si="113"/>
        <v>0</v>
      </c>
      <c r="P246" s="353">
        <f t="shared" si="113"/>
        <v>0</v>
      </c>
      <c r="Q246" s="353">
        <f t="shared" si="113"/>
        <v>0</v>
      </c>
      <c r="R246" s="353">
        <f t="shared" si="113"/>
        <v>0</v>
      </c>
      <c r="S246" s="353">
        <f t="shared" si="113"/>
        <v>0</v>
      </c>
      <c r="T246" s="353">
        <f t="shared" si="113"/>
        <v>0</v>
      </c>
      <c r="U246" s="353">
        <f t="shared" si="113"/>
        <v>0</v>
      </c>
      <c r="V246" s="353">
        <f t="shared" si="113"/>
        <v>0</v>
      </c>
      <c r="W246" s="353">
        <f t="shared" si="113"/>
        <v>0</v>
      </c>
      <c r="X246" s="353">
        <f t="shared" si="113"/>
        <v>0</v>
      </c>
      <c r="Y246" s="353">
        <f t="shared" si="113"/>
        <v>0</v>
      </c>
      <c r="Z246" s="353">
        <f t="shared" si="113"/>
        <v>0</v>
      </c>
      <c r="AA246" s="353">
        <f t="shared" si="113"/>
        <v>0</v>
      </c>
      <c r="AB246" s="353" t="e">
        <f t="shared" si="113"/>
        <v>#N/A</v>
      </c>
      <c r="AC246" s="353" t="e">
        <f t="shared" si="113"/>
        <v>#N/A</v>
      </c>
      <c r="AD246" s="353" t="e">
        <f t="shared" si="113"/>
        <v>#N/A</v>
      </c>
      <c r="AE246" s="353" t="e">
        <f t="shared" si="113"/>
        <v>#N/A</v>
      </c>
      <c r="AF246" s="353" t="e">
        <f t="shared" si="113"/>
        <v>#N/A</v>
      </c>
      <c r="AG246" s="353" t="e">
        <f t="shared" si="113"/>
        <v>#N/A</v>
      </c>
      <c r="AH246" s="353" t="e">
        <f t="shared" si="113"/>
        <v>#N/A</v>
      </c>
      <c r="AI246" s="353" t="e">
        <f t="shared" si="113"/>
        <v>#N/A</v>
      </c>
      <c r="AJ246" s="353" t="e">
        <f t="shared" si="113"/>
        <v>#N/A</v>
      </c>
      <c r="AK246" s="353" t="e">
        <f t="shared" si="113"/>
        <v>#N/A</v>
      </c>
      <c r="AL246" s="353" t="e">
        <f t="shared" si="113"/>
        <v>#N/A</v>
      </c>
      <c r="AM246" s="353" t="e">
        <f t="shared" si="113"/>
        <v>#N/A</v>
      </c>
      <c r="AN246" s="353" t="e">
        <f t="shared" si="113"/>
        <v>#N/A</v>
      </c>
      <c r="AO246" s="353" t="e">
        <f t="shared" si="113"/>
        <v>#N/A</v>
      </c>
      <c r="AP246" s="353" t="e">
        <f t="shared" si="113"/>
        <v>#N/A</v>
      </c>
    </row>
    <row r="247" spans="1:42" x14ac:dyDescent="0.2">
      <c r="A247" s="41" t="str">
        <f t="shared" ref="A247:A251" si="114">A240</f>
        <v>15-yr MACRS</v>
      </c>
      <c r="B247" s="404">
        <f t="array" ref="B247">SUM(IF(ISNUMBER(C247:AP247),C247:AP247))</f>
        <v>749925</v>
      </c>
      <c r="C247" s="353">
        <f t="shared" ref="C247:R251" si="115">C240/100*$Q207</f>
        <v>37500</v>
      </c>
      <c r="D247" s="353">
        <f t="shared" si="115"/>
        <v>71250</v>
      </c>
      <c r="E247" s="353">
        <f t="shared" si="115"/>
        <v>64125.000000000007</v>
      </c>
      <c r="F247" s="353">
        <f t="shared" si="115"/>
        <v>57750</v>
      </c>
      <c r="G247" s="353">
        <f t="shared" si="115"/>
        <v>51975</v>
      </c>
      <c r="H247" s="353">
        <f t="shared" si="115"/>
        <v>46725</v>
      </c>
      <c r="I247" s="353">
        <f t="shared" si="115"/>
        <v>44250</v>
      </c>
      <c r="J247" s="353">
        <f t="shared" si="115"/>
        <v>44250</v>
      </c>
      <c r="K247" s="353">
        <f t="shared" si="115"/>
        <v>44325</v>
      </c>
      <c r="L247" s="353">
        <f t="shared" si="115"/>
        <v>44250</v>
      </c>
      <c r="M247" s="353">
        <f t="shared" si="115"/>
        <v>44325</v>
      </c>
      <c r="N247" s="353">
        <f t="shared" si="115"/>
        <v>44250</v>
      </c>
      <c r="O247" s="353">
        <f t="shared" si="115"/>
        <v>44325</v>
      </c>
      <c r="P247" s="353">
        <f t="shared" si="115"/>
        <v>44250</v>
      </c>
      <c r="Q247" s="353">
        <f t="shared" si="115"/>
        <v>44250</v>
      </c>
      <c r="R247" s="353">
        <f t="shared" si="115"/>
        <v>22125</v>
      </c>
      <c r="S247" s="353">
        <f t="shared" ref="S247:AE251" si="116">S240/100*$Q207</f>
        <v>0</v>
      </c>
      <c r="T247" s="353">
        <f t="shared" si="116"/>
        <v>0</v>
      </c>
      <c r="U247" s="353">
        <f t="shared" si="116"/>
        <v>0</v>
      </c>
      <c r="V247" s="353">
        <f t="shared" si="116"/>
        <v>0</v>
      </c>
      <c r="W247" s="353">
        <f t="shared" si="116"/>
        <v>0</v>
      </c>
      <c r="X247" s="353">
        <f t="shared" si="116"/>
        <v>0</v>
      </c>
      <c r="Y247" s="353">
        <f t="shared" si="116"/>
        <v>0</v>
      </c>
      <c r="Z247" s="353">
        <f t="shared" si="116"/>
        <v>0</v>
      </c>
      <c r="AA247" s="353">
        <f t="shared" si="116"/>
        <v>0</v>
      </c>
      <c r="AB247" s="353" t="e">
        <f t="shared" si="116"/>
        <v>#N/A</v>
      </c>
      <c r="AC247" s="353" t="e">
        <f t="shared" si="116"/>
        <v>#N/A</v>
      </c>
      <c r="AD247" s="353" t="e">
        <f t="shared" si="116"/>
        <v>#N/A</v>
      </c>
      <c r="AE247" s="353" t="e">
        <f>AE240/100*$Q207</f>
        <v>#N/A</v>
      </c>
      <c r="AF247" s="353" t="e">
        <f t="shared" ref="AF247:AP251" si="117">AF240/100*$Q207</f>
        <v>#N/A</v>
      </c>
      <c r="AG247" s="353" t="e">
        <f t="shared" si="117"/>
        <v>#N/A</v>
      </c>
      <c r="AH247" s="353" t="e">
        <f t="shared" si="117"/>
        <v>#N/A</v>
      </c>
      <c r="AI247" s="353" t="e">
        <f t="shared" si="117"/>
        <v>#N/A</v>
      </c>
      <c r="AJ247" s="353" t="e">
        <f t="shared" si="117"/>
        <v>#N/A</v>
      </c>
      <c r="AK247" s="353" t="e">
        <f t="shared" si="117"/>
        <v>#N/A</v>
      </c>
      <c r="AL247" s="353" t="e">
        <f t="shared" si="117"/>
        <v>#N/A</v>
      </c>
      <c r="AM247" s="353" t="e">
        <f t="shared" si="117"/>
        <v>#N/A</v>
      </c>
      <c r="AN247" s="353" t="e">
        <f t="shared" si="117"/>
        <v>#N/A</v>
      </c>
      <c r="AO247" s="353" t="e">
        <f t="shared" si="117"/>
        <v>#N/A</v>
      </c>
      <c r="AP247" s="353" t="e">
        <f t="shared" si="117"/>
        <v>#N/A</v>
      </c>
    </row>
    <row r="248" spans="1:42" x14ac:dyDescent="0.2">
      <c r="A248" s="41" t="str">
        <f t="shared" si="114"/>
        <v>5-yr SL</v>
      </c>
      <c r="B248" s="404">
        <f t="array" ref="B248">SUM(IF(ISNUMBER(C248:AP248),C248:AP248))</f>
        <v>0</v>
      </c>
      <c r="C248" s="353">
        <f t="shared" si="115"/>
        <v>0</v>
      </c>
      <c r="D248" s="353">
        <f t="shared" si="115"/>
        <v>0</v>
      </c>
      <c r="E248" s="353">
        <f t="shared" si="115"/>
        <v>0</v>
      </c>
      <c r="F248" s="353">
        <f t="shared" si="115"/>
        <v>0</v>
      </c>
      <c r="G248" s="353">
        <f t="shared" si="115"/>
        <v>0</v>
      </c>
      <c r="H248" s="353">
        <f t="shared" si="115"/>
        <v>0</v>
      </c>
      <c r="I248" s="353">
        <f t="shared" si="115"/>
        <v>0</v>
      </c>
      <c r="J248" s="353">
        <f t="shared" si="115"/>
        <v>0</v>
      </c>
      <c r="K248" s="353">
        <f t="shared" si="115"/>
        <v>0</v>
      </c>
      <c r="L248" s="353">
        <f t="shared" si="115"/>
        <v>0</v>
      </c>
      <c r="M248" s="353">
        <f t="shared" si="115"/>
        <v>0</v>
      </c>
      <c r="N248" s="353">
        <f t="shared" si="115"/>
        <v>0</v>
      </c>
      <c r="O248" s="353">
        <f t="shared" si="115"/>
        <v>0</v>
      </c>
      <c r="P248" s="353">
        <f t="shared" si="115"/>
        <v>0</v>
      </c>
      <c r="Q248" s="353">
        <f t="shared" si="115"/>
        <v>0</v>
      </c>
      <c r="R248" s="353">
        <f t="shared" si="115"/>
        <v>0</v>
      </c>
      <c r="S248" s="353">
        <f t="shared" si="116"/>
        <v>0</v>
      </c>
      <c r="T248" s="353">
        <f t="shared" si="116"/>
        <v>0</v>
      </c>
      <c r="U248" s="353">
        <f t="shared" si="116"/>
        <v>0</v>
      </c>
      <c r="V248" s="353">
        <f t="shared" si="116"/>
        <v>0</v>
      </c>
      <c r="W248" s="353">
        <f t="shared" si="116"/>
        <v>0</v>
      </c>
      <c r="X248" s="353">
        <f t="shared" si="116"/>
        <v>0</v>
      </c>
      <c r="Y248" s="353">
        <f t="shared" si="116"/>
        <v>0</v>
      </c>
      <c r="Z248" s="353">
        <f t="shared" si="116"/>
        <v>0</v>
      </c>
      <c r="AA248" s="353">
        <f t="shared" si="116"/>
        <v>0</v>
      </c>
      <c r="AB248" s="353" t="e">
        <f t="shared" si="116"/>
        <v>#N/A</v>
      </c>
      <c r="AC248" s="353" t="e">
        <f t="shared" si="116"/>
        <v>#N/A</v>
      </c>
      <c r="AD248" s="353" t="e">
        <f t="shared" si="116"/>
        <v>#N/A</v>
      </c>
      <c r="AE248" s="353" t="e">
        <f t="shared" si="116"/>
        <v>#N/A</v>
      </c>
      <c r="AF248" s="353" t="e">
        <f t="shared" si="117"/>
        <v>#N/A</v>
      </c>
      <c r="AG248" s="353" t="e">
        <f t="shared" si="117"/>
        <v>#N/A</v>
      </c>
      <c r="AH248" s="353" t="e">
        <f t="shared" si="117"/>
        <v>#N/A</v>
      </c>
      <c r="AI248" s="353" t="e">
        <f t="shared" si="117"/>
        <v>#N/A</v>
      </c>
      <c r="AJ248" s="353" t="e">
        <f t="shared" si="117"/>
        <v>#N/A</v>
      </c>
      <c r="AK248" s="353" t="e">
        <f t="shared" si="117"/>
        <v>#N/A</v>
      </c>
      <c r="AL248" s="353" t="e">
        <f t="shared" si="117"/>
        <v>#N/A</v>
      </c>
      <c r="AM248" s="353" t="e">
        <f t="shared" si="117"/>
        <v>#N/A</v>
      </c>
      <c r="AN248" s="353" t="e">
        <f t="shared" si="117"/>
        <v>#N/A</v>
      </c>
      <c r="AO248" s="353" t="e">
        <f t="shared" si="117"/>
        <v>#N/A</v>
      </c>
      <c r="AP248" s="353" t="e">
        <f t="shared" si="117"/>
        <v>#N/A</v>
      </c>
    </row>
    <row r="249" spans="1:42" x14ac:dyDescent="0.2">
      <c r="A249" s="41" t="str">
        <f t="shared" si="114"/>
        <v>15-yr SL</v>
      </c>
      <c r="B249" s="404">
        <f t="array" ref="B249">SUM(IF(ISNUMBER(C249:AP249),C249:AP249))</f>
        <v>1250250</v>
      </c>
      <c r="C249" s="353">
        <f t="shared" si="115"/>
        <v>41625.000000000007</v>
      </c>
      <c r="D249" s="353">
        <f t="shared" si="115"/>
        <v>83375</v>
      </c>
      <c r="E249" s="353">
        <f t="shared" si="115"/>
        <v>83375</v>
      </c>
      <c r="F249" s="353">
        <f t="shared" si="115"/>
        <v>83375</v>
      </c>
      <c r="G249" s="353">
        <f t="shared" si="115"/>
        <v>83375</v>
      </c>
      <c r="H249" s="353">
        <f t="shared" si="115"/>
        <v>83375</v>
      </c>
      <c r="I249" s="353">
        <f t="shared" si="115"/>
        <v>83375</v>
      </c>
      <c r="J249" s="353">
        <f t="shared" si="115"/>
        <v>83375</v>
      </c>
      <c r="K249" s="353">
        <f t="shared" si="115"/>
        <v>83375</v>
      </c>
      <c r="L249" s="353">
        <f t="shared" si="115"/>
        <v>83375</v>
      </c>
      <c r="M249" s="353">
        <f t="shared" si="115"/>
        <v>83375</v>
      </c>
      <c r="N249" s="353">
        <f t="shared" si="115"/>
        <v>83250.000000000015</v>
      </c>
      <c r="O249" s="353">
        <f t="shared" si="115"/>
        <v>83375</v>
      </c>
      <c r="P249" s="353">
        <f t="shared" si="115"/>
        <v>83250.000000000015</v>
      </c>
      <c r="Q249" s="353">
        <f t="shared" si="115"/>
        <v>83375</v>
      </c>
      <c r="R249" s="353">
        <f t="shared" si="115"/>
        <v>41625.000000000007</v>
      </c>
      <c r="S249" s="353">
        <f t="shared" si="116"/>
        <v>0</v>
      </c>
      <c r="T249" s="353">
        <f t="shared" si="116"/>
        <v>0</v>
      </c>
      <c r="U249" s="353">
        <f t="shared" si="116"/>
        <v>0</v>
      </c>
      <c r="V249" s="353">
        <f t="shared" si="116"/>
        <v>0</v>
      </c>
      <c r="W249" s="353">
        <f t="shared" si="116"/>
        <v>0</v>
      </c>
      <c r="X249" s="353">
        <f t="shared" si="116"/>
        <v>0</v>
      </c>
      <c r="Y249" s="353">
        <f t="shared" si="116"/>
        <v>0</v>
      </c>
      <c r="Z249" s="353">
        <f t="shared" si="116"/>
        <v>0</v>
      </c>
      <c r="AA249" s="353">
        <f t="shared" si="116"/>
        <v>0</v>
      </c>
      <c r="AB249" s="353" t="e">
        <f t="shared" si="116"/>
        <v>#N/A</v>
      </c>
      <c r="AC249" s="353" t="e">
        <f t="shared" si="116"/>
        <v>#N/A</v>
      </c>
      <c r="AD249" s="353" t="e">
        <f t="shared" si="116"/>
        <v>#N/A</v>
      </c>
      <c r="AE249" s="353" t="e">
        <f t="shared" si="116"/>
        <v>#N/A</v>
      </c>
      <c r="AF249" s="353" t="e">
        <f t="shared" si="117"/>
        <v>#N/A</v>
      </c>
      <c r="AG249" s="353" t="e">
        <f t="shared" si="117"/>
        <v>#N/A</v>
      </c>
      <c r="AH249" s="353" t="e">
        <f t="shared" si="117"/>
        <v>#N/A</v>
      </c>
      <c r="AI249" s="353" t="e">
        <f t="shared" si="117"/>
        <v>#N/A</v>
      </c>
      <c r="AJ249" s="353" t="e">
        <f t="shared" si="117"/>
        <v>#N/A</v>
      </c>
      <c r="AK249" s="353" t="e">
        <f t="shared" si="117"/>
        <v>#N/A</v>
      </c>
      <c r="AL249" s="353" t="e">
        <f t="shared" si="117"/>
        <v>#N/A</v>
      </c>
      <c r="AM249" s="353" t="e">
        <f t="shared" si="117"/>
        <v>#N/A</v>
      </c>
      <c r="AN249" s="353" t="e">
        <f t="shared" si="117"/>
        <v>#N/A</v>
      </c>
      <c r="AO249" s="353" t="e">
        <f t="shared" si="117"/>
        <v>#N/A</v>
      </c>
      <c r="AP249" s="353" t="e">
        <f t="shared" si="117"/>
        <v>#N/A</v>
      </c>
    </row>
    <row r="250" spans="1:42" x14ac:dyDescent="0.2">
      <c r="A250" s="41" t="str">
        <f t="shared" si="114"/>
        <v>20-yr SL</v>
      </c>
      <c r="B250" s="404">
        <f t="array" ref="B250">SUM(IF(ISNUMBER(C250:AP250),C250:AP250))</f>
        <v>1250000</v>
      </c>
      <c r="C250" s="353">
        <f t="shared" si="115"/>
        <v>31250</v>
      </c>
      <c r="D250" s="353">
        <f t="shared" si="115"/>
        <v>62500</v>
      </c>
      <c r="E250" s="353">
        <f t="shared" si="115"/>
        <v>62500</v>
      </c>
      <c r="F250" s="353">
        <f t="shared" si="115"/>
        <v>62500</v>
      </c>
      <c r="G250" s="353">
        <f t="shared" si="115"/>
        <v>62500</v>
      </c>
      <c r="H250" s="353">
        <f t="shared" si="115"/>
        <v>62500</v>
      </c>
      <c r="I250" s="353">
        <f t="shared" si="115"/>
        <v>62500</v>
      </c>
      <c r="J250" s="353">
        <f t="shared" si="115"/>
        <v>62500</v>
      </c>
      <c r="K250" s="353">
        <f t="shared" si="115"/>
        <v>62500</v>
      </c>
      <c r="L250" s="353">
        <f t="shared" si="115"/>
        <v>62500</v>
      </c>
      <c r="M250" s="353">
        <f t="shared" si="115"/>
        <v>62500</v>
      </c>
      <c r="N250" s="353">
        <f t="shared" si="115"/>
        <v>62500</v>
      </c>
      <c r="O250" s="353">
        <f t="shared" si="115"/>
        <v>62500</v>
      </c>
      <c r="P250" s="353">
        <f t="shared" si="115"/>
        <v>62500</v>
      </c>
      <c r="Q250" s="353">
        <f t="shared" si="115"/>
        <v>62500</v>
      </c>
      <c r="R250" s="353">
        <f t="shared" si="115"/>
        <v>62500</v>
      </c>
      <c r="S250" s="353">
        <f t="shared" si="116"/>
        <v>62500</v>
      </c>
      <c r="T250" s="353">
        <f t="shared" si="116"/>
        <v>62500</v>
      </c>
      <c r="U250" s="353">
        <f t="shared" si="116"/>
        <v>62500</v>
      </c>
      <c r="V250" s="353">
        <f t="shared" si="116"/>
        <v>62500</v>
      </c>
      <c r="W250" s="353">
        <f t="shared" si="116"/>
        <v>31250</v>
      </c>
      <c r="X250" s="353">
        <f t="shared" si="116"/>
        <v>0</v>
      </c>
      <c r="Y250" s="353">
        <f t="shared" si="116"/>
        <v>0</v>
      </c>
      <c r="Z250" s="353">
        <f t="shared" si="116"/>
        <v>0</v>
      </c>
      <c r="AA250" s="353">
        <f t="shared" si="116"/>
        <v>0</v>
      </c>
      <c r="AB250" s="353" t="e">
        <f t="shared" si="116"/>
        <v>#N/A</v>
      </c>
      <c r="AC250" s="353" t="e">
        <f t="shared" si="116"/>
        <v>#N/A</v>
      </c>
      <c r="AD250" s="353" t="e">
        <f t="shared" si="116"/>
        <v>#N/A</v>
      </c>
      <c r="AE250" s="353" t="e">
        <f t="shared" si="116"/>
        <v>#N/A</v>
      </c>
      <c r="AF250" s="353" t="e">
        <f t="shared" si="117"/>
        <v>#N/A</v>
      </c>
      <c r="AG250" s="353" t="e">
        <f t="shared" si="117"/>
        <v>#N/A</v>
      </c>
      <c r="AH250" s="353" t="e">
        <f t="shared" si="117"/>
        <v>#N/A</v>
      </c>
      <c r="AI250" s="353" t="e">
        <f t="shared" si="117"/>
        <v>#N/A</v>
      </c>
      <c r="AJ250" s="353" t="e">
        <f t="shared" si="117"/>
        <v>#N/A</v>
      </c>
      <c r="AK250" s="353" t="e">
        <f t="shared" si="117"/>
        <v>#N/A</v>
      </c>
      <c r="AL250" s="353" t="e">
        <f t="shared" si="117"/>
        <v>#N/A</v>
      </c>
      <c r="AM250" s="353" t="e">
        <f t="shared" si="117"/>
        <v>#N/A</v>
      </c>
      <c r="AN250" s="353" t="e">
        <f t="shared" si="117"/>
        <v>#N/A</v>
      </c>
      <c r="AO250" s="353" t="e">
        <f t="shared" si="117"/>
        <v>#N/A</v>
      </c>
      <c r="AP250" s="353" t="e">
        <f t="shared" si="117"/>
        <v>#N/A</v>
      </c>
    </row>
    <row r="251" spans="1:42" x14ac:dyDescent="0.2">
      <c r="A251" s="41" t="str">
        <f t="shared" si="114"/>
        <v>39-yr SL</v>
      </c>
      <c r="B251" s="404">
        <f t="array" ref="B251">SUM(IF(ISNUMBER(C251:AP251),C251:AP251))</f>
        <v>157051.28205128189</v>
      </c>
      <c r="C251" s="353">
        <f t="shared" si="115"/>
        <v>3205.1282051281996</v>
      </c>
      <c r="D251" s="353">
        <f t="shared" si="115"/>
        <v>6410.2564102563992</v>
      </c>
      <c r="E251" s="353">
        <f t="shared" si="115"/>
        <v>6410.2564102563992</v>
      </c>
      <c r="F251" s="353">
        <f t="shared" si="115"/>
        <v>6410.2564102563992</v>
      </c>
      <c r="G251" s="353">
        <f t="shared" si="115"/>
        <v>6410.2564102563992</v>
      </c>
      <c r="H251" s="353">
        <f t="shared" si="115"/>
        <v>6410.2564102563992</v>
      </c>
      <c r="I251" s="353">
        <f t="shared" si="115"/>
        <v>6410.2564102563992</v>
      </c>
      <c r="J251" s="353">
        <f t="shared" si="115"/>
        <v>6410.2564102563992</v>
      </c>
      <c r="K251" s="353">
        <f t="shared" si="115"/>
        <v>6410.2564102563992</v>
      </c>
      <c r="L251" s="353">
        <f t="shared" si="115"/>
        <v>6410.2564102563992</v>
      </c>
      <c r="M251" s="353">
        <f t="shared" si="115"/>
        <v>6410.2564102563992</v>
      </c>
      <c r="N251" s="353">
        <f t="shared" si="115"/>
        <v>6410.2564102563992</v>
      </c>
      <c r="O251" s="353">
        <f t="shared" si="115"/>
        <v>6410.2564102563992</v>
      </c>
      <c r="P251" s="353">
        <f t="shared" si="115"/>
        <v>6410.2564102563992</v>
      </c>
      <c r="Q251" s="353">
        <f t="shared" si="115"/>
        <v>6410.2564102563992</v>
      </c>
      <c r="R251" s="353">
        <f t="shared" si="115"/>
        <v>6410.2564102563992</v>
      </c>
      <c r="S251" s="353">
        <f t="shared" si="116"/>
        <v>6410.2564102563992</v>
      </c>
      <c r="T251" s="353">
        <f t="shared" si="116"/>
        <v>6410.2564102563992</v>
      </c>
      <c r="U251" s="353">
        <f t="shared" si="116"/>
        <v>6410.2564102563992</v>
      </c>
      <c r="V251" s="353">
        <f t="shared" si="116"/>
        <v>6410.2564102563992</v>
      </c>
      <c r="W251" s="353">
        <f t="shared" si="116"/>
        <v>6410.2564102563992</v>
      </c>
      <c r="X251" s="353">
        <f t="shared" si="116"/>
        <v>6410.2564102563992</v>
      </c>
      <c r="Y251" s="353">
        <f t="shared" si="116"/>
        <v>6410.2564102563992</v>
      </c>
      <c r="Z251" s="353">
        <f t="shared" si="116"/>
        <v>6410.2564102563992</v>
      </c>
      <c r="AA251" s="353">
        <f t="shared" si="116"/>
        <v>6410.2564102563992</v>
      </c>
      <c r="AB251" s="353" t="e">
        <f t="shared" si="116"/>
        <v>#N/A</v>
      </c>
      <c r="AC251" s="353" t="e">
        <f t="shared" si="116"/>
        <v>#N/A</v>
      </c>
      <c r="AD251" s="353" t="e">
        <f t="shared" si="116"/>
        <v>#N/A</v>
      </c>
      <c r="AE251" s="353" t="e">
        <f t="shared" si="116"/>
        <v>#N/A</v>
      </c>
      <c r="AF251" s="353" t="e">
        <f t="shared" si="117"/>
        <v>#N/A</v>
      </c>
      <c r="AG251" s="353" t="e">
        <f t="shared" si="117"/>
        <v>#N/A</v>
      </c>
      <c r="AH251" s="353" t="e">
        <f t="shared" si="117"/>
        <v>#N/A</v>
      </c>
      <c r="AI251" s="353" t="e">
        <f t="shared" si="117"/>
        <v>#N/A</v>
      </c>
      <c r="AJ251" s="353" t="e">
        <f t="shared" si="117"/>
        <v>#N/A</v>
      </c>
      <c r="AK251" s="353" t="e">
        <f t="shared" si="117"/>
        <v>#N/A</v>
      </c>
      <c r="AL251" s="353" t="e">
        <f t="shared" si="117"/>
        <v>#N/A</v>
      </c>
      <c r="AM251" s="353" t="e">
        <f t="shared" si="117"/>
        <v>#N/A</v>
      </c>
      <c r="AN251" s="353" t="e">
        <f t="shared" si="117"/>
        <v>#N/A</v>
      </c>
      <c r="AO251" s="353" t="e">
        <f t="shared" si="117"/>
        <v>#N/A</v>
      </c>
      <c r="AP251" s="353" t="e">
        <f t="shared" si="117"/>
        <v>#N/A</v>
      </c>
    </row>
    <row r="252" spans="1:42" x14ac:dyDescent="0.2">
      <c r="A252" s="41" t="s">
        <v>147</v>
      </c>
      <c r="B252" s="405">
        <f t="shared" ref="B252" si="118">SUM(C252:AP252)</f>
        <v>0</v>
      </c>
      <c r="C252" s="360">
        <f>P213</f>
        <v>0</v>
      </c>
      <c r="D252" s="360">
        <v>0</v>
      </c>
      <c r="E252" s="360">
        <v>0</v>
      </c>
      <c r="F252" s="360">
        <v>0</v>
      </c>
      <c r="G252" s="360">
        <v>0</v>
      </c>
      <c r="H252" s="360">
        <v>0</v>
      </c>
      <c r="I252" s="360">
        <v>0</v>
      </c>
      <c r="J252" s="360">
        <v>0</v>
      </c>
      <c r="K252" s="360">
        <v>0</v>
      </c>
      <c r="L252" s="360">
        <v>0</v>
      </c>
      <c r="M252" s="360">
        <v>0</v>
      </c>
      <c r="N252" s="360">
        <v>0</v>
      </c>
      <c r="O252" s="360">
        <v>0</v>
      </c>
      <c r="P252" s="360">
        <v>0</v>
      </c>
      <c r="Q252" s="360">
        <v>0</v>
      </c>
      <c r="R252" s="360">
        <v>0</v>
      </c>
      <c r="S252" s="360">
        <v>0</v>
      </c>
      <c r="T252" s="360">
        <v>0</v>
      </c>
      <c r="U252" s="360">
        <v>0</v>
      </c>
      <c r="V252" s="360">
        <v>0</v>
      </c>
      <c r="W252" s="360">
        <v>0</v>
      </c>
      <c r="X252" s="360">
        <v>0</v>
      </c>
      <c r="Y252" s="360">
        <v>0</v>
      </c>
      <c r="Z252" s="360">
        <v>0</v>
      </c>
      <c r="AA252" s="360">
        <v>0</v>
      </c>
      <c r="AB252" s="360">
        <v>0</v>
      </c>
      <c r="AC252" s="360">
        <v>0</v>
      </c>
      <c r="AD252" s="360">
        <v>0</v>
      </c>
      <c r="AE252" s="360">
        <v>0</v>
      </c>
      <c r="AF252" s="360">
        <v>0</v>
      </c>
      <c r="AG252" s="360">
        <v>0</v>
      </c>
      <c r="AH252" s="360">
        <v>0</v>
      </c>
      <c r="AI252" s="360">
        <v>0</v>
      </c>
      <c r="AJ252" s="360">
        <v>0</v>
      </c>
      <c r="AK252" s="360">
        <v>0</v>
      </c>
      <c r="AL252" s="360">
        <v>0</v>
      </c>
      <c r="AM252" s="360">
        <v>0</v>
      </c>
      <c r="AN252" s="360">
        <v>0</v>
      </c>
      <c r="AO252" s="360">
        <v>0</v>
      </c>
      <c r="AP252" s="360">
        <v>0</v>
      </c>
    </row>
    <row r="253" spans="1:42" x14ac:dyDescent="0.2">
      <c r="A253" s="40"/>
      <c r="B253" s="406">
        <f t="array" ref="B253">SUM(IF(ISNUMBER(C253:AP253),C253:AP253))</f>
        <v>46682226.282051273</v>
      </c>
      <c r="C253" s="353">
        <f>SUM(C246:C252)</f>
        <v>8768580.128205128</v>
      </c>
      <c r="D253" s="353">
        <f t="shared" ref="D253:AP253" si="119">SUM(D246:D252)</f>
        <v>14071535.256410256</v>
      </c>
      <c r="E253" s="353">
        <f t="shared" si="119"/>
        <v>8525210.256410256</v>
      </c>
      <c r="F253" s="353">
        <f t="shared" si="119"/>
        <v>5195315.256410256</v>
      </c>
      <c r="G253" s="353">
        <f t="shared" si="119"/>
        <v>5189540.256410256</v>
      </c>
      <c r="H253" s="353">
        <f t="shared" si="119"/>
        <v>2691650.2564102565</v>
      </c>
      <c r="I253" s="353">
        <f t="shared" si="119"/>
        <v>196535.25641025641</v>
      </c>
      <c r="J253" s="353">
        <f t="shared" si="119"/>
        <v>196535.25641025641</v>
      </c>
      <c r="K253" s="353">
        <f t="shared" si="119"/>
        <v>196610.25641025641</v>
      </c>
      <c r="L253" s="353">
        <f t="shared" si="119"/>
        <v>196535.25641025641</v>
      </c>
      <c r="M253" s="353">
        <f t="shared" si="119"/>
        <v>196610.25641025641</v>
      </c>
      <c r="N253" s="353">
        <f t="shared" si="119"/>
        <v>196410.25641025641</v>
      </c>
      <c r="O253" s="353">
        <f t="shared" si="119"/>
        <v>196610.25641025641</v>
      </c>
      <c r="P253" s="353">
        <f t="shared" si="119"/>
        <v>196410.25641025641</v>
      </c>
      <c r="Q253" s="353">
        <f t="shared" si="119"/>
        <v>196535.25641025641</v>
      </c>
      <c r="R253" s="353">
        <f t="shared" si="119"/>
        <v>132660.25641025641</v>
      </c>
      <c r="S253" s="353">
        <f t="shared" si="119"/>
        <v>68910.256410256407</v>
      </c>
      <c r="T253" s="353">
        <f t="shared" si="119"/>
        <v>68910.256410256407</v>
      </c>
      <c r="U253" s="353">
        <f t="shared" si="119"/>
        <v>68910.256410256407</v>
      </c>
      <c r="V253" s="353">
        <f t="shared" si="119"/>
        <v>68910.256410256407</v>
      </c>
      <c r="W253" s="353">
        <f t="shared" si="119"/>
        <v>37660.256410256399</v>
      </c>
      <c r="X253" s="353">
        <f t="shared" si="119"/>
        <v>6410.2564102563992</v>
      </c>
      <c r="Y253" s="353">
        <f t="shared" si="119"/>
        <v>6410.2564102563992</v>
      </c>
      <c r="Z253" s="353">
        <f t="shared" si="119"/>
        <v>6410.2564102563992</v>
      </c>
      <c r="AA253" s="353">
        <f t="shared" si="119"/>
        <v>6410.2564102563992</v>
      </c>
      <c r="AB253" s="353" t="e">
        <f t="shared" si="119"/>
        <v>#N/A</v>
      </c>
      <c r="AC253" s="353" t="e">
        <f t="shared" si="119"/>
        <v>#N/A</v>
      </c>
      <c r="AD253" s="353" t="e">
        <f t="shared" si="119"/>
        <v>#N/A</v>
      </c>
      <c r="AE253" s="353" t="e">
        <f t="shared" si="119"/>
        <v>#N/A</v>
      </c>
      <c r="AF253" s="353" t="e">
        <f t="shared" si="119"/>
        <v>#N/A</v>
      </c>
      <c r="AG253" s="353" t="e">
        <f t="shared" si="119"/>
        <v>#N/A</v>
      </c>
      <c r="AH253" s="353" t="e">
        <f t="shared" si="119"/>
        <v>#N/A</v>
      </c>
      <c r="AI253" s="353" t="e">
        <f t="shared" si="119"/>
        <v>#N/A</v>
      </c>
      <c r="AJ253" s="353" t="e">
        <f t="shared" si="119"/>
        <v>#N/A</v>
      </c>
      <c r="AK253" s="353" t="e">
        <f t="shared" si="119"/>
        <v>#N/A</v>
      </c>
      <c r="AL253" s="353" t="e">
        <f t="shared" si="119"/>
        <v>#N/A</v>
      </c>
      <c r="AM253" s="353" t="e">
        <f t="shared" si="119"/>
        <v>#N/A</v>
      </c>
      <c r="AN253" s="353" t="e">
        <f t="shared" si="119"/>
        <v>#N/A</v>
      </c>
      <c r="AO253" s="353" t="e">
        <f t="shared" si="119"/>
        <v>#N/A</v>
      </c>
      <c r="AP253" s="353" t="e">
        <f t="shared" si="119"/>
        <v>#N/A</v>
      </c>
    </row>
    <row r="254" spans="1:42" s="194" customFormat="1" x14ac:dyDescent="0.2">
      <c r="A254" s="40"/>
      <c r="C254" s="378"/>
      <c r="D254" s="378"/>
      <c r="E254" s="378"/>
      <c r="F254" s="378"/>
      <c r="G254" s="378"/>
      <c r="H254" s="378"/>
      <c r="I254" s="378"/>
      <c r="J254" s="378"/>
      <c r="K254" s="378"/>
      <c r="L254" s="378"/>
      <c r="M254" s="378"/>
      <c r="N254" s="378"/>
      <c r="O254" s="378"/>
      <c r="P254" s="378"/>
      <c r="Q254" s="378"/>
      <c r="R254" s="378"/>
      <c r="S254" s="378"/>
      <c r="T254" s="378"/>
      <c r="U254" s="378"/>
      <c r="V254" s="378"/>
      <c r="W254" s="378"/>
      <c r="X254" s="378"/>
      <c r="Y254" s="378"/>
      <c r="Z254" s="378"/>
      <c r="AA254" s="378"/>
      <c r="AB254" s="378"/>
      <c r="AC254" s="378"/>
      <c r="AD254" s="378"/>
      <c r="AE254" s="378"/>
      <c r="AF254" s="378"/>
      <c r="AG254" s="378"/>
      <c r="AH254" s="378"/>
      <c r="AI254" s="378"/>
      <c r="AJ254" s="378"/>
      <c r="AK254" s="378"/>
      <c r="AL254" s="378"/>
      <c r="AM254" s="378"/>
      <c r="AN254" s="378"/>
      <c r="AO254" s="378"/>
      <c r="AP254" s="378"/>
    </row>
    <row r="255" spans="1:42" s="194" customFormat="1" x14ac:dyDescent="0.2">
      <c r="A255" s="38" t="s">
        <v>120</v>
      </c>
      <c r="C255" s="378"/>
      <c r="D255" s="378"/>
      <c r="E255" s="378"/>
      <c r="F255" s="378"/>
      <c r="G255" s="378"/>
      <c r="H255" s="378"/>
      <c r="I255" s="378"/>
      <c r="J255" s="378"/>
      <c r="K255" s="378"/>
      <c r="L255" s="378"/>
      <c r="M255" s="378"/>
      <c r="N255" s="378"/>
      <c r="O255" s="378"/>
      <c r="P255" s="378"/>
      <c r="Q255" s="378"/>
      <c r="R255" s="378"/>
      <c r="S255" s="378"/>
      <c r="T255" s="378"/>
      <c r="U255" s="378"/>
      <c r="V255" s="378"/>
      <c r="W255" s="378"/>
      <c r="X255" s="378"/>
      <c r="Y255" s="378"/>
      <c r="Z255" s="378"/>
      <c r="AA255" s="378"/>
      <c r="AB255" s="378"/>
      <c r="AC255" s="378"/>
      <c r="AD255" s="378"/>
      <c r="AE255" s="378"/>
      <c r="AF255" s="378"/>
      <c r="AG255" s="378"/>
      <c r="AH255" s="378"/>
      <c r="AI255" s="378"/>
      <c r="AJ255" s="378"/>
      <c r="AK255" s="378"/>
      <c r="AL255" s="378"/>
      <c r="AM255" s="378"/>
      <c r="AN255" s="378"/>
      <c r="AO255" s="378"/>
      <c r="AP255" s="378"/>
    </row>
    <row r="256" spans="1:42" x14ac:dyDescent="0.2">
      <c r="A256" s="40" t="s">
        <v>122</v>
      </c>
      <c r="B256" s="47" t="str">
        <f>equip_reserve_depr_sta</f>
        <v>5-yr MACRS</v>
      </c>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row>
    <row r="257" spans="1:42" x14ac:dyDescent="0.2">
      <c r="A257" s="40" t="s">
        <v>123</v>
      </c>
      <c r="B257" s="408">
        <f t="shared" ref="B257:AP257" si="120">B2</f>
        <v>0</v>
      </c>
      <c r="C257" s="408">
        <f t="shared" si="120"/>
        <v>1</v>
      </c>
      <c r="D257" s="408">
        <f t="shared" si="120"/>
        <v>2</v>
      </c>
      <c r="E257" s="408">
        <f t="shared" si="120"/>
        <v>3</v>
      </c>
      <c r="F257" s="408">
        <f t="shared" si="120"/>
        <v>4</v>
      </c>
      <c r="G257" s="408">
        <f t="shared" si="120"/>
        <v>5</v>
      </c>
      <c r="H257" s="408">
        <f t="shared" si="120"/>
        <v>6</v>
      </c>
      <c r="I257" s="408">
        <f t="shared" si="120"/>
        <v>7</v>
      </c>
      <c r="J257" s="408">
        <f t="shared" si="120"/>
        <v>8</v>
      </c>
      <c r="K257" s="408">
        <f t="shared" si="120"/>
        <v>9</v>
      </c>
      <c r="L257" s="408">
        <f t="shared" si="120"/>
        <v>10</v>
      </c>
      <c r="M257" s="408">
        <f t="shared" si="120"/>
        <v>11</v>
      </c>
      <c r="N257" s="408">
        <f t="shared" si="120"/>
        <v>12</v>
      </c>
      <c r="O257" s="408">
        <f t="shared" si="120"/>
        <v>13</v>
      </c>
      <c r="P257" s="408">
        <f t="shared" si="120"/>
        <v>14</v>
      </c>
      <c r="Q257" s="408">
        <f t="shared" si="120"/>
        <v>15</v>
      </c>
      <c r="R257" s="408">
        <f t="shared" si="120"/>
        <v>16</v>
      </c>
      <c r="S257" s="408">
        <f t="shared" si="120"/>
        <v>17</v>
      </c>
      <c r="T257" s="408">
        <f t="shared" si="120"/>
        <v>18</v>
      </c>
      <c r="U257" s="408">
        <f t="shared" si="120"/>
        <v>19</v>
      </c>
      <c r="V257" s="408">
        <f t="shared" si="120"/>
        <v>20</v>
      </c>
      <c r="W257" s="408">
        <f t="shared" si="120"/>
        <v>21</v>
      </c>
      <c r="X257" s="408">
        <f t="shared" si="120"/>
        <v>22</v>
      </c>
      <c r="Y257" s="408">
        <f t="shared" si="120"/>
        <v>23</v>
      </c>
      <c r="Z257" s="408">
        <f t="shared" si="120"/>
        <v>24</v>
      </c>
      <c r="AA257" s="408">
        <f t="shared" si="120"/>
        <v>25</v>
      </c>
      <c r="AB257" s="408" t="str">
        <f t="shared" si="120"/>
        <v/>
      </c>
      <c r="AC257" s="408" t="str">
        <f t="shared" si="120"/>
        <v/>
      </c>
      <c r="AD257" s="408" t="str">
        <f t="shared" si="120"/>
        <v/>
      </c>
      <c r="AE257" s="408" t="str">
        <f t="shared" si="120"/>
        <v/>
      </c>
      <c r="AF257" s="408" t="str">
        <f t="shared" si="120"/>
        <v/>
      </c>
      <c r="AG257" s="408" t="str">
        <f t="shared" si="120"/>
        <v/>
      </c>
      <c r="AH257" s="408" t="str">
        <f t="shared" si="120"/>
        <v/>
      </c>
      <c r="AI257" s="408" t="str">
        <f t="shared" si="120"/>
        <v/>
      </c>
      <c r="AJ257" s="408" t="str">
        <f t="shared" si="120"/>
        <v/>
      </c>
      <c r="AK257" s="408" t="str">
        <f t="shared" si="120"/>
        <v/>
      </c>
      <c r="AL257" s="408" t="str">
        <f t="shared" si="120"/>
        <v/>
      </c>
      <c r="AM257" s="408" t="str">
        <f t="shared" si="120"/>
        <v/>
      </c>
      <c r="AN257" s="408" t="str">
        <f t="shared" si="120"/>
        <v/>
      </c>
      <c r="AO257" s="408" t="str">
        <f t="shared" si="120"/>
        <v/>
      </c>
      <c r="AP257" s="408" t="str">
        <f t="shared" si="120"/>
        <v/>
      </c>
    </row>
    <row r="258" spans="1:42" x14ac:dyDescent="0.2">
      <c r="A258" s="40" t="s">
        <v>322</v>
      </c>
      <c r="B258" s="407">
        <v>0</v>
      </c>
      <c r="C258" s="400">
        <f t="shared" ref="C258:AP258" si="121">IF($B$256=$A239,C239,0)+IF($B$256=$A240,C240,0)+IF($B$256=$A241,C241,0)+IF($B$256=$A242,C242,0)+IF($B$256=$A243,C243,0)+IF($B$256=$A244,C244,0)</f>
        <v>20</v>
      </c>
      <c r="D258" s="400">
        <f t="shared" si="121"/>
        <v>32</v>
      </c>
      <c r="E258" s="400">
        <f t="shared" si="121"/>
        <v>19.2</v>
      </c>
      <c r="F258" s="400">
        <f t="shared" si="121"/>
        <v>11.52</v>
      </c>
      <c r="G258" s="400">
        <f t="shared" si="121"/>
        <v>11.52</v>
      </c>
      <c r="H258" s="400">
        <f t="shared" si="121"/>
        <v>5.76</v>
      </c>
      <c r="I258" s="400">
        <f t="shared" si="121"/>
        <v>0</v>
      </c>
      <c r="J258" s="400">
        <f t="shared" si="121"/>
        <v>0</v>
      </c>
      <c r="K258" s="400">
        <f t="shared" si="121"/>
        <v>0</v>
      </c>
      <c r="L258" s="400">
        <f t="shared" si="121"/>
        <v>0</v>
      </c>
      <c r="M258" s="400">
        <f t="shared" si="121"/>
        <v>0</v>
      </c>
      <c r="N258" s="400">
        <f t="shared" si="121"/>
        <v>0</v>
      </c>
      <c r="O258" s="400">
        <f t="shared" si="121"/>
        <v>0</v>
      </c>
      <c r="P258" s="400">
        <f t="shared" si="121"/>
        <v>0</v>
      </c>
      <c r="Q258" s="400">
        <f t="shared" si="121"/>
        <v>0</v>
      </c>
      <c r="R258" s="400">
        <f t="shared" si="121"/>
        <v>0</v>
      </c>
      <c r="S258" s="400">
        <f t="shared" si="121"/>
        <v>0</v>
      </c>
      <c r="T258" s="400">
        <f t="shared" si="121"/>
        <v>0</v>
      </c>
      <c r="U258" s="400">
        <f t="shared" si="121"/>
        <v>0</v>
      </c>
      <c r="V258" s="400">
        <f t="shared" si="121"/>
        <v>0</v>
      </c>
      <c r="W258" s="400">
        <f t="shared" si="121"/>
        <v>0</v>
      </c>
      <c r="X258" s="400">
        <f t="shared" si="121"/>
        <v>0</v>
      </c>
      <c r="Y258" s="400">
        <f t="shared" si="121"/>
        <v>0</v>
      </c>
      <c r="Z258" s="400">
        <f t="shared" si="121"/>
        <v>0</v>
      </c>
      <c r="AA258" s="400">
        <f t="shared" si="121"/>
        <v>0</v>
      </c>
      <c r="AB258" s="400" t="e">
        <f t="shared" si="121"/>
        <v>#N/A</v>
      </c>
      <c r="AC258" s="400" t="e">
        <f t="shared" si="121"/>
        <v>#N/A</v>
      </c>
      <c r="AD258" s="400" t="e">
        <f t="shared" si="121"/>
        <v>#N/A</v>
      </c>
      <c r="AE258" s="400" t="e">
        <f t="shared" si="121"/>
        <v>#N/A</v>
      </c>
      <c r="AF258" s="400" t="e">
        <f t="shared" si="121"/>
        <v>#N/A</v>
      </c>
      <c r="AG258" s="400" t="e">
        <f t="shared" si="121"/>
        <v>#N/A</v>
      </c>
      <c r="AH258" s="400" t="e">
        <f t="shared" si="121"/>
        <v>#N/A</v>
      </c>
      <c r="AI258" s="400" t="e">
        <f t="shared" si="121"/>
        <v>#N/A</v>
      </c>
      <c r="AJ258" s="400" t="e">
        <f t="shared" si="121"/>
        <v>#N/A</v>
      </c>
      <c r="AK258" s="400" t="e">
        <f t="shared" si="121"/>
        <v>#N/A</v>
      </c>
      <c r="AL258" s="400" t="e">
        <f t="shared" si="121"/>
        <v>#N/A</v>
      </c>
      <c r="AM258" s="400" t="e">
        <f t="shared" si="121"/>
        <v>#N/A</v>
      </c>
      <c r="AN258" s="400" t="e">
        <f t="shared" si="121"/>
        <v>#N/A</v>
      </c>
      <c r="AO258" s="400" t="e">
        <f t="shared" si="121"/>
        <v>#N/A</v>
      </c>
      <c r="AP258" s="400" t="e">
        <f t="shared" si="121"/>
        <v>#N/A</v>
      </c>
    </row>
    <row r="259" spans="1:42" x14ac:dyDescent="0.2">
      <c r="A259" s="40"/>
      <c r="B259" s="48"/>
      <c r="C259" s="46"/>
      <c r="D259" s="46"/>
      <c r="E259" s="46"/>
      <c r="F259" s="46"/>
      <c r="G259" s="46"/>
      <c r="H259" s="46"/>
      <c r="I259" s="46"/>
      <c r="J259" s="46"/>
      <c r="K259" s="46"/>
      <c r="L259" s="46"/>
      <c r="M259" s="46"/>
      <c r="N259" s="46"/>
      <c r="O259" s="46"/>
      <c r="P259" s="46"/>
      <c r="Q259" s="46"/>
      <c r="R259" s="46"/>
      <c r="S259" s="46"/>
      <c r="T259" s="46"/>
      <c r="U259" s="46"/>
      <c r="V259" s="46"/>
      <c r="W259" s="46"/>
      <c r="X259" s="46"/>
      <c r="Y259" s="46"/>
      <c r="Z259" s="46"/>
      <c r="AA259" s="46"/>
      <c r="AB259" s="46"/>
      <c r="AC259" s="46"/>
      <c r="AD259" s="46"/>
      <c r="AE259" s="46"/>
      <c r="AF259" s="46"/>
      <c r="AG259" s="46"/>
      <c r="AH259" s="46"/>
      <c r="AI259" s="46"/>
      <c r="AJ259" s="46"/>
      <c r="AK259" s="46"/>
      <c r="AL259" s="46"/>
      <c r="AM259" s="46"/>
      <c r="AN259" s="46"/>
      <c r="AO259" s="46"/>
      <c r="AP259" s="46"/>
    </row>
    <row r="260" spans="1:42" x14ac:dyDescent="0.2">
      <c r="A260" s="38" t="s">
        <v>159</v>
      </c>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row>
    <row r="261" spans="1:42" x14ac:dyDescent="0.2">
      <c r="A261" s="40" t="s">
        <v>121</v>
      </c>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row>
    <row r="262" spans="1:42" x14ac:dyDescent="0.2">
      <c r="A262" s="7">
        <v>1</v>
      </c>
      <c r="C262" s="389">
        <f>IF(C$2&lt;=analysis_period,IF(SUM($C585:C585)&gt;0,B262+1,0),0)</f>
        <v>0</v>
      </c>
      <c r="D262" s="389">
        <f>IF(D$2&lt;=analysis_period,IF(SUM($C585:D585)&gt;0,C262+1,0),0)</f>
        <v>0</v>
      </c>
      <c r="E262" s="389">
        <f>IF(E$2&lt;=analysis_period,IF(SUM($C585:E585)&gt;0,D262+1,0),0)</f>
        <v>0</v>
      </c>
      <c r="F262" s="389">
        <f>IF(F$2&lt;=analysis_period,IF(SUM($C585:F585)&gt;0,E262+1,0),0)</f>
        <v>0</v>
      </c>
      <c r="G262" s="389">
        <f>IF(G$2&lt;=analysis_period,IF(SUM($C585:G585)&gt;0,F262+1,0),0)</f>
        <v>0</v>
      </c>
      <c r="H262" s="389">
        <f>IF(H$2&lt;=analysis_period,IF(SUM($C585:H585)&gt;0,G262+1,0),0)</f>
        <v>0</v>
      </c>
      <c r="I262" s="389">
        <f>IF(I$2&lt;=analysis_period,IF(SUM($C585:I585)&gt;0,H262+1,0),0)</f>
        <v>0</v>
      </c>
      <c r="J262" s="389">
        <f>IF(J$2&lt;=analysis_period,IF(SUM($C585:J585)&gt;0,I262+1,0),0)</f>
        <v>0</v>
      </c>
      <c r="K262" s="389">
        <f>IF(K$2&lt;=analysis_period,IF(SUM($C585:K585)&gt;0,J262+1,0),0)</f>
        <v>0</v>
      </c>
      <c r="L262" s="389">
        <f>IF(L$2&lt;=analysis_period,IF(SUM($C585:L585)&gt;0,K262+1,0),0)</f>
        <v>0</v>
      </c>
      <c r="M262" s="389">
        <f>IF(M$2&lt;=analysis_period,IF(SUM($C585:M585)&gt;0,L262+1,0),0)</f>
        <v>0</v>
      </c>
      <c r="N262" s="389">
        <f>IF(N$2&lt;=analysis_period,IF(SUM($C585:N585)&gt;0,M262+1,0),0)</f>
        <v>1</v>
      </c>
      <c r="O262" s="389">
        <f>IF(O$2&lt;=analysis_period,IF(SUM($C585:O585)&gt;0,N262+1,0),0)</f>
        <v>2</v>
      </c>
      <c r="P262" s="389">
        <f>IF(P$2&lt;=analysis_period,IF(SUM($C585:P585)&gt;0,O262+1,0),0)</f>
        <v>3</v>
      </c>
      <c r="Q262" s="389">
        <f>IF(Q$2&lt;=analysis_period,IF(SUM($C585:Q585)&gt;0,P262+1,0),0)</f>
        <v>4</v>
      </c>
      <c r="R262" s="389">
        <f>IF(R$2&lt;=analysis_period,IF(SUM($C585:R585)&gt;0,Q262+1,0),0)</f>
        <v>5</v>
      </c>
      <c r="S262" s="389">
        <f>IF(S$2&lt;=analysis_period,IF(SUM($C585:S585)&gt;0,R262+1,0),0)</f>
        <v>6</v>
      </c>
      <c r="T262" s="389">
        <f>IF(T$2&lt;=analysis_period,IF(SUM($C585:T585)&gt;0,S262+1,0),0)</f>
        <v>7</v>
      </c>
      <c r="U262" s="389">
        <f>IF(U$2&lt;=analysis_period,IF(SUM($C585:U585)&gt;0,T262+1,0),0)</f>
        <v>8</v>
      </c>
      <c r="V262" s="389">
        <f>IF(V$2&lt;=analysis_period,IF(SUM($C585:V585)&gt;0,U262+1,0),0)</f>
        <v>9</v>
      </c>
      <c r="W262" s="389">
        <f>IF(W$2&lt;=analysis_period,IF(SUM($C585:W585)&gt;0,V262+1,0),0)</f>
        <v>10</v>
      </c>
      <c r="X262" s="389">
        <f>IF(X$2&lt;=analysis_period,IF(SUM($C585:X585)&gt;0,W262+1,0),0)</f>
        <v>11</v>
      </c>
      <c r="Y262" s="389">
        <f>IF(Y$2&lt;=analysis_period,IF(SUM($C585:Y585)&gt;0,X262+1,0),0)</f>
        <v>12</v>
      </c>
      <c r="Z262" s="389">
        <f>IF(Z$2&lt;=analysis_period,IF(SUM($C585:Z585)&gt;0,Y262+1,0),0)</f>
        <v>13</v>
      </c>
      <c r="AA262" s="389">
        <f>IF(AA$2&lt;=analysis_period,IF(SUM($C585:AA585)&gt;0,Z262+1,0),0)</f>
        <v>14</v>
      </c>
      <c r="AB262" s="389">
        <f>IF(AB$2&lt;=analysis_period,IF(SUM($C585:AB585)&gt;0,AA262+1,0),0)</f>
        <v>0</v>
      </c>
      <c r="AC262" s="389">
        <f>IF(AC$2&lt;=analysis_period,IF(SUM($C585:AC585)&gt;0,AB262+1,0),0)</f>
        <v>0</v>
      </c>
      <c r="AD262" s="389">
        <f>IF(AD$2&lt;=analysis_period,IF(SUM($C585:AD585)&gt;0,AC262+1,0),0)</f>
        <v>0</v>
      </c>
      <c r="AE262" s="389">
        <f>IF(AE$2&lt;=analysis_period,IF(SUM($C585:AE585)&gt;0,AD262+1,0),0)</f>
        <v>0</v>
      </c>
      <c r="AF262" s="389">
        <f>IF(AF$2&lt;=analysis_period,IF(SUM($C585:AF585)&gt;0,AE262+1,0),0)</f>
        <v>0</v>
      </c>
      <c r="AG262" s="389">
        <f>IF(AG$2&lt;=analysis_period,IF(SUM($C585:AG585)&gt;0,AF262+1,0),0)</f>
        <v>0</v>
      </c>
      <c r="AH262" s="389">
        <f>IF(AH$2&lt;=analysis_period,IF(SUM($C585:AH585)&gt;0,AG262+1,0),0)</f>
        <v>0</v>
      </c>
      <c r="AI262" s="389">
        <f>IF(AI$2&lt;=analysis_period,IF(SUM($C585:AI585)&gt;0,AH262+1,0),0)</f>
        <v>0</v>
      </c>
      <c r="AJ262" s="389">
        <f>IF(AJ$2&lt;=analysis_period,IF(SUM($C585:AJ585)&gt;0,AI262+1,0),0)</f>
        <v>0</v>
      </c>
      <c r="AK262" s="389">
        <f>IF(AK$2&lt;=analysis_period,IF(SUM($C585:AK585)&gt;0,AJ262+1,0),0)</f>
        <v>0</v>
      </c>
      <c r="AL262" s="389">
        <f>IF(AL$2&lt;=analysis_period,IF(SUM($C585:AL585)&gt;0,AK262+1,0),0)</f>
        <v>0</v>
      </c>
      <c r="AM262" s="389">
        <f>IF(AM$2&lt;=analysis_period,IF(SUM($C585:AM585)&gt;0,AL262+1,0),0)</f>
        <v>0</v>
      </c>
      <c r="AN262" s="389">
        <f>IF(AN$2&lt;=analysis_period,IF(SUM($C585:AN585)&gt;0,AM262+1,0),0)</f>
        <v>0</v>
      </c>
      <c r="AO262" s="389">
        <f>IF(AO$2&lt;=analysis_period,IF(SUM($C585:AO585)&gt;0,AN262+1,0),0)</f>
        <v>0</v>
      </c>
      <c r="AP262" s="389">
        <f>IF(AP$2&lt;=analysis_period,IF(SUM($C585:AP585)&gt;0,AO262+1,0),0)</f>
        <v>0</v>
      </c>
    </row>
    <row r="263" spans="1:42" x14ac:dyDescent="0.2">
      <c r="A263" s="7">
        <f>A262+1</f>
        <v>2</v>
      </c>
      <c r="C263" s="389">
        <f>IF(C$2&lt;=analysis_period,IF(SUM($C586:C586)&gt;0,B263+1,0),0)</f>
        <v>0</v>
      </c>
      <c r="D263" s="389">
        <f>IF(D$2&lt;=analysis_period,IF(SUM($C586:D586)&gt;0,C263+1,0),0)</f>
        <v>0</v>
      </c>
      <c r="E263" s="389">
        <f>IF(E$2&lt;=analysis_period,IF(SUM($C586:E586)&gt;0,D263+1,0),0)</f>
        <v>0</v>
      </c>
      <c r="F263" s="389">
        <f>IF(F$2&lt;=analysis_period,IF(SUM($C586:F586)&gt;0,E263+1,0),0)</f>
        <v>0</v>
      </c>
      <c r="G263" s="389">
        <f>IF(G$2&lt;=analysis_period,IF(SUM($C586:G586)&gt;0,F263+1,0),0)</f>
        <v>0</v>
      </c>
      <c r="H263" s="389">
        <f>IF(H$2&lt;=analysis_period,IF(SUM($C586:H586)&gt;0,G263+1,0),0)</f>
        <v>0</v>
      </c>
      <c r="I263" s="389">
        <f>IF(I$2&lt;=analysis_period,IF(SUM($C586:I586)&gt;0,H263+1,0),0)</f>
        <v>0</v>
      </c>
      <c r="J263" s="389">
        <f>IF(J$2&lt;=analysis_period,IF(SUM($C586:J586)&gt;0,I263+1,0),0)</f>
        <v>0</v>
      </c>
      <c r="K263" s="389">
        <f>IF(K$2&lt;=analysis_period,IF(SUM($C586:K586)&gt;0,J263+1,0),0)</f>
        <v>0</v>
      </c>
      <c r="L263" s="389">
        <f>IF(L$2&lt;=analysis_period,IF(SUM($C586:L586)&gt;0,K263+1,0),0)</f>
        <v>0</v>
      </c>
      <c r="M263" s="389">
        <f>IF(M$2&lt;=analysis_period,IF(SUM($C586:M586)&gt;0,L263+1,0),0)</f>
        <v>0</v>
      </c>
      <c r="N263" s="389">
        <f>IF(N$2&lt;=analysis_period,IF(SUM($C586:N586)&gt;0,M263+1,0),0)</f>
        <v>0</v>
      </c>
      <c r="O263" s="389">
        <f>IF(O$2&lt;=analysis_period,IF(SUM($C586:O586)&gt;0,N263+1,0),0)</f>
        <v>0</v>
      </c>
      <c r="P263" s="389">
        <f>IF(P$2&lt;=analysis_period,IF(SUM($C586:P586)&gt;0,O263+1,0),0)</f>
        <v>0</v>
      </c>
      <c r="Q263" s="389">
        <f>IF(Q$2&lt;=analysis_period,IF(SUM($C586:Q586)&gt;0,P263+1,0),0)</f>
        <v>0</v>
      </c>
      <c r="R263" s="389">
        <f>IF(R$2&lt;=analysis_period,IF(SUM($C586:R586)&gt;0,Q263+1,0),0)</f>
        <v>0</v>
      </c>
      <c r="S263" s="389">
        <f>IF(S$2&lt;=analysis_period,IF(SUM($C586:S586)&gt;0,R263+1,0),0)</f>
        <v>0</v>
      </c>
      <c r="T263" s="389">
        <f>IF(T$2&lt;=analysis_period,IF(SUM($C586:T586)&gt;0,S263+1,0),0)</f>
        <v>0</v>
      </c>
      <c r="U263" s="389">
        <f>IF(U$2&lt;=analysis_period,IF(SUM($C586:U586)&gt;0,T263+1,0),0)</f>
        <v>0</v>
      </c>
      <c r="V263" s="389">
        <f>IF(V$2&lt;=analysis_period,IF(SUM($C586:V586)&gt;0,U263+1,0),0)</f>
        <v>0</v>
      </c>
      <c r="W263" s="389">
        <f>IF(W$2&lt;=analysis_period,IF(SUM($C586:W586)&gt;0,V263+1,0),0)</f>
        <v>0</v>
      </c>
      <c r="X263" s="389">
        <f>IF(X$2&lt;=analysis_period,IF(SUM($C586:X586)&gt;0,W263+1,0),0)</f>
        <v>0</v>
      </c>
      <c r="Y263" s="389">
        <f>IF(Y$2&lt;=analysis_period,IF(SUM($C586:Y586)&gt;0,X263+1,0),0)</f>
        <v>0</v>
      </c>
      <c r="Z263" s="389">
        <f>IF(Z$2&lt;=analysis_period,IF(SUM($C586:Z586)&gt;0,Y263+1,0),0)</f>
        <v>1</v>
      </c>
      <c r="AA263" s="389">
        <f>IF(AA$2&lt;=analysis_period,IF(SUM($C586:AA586)&gt;0,Z263+1,0),0)</f>
        <v>2</v>
      </c>
      <c r="AB263" s="389">
        <f>IF(AB$2&lt;=analysis_period,IF(SUM($C586:AB586)&gt;0,AA263+1,0),0)</f>
        <v>0</v>
      </c>
      <c r="AC263" s="389">
        <f>IF(AC$2&lt;=analysis_period,IF(SUM($C586:AC586)&gt;0,AB263+1,0),0)</f>
        <v>0</v>
      </c>
      <c r="AD263" s="389">
        <f>IF(AD$2&lt;=analysis_period,IF(SUM($C586:AD586)&gt;0,AC263+1,0),0)</f>
        <v>0</v>
      </c>
      <c r="AE263" s="389">
        <f>IF(AE$2&lt;=analysis_period,IF(SUM($C586:AE586)&gt;0,AD263+1,0),0)</f>
        <v>0</v>
      </c>
      <c r="AF263" s="389">
        <f>IF(AF$2&lt;=analysis_period,IF(SUM($C586:AF586)&gt;0,AE263+1,0),0)</f>
        <v>0</v>
      </c>
      <c r="AG263" s="389">
        <f>IF(AG$2&lt;=analysis_period,IF(SUM($C586:AG586)&gt;0,AF263+1,0),0)</f>
        <v>0</v>
      </c>
      <c r="AH263" s="389">
        <f>IF(AH$2&lt;=analysis_period,IF(SUM($C586:AH586)&gt;0,AG263+1,0),0)</f>
        <v>0</v>
      </c>
      <c r="AI263" s="389">
        <f>IF(AI$2&lt;=analysis_period,IF(SUM($C586:AI586)&gt;0,AH263+1,0),0)</f>
        <v>0</v>
      </c>
      <c r="AJ263" s="389">
        <f>IF(AJ$2&lt;=analysis_period,IF(SUM($C586:AJ586)&gt;0,AI263+1,0),0)</f>
        <v>0</v>
      </c>
      <c r="AK263" s="389">
        <f>IF(AK$2&lt;=analysis_period,IF(SUM($C586:AK586)&gt;0,AJ263+1,0),0)</f>
        <v>0</v>
      </c>
      <c r="AL263" s="389">
        <f>IF(AL$2&lt;=analysis_period,IF(SUM($C586:AL586)&gt;0,AK263+1,0),0)</f>
        <v>0</v>
      </c>
      <c r="AM263" s="389">
        <f>IF(AM$2&lt;=analysis_period,IF(SUM($C586:AM586)&gt;0,AL263+1,0),0)</f>
        <v>0</v>
      </c>
      <c r="AN263" s="389">
        <f>IF(AN$2&lt;=analysis_period,IF(SUM($C586:AN586)&gt;0,AM263+1,0),0)</f>
        <v>0</v>
      </c>
      <c r="AO263" s="389">
        <f>IF(AO$2&lt;=analysis_period,IF(SUM($C586:AO586)&gt;0,AN263+1,0),0)</f>
        <v>0</v>
      </c>
      <c r="AP263" s="389">
        <f>IF(AP$2&lt;=analysis_period,IF(SUM($C586:AP586)&gt;0,AO263+1,0),0)</f>
        <v>0</v>
      </c>
    </row>
    <row r="264" spans="1:42" x14ac:dyDescent="0.2">
      <c r="A264" s="7">
        <f t="shared" ref="A264:A271" si="122">A263+1</f>
        <v>3</v>
      </c>
      <c r="C264" s="389">
        <f>IF(C$2&lt;=analysis_period,IF(SUM($C587:C587)&gt;0,B264+1,0),0)</f>
        <v>0</v>
      </c>
      <c r="D264" s="389">
        <f>IF(D$2&lt;=analysis_period,IF(SUM($C587:D587)&gt;0,C264+1,0),0)</f>
        <v>0</v>
      </c>
      <c r="E264" s="389">
        <f>IF(E$2&lt;=analysis_period,IF(SUM($C587:E587)&gt;0,D264+1,0),0)</f>
        <v>0</v>
      </c>
      <c r="F264" s="389">
        <f>IF(F$2&lt;=analysis_period,IF(SUM($C587:F587)&gt;0,E264+1,0),0)</f>
        <v>0</v>
      </c>
      <c r="G264" s="389">
        <f>IF(G$2&lt;=analysis_period,IF(SUM($C587:G587)&gt;0,F264+1,0),0)</f>
        <v>0</v>
      </c>
      <c r="H264" s="389">
        <f>IF(H$2&lt;=analysis_period,IF(SUM($C587:H587)&gt;0,G264+1,0),0)</f>
        <v>0</v>
      </c>
      <c r="I264" s="389">
        <f>IF(I$2&lt;=analysis_period,IF(SUM($C587:I587)&gt;0,H264+1,0),0)</f>
        <v>0</v>
      </c>
      <c r="J264" s="389">
        <f>IF(J$2&lt;=analysis_period,IF(SUM($C587:J587)&gt;0,I264+1,0),0)</f>
        <v>0</v>
      </c>
      <c r="K264" s="389">
        <f>IF(K$2&lt;=analysis_period,IF(SUM($C587:K587)&gt;0,J264+1,0),0)</f>
        <v>0</v>
      </c>
      <c r="L264" s="389">
        <f>IF(L$2&lt;=analysis_period,IF(SUM($C587:L587)&gt;0,K264+1,0),0)</f>
        <v>0</v>
      </c>
      <c r="M264" s="389">
        <f>IF(M$2&lt;=analysis_period,IF(SUM($C587:M587)&gt;0,L264+1,0),0)</f>
        <v>0</v>
      </c>
      <c r="N264" s="389">
        <f>IF(N$2&lt;=analysis_period,IF(SUM($C587:N587)&gt;0,M264+1,0),0)</f>
        <v>0</v>
      </c>
      <c r="O264" s="389">
        <f>IF(O$2&lt;=analysis_period,IF(SUM($C587:O587)&gt;0,N264+1,0),0)</f>
        <v>0</v>
      </c>
      <c r="P264" s="389">
        <f>IF(P$2&lt;=analysis_period,IF(SUM($C587:P587)&gt;0,O264+1,0),0)</f>
        <v>0</v>
      </c>
      <c r="Q264" s="389">
        <f>IF(Q$2&lt;=analysis_period,IF(SUM($C587:Q587)&gt;0,P264+1,0),0)</f>
        <v>0</v>
      </c>
      <c r="R264" s="389">
        <f>IF(R$2&lt;=analysis_period,IF(SUM($C587:R587)&gt;0,Q264+1,0),0)</f>
        <v>0</v>
      </c>
      <c r="S264" s="389">
        <f>IF(S$2&lt;=analysis_period,IF(SUM($C587:S587)&gt;0,R264+1,0),0)</f>
        <v>0</v>
      </c>
      <c r="T264" s="389">
        <f>IF(T$2&lt;=analysis_period,IF(SUM($C587:T587)&gt;0,S264+1,0),0)</f>
        <v>0</v>
      </c>
      <c r="U264" s="389">
        <f>IF(U$2&lt;=analysis_period,IF(SUM($C587:U587)&gt;0,T264+1,0),0)</f>
        <v>0</v>
      </c>
      <c r="V264" s="389">
        <f>IF(V$2&lt;=analysis_period,IF(SUM($C587:V587)&gt;0,U264+1,0),0)</f>
        <v>0</v>
      </c>
      <c r="W264" s="389">
        <f>IF(W$2&lt;=analysis_period,IF(SUM($C587:W587)&gt;0,V264+1,0),0)</f>
        <v>0</v>
      </c>
      <c r="X264" s="389">
        <f>IF(X$2&lt;=analysis_period,IF(SUM($C587:X587)&gt;0,W264+1,0),0)</f>
        <v>0</v>
      </c>
      <c r="Y264" s="389">
        <f>IF(Y$2&lt;=analysis_period,IF(SUM($C587:Y587)&gt;0,X264+1,0),0)</f>
        <v>0</v>
      </c>
      <c r="Z264" s="389">
        <f>IF(Z$2&lt;=analysis_period,IF(SUM($C587:Z587)&gt;0,Y264+1,0),0)</f>
        <v>0</v>
      </c>
      <c r="AA264" s="389">
        <f>IF(AA$2&lt;=analysis_period,IF(SUM($C587:AA587)&gt;0,Z264+1,0),0)</f>
        <v>0</v>
      </c>
      <c r="AB264" s="389">
        <f>IF(AB$2&lt;=analysis_period,IF(SUM($C587:AB587)&gt;0,AA264+1,0),0)</f>
        <v>0</v>
      </c>
      <c r="AC264" s="389">
        <f>IF(AC$2&lt;=analysis_period,IF(SUM($C587:AC587)&gt;0,AB264+1,0),0)</f>
        <v>0</v>
      </c>
      <c r="AD264" s="389">
        <f>IF(AD$2&lt;=analysis_period,IF(SUM($C587:AD587)&gt;0,AC264+1,0),0)</f>
        <v>0</v>
      </c>
      <c r="AE264" s="389">
        <f>IF(AE$2&lt;=analysis_period,IF(SUM($C587:AE587)&gt;0,AD264+1,0),0)</f>
        <v>0</v>
      </c>
      <c r="AF264" s="389">
        <f>IF(AF$2&lt;=analysis_period,IF(SUM($C587:AF587)&gt;0,AE264+1,0),0)</f>
        <v>0</v>
      </c>
      <c r="AG264" s="389">
        <f>IF(AG$2&lt;=analysis_period,IF(SUM($C587:AG587)&gt;0,AF264+1,0),0)</f>
        <v>0</v>
      </c>
      <c r="AH264" s="389">
        <f>IF(AH$2&lt;=analysis_period,IF(SUM($C587:AH587)&gt;0,AG264+1,0),0)</f>
        <v>0</v>
      </c>
      <c r="AI264" s="389">
        <f>IF(AI$2&lt;=analysis_period,IF(SUM($C587:AI587)&gt;0,AH264+1,0),0)</f>
        <v>0</v>
      </c>
      <c r="AJ264" s="389">
        <f>IF(AJ$2&lt;=analysis_period,IF(SUM($C587:AJ587)&gt;0,AI264+1,0),0)</f>
        <v>0</v>
      </c>
      <c r="AK264" s="389">
        <f>IF(AK$2&lt;=analysis_period,IF(SUM($C587:AK587)&gt;0,AJ264+1,0),0)</f>
        <v>0</v>
      </c>
      <c r="AL264" s="389">
        <f>IF(AL$2&lt;=analysis_period,IF(SUM($C587:AL587)&gt;0,AK264+1,0),0)</f>
        <v>0</v>
      </c>
      <c r="AM264" s="389">
        <f>IF(AM$2&lt;=analysis_period,IF(SUM($C587:AM587)&gt;0,AL264+1,0),0)</f>
        <v>0</v>
      </c>
      <c r="AN264" s="389">
        <f>IF(AN$2&lt;=analysis_period,IF(SUM($C587:AN587)&gt;0,AM264+1,0),0)</f>
        <v>0</v>
      </c>
      <c r="AO264" s="389">
        <f>IF(AO$2&lt;=analysis_period,IF(SUM($C587:AO587)&gt;0,AN264+1,0),0)</f>
        <v>0</v>
      </c>
      <c r="AP264" s="389">
        <f>IF(AP$2&lt;=analysis_period,IF(SUM($C587:AP587)&gt;0,AO264+1,0),0)</f>
        <v>0</v>
      </c>
    </row>
    <row r="265" spans="1:42" x14ac:dyDescent="0.2">
      <c r="A265" s="7">
        <f t="shared" si="122"/>
        <v>4</v>
      </c>
      <c r="C265" s="389">
        <f>IF(C$2&lt;=analysis_period,IF(SUM($C588:C588)&gt;0,B265+1,0),0)</f>
        <v>0</v>
      </c>
      <c r="D265" s="389">
        <f>IF(D$2&lt;=analysis_period,IF(SUM($C588:D588)&gt;0,C265+1,0),0)</f>
        <v>0</v>
      </c>
      <c r="E265" s="389">
        <f>IF(E$2&lt;=analysis_period,IF(SUM($C588:E588)&gt;0,D265+1,0),0)</f>
        <v>0</v>
      </c>
      <c r="F265" s="389">
        <f>IF(F$2&lt;=analysis_period,IF(SUM($C588:F588)&gt;0,E265+1,0),0)</f>
        <v>0</v>
      </c>
      <c r="G265" s="389">
        <f>IF(G$2&lt;=analysis_period,IF(SUM($C588:G588)&gt;0,F265+1,0),0)</f>
        <v>0</v>
      </c>
      <c r="H265" s="389">
        <f>IF(H$2&lt;=analysis_period,IF(SUM($C588:H588)&gt;0,G265+1,0),0)</f>
        <v>0</v>
      </c>
      <c r="I265" s="389">
        <f>IF(I$2&lt;=analysis_period,IF(SUM($C588:I588)&gt;0,H265+1,0),0)</f>
        <v>0</v>
      </c>
      <c r="J265" s="389">
        <f>IF(J$2&lt;=analysis_period,IF(SUM($C588:J588)&gt;0,I265+1,0),0)</f>
        <v>0</v>
      </c>
      <c r="K265" s="389">
        <f>IF(K$2&lt;=analysis_period,IF(SUM($C588:K588)&gt;0,J265+1,0),0)</f>
        <v>0</v>
      </c>
      <c r="L265" s="389">
        <f>IF(L$2&lt;=analysis_period,IF(SUM($C588:L588)&gt;0,K265+1,0),0)</f>
        <v>0</v>
      </c>
      <c r="M265" s="389">
        <f>IF(M$2&lt;=analysis_period,IF(SUM($C588:M588)&gt;0,L265+1,0),0)</f>
        <v>0</v>
      </c>
      <c r="N265" s="389">
        <f>IF(N$2&lt;=analysis_period,IF(SUM($C588:N588)&gt;0,M265+1,0),0)</f>
        <v>0</v>
      </c>
      <c r="O265" s="389">
        <f>IF(O$2&lt;=analysis_period,IF(SUM($C588:O588)&gt;0,N265+1,0),0)</f>
        <v>0</v>
      </c>
      <c r="P265" s="389">
        <f>IF(P$2&lt;=analysis_period,IF(SUM($C588:P588)&gt;0,O265+1,0),0)</f>
        <v>0</v>
      </c>
      <c r="Q265" s="389">
        <f>IF(Q$2&lt;=analysis_period,IF(SUM($C588:Q588)&gt;0,P265+1,0),0)</f>
        <v>0</v>
      </c>
      <c r="R265" s="389">
        <f>IF(R$2&lt;=analysis_period,IF(SUM($C588:R588)&gt;0,Q265+1,0),0)</f>
        <v>0</v>
      </c>
      <c r="S265" s="389">
        <f>IF(S$2&lt;=analysis_period,IF(SUM($C588:S588)&gt;0,R265+1,0),0)</f>
        <v>0</v>
      </c>
      <c r="T265" s="389">
        <f>IF(T$2&lt;=analysis_period,IF(SUM($C588:T588)&gt;0,S265+1,0),0)</f>
        <v>0</v>
      </c>
      <c r="U265" s="389">
        <f>IF(U$2&lt;=analysis_period,IF(SUM($C588:U588)&gt;0,T265+1,0),0)</f>
        <v>0</v>
      </c>
      <c r="V265" s="389">
        <f>IF(V$2&lt;=analysis_period,IF(SUM($C588:V588)&gt;0,U265+1,0),0)</f>
        <v>0</v>
      </c>
      <c r="W265" s="389">
        <f>IF(W$2&lt;=analysis_period,IF(SUM($C588:W588)&gt;0,V265+1,0),0)</f>
        <v>0</v>
      </c>
      <c r="X265" s="389">
        <f>IF(X$2&lt;=analysis_period,IF(SUM($C588:X588)&gt;0,W265+1,0),0)</f>
        <v>0</v>
      </c>
      <c r="Y265" s="389">
        <f>IF(Y$2&lt;=analysis_period,IF(SUM($C588:Y588)&gt;0,X265+1,0),0)</f>
        <v>0</v>
      </c>
      <c r="Z265" s="389">
        <f>IF(Z$2&lt;=analysis_period,IF(SUM($C588:Z588)&gt;0,Y265+1,0),0)</f>
        <v>0</v>
      </c>
      <c r="AA265" s="389">
        <f>IF(AA$2&lt;=analysis_period,IF(SUM($C588:AA588)&gt;0,Z265+1,0),0)</f>
        <v>0</v>
      </c>
      <c r="AB265" s="389">
        <f>IF(AB$2&lt;=analysis_period,IF(SUM($C588:AB588)&gt;0,AA265+1,0),0)</f>
        <v>0</v>
      </c>
      <c r="AC265" s="389">
        <f>IF(AC$2&lt;=analysis_period,IF(SUM($C588:AC588)&gt;0,AB265+1,0),0)</f>
        <v>0</v>
      </c>
      <c r="AD265" s="389">
        <f>IF(AD$2&lt;=analysis_period,IF(SUM($C588:AD588)&gt;0,AC265+1,0),0)</f>
        <v>0</v>
      </c>
      <c r="AE265" s="389">
        <f>IF(AE$2&lt;=analysis_period,IF(SUM($C588:AE588)&gt;0,AD265+1,0),0)</f>
        <v>0</v>
      </c>
      <c r="AF265" s="389">
        <f>IF(AF$2&lt;=analysis_period,IF(SUM($C588:AF588)&gt;0,AE265+1,0),0)</f>
        <v>0</v>
      </c>
      <c r="AG265" s="389">
        <f>IF(AG$2&lt;=analysis_period,IF(SUM($C588:AG588)&gt;0,AF265+1,0),0)</f>
        <v>0</v>
      </c>
      <c r="AH265" s="389">
        <f>IF(AH$2&lt;=analysis_period,IF(SUM($C588:AH588)&gt;0,AG265+1,0),0)</f>
        <v>0</v>
      </c>
      <c r="AI265" s="389">
        <f>IF(AI$2&lt;=analysis_period,IF(SUM($C588:AI588)&gt;0,AH265+1,0),0)</f>
        <v>0</v>
      </c>
      <c r="AJ265" s="389">
        <f>IF(AJ$2&lt;=analysis_period,IF(SUM($C588:AJ588)&gt;0,AI265+1,0),0)</f>
        <v>0</v>
      </c>
      <c r="AK265" s="389">
        <f>IF(AK$2&lt;=analysis_period,IF(SUM($C588:AK588)&gt;0,AJ265+1,0),0)</f>
        <v>0</v>
      </c>
      <c r="AL265" s="389">
        <f>IF(AL$2&lt;=analysis_period,IF(SUM($C588:AL588)&gt;0,AK265+1,0),0)</f>
        <v>0</v>
      </c>
      <c r="AM265" s="389">
        <f>IF(AM$2&lt;=analysis_period,IF(SUM($C588:AM588)&gt;0,AL265+1,0),0)</f>
        <v>0</v>
      </c>
      <c r="AN265" s="389">
        <f>IF(AN$2&lt;=analysis_period,IF(SUM($C588:AN588)&gt;0,AM265+1,0),0)</f>
        <v>0</v>
      </c>
      <c r="AO265" s="389">
        <f>IF(AO$2&lt;=analysis_period,IF(SUM($C588:AO588)&gt;0,AN265+1,0),0)</f>
        <v>0</v>
      </c>
      <c r="AP265" s="389">
        <f>IF(AP$2&lt;=analysis_period,IF(SUM($C588:AP588)&gt;0,AO265+1,0),0)</f>
        <v>0</v>
      </c>
    </row>
    <row r="266" spans="1:42" x14ac:dyDescent="0.2">
      <c r="A266" s="7">
        <f t="shared" si="122"/>
        <v>5</v>
      </c>
      <c r="C266" s="389">
        <f>IF(C$2&lt;=analysis_period,IF(SUM($C589:C589)&gt;0,B266+1,0),0)</f>
        <v>0</v>
      </c>
      <c r="D266" s="389">
        <f>IF(D$2&lt;=analysis_period,IF(SUM($C589:D589)&gt;0,C266+1,0),0)</f>
        <v>0</v>
      </c>
      <c r="E266" s="389">
        <f>IF(E$2&lt;=analysis_period,IF(SUM($C589:E589)&gt;0,D266+1,0),0)</f>
        <v>0</v>
      </c>
      <c r="F266" s="389">
        <f>IF(F$2&lt;=analysis_period,IF(SUM($C589:F589)&gt;0,E266+1,0),0)</f>
        <v>0</v>
      </c>
      <c r="G266" s="389">
        <f>IF(G$2&lt;=analysis_period,IF(SUM($C589:G589)&gt;0,F266+1,0),0)</f>
        <v>0</v>
      </c>
      <c r="H266" s="389">
        <f>IF(H$2&lt;=analysis_period,IF(SUM($C589:H589)&gt;0,G266+1,0),0)</f>
        <v>0</v>
      </c>
      <c r="I266" s="389">
        <f>IF(I$2&lt;=analysis_period,IF(SUM($C589:I589)&gt;0,H266+1,0),0)</f>
        <v>0</v>
      </c>
      <c r="J266" s="389">
        <f>IF(J$2&lt;=analysis_period,IF(SUM($C589:J589)&gt;0,I266+1,0),0)</f>
        <v>0</v>
      </c>
      <c r="K266" s="389">
        <f>IF(K$2&lt;=analysis_period,IF(SUM($C589:K589)&gt;0,J266+1,0),0)</f>
        <v>0</v>
      </c>
      <c r="L266" s="389">
        <f>IF(L$2&lt;=analysis_period,IF(SUM($C589:L589)&gt;0,K266+1,0),0)</f>
        <v>0</v>
      </c>
      <c r="M266" s="389">
        <f>IF(M$2&lt;=analysis_period,IF(SUM($C589:M589)&gt;0,L266+1,0),0)</f>
        <v>0</v>
      </c>
      <c r="N266" s="389">
        <f>IF(N$2&lt;=analysis_period,IF(SUM($C589:N589)&gt;0,M266+1,0),0)</f>
        <v>0</v>
      </c>
      <c r="O266" s="389">
        <f>IF(O$2&lt;=analysis_period,IF(SUM($C589:O589)&gt;0,N266+1,0),0)</f>
        <v>0</v>
      </c>
      <c r="P266" s="389">
        <f>IF(P$2&lt;=analysis_period,IF(SUM($C589:P589)&gt;0,O266+1,0),0)</f>
        <v>0</v>
      </c>
      <c r="Q266" s="389">
        <f>IF(Q$2&lt;=analysis_period,IF(SUM($C589:Q589)&gt;0,P266+1,0),0)</f>
        <v>0</v>
      </c>
      <c r="R266" s="389">
        <f>IF(R$2&lt;=analysis_period,IF(SUM($C589:R589)&gt;0,Q266+1,0),0)</f>
        <v>0</v>
      </c>
      <c r="S266" s="389">
        <f>IF(S$2&lt;=analysis_period,IF(SUM($C589:S589)&gt;0,R266+1,0),0)</f>
        <v>0</v>
      </c>
      <c r="T266" s="389">
        <f>IF(T$2&lt;=analysis_period,IF(SUM($C589:T589)&gt;0,S266+1,0),0)</f>
        <v>0</v>
      </c>
      <c r="U266" s="389">
        <f>IF(U$2&lt;=analysis_period,IF(SUM($C589:U589)&gt;0,T266+1,0),0)</f>
        <v>0</v>
      </c>
      <c r="V266" s="389">
        <f>IF(V$2&lt;=analysis_period,IF(SUM($C589:V589)&gt;0,U266+1,0),0)</f>
        <v>0</v>
      </c>
      <c r="W266" s="389">
        <f>IF(W$2&lt;=analysis_period,IF(SUM($C589:W589)&gt;0,V266+1,0),0)</f>
        <v>0</v>
      </c>
      <c r="X266" s="389">
        <f>IF(X$2&lt;=analysis_period,IF(SUM($C589:X589)&gt;0,W266+1,0),0)</f>
        <v>0</v>
      </c>
      <c r="Y266" s="389">
        <f>IF(Y$2&lt;=analysis_period,IF(SUM($C589:Y589)&gt;0,X266+1,0),0)</f>
        <v>0</v>
      </c>
      <c r="Z266" s="389">
        <f>IF(Z$2&lt;=analysis_period,IF(SUM($C589:Z589)&gt;0,Y266+1,0),0)</f>
        <v>0</v>
      </c>
      <c r="AA266" s="389">
        <f>IF(AA$2&lt;=analysis_period,IF(SUM($C589:AA589)&gt;0,Z266+1,0),0)</f>
        <v>0</v>
      </c>
      <c r="AB266" s="389">
        <f>IF(AB$2&lt;=analysis_period,IF(SUM($C589:AB589)&gt;0,AA266+1,0),0)</f>
        <v>0</v>
      </c>
      <c r="AC266" s="389">
        <f>IF(AC$2&lt;=analysis_period,IF(SUM($C589:AC589)&gt;0,AB266+1,0),0)</f>
        <v>0</v>
      </c>
      <c r="AD266" s="389">
        <f>IF(AD$2&lt;=analysis_period,IF(SUM($C589:AD589)&gt;0,AC266+1,0),0)</f>
        <v>0</v>
      </c>
      <c r="AE266" s="389">
        <f>IF(AE$2&lt;=analysis_period,IF(SUM($C589:AE589)&gt;0,AD266+1,0),0)</f>
        <v>0</v>
      </c>
      <c r="AF266" s="389">
        <f>IF(AF$2&lt;=analysis_period,IF(SUM($C589:AF589)&gt;0,AE266+1,0),0)</f>
        <v>0</v>
      </c>
      <c r="AG266" s="389">
        <f>IF(AG$2&lt;=analysis_period,IF(SUM($C589:AG589)&gt;0,AF266+1,0),0)</f>
        <v>0</v>
      </c>
      <c r="AH266" s="389">
        <f>IF(AH$2&lt;=analysis_period,IF(SUM($C589:AH589)&gt;0,AG266+1,0),0)</f>
        <v>0</v>
      </c>
      <c r="AI266" s="389">
        <f>IF(AI$2&lt;=analysis_period,IF(SUM($C589:AI589)&gt;0,AH266+1,0),0)</f>
        <v>0</v>
      </c>
      <c r="AJ266" s="389">
        <f>IF(AJ$2&lt;=analysis_period,IF(SUM($C589:AJ589)&gt;0,AI266+1,0),0)</f>
        <v>0</v>
      </c>
      <c r="AK266" s="389">
        <f>IF(AK$2&lt;=analysis_period,IF(SUM($C589:AK589)&gt;0,AJ266+1,0),0)</f>
        <v>0</v>
      </c>
      <c r="AL266" s="389">
        <f>IF(AL$2&lt;=analysis_period,IF(SUM($C589:AL589)&gt;0,AK266+1,0),0)</f>
        <v>0</v>
      </c>
      <c r="AM266" s="389">
        <f>IF(AM$2&lt;=analysis_period,IF(SUM($C589:AM589)&gt;0,AL266+1,0),0)</f>
        <v>0</v>
      </c>
      <c r="AN266" s="389">
        <f>IF(AN$2&lt;=analysis_period,IF(SUM($C589:AN589)&gt;0,AM266+1,0),0)</f>
        <v>0</v>
      </c>
      <c r="AO266" s="389">
        <f>IF(AO$2&lt;=analysis_period,IF(SUM($C589:AO589)&gt;0,AN266+1,0),0)</f>
        <v>0</v>
      </c>
      <c r="AP266" s="389">
        <f>IF(AP$2&lt;=analysis_period,IF(SUM($C589:AP589)&gt;0,AO266+1,0),0)</f>
        <v>0</v>
      </c>
    </row>
    <row r="267" spans="1:42" x14ac:dyDescent="0.2">
      <c r="A267" s="7">
        <f t="shared" si="122"/>
        <v>6</v>
      </c>
      <c r="C267" s="389">
        <f>IF(C$2&lt;=analysis_period,IF(SUM($C590:C590)&gt;0,B267+1,0),0)</f>
        <v>0</v>
      </c>
      <c r="D267" s="389">
        <f>IF(D$2&lt;=analysis_period,IF(SUM($C590:D590)&gt;0,C267+1,0),0)</f>
        <v>0</v>
      </c>
      <c r="E267" s="389">
        <f>IF(E$2&lt;=analysis_period,IF(SUM($C590:E590)&gt;0,D267+1,0),0)</f>
        <v>0</v>
      </c>
      <c r="F267" s="389">
        <f>IF(F$2&lt;=analysis_period,IF(SUM($C590:F590)&gt;0,E267+1,0),0)</f>
        <v>0</v>
      </c>
      <c r="G267" s="389">
        <f>IF(G$2&lt;=analysis_period,IF(SUM($C590:G590)&gt;0,F267+1,0),0)</f>
        <v>0</v>
      </c>
      <c r="H267" s="389">
        <f>IF(H$2&lt;=analysis_period,IF(SUM($C590:H590)&gt;0,G267+1,0),0)</f>
        <v>0</v>
      </c>
      <c r="I267" s="389">
        <f>IF(I$2&lt;=analysis_period,IF(SUM($C590:I590)&gt;0,H267+1,0),0)</f>
        <v>0</v>
      </c>
      <c r="J267" s="389">
        <f>IF(J$2&lt;=analysis_period,IF(SUM($C590:J590)&gt;0,I267+1,0),0)</f>
        <v>0</v>
      </c>
      <c r="K267" s="389">
        <f>IF(K$2&lt;=analysis_period,IF(SUM($C590:K590)&gt;0,J267+1,0),0)</f>
        <v>0</v>
      </c>
      <c r="L267" s="389">
        <f>IF(L$2&lt;=analysis_period,IF(SUM($C590:L590)&gt;0,K267+1,0),0)</f>
        <v>0</v>
      </c>
      <c r="M267" s="389">
        <f>IF(M$2&lt;=analysis_period,IF(SUM($C590:M590)&gt;0,L267+1,0),0)</f>
        <v>0</v>
      </c>
      <c r="N267" s="389">
        <f>IF(N$2&lt;=analysis_period,IF(SUM($C590:N590)&gt;0,M267+1,0),0)</f>
        <v>0</v>
      </c>
      <c r="O267" s="389">
        <f>IF(O$2&lt;=analysis_period,IF(SUM($C590:O590)&gt;0,N267+1,0),0)</f>
        <v>0</v>
      </c>
      <c r="P267" s="389">
        <f>IF(P$2&lt;=analysis_period,IF(SUM($C590:P590)&gt;0,O267+1,0),0)</f>
        <v>0</v>
      </c>
      <c r="Q267" s="389">
        <f>IF(Q$2&lt;=analysis_period,IF(SUM($C590:Q590)&gt;0,P267+1,0),0)</f>
        <v>0</v>
      </c>
      <c r="R267" s="389">
        <f>IF(R$2&lt;=analysis_period,IF(SUM($C590:R590)&gt;0,Q267+1,0),0)</f>
        <v>0</v>
      </c>
      <c r="S267" s="389">
        <f>IF(S$2&lt;=analysis_period,IF(SUM($C590:S590)&gt;0,R267+1,0),0)</f>
        <v>0</v>
      </c>
      <c r="T267" s="389">
        <f>IF(T$2&lt;=analysis_period,IF(SUM($C590:T590)&gt;0,S267+1,0),0)</f>
        <v>0</v>
      </c>
      <c r="U267" s="389">
        <f>IF(U$2&lt;=analysis_period,IF(SUM($C590:U590)&gt;0,T267+1,0),0)</f>
        <v>0</v>
      </c>
      <c r="V267" s="389">
        <f>IF(V$2&lt;=analysis_period,IF(SUM($C590:V590)&gt;0,U267+1,0),0)</f>
        <v>0</v>
      </c>
      <c r="W267" s="389">
        <f>IF(W$2&lt;=analysis_period,IF(SUM($C590:W590)&gt;0,V267+1,0),0)</f>
        <v>0</v>
      </c>
      <c r="X267" s="389">
        <f>IF(X$2&lt;=analysis_period,IF(SUM($C590:X590)&gt;0,W267+1,0),0)</f>
        <v>0</v>
      </c>
      <c r="Y267" s="389">
        <f>IF(Y$2&lt;=analysis_period,IF(SUM($C590:Y590)&gt;0,X267+1,0),0)</f>
        <v>0</v>
      </c>
      <c r="Z267" s="389">
        <f>IF(Z$2&lt;=analysis_period,IF(SUM($C590:Z590)&gt;0,Y267+1,0),0)</f>
        <v>0</v>
      </c>
      <c r="AA267" s="389">
        <f>IF(AA$2&lt;=analysis_period,IF(SUM($C590:AA590)&gt;0,Z267+1,0),0)</f>
        <v>0</v>
      </c>
      <c r="AB267" s="389">
        <f>IF(AB$2&lt;=analysis_period,IF(SUM($C590:AB590)&gt;0,AA267+1,0),0)</f>
        <v>0</v>
      </c>
      <c r="AC267" s="389">
        <f>IF(AC$2&lt;=analysis_period,IF(SUM($C590:AC590)&gt;0,AB267+1,0),0)</f>
        <v>0</v>
      </c>
      <c r="AD267" s="389">
        <f>IF(AD$2&lt;=analysis_period,IF(SUM($C590:AD590)&gt;0,AC267+1,0),0)</f>
        <v>0</v>
      </c>
      <c r="AE267" s="389">
        <f>IF(AE$2&lt;=analysis_period,IF(SUM($C590:AE590)&gt;0,AD267+1,0),0)</f>
        <v>0</v>
      </c>
      <c r="AF267" s="389">
        <f>IF(AF$2&lt;=analysis_period,IF(SUM($C590:AF590)&gt;0,AE267+1,0),0)</f>
        <v>0</v>
      </c>
      <c r="AG267" s="389">
        <f>IF(AG$2&lt;=analysis_period,IF(SUM($C590:AG590)&gt;0,AF267+1,0),0)</f>
        <v>0</v>
      </c>
      <c r="AH267" s="389">
        <f>IF(AH$2&lt;=analysis_period,IF(SUM($C590:AH590)&gt;0,AG267+1,0),0)</f>
        <v>0</v>
      </c>
      <c r="AI267" s="389">
        <f>IF(AI$2&lt;=analysis_period,IF(SUM($C590:AI590)&gt;0,AH267+1,0),0)</f>
        <v>0</v>
      </c>
      <c r="AJ267" s="389">
        <f>IF(AJ$2&lt;=analysis_period,IF(SUM($C590:AJ590)&gt;0,AI267+1,0),0)</f>
        <v>0</v>
      </c>
      <c r="AK267" s="389">
        <f>IF(AK$2&lt;=analysis_period,IF(SUM($C590:AK590)&gt;0,AJ267+1,0),0)</f>
        <v>0</v>
      </c>
      <c r="AL267" s="389">
        <f>IF(AL$2&lt;=analysis_period,IF(SUM($C590:AL590)&gt;0,AK267+1,0),0)</f>
        <v>0</v>
      </c>
      <c r="AM267" s="389">
        <f>IF(AM$2&lt;=analysis_period,IF(SUM($C590:AM590)&gt;0,AL267+1,0),0)</f>
        <v>0</v>
      </c>
      <c r="AN267" s="389">
        <f>IF(AN$2&lt;=analysis_period,IF(SUM($C590:AN590)&gt;0,AM267+1,0),0)</f>
        <v>0</v>
      </c>
      <c r="AO267" s="389">
        <f>IF(AO$2&lt;=analysis_period,IF(SUM($C590:AO590)&gt;0,AN267+1,0),0)</f>
        <v>0</v>
      </c>
      <c r="AP267" s="389">
        <f>IF(AP$2&lt;=analysis_period,IF(SUM($C590:AP590)&gt;0,AO267+1,0),0)</f>
        <v>0</v>
      </c>
    </row>
    <row r="268" spans="1:42" x14ac:dyDescent="0.2">
      <c r="A268" s="7">
        <f t="shared" si="122"/>
        <v>7</v>
      </c>
      <c r="C268" s="389">
        <f>IF(C$2&lt;=analysis_period,IF(SUM($C591:C591)&gt;0,B268+1,0),0)</f>
        <v>0</v>
      </c>
      <c r="D268" s="389">
        <f>IF(D$2&lt;=analysis_period,IF(SUM($C591:D591)&gt;0,C268+1,0),0)</f>
        <v>0</v>
      </c>
      <c r="E268" s="389">
        <f>IF(E$2&lt;=analysis_period,IF(SUM($C591:E591)&gt;0,D268+1,0),0)</f>
        <v>0</v>
      </c>
      <c r="F268" s="389">
        <f>IF(F$2&lt;=analysis_period,IF(SUM($C591:F591)&gt;0,E268+1,0),0)</f>
        <v>0</v>
      </c>
      <c r="G268" s="389">
        <f>IF(G$2&lt;=analysis_period,IF(SUM($C591:G591)&gt;0,F268+1,0),0)</f>
        <v>0</v>
      </c>
      <c r="H268" s="389">
        <f>IF(H$2&lt;=analysis_period,IF(SUM($C591:H591)&gt;0,G268+1,0),0)</f>
        <v>0</v>
      </c>
      <c r="I268" s="389">
        <f>IF(I$2&lt;=analysis_period,IF(SUM($C591:I591)&gt;0,H268+1,0),0)</f>
        <v>0</v>
      </c>
      <c r="J268" s="389">
        <f>IF(J$2&lt;=analysis_period,IF(SUM($C591:J591)&gt;0,I268+1,0),0)</f>
        <v>0</v>
      </c>
      <c r="K268" s="389">
        <f>IF(K$2&lt;=analysis_period,IF(SUM($C591:K591)&gt;0,J268+1,0),0)</f>
        <v>0</v>
      </c>
      <c r="L268" s="389">
        <f>IF(L$2&lt;=analysis_period,IF(SUM($C591:L591)&gt;0,K268+1,0),0)</f>
        <v>0</v>
      </c>
      <c r="M268" s="389">
        <f>IF(M$2&lt;=analysis_period,IF(SUM($C591:M591)&gt;0,L268+1,0),0)</f>
        <v>0</v>
      </c>
      <c r="N268" s="389">
        <f>IF(N$2&lt;=analysis_period,IF(SUM($C591:N591)&gt;0,M268+1,0),0)</f>
        <v>0</v>
      </c>
      <c r="O268" s="389">
        <f>IF(O$2&lt;=analysis_period,IF(SUM($C591:O591)&gt;0,N268+1,0),0)</f>
        <v>0</v>
      </c>
      <c r="P268" s="389">
        <f>IF(P$2&lt;=analysis_period,IF(SUM($C591:P591)&gt;0,O268+1,0),0)</f>
        <v>0</v>
      </c>
      <c r="Q268" s="389">
        <f>IF(Q$2&lt;=analysis_period,IF(SUM($C591:Q591)&gt;0,P268+1,0),0)</f>
        <v>0</v>
      </c>
      <c r="R268" s="389">
        <f>IF(R$2&lt;=analysis_period,IF(SUM($C591:R591)&gt;0,Q268+1,0),0)</f>
        <v>0</v>
      </c>
      <c r="S268" s="389">
        <f>IF(S$2&lt;=analysis_period,IF(SUM($C591:S591)&gt;0,R268+1,0),0)</f>
        <v>0</v>
      </c>
      <c r="T268" s="389">
        <f>IF(T$2&lt;=analysis_period,IF(SUM($C591:T591)&gt;0,S268+1,0),0)</f>
        <v>0</v>
      </c>
      <c r="U268" s="389">
        <f>IF(U$2&lt;=analysis_period,IF(SUM($C591:U591)&gt;0,T268+1,0),0)</f>
        <v>0</v>
      </c>
      <c r="V268" s="389">
        <f>IF(V$2&lt;=analysis_period,IF(SUM($C591:V591)&gt;0,U268+1,0),0)</f>
        <v>0</v>
      </c>
      <c r="W268" s="389">
        <f>IF(W$2&lt;=analysis_period,IF(SUM($C591:W591)&gt;0,V268+1,0),0)</f>
        <v>0</v>
      </c>
      <c r="X268" s="389">
        <f>IF(X$2&lt;=analysis_period,IF(SUM($C591:X591)&gt;0,W268+1,0),0)</f>
        <v>0</v>
      </c>
      <c r="Y268" s="389">
        <f>IF(Y$2&lt;=analysis_period,IF(SUM($C591:Y591)&gt;0,X268+1,0),0)</f>
        <v>0</v>
      </c>
      <c r="Z268" s="389">
        <f>IF(Z$2&lt;=analysis_period,IF(SUM($C591:Z591)&gt;0,Y268+1,0),0)</f>
        <v>0</v>
      </c>
      <c r="AA268" s="389">
        <f>IF(AA$2&lt;=analysis_period,IF(SUM($C591:AA591)&gt;0,Z268+1,0),0)</f>
        <v>0</v>
      </c>
      <c r="AB268" s="389">
        <f>IF(AB$2&lt;=analysis_period,IF(SUM($C591:AB591)&gt;0,AA268+1,0),0)</f>
        <v>0</v>
      </c>
      <c r="AC268" s="389">
        <f>IF(AC$2&lt;=analysis_period,IF(SUM($C591:AC591)&gt;0,AB268+1,0),0)</f>
        <v>0</v>
      </c>
      <c r="AD268" s="389">
        <f>IF(AD$2&lt;=analysis_period,IF(SUM($C591:AD591)&gt;0,AC268+1,0),0)</f>
        <v>0</v>
      </c>
      <c r="AE268" s="389">
        <f>IF(AE$2&lt;=analysis_period,IF(SUM($C591:AE591)&gt;0,AD268+1,0),0)</f>
        <v>0</v>
      </c>
      <c r="AF268" s="389">
        <f>IF(AF$2&lt;=analysis_period,IF(SUM($C591:AF591)&gt;0,AE268+1,0),0)</f>
        <v>0</v>
      </c>
      <c r="AG268" s="389">
        <f>IF(AG$2&lt;=analysis_period,IF(SUM($C591:AG591)&gt;0,AF268+1,0),0)</f>
        <v>0</v>
      </c>
      <c r="AH268" s="389">
        <f>IF(AH$2&lt;=analysis_period,IF(SUM($C591:AH591)&gt;0,AG268+1,0),0)</f>
        <v>0</v>
      </c>
      <c r="AI268" s="389">
        <f>IF(AI$2&lt;=analysis_period,IF(SUM($C591:AI591)&gt;0,AH268+1,0),0)</f>
        <v>0</v>
      </c>
      <c r="AJ268" s="389">
        <f>IF(AJ$2&lt;=analysis_period,IF(SUM($C591:AJ591)&gt;0,AI268+1,0),0)</f>
        <v>0</v>
      </c>
      <c r="AK268" s="389">
        <f>IF(AK$2&lt;=analysis_period,IF(SUM($C591:AK591)&gt;0,AJ268+1,0),0)</f>
        <v>0</v>
      </c>
      <c r="AL268" s="389">
        <f>IF(AL$2&lt;=analysis_period,IF(SUM($C591:AL591)&gt;0,AK268+1,0),0)</f>
        <v>0</v>
      </c>
      <c r="AM268" s="389">
        <f>IF(AM$2&lt;=analysis_period,IF(SUM($C591:AM591)&gt;0,AL268+1,0),0)</f>
        <v>0</v>
      </c>
      <c r="AN268" s="389">
        <f>IF(AN$2&lt;=analysis_period,IF(SUM($C591:AN591)&gt;0,AM268+1,0),0)</f>
        <v>0</v>
      </c>
      <c r="AO268" s="389">
        <f>IF(AO$2&lt;=analysis_period,IF(SUM($C591:AO591)&gt;0,AN268+1,0),0)</f>
        <v>0</v>
      </c>
      <c r="AP268" s="389">
        <f>IF(AP$2&lt;=analysis_period,IF(SUM($C591:AP591)&gt;0,AO268+1,0),0)</f>
        <v>0</v>
      </c>
    </row>
    <row r="269" spans="1:42" x14ac:dyDescent="0.2">
      <c r="A269" s="7">
        <f t="shared" si="122"/>
        <v>8</v>
      </c>
      <c r="C269" s="389">
        <f>IF(C$2&lt;=analysis_period,IF(SUM($C592:C592)&gt;0,B269+1,0),0)</f>
        <v>0</v>
      </c>
      <c r="D269" s="389">
        <f>IF(D$2&lt;=analysis_period,IF(SUM($C592:D592)&gt;0,C269+1,0),0)</f>
        <v>0</v>
      </c>
      <c r="E269" s="389">
        <f>IF(E$2&lt;=analysis_period,IF(SUM($C592:E592)&gt;0,D269+1,0),0)</f>
        <v>0</v>
      </c>
      <c r="F269" s="389">
        <f>IF(F$2&lt;=analysis_period,IF(SUM($C592:F592)&gt;0,E269+1,0),0)</f>
        <v>0</v>
      </c>
      <c r="G269" s="389">
        <f>IF(G$2&lt;=analysis_period,IF(SUM($C592:G592)&gt;0,F269+1,0),0)</f>
        <v>0</v>
      </c>
      <c r="H269" s="389">
        <f>IF(H$2&lt;=analysis_period,IF(SUM($C592:H592)&gt;0,G269+1,0),0)</f>
        <v>0</v>
      </c>
      <c r="I269" s="389">
        <f>IF(I$2&lt;=analysis_period,IF(SUM($C592:I592)&gt;0,H269+1,0),0)</f>
        <v>0</v>
      </c>
      <c r="J269" s="389">
        <f>IF(J$2&lt;=analysis_period,IF(SUM($C592:J592)&gt;0,I269+1,0),0)</f>
        <v>0</v>
      </c>
      <c r="K269" s="389">
        <f>IF(K$2&lt;=analysis_period,IF(SUM($C592:K592)&gt;0,J269+1,0),0)</f>
        <v>0</v>
      </c>
      <c r="L269" s="389">
        <f>IF(L$2&lt;=analysis_period,IF(SUM($C592:L592)&gt;0,K269+1,0),0)</f>
        <v>0</v>
      </c>
      <c r="M269" s="389">
        <f>IF(M$2&lt;=analysis_period,IF(SUM($C592:M592)&gt;0,L269+1,0),0)</f>
        <v>0</v>
      </c>
      <c r="N269" s="389">
        <f>IF(N$2&lt;=analysis_period,IF(SUM($C592:N592)&gt;0,M269+1,0),0)</f>
        <v>0</v>
      </c>
      <c r="O269" s="389">
        <f>IF(O$2&lt;=analysis_period,IF(SUM($C592:O592)&gt;0,N269+1,0),0)</f>
        <v>0</v>
      </c>
      <c r="P269" s="389">
        <f>IF(P$2&lt;=analysis_period,IF(SUM($C592:P592)&gt;0,O269+1,0),0)</f>
        <v>0</v>
      </c>
      <c r="Q269" s="389">
        <f>IF(Q$2&lt;=analysis_period,IF(SUM($C592:Q592)&gt;0,P269+1,0),0)</f>
        <v>0</v>
      </c>
      <c r="R269" s="389">
        <f>IF(R$2&lt;=analysis_period,IF(SUM($C592:R592)&gt;0,Q269+1,0),0)</f>
        <v>0</v>
      </c>
      <c r="S269" s="389">
        <f>IF(S$2&lt;=analysis_period,IF(SUM($C592:S592)&gt;0,R269+1,0),0)</f>
        <v>0</v>
      </c>
      <c r="T269" s="389">
        <f>IF(T$2&lt;=analysis_period,IF(SUM($C592:T592)&gt;0,S269+1,0),0)</f>
        <v>0</v>
      </c>
      <c r="U269" s="389">
        <f>IF(U$2&lt;=analysis_period,IF(SUM($C592:U592)&gt;0,T269+1,0),0)</f>
        <v>0</v>
      </c>
      <c r="V269" s="389">
        <f>IF(V$2&lt;=analysis_period,IF(SUM($C592:V592)&gt;0,U269+1,0),0)</f>
        <v>0</v>
      </c>
      <c r="W269" s="389">
        <f>IF(W$2&lt;=analysis_period,IF(SUM($C592:W592)&gt;0,V269+1,0),0)</f>
        <v>0</v>
      </c>
      <c r="X269" s="389">
        <f>IF(X$2&lt;=analysis_period,IF(SUM($C592:X592)&gt;0,W269+1,0),0)</f>
        <v>0</v>
      </c>
      <c r="Y269" s="389">
        <f>IF(Y$2&lt;=analysis_period,IF(SUM($C592:Y592)&gt;0,X269+1,0),0)</f>
        <v>0</v>
      </c>
      <c r="Z269" s="389">
        <f>IF(Z$2&lt;=analysis_period,IF(SUM($C592:Z592)&gt;0,Y269+1,0),0)</f>
        <v>0</v>
      </c>
      <c r="AA269" s="389">
        <f>IF(AA$2&lt;=analysis_period,IF(SUM($C592:AA592)&gt;0,Z269+1,0),0)</f>
        <v>0</v>
      </c>
      <c r="AB269" s="389">
        <f>IF(AB$2&lt;=analysis_period,IF(SUM($C592:AB592)&gt;0,AA269+1,0),0)</f>
        <v>0</v>
      </c>
      <c r="AC269" s="389">
        <f>IF(AC$2&lt;=analysis_period,IF(SUM($C592:AC592)&gt;0,AB269+1,0),0)</f>
        <v>0</v>
      </c>
      <c r="AD269" s="389">
        <f>IF(AD$2&lt;=analysis_period,IF(SUM($C592:AD592)&gt;0,AC269+1,0),0)</f>
        <v>0</v>
      </c>
      <c r="AE269" s="389">
        <f>IF(AE$2&lt;=analysis_period,IF(SUM($C592:AE592)&gt;0,AD269+1,0),0)</f>
        <v>0</v>
      </c>
      <c r="AF269" s="389">
        <f>IF(AF$2&lt;=analysis_period,IF(SUM($C592:AF592)&gt;0,AE269+1,0),0)</f>
        <v>0</v>
      </c>
      <c r="AG269" s="389">
        <f>IF(AG$2&lt;=analysis_period,IF(SUM($C592:AG592)&gt;0,AF269+1,0),0)</f>
        <v>0</v>
      </c>
      <c r="AH269" s="389">
        <f>IF(AH$2&lt;=analysis_period,IF(SUM($C592:AH592)&gt;0,AG269+1,0),0)</f>
        <v>0</v>
      </c>
      <c r="AI269" s="389">
        <f>IF(AI$2&lt;=analysis_period,IF(SUM($C592:AI592)&gt;0,AH269+1,0),0)</f>
        <v>0</v>
      </c>
      <c r="AJ269" s="389">
        <f>IF(AJ$2&lt;=analysis_period,IF(SUM($C592:AJ592)&gt;0,AI269+1,0),0)</f>
        <v>0</v>
      </c>
      <c r="AK269" s="389">
        <f>IF(AK$2&lt;=analysis_period,IF(SUM($C592:AK592)&gt;0,AJ269+1,0),0)</f>
        <v>0</v>
      </c>
      <c r="AL269" s="389">
        <f>IF(AL$2&lt;=analysis_period,IF(SUM($C592:AL592)&gt;0,AK269+1,0),0)</f>
        <v>0</v>
      </c>
      <c r="AM269" s="389">
        <f>IF(AM$2&lt;=analysis_period,IF(SUM($C592:AM592)&gt;0,AL269+1,0),0)</f>
        <v>0</v>
      </c>
      <c r="AN269" s="389">
        <f>IF(AN$2&lt;=analysis_period,IF(SUM($C592:AN592)&gt;0,AM269+1,0),0)</f>
        <v>0</v>
      </c>
      <c r="AO269" s="389">
        <f>IF(AO$2&lt;=analysis_period,IF(SUM($C592:AO592)&gt;0,AN269+1,0),0)</f>
        <v>0</v>
      </c>
      <c r="AP269" s="389">
        <f>IF(AP$2&lt;=analysis_period,IF(SUM($C592:AP592)&gt;0,AO269+1,0),0)</f>
        <v>0</v>
      </c>
    </row>
    <row r="270" spans="1:42" x14ac:dyDescent="0.2">
      <c r="A270" s="7">
        <f>A269+1</f>
        <v>9</v>
      </c>
      <c r="C270" s="389">
        <f>IF(C$2&lt;=analysis_period,IF(SUM($C593:C593)&gt;0,B270+1,0),0)</f>
        <v>0</v>
      </c>
      <c r="D270" s="389">
        <f>IF(D$2&lt;=analysis_period,IF(SUM($C593:D593)&gt;0,C270+1,0),0)</f>
        <v>0</v>
      </c>
      <c r="E270" s="389">
        <f>IF(E$2&lt;=analysis_period,IF(SUM($C593:E593)&gt;0,D270+1,0),0)</f>
        <v>0</v>
      </c>
      <c r="F270" s="389">
        <f>IF(F$2&lt;=analysis_period,IF(SUM($C593:F593)&gt;0,E270+1,0),0)</f>
        <v>0</v>
      </c>
      <c r="G270" s="389">
        <f>IF(G$2&lt;=analysis_period,IF(SUM($C593:G593)&gt;0,F270+1,0),0)</f>
        <v>0</v>
      </c>
      <c r="H270" s="389">
        <f>IF(H$2&lt;=analysis_period,IF(SUM($C593:H593)&gt;0,G270+1,0),0)</f>
        <v>0</v>
      </c>
      <c r="I270" s="389">
        <f>IF(I$2&lt;=analysis_period,IF(SUM($C593:I593)&gt;0,H270+1,0),0)</f>
        <v>0</v>
      </c>
      <c r="J270" s="389">
        <f>IF(J$2&lt;=analysis_period,IF(SUM($C593:J593)&gt;0,I270+1,0),0)</f>
        <v>0</v>
      </c>
      <c r="K270" s="389">
        <f>IF(K$2&lt;=analysis_period,IF(SUM($C593:K593)&gt;0,J270+1,0),0)</f>
        <v>0</v>
      </c>
      <c r="L270" s="389">
        <f>IF(L$2&lt;=analysis_period,IF(SUM($C593:L593)&gt;0,K270+1,0),0)</f>
        <v>0</v>
      </c>
      <c r="M270" s="389">
        <f>IF(M$2&lt;=analysis_period,IF(SUM($C593:M593)&gt;0,L270+1,0),0)</f>
        <v>0</v>
      </c>
      <c r="N270" s="389">
        <f>IF(N$2&lt;=analysis_period,IF(SUM($C593:N593)&gt;0,M270+1,0),0)</f>
        <v>0</v>
      </c>
      <c r="O270" s="389">
        <f>IF(O$2&lt;=analysis_period,IF(SUM($C593:O593)&gt;0,N270+1,0),0)</f>
        <v>0</v>
      </c>
      <c r="P270" s="389">
        <f>IF(P$2&lt;=analysis_period,IF(SUM($C593:P593)&gt;0,O270+1,0),0)</f>
        <v>0</v>
      </c>
      <c r="Q270" s="389">
        <f>IF(Q$2&lt;=analysis_period,IF(SUM($C593:Q593)&gt;0,P270+1,0),0)</f>
        <v>0</v>
      </c>
      <c r="R270" s="389">
        <f>IF(R$2&lt;=analysis_period,IF(SUM($C593:R593)&gt;0,Q270+1,0),0)</f>
        <v>0</v>
      </c>
      <c r="S270" s="389">
        <f>IF(S$2&lt;=analysis_period,IF(SUM($C593:S593)&gt;0,R270+1,0),0)</f>
        <v>0</v>
      </c>
      <c r="T270" s="389">
        <f>IF(T$2&lt;=analysis_period,IF(SUM($C593:T593)&gt;0,S270+1,0),0)</f>
        <v>0</v>
      </c>
      <c r="U270" s="389">
        <f>IF(U$2&lt;=analysis_period,IF(SUM($C593:U593)&gt;0,T270+1,0),0)</f>
        <v>0</v>
      </c>
      <c r="V270" s="389">
        <f>IF(V$2&lt;=analysis_period,IF(SUM($C593:V593)&gt;0,U270+1,0),0)</f>
        <v>0</v>
      </c>
      <c r="W270" s="389">
        <f>IF(W$2&lt;=analysis_period,IF(SUM($C593:W593)&gt;0,V270+1,0),0)</f>
        <v>0</v>
      </c>
      <c r="X270" s="389">
        <f>IF(X$2&lt;=analysis_period,IF(SUM($C593:X593)&gt;0,W270+1,0),0)</f>
        <v>0</v>
      </c>
      <c r="Y270" s="389">
        <f>IF(Y$2&lt;=analysis_period,IF(SUM($C593:Y593)&gt;0,X270+1,0),0)</f>
        <v>0</v>
      </c>
      <c r="Z270" s="389">
        <f>IF(Z$2&lt;=analysis_period,IF(SUM($C593:Z593)&gt;0,Y270+1,0),0)</f>
        <v>0</v>
      </c>
      <c r="AA270" s="389">
        <f>IF(AA$2&lt;=analysis_period,IF(SUM($C593:AA593)&gt;0,Z270+1,0),0)</f>
        <v>0</v>
      </c>
      <c r="AB270" s="389">
        <f>IF(AB$2&lt;=analysis_period,IF(SUM($C593:AB593)&gt;0,AA270+1,0),0)</f>
        <v>0</v>
      </c>
      <c r="AC270" s="389">
        <f>IF(AC$2&lt;=analysis_period,IF(SUM($C593:AC593)&gt;0,AB270+1,0),0)</f>
        <v>0</v>
      </c>
      <c r="AD270" s="389">
        <f>IF(AD$2&lt;=analysis_period,IF(SUM($C593:AD593)&gt;0,AC270+1,0),0)</f>
        <v>0</v>
      </c>
      <c r="AE270" s="389">
        <f>IF(AE$2&lt;=analysis_period,IF(SUM($C593:AE593)&gt;0,AD270+1,0),0)</f>
        <v>0</v>
      </c>
      <c r="AF270" s="389">
        <f>IF(AF$2&lt;=analysis_period,IF(SUM($C593:AF593)&gt;0,AE270+1,0),0)</f>
        <v>0</v>
      </c>
      <c r="AG270" s="389">
        <f>IF(AG$2&lt;=analysis_period,IF(SUM($C593:AG593)&gt;0,AF270+1,0),0)</f>
        <v>0</v>
      </c>
      <c r="AH270" s="389">
        <f>IF(AH$2&lt;=analysis_period,IF(SUM($C593:AH593)&gt;0,AG270+1,0),0)</f>
        <v>0</v>
      </c>
      <c r="AI270" s="389">
        <f>IF(AI$2&lt;=analysis_period,IF(SUM($C593:AI593)&gt;0,AH270+1,0),0)</f>
        <v>0</v>
      </c>
      <c r="AJ270" s="389">
        <f>IF(AJ$2&lt;=analysis_period,IF(SUM($C593:AJ593)&gt;0,AI270+1,0),0)</f>
        <v>0</v>
      </c>
      <c r="AK270" s="389">
        <f>IF(AK$2&lt;=analysis_period,IF(SUM($C593:AK593)&gt;0,AJ270+1,0),0)</f>
        <v>0</v>
      </c>
      <c r="AL270" s="389">
        <f>IF(AL$2&lt;=analysis_period,IF(SUM($C593:AL593)&gt;0,AK270+1,0),0)</f>
        <v>0</v>
      </c>
      <c r="AM270" s="389">
        <f>IF(AM$2&lt;=analysis_period,IF(SUM($C593:AM593)&gt;0,AL270+1,0),0)</f>
        <v>0</v>
      </c>
      <c r="AN270" s="389">
        <f>IF(AN$2&lt;=analysis_period,IF(SUM($C593:AN593)&gt;0,AM270+1,0),0)</f>
        <v>0</v>
      </c>
      <c r="AO270" s="389">
        <f>IF(AO$2&lt;=analysis_period,IF(SUM($C593:AO593)&gt;0,AN270+1,0),0)</f>
        <v>0</v>
      </c>
      <c r="AP270" s="389">
        <f>IF(AP$2&lt;=analysis_period,IF(SUM($C593:AP593)&gt;0,AO270+1,0),0)</f>
        <v>0</v>
      </c>
    </row>
    <row r="271" spans="1:42" x14ac:dyDescent="0.2">
      <c r="A271" s="7">
        <f t="shared" si="122"/>
        <v>10</v>
      </c>
      <c r="C271" s="389">
        <f>IF(C$2&lt;=analysis_period,IF(SUM($C594:C594)&gt;0,B271+1,0),0)</f>
        <v>0</v>
      </c>
      <c r="D271" s="389">
        <f>IF(D$2&lt;=analysis_period,IF(SUM($C594:D594)&gt;0,C271+1,0),0)</f>
        <v>0</v>
      </c>
      <c r="E271" s="389">
        <f>IF(E$2&lt;=analysis_period,IF(SUM($C594:E594)&gt;0,D271+1,0),0)</f>
        <v>0</v>
      </c>
      <c r="F271" s="389">
        <f>IF(F$2&lt;=analysis_period,IF(SUM($C594:F594)&gt;0,E271+1,0),0)</f>
        <v>0</v>
      </c>
      <c r="G271" s="389">
        <f>IF(G$2&lt;=analysis_period,IF(SUM($C594:G594)&gt;0,F271+1,0),0)</f>
        <v>0</v>
      </c>
      <c r="H271" s="389">
        <f>IF(H$2&lt;=analysis_period,IF(SUM($C594:H594)&gt;0,G271+1,0),0)</f>
        <v>0</v>
      </c>
      <c r="I271" s="389">
        <f>IF(I$2&lt;=analysis_period,IF(SUM($C594:I594)&gt;0,H271+1,0),0)</f>
        <v>0</v>
      </c>
      <c r="J271" s="389">
        <f>IF(J$2&lt;=analysis_period,IF(SUM($C594:J594)&gt;0,I271+1,0),0)</f>
        <v>0</v>
      </c>
      <c r="K271" s="389">
        <f>IF(K$2&lt;=analysis_period,IF(SUM($C594:K594)&gt;0,J271+1,0),0)</f>
        <v>0</v>
      </c>
      <c r="L271" s="389">
        <f>IF(L$2&lt;=analysis_period,IF(SUM($C594:L594)&gt;0,K271+1,0),0)</f>
        <v>0</v>
      </c>
      <c r="M271" s="389">
        <f>IF(M$2&lt;=analysis_period,IF(SUM($C594:M594)&gt;0,L271+1,0),0)</f>
        <v>0</v>
      </c>
      <c r="N271" s="389">
        <f>IF(N$2&lt;=analysis_period,IF(SUM($C594:N594)&gt;0,M271+1,0),0)</f>
        <v>0</v>
      </c>
      <c r="O271" s="389">
        <f>IF(O$2&lt;=analysis_period,IF(SUM($C594:O594)&gt;0,N271+1,0),0)</f>
        <v>0</v>
      </c>
      <c r="P271" s="389">
        <f>IF(P$2&lt;=analysis_period,IF(SUM($C594:P594)&gt;0,O271+1,0),0)</f>
        <v>0</v>
      </c>
      <c r="Q271" s="389">
        <f>IF(Q$2&lt;=analysis_period,IF(SUM($C594:Q594)&gt;0,P271+1,0),0)</f>
        <v>0</v>
      </c>
      <c r="R271" s="389">
        <f>IF(R$2&lt;=analysis_period,IF(SUM($C594:R594)&gt;0,Q271+1,0),0)</f>
        <v>0</v>
      </c>
      <c r="S271" s="389">
        <f>IF(S$2&lt;=analysis_period,IF(SUM($C594:S594)&gt;0,R271+1,0),0)</f>
        <v>0</v>
      </c>
      <c r="T271" s="389">
        <f>IF(T$2&lt;=analysis_period,IF(SUM($C594:T594)&gt;0,S271+1,0),0)</f>
        <v>0</v>
      </c>
      <c r="U271" s="389">
        <f>IF(U$2&lt;=analysis_period,IF(SUM($C594:U594)&gt;0,T271+1,0),0)</f>
        <v>0</v>
      </c>
      <c r="V271" s="389">
        <f>IF(V$2&lt;=analysis_period,IF(SUM($C594:V594)&gt;0,U271+1,0),0)</f>
        <v>0</v>
      </c>
      <c r="W271" s="389">
        <f>IF(W$2&lt;=analysis_period,IF(SUM($C594:W594)&gt;0,V271+1,0),0)</f>
        <v>0</v>
      </c>
      <c r="X271" s="389">
        <f>IF(X$2&lt;=analysis_period,IF(SUM($C594:X594)&gt;0,W271+1,0),0)</f>
        <v>0</v>
      </c>
      <c r="Y271" s="389">
        <f>IF(Y$2&lt;=analysis_period,IF(SUM($C594:Y594)&gt;0,X271+1,0),0)</f>
        <v>0</v>
      </c>
      <c r="Z271" s="389">
        <f>IF(Z$2&lt;=analysis_period,IF(SUM($C594:Z594)&gt;0,Y271+1,0),0)</f>
        <v>0</v>
      </c>
      <c r="AA271" s="389">
        <f>IF(AA$2&lt;=analysis_period,IF(SUM($C594:AA594)&gt;0,Z271+1,0),0)</f>
        <v>0</v>
      </c>
      <c r="AB271" s="389">
        <f>IF(AB$2&lt;=analysis_period,IF(SUM($C594:AB594)&gt;0,AA271+1,0),0)</f>
        <v>0</v>
      </c>
      <c r="AC271" s="389">
        <f>IF(AC$2&lt;=analysis_period,IF(SUM($C594:AC594)&gt;0,AB271+1,0),0)</f>
        <v>0</v>
      </c>
      <c r="AD271" s="389">
        <f>IF(AD$2&lt;=analysis_period,IF(SUM($C594:AD594)&gt;0,AC271+1,0),0)</f>
        <v>0</v>
      </c>
      <c r="AE271" s="389">
        <f>IF(AE$2&lt;=analysis_period,IF(SUM($C594:AE594)&gt;0,AD271+1,0),0)</f>
        <v>0</v>
      </c>
      <c r="AF271" s="389">
        <f>IF(AF$2&lt;=analysis_period,IF(SUM($C594:AF594)&gt;0,AE271+1,0),0)</f>
        <v>0</v>
      </c>
      <c r="AG271" s="389">
        <f>IF(AG$2&lt;=analysis_period,IF(SUM($C594:AG594)&gt;0,AF271+1,0),0)</f>
        <v>0</v>
      </c>
      <c r="AH271" s="389">
        <f>IF(AH$2&lt;=analysis_period,IF(SUM($C594:AH594)&gt;0,AG271+1,0),0)</f>
        <v>0</v>
      </c>
      <c r="AI271" s="389">
        <f>IF(AI$2&lt;=analysis_period,IF(SUM($C594:AI594)&gt;0,AH271+1,0),0)</f>
        <v>0</v>
      </c>
      <c r="AJ271" s="389">
        <f>IF(AJ$2&lt;=analysis_period,IF(SUM($C594:AJ594)&gt;0,AI271+1,0),0)</f>
        <v>0</v>
      </c>
      <c r="AK271" s="389">
        <f>IF(AK$2&lt;=analysis_period,IF(SUM($C594:AK594)&gt;0,AJ271+1,0),0)</f>
        <v>0</v>
      </c>
      <c r="AL271" s="389">
        <f>IF(AL$2&lt;=analysis_period,IF(SUM($C594:AL594)&gt;0,AK271+1,0),0)</f>
        <v>0</v>
      </c>
      <c r="AM271" s="389">
        <f>IF(AM$2&lt;=analysis_period,IF(SUM($C594:AM594)&gt;0,AL271+1,0),0)</f>
        <v>0</v>
      </c>
      <c r="AN271" s="389">
        <f>IF(AN$2&lt;=analysis_period,IF(SUM($C594:AN594)&gt;0,AM271+1,0),0)</f>
        <v>0</v>
      </c>
      <c r="AO271" s="389">
        <f>IF(AO$2&lt;=analysis_period,IF(SUM($C594:AO594)&gt;0,AN271+1,0),0)</f>
        <v>0</v>
      </c>
      <c r="AP271" s="389">
        <f>IF(AP$2&lt;=analysis_period,IF(SUM($C594:AP594)&gt;0,AO271+1,0),0)</f>
        <v>0</v>
      </c>
    </row>
    <row r="272" spans="1:42" x14ac:dyDescent="0.2">
      <c r="A272" s="40" t="s">
        <v>125</v>
      </c>
      <c r="C272" s="36"/>
      <c r="D272" s="36"/>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row>
    <row r="273" spans="1:42" x14ac:dyDescent="0.2">
      <c r="A273" s="7">
        <v>1</v>
      </c>
      <c r="B273" s="409">
        <f t="shared" ref="B273:B282" si="123">SUM(C273:AP273)</f>
        <v>328021664.45031649</v>
      </c>
      <c r="C273" s="389">
        <f t="shared" ref="C273:AP273" si="124">LOOKUP(C262,$B$257:$AP$257,$B$258:$AP$258)*$B585</f>
        <v>0</v>
      </c>
      <c r="D273" s="389">
        <f t="shared" si="124"/>
        <v>0</v>
      </c>
      <c r="E273" s="389">
        <f t="shared" si="124"/>
        <v>0</v>
      </c>
      <c r="F273" s="389">
        <f t="shared" si="124"/>
        <v>0</v>
      </c>
      <c r="G273" s="389">
        <f t="shared" si="124"/>
        <v>0</v>
      </c>
      <c r="H273" s="389">
        <f t="shared" si="124"/>
        <v>0</v>
      </c>
      <c r="I273" s="389">
        <f t="shared" si="124"/>
        <v>0</v>
      </c>
      <c r="J273" s="389">
        <f t="shared" si="124"/>
        <v>0</v>
      </c>
      <c r="K273" s="389">
        <f t="shared" si="124"/>
        <v>0</v>
      </c>
      <c r="L273" s="389">
        <f t="shared" si="124"/>
        <v>0</v>
      </c>
      <c r="M273" s="389">
        <f t="shared" si="124"/>
        <v>0</v>
      </c>
      <c r="N273" s="389">
        <f t="shared" si="124"/>
        <v>65604332.890063301</v>
      </c>
      <c r="O273" s="389">
        <f t="shared" si="124"/>
        <v>104966932.62410128</v>
      </c>
      <c r="P273" s="389">
        <f t="shared" si="124"/>
        <v>62980159.574460767</v>
      </c>
      <c r="Q273" s="389">
        <f t="shared" si="124"/>
        <v>37788095.744676463</v>
      </c>
      <c r="R273" s="389">
        <f t="shared" si="124"/>
        <v>37788095.744676463</v>
      </c>
      <c r="S273" s="389">
        <f t="shared" si="124"/>
        <v>18894047.872338232</v>
      </c>
      <c r="T273" s="389">
        <f t="shared" si="124"/>
        <v>0</v>
      </c>
      <c r="U273" s="389">
        <f t="shared" si="124"/>
        <v>0</v>
      </c>
      <c r="V273" s="389">
        <f t="shared" si="124"/>
        <v>0</v>
      </c>
      <c r="W273" s="389">
        <f t="shared" si="124"/>
        <v>0</v>
      </c>
      <c r="X273" s="389">
        <f t="shared" si="124"/>
        <v>0</v>
      </c>
      <c r="Y273" s="389">
        <f t="shared" si="124"/>
        <v>0</v>
      </c>
      <c r="Z273" s="389">
        <f t="shared" si="124"/>
        <v>0</v>
      </c>
      <c r="AA273" s="389">
        <f t="shared" si="124"/>
        <v>0</v>
      </c>
      <c r="AB273" s="389">
        <f t="shared" si="124"/>
        <v>0</v>
      </c>
      <c r="AC273" s="389">
        <f t="shared" si="124"/>
        <v>0</v>
      </c>
      <c r="AD273" s="389">
        <f t="shared" si="124"/>
        <v>0</v>
      </c>
      <c r="AE273" s="389">
        <f t="shared" si="124"/>
        <v>0</v>
      </c>
      <c r="AF273" s="389">
        <f t="shared" si="124"/>
        <v>0</v>
      </c>
      <c r="AG273" s="389">
        <f t="shared" si="124"/>
        <v>0</v>
      </c>
      <c r="AH273" s="389">
        <f t="shared" si="124"/>
        <v>0</v>
      </c>
      <c r="AI273" s="389">
        <f t="shared" si="124"/>
        <v>0</v>
      </c>
      <c r="AJ273" s="389">
        <f t="shared" si="124"/>
        <v>0</v>
      </c>
      <c r="AK273" s="389">
        <f t="shared" si="124"/>
        <v>0</v>
      </c>
      <c r="AL273" s="389">
        <f t="shared" si="124"/>
        <v>0</v>
      </c>
      <c r="AM273" s="389">
        <f t="shared" si="124"/>
        <v>0</v>
      </c>
      <c r="AN273" s="389">
        <f t="shared" si="124"/>
        <v>0</v>
      </c>
      <c r="AO273" s="389">
        <f t="shared" si="124"/>
        <v>0</v>
      </c>
      <c r="AP273" s="389">
        <f t="shared" si="124"/>
        <v>0</v>
      </c>
    </row>
    <row r="274" spans="1:42" x14ac:dyDescent="0.2">
      <c r="A274" s="7">
        <f>A273+1</f>
        <v>2</v>
      </c>
      <c r="B274" s="409">
        <f t="shared" si="123"/>
        <v>229399388.72754788</v>
      </c>
      <c r="C274" s="389">
        <f t="shared" ref="C274:AP274" si="125">LOOKUP(C263,$B$257:$AP$257,$B$258:$AP$258)*$B586</f>
        <v>0</v>
      </c>
      <c r="D274" s="389">
        <f t="shared" si="125"/>
        <v>0</v>
      </c>
      <c r="E274" s="389">
        <f t="shared" si="125"/>
        <v>0</v>
      </c>
      <c r="F274" s="389">
        <f t="shared" si="125"/>
        <v>0</v>
      </c>
      <c r="G274" s="389">
        <f t="shared" si="125"/>
        <v>0</v>
      </c>
      <c r="H274" s="389">
        <f t="shared" si="125"/>
        <v>0</v>
      </c>
      <c r="I274" s="389">
        <f t="shared" si="125"/>
        <v>0</v>
      </c>
      <c r="J274" s="389">
        <f t="shared" si="125"/>
        <v>0</v>
      </c>
      <c r="K274" s="389">
        <f t="shared" si="125"/>
        <v>0</v>
      </c>
      <c r="L274" s="389">
        <f t="shared" si="125"/>
        <v>0</v>
      </c>
      <c r="M274" s="389">
        <f t="shared" si="125"/>
        <v>0</v>
      </c>
      <c r="N274" s="389">
        <f t="shared" si="125"/>
        <v>0</v>
      </c>
      <c r="O274" s="389">
        <f t="shared" si="125"/>
        <v>0</v>
      </c>
      <c r="P274" s="389">
        <f t="shared" si="125"/>
        <v>0</v>
      </c>
      <c r="Q274" s="389">
        <f t="shared" si="125"/>
        <v>0</v>
      </c>
      <c r="R274" s="389">
        <f t="shared" si="125"/>
        <v>0</v>
      </c>
      <c r="S274" s="389">
        <f t="shared" si="125"/>
        <v>0</v>
      </c>
      <c r="T274" s="389">
        <f t="shared" si="125"/>
        <v>0</v>
      </c>
      <c r="U274" s="389">
        <f t="shared" si="125"/>
        <v>0</v>
      </c>
      <c r="V274" s="389">
        <f t="shared" si="125"/>
        <v>0</v>
      </c>
      <c r="W274" s="389">
        <f t="shared" si="125"/>
        <v>0</v>
      </c>
      <c r="X274" s="389">
        <f t="shared" si="125"/>
        <v>0</v>
      </c>
      <c r="Y274" s="389">
        <f t="shared" si="125"/>
        <v>0</v>
      </c>
      <c r="Z274" s="389">
        <f t="shared" si="125"/>
        <v>88230534.12597996</v>
      </c>
      <c r="AA274" s="389">
        <f t="shared" si="125"/>
        <v>141168854.60156792</v>
      </c>
      <c r="AB274" s="389">
        <f t="shared" si="125"/>
        <v>0</v>
      </c>
      <c r="AC274" s="389">
        <f t="shared" si="125"/>
        <v>0</v>
      </c>
      <c r="AD274" s="389">
        <f t="shared" si="125"/>
        <v>0</v>
      </c>
      <c r="AE274" s="389">
        <f t="shared" si="125"/>
        <v>0</v>
      </c>
      <c r="AF274" s="389">
        <f t="shared" si="125"/>
        <v>0</v>
      </c>
      <c r="AG274" s="389">
        <f t="shared" si="125"/>
        <v>0</v>
      </c>
      <c r="AH274" s="389">
        <f t="shared" si="125"/>
        <v>0</v>
      </c>
      <c r="AI274" s="389">
        <f t="shared" si="125"/>
        <v>0</v>
      </c>
      <c r="AJ274" s="389">
        <f t="shared" si="125"/>
        <v>0</v>
      </c>
      <c r="AK274" s="389">
        <f t="shared" si="125"/>
        <v>0</v>
      </c>
      <c r="AL274" s="389">
        <f t="shared" si="125"/>
        <v>0</v>
      </c>
      <c r="AM274" s="389">
        <f t="shared" si="125"/>
        <v>0</v>
      </c>
      <c r="AN274" s="389">
        <f t="shared" si="125"/>
        <v>0</v>
      </c>
      <c r="AO274" s="389">
        <f t="shared" si="125"/>
        <v>0</v>
      </c>
      <c r="AP274" s="389">
        <f t="shared" si="125"/>
        <v>0</v>
      </c>
    </row>
    <row r="275" spans="1:42" x14ac:dyDescent="0.2">
      <c r="A275" s="7">
        <f t="shared" ref="A275:A282" si="126">A274+1</f>
        <v>3</v>
      </c>
      <c r="B275" s="409">
        <f t="shared" si="123"/>
        <v>0</v>
      </c>
      <c r="C275" s="389">
        <f t="shared" ref="C275:AP275" si="127">LOOKUP(C264,$B$257:$AP$257,$B$258:$AP$258)*$B587</f>
        <v>0</v>
      </c>
      <c r="D275" s="389">
        <f t="shared" si="127"/>
        <v>0</v>
      </c>
      <c r="E275" s="389">
        <f t="shared" si="127"/>
        <v>0</v>
      </c>
      <c r="F275" s="389">
        <f t="shared" si="127"/>
        <v>0</v>
      </c>
      <c r="G275" s="389">
        <f t="shared" si="127"/>
        <v>0</v>
      </c>
      <c r="H275" s="389">
        <f t="shared" si="127"/>
        <v>0</v>
      </c>
      <c r="I275" s="389">
        <f t="shared" si="127"/>
        <v>0</v>
      </c>
      <c r="J275" s="389">
        <f t="shared" si="127"/>
        <v>0</v>
      </c>
      <c r="K275" s="389">
        <f t="shared" si="127"/>
        <v>0</v>
      </c>
      <c r="L275" s="389">
        <f t="shared" si="127"/>
        <v>0</v>
      </c>
      <c r="M275" s="389">
        <f t="shared" si="127"/>
        <v>0</v>
      </c>
      <c r="N275" s="389">
        <f t="shared" si="127"/>
        <v>0</v>
      </c>
      <c r="O275" s="389">
        <f t="shared" si="127"/>
        <v>0</v>
      </c>
      <c r="P275" s="389">
        <f t="shared" si="127"/>
        <v>0</v>
      </c>
      <c r="Q275" s="389">
        <f t="shared" si="127"/>
        <v>0</v>
      </c>
      <c r="R275" s="389">
        <f t="shared" si="127"/>
        <v>0</v>
      </c>
      <c r="S275" s="389">
        <f t="shared" si="127"/>
        <v>0</v>
      </c>
      <c r="T275" s="389">
        <f t="shared" si="127"/>
        <v>0</v>
      </c>
      <c r="U275" s="389">
        <f t="shared" si="127"/>
        <v>0</v>
      </c>
      <c r="V275" s="389">
        <f t="shared" si="127"/>
        <v>0</v>
      </c>
      <c r="W275" s="389">
        <f t="shared" si="127"/>
        <v>0</v>
      </c>
      <c r="X275" s="389">
        <f t="shared" si="127"/>
        <v>0</v>
      </c>
      <c r="Y275" s="389">
        <f t="shared" si="127"/>
        <v>0</v>
      </c>
      <c r="Z275" s="389">
        <f t="shared" si="127"/>
        <v>0</v>
      </c>
      <c r="AA275" s="389">
        <f t="shared" si="127"/>
        <v>0</v>
      </c>
      <c r="AB275" s="389">
        <f t="shared" si="127"/>
        <v>0</v>
      </c>
      <c r="AC275" s="389">
        <f t="shared" si="127"/>
        <v>0</v>
      </c>
      <c r="AD275" s="389">
        <f t="shared" si="127"/>
        <v>0</v>
      </c>
      <c r="AE275" s="389">
        <f t="shared" si="127"/>
        <v>0</v>
      </c>
      <c r="AF275" s="389">
        <f t="shared" si="127"/>
        <v>0</v>
      </c>
      <c r="AG275" s="389">
        <f t="shared" si="127"/>
        <v>0</v>
      </c>
      <c r="AH275" s="389">
        <f t="shared" si="127"/>
        <v>0</v>
      </c>
      <c r="AI275" s="389">
        <f t="shared" si="127"/>
        <v>0</v>
      </c>
      <c r="AJ275" s="389">
        <f t="shared" si="127"/>
        <v>0</v>
      </c>
      <c r="AK275" s="389">
        <f t="shared" si="127"/>
        <v>0</v>
      </c>
      <c r="AL275" s="389">
        <f t="shared" si="127"/>
        <v>0</v>
      </c>
      <c r="AM275" s="389">
        <f t="shared" si="127"/>
        <v>0</v>
      </c>
      <c r="AN275" s="389">
        <f t="shared" si="127"/>
        <v>0</v>
      </c>
      <c r="AO275" s="389">
        <f t="shared" si="127"/>
        <v>0</v>
      </c>
      <c r="AP275" s="389">
        <f t="shared" si="127"/>
        <v>0</v>
      </c>
    </row>
    <row r="276" spans="1:42" x14ac:dyDescent="0.2">
      <c r="A276" s="7">
        <f t="shared" si="126"/>
        <v>4</v>
      </c>
      <c r="B276" s="409">
        <f t="shared" si="123"/>
        <v>0</v>
      </c>
      <c r="C276" s="389">
        <f t="shared" ref="C276:AP276" si="128">LOOKUP(C265,$B$257:$AP$257,$B$258:$AP$258)*$B588</f>
        <v>0</v>
      </c>
      <c r="D276" s="389">
        <f t="shared" si="128"/>
        <v>0</v>
      </c>
      <c r="E276" s="389">
        <f t="shared" si="128"/>
        <v>0</v>
      </c>
      <c r="F276" s="389">
        <f t="shared" si="128"/>
        <v>0</v>
      </c>
      <c r="G276" s="389">
        <f t="shared" si="128"/>
        <v>0</v>
      </c>
      <c r="H276" s="389">
        <f t="shared" si="128"/>
        <v>0</v>
      </c>
      <c r="I276" s="389">
        <f t="shared" si="128"/>
        <v>0</v>
      </c>
      <c r="J276" s="389">
        <f t="shared" si="128"/>
        <v>0</v>
      </c>
      <c r="K276" s="389">
        <f t="shared" si="128"/>
        <v>0</v>
      </c>
      <c r="L276" s="389">
        <f t="shared" si="128"/>
        <v>0</v>
      </c>
      <c r="M276" s="389">
        <f t="shared" si="128"/>
        <v>0</v>
      </c>
      <c r="N276" s="389">
        <f t="shared" si="128"/>
        <v>0</v>
      </c>
      <c r="O276" s="389">
        <f t="shared" si="128"/>
        <v>0</v>
      </c>
      <c r="P276" s="389">
        <f t="shared" si="128"/>
        <v>0</v>
      </c>
      <c r="Q276" s="389">
        <f t="shared" si="128"/>
        <v>0</v>
      </c>
      <c r="R276" s="389">
        <f t="shared" si="128"/>
        <v>0</v>
      </c>
      <c r="S276" s="389">
        <f t="shared" si="128"/>
        <v>0</v>
      </c>
      <c r="T276" s="389">
        <f t="shared" si="128"/>
        <v>0</v>
      </c>
      <c r="U276" s="389">
        <f t="shared" si="128"/>
        <v>0</v>
      </c>
      <c r="V276" s="389">
        <f t="shared" si="128"/>
        <v>0</v>
      </c>
      <c r="W276" s="389">
        <f t="shared" si="128"/>
        <v>0</v>
      </c>
      <c r="X276" s="389">
        <f t="shared" si="128"/>
        <v>0</v>
      </c>
      <c r="Y276" s="389">
        <f t="shared" si="128"/>
        <v>0</v>
      </c>
      <c r="Z276" s="389">
        <f t="shared" si="128"/>
        <v>0</v>
      </c>
      <c r="AA276" s="389">
        <f t="shared" si="128"/>
        <v>0</v>
      </c>
      <c r="AB276" s="389">
        <f t="shared" si="128"/>
        <v>0</v>
      </c>
      <c r="AC276" s="389">
        <f t="shared" si="128"/>
        <v>0</v>
      </c>
      <c r="AD276" s="389">
        <f t="shared" si="128"/>
        <v>0</v>
      </c>
      <c r="AE276" s="389">
        <f t="shared" si="128"/>
        <v>0</v>
      </c>
      <c r="AF276" s="389">
        <f t="shared" si="128"/>
        <v>0</v>
      </c>
      <c r="AG276" s="389">
        <f t="shared" si="128"/>
        <v>0</v>
      </c>
      <c r="AH276" s="389">
        <f t="shared" si="128"/>
        <v>0</v>
      </c>
      <c r="AI276" s="389">
        <f t="shared" si="128"/>
        <v>0</v>
      </c>
      <c r="AJ276" s="389">
        <f t="shared" si="128"/>
        <v>0</v>
      </c>
      <c r="AK276" s="389">
        <f t="shared" si="128"/>
        <v>0</v>
      </c>
      <c r="AL276" s="389">
        <f t="shared" si="128"/>
        <v>0</v>
      </c>
      <c r="AM276" s="389">
        <f t="shared" si="128"/>
        <v>0</v>
      </c>
      <c r="AN276" s="389">
        <f t="shared" si="128"/>
        <v>0</v>
      </c>
      <c r="AO276" s="389">
        <f t="shared" si="128"/>
        <v>0</v>
      </c>
      <c r="AP276" s="389">
        <f t="shared" si="128"/>
        <v>0</v>
      </c>
    </row>
    <row r="277" spans="1:42" x14ac:dyDescent="0.2">
      <c r="A277" s="7">
        <f t="shared" si="126"/>
        <v>5</v>
      </c>
      <c r="B277" s="409">
        <f t="shared" si="123"/>
        <v>0</v>
      </c>
      <c r="C277" s="389">
        <f t="shared" ref="C277:AP277" si="129">LOOKUP(C266,$B$257:$AP$257,$B$258:$AP$258)*$B589</f>
        <v>0</v>
      </c>
      <c r="D277" s="389">
        <f t="shared" si="129"/>
        <v>0</v>
      </c>
      <c r="E277" s="389">
        <f t="shared" si="129"/>
        <v>0</v>
      </c>
      <c r="F277" s="389">
        <f t="shared" si="129"/>
        <v>0</v>
      </c>
      <c r="G277" s="389">
        <f t="shared" si="129"/>
        <v>0</v>
      </c>
      <c r="H277" s="389">
        <f t="shared" si="129"/>
        <v>0</v>
      </c>
      <c r="I277" s="389">
        <f t="shared" si="129"/>
        <v>0</v>
      </c>
      <c r="J277" s="389">
        <f t="shared" si="129"/>
        <v>0</v>
      </c>
      <c r="K277" s="389">
        <f t="shared" si="129"/>
        <v>0</v>
      </c>
      <c r="L277" s="389">
        <f t="shared" si="129"/>
        <v>0</v>
      </c>
      <c r="M277" s="389">
        <f t="shared" si="129"/>
        <v>0</v>
      </c>
      <c r="N277" s="389">
        <f t="shared" si="129"/>
        <v>0</v>
      </c>
      <c r="O277" s="389">
        <f t="shared" si="129"/>
        <v>0</v>
      </c>
      <c r="P277" s="389">
        <f t="shared" si="129"/>
        <v>0</v>
      </c>
      <c r="Q277" s="389">
        <f t="shared" si="129"/>
        <v>0</v>
      </c>
      <c r="R277" s="389">
        <f t="shared" si="129"/>
        <v>0</v>
      </c>
      <c r="S277" s="389">
        <f t="shared" si="129"/>
        <v>0</v>
      </c>
      <c r="T277" s="389">
        <f t="shared" si="129"/>
        <v>0</v>
      </c>
      <c r="U277" s="389">
        <f t="shared" si="129"/>
        <v>0</v>
      </c>
      <c r="V277" s="389">
        <f t="shared" si="129"/>
        <v>0</v>
      </c>
      <c r="W277" s="389">
        <f t="shared" si="129"/>
        <v>0</v>
      </c>
      <c r="X277" s="389">
        <f t="shared" si="129"/>
        <v>0</v>
      </c>
      <c r="Y277" s="389">
        <f t="shared" si="129"/>
        <v>0</v>
      </c>
      <c r="Z277" s="389">
        <f t="shared" si="129"/>
        <v>0</v>
      </c>
      <c r="AA277" s="389">
        <f t="shared" si="129"/>
        <v>0</v>
      </c>
      <c r="AB277" s="389">
        <f t="shared" si="129"/>
        <v>0</v>
      </c>
      <c r="AC277" s="389">
        <f t="shared" si="129"/>
        <v>0</v>
      </c>
      <c r="AD277" s="389">
        <f t="shared" si="129"/>
        <v>0</v>
      </c>
      <c r="AE277" s="389">
        <f t="shared" si="129"/>
        <v>0</v>
      </c>
      <c r="AF277" s="389">
        <f t="shared" si="129"/>
        <v>0</v>
      </c>
      <c r="AG277" s="389">
        <f t="shared" si="129"/>
        <v>0</v>
      </c>
      <c r="AH277" s="389">
        <f t="shared" si="129"/>
        <v>0</v>
      </c>
      <c r="AI277" s="389">
        <f t="shared" si="129"/>
        <v>0</v>
      </c>
      <c r="AJ277" s="389">
        <f t="shared" si="129"/>
        <v>0</v>
      </c>
      <c r="AK277" s="389">
        <f t="shared" si="129"/>
        <v>0</v>
      </c>
      <c r="AL277" s="389">
        <f t="shared" si="129"/>
        <v>0</v>
      </c>
      <c r="AM277" s="389">
        <f t="shared" si="129"/>
        <v>0</v>
      </c>
      <c r="AN277" s="389">
        <f t="shared" si="129"/>
        <v>0</v>
      </c>
      <c r="AO277" s="389">
        <f t="shared" si="129"/>
        <v>0</v>
      </c>
      <c r="AP277" s="389">
        <f t="shared" si="129"/>
        <v>0</v>
      </c>
    </row>
    <row r="278" spans="1:42" x14ac:dyDescent="0.2">
      <c r="A278" s="21">
        <f t="shared" si="126"/>
        <v>6</v>
      </c>
      <c r="B278" s="409">
        <f t="shared" si="123"/>
        <v>0</v>
      </c>
      <c r="C278" s="389">
        <f t="shared" ref="C278:AP278" si="130">LOOKUP(C267,$B$257:$AP$257,$B$258:$AP$258)*$B590</f>
        <v>0</v>
      </c>
      <c r="D278" s="389">
        <f t="shared" si="130"/>
        <v>0</v>
      </c>
      <c r="E278" s="389">
        <f t="shared" si="130"/>
        <v>0</v>
      </c>
      <c r="F278" s="389">
        <f t="shared" si="130"/>
        <v>0</v>
      </c>
      <c r="G278" s="389">
        <f t="shared" si="130"/>
        <v>0</v>
      </c>
      <c r="H278" s="389">
        <f t="shared" si="130"/>
        <v>0</v>
      </c>
      <c r="I278" s="389">
        <f t="shared" si="130"/>
        <v>0</v>
      </c>
      <c r="J278" s="389">
        <f t="shared" si="130"/>
        <v>0</v>
      </c>
      <c r="K278" s="389">
        <f t="shared" si="130"/>
        <v>0</v>
      </c>
      <c r="L278" s="389">
        <f t="shared" si="130"/>
        <v>0</v>
      </c>
      <c r="M278" s="389">
        <f t="shared" si="130"/>
        <v>0</v>
      </c>
      <c r="N278" s="389">
        <f t="shared" si="130"/>
        <v>0</v>
      </c>
      <c r="O278" s="389">
        <f t="shared" si="130"/>
        <v>0</v>
      </c>
      <c r="P278" s="389">
        <f t="shared" si="130"/>
        <v>0</v>
      </c>
      <c r="Q278" s="389">
        <f t="shared" si="130"/>
        <v>0</v>
      </c>
      <c r="R278" s="389">
        <f t="shared" si="130"/>
        <v>0</v>
      </c>
      <c r="S278" s="389">
        <f t="shared" si="130"/>
        <v>0</v>
      </c>
      <c r="T278" s="389">
        <f t="shared" si="130"/>
        <v>0</v>
      </c>
      <c r="U278" s="389">
        <f t="shared" si="130"/>
        <v>0</v>
      </c>
      <c r="V278" s="389">
        <f t="shared" si="130"/>
        <v>0</v>
      </c>
      <c r="W278" s="389">
        <f t="shared" si="130"/>
        <v>0</v>
      </c>
      <c r="X278" s="389">
        <f t="shared" si="130"/>
        <v>0</v>
      </c>
      <c r="Y278" s="389">
        <f t="shared" si="130"/>
        <v>0</v>
      </c>
      <c r="Z278" s="389">
        <f t="shared" si="130"/>
        <v>0</v>
      </c>
      <c r="AA278" s="389">
        <f t="shared" si="130"/>
        <v>0</v>
      </c>
      <c r="AB278" s="389">
        <f t="shared" si="130"/>
        <v>0</v>
      </c>
      <c r="AC278" s="389">
        <f t="shared" si="130"/>
        <v>0</v>
      </c>
      <c r="AD278" s="389">
        <f t="shared" si="130"/>
        <v>0</v>
      </c>
      <c r="AE278" s="389">
        <f t="shared" si="130"/>
        <v>0</v>
      </c>
      <c r="AF278" s="389">
        <f t="shared" si="130"/>
        <v>0</v>
      </c>
      <c r="AG278" s="389">
        <f t="shared" si="130"/>
        <v>0</v>
      </c>
      <c r="AH278" s="389">
        <f t="shared" si="130"/>
        <v>0</v>
      </c>
      <c r="AI278" s="389">
        <f t="shared" si="130"/>
        <v>0</v>
      </c>
      <c r="AJ278" s="389">
        <f t="shared" si="130"/>
        <v>0</v>
      </c>
      <c r="AK278" s="389">
        <f t="shared" si="130"/>
        <v>0</v>
      </c>
      <c r="AL278" s="389">
        <f t="shared" si="130"/>
        <v>0</v>
      </c>
      <c r="AM278" s="389">
        <f t="shared" si="130"/>
        <v>0</v>
      </c>
      <c r="AN278" s="389">
        <f t="shared" si="130"/>
        <v>0</v>
      </c>
      <c r="AO278" s="389">
        <f t="shared" si="130"/>
        <v>0</v>
      </c>
      <c r="AP278" s="389">
        <f t="shared" si="130"/>
        <v>0</v>
      </c>
    </row>
    <row r="279" spans="1:42" x14ac:dyDescent="0.2">
      <c r="A279" s="21">
        <f t="shared" si="126"/>
        <v>7</v>
      </c>
      <c r="B279" s="409">
        <f t="shared" si="123"/>
        <v>0</v>
      </c>
      <c r="C279" s="389">
        <f t="shared" ref="C279:AP279" si="131">LOOKUP(C268,$B$257:$AP$257,$B$258:$AP$258)*$B591</f>
        <v>0</v>
      </c>
      <c r="D279" s="389">
        <f t="shared" si="131"/>
        <v>0</v>
      </c>
      <c r="E279" s="389">
        <f t="shared" si="131"/>
        <v>0</v>
      </c>
      <c r="F279" s="389">
        <f t="shared" si="131"/>
        <v>0</v>
      </c>
      <c r="G279" s="389">
        <f t="shared" si="131"/>
        <v>0</v>
      </c>
      <c r="H279" s="389">
        <f t="shared" si="131"/>
        <v>0</v>
      </c>
      <c r="I279" s="389">
        <f t="shared" si="131"/>
        <v>0</v>
      </c>
      <c r="J279" s="389">
        <f t="shared" si="131"/>
        <v>0</v>
      </c>
      <c r="K279" s="389">
        <f t="shared" si="131"/>
        <v>0</v>
      </c>
      <c r="L279" s="389">
        <f t="shared" si="131"/>
        <v>0</v>
      </c>
      <c r="M279" s="389">
        <f t="shared" si="131"/>
        <v>0</v>
      </c>
      <c r="N279" s="389">
        <f t="shared" si="131"/>
        <v>0</v>
      </c>
      <c r="O279" s="389">
        <f t="shared" si="131"/>
        <v>0</v>
      </c>
      <c r="P279" s="389">
        <f t="shared" si="131"/>
        <v>0</v>
      </c>
      <c r="Q279" s="389">
        <f t="shared" si="131"/>
        <v>0</v>
      </c>
      <c r="R279" s="389">
        <f t="shared" si="131"/>
        <v>0</v>
      </c>
      <c r="S279" s="389">
        <f t="shared" si="131"/>
        <v>0</v>
      </c>
      <c r="T279" s="389">
        <f t="shared" si="131"/>
        <v>0</v>
      </c>
      <c r="U279" s="389">
        <f t="shared" si="131"/>
        <v>0</v>
      </c>
      <c r="V279" s="389">
        <f t="shared" si="131"/>
        <v>0</v>
      </c>
      <c r="W279" s="389">
        <f t="shared" si="131"/>
        <v>0</v>
      </c>
      <c r="X279" s="389">
        <f t="shared" si="131"/>
        <v>0</v>
      </c>
      <c r="Y279" s="389">
        <f t="shared" si="131"/>
        <v>0</v>
      </c>
      <c r="Z279" s="389">
        <f t="shared" si="131"/>
        <v>0</v>
      </c>
      <c r="AA279" s="389">
        <f t="shared" si="131"/>
        <v>0</v>
      </c>
      <c r="AB279" s="389">
        <f t="shared" si="131"/>
        <v>0</v>
      </c>
      <c r="AC279" s="389">
        <f t="shared" si="131"/>
        <v>0</v>
      </c>
      <c r="AD279" s="389">
        <f t="shared" si="131"/>
        <v>0</v>
      </c>
      <c r="AE279" s="389">
        <f t="shared" si="131"/>
        <v>0</v>
      </c>
      <c r="AF279" s="389">
        <f t="shared" si="131"/>
        <v>0</v>
      </c>
      <c r="AG279" s="389">
        <f t="shared" si="131"/>
        <v>0</v>
      </c>
      <c r="AH279" s="389">
        <f t="shared" si="131"/>
        <v>0</v>
      </c>
      <c r="AI279" s="389">
        <f t="shared" si="131"/>
        <v>0</v>
      </c>
      <c r="AJ279" s="389">
        <f t="shared" si="131"/>
        <v>0</v>
      </c>
      <c r="AK279" s="389">
        <f t="shared" si="131"/>
        <v>0</v>
      </c>
      <c r="AL279" s="389">
        <f t="shared" si="131"/>
        <v>0</v>
      </c>
      <c r="AM279" s="389">
        <f t="shared" si="131"/>
        <v>0</v>
      </c>
      <c r="AN279" s="389">
        <f t="shared" si="131"/>
        <v>0</v>
      </c>
      <c r="AO279" s="389">
        <f t="shared" si="131"/>
        <v>0</v>
      </c>
      <c r="AP279" s="389">
        <f t="shared" si="131"/>
        <v>0</v>
      </c>
    </row>
    <row r="280" spans="1:42" x14ac:dyDescent="0.2">
      <c r="A280" s="21">
        <f t="shared" si="126"/>
        <v>8</v>
      </c>
      <c r="B280" s="409">
        <f t="shared" si="123"/>
        <v>0</v>
      </c>
      <c r="C280" s="389">
        <f t="shared" ref="C280:AP280" si="132">LOOKUP(C269,$B$257:$AP$257,$B$258:$AP$258)*$B592</f>
        <v>0</v>
      </c>
      <c r="D280" s="389">
        <f t="shared" si="132"/>
        <v>0</v>
      </c>
      <c r="E280" s="389">
        <f t="shared" si="132"/>
        <v>0</v>
      </c>
      <c r="F280" s="389">
        <f t="shared" si="132"/>
        <v>0</v>
      </c>
      <c r="G280" s="389">
        <f t="shared" si="132"/>
        <v>0</v>
      </c>
      <c r="H280" s="389">
        <f t="shared" si="132"/>
        <v>0</v>
      </c>
      <c r="I280" s="389">
        <f t="shared" si="132"/>
        <v>0</v>
      </c>
      <c r="J280" s="389">
        <f t="shared" si="132"/>
        <v>0</v>
      </c>
      <c r="K280" s="389">
        <f t="shared" si="132"/>
        <v>0</v>
      </c>
      <c r="L280" s="389">
        <f t="shared" si="132"/>
        <v>0</v>
      </c>
      <c r="M280" s="389">
        <f t="shared" si="132"/>
        <v>0</v>
      </c>
      <c r="N280" s="389">
        <f t="shared" si="132"/>
        <v>0</v>
      </c>
      <c r="O280" s="389">
        <f t="shared" si="132"/>
        <v>0</v>
      </c>
      <c r="P280" s="389">
        <f t="shared" si="132"/>
        <v>0</v>
      </c>
      <c r="Q280" s="389">
        <f t="shared" si="132"/>
        <v>0</v>
      </c>
      <c r="R280" s="389">
        <f t="shared" si="132"/>
        <v>0</v>
      </c>
      <c r="S280" s="389">
        <f t="shared" si="132"/>
        <v>0</v>
      </c>
      <c r="T280" s="389">
        <f t="shared" si="132"/>
        <v>0</v>
      </c>
      <c r="U280" s="389">
        <f t="shared" si="132"/>
        <v>0</v>
      </c>
      <c r="V280" s="389">
        <f t="shared" si="132"/>
        <v>0</v>
      </c>
      <c r="W280" s="389">
        <f t="shared" si="132"/>
        <v>0</v>
      </c>
      <c r="X280" s="389">
        <f t="shared" si="132"/>
        <v>0</v>
      </c>
      <c r="Y280" s="389">
        <f t="shared" si="132"/>
        <v>0</v>
      </c>
      <c r="Z280" s="389">
        <f t="shared" si="132"/>
        <v>0</v>
      </c>
      <c r="AA280" s="389">
        <f t="shared" si="132"/>
        <v>0</v>
      </c>
      <c r="AB280" s="389">
        <f t="shared" si="132"/>
        <v>0</v>
      </c>
      <c r="AC280" s="389">
        <f t="shared" si="132"/>
        <v>0</v>
      </c>
      <c r="AD280" s="389">
        <f t="shared" si="132"/>
        <v>0</v>
      </c>
      <c r="AE280" s="389">
        <f t="shared" si="132"/>
        <v>0</v>
      </c>
      <c r="AF280" s="389">
        <f t="shared" si="132"/>
        <v>0</v>
      </c>
      <c r="AG280" s="389">
        <f t="shared" si="132"/>
        <v>0</v>
      </c>
      <c r="AH280" s="389">
        <f t="shared" si="132"/>
        <v>0</v>
      </c>
      <c r="AI280" s="389">
        <f t="shared" si="132"/>
        <v>0</v>
      </c>
      <c r="AJ280" s="389">
        <f t="shared" si="132"/>
        <v>0</v>
      </c>
      <c r="AK280" s="389">
        <f t="shared" si="132"/>
        <v>0</v>
      </c>
      <c r="AL280" s="389">
        <f t="shared" si="132"/>
        <v>0</v>
      </c>
      <c r="AM280" s="389">
        <f t="shared" si="132"/>
        <v>0</v>
      </c>
      <c r="AN280" s="389">
        <f t="shared" si="132"/>
        <v>0</v>
      </c>
      <c r="AO280" s="389">
        <f t="shared" si="132"/>
        <v>0</v>
      </c>
      <c r="AP280" s="389">
        <f t="shared" si="132"/>
        <v>0</v>
      </c>
    </row>
    <row r="281" spans="1:42" x14ac:dyDescent="0.2">
      <c r="A281" s="21">
        <f>A280+1</f>
        <v>9</v>
      </c>
      <c r="B281" s="409">
        <f t="shared" si="123"/>
        <v>0</v>
      </c>
      <c r="C281" s="389">
        <f t="shared" ref="C281:AP281" si="133">LOOKUP(C270,$B$257:$AP$257,$B$258:$AP$258)*$B593</f>
        <v>0</v>
      </c>
      <c r="D281" s="389">
        <f t="shared" si="133"/>
        <v>0</v>
      </c>
      <c r="E281" s="389">
        <f t="shared" si="133"/>
        <v>0</v>
      </c>
      <c r="F281" s="389">
        <f t="shared" si="133"/>
        <v>0</v>
      </c>
      <c r="G281" s="389">
        <f t="shared" si="133"/>
        <v>0</v>
      </c>
      <c r="H281" s="389">
        <f t="shared" si="133"/>
        <v>0</v>
      </c>
      <c r="I281" s="389">
        <f t="shared" si="133"/>
        <v>0</v>
      </c>
      <c r="J281" s="389">
        <f t="shared" si="133"/>
        <v>0</v>
      </c>
      <c r="K281" s="389">
        <f t="shared" si="133"/>
        <v>0</v>
      </c>
      <c r="L281" s="389">
        <f t="shared" si="133"/>
        <v>0</v>
      </c>
      <c r="M281" s="389">
        <f t="shared" si="133"/>
        <v>0</v>
      </c>
      <c r="N281" s="389">
        <f t="shared" si="133"/>
        <v>0</v>
      </c>
      <c r="O281" s="389">
        <f t="shared" si="133"/>
        <v>0</v>
      </c>
      <c r="P281" s="389">
        <f t="shared" si="133"/>
        <v>0</v>
      </c>
      <c r="Q281" s="389">
        <f t="shared" si="133"/>
        <v>0</v>
      </c>
      <c r="R281" s="389">
        <f t="shared" si="133"/>
        <v>0</v>
      </c>
      <c r="S281" s="389">
        <f t="shared" si="133"/>
        <v>0</v>
      </c>
      <c r="T281" s="389">
        <f t="shared" si="133"/>
        <v>0</v>
      </c>
      <c r="U281" s="389">
        <f t="shared" si="133"/>
        <v>0</v>
      </c>
      <c r="V281" s="389">
        <f t="shared" si="133"/>
        <v>0</v>
      </c>
      <c r="W281" s="389">
        <f t="shared" si="133"/>
        <v>0</v>
      </c>
      <c r="X281" s="389">
        <f t="shared" si="133"/>
        <v>0</v>
      </c>
      <c r="Y281" s="389">
        <f t="shared" si="133"/>
        <v>0</v>
      </c>
      <c r="Z281" s="389">
        <f t="shared" si="133"/>
        <v>0</v>
      </c>
      <c r="AA281" s="389">
        <f t="shared" si="133"/>
        <v>0</v>
      </c>
      <c r="AB281" s="389">
        <f t="shared" si="133"/>
        <v>0</v>
      </c>
      <c r="AC281" s="389">
        <f t="shared" si="133"/>
        <v>0</v>
      </c>
      <c r="AD281" s="389">
        <f t="shared" si="133"/>
        <v>0</v>
      </c>
      <c r="AE281" s="389">
        <f t="shared" si="133"/>
        <v>0</v>
      </c>
      <c r="AF281" s="389">
        <f t="shared" si="133"/>
        <v>0</v>
      </c>
      <c r="AG281" s="389">
        <f t="shared" si="133"/>
        <v>0</v>
      </c>
      <c r="AH281" s="389">
        <f t="shared" si="133"/>
        <v>0</v>
      </c>
      <c r="AI281" s="389">
        <f t="shared" si="133"/>
        <v>0</v>
      </c>
      <c r="AJ281" s="389">
        <f t="shared" si="133"/>
        <v>0</v>
      </c>
      <c r="AK281" s="389">
        <f t="shared" si="133"/>
        <v>0</v>
      </c>
      <c r="AL281" s="389">
        <f t="shared" si="133"/>
        <v>0</v>
      </c>
      <c r="AM281" s="389">
        <f t="shared" si="133"/>
        <v>0</v>
      </c>
      <c r="AN281" s="389">
        <f t="shared" si="133"/>
        <v>0</v>
      </c>
      <c r="AO281" s="389">
        <f t="shared" si="133"/>
        <v>0</v>
      </c>
      <c r="AP281" s="389">
        <f t="shared" si="133"/>
        <v>0</v>
      </c>
    </row>
    <row r="282" spans="1:42" x14ac:dyDescent="0.2">
      <c r="A282" s="21">
        <f t="shared" si="126"/>
        <v>10</v>
      </c>
      <c r="B282" s="409">
        <f t="shared" si="123"/>
        <v>0</v>
      </c>
      <c r="C282" s="410">
        <f t="shared" ref="C282:AP282" si="134">LOOKUP(C271,$B$257:$AP$257,$B$258:$AP$258)*$B594</f>
        <v>0</v>
      </c>
      <c r="D282" s="394">
        <f t="shared" si="134"/>
        <v>0</v>
      </c>
      <c r="E282" s="394">
        <f t="shared" si="134"/>
        <v>0</v>
      </c>
      <c r="F282" s="394">
        <f t="shared" si="134"/>
        <v>0</v>
      </c>
      <c r="G282" s="394">
        <f t="shared" si="134"/>
        <v>0</v>
      </c>
      <c r="H282" s="394">
        <f t="shared" si="134"/>
        <v>0</v>
      </c>
      <c r="I282" s="394">
        <f t="shared" si="134"/>
        <v>0</v>
      </c>
      <c r="J282" s="394">
        <f t="shared" si="134"/>
        <v>0</v>
      </c>
      <c r="K282" s="394">
        <f t="shared" si="134"/>
        <v>0</v>
      </c>
      <c r="L282" s="394">
        <f t="shared" si="134"/>
        <v>0</v>
      </c>
      <c r="M282" s="394">
        <f t="shared" si="134"/>
        <v>0</v>
      </c>
      <c r="N282" s="394">
        <f t="shared" si="134"/>
        <v>0</v>
      </c>
      <c r="O282" s="394">
        <f t="shared" si="134"/>
        <v>0</v>
      </c>
      <c r="P282" s="394">
        <f t="shared" si="134"/>
        <v>0</v>
      </c>
      <c r="Q282" s="394">
        <f t="shared" si="134"/>
        <v>0</v>
      </c>
      <c r="R282" s="394">
        <f t="shared" si="134"/>
        <v>0</v>
      </c>
      <c r="S282" s="394">
        <f t="shared" si="134"/>
        <v>0</v>
      </c>
      <c r="T282" s="394">
        <f t="shared" si="134"/>
        <v>0</v>
      </c>
      <c r="U282" s="394">
        <f t="shared" si="134"/>
        <v>0</v>
      </c>
      <c r="V282" s="394">
        <f t="shared" si="134"/>
        <v>0</v>
      </c>
      <c r="W282" s="394">
        <f t="shared" si="134"/>
        <v>0</v>
      </c>
      <c r="X282" s="394">
        <f t="shared" si="134"/>
        <v>0</v>
      </c>
      <c r="Y282" s="394">
        <f t="shared" si="134"/>
        <v>0</v>
      </c>
      <c r="Z282" s="394">
        <f t="shared" si="134"/>
        <v>0</v>
      </c>
      <c r="AA282" s="394">
        <f t="shared" si="134"/>
        <v>0</v>
      </c>
      <c r="AB282" s="394">
        <f t="shared" si="134"/>
        <v>0</v>
      </c>
      <c r="AC282" s="394">
        <f t="shared" si="134"/>
        <v>0</v>
      </c>
      <c r="AD282" s="394">
        <f t="shared" si="134"/>
        <v>0</v>
      </c>
      <c r="AE282" s="394">
        <f t="shared" si="134"/>
        <v>0</v>
      </c>
      <c r="AF282" s="394">
        <f t="shared" si="134"/>
        <v>0</v>
      </c>
      <c r="AG282" s="394">
        <f t="shared" si="134"/>
        <v>0</v>
      </c>
      <c r="AH282" s="394">
        <f t="shared" si="134"/>
        <v>0</v>
      </c>
      <c r="AI282" s="394">
        <f t="shared" si="134"/>
        <v>0</v>
      </c>
      <c r="AJ282" s="394">
        <f t="shared" si="134"/>
        <v>0</v>
      </c>
      <c r="AK282" s="394">
        <f t="shared" si="134"/>
        <v>0</v>
      </c>
      <c r="AL282" s="394">
        <f t="shared" si="134"/>
        <v>0</v>
      </c>
      <c r="AM282" s="394">
        <f t="shared" si="134"/>
        <v>0</v>
      </c>
      <c r="AN282" s="394">
        <f t="shared" si="134"/>
        <v>0</v>
      </c>
      <c r="AO282" s="394">
        <f t="shared" si="134"/>
        <v>0</v>
      </c>
      <c r="AP282" s="394">
        <f t="shared" si="134"/>
        <v>0</v>
      </c>
    </row>
    <row r="283" spans="1:42" s="21" customFormat="1" ht="12" customHeight="1" x14ac:dyDescent="0.2">
      <c r="A283" s="49" t="s">
        <v>21</v>
      </c>
      <c r="B283" s="390"/>
      <c r="C283" s="390">
        <f>SUM(C273:C282)</f>
        <v>0</v>
      </c>
      <c r="D283" s="390">
        <f t="shared" ref="D283:AP283" si="135">SUM(D273:D282)</f>
        <v>0</v>
      </c>
      <c r="E283" s="390">
        <f t="shared" si="135"/>
        <v>0</v>
      </c>
      <c r="F283" s="390">
        <f t="shared" si="135"/>
        <v>0</v>
      </c>
      <c r="G283" s="390">
        <f t="shared" si="135"/>
        <v>0</v>
      </c>
      <c r="H283" s="390">
        <f t="shared" si="135"/>
        <v>0</v>
      </c>
      <c r="I283" s="390">
        <f t="shared" si="135"/>
        <v>0</v>
      </c>
      <c r="J283" s="390">
        <f t="shared" si="135"/>
        <v>0</v>
      </c>
      <c r="K283" s="390">
        <f t="shared" si="135"/>
        <v>0</v>
      </c>
      <c r="L283" s="390">
        <f t="shared" si="135"/>
        <v>0</v>
      </c>
      <c r="M283" s="390">
        <f t="shared" si="135"/>
        <v>0</v>
      </c>
      <c r="N283" s="390">
        <f t="shared" si="135"/>
        <v>65604332.890063301</v>
      </c>
      <c r="O283" s="390">
        <f t="shared" si="135"/>
        <v>104966932.62410128</v>
      </c>
      <c r="P283" s="390">
        <f t="shared" si="135"/>
        <v>62980159.574460767</v>
      </c>
      <c r="Q283" s="390">
        <f t="shared" si="135"/>
        <v>37788095.744676463</v>
      </c>
      <c r="R283" s="390">
        <f t="shared" si="135"/>
        <v>37788095.744676463</v>
      </c>
      <c r="S283" s="390">
        <f t="shared" si="135"/>
        <v>18894047.872338232</v>
      </c>
      <c r="T283" s="390">
        <f t="shared" si="135"/>
        <v>0</v>
      </c>
      <c r="U283" s="390">
        <f t="shared" si="135"/>
        <v>0</v>
      </c>
      <c r="V283" s="390">
        <f t="shared" si="135"/>
        <v>0</v>
      </c>
      <c r="W283" s="390">
        <f t="shared" si="135"/>
        <v>0</v>
      </c>
      <c r="X283" s="390">
        <f t="shared" si="135"/>
        <v>0</v>
      </c>
      <c r="Y283" s="390">
        <f t="shared" si="135"/>
        <v>0</v>
      </c>
      <c r="Z283" s="390">
        <f t="shared" si="135"/>
        <v>88230534.12597996</v>
      </c>
      <c r="AA283" s="390">
        <f t="shared" si="135"/>
        <v>141168854.60156792</v>
      </c>
      <c r="AB283" s="390">
        <f t="shared" si="135"/>
        <v>0</v>
      </c>
      <c r="AC283" s="390">
        <f t="shared" si="135"/>
        <v>0</v>
      </c>
      <c r="AD283" s="390">
        <f t="shared" si="135"/>
        <v>0</v>
      </c>
      <c r="AE283" s="390">
        <f t="shared" si="135"/>
        <v>0</v>
      </c>
      <c r="AF283" s="390">
        <f t="shared" si="135"/>
        <v>0</v>
      </c>
      <c r="AG283" s="390">
        <f t="shared" si="135"/>
        <v>0</v>
      </c>
      <c r="AH283" s="390">
        <f t="shared" si="135"/>
        <v>0</v>
      </c>
      <c r="AI283" s="390">
        <f t="shared" si="135"/>
        <v>0</v>
      </c>
      <c r="AJ283" s="390">
        <f t="shared" si="135"/>
        <v>0</v>
      </c>
      <c r="AK283" s="390">
        <f t="shared" si="135"/>
        <v>0</v>
      </c>
      <c r="AL283" s="390">
        <f t="shared" si="135"/>
        <v>0</v>
      </c>
      <c r="AM283" s="390">
        <f t="shared" si="135"/>
        <v>0</v>
      </c>
      <c r="AN283" s="390">
        <f t="shared" si="135"/>
        <v>0</v>
      </c>
      <c r="AO283" s="390">
        <f t="shared" si="135"/>
        <v>0</v>
      </c>
      <c r="AP283" s="390">
        <f t="shared" si="135"/>
        <v>0</v>
      </c>
    </row>
    <row r="284" spans="1:42" x14ac:dyDescent="0.2">
      <c r="A284" s="40"/>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row>
    <row r="285" spans="1:42" x14ac:dyDescent="0.2">
      <c r="A285" s="38" t="s">
        <v>160</v>
      </c>
      <c r="C285" s="36"/>
      <c r="D285" s="36"/>
      <c r="E285" s="36"/>
      <c r="F285" s="36"/>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row>
    <row r="286" spans="1:42" x14ac:dyDescent="0.2">
      <c r="A286" s="40" t="s">
        <v>121</v>
      </c>
      <c r="C286" s="36"/>
      <c r="D286" s="36"/>
      <c r="E286" s="36"/>
      <c r="F286" s="36"/>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row>
    <row r="287" spans="1:42" x14ac:dyDescent="0.2">
      <c r="A287" s="21">
        <v>1</v>
      </c>
      <c r="C287" s="389">
        <f>IF(C$2&lt;=analysis_period,IF(SUM($C617:C617)&gt;0,B287+1,0),0)</f>
        <v>0</v>
      </c>
      <c r="D287" s="389">
        <f>IF(D$2&lt;=analysis_period,IF(SUM($C617:D617)&gt;0,C287+1,0),0)</f>
        <v>0</v>
      </c>
      <c r="E287" s="389">
        <f>IF(E$2&lt;=analysis_period,IF(SUM($C617:E617)&gt;0,D287+1,0),0)</f>
        <v>0</v>
      </c>
      <c r="F287" s="389">
        <f>IF(F$2&lt;=analysis_period,IF(SUM($C617:F617)&gt;0,E287+1,0),0)</f>
        <v>0</v>
      </c>
      <c r="G287" s="389">
        <f>IF(G$2&lt;=analysis_period,IF(SUM($C617:G617)&gt;0,F287+1,0),0)</f>
        <v>0</v>
      </c>
      <c r="H287" s="389">
        <f>IF(H$2&lt;=analysis_period,IF(SUM($C617:H617)&gt;0,G287+1,0),0)</f>
        <v>0</v>
      </c>
      <c r="I287" s="389">
        <f>IF(I$2&lt;=analysis_period,IF(SUM($C617:I617)&gt;0,H287+1,0),0)</f>
        <v>0</v>
      </c>
      <c r="J287" s="389">
        <f>IF(J$2&lt;=analysis_period,IF(SUM($C617:J617)&gt;0,I287+1,0),0)</f>
        <v>0</v>
      </c>
      <c r="K287" s="389">
        <f>IF(K$2&lt;=analysis_period,IF(SUM($C617:K617)&gt;0,J287+1,0),0)</f>
        <v>0</v>
      </c>
      <c r="L287" s="389">
        <f>IF(L$2&lt;=analysis_period,IF(SUM($C617:L617)&gt;0,K287+1,0),0)</f>
        <v>0</v>
      </c>
      <c r="M287" s="389">
        <f>IF(M$2&lt;=analysis_period,IF(SUM($C617:M617)&gt;0,L287+1,0),0)</f>
        <v>0</v>
      </c>
      <c r="N287" s="389">
        <f>IF(N$2&lt;=analysis_period,IF(SUM($C617:N617)&gt;0,M287+1,0),0)</f>
        <v>0</v>
      </c>
      <c r="O287" s="389">
        <f>IF(O$2&lt;=analysis_period,IF(SUM($C617:O617)&gt;0,N287+1,0),0)</f>
        <v>0</v>
      </c>
      <c r="P287" s="389">
        <f>IF(P$2&lt;=analysis_period,IF(SUM($C617:P617)&gt;0,O287+1,0),0)</f>
        <v>0</v>
      </c>
      <c r="Q287" s="389">
        <f>IF(Q$2&lt;=analysis_period,IF(SUM($C617:Q617)&gt;0,P287+1,0),0)</f>
        <v>0</v>
      </c>
      <c r="R287" s="389">
        <f>IF(R$2&lt;=analysis_period,IF(SUM($C617:R617)&gt;0,Q287+1,0),0)</f>
        <v>0</v>
      </c>
      <c r="S287" s="389">
        <f>IF(S$2&lt;=analysis_period,IF(SUM($C617:S617)&gt;0,R287+1,0),0)</f>
        <v>0</v>
      </c>
      <c r="T287" s="389">
        <f>IF(T$2&lt;=analysis_period,IF(SUM($C617:T617)&gt;0,S287+1,0),0)</f>
        <v>0</v>
      </c>
      <c r="U287" s="389">
        <f>IF(U$2&lt;=analysis_period,IF(SUM($C617:U617)&gt;0,T287+1,0),0)</f>
        <v>0</v>
      </c>
      <c r="V287" s="389">
        <f>IF(V$2&lt;=analysis_period,IF(SUM($C617:V617)&gt;0,U287+1,0),0)</f>
        <v>0</v>
      </c>
      <c r="W287" s="389">
        <f>IF(W$2&lt;=analysis_period,IF(SUM($C617:W617)&gt;0,V287+1,0),0)</f>
        <v>0</v>
      </c>
      <c r="X287" s="389">
        <f>IF(X$2&lt;=analysis_period,IF(SUM($C617:X617)&gt;0,W287+1,0),0)</f>
        <v>0</v>
      </c>
      <c r="Y287" s="389">
        <f>IF(Y$2&lt;=analysis_period,IF(SUM($C617:Y617)&gt;0,X287+1,0),0)</f>
        <v>0</v>
      </c>
      <c r="Z287" s="389">
        <f>IF(Z$2&lt;=analysis_period,IF(SUM($C617:Z617)&gt;0,Y287+1,0),0)</f>
        <v>0</v>
      </c>
      <c r="AA287" s="389">
        <f>IF(AA$2&lt;=analysis_period,IF(SUM($C617:AA617)&gt;0,Z287+1,0),0)</f>
        <v>0</v>
      </c>
      <c r="AB287" s="389">
        <f>IF(AB$2&lt;=analysis_period,IF(SUM($C617:AB617)&gt;0,AA287+1,0),0)</f>
        <v>0</v>
      </c>
      <c r="AC287" s="389">
        <f>IF(AC$2&lt;=analysis_period,IF(SUM($C617:AC617)&gt;0,AB287+1,0),0)</f>
        <v>0</v>
      </c>
      <c r="AD287" s="389">
        <f>IF(AD$2&lt;=analysis_period,IF(SUM($C617:AD617)&gt;0,AC287+1,0),0)</f>
        <v>0</v>
      </c>
      <c r="AE287" s="389">
        <f>IF(AE$2&lt;=analysis_period,IF(SUM($C617:AE617)&gt;0,AD287+1,0),0)</f>
        <v>0</v>
      </c>
      <c r="AF287" s="389">
        <f>IF(AF$2&lt;=analysis_period,IF(SUM($C617:AF617)&gt;0,AE287+1,0),0)</f>
        <v>0</v>
      </c>
      <c r="AG287" s="389">
        <f>IF(AG$2&lt;=analysis_period,IF(SUM($C617:AG617)&gt;0,AF287+1,0),0)</f>
        <v>0</v>
      </c>
      <c r="AH287" s="389">
        <f>IF(AH$2&lt;=analysis_period,IF(SUM($C617:AH617)&gt;0,AG287+1,0),0)</f>
        <v>0</v>
      </c>
      <c r="AI287" s="389">
        <f>IF(AI$2&lt;=analysis_period,IF(SUM($C617:AI617)&gt;0,AH287+1,0),0)</f>
        <v>0</v>
      </c>
      <c r="AJ287" s="389">
        <f>IF(AJ$2&lt;=analysis_period,IF(SUM($C617:AJ617)&gt;0,AI287+1,0),0)</f>
        <v>0</v>
      </c>
      <c r="AK287" s="389">
        <f>IF(AK$2&lt;=analysis_period,IF(SUM($C617:AK617)&gt;0,AJ287+1,0),0)</f>
        <v>0</v>
      </c>
      <c r="AL287" s="389">
        <f>IF(AL$2&lt;=analysis_period,IF(SUM($C617:AL617)&gt;0,AK287+1,0),0)</f>
        <v>0</v>
      </c>
      <c r="AM287" s="389">
        <f>IF(AM$2&lt;=analysis_period,IF(SUM($C617:AM617)&gt;0,AL287+1,0),0)</f>
        <v>0</v>
      </c>
      <c r="AN287" s="389">
        <f>IF(AN$2&lt;=analysis_period,IF(SUM($C617:AN617)&gt;0,AM287+1,0),0)</f>
        <v>0</v>
      </c>
      <c r="AO287" s="389">
        <f>IF(AO$2&lt;=analysis_period,IF(SUM($C617:AO617)&gt;0,AN287+1,0),0)</f>
        <v>0</v>
      </c>
      <c r="AP287" s="389">
        <f>IF(AP$2&lt;=analysis_period,IF(SUM($C617:AP617)&gt;0,AO287+1,0),0)</f>
        <v>0</v>
      </c>
    </row>
    <row r="288" spans="1:42" x14ac:dyDescent="0.2">
      <c r="A288" s="21">
        <f>A287+1</f>
        <v>2</v>
      </c>
      <c r="C288" s="389">
        <f>IF(C$2&lt;=analysis_period,IF(SUM($C618:C618)&gt;0,B288+1,0),0)</f>
        <v>0</v>
      </c>
      <c r="D288" s="389">
        <f>IF(D$2&lt;=analysis_period,IF(SUM($C618:D618)&gt;0,C288+1,0),0)</f>
        <v>0</v>
      </c>
      <c r="E288" s="389">
        <f>IF(E$2&lt;=analysis_period,IF(SUM($C618:E618)&gt;0,D288+1,0),0)</f>
        <v>0</v>
      </c>
      <c r="F288" s="389">
        <f>IF(F$2&lt;=analysis_period,IF(SUM($C618:F618)&gt;0,E288+1,0),0)</f>
        <v>0</v>
      </c>
      <c r="G288" s="389">
        <f>IF(G$2&lt;=analysis_period,IF(SUM($C618:G618)&gt;0,F288+1,0),0)</f>
        <v>0</v>
      </c>
      <c r="H288" s="389">
        <f>IF(H$2&lt;=analysis_period,IF(SUM($C618:H618)&gt;0,G288+1,0),0)</f>
        <v>0</v>
      </c>
      <c r="I288" s="389">
        <f>IF(I$2&lt;=analysis_period,IF(SUM($C618:I618)&gt;0,H288+1,0),0)</f>
        <v>0</v>
      </c>
      <c r="J288" s="389">
        <f>IF(J$2&lt;=analysis_period,IF(SUM($C618:J618)&gt;0,I288+1,0),0)</f>
        <v>0</v>
      </c>
      <c r="K288" s="389">
        <f>IF(K$2&lt;=analysis_period,IF(SUM($C618:K618)&gt;0,J288+1,0),0)</f>
        <v>0</v>
      </c>
      <c r="L288" s="389">
        <f>IF(L$2&lt;=analysis_period,IF(SUM($C618:L618)&gt;0,K288+1,0),0)</f>
        <v>0</v>
      </c>
      <c r="M288" s="389">
        <f>IF(M$2&lt;=analysis_period,IF(SUM($C618:M618)&gt;0,L288+1,0),0)</f>
        <v>0</v>
      </c>
      <c r="N288" s="389">
        <f>IF(N$2&lt;=analysis_period,IF(SUM($C618:N618)&gt;0,M288+1,0),0)</f>
        <v>0</v>
      </c>
      <c r="O288" s="389">
        <f>IF(O$2&lt;=analysis_period,IF(SUM($C618:O618)&gt;0,N288+1,0),0)</f>
        <v>0</v>
      </c>
      <c r="P288" s="389">
        <f>IF(P$2&lt;=analysis_period,IF(SUM($C618:P618)&gt;0,O288+1,0),0)</f>
        <v>0</v>
      </c>
      <c r="Q288" s="389">
        <f>IF(Q$2&lt;=analysis_period,IF(SUM($C618:Q618)&gt;0,P288+1,0),0)</f>
        <v>0</v>
      </c>
      <c r="R288" s="389">
        <f>IF(R$2&lt;=analysis_period,IF(SUM($C618:R618)&gt;0,Q288+1,0),0)</f>
        <v>0</v>
      </c>
      <c r="S288" s="389">
        <f>IF(S$2&lt;=analysis_period,IF(SUM($C618:S618)&gt;0,R288+1,0),0)</f>
        <v>0</v>
      </c>
      <c r="T288" s="389">
        <f>IF(T$2&lt;=analysis_period,IF(SUM($C618:T618)&gt;0,S288+1,0),0)</f>
        <v>0</v>
      </c>
      <c r="U288" s="389">
        <f>IF(U$2&lt;=analysis_period,IF(SUM($C618:U618)&gt;0,T288+1,0),0)</f>
        <v>0</v>
      </c>
      <c r="V288" s="389">
        <f>IF(V$2&lt;=analysis_period,IF(SUM($C618:V618)&gt;0,U288+1,0),0)</f>
        <v>0</v>
      </c>
      <c r="W288" s="389">
        <f>IF(W$2&lt;=analysis_period,IF(SUM($C618:W618)&gt;0,V288+1,0),0)</f>
        <v>0</v>
      </c>
      <c r="X288" s="389">
        <f>IF(X$2&lt;=analysis_period,IF(SUM($C618:X618)&gt;0,W288+1,0),0)</f>
        <v>0</v>
      </c>
      <c r="Y288" s="389">
        <f>IF(Y$2&lt;=analysis_period,IF(SUM($C618:Y618)&gt;0,X288+1,0),0)</f>
        <v>0</v>
      </c>
      <c r="Z288" s="389">
        <f>IF(Z$2&lt;=analysis_period,IF(SUM($C618:Z618)&gt;0,Y288+1,0),0)</f>
        <v>0</v>
      </c>
      <c r="AA288" s="389">
        <f>IF(AA$2&lt;=analysis_period,IF(SUM($C618:AA618)&gt;0,Z288+1,0),0)</f>
        <v>0</v>
      </c>
      <c r="AB288" s="389">
        <f>IF(AB$2&lt;=analysis_period,IF(SUM($C618:AB618)&gt;0,AA288+1,0),0)</f>
        <v>0</v>
      </c>
      <c r="AC288" s="389">
        <f>IF(AC$2&lt;=analysis_period,IF(SUM($C618:AC618)&gt;0,AB288+1,0),0)</f>
        <v>0</v>
      </c>
      <c r="AD288" s="389">
        <f>IF(AD$2&lt;=analysis_period,IF(SUM($C618:AD618)&gt;0,AC288+1,0),0)</f>
        <v>0</v>
      </c>
      <c r="AE288" s="389">
        <f>IF(AE$2&lt;=analysis_period,IF(SUM($C618:AE618)&gt;0,AD288+1,0),0)</f>
        <v>0</v>
      </c>
      <c r="AF288" s="389">
        <f>IF(AF$2&lt;=analysis_period,IF(SUM($C618:AF618)&gt;0,AE288+1,0),0)</f>
        <v>0</v>
      </c>
      <c r="AG288" s="389">
        <f>IF(AG$2&lt;=analysis_period,IF(SUM($C618:AG618)&gt;0,AF288+1,0),0)</f>
        <v>0</v>
      </c>
      <c r="AH288" s="389">
        <f>IF(AH$2&lt;=analysis_period,IF(SUM($C618:AH618)&gt;0,AG288+1,0),0)</f>
        <v>0</v>
      </c>
      <c r="AI288" s="389">
        <f>IF(AI$2&lt;=analysis_period,IF(SUM($C618:AI618)&gt;0,AH288+1,0),0)</f>
        <v>0</v>
      </c>
      <c r="AJ288" s="389">
        <f>IF(AJ$2&lt;=analysis_period,IF(SUM($C618:AJ618)&gt;0,AI288+1,0),0)</f>
        <v>0</v>
      </c>
      <c r="AK288" s="389">
        <f>IF(AK$2&lt;=analysis_period,IF(SUM($C618:AK618)&gt;0,AJ288+1,0),0)</f>
        <v>0</v>
      </c>
      <c r="AL288" s="389">
        <f>IF(AL$2&lt;=analysis_period,IF(SUM($C618:AL618)&gt;0,AK288+1,0),0)</f>
        <v>0</v>
      </c>
      <c r="AM288" s="389">
        <f>IF(AM$2&lt;=analysis_period,IF(SUM($C618:AM618)&gt;0,AL288+1,0),0)</f>
        <v>0</v>
      </c>
      <c r="AN288" s="389">
        <f>IF(AN$2&lt;=analysis_period,IF(SUM($C618:AN618)&gt;0,AM288+1,0),0)</f>
        <v>0</v>
      </c>
      <c r="AO288" s="389">
        <f>IF(AO$2&lt;=analysis_period,IF(SUM($C618:AO618)&gt;0,AN288+1,0),0)</f>
        <v>0</v>
      </c>
      <c r="AP288" s="389">
        <f>IF(AP$2&lt;=analysis_period,IF(SUM($C618:AP618)&gt;0,AO288+1,0),0)</f>
        <v>0</v>
      </c>
    </row>
    <row r="289" spans="1:42" x14ac:dyDescent="0.2">
      <c r="A289" s="21">
        <f t="shared" ref="A289:A296" si="136">A288+1</f>
        <v>3</v>
      </c>
      <c r="C289" s="389">
        <f>IF(C$2&lt;=analysis_period,IF(SUM($C619:C619)&gt;0,B289+1,0),0)</f>
        <v>0</v>
      </c>
      <c r="D289" s="389">
        <f>IF(D$2&lt;=analysis_period,IF(SUM($C619:D619)&gt;0,C289+1,0),0)</f>
        <v>0</v>
      </c>
      <c r="E289" s="389">
        <f>IF(E$2&lt;=analysis_period,IF(SUM($C619:E619)&gt;0,D289+1,0),0)</f>
        <v>0</v>
      </c>
      <c r="F289" s="389">
        <f>IF(F$2&lt;=analysis_period,IF(SUM($C619:F619)&gt;0,E289+1,0),0)</f>
        <v>0</v>
      </c>
      <c r="G289" s="389">
        <f>IF(G$2&lt;=analysis_period,IF(SUM($C619:G619)&gt;0,F289+1,0),0)</f>
        <v>0</v>
      </c>
      <c r="H289" s="389">
        <f>IF(H$2&lt;=analysis_period,IF(SUM($C619:H619)&gt;0,G289+1,0),0)</f>
        <v>0</v>
      </c>
      <c r="I289" s="389">
        <f>IF(I$2&lt;=analysis_period,IF(SUM($C619:I619)&gt;0,H289+1,0),0)</f>
        <v>0</v>
      </c>
      <c r="J289" s="389">
        <f>IF(J$2&lt;=analysis_period,IF(SUM($C619:J619)&gt;0,I289+1,0),0)</f>
        <v>0</v>
      </c>
      <c r="K289" s="389">
        <f>IF(K$2&lt;=analysis_period,IF(SUM($C619:K619)&gt;0,J289+1,0),0)</f>
        <v>0</v>
      </c>
      <c r="L289" s="389">
        <f>IF(L$2&lt;=analysis_period,IF(SUM($C619:L619)&gt;0,K289+1,0),0)</f>
        <v>0</v>
      </c>
      <c r="M289" s="389">
        <f>IF(M$2&lt;=analysis_period,IF(SUM($C619:M619)&gt;0,L289+1,0),0)</f>
        <v>0</v>
      </c>
      <c r="N289" s="389">
        <f>IF(N$2&lt;=analysis_period,IF(SUM($C619:N619)&gt;0,M289+1,0),0)</f>
        <v>0</v>
      </c>
      <c r="O289" s="389">
        <f>IF(O$2&lt;=analysis_period,IF(SUM($C619:O619)&gt;0,N289+1,0),0)</f>
        <v>0</v>
      </c>
      <c r="P289" s="389">
        <f>IF(P$2&lt;=analysis_period,IF(SUM($C619:P619)&gt;0,O289+1,0),0)</f>
        <v>0</v>
      </c>
      <c r="Q289" s="389">
        <f>IF(Q$2&lt;=analysis_period,IF(SUM($C619:Q619)&gt;0,P289+1,0),0)</f>
        <v>0</v>
      </c>
      <c r="R289" s="389">
        <f>IF(R$2&lt;=analysis_period,IF(SUM($C619:R619)&gt;0,Q289+1,0),0)</f>
        <v>0</v>
      </c>
      <c r="S289" s="389">
        <f>IF(S$2&lt;=analysis_period,IF(SUM($C619:S619)&gt;0,R289+1,0),0)</f>
        <v>0</v>
      </c>
      <c r="T289" s="389">
        <f>IF(T$2&lt;=analysis_period,IF(SUM($C619:T619)&gt;0,S289+1,0),0)</f>
        <v>0</v>
      </c>
      <c r="U289" s="389">
        <f>IF(U$2&lt;=analysis_period,IF(SUM($C619:U619)&gt;0,T289+1,0),0)</f>
        <v>0</v>
      </c>
      <c r="V289" s="389">
        <f>IF(V$2&lt;=analysis_period,IF(SUM($C619:V619)&gt;0,U289+1,0),0)</f>
        <v>0</v>
      </c>
      <c r="W289" s="389">
        <f>IF(W$2&lt;=analysis_period,IF(SUM($C619:W619)&gt;0,V289+1,0),0)</f>
        <v>0</v>
      </c>
      <c r="X289" s="389">
        <f>IF(X$2&lt;=analysis_period,IF(SUM($C619:X619)&gt;0,W289+1,0),0)</f>
        <v>0</v>
      </c>
      <c r="Y289" s="389">
        <f>IF(Y$2&lt;=analysis_period,IF(SUM($C619:Y619)&gt;0,X289+1,0),0)</f>
        <v>0</v>
      </c>
      <c r="Z289" s="389">
        <f>IF(Z$2&lt;=analysis_period,IF(SUM($C619:Z619)&gt;0,Y289+1,0),0)</f>
        <v>0</v>
      </c>
      <c r="AA289" s="389">
        <f>IF(AA$2&lt;=analysis_period,IF(SUM($C619:AA619)&gt;0,Z289+1,0),0)</f>
        <v>0</v>
      </c>
      <c r="AB289" s="389">
        <f>IF(AB$2&lt;=analysis_period,IF(SUM($C619:AB619)&gt;0,AA289+1,0),0)</f>
        <v>0</v>
      </c>
      <c r="AC289" s="389">
        <f>IF(AC$2&lt;=analysis_period,IF(SUM($C619:AC619)&gt;0,AB289+1,0),0)</f>
        <v>0</v>
      </c>
      <c r="AD289" s="389">
        <f>IF(AD$2&lt;=analysis_period,IF(SUM($C619:AD619)&gt;0,AC289+1,0),0)</f>
        <v>0</v>
      </c>
      <c r="AE289" s="389">
        <f>IF(AE$2&lt;=analysis_period,IF(SUM($C619:AE619)&gt;0,AD289+1,0),0)</f>
        <v>0</v>
      </c>
      <c r="AF289" s="389">
        <f>IF(AF$2&lt;=analysis_period,IF(SUM($C619:AF619)&gt;0,AE289+1,0),0)</f>
        <v>0</v>
      </c>
      <c r="AG289" s="389">
        <f>IF(AG$2&lt;=analysis_period,IF(SUM($C619:AG619)&gt;0,AF289+1,0),0)</f>
        <v>0</v>
      </c>
      <c r="AH289" s="389">
        <f>IF(AH$2&lt;=analysis_period,IF(SUM($C619:AH619)&gt;0,AG289+1,0),0)</f>
        <v>0</v>
      </c>
      <c r="AI289" s="389">
        <f>IF(AI$2&lt;=analysis_period,IF(SUM($C619:AI619)&gt;0,AH289+1,0),0)</f>
        <v>0</v>
      </c>
      <c r="AJ289" s="389">
        <f>IF(AJ$2&lt;=analysis_period,IF(SUM($C619:AJ619)&gt;0,AI289+1,0),0)</f>
        <v>0</v>
      </c>
      <c r="AK289" s="389">
        <f>IF(AK$2&lt;=analysis_period,IF(SUM($C619:AK619)&gt;0,AJ289+1,0),0)</f>
        <v>0</v>
      </c>
      <c r="AL289" s="389">
        <f>IF(AL$2&lt;=analysis_period,IF(SUM($C619:AL619)&gt;0,AK289+1,0),0)</f>
        <v>0</v>
      </c>
      <c r="AM289" s="389">
        <f>IF(AM$2&lt;=analysis_period,IF(SUM($C619:AM619)&gt;0,AL289+1,0),0)</f>
        <v>0</v>
      </c>
      <c r="AN289" s="389">
        <f>IF(AN$2&lt;=analysis_period,IF(SUM($C619:AN619)&gt;0,AM289+1,0),0)</f>
        <v>0</v>
      </c>
      <c r="AO289" s="389">
        <f>IF(AO$2&lt;=analysis_period,IF(SUM($C619:AO619)&gt;0,AN289+1,0),0)</f>
        <v>0</v>
      </c>
      <c r="AP289" s="389">
        <f>IF(AP$2&lt;=analysis_period,IF(SUM($C619:AP619)&gt;0,AO289+1,0),0)</f>
        <v>0</v>
      </c>
    </row>
    <row r="290" spans="1:42" x14ac:dyDescent="0.2">
      <c r="A290" s="21">
        <f t="shared" si="136"/>
        <v>4</v>
      </c>
      <c r="C290" s="389">
        <f>IF(C$2&lt;=analysis_period,IF(SUM($C620:C620)&gt;0,B290+1,0),0)</f>
        <v>0</v>
      </c>
      <c r="D290" s="389">
        <f>IF(D$2&lt;=analysis_period,IF(SUM($C620:D620)&gt;0,C290+1,0),0)</f>
        <v>0</v>
      </c>
      <c r="E290" s="389">
        <f>IF(E$2&lt;=analysis_period,IF(SUM($C620:E620)&gt;0,D290+1,0),0)</f>
        <v>0</v>
      </c>
      <c r="F290" s="389">
        <f>IF(F$2&lt;=analysis_period,IF(SUM($C620:F620)&gt;0,E290+1,0),0)</f>
        <v>0</v>
      </c>
      <c r="G290" s="389">
        <f>IF(G$2&lt;=analysis_period,IF(SUM($C620:G620)&gt;0,F290+1,0),0)</f>
        <v>0</v>
      </c>
      <c r="H290" s="389">
        <f>IF(H$2&lt;=analysis_period,IF(SUM($C620:H620)&gt;0,G290+1,0),0)</f>
        <v>0</v>
      </c>
      <c r="I290" s="389">
        <f>IF(I$2&lt;=analysis_period,IF(SUM($C620:I620)&gt;0,H290+1,0),0)</f>
        <v>0</v>
      </c>
      <c r="J290" s="389">
        <f>IF(J$2&lt;=analysis_period,IF(SUM($C620:J620)&gt;0,I290+1,0),0)</f>
        <v>0</v>
      </c>
      <c r="K290" s="389">
        <f>IF(K$2&lt;=analysis_period,IF(SUM($C620:K620)&gt;0,J290+1,0),0)</f>
        <v>0</v>
      </c>
      <c r="L290" s="389">
        <f>IF(L$2&lt;=analysis_period,IF(SUM($C620:L620)&gt;0,K290+1,0),0)</f>
        <v>0</v>
      </c>
      <c r="M290" s="389">
        <f>IF(M$2&lt;=analysis_period,IF(SUM($C620:M620)&gt;0,L290+1,0),0)</f>
        <v>0</v>
      </c>
      <c r="N290" s="389">
        <f>IF(N$2&lt;=analysis_period,IF(SUM($C620:N620)&gt;0,M290+1,0),0)</f>
        <v>0</v>
      </c>
      <c r="O290" s="389">
        <f>IF(O$2&lt;=analysis_period,IF(SUM($C620:O620)&gt;0,N290+1,0),0)</f>
        <v>0</v>
      </c>
      <c r="P290" s="389">
        <f>IF(P$2&lt;=analysis_period,IF(SUM($C620:P620)&gt;0,O290+1,0),0)</f>
        <v>0</v>
      </c>
      <c r="Q290" s="389">
        <f>IF(Q$2&lt;=analysis_period,IF(SUM($C620:Q620)&gt;0,P290+1,0),0)</f>
        <v>0</v>
      </c>
      <c r="R290" s="389">
        <f>IF(R$2&lt;=analysis_period,IF(SUM($C620:R620)&gt;0,Q290+1,0),0)</f>
        <v>0</v>
      </c>
      <c r="S290" s="389">
        <f>IF(S$2&lt;=analysis_period,IF(SUM($C620:S620)&gt;0,R290+1,0),0)</f>
        <v>0</v>
      </c>
      <c r="T290" s="389">
        <f>IF(T$2&lt;=analysis_period,IF(SUM($C620:T620)&gt;0,S290+1,0),0)</f>
        <v>0</v>
      </c>
      <c r="U290" s="389">
        <f>IF(U$2&lt;=analysis_period,IF(SUM($C620:U620)&gt;0,T290+1,0),0)</f>
        <v>0</v>
      </c>
      <c r="V290" s="389">
        <f>IF(V$2&lt;=analysis_period,IF(SUM($C620:V620)&gt;0,U290+1,0),0)</f>
        <v>0</v>
      </c>
      <c r="W290" s="389">
        <f>IF(W$2&lt;=analysis_period,IF(SUM($C620:W620)&gt;0,V290+1,0),0)</f>
        <v>0</v>
      </c>
      <c r="X290" s="389">
        <f>IF(X$2&lt;=analysis_period,IF(SUM($C620:X620)&gt;0,W290+1,0),0)</f>
        <v>0</v>
      </c>
      <c r="Y290" s="389">
        <f>IF(Y$2&lt;=analysis_period,IF(SUM($C620:Y620)&gt;0,X290+1,0),0)</f>
        <v>0</v>
      </c>
      <c r="Z290" s="389">
        <f>IF(Z$2&lt;=analysis_period,IF(SUM($C620:Z620)&gt;0,Y290+1,0),0)</f>
        <v>0</v>
      </c>
      <c r="AA290" s="389">
        <f>IF(AA$2&lt;=analysis_period,IF(SUM($C620:AA620)&gt;0,Z290+1,0),0)</f>
        <v>0</v>
      </c>
      <c r="AB290" s="389">
        <f>IF(AB$2&lt;=analysis_period,IF(SUM($C620:AB620)&gt;0,AA290+1,0),0)</f>
        <v>0</v>
      </c>
      <c r="AC290" s="389">
        <f>IF(AC$2&lt;=analysis_period,IF(SUM($C620:AC620)&gt;0,AB290+1,0),0)</f>
        <v>0</v>
      </c>
      <c r="AD290" s="389">
        <f>IF(AD$2&lt;=analysis_period,IF(SUM($C620:AD620)&gt;0,AC290+1,0),0)</f>
        <v>0</v>
      </c>
      <c r="AE290" s="389">
        <f>IF(AE$2&lt;=analysis_period,IF(SUM($C620:AE620)&gt;0,AD290+1,0),0)</f>
        <v>0</v>
      </c>
      <c r="AF290" s="389">
        <f>IF(AF$2&lt;=analysis_period,IF(SUM($C620:AF620)&gt;0,AE290+1,0),0)</f>
        <v>0</v>
      </c>
      <c r="AG290" s="389">
        <f>IF(AG$2&lt;=analysis_period,IF(SUM($C620:AG620)&gt;0,AF290+1,0),0)</f>
        <v>0</v>
      </c>
      <c r="AH290" s="389">
        <f>IF(AH$2&lt;=analysis_period,IF(SUM($C620:AH620)&gt;0,AG290+1,0),0)</f>
        <v>0</v>
      </c>
      <c r="AI290" s="389">
        <f>IF(AI$2&lt;=analysis_period,IF(SUM($C620:AI620)&gt;0,AH290+1,0),0)</f>
        <v>0</v>
      </c>
      <c r="AJ290" s="389">
        <f>IF(AJ$2&lt;=analysis_period,IF(SUM($C620:AJ620)&gt;0,AI290+1,0),0)</f>
        <v>0</v>
      </c>
      <c r="AK290" s="389">
        <f>IF(AK$2&lt;=analysis_period,IF(SUM($C620:AK620)&gt;0,AJ290+1,0),0)</f>
        <v>0</v>
      </c>
      <c r="AL290" s="389">
        <f>IF(AL$2&lt;=analysis_period,IF(SUM($C620:AL620)&gt;0,AK290+1,0),0)</f>
        <v>0</v>
      </c>
      <c r="AM290" s="389">
        <f>IF(AM$2&lt;=analysis_period,IF(SUM($C620:AM620)&gt;0,AL290+1,0),0)</f>
        <v>0</v>
      </c>
      <c r="AN290" s="389">
        <f>IF(AN$2&lt;=analysis_period,IF(SUM($C620:AN620)&gt;0,AM290+1,0),0)</f>
        <v>0</v>
      </c>
      <c r="AO290" s="389">
        <f>IF(AO$2&lt;=analysis_period,IF(SUM($C620:AO620)&gt;0,AN290+1,0),0)</f>
        <v>0</v>
      </c>
      <c r="AP290" s="389">
        <f>IF(AP$2&lt;=analysis_period,IF(SUM($C620:AP620)&gt;0,AO290+1,0),0)</f>
        <v>0</v>
      </c>
    </row>
    <row r="291" spans="1:42" x14ac:dyDescent="0.2">
      <c r="A291" s="21">
        <f t="shared" si="136"/>
        <v>5</v>
      </c>
      <c r="C291" s="389">
        <f>IF(C$2&lt;=analysis_period,IF(SUM($C621:C621)&gt;0,B291+1,0),0)</f>
        <v>0</v>
      </c>
      <c r="D291" s="389">
        <f>IF(D$2&lt;=analysis_period,IF(SUM($C621:D621)&gt;0,C291+1,0),0)</f>
        <v>0</v>
      </c>
      <c r="E291" s="389">
        <f>IF(E$2&lt;=analysis_period,IF(SUM($C621:E621)&gt;0,D291+1,0),0)</f>
        <v>0</v>
      </c>
      <c r="F291" s="389">
        <f>IF(F$2&lt;=analysis_period,IF(SUM($C621:F621)&gt;0,E291+1,0),0)</f>
        <v>0</v>
      </c>
      <c r="G291" s="389">
        <f>IF(G$2&lt;=analysis_period,IF(SUM($C621:G621)&gt;0,F291+1,0),0)</f>
        <v>0</v>
      </c>
      <c r="H291" s="389">
        <f>IF(H$2&lt;=analysis_period,IF(SUM($C621:H621)&gt;0,G291+1,0),0)</f>
        <v>0</v>
      </c>
      <c r="I291" s="389">
        <f>IF(I$2&lt;=analysis_period,IF(SUM($C621:I621)&gt;0,H291+1,0),0)</f>
        <v>0</v>
      </c>
      <c r="J291" s="389">
        <f>IF(J$2&lt;=analysis_period,IF(SUM($C621:J621)&gt;0,I291+1,0),0)</f>
        <v>0</v>
      </c>
      <c r="K291" s="389">
        <f>IF(K$2&lt;=analysis_period,IF(SUM($C621:K621)&gt;0,J291+1,0),0)</f>
        <v>0</v>
      </c>
      <c r="L291" s="389">
        <f>IF(L$2&lt;=analysis_period,IF(SUM($C621:L621)&gt;0,K291+1,0),0)</f>
        <v>0</v>
      </c>
      <c r="M291" s="389">
        <f>IF(M$2&lt;=analysis_period,IF(SUM($C621:M621)&gt;0,L291+1,0),0)</f>
        <v>0</v>
      </c>
      <c r="N291" s="389">
        <f>IF(N$2&lt;=analysis_period,IF(SUM($C621:N621)&gt;0,M291+1,0),0)</f>
        <v>0</v>
      </c>
      <c r="O291" s="389">
        <f>IF(O$2&lt;=analysis_period,IF(SUM($C621:O621)&gt;0,N291+1,0),0)</f>
        <v>0</v>
      </c>
      <c r="P291" s="389">
        <f>IF(P$2&lt;=analysis_period,IF(SUM($C621:P621)&gt;0,O291+1,0),0)</f>
        <v>0</v>
      </c>
      <c r="Q291" s="389">
        <f>IF(Q$2&lt;=analysis_period,IF(SUM($C621:Q621)&gt;0,P291+1,0),0)</f>
        <v>0</v>
      </c>
      <c r="R291" s="389">
        <f>IF(R$2&lt;=analysis_period,IF(SUM($C621:R621)&gt;0,Q291+1,0),0)</f>
        <v>0</v>
      </c>
      <c r="S291" s="389">
        <f>IF(S$2&lt;=analysis_period,IF(SUM($C621:S621)&gt;0,R291+1,0),0)</f>
        <v>0</v>
      </c>
      <c r="T291" s="389">
        <f>IF(T$2&lt;=analysis_period,IF(SUM($C621:T621)&gt;0,S291+1,0),0)</f>
        <v>0</v>
      </c>
      <c r="U291" s="389">
        <f>IF(U$2&lt;=analysis_period,IF(SUM($C621:U621)&gt;0,T291+1,0),0)</f>
        <v>0</v>
      </c>
      <c r="V291" s="389">
        <f>IF(V$2&lt;=analysis_period,IF(SUM($C621:V621)&gt;0,U291+1,0),0)</f>
        <v>0</v>
      </c>
      <c r="W291" s="389">
        <f>IF(W$2&lt;=analysis_period,IF(SUM($C621:W621)&gt;0,V291+1,0),0)</f>
        <v>0</v>
      </c>
      <c r="X291" s="389">
        <f>IF(X$2&lt;=analysis_period,IF(SUM($C621:X621)&gt;0,W291+1,0),0)</f>
        <v>0</v>
      </c>
      <c r="Y291" s="389">
        <f>IF(Y$2&lt;=analysis_period,IF(SUM($C621:Y621)&gt;0,X291+1,0),0)</f>
        <v>0</v>
      </c>
      <c r="Z291" s="389">
        <f>IF(Z$2&lt;=analysis_period,IF(SUM($C621:Z621)&gt;0,Y291+1,0),0)</f>
        <v>0</v>
      </c>
      <c r="AA291" s="389">
        <f>IF(AA$2&lt;=analysis_period,IF(SUM($C621:AA621)&gt;0,Z291+1,0),0)</f>
        <v>0</v>
      </c>
      <c r="AB291" s="389">
        <f>IF(AB$2&lt;=analysis_period,IF(SUM($C621:AB621)&gt;0,AA291+1,0),0)</f>
        <v>0</v>
      </c>
      <c r="AC291" s="389">
        <f>IF(AC$2&lt;=analysis_period,IF(SUM($C621:AC621)&gt;0,AB291+1,0),0)</f>
        <v>0</v>
      </c>
      <c r="AD291" s="389">
        <f>IF(AD$2&lt;=analysis_period,IF(SUM($C621:AD621)&gt;0,AC291+1,0),0)</f>
        <v>0</v>
      </c>
      <c r="AE291" s="389">
        <f>IF(AE$2&lt;=analysis_period,IF(SUM($C621:AE621)&gt;0,AD291+1,0),0)</f>
        <v>0</v>
      </c>
      <c r="AF291" s="389">
        <f>IF(AF$2&lt;=analysis_period,IF(SUM($C621:AF621)&gt;0,AE291+1,0),0)</f>
        <v>0</v>
      </c>
      <c r="AG291" s="389">
        <f>IF(AG$2&lt;=analysis_period,IF(SUM($C621:AG621)&gt;0,AF291+1,0),0)</f>
        <v>0</v>
      </c>
      <c r="AH291" s="389">
        <f>IF(AH$2&lt;=analysis_period,IF(SUM($C621:AH621)&gt;0,AG291+1,0),0)</f>
        <v>0</v>
      </c>
      <c r="AI291" s="389">
        <f>IF(AI$2&lt;=analysis_period,IF(SUM($C621:AI621)&gt;0,AH291+1,0),0)</f>
        <v>0</v>
      </c>
      <c r="AJ291" s="389">
        <f>IF(AJ$2&lt;=analysis_period,IF(SUM($C621:AJ621)&gt;0,AI291+1,0),0)</f>
        <v>0</v>
      </c>
      <c r="AK291" s="389">
        <f>IF(AK$2&lt;=analysis_period,IF(SUM($C621:AK621)&gt;0,AJ291+1,0),0)</f>
        <v>0</v>
      </c>
      <c r="AL291" s="389">
        <f>IF(AL$2&lt;=analysis_period,IF(SUM($C621:AL621)&gt;0,AK291+1,0),0)</f>
        <v>0</v>
      </c>
      <c r="AM291" s="389">
        <f>IF(AM$2&lt;=analysis_period,IF(SUM($C621:AM621)&gt;0,AL291+1,0),0)</f>
        <v>0</v>
      </c>
      <c r="AN291" s="389">
        <f>IF(AN$2&lt;=analysis_period,IF(SUM($C621:AN621)&gt;0,AM291+1,0),0)</f>
        <v>0</v>
      </c>
      <c r="AO291" s="389">
        <f>IF(AO$2&lt;=analysis_period,IF(SUM($C621:AO621)&gt;0,AN291+1,0),0)</f>
        <v>0</v>
      </c>
      <c r="AP291" s="389">
        <f>IF(AP$2&lt;=analysis_period,IF(SUM($C621:AP621)&gt;0,AO291+1,0),0)</f>
        <v>0</v>
      </c>
    </row>
    <row r="292" spans="1:42" x14ac:dyDescent="0.2">
      <c r="A292" s="21">
        <f t="shared" si="136"/>
        <v>6</v>
      </c>
      <c r="C292" s="389">
        <f>IF(C$2&lt;=analysis_period,IF(SUM($C622:C622)&gt;0,B292+1,0),0)</f>
        <v>0</v>
      </c>
      <c r="D292" s="389">
        <f>IF(D$2&lt;=analysis_period,IF(SUM($C622:D622)&gt;0,C292+1,0),0)</f>
        <v>0</v>
      </c>
      <c r="E292" s="389">
        <f>IF(E$2&lt;=analysis_period,IF(SUM($C622:E622)&gt;0,D292+1,0),0)</f>
        <v>0</v>
      </c>
      <c r="F292" s="389">
        <f>IF(F$2&lt;=analysis_period,IF(SUM($C622:F622)&gt;0,E292+1,0),0)</f>
        <v>0</v>
      </c>
      <c r="G292" s="389">
        <f>IF(G$2&lt;=analysis_period,IF(SUM($C622:G622)&gt;0,F292+1,0),0)</f>
        <v>0</v>
      </c>
      <c r="H292" s="389">
        <f>IF(H$2&lt;=analysis_period,IF(SUM($C622:H622)&gt;0,G292+1,0),0)</f>
        <v>0</v>
      </c>
      <c r="I292" s="389">
        <f>IF(I$2&lt;=analysis_period,IF(SUM($C622:I622)&gt;0,H292+1,0),0)</f>
        <v>0</v>
      </c>
      <c r="J292" s="389">
        <f>IF(J$2&lt;=analysis_period,IF(SUM($C622:J622)&gt;0,I292+1,0),0)</f>
        <v>0</v>
      </c>
      <c r="K292" s="389">
        <f>IF(K$2&lt;=analysis_period,IF(SUM($C622:K622)&gt;0,J292+1,0),0)</f>
        <v>0</v>
      </c>
      <c r="L292" s="389">
        <f>IF(L$2&lt;=analysis_period,IF(SUM($C622:L622)&gt;0,K292+1,0),0)</f>
        <v>0</v>
      </c>
      <c r="M292" s="389">
        <f>IF(M$2&lt;=analysis_period,IF(SUM($C622:M622)&gt;0,L292+1,0),0)</f>
        <v>0</v>
      </c>
      <c r="N292" s="389">
        <f>IF(N$2&lt;=analysis_period,IF(SUM($C622:N622)&gt;0,M292+1,0),0)</f>
        <v>0</v>
      </c>
      <c r="O292" s="389">
        <f>IF(O$2&lt;=analysis_period,IF(SUM($C622:O622)&gt;0,N292+1,0),0)</f>
        <v>0</v>
      </c>
      <c r="P292" s="389">
        <f>IF(P$2&lt;=analysis_period,IF(SUM($C622:P622)&gt;0,O292+1,0),0)</f>
        <v>0</v>
      </c>
      <c r="Q292" s="389">
        <f>IF(Q$2&lt;=analysis_period,IF(SUM($C622:Q622)&gt;0,P292+1,0),0)</f>
        <v>0</v>
      </c>
      <c r="R292" s="389">
        <f>IF(R$2&lt;=analysis_period,IF(SUM($C622:R622)&gt;0,Q292+1,0),0)</f>
        <v>0</v>
      </c>
      <c r="S292" s="389">
        <f>IF(S$2&lt;=analysis_period,IF(SUM($C622:S622)&gt;0,R292+1,0),0)</f>
        <v>0</v>
      </c>
      <c r="T292" s="389">
        <f>IF(T$2&lt;=analysis_period,IF(SUM($C622:T622)&gt;0,S292+1,0),0)</f>
        <v>0</v>
      </c>
      <c r="U292" s="389">
        <f>IF(U$2&lt;=analysis_period,IF(SUM($C622:U622)&gt;0,T292+1,0),0)</f>
        <v>0</v>
      </c>
      <c r="V292" s="389">
        <f>IF(V$2&lt;=analysis_period,IF(SUM($C622:V622)&gt;0,U292+1,0),0)</f>
        <v>0</v>
      </c>
      <c r="W292" s="389">
        <f>IF(W$2&lt;=analysis_period,IF(SUM($C622:W622)&gt;0,V292+1,0),0)</f>
        <v>0</v>
      </c>
      <c r="X292" s="389">
        <f>IF(X$2&lt;=analysis_period,IF(SUM($C622:X622)&gt;0,W292+1,0),0)</f>
        <v>0</v>
      </c>
      <c r="Y292" s="389">
        <f>IF(Y$2&lt;=analysis_period,IF(SUM($C622:Y622)&gt;0,X292+1,0),0)</f>
        <v>0</v>
      </c>
      <c r="Z292" s="389">
        <f>IF(Z$2&lt;=analysis_period,IF(SUM($C622:Z622)&gt;0,Y292+1,0),0)</f>
        <v>0</v>
      </c>
      <c r="AA292" s="389">
        <f>IF(AA$2&lt;=analysis_period,IF(SUM($C622:AA622)&gt;0,Z292+1,0),0)</f>
        <v>0</v>
      </c>
      <c r="AB292" s="389">
        <f>IF(AB$2&lt;=analysis_period,IF(SUM($C622:AB622)&gt;0,AA292+1,0),0)</f>
        <v>0</v>
      </c>
      <c r="AC292" s="389">
        <f>IF(AC$2&lt;=analysis_period,IF(SUM($C622:AC622)&gt;0,AB292+1,0),0)</f>
        <v>0</v>
      </c>
      <c r="AD292" s="389">
        <f>IF(AD$2&lt;=analysis_period,IF(SUM($C622:AD622)&gt;0,AC292+1,0),0)</f>
        <v>0</v>
      </c>
      <c r="AE292" s="389">
        <f>IF(AE$2&lt;=analysis_period,IF(SUM($C622:AE622)&gt;0,AD292+1,0),0)</f>
        <v>0</v>
      </c>
      <c r="AF292" s="389">
        <f>IF(AF$2&lt;=analysis_period,IF(SUM($C622:AF622)&gt;0,AE292+1,0),0)</f>
        <v>0</v>
      </c>
      <c r="AG292" s="389">
        <f>IF(AG$2&lt;=analysis_period,IF(SUM($C622:AG622)&gt;0,AF292+1,0),0)</f>
        <v>0</v>
      </c>
      <c r="AH292" s="389">
        <f>IF(AH$2&lt;=analysis_period,IF(SUM($C622:AH622)&gt;0,AG292+1,0),0)</f>
        <v>0</v>
      </c>
      <c r="AI292" s="389">
        <f>IF(AI$2&lt;=analysis_period,IF(SUM($C622:AI622)&gt;0,AH292+1,0),0)</f>
        <v>0</v>
      </c>
      <c r="AJ292" s="389">
        <f>IF(AJ$2&lt;=analysis_period,IF(SUM($C622:AJ622)&gt;0,AI292+1,0),0)</f>
        <v>0</v>
      </c>
      <c r="AK292" s="389">
        <f>IF(AK$2&lt;=analysis_period,IF(SUM($C622:AK622)&gt;0,AJ292+1,0),0)</f>
        <v>0</v>
      </c>
      <c r="AL292" s="389">
        <f>IF(AL$2&lt;=analysis_period,IF(SUM($C622:AL622)&gt;0,AK292+1,0),0)</f>
        <v>0</v>
      </c>
      <c r="AM292" s="389">
        <f>IF(AM$2&lt;=analysis_period,IF(SUM($C622:AM622)&gt;0,AL292+1,0),0)</f>
        <v>0</v>
      </c>
      <c r="AN292" s="389">
        <f>IF(AN$2&lt;=analysis_period,IF(SUM($C622:AN622)&gt;0,AM292+1,0),0)</f>
        <v>0</v>
      </c>
      <c r="AO292" s="389">
        <f>IF(AO$2&lt;=analysis_period,IF(SUM($C622:AO622)&gt;0,AN292+1,0),0)</f>
        <v>0</v>
      </c>
      <c r="AP292" s="389">
        <f>IF(AP$2&lt;=analysis_period,IF(SUM($C622:AP622)&gt;0,AO292+1,0),0)</f>
        <v>0</v>
      </c>
    </row>
    <row r="293" spans="1:42" x14ac:dyDescent="0.2">
      <c r="A293" s="21">
        <f t="shared" si="136"/>
        <v>7</v>
      </c>
      <c r="C293" s="389">
        <f>IF(C$2&lt;=analysis_period,IF(SUM($C623:C623)&gt;0,B293+1,0),0)</f>
        <v>0</v>
      </c>
      <c r="D293" s="389">
        <f>IF(D$2&lt;=analysis_period,IF(SUM($C623:D623)&gt;0,C293+1,0),0)</f>
        <v>0</v>
      </c>
      <c r="E293" s="389">
        <f>IF(E$2&lt;=analysis_period,IF(SUM($C623:E623)&gt;0,D293+1,0),0)</f>
        <v>0</v>
      </c>
      <c r="F293" s="389">
        <f>IF(F$2&lt;=analysis_period,IF(SUM($C623:F623)&gt;0,E293+1,0),0)</f>
        <v>0</v>
      </c>
      <c r="G293" s="389">
        <f>IF(G$2&lt;=analysis_period,IF(SUM($C623:G623)&gt;0,F293+1,0),0)</f>
        <v>0</v>
      </c>
      <c r="H293" s="389">
        <f>IF(H$2&lt;=analysis_period,IF(SUM($C623:H623)&gt;0,G293+1,0),0)</f>
        <v>0</v>
      </c>
      <c r="I293" s="389">
        <f>IF(I$2&lt;=analysis_period,IF(SUM($C623:I623)&gt;0,H293+1,0),0)</f>
        <v>0</v>
      </c>
      <c r="J293" s="389">
        <f>IF(J$2&lt;=analysis_period,IF(SUM($C623:J623)&gt;0,I293+1,0),0)</f>
        <v>0</v>
      </c>
      <c r="K293" s="389">
        <f>IF(K$2&lt;=analysis_period,IF(SUM($C623:K623)&gt;0,J293+1,0),0)</f>
        <v>0</v>
      </c>
      <c r="L293" s="389">
        <f>IF(L$2&lt;=analysis_period,IF(SUM($C623:L623)&gt;0,K293+1,0),0)</f>
        <v>0</v>
      </c>
      <c r="M293" s="389">
        <f>IF(M$2&lt;=analysis_period,IF(SUM($C623:M623)&gt;0,L293+1,0),0)</f>
        <v>0</v>
      </c>
      <c r="N293" s="389">
        <f>IF(N$2&lt;=analysis_period,IF(SUM($C623:N623)&gt;0,M293+1,0),0)</f>
        <v>0</v>
      </c>
      <c r="O293" s="389">
        <f>IF(O$2&lt;=analysis_period,IF(SUM($C623:O623)&gt;0,N293+1,0),0)</f>
        <v>0</v>
      </c>
      <c r="P293" s="389">
        <f>IF(P$2&lt;=analysis_period,IF(SUM($C623:P623)&gt;0,O293+1,0),0)</f>
        <v>0</v>
      </c>
      <c r="Q293" s="389">
        <f>IF(Q$2&lt;=analysis_period,IF(SUM($C623:Q623)&gt;0,P293+1,0),0)</f>
        <v>0</v>
      </c>
      <c r="R293" s="389">
        <f>IF(R$2&lt;=analysis_period,IF(SUM($C623:R623)&gt;0,Q293+1,0),0)</f>
        <v>0</v>
      </c>
      <c r="S293" s="389">
        <f>IF(S$2&lt;=analysis_period,IF(SUM($C623:S623)&gt;0,R293+1,0),0)</f>
        <v>0</v>
      </c>
      <c r="T293" s="389">
        <f>IF(T$2&lt;=analysis_period,IF(SUM($C623:T623)&gt;0,S293+1,0),0)</f>
        <v>0</v>
      </c>
      <c r="U293" s="389">
        <f>IF(U$2&lt;=analysis_period,IF(SUM($C623:U623)&gt;0,T293+1,0),0)</f>
        <v>0</v>
      </c>
      <c r="V293" s="389">
        <f>IF(V$2&lt;=analysis_period,IF(SUM($C623:V623)&gt;0,U293+1,0),0)</f>
        <v>0</v>
      </c>
      <c r="W293" s="389">
        <f>IF(W$2&lt;=analysis_period,IF(SUM($C623:W623)&gt;0,V293+1,0),0)</f>
        <v>0</v>
      </c>
      <c r="X293" s="389">
        <f>IF(X$2&lt;=analysis_period,IF(SUM($C623:X623)&gt;0,W293+1,0),0)</f>
        <v>0</v>
      </c>
      <c r="Y293" s="389">
        <f>IF(Y$2&lt;=analysis_period,IF(SUM($C623:Y623)&gt;0,X293+1,0),0)</f>
        <v>0</v>
      </c>
      <c r="Z293" s="389">
        <f>IF(Z$2&lt;=analysis_period,IF(SUM($C623:Z623)&gt;0,Y293+1,0),0)</f>
        <v>0</v>
      </c>
      <c r="AA293" s="389">
        <f>IF(AA$2&lt;=analysis_period,IF(SUM($C623:AA623)&gt;0,Z293+1,0),0)</f>
        <v>0</v>
      </c>
      <c r="AB293" s="389">
        <f>IF(AB$2&lt;=analysis_period,IF(SUM($C623:AB623)&gt;0,AA293+1,0),0)</f>
        <v>0</v>
      </c>
      <c r="AC293" s="389">
        <f>IF(AC$2&lt;=analysis_period,IF(SUM($C623:AC623)&gt;0,AB293+1,0),0)</f>
        <v>0</v>
      </c>
      <c r="AD293" s="389">
        <f>IF(AD$2&lt;=analysis_period,IF(SUM($C623:AD623)&gt;0,AC293+1,0),0)</f>
        <v>0</v>
      </c>
      <c r="AE293" s="389">
        <f>IF(AE$2&lt;=analysis_period,IF(SUM($C623:AE623)&gt;0,AD293+1,0),0)</f>
        <v>0</v>
      </c>
      <c r="AF293" s="389">
        <f>IF(AF$2&lt;=analysis_period,IF(SUM($C623:AF623)&gt;0,AE293+1,0),0)</f>
        <v>0</v>
      </c>
      <c r="AG293" s="389">
        <f>IF(AG$2&lt;=analysis_period,IF(SUM($C623:AG623)&gt;0,AF293+1,0),0)</f>
        <v>0</v>
      </c>
      <c r="AH293" s="389">
        <f>IF(AH$2&lt;=analysis_period,IF(SUM($C623:AH623)&gt;0,AG293+1,0),0)</f>
        <v>0</v>
      </c>
      <c r="AI293" s="389">
        <f>IF(AI$2&lt;=analysis_period,IF(SUM($C623:AI623)&gt;0,AH293+1,0),0)</f>
        <v>0</v>
      </c>
      <c r="AJ293" s="389">
        <f>IF(AJ$2&lt;=analysis_period,IF(SUM($C623:AJ623)&gt;0,AI293+1,0),0)</f>
        <v>0</v>
      </c>
      <c r="AK293" s="389">
        <f>IF(AK$2&lt;=analysis_period,IF(SUM($C623:AK623)&gt;0,AJ293+1,0),0)</f>
        <v>0</v>
      </c>
      <c r="AL293" s="389">
        <f>IF(AL$2&lt;=analysis_period,IF(SUM($C623:AL623)&gt;0,AK293+1,0),0)</f>
        <v>0</v>
      </c>
      <c r="AM293" s="389">
        <f>IF(AM$2&lt;=analysis_period,IF(SUM($C623:AM623)&gt;0,AL293+1,0),0)</f>
        <v>0</v>
      </c>
      <c r="AN293" s="389">
        <f>IF(AN$2&lt;=analysis_period,IF(SUM($C623:AN623)&gt;0,AM293+1,0),0)</f>
        <v>0</v>
      </c>
      <c r="AO293" s="389">
        <f>IF(AO$2&lt;=analysis_period,IF(SUM($C623:AO623)&gt;0,AN293+1,0),0)</f>
        <v>0</v>
      </c>
      <c r="AP293" s="389">
        <f>IF(AP$2&lt;=analysis_period,IF(SUM($C623:AP623)&gt;0,AO293+1,0),0)</f>
        <v>0</v>
      </c>
    </row>
    <row r="294" spans="1:42" x14ac:dyDescent="0.2">
      <c r="A294" s="21">
        <f t="shared" si="136"/>
        <v>8</v>
      </c>
      <c r="C294" s="389">
        <f>IF(C$2&lt;=analysis_period,IF(SUM($C624:C624)&gt;0,B294+1,0),0)</f>
        <v>0</v>
      </c>
      <c r="D294" s="389">
        <f>IF(D$2&lt;=analysis_period,IF(SUM($C624:D624)&gt;0,C294+1,0),0)</f>
        <v>0</v>
      </c>
      <c r="E294" s="389">
        <f>IF(E$2&lt;=analysis_period,IF(SUM($C624:E624)&gt;0,D294+1,0),0)</f>
        <v>0</v>
      </c>
      <c r="F294" s="389">
        <f>IF(F$2&lt;=analysis_period,IF(SUM($C624:F624)&gt;0,E294+1,0),0)</f>
        <v>0</v>
      </c>
      <c r="G294" s="389">
        <f>IF(G$2&lt;=analysis_period,IF(SUM($C624:G624)&gt;0,F294+1,0),0)</f>
        <v>0</v>
      </c>
      <c r="H294" s="389">
        <f>IF(H$2&lt;=analysis_period,IF(SUM($C624:H624)&gt;0,G294+1,0),0)</f>
        <v>0</v>
      </c>
      <c r="I294" s="389">
        <f>IF(I$2&lt;=analysis_period,IF(SUM($C624:I624)&gt;0,H294+1,0),0)</f>
        <v>0</v>
      </c>
      <c r="J294" s="389">
        <f>IF(J$2&lt;=analysis_period,IF(SUM($C624:J624)&gt;0,I294+1,0),0)</f>
        <v>0</v>
      </c>
      <c r="K294" s="389">
        <f>IF(K$2&lt;=analysis_period,IF(SUM($C624:K624)&gt;0,J294+1,0),0)</f>
        <v>0</v>
      </c>
      <c r="L294" s="389">
        <f>IF(L$2&lt;=analysis_period,IF(SUM($C624:L624)&gt;0,K294+1,0),0)</f>
        <v>0</v>
      </c>
      <c r="M294" s="389">
        <f>IF(M$2&lt;=analysis_period,IF(SUM($C624:M624)&gt;0,L294+1,0),0)</f>
        <v>0</v>
      </c>
      <c r="N294" s="389">
        <f>IF(N$2&lt;=analysis_period,IF(SUM($C624:N624)&gt;0,M294+1,0),0)</f>
        <v>0</v>
      </c>
      <c r="O294" s="389">
        <f>IF(O$2&lt;=analysis_period,IF(SUM($C624:O624)&gt;0,N294+1,0),0)</f>
        <v>0</v>
      </c>
      <c r="P294" s="389">
        <f>IF(P$2&lt;=analysis_period,IF(SUM($C624:P624)&gt;0,O294+1,0),0)</f>
        <v>0</v>
      </c>
      <c r="Q294" s="389">
        <f>IF(Q$2&lt;=analysis_period,IF(SUM($C624:Q624)&gt;0,P294+1,0),0)</f>
        <v>0</v>
      </c>
      <c r="R294" s="389">
        <f>IF(R$2&lt;=analysis_period,IF(SUM($C624:R624)&gt;0,Q294+1,0),0)</f>
        <v>0</v>
      </c>
      <c r="S294" s="389">
        <f>IF(S$2&lt;=analysis_period,IF(SUM($C624:S624)&gt;0,R294+1,0),0)</f>
        <v>0</v>
      </c>
      <c r="T294" s="389">
        <f>IF(T$2&lt;=analysis_period,IF(SUM($C624:T624)&gt;0,S294+1,0),0)</f>
        <v>0</v>
      </c>
      <c r="U294" s="389">
        <f>IF(U$2&lt;=analysis_period,IF(SUM($C624:U624)&gt;0,T294+1,0),0)</f>
        <v>0</v>
      </c>
      <c r="V294" s="389">
        <f>IF(V$2&lt;=analysis_period,IF(SUM($C624:V624)&gt;0,U294+1,0),0)</f>
        <v>0</v>
      </c>
      <c r="W294" s="389">
        <f>IF(W$2&lt;=analysis_period,IF(SUM($C624:W624)&gt;0,V294+1,0),0)</f>
        <v>0</v>
      </c>
      <c r="X294" s="389">
        <f>IF(X$2&lt;=analysis_period,IF(SUM($C624:X624)&gt;0,W294+1,0),0)</f>
        <v>0</v>
      </c>
      <c r="Y294" s="389">
        <f>IF(Y$2&lt;=analysis_period,IF(SUM($C624:Y624)&gt;0,X294+1,0),0)</f>
        <v>0</v>
      </c>
      <c r="Z294" s="389">
        <f>IF(Z$2&lt;=analysis_period,IF(SUM($C624:Z624)&gt;0,Y294+1,0),0)</f>
        <v>0</v>
      </c>
      <c r="AA294" s="389">
        <f>IF(AA$2&lt;=analysis_period,IF(SUM($C624:AA624)&gt;0,Z294+1,0),0)</f>
        <v>0</v>
      </c>
      <c r="AB294" s="389">
        <f>IF(AB$2&lt;=analysis_period,IF(SUM($C624:AB624)&gt;0,AA294+1,0),0)</f>
        <v>0</v>
      </c>
      <c r="AC294" s="389">
        <f>IF(AC$2&lt;=analysis_period,IF(SUM($C624:AC624)&gt;0,AB294+1,0),0)</f>
        <v>0</v>
      </c>
      <c r="AD294" s="389">
        <f>IF(AD$2&lt;=analysis_period,IF(SUM($C624:AD624)&gt;0,AC294+1,0),0)</f>
        <v>0</v>
      </c>
      <c r="AE294" s="389">
        <f>IF(AE$2&lt;=analysis_period,IF(SUM($C624:AE624)&gt;0,AD294+1,0),0)</f>
        <v>0</v>
      </c>
      <c r="AF294" s="389">
        <f>IF(AF$2&lt;=analysis_period,IF(SUM($C624:AF624)&gt;0,AE294+1,0),0)</f>
        <v>0</v>
      </c>
      <c r="AG294" s="389">
        <f>IF(AG$2&lt;=analysis_period,IF(SUM($C624:AG624)&gt;0,AF294+1,0),0)</f>
        <v>0</v>
      </c>
      <c r="AH294" s="389">
        <f>IF(AH$2&lt;=analysis_period,IF(SUM($C624:AH624)&gt;0,AG294+1,0),0)</f>
        <v>0</v>
      </c>
      <c r="AI294" s="389">
        <f>IF(AI$2&lt;=analysis_period,IF(SUM($C624:AI624)&gt;0,AH294+1,0),0)</f>
        <v>0</v>
      </c>
      <c r="AJ294" s="389">
        <f>IF(AJ$2&lt;=analysis_period,IF(SUM($C624:AJ624)&gt;0,AI294+1,0),0)</f>
        <v>0</v>
      </c>
      <c r="AK294" s="389">
        <f>IF(AK$2&lt;=analysis_period,IF(SUM($C624:AK624)&gt;0,AJ294+1,0),0)</f>
        <v>0</v>
      </c>
      <c r="AL294" s="389">
        <f>IF(AL$2&lt;=analysis_period,IF(SUM($C624:AL624)&gt;0,AK294+1,0),0)</f>
        <v>0</v>
      </c>
      <c r="AM294" s="389">
        <f>IF(AM$2&lt;=analysis_period,IF(SUM($C624:AM624)&gt;0,AL294+1,0),0)</f>
        <v>0</v>
      </c>
      <c r="AN294" s="389">
        <f>IF(AN$2&lt;=analysis_period,IF(SUM($C624:AN624)&gt;0,AM294+1,0),0)</f>
        <v>0</v>
      </c>
      <c r="AO294" s="389">
        <f>IF(AO$2&lt;=analysis_period,IF(SUM($C624:AO624)&gt;0,AN294+1,0),0)</f>
        <v>0</v>
      </c>
      <c r="AP294" s="389">
        <f>IF(AP$2&lt;=analysis_period,IF(SUM($C624:AP624)&gt;0,AO294+1,0),0)</f>
        <v>0</v>
      </c>
    </row>
    <row r="295" spans="1:42" x14ac:dyDescent="0.2">
      <c r="A295" s="21">
        <f>A294+1</f>
        <v>9</v>
      </c>
      <c r="C295" s="389">
        <f>IF(C$2&lt;=analysis_period,IF(SUM($C625:C625)&gt;0,B295+1,0),0)</f>
        <v>0</v>
      </c>
      <c r="D295" s="389">
        <f>IF(D$2&lt;=analysis_period,IF(SUM($C625:D625)&gt;0,C295+1,0),0)</f>
        <v>0</v>
      </c>
      <c r="E295" s="389">
        <f>IF(E$2&lt;=analysis_period,IF(SUM($C625:E625)&gt;0,D295+1,0),0)</f>
        <v>0</v>
      </c>
      <c r="F295" s="389">
        <f>IF(F$2&lt;=analysis_period,IF(SUM($C625:F625)&gt;0,E295+1,0),0)</f>
        <v>0</v>
      </c>
      <c r="G295" s="389">
        <f>IF(G$2&lt;=analysis_period,IF(SUM($C625:G625)&gt;0,F295+1,0),0)</f>
        <v>0</v>
      </c>
      <c r="H295" s="389">
        <f>IF(H$2&lt;=analysis_period,IF(SUM($C625:H625)&gt;0,G295+1,0),0)</f>
        <v>0</v>
      </c>
      <c r="I295" s="389">
        <f>IF(I$2&lt;=analysis_period,IF(SUM($C625:I625)&gt;0,H295+1,0),0)</f>
        <v>0</v>
      </c>
      <c r="J295" s="389">
        <f>IF(J$2&lt;=analysis_period,IF(SUM($C625:J625)&gt;0,I295+1,0),0)</f>
        <v>0</v>
      </c>
      <c r="K295" s="389">
        <f>IF(K$2&lt;=analysis_period,IF(SUM($C625:K625)&gt;0,J295+1,0),0)</f>
        <v>0</v>
      </c>
      <c r="L295" s="389">
        <f>IF(L$2&lt;=analysis_period,IF(SUM($C625:L625)&gt;0,K295+1,0),0)</f>
        <v>0</v>
      </c>
      <c r="M295" s="389">
        <f>IF(M$2&lt;=analysis_period,IF(SUM($C625:M625)&gt;0,L295+1,0),0)</f>
        <v>0</v>
      </c>
      <c r="N295" s="389">
        <f>IF(N$2&lt;=analysis_period,IF(SUM($C625:N625)&gt;0,M295+1,0),0)</f>
        <v>0</v>
      </c>
      <c r="O295" s="389">
        <f>IF(O$2&lt;=analysis_period,IF(SUM($C625:O625)&gt;0,N295+1,0),0)</f>
        <v>0</v>
      </c>
      <c r="P295" s="389">
        <f>IF(P$2&lt;=analysis_period,IF(SUM($C625:P625)&gt;0,O295+1,0),0)</f>
        <v>0</v>
      </c>
      <c r="Q295" s="389">
        <f>IF(Q$2&lt;=analysis_period,IF(SUM($C625:Q625)&gt;0,P295+1,0),0)</f>
        <v>0</v>
      </c>
      <c r="R295" s="389">
        <f>IF(R$2&lt;=analysis_period,IF(SUM($C625:R625)&gt;0,Q295+1,0),0)</f>
        <v>0</v>
      </c>
      <c r="S295" s="389">
        <f>IF(S$2&lt;=analysis_period,IF(SUM($C625:S625)&gt;0,R295+1,0),0)</f>
        <v>0</v>
      </c>
      <c r="T295" s="389">
        <f>IF(T$2&lt;=analysis_period,IF(SUM($C625:T625)&gt;0,S295+1,0),0)</f>
        <v>0</v>
      </c>
      <c r="U295" s="389">
        <f>IF(U$2&lt;=analysis_period,IF(SUM($C625:U625)&gt;0,T295+1,0),0)</f>
        <v>0</v>
      </c>
      <c r="V295" s="389">
        <f>IF(V$2&lt;=analysis_period,IF(SUM($C625:V625)&gt;0,U295+1,0),0)</f>
        <v>0</v>
      </c>
      <c r="W295" s="389">
        <f>IF(W$2&lt;=analysis_period,IF(SUM($C625:W625)&gt;0,V295+1,0),0)</f>
        <v>0</v>
      </c>
      <c r="X295" s="389">
        <f>IF(X$2&lt;=analysis_period,IF(SUM($C625:X625)&gt;0,W295+1,0),0)</f>
        <v>0</v>
      </c>
      <c r="Y295" s="389">
        <f>IF(Y$2&lt;=analysis_period,IF(SUM($C625:Y625)&gt;0,X295+1,0),0)</f>
        <v>0</v>
      </c>
      <c r="Z295" s="389">
        <f>IF(Z$2&lt;=analysis_period,IF(SUM($C625:Z625)&gt;0,Y295+1,0),0)</f>
        <v>0</v>
      </c>
      <c r="AA295" s="389">
        <f>IF(AA$2&lt;=analysis_period,IF(SUM($C625:AA625)&gt;0,Z295+1,0),0)</f>
        <v>0</v>
      </c>
      <c r="AB295" s="389">
        <f>IF(AB$2&lt;=analysis_period,IF(SUM($C625:AB625)&gt;0,AA295+1,0),0)</f>
        <v>0</v>
      </c>
      <c r="AC295" s="389">
        <f>IF(AC$2&lt;=analysis_period,IF(SUM($C625:AC625)&gt;0,AB295+1,0),0)</f>
        <v>0</v>
      </c>
      <c r="AD295" s="389">
        <f>IF(AD$2&lt;=analysis_period,IF(SUM($C625:AD625)&gt;0,AC295+1,0),0)</f>
        <v>0</v>
      </c>
      <c r="AE295" s="389">
        <f>IF(AE$2&lt;=analysis_period,IF(SUM($C625:AE625)&gt;0,AD295+1,0),0)</f>
        <v>0</v>
      </c>
      <c r="AF295" s="389">
        <f>IF(AF$2&lt;=analysis_period,IF(SUM($C625:AF625)&gt;0,AE295+1,0),0)</f>
        <v>0</v>
      </c>
      <c r="AG295" s="389">
        <f>IF(AG$2&lt;=analysis_period,IF(SUM($C625:AG625)&gt;0,AF295+1,0),0)</f>
        <v>0</v>
      </c>
      <c r="AH295" s="389">
        <f>IF(AH$2&lt;=analysis_period,IF(SUM($C625:AH625)&gt;0,AG295+1,0),0)</f>
        <v>0</v>
      </c>
      <c r="AI295" s="389">
        <f>IF(AI$2&lt;=analysis_period,IF(SUM($C625:AI625)&gt;0,AH295+1,0),0)</f>
        <v>0</v>
      </c>
      <c r="AJ295" s="389">
        <f>IF(AJ$2&lt;=analysis_period,IF(SUM($C625:AJ625)&gt;0,AI295+1,0),0)</f>
        <v>0</v>
      </c>
      <c r="AK295" s="389">
        <f>IF(AK$2&lt;=analysis_period,IF(SUM($C625:AK625)&gt;0,AJ295+1,0),0)</f>
        <v>0</v>
      </c>
      <c r="AL295" s="389">
        <f>IF(AL$2&lt;=analysis_period,IF(SUM($C625:AL625)&gt;0,AK295+1,0),0)</f>
        <v>0</v>
      </c>
      <c r="AM295" s="389">
        <f>IF(AM$2&lt;=analysis_period,IF(SUM($C625:AM625)&gt;0,AL295+1,0),0)</f>
        <v>0</v>
      </c>
      <c r="AN295" s="389">
        <f>IF(AN$2&lt;=analysis_period,IF(SUM($C625:AN625)&gt;0,AM295+1,0),0)</f>
        <v>0</v>
      </c>
      <c r="AO295" s="389">
        <f>IF(AO$2&lt;=analysis_period,IF(SUM($C625:AO625)&gt;0,AN295+1,0),0)</f>
        <v>0</v>
      </c>
      <c r="AP295" s="389">
        <f>IF(AP$2&lt;=analysis_period,IF(SUM($C625:AP625)&gt;0,AO295+1,0),0)</f>
        <v>0</v>
      </c>
    </row>
    <row r="296" spans="1:42" x14ac:dyDescent="0.2">
      <c r="A296" s="21">
        <f t="shared" si="136"/>
        <v>10</v>
      </c>
      <c r="C296" s="389">
        <f>IF(C$2&lt;=analysis_period,IF(SUM($C626:C626)&gt;0,B296+1,0),0)</f>
        <v>0</v>
      </c>
      <c r="D296" s="389">
        <f>IF(D$2&lt;=analysis_period,IF(SUM($C626:D626)&gt;0,C296+1,0),0)</f>
        <v>0</v>
      </c>
      <c r="E296" s="389">
        <f>IF(E$2&lt;=analysis_period,IF(SUM($C626:E626)&gt;0,D296+1,0),0)</f>
        <v>0</v>
      </c>
      <c r="F296" s="389">
        <f>IF(F$2&lt;=analysis_period,IF(SUM($C626:F626)&gt;0,E296+1,0),0)</f>
        <v>0</v>
      </c>
      <c r="G296" s="389">
        <f>IF(G$2&lt;=analysis_period,IF(SUM($C626:G626)&gt;0,F296+1,0),0)</f>
        <v>0</v>
      </c>
      <c r="H296" s="389">
        <f>IF(H$2&lt;=analysis_period,IF(SUM($C626:H626)&gt;0,G296+1,0),0)</f>
        <v>0</v>
      </c>
      <c r="I296" s="389">
        <f>IF(I$2&lt;=analysis_period,IF(SUM($C626:I626)&gt;0,H296+1,0),0)</f>
        <v>0</v>
      </c>
      <c r="J296" s="389">
        <f>IF(J$2&lt;=analysis_period,IF(SUM($C626:J626)&gt;0,I296+1,0),0)</f>
        <v>0</v>
      </c>
      <c r="K296" s="389">
        <f>IF(K$2&lt;=analysis_period,IF(SUM($C626:K626)&gt;0,J296+1,0),0)</f>
        <v>0</v>
      </c>
      <c r="L296" s="389">
        <f>IF(L$2&lt;=analysis_period,IF(SUM($C626:L626)&gt;0,K296+1,0),0)</f>
        <v>0</v>
      </c>
      <c r="M296" s="389">
        <f>IF(M$2&lt;=analysis_period,IF(SUM($C626:M626)&gt;0,L296+1,0),0)</f>
        <v>0</v>
      </c>
      <c r="N296" s="389">
        <f>IF(N$2&lt;=analysis_period,IF(SUM($C626:N626)&gt;0,M296+1,0),0)</f>
        <v>0</v>
      </c>
      <c r="O296" s="389">
        <f>IF(O$2&lt;=analysis_period,IF(SUM($C626:O626)&gt;0,N296+1,0),0)</f>
        <v>0</v>
      </c>
      <c r="P296" s="389">
        <f>IF(P$2&lt;=analysis_period,IF(SUM($C626:P626)&gt;0,O296+1,0),0)</f>
        <v>0</v>
      </c>
      <c r="Q296" s="389">
        <f>IF(Q$2&lt;=analysis_period,IF(SUM($C626:Q626)&gt;0,P296+1,0),0)</f>
        <v>0</v>
      </c>
      <c r="R296" s="389">
        <f>IF(R$2&lt;=analysis_period,IF(SUM($C626:R626)&gt;0,Q296+1,0),0)</f>
        <v>0</v>
      </c>
      <c r="S296" s="389">
        <f>IF(S$2&lt;=analysis_period,IF(SUM($C626:S626)&gt;0,R296+1,0),0)</f>
        <v>0</v>
      </c>
      <c r="T296" s="389">
        <f>IF(T$2&lt;=analysis_period,IF(SUM($C626:T626)&gt;0,S296+1,0),0)</f>
        <v>0</v>
      </c>
      <c r="U296" s="389">
        <f>IF(U$2&lt;=analysis_period,IF(SUM($C626:U626)&gt;0,T296+1,0),0)</f>
        <v>0</v>
      </c>
      <c r="V296" s="389">
        <f>IF(V$2&lt;=analysis_period,IF(SUM($C626:V626)&gt;0,U296+1,0),0)</f>
        <v>0</v>
      </c>
      <c r="W296" s="389">
        <f>IF(W$2&lt;=analysis_period,IF(SUM($C626:W626)&gt;0,V296+1,0),0)</f>
        <v>0</v>
      </c>
      <c r="X296" s="389">
        <f>IF(X$2&lt;=analysis_period,IF(SUM($C626:X626)&gt;0,W296+1,0),0)</f>
        <v>0</v>
      </c>
      <c r="Y296" s="389">
        <f>IF(Y$2&lt;=analysis_period,IF(SUM($C626:Y626)&gt;0,X296+1,0),0)</f>
        <v>0</v>
      </c>
      <c r="Z296" s="389">
        <f>IF(Z$2&lt;=analysis_period,IF(SUM($C626:Z626)&gt;0,Y296+1,0),0)</f>
        <v>0</v>
      </c>
      <c r="AA296" s="389">
        <f>IF(AA$2&lt;=analysis_period,IF(SUM($C626:AA626)&gt;0,Z296+1,0),0)</f>
        <v>0</v>
      </c>
      <c r="AB296" s="389">
        <f>IF(AB$2&lt;=analysis_period,IF(SUM($C626:AB626)&gt;0,AA296+1,0),0)</f>
        <v>0</v>
      </c>
      <c r="AC296" s="389">
        <f>IF(AC$2&lt;=analysis_period,IF(SUM($C626:AC626)&gt;0,AB296+1,0),0)</f>
        <v>0</v>
      </c>
      <c r="AD296" s="389">
        <f>IF(AD$2&lt;=analysis_period,IF(SUM($C626:AD626)&gt;0,AC296+1,0),0)</f>
        <v>0</v>
      </c>
      <c r="AE296" s="389">
        <f>IF(AE$2&lt;=analysis_period,IF(SUM($C626:AE626)&gt;0,AD296+1,0),0)</f>
        <v>0</v>
      </c>
      <c r="AF296" s="389">
        <f>IF(AF$2&lt;=analysis_period,IF(SUM($C626:AF626)&gt;0,AE296+1,0),0)</f>
        <v>0</v>
      </c>
      <c r="AG296" s="389">
        <f>IF(AG$2&lt;=analysis_period,IF(SUM($C626:AG626)&gt;0,AF296+1,0),0)</f>
        <v>0</v>
      </c>
      <c r="AH296" s="389">
        <f>IF(AH$2&lt;=analysis_period,IF(SUM($C626:AH626)&gt;0,AG296+1,0),0)</f>
        <v>0</v>
      </c>
      <c r="AI296" s="389">
        <f>IF(AI$2&lt;=analysis_period,IF(SUM($C626:AI626)&gt;0,AH296+1,0),0)</f>
        <v>0</v>
      </c>
      <c r="AJ296" s="389">
        <f>IF(AJ$2&lt;=analysis_period,IF(SUM($C626:AJ626)&gt;0,AI296+1,0),0)</f>
        <v>0</v>
      </c>
      <c r="AK296" s="389">
        <f>IF(AK$2&lt;=analysis_period,IF(SUM($C626:AK626)&gt;0,AJ296+1,0),0)</f>
        <v>0</v>
      </c>
      <c r="AL296" s="389">
        <f>IF(AL$2&lt;=analysis_period,IF(SUM($C626:AL626)&gt;0,AK296+1,0),0)</f>
        <v>0</v>
      </c>
      <c r="AM296" s="389">
        <f>IF(AM$2&lt;=analysis_period,IF(SUM($C626:AM626)&gt;0,AL296+1,0),0)</f>
        <v>0</v>
      </c>
      <c r="AN296" s="389">
        <f>IF(AN$2&lt;=analysis_period,IF(SUM($C626:AN626)&gt;0,AM296+1,0),0)</f>
        <v>0</v>
      </c>
      <c r="AO296" s="389">
        <f>IF(AO$2&lt;=analysis_period,IF(SUM($C626:AO626)&gt;0,AN296+1,0),0)</f>
        <v>0</v>
      </c>
      <c r="AP296" s="389">
        <f>IF(AP$2&lt;=analysis_period,IF(SUM($C626:AP626)&gt;0,AO296+1,0),0)</f>
        <v>0</v>
      </c>
    </row>
    <row r="297" spans="1:42" x14ac:dyDescent="0.2">
      <c r="A297" s="40"/>
      <c r="C297" s="36"/>
      <c r="D297" s="36"/>
      <c r="E297" s="36"/>
      <c r="F297" s="36"/>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row>
    <row r="298" spans="1:42" x14ac:dyDescent="0.2">
      <c r="A298" s="40" t="s">
        <v>125</v>
      </c>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row>
    <row r="299" spans="1:42" x14ac:dyDescent="0.2">
      <c r="A299" s="21">
        <v>1</v>
      </c>
      <c r="B299" s="409">
        <f t="shared" ref="B299:B308" si="137">SUM(C299:AP299)</f>
        <v>0</v>
      </c>
      <c r="C299" s="411">
        <f t="shared" ref="C299:AP299" si="138">LOOKUP(C287,$B$257:$AP$257,$B$258:$AP$258)*$B617</f>
        <v>0</v>
      </c>
      <c r="D299" s="389">
        <f t="shared" si="138"/>
        <v>0</v>
      </c>
      <c r="E299" s="389">
        <f t="shared" si="138"/>
        <v>0</v>
      </c>
      <c r="F299" s="389">
        <f t="shared" si="138"/>
        <v>0</v>
      </c>
      <c r="G299" s="389">
        <f t="shared" si="138"/>
        <v>0</v>
      </c>
      <c r="H299" s="389">
        <f t="shared" si="138"/>
        <v>0</v>
      </c>
      <c r="I299" s="389">
        <f t="shared" si="138"/>
        <v>0</v>
      </c>
      <c r="J299" s="389">
        <f t="shared" si="138"/>
        <v>0</v>
      </c>
      <c r="K299" s="389">
        <f t="shared" si="138"/>
        <v>0</v>
      </c>
      <c r="L299" s="389">
        <f t="shared" si="138"/>
        <v>0</v>
      </c>
      <c r="M299" s="389">
        <f t="shared" si="138"/>
        <v>0</v>
      </c>
      <c r="N299" s="389">
        <f t="shared" si="138"/>
        <v>0</v>
      </c>
      <c r="O299" s="389">
        <f t="shared" si="138"/>
        <v>0</v>
      </c>
      <c r="P299" s="389">
        <f t="shared" si="138"/>
        <v>0</v>
      </c>
      <c r="Q299" s="389">
        <f t="shared" si="138"/>
        <v>0</v>
      </c>
      <c r="R299" s="389">
        <f t="shared" si="138"/>
        <v>0</v>
      </c>
      <c r="S299" s="389">
        <f t="shared" si="138"/>
        <v>0</v>
      </c>
      <c r="T299" s="389">
        <f t="shared" si="138"/>
        <v>0</v>
      </c>
      <c r="U299" s="389">
        <f t="shared" si="138"/>
        <v>0</v>
      </c>
      <c r="V299" s="389">
        <f t="shared" si="138"/>
        <v>0</v>
      </c>
      <c r="W299" s="389">
        <f t="shared" si="138"/>
        <v>0</v>
      </c>
      <c r="X299" s="389">
        <f t="shared" si="138"/>
        <v>0</v>
      </c>
      <c r="Y299" s="389">
        <f t="shared" si="138"/>
        <v>0</v>
      </c>
      <c r="Z299" s="389">
        <f t="shared" si="138"/>
        <v>0</v>
      </c>
      <c r="AA299" s="389">
        <f t="shared" si="138"/>
        <v>0</v>
      </c>
      <c r="AB299" s="389">
        <f t="shared" si="138"/>
        <v>0</v>
      </c>
      <c r="AC299" s="389">
        <f t="shared" si="138"/>
        <v>0</v>
      </c>
      <c r="AD299" s="389">
        <f t="shared" si="138"/>
        <v>0</v>
      </c>
      <c r="AE299" s="389">
        <f t="shared" si="138"/>
        <v>0</v>
      </c>
      <c r="AF299" s="389">
        <f t="shared" si="138"/>
        <v>0</v>
      </c>
      <c r="AG299" s="389">
        <f t="shared" si="138"/>
        <v>0</v>
      </c>
      <c r="AH299" s="389">
        <f t="shared" si="138"/>
        <v>0</v>
      </c>
      <c r="AI299" s="389">
        <f t="shared" si="138"/>
        <v>0</v>
      </c>
      <c r="AJ299" s="389">
        <f t="shared" si="138"/>
        <v>0</v>
      </c>
      <c r="AK299" s="389">
        <f t="shared" si="138"/>
        <v>0</v>
      </c>
      <c r="AL299" s="389">
        <f t="shared" si="138"/>
        <v>0</v>
      </c>
      <c r="AM299" s="389">
        <f t="shared" si="138"/>
        <v>0</v>
      </c>
      <c r="AN299" s="389">
        <f t="shared" si="138"/>
        <v>0</v>
      </c>
      <c r="AO299" s="389">
        <f t="shared" si="138"/>
        <v>0</v>
      </c>
      <c r="AP299" s="389">
        <f t="shared" si="138"/>
        <v>0</v>
      </c>
    </row>
    <row r="300" spans="1:42" x14ac:dyDescent="0.2">
      <c r="A300" s="21">
        <f>A299+1</f>
        <v>2</v>
      </c>
      <c r="B300" s="409">
        <f t="shared" si="137"/>
        <v>0</v>
      </c>
      <c r="C300" s="411">
        <f t="shared" ref="C300:AP300" si="139">LOOKUP(C288,$B$257:$AP$257,$B$258:$AP$258)*$B618</f>
        <v>0</v>
      </c>
      <c r="D300" s="389">
        <f t="shared" si="139"/>
        <v>0</v>
      </c>
      <c r="E300" s="389">
        <f t="shared" si="139"/>
        <v>0</v>
      </c>
      <c r="F300" s="389">
        <f t="shared" si="139"/>
        <v>0</v>
      </c>
      <c r="G300" s="389">
        <f t="shared" si="139"/>
        <v>0</v>
      </c>
      <c r="H300" s="389">
        <f t="shared" si="139"/>
        <v>0</v>
      </c>
      <c r="I300" s="389">
        <f t="shared" si="139"/>
        <v>0</v>
      </c>
      <c r="J300" s="389">
        <f t="shared" si="139"/>
        <v>0</v>
      </c>
      <c r="K300" s="389">
        <f t="shared" si="139"/>
        <v>0</v>
      </c>
      <c r="L300" s="389">
        <f t="shared" si="139"/>
        <v>0</v>
      </c>
      <c r="M300" s="389">
        <f t="shared" si="139"/>
        <v>0</v>
      </c>
      <c r="N300" s="389">
        <f t="shared" si="139"/>
        <v>0</v>
      </c>
      <c r="O300" s="389">
        <f t="shared" si="139"/>
        <v>0</v>
      </c>
      <c r="P300" s="389">
        <f t="shared" si="139"/>
        <v>0</v>
      </c>
      <c r="Q300" s="389">
        <f t="shared" si="139"/>
        <v>0</v>
      </c>
      <c r="R300" s="389">
        <f t="shared" si="139"/>
        <v>0</v>
      </c>
      <c r="S300" s="389">
        <f t="shared" si="139"/>
        <v>0</v>
      </c>
      <c r="T300" s="389">
        <f t="shared" si="139"/>
        <v>0</v>
      </c>
      <c r="U300" s="389">
        <f t="shared" si="139"/>
        <v>0</v>
      </c>
      <c r="V300" s="389">
        <f t="shared" si="139"/>
        <v>0</v>
      </c>
      <c r="W300" s="389">
        <f t="shared" si="139"/>
        <v>0</v>
      </c>
      <c r="X300" s="389">
        <f t="shared" si="139"/>
        <v>0</v>
      </c>
      <c r="Y300" s="389">
        <f t="shared" si="139"/>
        <v>0</v>
      </c>
      <c r="Z300" s="389">
        <f t="shared" si="139"/>
        <v>0</v>
      </c>
      <c r="AA300" s="389">
        <f t="shared" si="139"/>
        <v>0</v>
      </c>
      <c r="AB300" s="389">
        <f t="shared" si="139"/>
        <v>0</v>
      </c>
      <c r="AC300" s="389">
        <f t="shared" si="139"/>
        <v>0</v>
      </c>
      <c r="AD300" s="389">
        <f t="shared" si="139"/>
        <v>0</v>
      </c>
      <c r="AE300" s="389">
        <f t="shared" si="139"/>
        <v>0</v>
      </c>
      <c r="AF300" s="389">
        <f t="shared" si="139"/>
        <v>0</v>
      </c>
      <c r="AG300" s="389">
        <f t="shared" si="139"/>
        <v>0</v>
      </c>
      <c r="AH300" s="389">
        <f t="shared" si="139"/>
        <v>0</v>
      </c>
      <c r="AI300" s="389">
        <f t="shared" si="139"/>
        <v>0</v>
      </c>
      <c r="AJ300" s="389">
        <f t="shared" si="139"/>
        <v>0</v>
      </c>
      <c r="AK300" s="389">
        <f t="shared" si="139"/>
        <v>0</v>
      </c>
      <c r="AL300" s="389">
        <f t="shared" si="139"/>
        <v>0</v>
      </c>
      <c r="AM300" s="389">
        <f t="shared" si="139"/>
        <v>0</v>
      </c>
      <c r="AN300" s="389">
        <f t="shared" si="139"/>
        <v>0</v>
      </c>
      <c r="AO300" s="389">
        <f t="shared" si="139"/>
        <v>0</v>
      </c>
      <c r="AP300" s="389">
        <f t="shared" si="139"/>
        <v>0</v>
      </c>
    </row>
    <row r="301" spans="1:42" x14ac:dyDescent="0.2">
      <c r="A301" s="21">
        <f t="shared" ref="A301:A308" si="140">A300+1</f>
        <v>3</v>
      </c>
      <c r="B301" s="409">
        <f t="shared" si="137"/>
        <v>0</v>
      </c>
      <c r="C301" s="411">
        <f t="shared" ref="C301:AP301" si="141">LOOKUP(C289,$B$257:$AP$257,$B$258:$AP$258)*$B619</f>
        <v>0</v>
      </c>
      <c r="D301" s="389">
        <f t="shared" si="141"/>
        <v>0</v>
      </c>
      <c r="E301" s="389">
        <f t="shared" si="141"/>
        <v>0</v>
      </c>
      <c r="F301" s="389">
        <f t="shared" si="141"/>
        <v>0</v>
      </c>
      <c r="G301" s="389">
        <f t="shared" si="141"/>
        <v>0</v>
      </c>
      <c r="H301" s="389">
        <f t="shared" si="141"/>
        <v>0</v>
      </c>
      <c r="I301" s="389">
        <f t="shared" si="141"/>
        <v>0</v>
      </c>
      <c r="J301" s="389">
        <f t="shared" si="141"/>
        <v>0</v>
      </c>
      <c r="K301" s="389">
        <f t="shared" si="141"/>
        <v>0</v>
      </c>
      <c r="L301" s="389">
        <f t="shared" si="141"/>
        <v>0</v>
      </c>
      <c r="M301" s="389">
        <f t="shared" si="141"/>
        <v>0</v>
      </c>
      <c r="N301" s="389">
        <f t="shared" si="141"/>
        <v>0</v>
      </c>
      <c r="O301" s="389">
        <f t="shared" si="141"/>
        <v>0</v>
      </c>
      <c r="P301" s="389">
        <f t="shared" si="141"/>
        <v>0</v>
      </c>
      <c r="Q301" s="389">
        <f t="shared" si="141"/>
        <v>0</v>
      </c>
      <c r="R301" s="389">
        <f t="shared" si="141"/>
        <v>0</v>
      </c>
      <c r="S301" s="389">
        <f t="shared" si="141"/>
        <v>0</v>
      </c>
      <c r="T301" s="389">
        <f t="shared" si="141"/>
        <v>0</v>
      </c>
      <c r="U301" s="389">
        <f t="shared" si="141"/>
        <v>0</v>
      </c>
      <c r="V301" s="389">
        <f t="shared" si="141"/>
        <v>0</v>
      </c>
      <c r="W301" s="389">
        <f t="shared" si="141"/>
        <v>0</v>
      </c>
      <c r="X301" s="389">
        <f t="shared" si="141"/>
        <v>0</v>
      </c>
      <c r="Y301" s="389">
        <f t="shared" si="141"/>
        <v>0</v>
      </c>
      <c r="Z301" s="389">
        <f t="shared" si="141"/>
        <v>0</v>
      </c>
      <c r="AA301" s="389">
        <f t="shared" si="141"/>
        <v>0</v>
      </c>
      <c r="AB301" s="389">
        <f t="shared" si="141"/>
        <v>0</v>
      </c>
      <c r="AC301" s="389">
        <f t="shared" si="141"/>
        <v>0</v>
      </c>
      <c r="AD301" s="389">
        <f t="shared" si="141"/>
        <v>0</v>
      </c>
      <c r="AE301" s="389">
        <f t="shared" si="141"/>
        <v>0</v>
      </c>
      <c r="AF301" s="389">
        <f t="shared" si="141"/>
        <v>0</v>
      </c>
      <c r="AG301" s="389">
        <f t="shared" si="141"/>
        <v>0</v>
      </c>
      <c r="AH301" s="389">
        <f t="shared" si="141"/>
        <v>0</v>
      </c>
      <c r="AI301" s="389">
        <f t="shared" si="141"/>
        <v>0</v>
      </c>
      <c r="AJ301" s="389">
        <f t="shared" si="141"/>
        <v>0</v>
      </c>
      <c r="AK301" s="389">
        <f t="shared" si="141"/>
        <v>0</v>
      </c>
      <c r="AL301" s="389">
        <f t="shared" si="141"/>
        <v>0</v>
      </c>
      <c r="AM301" s="389">
        <f t="shared" si="141"/>
        <v>0</v>
      </c>
      <c r="AN301" s="389">
        <f t="shared" si="141"/>
        <v>0</v>
      </c>
      <c r="AO301" s="389">
        <f t="shared" si="141"/>
        <v>0</v>
      </c>
      <c r="AP301" s="389">
        <f t="shared" si="141"/>
        <v>0</v>
      </c>
    </row>
    <row r="302" spans="1:42" x14ac:dyDescent="0.2">
      <c r="A302" s="21">
        <f t="shared" si="140"/>
        <v>4</v>
      </c>
      <c r="B302" s="409">
        <f t="shared" si="137"/>
        <v>0</v>
      </c>
      <c r="C302" s="411">
        <f t="shared" ref="C302:AP302" si="142">LOOKUP(C290,$B$257:$AP$257,$B$258:$AP$258)*$B620</f>
        <v>0</v>
      </c>
      <c r="D302" s="389">
        <f t="shared" si="142"/>
        <v>0</v>
      </c>
      <c r="E302" s="389">
        <f t="shared" si="142"/>
        <v>0</v>
      </c>
      <c r="F302" s="389">
        <f t="shared" si="142"/>
        <v>0</v>
      </c>
      <c r="G302" s="389">
        <f t="shared" si="142"/>
        <v>0</v>
      </c>
      <c r="H302" s="389">
        <f t="shared" si="142"/>
        <v>0</v>
      </c>
      <c r="I302" s="389">
        <f t="shared" si="142"/>
        <v>0</v>
      </c>
      <c r="J302" s="389">
        <f t="shared" si="142"/>
        <v>0</v>
      </c>
      <c r="K302" s="389">
        <f t="shared" si="142"/>
        <v>0</v>
      </c>
      <c r="L302" s="389">
        <f t="shared" si="142"/>
        <v>0</v>
      </c>
      <c r="M302" s="389">
        <f t="shared" si="142"/>
        <v>0</v>
      </c>
      <c r="N302" s="389">
        <f t="shared" si="142"/>
        <v>0</v>
      </c>
      <c r="O302" s="389">
        <f t="shared" si="142"/>
        <v>0</v>
      </c>
      <c r="P302" s="389">
        <f t="shared" si="142"/>
        <v>0</v>
      </c>
      <c r="Q302" s="389">
        <f t="shared" si="142"/>
        <v>0</v>
      </c>
      <c r="R302" s="389">
        <f t="shared" si="142"/>
        <v>0</v>
      </c>
      <c r="S302" s="389">
        <f t="shared" si="142"/>
        <v>0</v>
      </c>
      <c r="T302" s="389">
        <f t="shared" si="142"/>
        <v>0</v>
      </c>
      <c r="U302" s="389">
        <f t="shared" si="142"/>
        <v>0</v>
      </c>
      <c r="V302" s="389">
        <f t="shared" si="142"/>
        <v>0</v>
      </c>
      <c r="W302" s="389">
        <f t="shared" si="142"/>
        <v>0</v>
      </c>
      <c r="X302" s="389">
        <f t="shared" si="142"/>
        <v>0</v>
      </c>
      <c r="Y302" s="389">
        <f t="shared" si="142"/>
        <v>0</v>
      </c>
      <c r="Z302" s="389">
        <f t="shared" si="142"/>
        <v>0</v>
      </c>
      <c r="AA302" s="389">
        <f t="shared" si="142"/>
        <v>0</v>
      </c>
      <c r="AB302" s="389">
        <f t="shared" si="142"/>
        <v>0</v>
      </c>
      <c r="AC302" s="389">
        <f t="shared" si="142"/>
        <v>0</v>
      </c>
      <c r="AD302" s="389">
        <f t="shared" si="142"/>
        <v>0</v>
      </c>
      <c r="AE302" s="389">
        <f t="shared" si="142"/>
        <v>0</v>
      </c>
      <c r="AF302" s="389">
        <f t="shared" si="142"/>
        <v>0</v>
      </c>
      <c r="AG302" s="389">
        <f t="shared" si="142"/>
        <v>0</v>
      </c>
      <c r="AH302" s="389">
        <f t="shared" si="142"/>
        <v>0</v>
      </c>
      <c r="AI302" s="389">
        <f t="shared" si="142"/>
        <v>0</v>
      </c>
      <c r="AJ302" s="389">
        <f t="shared" si="142"/>
        <v>0</v>
      </c>
      <c r="AK302" s="389">
        <f t="shared" si="142"/>
        <v>0</v>
      </c>
      <c r="AL302" s="389">
        <f t="shared" si="142"/>
        <v>0</v>
      </c>
      <c r="AM302" s="389">
        <f t="shared" si="142"/>
        <v>0</v>
      </c>
      <c r="AN302" s="389">
        <f t="shared" si="142"/>
        <v>0</v>
      </c>
      <c r="AO302" s="389">
        <f t="shared" si="142"/>
        <v>0</v>
      </c>
      <c r="AP302" s="389">
        <f t="shared" si="142"/>
        <v>0</v>
      </c>
    </row>
    <row r="303" spans="1:42" x14ac:dyDescent="0.2">
      <c r="A303" s="21">
        <f t="shared" si="140"/>
        <v>5</v>
      </c>
      <c r="B303" s="409">
        <f t="shared" si="137"/>
        <v>0</v>
      </c>
      <c r="C303" s="411">
        <f t="shared" ref="C303:AP303" si="143">LOOKUP(C291,$B$257:$AP$257,$B$258:$AP$258)*$B621</f>
        <v>0</v>
      </c>
      <c r="D303" s="389">
        <f t="shared" si="143"/>
        <v>0</v>
      </c>
      <c r="E303" s="389">
        <f t="shared" si="143"/>
        <v>0</v>
      </c>
      <c r="F303" s="389">
        <f t="shared" si="143"/>
        <v>0</v>
      </c>
      <c r="G303" s="389">
        <f t="shared" si="143"/>
        <v>0</v>
      </c>
      <c r="H303" s="389">
        <f t="shared" si="143"/>
        <v>0</v>
      </c>
      <c r="I303" s="389">
        <f t="shared" si="143"/>
        <v>0</v>
      </c>
      <c r="J303" s="389">
        <f t="shared" si="143"/>
        <v>0</v>
      </c>
      <c r="K303" s="389">
        <f t="shared" si="143"/>
        <v>0</v>
      </c>
      <c r="L303" s="389">
        <f t="shared" si="143"/>
        <v>0</v>
      </c>
      <c r="M303" s="389">
        <f t="shared" si="143"/>
        <v>0</v>
      </c>
      <c r="N303" s="389">
        <f t="shared" si="143"/>
        <v>0</v>
      </c>
      <c r="O303" s="389">
        <f t="shared" si="143"/>
        <v>0</v>
      </c>
      <c r="P303" s="389">
        <f t="shared" si="143"/>
        <v>0</v>
      </c>
      <c r="Q303" s="389">
        <f t="shared" si="143"/>
        <v>0</v>
      </c>
      <c r="R303" s="389">
        <f t="shared" si="143"/>
        <v>0</v>
      </c>
      <c r="S303" s="389">
        <f t="shared" si="143"/>
        <v>0</v>
      </c>
      <c r="T303" s="389">
        <f t="shared" si="143"/>
        <v>0</v>
      </c>
      <c r="U303" s="389">
        <f t="shared" si="143"/>
        <v>0</v>
      </c>
      <c r="V303" s="389">
        <f t="shared" si="143"/>
        <v>0</v>
      </c>
      <c r="W303" s="389">
        <f t="shared" si="143"/>
        <v>0</v>
      </c>
      <c r="X303" s="389">
        <f t="shared" si="143"/>
        <v>0</v>
      </c>
      <c r="Y303" s="389">
        <f t="shared" si="143"/>
        <v>0</v>
      </c>
      <c r="Z303" s="389">
        <f t="shared" si="143"/>
        <v>0</v>
      </c>
      <c r="AA303" s="389">
        <f t="shared" si="143"/>
        <v>0</v>
      </c>
      <c r="AB303" s="389">
        <f t="shared" si="143"/>
        <v>0</v>
      </c>
      <c r="AC303" s="389">
        <f t="shared" si="143"/>
        <v>0</v>
      </c>
      <c r="AD303" s="389">
        <f t="shared" si="143"/>
        <v>0</v>
      </c>
      <c r="AE303" s="389">
        <f t="shared" si="143"/>
        <v>0</v>
      </c>
      <c r="AF303" s="389">
        <f t="shared" si="143"/>
        <v>0</v>
      </c>
      <c r="AG303" s="389">
        <f t="shared" si="143"/>
        <v>0</v>
      </c>
      <c r="AH303" s="389">
        <f t="shared" si="143"/>
        <v>0</v>
      </c>
      <c r="AI303" s="389">
        <f t="shared" si="143"/>
        <v>0</v>
      </c>
      <c r="AJ303" s="389">
        <f t="shared" si="143"/>
        <v>0</v>
      </c>
      <c r="AK303" s="389">
        <f t="shared" si="143"/>
        <v>0</v>
      </c>
      <c r="AL303" s="389">
        <f t="shared" si="143"/>
        <v>0</v>
      </c>
      <c r="AM303" s="389">
        <f t="shared" si="143"/>
        <v>0</v>
      </c>
      <c r="AN303" s="389">
        <f t="shared" si="143"/>
        <v>0</v>
      </c>
      <c r="AO303" s="389">
        <f t="shared" si="143"/>
        <v>0</v>
      </c>
      <c r="AP303" s="389">
        <f t="shared" si="143"/>
        <v>0</v>
      </c>
    </row>
    <row r="304" spans="1:42" x14ac:dyDescent="0.2">
      <c r="A304" s="21">
        <f t="shared" si="140"/>
        <v>6</v>
      </c>
      <c r="B304" s="409">
        <f t="shared" si="137"/>
        <v>0</v>
      </c>
      <c r="C304" s="411">
        <f t="shared" ref="C304:AP304" si="144">LOOKUP(C292,$B$257:$AP$257,$B$258:$AP$258)*$B622</f>
        <v>0</v>
      </c>
      <c r="D304" s="389">
        <f t="shared" si="144"/>
        <v>0</v>
      </c>
      <c r="E304" s="389">
        <f t="shared" si="144"/>
        <v>0</v>
      </c>
      <c r="F304" s="389">
        <f t="shared" si="144"/>
        <v>0</v>
      </c>
      <c r="G304" s="389">
        <f t="shared" si="144"/>
        <v>0</v>
      </c>
      <c r="H304" s="389">
        <f t="shared" si="144"/>
        <v>0</v>
      </c>
      <c r="I304" s="389">
        <f t="shared" si="144"/>
        <v>0</v>
      </c>
      <c r="J304" s="389">
        <f t="shared" si="144"/>
        <v>0</v>
      </c>
      <c r="K304" s="389">
        <f t="shared" si="144"/>
        <v>0</v>
      </c>
      <c r="L304" s="389">
        <f t="shared" si="144"/>
        <v>0</v>
      </c>
      <c r="M304" s="389">
        <f t="shared" si="144"/>
        <v>0</v>
      </c>
      <c r="N304" s="389">
        <f t="shared" si="144"/>
        <v>0</v>
      </c>
      <c r="O304" s="389">
        <f t="shared" si="144"/>
        <v>0</v>
      </c>
      <c r="P304" s="389">
        <f t="shared" si="144"/>
        <v>0</v>
      </c>
      <c r="Q304" s="389">
        <f t="shared" si="144"/>
        <v>0</v>
      </c>
      <c r="R304" s="389">
        <f t="shared" si="144"/>
        <v>0</v>
      </c>
      <c r="S304" s="389">
        <f t="shared" si="144"/>
        <v>0</v>
      </c>
      <c r="T304" s="389">
        <f t="shared" si="144"/>
        <v>0</v>
      </c>
      <c r="U304" s="389">
        <f t="shared" si="144"/>
        <v>0</v>
      </c>
      <c r="V304" s="389">
        <f t="shared" si="144"/>
        <v>0</v>
      </c>
      <c r="W304" s="389">
        <f t="shared" si="144"/>
        <v>0</v>
      </c>
      <c r="X304" s="389">
        <f t="shared" si="144"/>
        <v>0</v>
      </c>
      <c r="Y304" s="389">
        <f t="shared" si="144"/>
        <v>0</v>
      </c>
      <c r="Z304" s="389">
        <f t="shared" si="144"/>
        <v>0</v>
      </c>
      <c r="AA304" s="389">
        <f t="shared" si="144"/>
        <v>0</v>
      </c>
      <c r="AB304" s="389">
        <f t="shared" si="144"/>
        <v>0</v>
      </c>
      <c r="AC304" s="389">
        <f t="shared" si="144"/>
        <v>0</v>
      </c>
      <c r="AD304" s="389">
        <f t="shared" si="144"/>
        <v>0</v>
      </c>
      <c r="AE304" s="389">
        <f t="shared" si="144"/>
        <v>0</v>
      </c>
      <c r="AF304" s="389">
        <f t="shared" si="144"/>
        <v>0</v>
      </c>
      <c r="AG304" s="389">
        <f t="shared" si="144"/>
        <v>0</v>
      </c>
      <c r="AH304" s="389">
        <f t="shared" si="144"/>
        <v>0</v>
      </c>
      <c r="AI304" s="389">
        <f t="shared" si="144"/>
        <v>0</v>
      </c>
      <c r="AJ304" s="389">
        <f t="shared" si="144"/>
        <v>0</v>
      </c>
      <c r="AK304" s="389">
        <f t="shared" si="144"/>
        <v>0</v>
      </c>
      <c r="AL304" s="389">
        <f t="shared" si="144"/>
        <v>0</v>
      </c>
      <c r="AM304" s="389">
        <f t="shared" si="144"/>
        <v>0</v>
      </c>
      <c r="AN304" s="389">
        <f t="shared" si="144"/>
        <v>0</v>
      </c>
      <c r="AO304" s="389">
        <f t="shared" si="144"/>
        <v>0</v>
      </c>
      <c r="AP304" s="389">
        <f t="shared" si="144"/>
        <v>0</v>
      </c>
    </row>
    <row r="305" spans="1:42" x14ac:dyDescent="0.2">
      <c r="A305" s="21">
        <f t="shared" si="140"/>
        <v>7</v>
      </c>
      <c r="B305" s="409">
        <f t="shared" si="137"/>
        <v>0</v>
      </c>
      <c r="C305" s="411">
        <f t="shared" ref="C305:AP305" si="145">LOOKUP(C293,$B$257:$AP$257,$B$258:$AP$258)*$B623</f>
        <v>0</v>
      </c>
      <c r="D305" s="389">
        <f t="shared" si="145"/>
        <v>0</v>
      </c>
      <c r="E305" s="389">
        <f t="shared" si="145"/>
        <v>0</v>
      </c>
      <c r="F305" s="389">
        <f t="shared" si="145"/>
        <v>0</v>
      </c>
      <c r="G305" s="389">
        <f t="shared" si="145"/>
        <v>0</v>
      </c>
      <c r="H305" s="389">
        <f t="shared" si="145"/>
        <v>0</v>
      </c>
      <c r="I305" s="389">
        <f t="shared" si="145"/>
        <v>0</v>
      </c>
      <c r="J305" s="389">
        <f t="shared" si="145"/>
        <v>0</v>
      </c>
      <c r="K305" s="389">
        <f t="shared" si="145"/>
        <v>0</v>
      </c>
      <c r="L305" s="389">
        <f t="shared" si="145"/>
        <v>0</v>
      </c>
      <c r="M305" s="389">
        <f t="shared" si="145"/>
        <v>0</v>
      </c>
      <c r="N305" s="389">
        <f t="shared" si="145"/>
        <v>0</v>
      </c>
      <c r="O305" s="389">
        <f t="shared" si="145"/>
        <v>0</v>
      </c>
      <c r="P305" s="389">
        <f t="shared" si="145"/>
        <v>0</v>
      </c>
      <c r="Q305" s="389">
        <f t="shared" si="145"/>
        <v>0</v>
      </c>
      <c r="R305" s="389">
        <f t="shared" si="145"/>
        <v>0</v>
      </c>
      <c r="S305" s="389">
        <f t="shared" si="145"/>
        <v>0</v>
      </c>
      <c r="T305" s="389">
        <f t="shared" si="145"/>
        <v>0</v>
      </c>
      <c r="U305" s="389">
        <f t="shared" si="145"/>
        <v>0</v>
      </c>
      <c r="V305" s="389">
        <f t="shared" si="145"/>
        <v>0</v>
      </c>
      <c r="W305" s="389">
        <f t="shared" si="145"/>
        <v>0</v>
      </c>
      <c r="X305" s="389">
        <f t="shared" si="145"/>
        <v>0</v>
      </c>
      <c r="Y305" s="389">
        <f t="shared" si="145"/>
        <v>0</v>
      </c>
      <c r="Z305" s="389">
        <f t="shared" si="145"/>
        <v>0</v>
      </c>
      <c r="AA305" s="389">
        <f t="shared" si="145"/>
        <v>0</v>
      </c>
      <c r="AB305" s="389">
        <f t="shared" si="145"/>
        <v>0</v>
      </c>
      <c r="AC305" s="389">
        <f t="shared" si="145"/>
        <v>0</v>
      </c>
      <c r="AD305" s="389">
        <f t="shared" si="145"/>
        <v>0</v>
      </c>
      <c r="AE305" s="389">
        <f t="shared" si="145"/>
        <v>0</v>
      </c>
      <c r="AF305" s="389">
        <f t="shared" si="145"/>
        <v>0</v>
      </c>
      <c r="AG305" s="389">
        <f t="shared" si="145"/>
        <v>0</v>
      </c>
      <c r="AH305" s="389">
        <f t="shared" si="145"/>
        <v>0</v>
      </c>
      <c r="AI305" s="389">
        <f t="shared" si="145"/>
        <v>0</v>
      </c>
      <c r="AJ305" s="389">
        <f t="shared" si="145"/>
        <v>0</v>
      </c>
      <c r="AK305" s="389">
        <f t="shared" si="145"/>
        <v>0</v>
      </c>
      <c r="AL305" s="389">
        <f t="shared" si="145"/>
        <v>0</v>
      </c>
      <c r="AM305" s="389">
        <f t="shared" si="145"/>
        <v>0</v>
      </c>
      <c r="AN305" s="389">
        <f t="shared" si="145"/>
        <v>0</v>
      </c>
      <c r="AO305" s="389">
        <f t="shared" si="145"/>
        <v>0</v>
      </c>
      <c r="AP305" s="389">
        <f t="shared" si="145"/>
        <v>0</v>
      </c>
    </row>
    <row r="306" spans="1:42" x14ac:dyDescent="0.2">
      <c r="A306" s="21">
        <f t="shared" si="140"/>
        <v>8</v>
      </c>
      <c r="B306" s="409">
        <f t="shared" si="137"/>
        <v>0</v>
      </c>
      <c r="C306" s="411">
        <f t="shared" ref="C306:AP306" si="146">LOOKUP(C294,$B$257:$AP$257,$B$258:$AP$258)*$B624</f>
        <v>0</v>
      </c>
      <c r="D306" s="389">
        <f t="shared" si="146"/>
        <v>0</v>
      </c>
      <c r="E306" s="389">
        <f t="shared" si="146"/>
        <v>0</v>
      </c>
      <c r="F306" s="389">
        <f t="shared" si="146"/>
        <v>0</v>
      </c>
      <c r="G306" s="389">
        <f t="shared" si="146"/>
        <v>0</v>
      </c>
      <c r="H306" s="389">
        <f t="shared" si="146"/>
        <v>0</v>
      </c>
      <c r="I306" s="389">
        <f t="shared" si="146"/>
        <v>0</v>
      </c>
      <c r="J306" s="389">
        <f t="shared" si="146"/>
        <v>0</v>
      </c>
      <c r="K306" s="389">
        <f t="shared" si="146"/>
        <v>0</v>
      </c>
      <c r="L306" s="389">
        <f t="shared" si="146"/>
        <v>0</v>
      </c>
      <c r="M306" s="389">
        <f t="shared" si="146"/>
        <v>0</v>
      </c>
      <c r="N306" s="389">
        <f t="shared" si="146"/>
        <v>0</v>
      </c>
      <c r="O306" s="389">
        <f t="shared" si="146"/>
        <v>0</v>
      </c>
      <c r="P306" s="389">
        <f t="shared" si="146"/>
        <v>0</v>
      </c>
      <c r="Q306" s="389">
        <f t="shared" si="146"/>
        <v>0</v>
      </c>
      <c r="R306" s="389">
        <f t="shared" si="146"/>
        <v>0</v>
      </c>
      <c r="S306" s="389">
        <f t="shared" si="146"/>
        <v>0</v>
      </c>
      <c r="T306" s="389">
        <f t="shared" si="146"/>
        <v>0</v>
      </c>
      <c r="U306" s="389">
        <f t="shared" si="146"/>
        <v>0</v>
      </c>
      <c r="V306" s="389">
        <f t="shared" si="146"/>
        <v>0</v>
      </c>
      <c r="W306" s="389">
        <f t="shared" si="146"/>
        <v>0</v>
      </c>
      <c r="X306" s="389">
        <f t="shared" si="146"/>
        <v>0</v>
      </c>
      <c r="Y306" s="389">
        <f t="shared" si="146"/>
        <v>0</v>
      </c>
      <c r="Z306" s="389">
        <f t="shared" si="146"/>
        <v>0</v>
      </c>
      <c r="AA306" s="389">
        <f t="shared" si="146"/>
        <v>0</v>
      </c>
      <c r="AB306" s="389">
        <f t="shared" si="146"/>
        <v>0</v>
      </c>
      <c r="AC306" s="389">
        <f t="shared" si="146"/>
        <v>0</v>
      </c>
      <c r="AD306" s="389">
        <f t="shared" si="146"/>
        <v>0</v>
      </c>
      <c r="AE306" s="389">
        <f t="shared" si="146"/>
        <v>0</v>
      </c>
      <c r="AF306" s="389">
        <f t="shared" si="146"/>
        <v>0</v>
      </c>
      <c r="AG306" s="389">
        <f t="shared" si="146"/>
        <v>0</v>
      </c>
      <c r="AH306" s="389">
        <f t="shared" si="146"/>
        <v>0</v>
      </c>
      <c r="AI306" s="389">
        <f t="shared" si="146"/>
        <v>0</v>
      </c>
      <c r="AJ306" s="389">
        <f t="shared" si="146"/>
        <v>0</v>
      </c>
      <c r="AK306" s="389">
        <f t="shared" si="146"/>
        <v>0</v>
      </c>
      <c r="AL306" s="389">
        <f t="shared" si="146"/>
        <v>0</v>
      </c>
      <c r="AM306" s="389">
        <f t="shared" si="146"/>
        <v>0</v>
      </c>
      <c r="AN306" s="389">
        <f t="shared" si="146"/>
        <v>0</v>
      </c>
      <c r="AO306" s="389">
        <f t="shared" si="146"/>
        <v>0</v>
      </c>
      <c r="AP306" s="389">
        <f t="shared" si="146"/>
        <v>0</v>
      </c>
    </row>
    <row r="307" spans="1:42" x14ac:dyDescent="0.2">
      <c r="A307" s="21">
        <f>A306+1</f>
        <v>9</v>
      </c>
      <c r="B307" s="409">
        <f t="shared" si="137"/>
        <v>0</v>
      </c>
      <c r="C307" s="411">
        <f t="shared" ref="C307:AP307" si="147">LOOKUP(C295,$B$257:$AP$257,$B$258:$AP$258)*$B625</f>
        <v>0</v>
      </c>
      <c r="D307" s="389">
        <f t="shared" si="147"/>
        <v>0</v>
      </c>
      <c r="E307" s="389">
        <f t="shared" si="147"/>
        <v>0</v>
      </c>
      <c r="F307" s="389">
        <f t="shared" si="147"/>
        <v>0</v>
      </c>
      <c r="G307" s="389">
        <f t="shared" si="147"/>
        <v>0</v>
      </c>
      <c r="H307" s="389">
        <f t="shared" si="147"/>
        <v>0</v>
      </c>
      <c r="I307" s="389">
        <f t="shared" si="147"/>
        <v>0</v>
      </c>
      <c r="J307" s="389">
        <f t="shared" si="147"/>
        <v>0</v>
      </c>
      <c r="K307" s="389">
        <f t="shared" si="147"/>
        <v>0</v>
      </c>
      <c r="L307" s="389">
        <f t="shared" si="147"/>
        <v>0</v>
      </c>
      <c r="M307" s="389">
        <f t="shared" si="147"/>
        <v>0</v>
      </c>
      <c r="N307" s="389">
        <f t="shared" si="147"/>
        <v>0</v>
      </c>
      <c r="O307" s="389">
        <f t="shared" si="147"/>
        <v>0</v>
      </c>
      <c r="P307" s="389">
        <f t="shared" si="147"/>
        <v>0</v>
      </c>
      <c r="Q307" s="389">
        <f t="shared" si="147"/>
        <v>0</v>
      </c>
      <c r="R307" s="389">
        <f t="shared" si="147"/>
        <v>0</v>
      </c>
      <c r="S307" s="389">
        <f t="shared" si="147"/>
        <v>0</v>
      </c>
      <c r="T307" s="389">
        <f t="shared" si="147"/>
        <v>0</v>
      </c>
      <c r="U307" s="389">
        <f t="shared" si="147"/>
        <v>0</v>
      </c>
      <c r="V307" s="389">
        <f t="shared" si="147"/>
        <v>0</v>
      </c>
      <c r="W307" s="389">
        <f t="shared" si="147"/>
        <v>0</v>
      </c>
      <c r="X307" s="389">
        <f t="shared" si="147"/>
        <v>0</v>
      </c>
      <c r="Y307" s="389">
        <f t="shared" si="147"/>
        <v>0</v>
      </c>
      <c r="Z307" s="389">
        <f t="shared" si="147"/>
        <v>0</v>
      </c>
      <c r="AA307" s="389">
        <f t="shared" si="147"/>
        <v>0</v>
      </c>
      <c r="AB307" s="389">
        <f t="shared" si="147"/>
        <v>0</v>
      </c>
      <c r="AC307" s="389">
        <f t="shared" si="147"/>
        <v>0</v>
      </c>
      <c r="AD307" s="389">
        <f t="shared" si="147"/>
        <v>0</v>
      </c>
      <c r="AE307" s="389">
        <f t="shared" si="147"/>
        <v>0</v>
      </c>
      <c r="AF307" s="389">
        <f t="shared" si="147"/>
        <v>0</v>
      </c>
      <c r="AG307" s="389">
        <f t="shared" si="147"/>
        <v>0</v>
      </c>
      <c r="AH307" s="389">
        <f t="shared" si="147"/>
        <v>0</v>
      </c>
      <c r="AI307" s="389">
        <f t="shared" si="147"/>
        <v>0</v>
      </c>
      <c r="AJ307" s="389">
        <f t="shared" si="147"/>
        <v>0</v>
      </c>
      <c r="AK307" s="389">
        <f t="shared" si="147"/>
        <v>0</v>
      </c>
      <c r="AL307" s="389">
        <f t="shared" si="147"/>
        <v>0</v>
      </c>
      <c r="AM307" s="389">
        <f t="shared" si="147"/>
        <v>0</v>
      </c>
      <c r="AN307" s="389">
        <f t="shared" si="147"/>
        <v>0</v>
      </c>
      <c r="AO307" s="389">
        <f t="shared" si="147"/>
        <v>0</v>
      </c>
      <c r="AP307" s="389">
        <f t="shared" si="147"/>
        <v>0</v>
      </c>
    </row>
    <row r="308" spans="1:42" x14ac:dyDescent="0.2">
      <c r="A308" s="21">
        <f t="shared" si="140"/>
        <v>10</v>
      </c>
      <c r="B308" s="409">
        <f t="shared" si="137"/>
        <v>0</v>
      </c>
      <c r="C308" s="410">
        <f t="shared" ref="C308:AP308" si="148">LOOKUP(C296,$B$257:$AP$257,$B$258:$AP$258)*$B626</f>
        <v>0</v>
      </c>
      <c r="D308" s="394">
        <f t="shared" si="148"/>
        <v>0</v>
      </c>
      <c r="E308" s="394">
        <f t="shared" si="148"/>
        <v>0</v>
      </c>
      <c r="F308" s="394">
        <f t="shared" si="148"/>
        <v>0</v>
      </c>
      <c r="G308" s="394">
        <f t="shared" si="148"/>
        <v>0</v>
      </c>
      <c r="H308" s="394">
        <f t="shared" si="148"/>
        <v>0</v>
      </c>
      <c r="I308" s="394">
        <f t="shared" si="148"/>
        <v>0</v>
      </c>
      <c r="J308" s="394">
        <f t="shared" si="148"/>
        <v>0</v>
      </c>
      <c r="K308" s="394">
        <f t="shared" si="148"/>
        <v>0</v>
      </c>
      <c r="L308" s="394">
        <f t="shared" si="148"/>
        <v>0</v>
      </c>
      <c r="M308" s="394">
        <f t="shared" si="148"/>
        <v>0</v>
      </c>
      <c r="N308" s="394">
        <f t="shared" si="148"/>
        <v>0</v>
      </c>
      <c r="O308" s="394">
        <f t="shared" si="148"/>
        <v>0</v>
      </c>
      <c r="P308" s="394">
        <f t="shared" si="148"/>
        <v>0</v>
      </c>
      <c r="Q308" s="394">
        <f t="shared" si="148"/>
        <v>0</v>
      </c>
      <c r="R308" s="394">
        <f t="shared" si="148"/>
        <v>0</v>
      </c>
      <c r="S308" s="394">
        <f t="shared" si="148"/>
        <v>0</v>
      </c>
      <c r="T308" s="394">
        <f t="shared" si="148"/>
        <v>0</v>
      </c>
      <c r="U308" s="394">
        <f t="shared" si="148"/>
        <v>0</v>
      </c>
      <c r="V308" s="394">
        <f t="shared" si="148"/>
        <v>0</v>
      </c>
      <c r="W308" s="394">
        <f t="shared" si="148"/>
        <v>0</v>
      </c>
      <c r="X308" s="394">
        <f t="shared" si="148"/>
        <v>0</v>
      </c>
      <c r="Y308" s="394">
        <f t="shared" si="148"/>
        <v>0</v>
      </c>
      <c r="Z308" s="394">
        <f t="shared" si="148"/>
        <v>0</v>
      </c>
      <c r="AA308" s="394">
        <f t="shared" si="148"/>
        <v>0</v>
      </c>
      <c r="AB308" s="394">
        <f t="shared" si="148"/>
        <v>0</v>
      </c>
      <c r="AC308" s="394">
        <f t="shared" si="148"/>
        <v>0</v>
      </c>
      <c r="AD308" s="394">
        <f t="shared" si="148"/>
        <v>0</v>
      </c>
      <c r="AE308" s="394">
        <f t="shared" si="148"/>
        <v>0</v>
      </c>
      <c r="AF308" s="394">
        <f t="shared" si="148"/>
        <v>0</v>
      </c>
      <c r="AG308" s="394">
        <f t="shared" si="148"/>
        <v>0</v>
      </c>
      <c r="AH308" s="394">
        <f t="shared" si="148"/>
        <v>0</v>
      </c>
      <c r="AI308" s="394">
        <f t="shared" si="148"/>
        <v>0</v>
      </c>
      <c r="AJ308" s="394">
        <f t="shared" si="148"/>
        <v>0</v>
      </c>
      <c r="AK308" s="394">
        <f t="shared" si="148"/>
        <v>0</v>
      </c>
      <c r="AL308" s="394">
        <f t="shared" si="148"/>
        <v>0</v>
      </c>
      <c r="AM308" s="394">
        <f t="shared" si="148"/>
        <v>0</v>
      </c>
      <c r="AN308" s="394">
        <f t="shared" si="148"/>
        <v>0</v>
      </c>
      <c r="AO308" s="394">
        <f t="shared" si="148"/>
        <v>0</v>
      </c>
      <c r="AP308" s="394">
        <f t="shared" si="148"/>
        <v>0</v>
      </c>
    </row>
    <row r="309" spans="1:42" s="21" customFormat="1" ht="12" customHeight="1" x14ac:dyDescent="0.2">
      <c r="A309" s="49" t="s">
        <v>21</v>
      </c>
      <c r="B309" s="195"/>
      <c r="C309" s="390">
        <f>SUM(C299:C308)</f>
        <v>0</v>
      </c>
      <c r="D309" s="390">
        <f t="shared" ref="D309:AP309" si="149">SUM(D299:D308)</f>
        <v>0</v>
      </c>
      <c r="E309" s="390">
        <f t="shared" si="149"/>
        <v>0</v>
      </c>
      <c r="F309" s="390">
        <f t="shared" si="149"/>
        <v>0</v>
      </c>
      <c r="G309" s="390">
        <f t="shared" si="149"/>
        <v>0</v>
      </c>
      <c r="H309" s="390">
        <f t="shared" si="149"/>
        <v>0</v>
      </c>
      <c r="I309" s="390">
        <f t="shared" si="149"/>
        <v>0</v>
      </c>
      <c r="J309" s="390">
        <f t="shared" si="149"/>
        <v>0</v>
      </c>
      <c r="K309" s="390">
        <f t="shared" si="149"/>
        <v>0</v>
      </c>
      <c r="L309" s="390">
        <f t="shared" si="149"/>
        <v>0</v>
      </c>
      <c r="M309" s="390">
        <f t="shared" si="149"/>
        <v>0</v>
      </c>
      <c r="N309" s="390">
        <f t="shared" si="149"/>
        <v>0</v>
      </c>
      <c r="O309" s="390">
        <f t="shared" si="149"/>
        <v>0</v>
      </c>
      <c r="P309" s="390">
        <f t="shared" si="149"/>
        <v>0</v>
      </c>
      <c r="Q309" s="390">
        <f t="shared" si="149"/>
        <v>0</v>
      </c>
      <c r="R309" s="390">
        <f t="shared" si="149"/>
        <v>0</v>
      </c>
      <c r="S309" s="390">
        <f t="shared" si="149"/>
        <v>0</v>
      </c>
      <c r="T309" s="390">
        <f t="shared" si="149"/>
        <v>0</v>
      </c>
      <c r="U309" s="390">
        <f t="shared" si="149"/>
        <v>0</v>
      </c>
      <c r="V309" s="390">
        <f t="shared" si="149"/>
        <v>0</v>
      </c>
      <c r="W309" s="390">
        <f t="shared" si="149"/>
        <v>0</v>
      </c>
      <c r="X309" s="390">
        <f t="shared" si="149"/>
        <v>0</v>
      </c>
      <c r="Y309" s="390">
        <f t="shared" si="149"/>
        <v>0</v>
      </c>
      <c r="Z309" s="390">
        <f t="shared" si="149"/>
        <v>0</v>
      </c>
      <c r="AA309" s="390">
        <f t="shared" si="149"/>
        <v>0</v>
      </c>
      <c r="AB309" s="390">
        <f t="shared" si="149"/>
        <v>0</v>
      </c>
      <c r="AC309" s="390">
        <f t="shared" si="149"/>
        <v>0</v>
      </c>
      <c r="AD309" s="390">
        <f t="shared" si="149"/>
        <v>0</v>
      </c>
      <c r="AE309" s="390">
        <f t="shared" si="149"/>
        <v>0</v>
      </c>
      <c r="AF309" s="390">
        <f t="shared" si="149"/>
        <v>0</v>
      </c>
      <c r="AG309" s="390">
        <f t="shared" si="149"/>
        <v>0</v>
      </c>
      <c r="AH309" s="390">
        <f t="shared" si="149"/>
        <v>0</v>
      </c>
      <c r="AI309" s="390">
        <f t="shared" si="149"/>
        <v>0</v>
      </c>
      <c r="AJ309" s="390">
        <f t="shared" si="149"/>
        <v>0</v>
      </c>
      <c r="AK309" s="390">
        <f t="shared" si="149"/>
        <v>0</v>
      </c>
      <c r="AL309" s="390">
        <f t="shared" si="149"/>
        <v>0</v>
      </c>
      <c r="AM309" s="390">
        <f t="shared" si="149"/>
        <v>0</v>
      </c>
      <c r="AN309" s="390">
        <f t="shared" si="149"/>
        <v>0</v>
      </c>
      <c r="AO309" s="390">
        <f t="shared" si="149"/>
        <v>0</v>
      </c>
      <c r="AP309" s="390">
        <f t="shared" si="149"/>
        <v>0</v>
      </c>
    </row>
    <row r="310" spans="1:42" x14ac:dyDescent="0.2">
      <c r="A310" s="40"/>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row>
    <row r="311" spans="1:42" x14ac:dyDescent="0.2">
      <c r="A311" s="38" t="s">
        <v>161</v>
      </c>
      <c r="C311" s="36"/>
      <c r="D311" s="36"/>
      <c r="E311" s="36"/>
      <c r="F311" s="36"/>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row>
    <row r="312" spans="1:42" x14ac:dyDescent="0.2">
      <c r="A312" s="40" t="s">
        <v>121</v>
      </c>
      <c r="C312" s="36"/>
      <c r="D312" s="36"/>
      <c r="E312" s="36"/>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row>
    <row r="313" spans="1:42" x14ac:dyDescent="0.2">
      <c r="A313" s="21">
        <v>1</v>
      </c>
      <c r="C313" s="389">
        <f>IF(C$2&lt;=analysis_period,IF(SUM($C649:C649)&gt;0,B313+1,0),0)</f>
        <v>0</v>
      </c>
      <c r="D313" s="389">
        <f>IF(D$2&lt;=analysis_period,IF(SUM($C649:D649)&gt;0,C313+1,0),0)</f>
        <v>0</v>
      </c>
      <c r="E313" s="389">
        <f>IF(E$2&lt;=analysis_period,IF(SUM($C649:E649)&gt;0,D313+1,0),0)</f>
        <v>0</v>
      </c>
      <c r="F313" s="389">
        <f>IF(F$2&lt;=analysis_period,IF(SUM($C649:F649)&gt;0,E313+1,0),0)</f>
        <v>0</v>
      </c>
      <c r="G313" s="389">
        <f>IF(G$2&lt;=analysis_period,IF(SUM($C649:G649)&gt;0,F313+1,0),0)</f>
        <v>0</v>
      </c>
      <c r="H313" s="389">
        <f>IF(H$2&lt;=analysis_period,IF(SUM($C649:H649)&gt;0,G313+1,0),0)</f>
        <v>0</v>
      </c>
      <c r="I313" s="389">
        <f>IF(I$2&lt;=analysis_period,IF(SUM($C649:I649)&gt;0,H313+1,0),0)</f>
        <v>0</v>
      </c>
      <c r="J313" s="389">
        <f>IF(J$2&lt;=analysis_period,IF(SUM($C649:J649)&gt;0,I313+1,0),0)</f>
        <v>0</v>
      </c>
      <c r="K313" s="389">
        <f>IF(K$2&lt;=analysis_period,IF(SUM($C649:K649)&gt;0,J313+1,0),0)</f>
        <v>0</v>
      </c>
      <c r="L313" s="389">
        <f>IF(L$2&lt;=analysis_period,IF(SUM($C649:L649)&gt;0,K313+1,0),0)</f>
        <v>0</v>
      </c>
      <c r="M313" s="389">
        <f>IF(M$2&lt;=analysis_period,IF(SUM($C649:M649)&gt;0,L313+1,0),0)</f>
        <v>0</v>
      </c>
      <c r="N313" s="389">
        <f>IF(N$2&lt;=analysis_period,IF(SUM($C649:N649)&gt;0,M313+1,0),0)</f>
        <v>0</v>
      </c>
      <c r="O313" s="389">
        <f>IF(O$2&lt;=analysis_period,IF(SUM($C649:O649)&gt;0,N313+1,0),0)</f>
        <v>0</v>
      </c>
      <c r="P313" s="389">
        <f>IF(P$2&lt;=analysis_period,IF(SUM($C649:P649)&gt;0,O313+1,0),0)</f>
        <v>0</v>
      </c>
      <c r="Q313" s="389">
        <f>IF(Q$2&lt;=analysis_period,IF(SUM($C649:Q649)&gt;0,P313+1,0),0)</f>
        <v>0</v>
      </c>
      <c r="R313" s="389">
        <f>IF(R$2&lt;=analysis_period,IF(SUM($C649:R649)&gt;0,Q313+1,0),0)</f>
        <v>0</v>
      </c>
      <c r="S313" s="389">
        <f>IF(S$2&lt;=analysis_period,IF(SUM($C649:S649)&gt;0,R313+1,0),0)</f>
        <v>0</v>
      </c>
      <c r="T313" s="389">
        <f>IF(T$2&lt;=analysis_period,IF(SUM($C649:T649)&gt;0,S313+1,0),0)</f>
        <v>0</v>
      </c>
      <c r="U313" s="389">
        <f>IF(U$2&lt;=analysis_period,IF(SUM($C649:U649)&gt;0,T313+1,0),0)</f>
        <v>0</v>
      </c>
      <c r="V313" s="389">
        <f>IF(V$2&lt;=analysis_period,IF(SUM($C649:V649)&gt;0,U313+1,0),0)</f>
        <v>0</v>
      </c>
      <c r="W313" s="389">
        <f>IF(W$2&lt;=analysis_period,IF(SUM($C649:W649)&gt;0,V313+1,0),0)</f>
        <v>0</v>
      </c>
      <c r="X313" s="389">
        <f>IF(X$2&lt;=analysis_period,IF(SUM($C649:X649)&gt;0,W313+1,0),0)</f>
        <v>0</v>
      </c>
      <c r="Y313" s="389">
        <f>IF(Y$2&lt;=analysis_period,IF(SUM($C649:Y649)&gt;0,X313+1,0),0)</f>
        <v>0</v>
      </c>
      <c r="Z313" s="389">
        <f>IF(Z$2&lt;=analysis_period,IF(SUM($C649:Z649)&gt;0,Y313+1,0),0)</f>
        <v>0</v>
      </c>
      <c r="AA313" s="389">
        <f>IF(AA$2&lt;=analysis_period,IF(SUM($C649:AA649)&gt;0,Z313+1,0),0)</f>
        <v>0</v>
      </c>
      <c r="AB313" s="389">
        <f>IF(AB$2&lt;=analysis_period,IF(SUM($C649:AB649)&gt;0,AA313+1,0),0)</f>
        <v>0</v>
      </c>
      <c r="AC313" s="389">
        <f>IF(AC$2&lt;=analysis_period,IF(SUM($C649:AC649)&gt;0,AB313+1,0),0)</f>
        <v>0</v>
      </c>
      <c r="AD313" s="389">
        <f>IF(AD$2&lt;=analysis_period,IF(SUM($C649:AD649)&gt;0,AC313+1,0),0)</f>
        <v>0</v>
      </c>
      <c r="AE313" s="389">
        <f>IF(AE$2&lt;=analysis_period,IF(SUM($C649:AE649)&gt;0,AD313+1,0),0)</f>
        <v>0</v>
      </c>
      <c r="AF313" s="389">
        <f>IF(AF$2&lt;=analysis_period,IF(SUM($C649:AF649)&gt;0,AE313+1,0),0)</f>
        <v>0</v>
      </c>
      <c r="AG313" s="389">
        <f>IF(AG$2&lt;=analysis_period,IF(SUM($C649:AG649)&gt;0,AF313+1,0),0)</f>
        <v>0</v>
      </c>
      <c r="AH313" s="389">
        <f>IF(AH$2&lt;=analysis_period,IF(SUM($C649:AH649)&gt;0,AG313+1,0),0)</f>
        <v>0</v>
      </c>
      <c r="AI313" s="389">
        <f>IF(AI$2&lt;=analysis_period,IF(SUM($C649:AI649)&gt;0,AH313+1,0),0)</f>
        <v>0</v>
      </c>
      <c r="AJ313" s="389">
        <f>IF(AJ$2&lt;=analysis_period,IF(SUM($C649:AJ649)&gt;0,AI313+1,0),0)</f>
        <v>0</v>
      </c>
      <c r="AK313" s="389">
        <f>IF(AK$2&lt;=analysis_period,IF(SUM($C649:AK649)&gt;0,AJ313+1,0),0)</f>
        <v>0</v>
      </c>
      <c r="AL313" s="389">
        <f>IF(AL$2&lt;=analysis_period,IF(SUM($C649:AL649)&gt;0,AK313+1,0),0)</f>
        <v>0</v>
      </c>
      <c r="AM313" s="389">
        <f>IF(AM$2&lt;=analysis_period,IF(SUM($C649:AM649)&gt;0,AL313+1,0),0)</f>
        <v>0</v>
      </c>
      <c r="AN313" s="389">
        <f>IF(AN$2&lt;=analysis_period,IF(SUM($C649:AN649)&gt;0,AM313+1,0),0)</f>
        <v>0</v>
      </c>
      <c r="AO313" s="389">
        <f>IF(AO$2&lt;=analysis_period,IF(SUM($C649:AO649)&gt;0,AN313+1,0),0)</f>
        <v>0</v>
      </c>
      <c r="AP313" s="389">
        <f>IF(AP$2&lt;=analysis_period,IF(SUM($C649:AP649)&gt;0,AO313+1,0),0)</f>
        <v>0</v>
      </c>
    </row>
    <row r="314" spans="1:42" x14ac:dyDescent="0.2">
      <c r="A314" s="21">
        <f>A313+1</f>
        <v>2</v>
      </c>
      <c r="C314" s="389">
        <f>IF(C$2&lt;=analysis_period,IF(SUM($C650:C650)&gt;0,B314+1,0),0)</f>
        <v>0</v>
      </c>
      <c r="D314" s="389">
        <f>IF(D$2&lt;=analysis_period,IF(SUM($C650:D650)&gt;0,C314+1,0),0)</f>
        <v>0</v>
      </c>
      <c r="E314" s="389">
        <f>IF(E$2&lt;=analysis_period,IF(SUM($C650:E650)&gt;0,D314+1,0),0)</f>
        <v>0</v>
      </c>
      <c r="F314" s="389">
        <f>IF(F$2&lt;=analysis_period,IF(SUM($C650:F650)&gt;0,E314+1,0),0)</f>
        <v>0</v>
      </c>
      <c r="G314" s="389">
        <f>IF(G$2&lt;=analysis_period,IF(SUM($C650:G650)&gt;0,F314+1,0),0)</f>
        <v>0</v>
      </c>
      <c r="H314" s="389">
        <f>IF(H$2&lt;=analysis_period,IF(SUM($C650:H650)&gt;0,G314+1,0),0)</f>
        <v>0</v>
      </c>
      <c r="I314" s="389">
        <f>IF(I$2&lt;=analysis_period,IF(SUM($C650:I650)&gt;0,H314+1,0),0)</f>
        <v>0</v>
      </c>
      <c r="J314" s="389">
        <f>IF(J$2&lt;=analysis_period,IF(SUM($C650:J650)&gt;0,I314+1,0),0)</f>
        <v>0</v>
      </c>
      <c r="K314" s="389">
        <f>IF(K$2&lt;=analysis_period,IF(SUM($C650:K650)&gt;0,J314+1,0),0)</f>
        <v>0</v>
      </c>
      <c r="L314" s="389">
        <f>IF(L$2&lt;=analysis_period,IF(SUM($C650:L650)&gt;0,K314+1,0),0)</f>
        <v>0</v>
      </c>
      <c r="M314" s="389">
        <f>IF(M$2&lt;=analysis_period,IF(SUM($C650:M650)&gt;0,L314+1,0),0)</f>
        <v>0</v>
      </c>
      <c r="N314" s="389">
        <f>IF(N$2&lt;=analysis_period,IF(SUM($C650:N650)&gt;0,M314+1,0),0)</f>
        <v>0</v>
      </c>
      <c r="O314" s="389">
        <f>IF(O$2&lt;=analysis_period,IF(SUM($C650:O650)&gt;0,N314+1,0),0)</f>
        <v>0</v>
      </c>
      <c r="P314" s="389">
        <f>IF(P$2&lt;=analysis_period,IF(SUM($C650:P650)&gt;0,O314+1,0),0)</f>
        <v>0</v>
      </c>
      <c r="Q314" s="389">
        <f>IF(Q$2&lt;=analysis_period,IF(SUM($C650:Q650)&gt;0,P314+1,0),0)</f>
        <v>0</v>
      </c>
      <c r="R314" s="389">
        <f>IF(R$2&lt;=analysis_period,IF(SUM($C650:R650)&gt;0,Q314+1,0),0)</f>
        <v>0</v>
      </c>
      <c r="S314" s="389">
        <f>IF(S$2&lt;=analysis_period,IF(SUM($C650:S650)&gt;0,R314+1,0),0)</f>
        <v>0</v>
      </c>
      <c r="T314" s="389">
        <f>IF(T$2&lt;=analysis_period,IF(SUM($C650:T650)&gt;0,S314+1,0),0)</f>
        <v>0</v>
      </c>
      <c r="U314" s="389">
        <f>IF(U$2&lt;=analysis_period,IF(SUM($C650:U650)&gt;0,T314+1,0),0)</f>
        <v>0</v>
      </c>
      <c r="V314" s="389">
        <f>IF(V$2&lt;=analysis_period,IF(SUM($C650:V650)&gt;0,U314+1,0),0)</f>
        <v>0</v>
      </c>
      <c r="W314" s="389">
        <f>IF(W$2&lt;=analysis_period,IF(SUM($C650:W650)&gt;0,V314+1,0),0)</f>
        <v>0</v>
      </c>
      <c r="X314" s="389">
        <f>IF(X$2&lt;=analysis_period,IF(SUM($C650:X650)&gt;0,W314+1,0),0)</f>
        <v>0</v>
      </c>
      <c r="Y314" s="389">
        <f>IF(Y$2&lt;=analysis_period,IF(SUM($C650:Y650)&gt;0,X314+1,0),0)</f>
        <v>0</v>
      </c>
      <c r="Z314" s="389">
        <f>IF(Z$2&lt;=analysis_period,IF(SUM($C650:Z650)&gt;0,Y314+1,0),0)</f>
        <v>0</v>
      </c>
      <c r="AA314" s="389">
        <f>IF(AA$2&lt;=analysis_period,IF(SUM($C650:AA650)&gt;0,Z314+1,0),0)</f>
        <v>0</v>
      </c>
      <c r="AB314" s="389">
        <f>IF(AB$2&lt;=analysis_period,IF(SUM($C650:AB650)&gt;0,AA314+1,0),0)</f>
        <v>0</v>
      </c>
      <c r="AC314" s="389">
        <f>IF(AC$2&lt;=analysis_period,IF(SUM($C650:AC650)&gt;0,AB314+1,0),0)</f>
        <v>0</v>
      </c>
      <c r="AD314" s="389">
        <f>IF(AD$2&lt;=analysis_period,IF(SUM($C650:AD650)&gt;0,AC314+1,0),0)</f>
        <v>0</v>
      </c>
      <c r="AE314" s="389">
        <f>IF(AE$2&lt;=analysis_period,IF(SUM($C650:AE650)&gt;0,AD314+1,0),0)</f>
        <v>0</v>
      </c>
      <c r="AF314" s="389">
        <f>IF(AF$2&lt;=analysis_period,IF(SUM($C650:AF650)&gt;0,AE314+1,0),0)</f>
        <v>0</v>
      </c>
      <c r="AG314" s="389">
        <f>IF(AG$2&lt;=analysis_period,IF(SUM($C650:AG650)&gt;0,AF314+1,0),0)</f>
        <v>0</v>
      </c>
      <c r="AH314" s="389">
        <f>IF(AH$2&lt;=analysis_period,IF(SUM($C650:AH650)&gt;0,AG314+1,0),0)</f>
        <v>0</v>
      </c>
      <c r="AI314" s="389">
        <f>IF(AI$2&lt;=analysis_period,IF(SUM($C650:AI650)&gt;0,AH314+1,0),0)</f>
        <v>0</v>
      </c>
      <c r="AJ314" s="389">
        <f>IF(AJ$2&lt;=analysis_period,IF(SUM($C650:AJ650)&gt;0,AI314+1,0),0)</f>
        <v>0</v>
      </c>
      <c r="AK314" s="389">
        <f>IF(AK$2&lt;=analysis_period,IF(SUM($C650:AK650)&gt;0,AJ314+1,0),0)</f>
        <v>0</v>
      </c>
      <c r="AL314" s="389">
        <f>IF(AL$2&lt;=analysis_period,IF(SUM($C650:AL650)&gt;0,AK314+1,0),0)</f>
        <v>0</v>
      </c>
      <c r="AM314" s="389">
        <f>IF(AM$2&lt;=analysis_period,IF(SUM($C650:AM650)&gt;0,AL314+1,0),0)</f>
        <v>0</v>
      </c>
      <c r="AN314" s="389">
        <f>IF(AN$2&lt;=analysis_period,IF(SUM($C650:AN650)&gt;0,AM314+1,0),0)</f>
        <v>0</v>
      </c>
      <c r="AO314" s="389">
        <f>IF(AO$2&lt;=analysis_period,IF(SUM($C650:AO650)&gt;0,AN314+1,0),0)</f>
        <v>0</v>
      </c>
      <c r="AP314" s="389">
        <f>IF(AP$2&lt;=analysis_period,IF(SUM($C650:AP650)&gt;0,AO314+1,0),0)</f>
        <v>0</v>
      </c>
    </row>
    <row r="315" spans="1:42" x14ac:dyDescent="0.2">
      <c r="A315" s="21">
        <f t="shared" ref="A315:A322" si="150">A314+1</f>
        <v>3</v>
      </c>
      <c r="C315" s="389">
        <f>IF(C$2&lt;=analysis_period,IF(SUM($C651:C651)&gt;0,B315+1,0),0)</f>
        <v>0</v>
      </c>
      <c r="D315" s="389">
        <f>IF(D$2&lt;=analysis_period,IF(SUM($C651:D651)&gt;0,C315+1,0),0)</f>
        <v>0</v>
      </c>
      <c r="E315" s="389">
        <f>IF(E$2&lt;=analysis_period,IF(SUM($C651:E651)&gt;0,D315+1,0),0)</f>
        <v>0</v>
      </c>
      <c r="F315" s="389">
        <f>IF(F$2&lt;=analysis_period,IF(SUM($C651:F651)&gt;0,E315+1,0),0)</f>
        <v>0</v>
      </c>
      <c r="G315" s="389">
        <f>IF(G$2&lt;=analysis_period,IF(SUM($C651:G651)&gt;0,F315+1,0),0)</f>
        <v>0</v>
      </c>
      <c r="H315" s="389">
        <f>IF(H$2&lt;=analysis_period,IF(SUM($C651:H651)&gt;0,G315+1,0),0)</f>
        <v>0</v>
      </c>
      <c r="I315" s="389">
        <f>IF(I$2&lt;=analysis_period,IF(SUM($C651:I651)&gt;0,H315+1,0),0)</f>
        <v>0</v>
      </c>
      <c r="J315" s="389">
        <f>IF(J$2&lt;=analysis_period,IF(SUM($C651:J651)&gt;0,I315+1,0),0)</f>
        <v>0</v>
      </c>
      <c r="K315" s="389">
        <f>IF(K$2&lt;=analysis_period,IF(SUM($C651:K651)&gt;0,J315+1,0),0)</f>
        <v>0</v>
      </c>
      <c r="L315" s="389">
        <f>IF(L$2&lt;=analysis_period,IF(SUM($C651:L651)&gt;0,K315+1,0),0)</f>
        <v>0</v>
      </c>
      <c r="M315" s="389">
        <f>IF(M$2&lt;=analysis_period,IF(SUM($C651:M651)&gt;0,L315+1,0),0)</f>
        <v>0</v>
      </c>
      <c r="N315" s="389">
        <f>IF(N$2&lt;=analysis_period,IF(SUM($C651:N651)&gt;0,M315+1,0),0)</f>
        <v>0</v>
      </c>
      <c r="O315" s="389">
        <f>IF(O$2&lt;=analysis_period,IF(SUM($C651:O651)&gt;0,N315+1,0),0)</f>
        <v>0</v>
      </c>
      <c r="P315" s="389">
        <f>IF(P$2&lt;=analysis_period,IF(SUM($C651:P651)&gt;0,O315+1,0),0)</f>
        <v>0</v>
      </c>
      <c r="Q315" s="389">
        <f>IF(Q$2&lt;=analysis_period,IF(SUM($C651:Q651)&gt;0,P315+1,0),0)</f>
        <v>0</v>
      </c>
      <c r="R315" s="389">
        <f>IF(R$2&lt;=analysis_period,IF(SUM($C651:R651)&gt;0,Q315+1,0),0)</f>
        <v>0</v>
      </c>
      <c r="S315" s="389">
        <f>IF(S$2&lt;=analysis_period,IF(SUM($C651:S651)&gt;0,R315+1,0),0)</f>
        <v>0</v>
      </c>
      <c r="T315" s="389">
        <f>IF(T$2&lt;=analysis_period,IF(SUM($C651:T651)&gt;0,S315+1,0),0)</f>
        <v>0</v>
      </c>
      <c r="U315" s="389">
        <f>IF(U$2&lt;=analysis_period,IF(SUM($C651:U651)&gt;0,T315+1,0),0)</f>
        <v>0</v>
      </c>
      <c r="V315" s="389">
        <f>IF(V$2&lt;=analysis_period,IF(SUM($C651:V651)&gt;0,U315+1,0),0)</f>
        <v>0</v>
      </c>
      <c r="W315" s="389">
        <f>IF(W$2&lt;=analysis_period,IF(SUM($C651:W651)&gt;0,V315+1,0),0)</f>
        <v>0</v>
      </c>
      <c r="X315" s="389">
        <f>IF(X$2&lt;=analysis_period,IF(SUM($C651:X651)&gt;0,W315+1,0),0)</f>
        <v>0</v>
      </c>
      <c r="Y315" s="389">
        <f>IF(Y$2&lt;=analysis_period,IF(SUM($C651:Y651)&gt;0,X315+1,0),0)</f>
        <v>0</v>
      </c>
      <c r="Z315" s="389">
        <f>IF(Z$2&lt;=analysis_period,IF(SUM($C651:Z651)&gt;0,Y315+1,0),0)</f>
        <v>0</v>
      </c>
      <c r="AA315" s="389">
        <f>IF(AA$2&lt;=analysis_period,IF(SUM($C651:AA651)&gt;0,Z315+1,0),0)</f>
        <v>0</v>
      </c>
      <c r="AB315" s="389">
        <f>IF(AB$2&lt;=analysis_period,IF(SUM($C651:AB651)&gt;0,AA315+1,0),0)</f>
        <v>0</v>
      </c>
      <c r="AC315" s="389">
        <f>IF(AC$2&lt;=analysis_period,IF(SUM($C651:AC651)&gt;0,AB315+1,0),0)</f>
        <v>0</v>
      </c>
      <c r="AD315" s="389">
        <f>IF(AD$2&lt;=analysis_period,IF(SUM($C651:AD651)&gt;0,AC315+1,0),0)</f>
        <v>0</v>
      </c>
      <c r="AE315" s="389">
        <f>IF(AE$2&lt;=analysis_period,IF(SUM($C651:AE651)&gt;0,AD315+1,0),0)</f>
        <v>0</v>
      </c>
      <c r="AF315" s="389">
        <f>IF(AF$2&lt;=analysis_period,IF(SUM($C651:AF651)&gt;0,AE315+1,0),0)</f>
        <v>0</v>
      </c>
      <c r="AG315" s="389">
        <f>IF(AG$2&lt;=analysis_period,IF(SUM($C651:AG651)&gt;0,AF315+1,0),0)</f>
        <v>0</v>
      </c>
      <c r="AH315" s="389">
        <f>IF(AH$2&lt;=analysis_period,IF(SUM($C651:AH651)&gt;0,AG315+1,0),0)</f>
        <v>0</v>
      </c>
      <c r="AI315" s="389">
        <f>IF(AI$2&lt;=analysis_period,IF(SUM($C651:AI651)&gt;0,AH315+1,0),0)</f>
        <v>0</v>
      </c>
      <c r="AJ315" s="389">
        <f>IF(AJ$2&lt;=analysis_period,IF(SUM($C651:AJ651)&gt;0,AI315+1,0),0)</f>
        <v>0</v>
      </c>
      <c r="AK315" s="389">
        <f>IF(AK$2&lt;=analysis_period,IF(SUM($C651:AK651)&gt;0,AJ315+1,0),0)</f>
        <v>0</v>
      </c>
      <c r="AL315" s="389">
        <f>IF(AL$2&lt;=analysis_period,IF(SUM($C651:AL651)&gt;0,AK315+1,0),0)</f>
        <v>0</v>
      </c>
      <c r="AM315" s="389">
        <f>IF(AM$2&lt;=analysis_period,IF(SUM($C651:AM651)&gt;0,AL315+1,0),0)</f>
        <v>0</v>
      </c>
      <c r="AN315" s="389">
        <f>IF(AN$2&lt;=analysis_period,IF(SUM($C651:AN651)&gt;0,AM315+1,0),0)</f>
        <v>0</v>
      </c>
      <c r="AO315" s="389">
        <f>IF(AO$2&lt;=analysis_period,IF(SUM($C651:AO651)&gt;0,AN315+1,0),0)</f>
        <v>0</v>
      </c>
      <c r="AP315" s="389">
        <f>IF(AP$2&lt;=analysis_period,IF(SUM($C651:AP651)&gt;0,AO315+1,0),0)</f>
        <v>0</v>
      </c>
    </row>
    <row r="316" spans="1:42" x14ac:dyDescent="0.2">
      <c r="A316" s="21">
        <f t="shared" si="150"/>
        <v>4</v>
      </c>
      <c r="C316" s="389">
        <f>IF(C$2&lt;=analysis_period,IF(SUM($C652:C652)&gt;0,B316+1,0),0)</f>
        <v>0</v>
      </c>
      <c r="D316" s="389">
        <f>IF(D$2&lt;=analysis_period,IF(SUM($C652:D652)&gt;0,C316+1,0),0)</f>
        <v>0</v>
      </c>
      <c r="E316" s="389">
        <f>IF(E$2&lt;=analysis_period,IF(SUM($C652:E652)&gt;0,D316+1,0),0)</f>
        <v>0</v>
      </c>
      <c r="F316" s="389">
        <f>IF(F$2&lt;=analysis_period,IF(SUM($C652:F652)&gt;0,E316+1,0),0)</f>
        <v>0</v>
      </c>
      <c r="G316" s="389">
        <f>IF(G$2&lt;=analysis_period,IF(SUM($C652:G652)&gt;0,F316+1,0),0)</f>
        <v>0</v>
      </c>
      <c r="H316" s="389">
        <f>IF(H$2&lt;=analysis_period,IF(SUM($C652:H652)&gt;0,G316+1,0),0)</f>
        <v>0</v>
      </c>
      <c r="I316" s="389">
        <f>IF(I$2&lt;=analysis_period,IF(SUM($C652:I652)&gt;0,H316+1,0),0)</f>
        <v>0</v>
      </c>
      <c r="J316" s="389">
        <f>IF(J$2&lt;=analysis_period,IF(SUM($C652:J652)&gt;0,I316+1,0),0)</f>
        <v>0</v>
      </c>
      <c r="K316" s="389">
        <f>IF(K$2&lt;=analysis_period,IF(SUM($C652:K652)&gt;0,J316+1,0),0)</f>
        <v>0</v>
      </c>
      <c r="L316" s="389">
        <f>IF(L$2&lt;=analysis_period,IF(SUM($C652:L652)&gt;0,K316+1,0),0)</f>
        <v>0</v>
      </c>
      <c r="M316" s="389">
        <f>IF(M$2&lt;=analysis_period,IF(SUM($C652:M652)&gt;0,L316+1,0),0)</f>
        <v>0</v>
      </c>
      <c r="N316" s="389">
        <f>IF(N$2&lt;=analysis_period,IF(SUM($C652:N652)&gt;0,M316+1,0),0)</f>
        <v>0</v>
      </c>
      <c r="O316" s="389">
        <f>IF(O$2&lt;=analysis_period,IF(SUM($C652:O652)&gt;0,N316+1,0),0)</f>
        <v>0</v>
      </c>
      <c r="P316" s="389">
        <f>IF(P$2&lt;=analysis_period,IF(SUM($C652:P652)&gt;0,O316+1,0),0)</f>
        <v>0</v>
      </c>
      <c r="Q316" s="389">
        <f>IF(Q$2&lt;=analysis_period,IF(SUM($C652:Q652)&gt;0,P316+1,0),0)</f>
        <v>0</v>
      </c>
      <c r="R316" s="389">
        <f>IF(R$2&lt;=analysis_period,IF(SUM($C652:R652)&gt;0,Q316+1,0),0)</f>
        <v>0</v>
      </c>
      <c r="S316" s="389">
        <f>IF(S$2&lt;=analysis_period,IF(SUM($C652:S652)&gt;0,R316+1,0),0)</f>
        <v>0</v>
      </c>
      <c r="T316" s="389">
        <f>IF(T$2&lt;=analysis_period,IF(SUM($C652:T652)&gt;0,S316+1,0),0)</f>
        <v>0</v>
      </c>
      <c r="U316" s="389">
        <f>IF(U$2&lt;=analysis_period,IF(SUM($C652:U652)&gt;0,T316+1,0),0)</f>
        <v>0</v>
      </c>
      <c r="V316" s="389">
        <f>IF(V$2&lt;=analysis_period,IF(SUM($C652:V652)&gt;0,U316+1,0),0)</f>
        <v>0</v>
      </c>
      <c r="W316" s="389">
        <f>IF(W$2&lt;=analysis_period,IF(SUM($C652:W652)&gt;0,V316+1,0),0)</f>
        <v>0</v>
      </c>
      <c r="X316" s="389">
        <f>IF(X$2&lt;=analysis_period,IF(SUM($C652:X652)&gt;0,W316+1,0),0)</f>
        <v>0</v>
      </c>
      <c r="Y316" s="389">
        <f>IF(Y$2&lt;=analysis_period,IF(SUM($C652:Y652)&gt;0,X316+1,0),0)</f>
        <v>0</v>
      </c>
      <c r="Z316" s="389">
        <f>IF(Z$2&lt;=analysis_period,IF(SUM($C652:Z652)&gt;0,Y316+1,0),0)</f>
        <v>0</v>
      </c>
      <c r="AA316" s="389">
        <f>IF(AA$2&lt;=analysis_period,IF(SUM($C652:AA652)&gt;0,Z316+1,0),0)</f>
        <v>0</v>
      </c>
      <c r="AB316" s="389">
        <f>IF(AB$2&lt;=analysis_period,IF(SUM($C652:AB652)&gt;0,AA316+1,0),0)</f>
        <v>0</v>
      </c>
      <c r="AC316" s="389">
        <f>IF(AC$2&lt;=analysis_period,IF(SUM($C652:AC652)&gt;0,AB316+1,0),0)</f>
        <v>0</v>
      </c>
      <c r="AD316" s="389">
        <f>IF(AD$2&lt;=analysis_period,IF(SUM($C652:AD652)&gt;0,AC316+1,0),0)</f>
        <v>0</v>
      </c>
      <c r="AE316" s="389">
        <f>IF(AE$2&lt;=analysis_period,IF(SUM($C652:AE652)&gt;0,AD316+1,0),0)</f>
        <v>0</v>
      </c>
      <c r="AF316" s="389">
        <f>IF(AF$2&lt;=analysis_period,IF(SUM($C652:AF652)&gt;0,AE316+1,0),0)</f>
        <v>0</v>
      </c>
      <c r="AG316" s="389">
        <f>IF(AG$2&lt;=analysis_period,IF(SUM($C652:AG652)&gt;0,AF316+1,0),0)</f>
        <v>0</v>
      </c>
      <c r="AH316" s="389">
        <f>IF(AH$2&lt;=analysis_period,IF(SUM($C652:AH652)&gt;0,AG316+1,0),0)</f>
        <v>0</v>
      </c>
      <c r="AI316" s="389">
        <f>IF(AI$2&lt;=analysis_period,IF(SUM($C652:AI652)&gt;0,AH316+1,0),0)</f>
        <v>0</v>
      </c>
      <c r="AJ316" s="389">
        <f>IF(AJ$2&lt;=analysis_period,IF(SUM($C652:AJ652)&gt;0,AI316+1,0),0)</f>
        <v>0</v>
      </c>
      <c r="AK316" s="389">
        <f>IF(AK$2&lt;=analysis_period,IF(SUM($C652:AK652)&gt;0,AJ316+1,0),0)</f>
        <v>0</v>
      </c>
      <c r="AL316" s="389">
        <f>IF(AL$2&lt;=analysis_period,IF(SUM($C652:AL652)&gt;0,AK316+1,0),0)</f>
        <v>0</v>
      </c>
      <c r="AM316" s="389">
        <f>IF(AM$2&lt;=analysis_period,IF(SUM($C652:AM652)&gt;0,AL316+1,0),0)</f>
        <v>0</v>
      </c>
      <c r="AN316" s="389">
        <f>IF(AN$2&lt;=analysis_period,IF(SUM($C652:AN652)&gt;0,AM316+1,0),0)</f>
        <v>0</v>
      </c>
      <c r="AO316" s="389">
        <f>IF(AO$2&lt;=analysis_period,IF(SUM($C652:AO652)&gt;0,AN316+1,0),0)</f>
        <v>0</v>
      </c>
      <c r="AP316" s="389">
        <f>IF(AP$2&lt;=analysis_period,IF(SUM($C652:AP652)&gt;0,AO316+1,0),0)</f>
        <v>0</v>
      </c>
    </row>
    <row r="317" spans="1:42" x14ac:dyDescent="0.2">
      <c r="A317" s="21">
        <f t="shared" si="150"/>
        <v>5</v>
      </c>
      <c r="C317" s="389">
        <f>IF(C$2&lt;=analysis_period,IF(SUM($C653:C653)&gt;0,B317+1,0),0)</f>
        <v>0</v>
      </c>
      <c r="D317" s="389">
        <f>IF(D$2&lt;=analysis_period,IF(SUM($C653:D653)&gt;0,C317+1,0),0)</f>
        <v>0</v>
      </c>
      <c r="E317" s="389">
        <f>IF(E$2&lt;=analysis_period,IF(SUM($C653:E653)&gt;0,D317+1,0),0)</f>
        <v>0</v>
      </c>
      <c r="F317" s="389">
        <f>IF(F$2&lt;=analysis_period,IF(SUM($C653:F653)&gt;0,E317+1,0),0)</f>
        <v>0</v>
      </c>
      <c r="G317" s="389">
        <f>IF(G$2&lt;=analysis_period,IF(SUM($C653:G653)&gt;0,F317+1,0),0)</f>
        <v>0</v>
      </c>
      <c r="H317" s="389">
        <f>IF(H$2&lt;=analysis_period,IF(SUM($C653:H653)&gt;0,G317+1,0),0)</f>
        <v>0</v>
      </c>
      <c r="I317" s="389">
        <f>IF(I$2&lt;=analysis_period,IF(SUM($C653:I653)&gt;0,H317+1,0),0)</f>
        <v>0</v>
      </c>
      <c r="J317" s="389">
        <f>IF(J$2&lt;=analysis_period,IF(SUM($C653:J653)&gt;0,I317+1,0),0)</f>
        <v>0</v>
      </c>
      <c r="K317" s="389">
        <f>IF(K$2&lt;=analysis_period,IF(SUM($C653:K653)&gt;0,J317+1,0),0)</f>
        <v>0</v>
      </c>
      <c r="L317" s="389">
        <f>IF(L$2&lt;=analysis_period,IF(SUM($C653:L653)&gt;0,K317+1,0),0)</f>
        <v>0</v>
      </c>
      <c r="M317" s="389">
        <f>IF(M$2&lt;=analysis_period,IF(SUM($C653:M653)&gt;0,L317+1,0),0)</f>
        <v>0</v>
      </c>
      <c r="N317" s="389">
        <f>IF(N$2&lt;=analysis_period,IF(SUM($C653:N653)&gt;0,M317+1,0),0)</f>
        <v>0</v>
      </c>
      <c r="O317" s="389">
        <f>IF(O$2&lt;=analysis_period,IF(SUM($C653:O653)&gt;0,N317+1,0),0)</f>
        <v>0</v>
      </c>
      <c r="P317" s="389">
        <f>IF(P$2&lt;=analysis_period,IF(SUM($C653:P653)&gt;0,O317+1,0),0)</f>
        <v>0</v>
      </c>
      <c r="Q317" s="389">
        <f>IF(Q$2&lt;=analysis_period,IF(SUM($C653:Q653)&gt;0,P317+1,0),0)</f>
        <v>0</v>
      </c>
      <c r="R317" s="389">
        <f>IF(R$2&lt;=analysis_period,IF(SUM($C653:R653)&gt;0,Q317+1,0),0)</f>
        <v>0</v>
      </c>
      <c r="S317" s="389">
        <f>IF(S$2&lt;=analysis_period,IF(SUM($C653:S653)&gt;0,R317+1,0),0)</f>
        <v>0</v>
      </c>
      <c r="T317" s="389">
        <f>IF(T$2&lt;=analysis_period,IF(SUM($C653:T653)&gt;0,S317+1,0),0)</f>
        <v>0</v>
      </c>
      <c r="U317" s="389">
        <f>IF(U$2&lt;=analysis_period,IF(SUM($C653:U653)&gt;0,T317+1,0),0)</f>
        <v>0</v>
      </c>
      <c r="V317" s="389">
        <f>IF(V$2&lt;=analysis_period,IF(SUM($C653:V653)&gt;0,U317+1,0),0)</f>
        <v>0</v>
      </c>
      <c r="W317" s="389">
        <f>IF(W$2&lt;=analysis_period,IF(SUM($C653:W653)&gt;0,V317+1,0),0)</f>
        <v>0</v>
      </c>
      <c r="X317" s="389">
        <f>IF(X$2&lt;=analysis_period,IF(SUM($C653:X653)&gt;0,W317+1,0),0)</f>
        <v>0</v>
      </c>
      <c r="Y317" s="389">
        <f>IF(Y$2&lt;=analysis_period,IF(SUM($C653:Y653)&gt;0,X317+1,0),0)</f>
        <v>0</v>
      </c>
      <c r="Z317" s="389">
        <f>IF(Z$2&lt;=analysis_period,IF(SUM($C653:Z653)&gt;0,Y317+1,0),0)</f>
        <v>0</v>
      </c>
      <c r="AA317" s="389">
        <f>IF(AA$2&lt;=analysis_period,IF(SUM($C653:AA653)&gt;0,Z317+1,0),0)</f>
        <v>0</v>
      </c>
      <c r="AB317" s="389">
        <f>IF(AB$2&lt;=analysis_period,IF(SUM($C653:AB653)&gt;0,AA317+1,0),0)</f>
        <v>0</v>
      </c>
      <c r="AC317" s="389">
        <f>IF(AC$2&lt;=analysis_period,IF(SUM($C653:AC653)&gt;0,AB317+1,0),0)</f>
        <v>0</v>
      </c>
      <c r="AD317" s="389">
        <f>IF(AD$2&lt;=analysis_period,IF(SUM($C653:AD653)&gt;0,AC317+1,0),0)</f>
        <v>0</v>
      </c>
      <c r="AE317" s="389">
        <f>IF(AE$2&lt;=analysis_period,IF(SUM($C653:AE653)&gt;0,AD317+1,0),0)</f>
        <v>0</v>
      </c>
      <c r="AF317" s="389">
        <f>IF(AF$2&lt;=analysis_period,IF(SUM($C653:AF653)&gt;0,AE317+1,0),0)</f>
        <v>0</v>
      </c>
      <c r="AG317" s="389">
        <f>IF(AG$2&lt;=analysis_period,IF(SUM($C653:AG653)&gt;0,AF317+1,0),0)</f>
        <v>0</v>
      </c>
      <c r="AH317" s="389">
        <f>IF(AH$2&lt;=analysis_period,IF(SUM($C653:AH653)&gt;0,AG317+1,0),0)</f>
        <v>0</v>
      </c>
      <c r="AI317" s="389">
        <f>IF(AI$2&lt;=analysis_period,IF(SUM($C653:AI653)&gt;0,AH317+1,0),0)</f>
        <v>0</v>
      </c>
      <c r="AJ317" s="389">
        <f>IF(AJ$2&lt;=analysis_period,IF(SUM($C653:AJ653)&gt;0,AI317+1,0),0)</f>
        <v>0</v>
      </c>
      <c r="AK317" s="389">
        <f>IF(AK$2&lt;=analysis_period,IF(SUM($C653:AK653)&gt;0,AJ317+1,0),0)</f>
        <v>0</v>
      </c>
      <c r="AL317" s="389">
        <f>IF(AL$2&lt;=analysis_period,IF(SUM($C653:AL653)&gt;0,AK317+1,0),0)</f>
        <v>0</v>
      </c>
      <c r="AM317" s="389">
        <f>IF(AM$2&lt;=analysis_period,IF(SUM($C653:AM653)&gt;0,AL317+1,0),0)</f>
        <v>0</v>
      </c>
      <c r="AN317" s="389">
        <f>IF(AN$2&lt;=analysis_period,IF(SUM($C653:AN653)&gt;0,AM317+1,0),0)</f>
        <v>0</v>
      </c>
      <c r="AO317" s="389">
        <f>IF(AO$2&lt;=analysis_period,IF(SUM($C653:AO653)&gt;0,AN317+1,0),0)</f>
        <v>0</v>
      </c>
      <c r="AP317" s="389">
        <f>IF(AP$2&lt;=analysis_period,IF(SUM($C653:AP653)&gt;0,AO317+1,0),0)</f>
        <v>0</v>
      </c>
    </row>
    <row r="318" spans="1:42" x14ac:dyDescent="0.2">
      <c r="A318" s="21">
        <f t="shared" si="150"/>
        <v>6</v>
      </c>
      <c r="C318" s="389">
        <f>IF(C$2&lt;=analysis_period,IF(SUM($C654:C654)&gt;0,B318+1,0),0)</f>
        <v>0</v>
      </c>
      <c r="D318" s="389">
        <f>IF(D$2&lt;=analysis_period,IF(SUM($C654:D654)&gt;0,C318+1,0),0)</f>
        <v>0</v>
      </c>
      <c r="E318" s="389">
        <f>IF(E$2&lt;=analysis_period,IF(SUM($C654:E654)&gt;0,D318+1,0),0)</f>
        <v>0</v>
      </c>
      <c r="F318" s="389">
        <f>IF(F$2&lt;=analysis_period,IF(SUM($C654:F654)&gt;0,E318+1,0),0)</f>
        <v>0</v>
      </c>
      <c r="G318" s="389">
        <f>IF(G$2&lt;=analysis_period,IF(SUM($C654:G654)&gt;0,F318+1,0),0)</f>
        <v>0</v>
      </c>
      <c r="H318" s="389">
        <f>IF(H$2&lt;=analysis_period,IF(SUM($C654:H654)&gt;0,G318+1,0),0)</f>
        <v>0</v>
      </c>
      <c r="I318" s="389">
        <f>IF(I$2&lt;=analysis_period,IF(SUM($C654:I654)&gt;0,H318+1,0),0)</f>
        <v>0</v>
      </c>
      <c r="J318" s="389">
        <f>IF(J$2&lt;=analysis_period,IF(SUM($C654:J654)&gt;0,I318+1,0),0)</f>
        <v>0</v>
      </c>
      <c r="K318" s="389">
        <f>IF(K$2&lt;=analysis_period,IF(SUM($C654:K654)&gt;0,J318+1,0),0)</f>
        <v>0</v>
      </c>
      <c r="L318" s="389">
        <f>IF(L$2&lt;=analysis_period,IF(SUM($C654:L654)&gt;0,K318+1,0),0)</f>
        <v>0</v>
      </c>
      <c r="M318" s="389">
        <f>IF(M$2&lt;=analysis_period,IF(SUM($C654:M654)&gt;0,L318+1,0),0)</f>
        <v>0</v>
      </c>
      <c r="N318" s="389">
        <f>IF(N$2&lt;=analysis_period,IF(SUM($C654:N654)&gt;0,M318+1,0),0)</f>
        <v>0</v>
      </c>
      <c r="O318" s="389">
        <f>IF(O$2&lt;=analysis_period,IF(SUM($C654:O654)&gt;0,N318+1,0),0)</f>
        <v>0</v>
      </c>
      <c r="P318" s="389">
        <f>IF(P$2&lt;=analysis_period,IF(SUM($C654:P654)&gt;0,O318+1,0),0)</f>
        <v>0</v>
      </c>
      <c r="Q318" s="389">
        <f>IF(Q$2&lt;=analysis_period,IF(SUM($C654:Q654)&gt;0,P318+1,0),0)</f>
        <v>0</v>
      </c>
      <c r="R318" s="389">
        <f>IF(R$2&lt;=analysis_period,IF(SUM($C654:R654)&gt;0,Q318+1,0),0)</f>
        <v>0</v>
      </c>
      <c r="S318" s="389">
        <f>IF(S$2&lt;=analysis_period,IF(SUM($C654:S654)&gt;0,R318+1,0),0)</f>
        <v>0</v>
      </c>
      <c r="T318" s="389">
        <f>IF(T$2&lt;=analysis_period,IF(SUM($C654:T654)&gt;0,S318+1,0),0)</f>
        <v>0</v>
      </c>
      <c r="U318" s="389">
        <f>IF(U$2&lt;=analysis_period,IF(SUM($C654:U654)&gt;0,T318+1,0),0)</f>
        <v>0</v>
      </c>
      <c r="V318" s="389">
        <f>IF(V$2&lt;=analysis_period,IF(SUM($C654:V654)&gt;0,U318+1,0),0)</f>
        <v>0</v>
      </c>
      <c r="W318" s="389">
        <f>IF(W$2&lt;=analysis_period,IF(SUM($C654:W654)&gt;0,V318+1,0),0)</f>
        <v>0</v>
      </c>
      <c r="X318" s="389">
        <f>IF(X$2&lt;=analysis_period,IF(SUM($C654:X654)&gt;0,W318+1,0),0)</f>
        <v>0</v>
      </c>
      <c r="Y318" s="389">
        <f>IF(Y$2&lt;=analysis_period,IF(SUM($C654:Y654)&gt;0,X318+1,0),0)</f>
        <v>0</v>
      </c>
      <c r="Z318" s="389">
        <f>IF(Z$2&lt;=analysis_period,IF(SUM($C654:Z654)&gt;0,Y318+1,0),0)</f>
        <v>0</v>
      </c>
      <c r="AA318" s="389">
        <f>IF(AA$2&lt;=analysis_period,IF(SUM($C654:AA654)&gt;0,Z318+1,0),0)</f>
        <v>0</v>
      </c>
      <c r="AB318" s="389">
        <f>IF(AB$2&lt;=analysis_period,IF(SUM($C654:AB654)&gt;0,AA318+1,0),0)</f>
        <v>0</v>
      </c>
      <c r="AC318" s="389">
        <f>IF(AC$2&lt;=analysis_period,IF(SUM($C654:AC654)&gt;0,AB318+1,0),0)</f>
        <v>0</v>
      </c>
      <c r="AD318" s="389">
        <f>IF(AD$2&lt;=analysis_period,IF(SUM($C654:AD654)&gt;0,AC318+1,0),0)</f>
        <v>0</v>
      </c>
      <c r="AE318" s="389">
        <f>IF(AE$2&lt;=analysis_period,IF(SUM($C654:AE654)&gt;0,AD318+1,0),0)</f>
        <v>0</v>
      </c>
      <c r="AF318" s="389">
        <f>IF(AF$2&lt;=analysis_period,IF(SUM($C654:AF654)&gt;0,AE318+1,0),0)</f>
        <v>0</v>
      </c>
      <c r="AG318" s="389">
        <f>IF(AG$2&lt;=analysis_period,IF(SUM($C654:AG654)&gt;0,AF318+1,0),0)</f>
        <v>0</v>
      </c>
      <c r="AH318" s="389">
        <f>IF(AH$2&lt;=analysis_period,IF(SUM($C654:AH654)&gt;0,AG318+1,0),0)</f>
        <v>0</v>
      </c>
      <c r="AI318" s="389">
        <f>IF(AI$2&lt;=analysis_period,IF(SUM($C654:AI654)&gt;0,AH318+1,0),0)</f>
        <v>0</v>
      </c>
      <c r="AJ318" s="389">
        <f>IF(AJ$2&lt;=analysis_period,IF(SUM($C654:AJ654)&gt;0,AI318+1,0),0)</f>
        <v>0</v>
      </c>
      <c r="AK318" s="389">
        <f>IF(AK$2&lt;=analysis_period,IF(SUM($C654:AK654)&gt;0,AJ318+1,0),0)</f>
        <v>0</v>
      </c>
      <c r="AL318" s="389">
        <f>IF(AL$2&lt;=analysis_period,IF(SUM($C654:AL654)&gt;0,AK318+1,0),0)</f>
        <v>0</v>
      </c>
      <c r="AM318" s="389">
        <f>IF(AM$2&lt;=analysis_period,IF(SUM($C654:AM654)&gt;0,AL318+1,0),0)</f>
        <v>0</v>
      </c>
      <c r="AN318" s="389">
        <f>IF(AN$2&lt;=analysis_period,IF(SUM($C654:AN654)&gt;0,AM318+1,0),0)</f>
        <v>0</v>
      </c>
      <c r="AO318" s="389">
        <f>IF(AO$2&lt;=analysis_period,IF(SUM($C654:AO654)&gt;0,AN318+1,0),0)</f>
        <v>0</v>
      </c>
      <c r="AP318" s="389">
        <f>IF(AP$2&lt;=analysis_period,IF(SUM($C654:AP654)&gt;0,AO318+1,0),0)</f>
        <v>0</v>
      </c>
    </row>
    <row r="319" spans="1:42" x14ac:dyDescent="0.2">
      <c r="A319" s="21">
        <f t="shared" si="150"/>
        <v>7</v>
      </c>
      <c r="C319" s="389">
        <f>IF(C$2&lt;=analysis_period,IF(SUM($C655:C655)&gt;0,B319+1,0),0)</f>
        <v>0</v>
      </c>
      <c r="D319" s="389">
        <f>IF(D$2&lt;=analysis_period,IF(SUM($C655:D655)&gt;0,C319+1,0),0)</f>
        <v>0</v>
      </c>
      <c r="E319" s="389">
        <f>IF(E$2&lt;=analysis_period,IF(SUM($C655:E655)&gt;0,D319+1,0),0)</f>
        <v>0</v>
      </c>
      <c r="F319" s="389">
        <f>IF(F$2&lt;=analysis_period,IF(SUM($C655:F655)&gt;0,E319+1,0),0)</f>
        <v>0</v>
      </c>
      <c r="G319" s="389">
        <f>IF(G$2&lt;=analysis_period,IF(SUM($C655:G655)&gt;0,F319+1,0),0)</f>
        <v>0</v>
      </c>
      <c r="H319" s="389">
        <f>IF(H$2&lt;=analysis_period,IF(SUM($C655:H655)&gt;0,G319+1,0),0)</f>
        <v>0</v>
      </c>
      <c r="I319" s="389">
        <f>IF(I$2&lt;=analysis_period,IF(SUM($C655:I655)&gt;0,H319+1,0),0)</f>
        <v>0</v>
      </c>
      <c r="J319" s="389">
        <f>IF(J$2&lt;=analysis_period,IF(SUM($C655:J655)&gt;0,I319+1,0),0)</f>
        <v>0</v>
      </c>
      <c r="K319" s="389">
        <f>IF(K$2&lt;=analysis_period,IF(SUM($C655:K655)&gt;0,J319+1,0),0)</f>
        <v>0</v>
      </c>
      <c r="L319" s="389">
        <f>IF(L$2&lt;=analysis_period,IF(SUM($C655:L655)&gt;0,K319+1,0),0)</f>
        <v>0</v>
      </c>
      <c r="M319" s="389">
        <f>IF(M$2&lt;=analysis_period,IF(SUM($C655:M655)&gt;0,L319+1,0),0)</f>
        <v>0</v>
      </c>
      <c r="N319" s="389">
        <f>IF(N$2&lt;=analysis_period,IF(SUM($C655:N655)&gt;0,M319+1,0),0)</f>
        <v>0</v>
      </c>
      <c r="O319" s="389">
        <f>IF(O$2&lt;=analysis_period,IF(SUM($C655:O655)&gt;0,N319+1,0),0)</f>
        <v>0</v>
      </c>
      <c r="P319" s="389">
        <f>IF(P$2&lt;=analysis_period,IF(SUM($C655:P655)&gt;0,O319+1,0),0)</f>
        <v>0</v>
      </c>
      <c r="Q319" s="389">
        <f>IF(Q$2&lt;=analysis_period,IF(SUM($C655:Q655)&gt;0,P319+1,0),0)</f>
        <v>0</v>
      </c>
      <c r="R319" s="389">
        <f>IF(R$2&lt;=analysis_period,IF(SUM($C655:R655)&gt;0,Q319+1,0),0)</f>
        <v>0</v>
      </c>
      <c r="S319" s="389">
        <f>IF(S$2&lt;=analysis_period,IF(SUM($C655:S655)&gt;0,R319+1,0),0)</f>
        <v>0</v>
      </c>
      <c r="T319" s="389">
        <f>IF(T$2&lt;=analysis_period,IF(SUM($C655:T655)&gt;0,S319+1,0),0)</f>
        <v>0</v>
      </c>
      <c r="U319" s="389">
        <f>IF(U$2&lt;=analysis_period,IF(SUM($C655:U655)&gt;0,T319+1,0),0)</f>
        <v>0</v>
      </c>
      <c r="V319" s="389">
        <f>IF(V$2&lt;=analysis_period,IF(SUM($C655:V655)&gt;0,U319+1,0),0)</f>
        <v>0</v>
      </c>
      <c r="W319" s="389">
        <f>IF(W$2&lt;=analysis_period,IF(SUM($C655:W655)&gt;0,V319+1,0),0)</f>
        <v>0</v>
      </c>
      <c r="X319" s="389">
        <f>IF(X$2&lt;=analysis_period,IF(SUM($C655:X655)&gt;0,W319+1,0),0)</f>
        <v>0</v>
      </c>
      <c r="Y319" s="389">
        <f>IF(Y$2&lt;=analysis_period,IF(SUM($C655:Y655)&gt;0,X319+1,0),0)</f>
        <v>0</v>
      </c>
      <c r="Z319" s="389">
        <f>IF(Z$2&lt;=analysis_period,IF(SUM($C655:Z655)&gt;0,Y319+1,0),0)</f>
        <v>0</v>
      </c>
      <c r="AA319" s="389">
        <f>IF(AA$2&lt;=analysis_period,IF(SUM($C655:AA655)&gt;0,Z319+1,0),0)</f>
        <v>0</v>
      </c>
      <c r="AB319" s="389">
        <f>IF(AB$2&lt;=analysis_period,IF(SUM($C655:AB655)&gt;0,AA319+1,0),0)</f>
        <v>0</v>
      </c>
      <c r="AC319" s="389">
        <f>IF(AC$2&lt;=analysis_period,IF(SUM($C655:AC655)&gt;0,AB319+1,0),0)</f>
        <v>0</v>
      </c>
      <c r="AD319" s="389">
        <f>IF(AD$2&lt;=analysis_period,IF(SUM($C655:AD655)&gt;0,AC319+1,0),0)</f>
        <v>0</v>
      </c>
      <c r="AE319" s="389">
        <f>IF(AE$2&lt;=analysis_period,IF(SUM($C655:AE655)&gt;0,AD319+1,0),0)</f>
        <v>0</v>
      </c>
      <c r="AF319" s="389">
        <f>IF(AF$2&lt;=analysis_period,IF(SUM($C655:AF655)&gt;0,AE319+1,0),0)</f>
        <v>0</v>
      </c>
      <c r="AG319" s="389">
        <f>IF(AG$2&lt;=analysis_period,IF(SUM($C655:AG655)&gt;0,AF319+1,0),0)</f>
        <v>0</v>
      </c>
      <c r="AH319" s="389">
        <f>IF(AH$2&lt;=analysis_period,IF(SUM($C655:AH655)&gt;0,AG319+1,0),0)</f>
        <v>0</v>
      </c>
      <c r="AI319" s="389">
        <f>IF(AI$2&lt;=analysis_period,IF(SUM($C655:AI655)&gt;0,AH319+1,0),0)</f>
        <v>0</v>
      </c>
      <c r="AJ319" s="389">
        <f>IF(AJ$2&lt;=analysis_period,IF(SUM($C655:AJ655)&gt;0,AI319+1,0),0)</f>
        <v>0</v>
      </c>
      <c r="AK319" s="389">
        <f>IF(AK$2&lt;=analysis_period,IF(SUM($C655:AK655)&gt;0,AJ319+1,0),0)</f>
        <v>0</v>
      </c>
      <c r="AL319" s="389">
        <f>IF(AL$2&lt;=analysis_period,IF(SUM($C655:AL655)&gt;0,AK319+1,0),0)</f>
        <v>0</v>
      </c>
      <c r="AM319" s="389">
        <f>IF(AM$2&lt;=analysis_period,IF(SUM($C655:AM655)&gt;0,AL319+1,0),0)</f>
        <v>0</v>
      </c>
      <c r="AN319" s="389">
        <f>IF(AN$2&lt;=analysis_period,IF(SUM($C655:AN655)&gt;0,AM319+1,0),0)</f>
        <v>0</v>
      </c>
      <c r="AO319" s="389">
        <f>IF(AO$2&lt;=analysis_period,IF(SUM($C655:AO655)&gt;0,AN319+1,0),0)</f>
        <v>0</v>
      </c>
      <c r="AP319" s="389">
        <f>IF(AP$2&lt;=analysis_period,IF(SUM($C655:AP655)&gt;0,AO319+1,0),0)</f>
        <v>0</v>
      </c>
    </row>
    <row r="320" spans="1:42" x14ac:dyDescent="0.2">
      <c r="A320" s="21">
        <f t="shared" si="150"/>
        <v>8</v>
      </c>
      <c r="C320" s="389">
        <f>IF(C$2&lt;=analysis_period,IF(SUM($C656:C656)&gt;0,B320+1,0),0)</f>
        <v>0</v>
      </c>
      <c r="D320" s="389">
        <f>IF(D$2&lt;=analysis_period,IF(SUM($C656:D656)&gt;0,C320+1,0),0)</f>
        <v>0</v>
      </c>
      <c r="E320" s="389">
        <f>IF(E$2&lt;=analysis_period,IF(SUM($C656:E656)&gt;0,D320+1,0),0)</f>
        <v>0</v>
      </c>
      <c r="F320" s="389">
        <f>IF(F$2&lt;=analysis_period,IF(SUM($C656:F656)&gt;0,E320+1,0),0)</f>
        <v>0</v>
      </c>
      <c r="G320" s="389">
        <f>IF(G$2&lt;=analysis_period,IF(SUM($C656:G656)&gt;0,F320+1,0),0)</f>
        <v>0</v>
      </c>
      <c r="H320" s="389">
        <f>IF(H$2&lt;=analysis_period,IF(SUM($C656:H656)&gt;0,G320+1,0),0)</f>
        <v>0</v>
      </c>
      <c r="I320" s="389">
        <f>IF(I$2&lt;=analysis_period,IF(SUM($C656:I656)&gt;0,H320+1,0),0)</f>
        <v>0</v>
      </c>
      <c r="J320" s="389">
        <f>IF(J$2&lt;=analysis_period,IF(SUM($C656:J656)&gt;0,I320+1,0),0)</f>
        <v>0</v>
      </c>
      <c r="K320" s="389">
        <f>IF(K$2&lt;=analysis_period,IF(SUM($C656:K656)&gt;0,J320+1,0),0)</f>
        <v>0</v>
      </c>
      <c r="L320" s="389">
        <f>IF(L$2&lt;=analysis_period,IF(SUM($C656:L656)&gt;0,K320+1,0),0)</f>
        <v>0</v>
      </c>
      <c r="M320" s="389">
        <f>IF(M$2&lt;=analysis_period,IF(SUM($C656:M656)&gt;0,L320+1,0),0)</f>
        <v>0</v>
      </c>
      <c r="N320" s="389">
        <f>IF(N$2&lt;=analysis_period,IF(SUM($C656:N656)&gt;0,M320+1,0),0)</f>
        <v>0</v>
      </c>
      <c r="O320" s="389">
        <f>IF(O$2&lt;=analysis_period,IF(SUM($C656:O656)&gt;0,N320+1,0),0)</f>
        <v>0</v>
      </c>
      <c r="P320" s="389">
        <f>IF(P$2&lt;=analysis_period,IF(SUM($C656:P656)&gt;0,O320+1,0),0)</f>
        <v>0</v>
      </c>
      <c r="Q320" s="389">
        <f>IF(Q$2&lt;=analysis_period,IF(SUM($C656:Q656)&gt;0,P320+1,0),0)</f>
        <v>0</v>
      </c>
      <c r="R320" s="389">
        <f>IF(R$2&lt;=analysis_period,IF(SUM($C656:R656)&gt;0,Q320+1,0),0)</f>
        <v>0</v>
      </c>
      <c r="S320" s="389">
        <f>IF(S$2&lt;=analysis_period,IF(SUM($C656:S656)&gt;0,R320+1,0),0)</f>
        <v>0</v>
      </c>
      <c r="T320" s="389">
        <f>IF(T$2&lt;=analysis_period,IF(SUM($C656:T656)&gt;0,S320+1,0),0)</f>
        <v>0</v>
      </c>
      <c r="U320" s="389">
        <f>IF(U$2&lt;=analysis_period,IF(SUM($C656:U656)&gt;0,T320+1,0),0)</f>
        <v>0</v>
      </c>
      <c r="V320" s="389">
        <f>IF(V$2&lt;=analysis_period,IF(SUM($C656:V656)&gt;0,U320+1,0),0)</f>
        <v>0</v>
      </c>
      <c r="W320" s="389">
        <f>IF(W$2&lt;=analysis_period,IF(SUM($C656:W656)&gt;0,V320+1,0),0)</f>
        <v>0</v>
      </c>
      <c r="X320" s="389">
        <f>IF(X$2&lt;=analysis_period,IF(SUM($C656:X656)&gt;0,W320+1,0),0)</f>
        <v>0</v>
      </c>
      <c r="Y320" s="389">
        <f>IF(Y$2&lt;=analysis_period,IF(SUM($C656:Y656)&gt;0,X320+1,0),0)</f>
        <v>0</v>
      </c>
      <c r="Z320" s="389">
        <f>IF(Z$2&lt;=analysis_period,IF(SUM($C656:Z656)&gt;0,Y320+1,0),0)</f>
        <v>0</v>
      </c>
      <c r="AA320" s="389">
        <f>IF(AA$2&lt;=analysis_period,IF(SUM($C656:AA656)&gt;0,Z320+1,0),0)</f>
        <v>0</v>
      </c>
      <c r="AB320" s="389">
        <f>IF(AB$2&lt;=analysis_period,IF(SUM($C656:AB656)&gt;0,AA320+1,0),0)</f>
        <v>0</v>
      </c>
      <c r="AC320" s="389">
        <f>IF(AC$2&lt;=analysis_period,IF(SUM($C656:AC656)&gt;0,AB320+1,0),0)</f>
        <v>0</v>
      </c>
      <c r="AD320" s="389">
        <f>IF(AD$2&lt;=analysis_period,IF(SUM($C656:AD656)&gt;0,AC320+1,0),0)</f>
        <v>0</v>
      </c>
      <c r="AE320" s="389">
        <f>IF(AE$2&lt;=analysis_period,IF(SUM($C656:AE656)&gt;0,AD320+1,0),0)</f>
        <v>0</v>
      </c>
      <c r="AF320" s="389">
        <f>IF(AF$2&lt;=analysis_period,IF(SUM($C656:AF656)&gt;0,AE320+1,0),0)</f>
        <v>0</v>
      </c>
      <c r="AG320" s="389">
        <f>IF(AG$2&lt;=analysis_period,IF(SUM($C656:AG656)&gt;0,AF320+1,0),0)</f>
        <v>0</v>
      </c>
      <c r="AH320" s="389">
        <f>IF(AH$2&lt;=analysis_period,IF(SUM($C656:AH656)&gt;0,AG320+1,0),0)</f>
        <v>0</v>
      </c>
      <c r="AI320" s="389">
        <f>IF(AI$2&lt;=analysis_period,IF(SUM($C656:AI656)&gt;0,AH320+1,0),0)</f>
        <v>0</v>
      </c>
      <c r="AJ320" s="389">
        <f>IF(AJ$2&lt;=analysis_period,IF(SUM($C656:AJ656)&gt;0,AI320+1,0),0)</f>
        <v>0</v>
      </c>
      <c r="AK320" s="389">
        <f>IF(AK$2&lt;=analysis_period,IF(SUM($C656:AK656)&gt;0,AJ320+1,0),0)</f>
        <v>0</v>
      </c>
      <c r="AL320" s="389">
        <f>IF(AL$2&lt;=analysis_period,IF(SUM($C656:AL656)&gt;0,AK320+1,0),0)</f>
        <v>0</v>
      </c>
      <c r="AM320" s="389">
        <f>IF(AM$2&lt;=analysis_period,IF(SUM($C656:AM656)&gt;0,AL320+1,0),0)</f>
        <v>0</v>
      </c>
      <c r="AN320" s="389">
        <f>IF(AN$2&lt;=analysis_period,IF(SUM($C656:AN656)&gt;0,AM320+1,0),0)</f>
        <v>0</v>
      </c>
      <c r="AO320" s="389">
        <f>IF(AO$2&lt;=analysis_period,IF(SUM($C656:AO656)&gt;0,AN320+1,0),0)</f>
        <v>0</v>
      </c>
      <c r="AP320" s="389">
        <f>IF(AP$2&lt;=analysis_period,IF(SUM($C656:AP656)&gt;0,AO320+1,0),0)</f>
        <v>0</v>
      </c>
    </row>
    <row r="321" spans="1:42" x14ac:dyDescent="0.2">
      <c r="A321" s="21">
        <f>A320+1</f>
        <v>9</v>
      </c>
      <c r="C321" s="389">
        <f>IF(C$2&lt;=analysis_period,IF(SUM($C657:C657)&gt;0,B321+1,0),0)</f>
        <v>0</v>
      </c>
      <c r="D321" s="389">
        <f>IF(D$2&lt;=analysis_period,IF(SUM($C657:D657)&gt;0,C321+1,0),0)</f>
        <v>0</v>
      </c>
      <c r="E321" s="389">
        <f>IF(E$2&lt;=analysis_period,IF(SUM($C657:E657)&gt;0,D321+1,0),0)</f>
        <v>0</v>
      </c>
      <c r="F321" s="389">
        <f>IF(F$2&lt;=analysis_period,IF(SUM($C657:F657)&gt;0,E321+1,0),0)</f>
        <v>0</v>
      </c>
      <c r="G321" s="389">
        <f>IF(G$2&lt;=analysis_period,IF(SUM($C657:G657)&gt;0,F321+1,0),0)</f>
        <v>0</v>
      </c>
      <c r="H321" s="389">
        <f>IF(H$2&lt;=analysis_period,IF(SUM($C657:H657)&gt;0,G321+1,0),0)</f>
        <v>0</v>
      </c>
      <c r="I321" s="389">
        <f>IF(I$2&lt;=analysis_period,IF(SUM($C657:I657)&gt;0,H321+1,0),0)</f>
        <v>0</v>
      </c>
      <c r="J321" s="389">
        <f>IF(J$2&lt;=analysis_period,IF(SUM($C657:J657)&gt;0,I321+1,0),0)</f>
        <v>0</v>
      </c>
      <c r="K321" s="389">
        <f>IF(K$2&lt;=analysis_period,IF(SUM($C657:K657)&gt;0,J321+1,0),0)</f>
        <v>0</v>
      </c>
      <c r="L321" s="389">
        <f>IF(L$2&lt;=analysis_period,IF(SUM($C657:L657)&gt;0,K321+1,0),0)</f>
        <v>0</v>
      </c>
      <c r="M321" s="389">
        <f>IF(M$2&lt;=analysis_period,IF(SUM($C657:M657)&gt;0,L321+1,0),0)</f>
        <v>0</v>
      </c>
      <c r="N321" s="389">
        <f>IF(N$2&lt;=analysis_period,IF(SUM($C657:N657)&gt;0,M321+1,0),0)</f>
        <v>0</v>
      </c>
      <c r="O321" s="389">
        <f>IF(O$2&lt;=analysis_period,IF(SUM($C657:O657)&gt;0,N321+1,0),0)</f>
        <v>0</v>
      </c>
      <c r="P321" s="389">
        <f>IF(P$2&lt;=analysis_period,IF(SUM($C657:P657)&gt;0,O321+1,0),0)</f>
        <v>0</v>
      </c>
      <c r="Q321" s="389">
        <f>IF(Q$2&lt;=analysis_period,IF(SUM($C657:Q657)&gt;0,P321+1,0),0)</f>
        <v>0</v>
      </c>
      <c r="R321" s="389">
        <f>IF(R$2&lt;=analysis_period,IF(SUM($C657:R657)&gt;0,Q321+1,0),0)</f>
        <v>0</v>
      </c>
      <c r="S321" s="389">
        <f>IF(S$2&lt;=analysis_period,IF(SUM($C657:S657)&gt;0,R321+1,0),0)</f>
        <v>0</v>
      </c>
      <c r="T321" s="389">
        <f>IF(T$2&lt;=analysis_period,IF(SUM($C657:T657)&gt;0,S321+1,0),0)</f>
        <v>0</v>
      </c>
      <c r="U321" s="389">
        <f>IF(U$2&lt;=analysis_period,IF(SUM($C657:U657)&gt;0,T321+1,0),0)</f>
        <v>0</v>
      </c>
      <c r="V321" s="389">
        <f>IF(V$2&lt;=analysis_period,IF(SUM($C657:V657)&gt;0,U321+1,0),0)</f>
        <v>0</v>
      </c>
      <c r="W321" s="389">
        <f>IF(W$2&lt;=analysis_period,IF(SUM($C657:W657)&gt;0,V321+1,0),0)</f>
        <v>0</v>
      </c>
      <c r="X321" s="389">
        <f>IF(X$2&lt;=analysis_period,IF(SUM($C657:X657)&gt;0,W321+1,0),0)</f>
        <v>0</v>
      </c>
      <c r="Y321" s="389">
        <f>IF(Y$2&lt;=analysis_period,IF(SUM($C657:Y657)&gt;0,X321+1,0),0)</f>
        <v>0</v>
      </c>
      <c r="Z321" s="389">
        <f>IF(Z$2&lt;=analysis_period,IF(SUM($C657:Z657)&gt;0,Y321+1,0),0)</f>
        <v>0</v>
      </c>
      <c r="AA321" s="389">
        <f>IF(AA$2&lt;=analysis_period,IF(SUM($C657:AA657)&gt;0,Z321+1,0),0)</f>
        <v>0</v>
      </c>
      <c r="AB321" s="389">
        <f>IF(AB$2&lt;=analysis_period,IF(SUM($C657:AB657)&gt;0,AA321+1,0),0)</f>
        <v>0</v>
      </c>
      <c r="AC321" s="389">
        <f>IF(AC$2&lt;=analysis_period,IF(SUM($C657:AC657)&gt;0,AB321+1,0),0)</f>
        <v>0</v>
      </c>
      <c r="AD321" s="389">
        <f>IF(AD$2&lt;=analysis_period,IF(SUM($C657:AD657)&gt;0,AC321+1,0),0)</f>
        <v>0</v>
      </c>
      <c r="AE321" s="389">
        <f>IF(AE$2&lt;=analysis_period,IF(SUM($C657:AE657)&gt;0,AD321+1,0),0)</f>
        <v>0</v>
      </c>
      <c r="AF321" s="389">
        <f>IF(AF$2&lt;=analysis_period,IF(SUM($C657:AF657)&gt;0,AE321+1,0),0)</f>
        <v>0</v>
      </c>
      <c r="AG321" s="389">
        <f>IF(AG$2&lt;=analysis_period,IF(SUM($C657:AG657)&gt;0,AF321+1,0),0)</f>
        <v>0</v>
      </c>
      <c r="AH321" s="389">
        <f>IF(AH$2&lt;=analysis_period,IF(SUM($C657:AH657)&gt;0,AG321+1,0),0)</f>
        <v>0</v>
      </c>
      <c r="AI321" s="389">
        <f>IF(AI$2&lt;=analysis_period,IF(SUM($C657:AI657)&gt;0,AH321+1,0),0)</f>
        <v>0</v>
      </c>
      <c r="AJ321" s="389">
        <f>IF(AJ$2&lt;=analysis_period,IF(SUM($C657:AJ657)&gt;0,AI321+1,0),0)</f>
        <v>0</v>
      </c>
      <c r="AK321" s="389">
        <f>IF(AK$2&lt;=analysis_period,IF(SUM($C657:AK657)&gt;0,AJ321+1,0),0)</f>
        <v>0</v>
      </c>
      <c r="AL321" s="389">
        <f>IF(AL$2&lt;=analysis_period,IF(SUM($C657:AL657)&gt;0,AK321+1,0),0)</f>
        <v>0</v>
      </c>
      <c r="AM321" s="389">
        <f>IF(AM$2&lt;=analysis_period,IF(SUM($C657:AM657)&gt;0,AL321+1,0),0)</f>
        <v>0</v>
      </c>
      <c r="AN321" s="389">
        <f>IF(AN$2&lt;=analysis_period,IF(SUM($C657:AN657)&gt;0,AM321+1,0),0)</f>
        <v>0</v>
      </c>
      <c r="AO321" s="389">
        <f>IF(AO$2&lt;=analysis_period,IF(SUM($C657:AO657)&gt;0,AN321+1,0),0)</f>
        <v>0</v>
      </c>
      <c r="AP321" s="389">
        <f>IF(AP$2&lt;=analysis_period,IF(SUM($C657:AP657)&gt;0,AO321+1,0),0)</f>
        <v>0</v>
      </c>
    </row>
    <row r="322" spans="1:42" x14ac:dyDescent="0.2">
      <c r="A322" s="21">
        <f t="shared" si="150"/>
        <v>10</v>
      </c>
      <c r="C322" s="389">
        <f>IF(C$2&lt;=analysis_period,IF(SUM($C658:C658)&gt;0,B322+1,0),0)</f>
        <v>0</v>
      </c>
      <c r="D322" s="389">
        <f>IF(D$2&lt;=analysis_period,IF(SUM($C658:D658)&gt;0,C322+1,0),0)</f>
        <v>0</v>
      </c>
      <c r="E322" s="389">
        <f>IF(E$2&lt;=analysis_period,IF(SUM($C658:E658)&gt;0,D322+1,0),0)</f>
        <v>0</v>
      </c>
      <c r="F322" s="389">
        <f>IF(F$2&lt;=analysis_period,IF(SUM($C658:F658)&gt;0,E322+1,0),0)</f>
        <v>0</v>
      </c>
      <c r="G322" s="389">
        <f>IF(G$2&lt;=analysis_period,IF(SUM($C658:G658)&gt;0,F322+1,0),0)</f>
        <v>0</v>
      </c>
      <c r="H322" s="389">
        <f>IF(H$2&lt;=analysis_period,IF(SUM($C658:H658)&gt;0,G322+1,0),0)</f>
        <v>0</v>
      </c>
      <c r="I322" s="389">
        <f>IF(I$2&lt;=analysis_period,IF(SUM($C658:I658)&gt;0,H322+1,0),0)</f>
        <v>0</v>
      </c>
      <c r="J322" s="389">
        <f>IF(J$2&lt;=analysis_period,IF(SUM($C658:J658)&gt;0,I322+1,0),0)</f>
        <v>0</v>
      </c>
      <c r="K322" s="389">
        <f>IF(K$2&lt;=analysis_period,IF(SUM($C658:K658)&gt;0,J322+1,0),0)</f>
        <v>0</v>
      </c>
      <c r="L322" s="389">
        <f>IF(L$2&lt;=analysis_period,IF(SUM($C658:L658)&gt;0,K322+1,0),0)</f>
        <v>0</v>
      </c>
      <c r="M322" s="389">
        <f>IF(M$2&lt;=analysis_period,IF(SUM($C658:M658)&gt;0,L322+1,0),0)</f>
        <v>0</v>
      </c>
      <c r="N322" s="389">
        <f>IF(N$2&lt;=analysis_period,IF(SUM($C658:N658)&gt;0,M322+1,0),0)</f>
        <v>0</v>
      </c>
      <c r="O322" s="389">
        <f>IF(O$2&lt;=analysis_period,IF(SUM($C658:O658)&gt;0,N322+1,0),0)</f>
        <v>0</v>
      </c>
      <c r="P322" s="389">
        <f>IF(P$2&lt;=analysis_period,IF(SUM($C658:P658)&gt;0,O322+1,0),0)</f>
        <v>0</v>
      </c>
      <c r="Q322" s="389">
        <f>IF(Q$2&lt;=analysis_period,IF(SUM($C658:Q658)&gt;0,P322+1,0),0)</f>
        <v>0</v>
      </c>
      <c r="R322" s="389">
        <f>IF(R$2&lt;=analysis_period,IF(SUM($C658:R658)&gt;0,Q322+1,0),0)</f>
        <v>0</v>
      </c>
      <c r="S322" s="389">
        <f>IF(S$2&lt;=analysis_period,IF(SUM($C658:S658)&gt;0,R322+1,0),0)</f>
        <v>0</v>
      </c>
      <c r="T322" s="389">
        <f>IF(T$2&lt;=analysis_period,IF(SUM($C658:T658)&gt;0,S322+1,0),0)</f>
        <v>0</v>
      </c>
      <c r="U322" s="389">
        <f>IF(U$2&lt;=analysis_period,IF(SUM($C658:U658)&gt;0,T322+1,0),0)</f>
        <v>0</v>
      </c>
      <c r="V322" s="389">
        <f>IF(V$2&lt;=analysis_period,IF(SUM($C658:V658)&gt;0,U322+1,0),0)</f>
        <v>0</v>
      </c>
      <c r="W322" s="389">
        <f>IF(W$2&lt;=analysis_period,IF(SUM($C658:W658)&gt;0,V322+1,0),0)</f>
        <v>0</v>
      </c>
      <c r="X322" s="389">
        <f>IF(X$2&lt;=analysis_period,IF(SUM($C658:X658)&gt;0,W322+1,0),0)</f>
        <v>0</v>
      </c>
      <c r="Y322" s="389">
        <f>IF(Y$2&lt;=analysis_period,IF(SUM($C658:Y658)&gt;0,X322+1,0),0)</f>
        <v>0</v>
      </c>
      <c r="Z322" s="389">
        <f>IF(Z$2&lt;=analysis_period,IF(SUM($C658:Z658)&gt;0,Y322+1,0),0)</f>
        <v>0</v>
      </c>
      <c r="AA322" s="389">
        <f>IF(AA$2&lt;=analysis_period,IF(SUM($C658:AA658)&gt;0,Z322+1,0),0)</f>
        <v>0</v>
      </c>
      <c r="AB322" s="389">
        <f>IF(AB$2&lt;=analysis_period,IF(SUM($C658:AB658)&gt;0,AA322+1,0),0)</f>
        <v>0</v>
      </c>
      <c r="AC322" s="389">
        <f>IF(AC$2&lt;=analysis_period,IF(SUM($C658:AC658)&gt;0,AB322+1,0),0)</f>
        <v>0</v>
      </c>
      <c r="AD322" s="389">
        <f>IF(AD$2&lt;=analysis_period,IF(SUM($C658:AD658)&gt;0,AC322+1,0),0)</f>
        <v>0</v>
      </c>
      <c r="AE322" s="389">
        <f>IF(AE$2&lt;=analysis_period,IF(SUM($C658:AE658)&gt;0,AD322+1,0),0)</f>
        <v>0</v>
      </c>
      <c r="AF322" s="389">
        <f>IF(AF$2&lt;=analysis_period,IF(SUM($C658:AF658)&gt;0,AE322+1,0),0)</f>
        <v>0</v>
      </c>
      <c r="AG322" s="389">
        <f>IF(AG$2&lt;=analysis_period,IF(SUM($C658:AG658)&gt;0,AF322+1,0),0)</f>
        <v>0</v>
      </c>
      <c r="AH322" s="389">
        <f>IF(AH$2&lt;=analysis_period,IF(SUM($C658:AH658)&gt;0,AG322+1,0),0)</f>
        <v>0</v>
      </c>
      <c r="AI322" s="389">
        <f>IF(AI$2&lt;=analysis_period,IF(SUM($C658:AI658)&gt;0,AH322+1,0),0)</f>
        <v>0</v>
      </c>
      <c r="AJ322" s="389">
        <f>IF(AJ$2&lt;=analysis_period,IF(SUM($C658:AJ658)&gt;0,AI322+1,0),0)</f>
        <v>0</v>
      </c>
      <c r="AK322" s="389">
        <f>IF(AK$2&lt;=analysis_period,IF(SUM($C658:AK658)&gt;0,AJ322+1,0),0)</f>
        <v>0</v>
      </c>
      <c r="AL322" s="389">
        <f>IF(AL$2&lt;=analysis_period,IF(SUM($C658:AL658)&gt;0,AK322+1,0),0)</f>
        <v>0</v>
      </c>
      <c r="AM322" s="389">
        <f>IF(AM$2&lt;=analysis_period,IF(SUM($C658:AM658)&gt;0,AL322+1,0),0)</f>
        <v>0</v>
      </c>
      <c r="AN322" s="389">
        <f>IF(AN$2&lt;=analysis_period,IF(SUM($C658:AN658)&gt;0,AM322+1,0),0)</f>
        <v>0</v>
      </c>
      <c r="AO322" s="389">
        <f>IF(AO$2&lt;=analysis_period,IF(SUM($C658:AO658)&gt;0,AN322+1,0),0)</f>
        <v>0</v>
      </c>
      <c r="AP322" s="389">
        <f>IF(AP$2&lt;=analysis_period,IF(SUM($C658:AP658)&gt;0,AO322+1,0),0)</f>
        <v>0</v>
      </c>
    </row>
    <row r="323" spans="1:42" x14ac:dyDescent="0.2">
      <c r="A323" s="40"/>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row>
    <row r="324" spans="1:42" x14ac:dyDescent="0.2">
      <c r="A324" s="40" t="s">
        <v>125</v>
      </c>
      <c r="C324" s="36"/>
      <c r="D324" s="36"/>
      <c r="E324" s="36"/>
      <c r="F324" s="36"/>
      <c r="G324" s="36"/>
      <c r="H324" s="36"/>
      <c r="I324" s="36"/>
      <c r="J324" s="36"/>
      <c r="K324" s="36"/>
      <c r="L324" s="36"/>
      <c r="M324" s="36"/>
      <c r="N324" s="36"/>
      <c r="O324" s="36"/>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row>
    <row r="325" spans="1:42" x14ac:dyDescent="0.2">
      <c r="A325" s="21">
        <v>1</v>
      </c>
      <c r="B325" s="409">
        <f t="shared" ref="B325:B334" si="151">SUM(C325:AP325)</f>
        <v>0</v>
      </c>
      <c r="C325" s="411">
        <f t="shared" ref="C325:AP325" si="152">LOOKUP(C313,$B$257:$AP$257,$B$258:$AP$258)*$B649</f>
        <v>0</v>
      </c>
      <c r="D325" s="389">
        <f t="shared" si="152"/>
        <v>0</v>
      </c>
      <c r="E325" s="389">
        <f t="shared" si="152"/>
        <v>0</v>
      </c>
      <c r="F325" s="389">
        <f t="shared" si="152"/>
        <v>0</v>
      </c>
      <c r="G325" s="389">
        <f t="shared" si="152"/>
        <v>0</v>
      </c>
      <c r="H325" s="389">
        <f t="shared" si="152"/>
        <v>0</v>
      </c>
      <c r="I325" s="389">
        <f t="shared" si="152"/>
        <v>0</v>
      </c>
      <c r="J325" s="389">
        <f t="shared" si="152"/>
        <v>0</v>
      </c>
      <c r="K325" s="389">
        <f t="shared" si="152"/>
        <v>0</v>
      </c>
      <c r="L325" s="389">
        <f t="shared" si="152"/>
        <v>0</v>
      </c>
      <c r="M325" s="389">
        <f t="shared" si="152"/>
        <v>0</v>
      </c>
      <c r="N325" s="389">
        <f t="shared" si="152"/>
        <v>0</v>
      </c>
      <c r="O325" s="389">
        <f t="shared" si="152"/>
        <v>0</v>
      </c>
      <c r="P325" s="389">
        <f t="shared" si="152"/>
        <v>0</v>
      </c>
      <c r="Q325" s="389">
        <f t="shared" si="152"/>
        <v>0</v>
      </c>
      <c r="R325" s="389">
        <f t="shared" si="152"/>
        <v>0</v>
      </c>
      <c r="S325" s="389">
        <f t="shared" si="152"/>
        <v>0</v>
      </c>
      <c r="T325" s="389">
        <f t="shared" si="152"/>
        <v>0</v>
      </c>
      <c r="U325" s="389">
        <f t="shared" si="152"/>
        <v>0</v>
      </c>
      <c r="V325" s="389">
        <f t="shared" si="152"/>
        <v>0</v>
      </c>
      <c r="W325" s="389">
        <f t="shared" si="152"/>
        <v>0</v>
      </c>
      <c r="X325" s="389">
        <f t="shared" si="152"/>
        <v>0</v>
      </c>
      <c r="Y325" s="389">
        <f t="shared" si="152"/>
        <v>0</v>
      </c>
      <c r="Z325" s="389">
        <f t="shared" si="152"/>
        <v>0</v>
      </c>
      <c r="AA325" s="389">
        <f t="shared" si="152"/>
        <v>0</v>
      </c>
      <c r="AB325" s="389">
        <f t="shared" si="152"/>
        <v>0</v>
      </c>
      <c r="AC325" s="389">
        <f t="shared" si="152"/>
        <v>0</v>
      </c>
      <c r="AD325" s="389">
        <f t="shared" si="152"/>
        <v>0</v>
      </c>
      <c r="AE325" s="389">
        <f t="shared" si="152"/>
        <v>0</v>
      </c>
      <c r="AF325" s="389">
        <f t="shared" si="152"/>
        <v>0</v>
      </c>
      <c r="AG325" s="389">
        <f t="shared" si="152"/>
        <v>0</v>
      </c>
      <c r="AH325" s="389">
        <f t="shared" si="152"/>
        <v>0</v>
      </c>
      <c r="AI325" s="389">
        <f t="shared" si="152"/>
        <v>0</v>
      </c>
      <c r="AJ325" s="389">
        <f t="shared" si="152"/>
        <v>0</v>
      </c>
      <c r="AK325" s="389">
        <f t="shared" si="152"/>
        <v>0</v>
      </c>
      <c r="AL325" s="389">
        <f t="shared" si="152"/>
        <v>0</v>
      </c>
      <c r="AM325" s="389">
        <f t="shared" si="152"/>
        <v>0</v>
      </c>
      <c r="AN325" s="389">
        <f t="shared" si="152"/>
        <v>0</v>
      </c>
      <c r="AO325" s="389">
        <f t="shared" si="152"/>
        <v>0</v>
      </c>
      <c r="AP325" s="389">
        <f t="shared" si="152"/>
        <v>0</v>
      </c>
    </row>
    <row r="326" spans="1:42" x14ac:dyDescent="0.2">
      <c r="A326" s="21">
        <f>A325+1</f>
        <v>2</v>
      </c>
      <c r="B326" s="409">
        <f t="shared" si="151"/>
        <v>0</v>
      </c>
      <c r="C326" s="411">
        <f t="shared" ref="C326:AP326" si="153">LOOKUP(C314,$B$257:$AP$257,$B$258:$AP$258)*$B650</f>
        <v>0</v>
      </c>
      <c r="D326" s="389">
        <f t="shared" si="153"/>
        <v>0</v>
      </c>
      <c r="E326" s="389">
        <f t="shared" si="153"/>
        <v>0</v>
      </c>
      <c r="F326" s="389">
        <f t="shared" si="153"/>
        <v>0</v>
      </c>
      <c r="G326" s="389">
        <f t="shared" si="153"/>
        <v>0</v>
      </c>
      <c r="H326" s="389">
        <f t="shared" si="153"/>
        <v>0</v>
      </c>
      <c r="I326" s="389">
        <f t="shared" si="153"/>
        <v>0</v>
      </c>
      <c r="J326" s="389">
        <f t="shared" si="153"/>
        <v>0</v>
      </c>
      <c r="K326" s="389">
        <f t="shared" si="153"/>
        <v>0</v>
      </c>
      <c r="L326" s="389">
        <f t="shared" si="153"/>
        <v>0</v>
      </c>
      <c r="M326" s="389">
        <f t="shared" si="153"/>
        <v>0</v>
      </c>
      <c r="N326" s="389">
        <f t="shared" si="153"/>
        <v>0</v>
      </c>
      <c r="O326" s="389">
        <f t="shared" si="153"/>
        <v>0</v>
      </c>
      <c r="P326" s="389">
        <f t="shared" si="153"/>
        <v>0</v>
      </c>
      <c r="Q326" s="389">
        <f t="shared" si="153"/>
        <v>0</v>
      </c>
      <c r="R326" s="389">
        <f t="shared" si="153"/>
        <v>0</v>
      </c>
      <c r="S326" s="389">
        <f t="shared" si="153"/>
        <v>0</v>
      </c>
      <c r="T326" s="389">
        <f t="shared" si="153"/>
        <v>0</v>
      </c>
      <c r="U326" s="389">
        <f t="shared" si="153"/>
        <v>0</v>
      </c>
      <c r="V326" s="389">
        <f t="shared" si="153"/>
        <v>0</v>
      </c>
      <c r="W326" s="389">
        <f t="shared" si="153"/>
        <v>0</v>
      </c>
      <c r="X326" s="389">
        <f t="shared" si="153"/>
        <v>0</v>
      </c>
      <c r="Y326" s="389">
        <f t="shared" si="153"/>
        <v>0</v>
      </c>
      <c r="Z326" s="389">
        <f t="shared" si="153"/>
        <v>0</v>
      </c>
      <c r="AA326" s="389">
        <f t="shared" si="153"/>
        <v>0</v>
      </c>
      <c r="AB326" s="389">
        <f t="shared" si="153"/>
        <v>0</v>
      </c>
      <c r="AC326" s="389">
        <f t="shared" si="153"/>
        <v>0</v>
      </c>
      <c r="AD326" s="389">
        <f t="shared" si="153"/>
        <v>0</v>
      </c>
      <c r="AE326" s="389">
        <f t="shared" si="153"/>
        <v>0</v>
      </c>
      <c r="AF326" s="389">
        <f t="shared" si="153"/>
        <v>0</v>
      </c>
      <c r="AG326" s="389">
        <f t="shared" si="153"/>
        <v>0</v>
      </c>
      <c r="AH326" s="389">
        <f t="shared" si="153"/>
        <v>0</v>
      </c>
      <c r="AI326" s="389">
        <f t="shared" si="153"/>
        <v>0</v>
      </c>
      <c r="AJ326" s="389">
        <f t="shared" si="153"/>
        <v>0</v>
      </c>
      <c r="AK326" s="389">
        <f t="shared" si="153"/>
        <v>0</v>
      </c>
      <c r="AL326" s="389">
        <f t="shared" si="153"/>
        <v>0</v>
      </c>
      <c r="AM326" s="389">
        <f t="shared" si="153"/>
        <v>0</v>
      </c>
      <c r="AN326" s="389">
        <f t="shared" si="153"/>
        <v>0</v>
      </c>
      <c r="AO326" s="389">
        <f t="shared" si="153"/>
        <v>0</v>
      </c>
      <c r="AP326" s="389">
        <f t="shared" si="153"/>
        <v>0</v>
      </c>
    </row>
    <row r="327" spans="1:42" x14ac:dyDescent="0.2">
      <c r="A327" s="21">
        <f t="shared" ref="A327:A334" si="154">A326+1</f>
        <v>3</v>
      </c>
      <c r="B327" s="409">
        <f t="shared" si="151"/>
        <v>0</v>
      </c>
      <c r="C327" s="411">
        <f t="shared" ref="C327:AP327" si="155">LOOKUP(C315,$B$257:$AP$257,$B$258:$AP$258)*$B651</f>
        <v>0</v>
      </c>
      <c r="D327" s="389">
        <f t="shared" si="155"/>
        <v>0</v>
      </c>
      <c r="E327" s="389">
        <f t="shared" si="155"/>
        <v>0</v>
      </c>
      <c r="F327" s="389">
        <f t="shared" si="155"/>
        <v>0</v>
      </c>
      <c r="G327" s="389">
        <f t="shared" si="155"/>
        <v>0</v>
      </c>
      <c r="H327" s="389">
        <f t="shared" si="155"/>
        <v>0</v>
      </c>
      <c r="I327" s="389">
        <f t="shared" si="155"/>
        <v>0</v>
      </c>
      <c r="J327" s="389">
        <f t="shared" si="155"/>
        <v>0</v>
      </c>
      <c r="K327" s="389">
        <f t="shared" si="155"/>
        <v>0</v>
      </c>
      <c r="L327" s="389">
        <f t="shared" si="155"/>
        <v>0</v>
      </c>
      <c r="M327" s="389">
        <f t="shared" si="155"/>
        <v>0</v>
      </c>
      <c r="N327" s="389">
        <f t="shared" si="155"/>
        <v>0</v>
      </c>
      <c r="O327" s="389">
        <f t="shared" si="155"/>
        <v>0</v>
      </c>
      <c r="P327" s="389">
        <f t="shared" si="155"/>
        <v>0</v>
      </c>
      <c r="Q327" s="389">
        <f t="shared" si="155"/>
        <v>0</v>
      </c>
      <c r="R327" s="389">
        <f t="shared" si="155"/>
        <v>0</v>
      </c>
      <c r="S327" s="389">
        <f t="shared" si="155"/>
        <v>0</v>
      </c>
      <c r="T327" s="389">
        <f t="shared" si="155"/>
        <v>0</v>
      </c>
      <c r="U327" s="389">
        <f t="shared" si="155"/>
        <v>0</v>
      </c>
      <c r="V327" s="389">
        <f t="shared" si="155"/>
        <v>0</v>
      </c>
      <c r="W327" s="389">
        <f t="shared" si="155"/>
        <v>0</v>
      </c>
      <c r="X327" s="389">
        <f t="shared" si="155"/>
        <v>0</v>
      </c>
      <c r="Y327" s="389">
        <f t="shared" si="155"/>
        <v>0</v>
      </c>
      <c r="Z327" s="389">
        <f t="shared" si="155"/>
        <v>0</v>
      </c>
      <c r="AA327" s="389">
        <f t="shared" si="155"/>
        <v>0</v>
      </c>
      <c r="AB327" s="389">
        <f t="shared" si="155"/>
        <v>0</v>
      </c>
      <c r="AC327" s="389">
        <f t="shared" si="155"/>
        <v>0</v>
      </c>
      <c r="AD327" s="389">
        <f t="shared" si="155"/>
        <v>0</v>
      </c>
      <c r="AE327" s="389">
        <f t="shared" si="155"/>
        <v>0</v>
      </c>
      <c r="AF327" s="389">
        <f t="shared" si="155"/>
        <v>0</v>
      </c>
      <c r="AG327" s="389">
        <f t="shared" si="155"/>
        <v>0</v>
      </c>
      <c r="AH327" s="389">
        <f t="shared" si="155"/>
        <v>0</v>
      </c>
      <c r="AI327" s="389">
        <f t="shared" si="155"/>
        <v>0</v>
      </c>
      <c r="AJ327" s="389">
        <f t="shared" si="155"/>
        <v>0</v>
      </c>
      <c r="AK327" s="389">
        <f t="shared" si="155"/>
        <v>0</v>
      </c>
      <c r="AL327" s="389">
        <f t="shared" si="155"/>
        <v>0</v>
      </c>
      <c r="AM327" s="389">
        <f t="shared" si="155"/>
        <v>0</v>
      </c>
      <c r="AN327" s="389">
        <f t="shared" si="155"/>
        <v>0</v>
      </c>
      <c r="AO327" s="389">
        <f t="shared" si="155"/>
        <v>0</v>
      </c>
      <c r="AP327" s="389">
        <f t="shared" si="155"/>
        <v>0</v>
      </c>
    </row>
    <row r="328" spans="1:42" x14ac:dyDescent="0.2">
      <c r="A328" s="21">
        <f t="shared" si="154"/>
        <v>4</v>
      </c>
      <c r="B328" s="409">
        <f t="shared" si="151"/>
        <v>0</v>
      </c>
      <c r="C328" s="411">
        <f t="shared" ref="C328:AP328" si="156">LOOKUP(C316,$B$257:$AP$257,$B$258:$AP$258)*$B652</f>
        <v>0</v>
      </c>
      <c r="D328" s="389">
        <f t="shared" si="156"/>
        <v>0</v>
      </c>
      <c r="E328" s="389">
        <f t="shared" si="156"/>
        <v>0</v>
      </c>
      <c r="F328" s="389">
        <f t="shared" si="156"/>
        <v>0</v>
      </c>
      <c r="G328" s="389">
        <f t="shared" si="156"/>
        <v>0</v>
      </c>
      <c r="H328" s="389">
        <f t="shared" si="156"/>
        <v>0</v>
      </c>
      <c r="I328" s="389">
        <f t="shared" si="156"/>
        <v>0</v>
      </c>
      <c r="J328" s="389">
        <f t="shared" si="156"/>
        <v>0</v>
      </c>
      <c r="K328" s="389">
        <f t="shared" si="156"/>
        <v>0</v>
      </c>
      <c r="L328" s="389">
        <f t="shared" si="156"/>
        <v>0</v>
      </c>
      <c r="M328" s="389">
        <f t="shared" si="156"/>
        <v>0</v>
      </c>
      <c r="N328" s="389">
        <f t="shared" si="156"/>
        <v>0</v>
      </c>
      <c r="O328" s="389">
        <f t="shared" si="156"/>
        <v>0</v>
      </c>
      <c r="P328" s="389">
        <f t="shared" si="156"/>
        <v>0</v>
      </c>
      <c r="Q328" s="389">
        <f t="shared" si="156"/>
        <v>0</v>
      </c>
      <c r="R328" s="389">
        <f t="shared" si="156"/>
        <v>0</v>
      </c>
      <c r="S328" s="389">
        <f t="shared" si="156"/>
        <v>0</v>
      </c>
      <c r="T328" s="389">
        <f t="shared" si="156"/>
        <v>0</v>
      </c>
      <c r="U328" s="389">
        <f t="shared" si="156"/>
        <v>0</v>
      </c>
      <c r="V328" s="389">
        <f t="shared" si="156"/>
        <v>0</v>
      </c>
      <c r="W328" s="389">
        <f t="shared" si="156"/>
        <v>0</v>
      </c>
      <c r="X328" s="389">
        <f t="shared" si="156"/>
        <v>0</v>
      </c>
      <c r="Y328" s="389">
        <f t="shared" si="156"/>
        <v>0</v>
      </c>
      <c r="Z328" s="389">
        <f t="shared" si="156"/>
        <v>0</v>
      </c>
      <c r="AA328" s="389">
        <f t="shared" si="156"/>
        <v>0</v>
      </c>
      <c r="AB328" s="389">
        <f t="shared" si="156"/>
        <v>0</v>
      </c>
      <c r="AC328" s="389">
        <f t="shared" si="156"/>
        <v>0</v>
      </c>
      <c r="AD328" s="389">
        <f t="shared" si="156"/>
        <v>0</v>
      </c>
      <c r="AE328" s="389">
        <f t="shared" si="156"/>
        <v>0</v>
      </c>
      <c r="AF328" s="389">
        <f t="shared" si="156"/>
        <v>0</v>
      </c>
      <c r="AG328" s="389">
        <f t="shared" si="156"/>
        <v>0</v>
      </c>
      <c r="AH328" s="389">
        <f t="shared" si="156"/>
        <v>0</v>
      </c>
      <c r="AI328" s="389">
        <f t="shared" si="156"/>
        <v>0</v>
      </c>
      <c r="AJ328" s="389">
        <f t="shared" si="156"/>
        <v>0</v>
      </c>
      <c r="AK328" s="389">
        <f t="shared" si="156"/>
        <v>0</v>
      </c>
      <c r="AL328" s="389">
        <f t="shared" si="156"/>
        <v>0</v>
      </c>
      <c r="AM328" s="389">
        <f t="shared" si="156"/>
        <v>0</v>
      </c>
      <c r="AN328" s="389">
        <f t="shared" si="156"/>
        <v>0</v>
      </c>
      <c r="AO328" s="389">
        <f t="shared" si="156"/>
        <v>0</v>
      </c>
      <c r="AP328" s="389">
        <f t="shared" si="156"/>
        <v>0</v>
      </c>
    </row>
    <row r="329" spans="1:42" x14ac:dyDescent="0.2">
      <c r="A329" s="21">
        <f t="shared" si="154"/>
        <v>5</v>
      </c>
      <c r="B329" s="409">
        <f t="shared" si="151"/>
        <v>0</v>
      </c>
      <c r="C329" s="411">
        <f t="shared" ref="C329:AP329" si="157">LOOKUP(C317,$B$257:$AP$257,$B$258:$AP$258)*$B653</f>
        <v>0</v>
      </c>
      <c r="D329" s="389">
        <f t="shared" si="157"/>
        <v>0</v>
      </c>
      <c r="E329" s="389">
        <f t="shared" si="157"/>
        <v>0</v>
      </c>
      <c r="F329" s="389">
        <f t="shared" si="157"/>
        <v>0</v>
      </c>
      <c r="G329" s="389">
        <f t="shared" si="157"/>
        <v>0</v>
      </c>
      <c r="H329" s="389">
        <f t="shared" si="157"/>
        <v>0</v>
      </c>
      <c r="I329" s="389">
        <f t="shared" si="157"/>
        <v>0</v>
      </c>
      <c r="J329" s="389">
        <f t="shared" si="157"/>
        <v>0</v>
      </c>
      <c r="K329" s="389">
        <f t="shared" si="157"/>
        <v>0</v>
      </c>
      <c r="L329" s="389">
        <f t="shared" si="157"/>
        <v>0</v>
      </c>
      <c r="M329" s="389">
        <f t="shared" si="157"/>
        <v>0</v>
      </c>
      <c r="N329" s="389">
        <f t="shared" si="157"/>
        <v>0</v>
      </c>
      <c r="O329" s="389">
        <f t="shared" si="157"/>
        <v>0</v>
      </c>
      <c r="P329" s="389">
        <f t="shared" si="157"/>
        <v>0</v>
      </c>
      <c r="Q329" s="389">
        <f t="shared" si="157"/>
        <v>0</v>
      </c>
      <c r="R329" s="389">
        <f t="shared" si="157"/>
        <v>0</v>
      </c>
      <c r="S329" s="389">
        <f t="shared" si="157"/>
        <v>0</v>
      </c>
      <c r="T329" s="389">
        <f t="shared" si="157"/>
        <v>0</v>
      </c>
      <c r="U329" s="389">
        <f t="shared" si="157"/>
        <v>0</v>
      </c>
      <c r="V329" s="389">
        <f t="shared" si="157"/>
        <v>0</v>
      </c>
      <c r="W329" s="389">
        <f t="shared" si="157"/>
        <v>0</v>
      </c>
      <c r="X329" s="389">
        <f t="shared" si="157"/>
        <v>0</v>
      </c>
      <c r="Y329" s="389">
        <f t="shared" si="157"/>
        <v>0</v>
      </c>
      <c r="Z329" s="389">
        <f t="shared" si="157"/>
        <v>0</v>
      </c>
      <c r="AA329" s="389">
        <f t="shared" si="157"/>
        <v>0</v>
      </c>
      <c r="AB329" s="389">
        <f t="shared" si="157"/>
        <v>0</v>
      </c>
      <c r="AC329" s="389">
        <f t="shared" si="157"/>
        <v>0</v>
      </c>
      <c r="AD329" s="389">
        <f t="shared" si="157"/>
        <v>0</v>
      </c>
      <c r="AE329" s="389">
        <f t="shared" si="157"/>
        <v>0</v>
      </c>
      <c r="AF329" s="389">
        <f t="shared" si="157"/>
        <v>0</v>
      </c>
      <c r="AG329" s="389">
        <f t="shared" si="157"/>
        <v>0</v>
      </c>
      <c r="AH329" s="389">
        <f t="shared" si="157"/>
        <v>0</v>
      </c>
      <c r="AI329" s="389">
        <f t="shared" si="157"/>
        <v>0</v>
      </c>
      <c r="AJ329" s="389">
        <f t="shared" si="157"/>
        <v>0</v>
      </c>
      <c r="AK329" s="389">
        <f t="shared" si="157"/>
        <v>0</v>
      </c>
      <c r="AL329" s="389">
        <f t="shared" si="157"/>
        <v>0</v>
      </c>
      <c r="AM329" s="389">
        <f t="shared" si="157"/>
        <v>0</v>
      </c>
      <c r="AN329" s="389">
        <f t="shared" si="157"/>
        <v>0</v>
      </c>
      <c r="AO329" s="389">
        <f t="shared" si="157"/>
        <v>0</v>
      </c>
      <c r="AP329" s="389">
        <f t="shared" si="157"/>
        <v>0</v>
      </c>
    </row>
    <row r="330" spans="1:42" x14ac:dyDescent="0.2">
      <c r="A330" s="21">
        <f t="shared" si="154"/>
        <v>6</v>
      </c>
      <c r="B330" s="409">
        <f t="shared" si="151"/>
        <v>0</v>
      </c>
      <c r="C330" s="411">
        <f t="shared" ref="C330:AP330" si="158">LOOKUP(C318,$B$257:$AP$257,$B$258:$AP$258)*$B654</f>
        <v>0</v>
      </c>
      <c r="D330" s="389">
        <f t="shared" si="158"/>
        <v>0</v>
      </c>
      <c r="E330" s="389">
        <f t="shared" si="158"/>
        <v>0</v>
      </c>
      <c r="F330" s="389">
        <f t="shared" si="158"/>
        <v>0</v>
      </c>
      <c r="G330" s="389">
        <f t="shared" si="158"/>
        <v>0</v>
      </c>
      <c r="H330" s="389">
        <f t="shared" si="158"/>
        <v>0</v>
      </c>
      <c r="I330" s="389">
        <f t="shared" si="158"/>
        <v>0</v>
      </c>
      <c r="J330" s="389">
        <f t="shared" si="158"/>
        <v>0</v>
      </c>
      <c r="K330" s="389">
        <f t="shared" si="158"/>
        <v>0</v>
      </c>
      <c r="L330" s="389">
        <f t="shared" si="158"/>
        <v>0</v>
      </c>
      <c r="M330" s="389">
        <f t="shared" si="158"/>
        <v>0</v>
      </c>
      <c r="N330" s="389">
        <f t="shared" si="158"/>
        <v>0</v>
      </c>
      <c r="O330" s="389">
        <f t="shared" si="158"/>
        <v>0</v>
      </c>
      <c r="P330" s="389">
        <f t="shared" si="158"/>
        <v>0</v>
      </c>
      <c r="Q330" s="389">
        <f t="shared" si="158"/>
        <v>0</v>
      </c>
      <c r="R330" s="389">
        <f t="shared" si="158"/>
        <v>0</v>
      </c>
      <c r="S330" s="389">
        <f t="shared" si="158"/>
        <v>0</v>
      </c>
      <c r="T330" s="389">
        <f t="shared" si="158"/>
        <v>0</v>
      </c>
      <c r="U330" s="389">
        <f t="shared" si="158"/>
        <v>0</v>
      </c>
      <c r="V330" s="389">
        <f t="shared" si="158"/>
        <v>0</v>
      </c>
      <c r="W330" s="389">
        <f t="shared" si="158"/>
        <v>0</v>
      </c>
      <c r="X330" s="389">
        <f t="shared" si="158"/>
        <v>0</v>
      </c>
      <c r="Y330" s="389">
        <f t="shared" si="158"/>
        <v>0</v>
      </c>
      <c r="Z330" s="389">
        <f t="shared" si="158"/>
        <v>0</v>
      </c>
      <c r="AA330" s="389">
        <f t="shared" si="158"/>
        <v>0</v>
      </c>
      <c r="AB330" s="389">
        <f t="shared" si="158"/>
        <v>0</v>
      </c>
      <c r="AC330" s="389">
        <f t="shared" si="158"/>
        <v>0</v>
      </c>
      <c r="AD330" s="389">
        <f t="shared" si="158"/>
        <v>0</v>
      </c>
      <c r="AE330" s="389">
        <f t="shared" si="158"/>
        <v>0</v>
      </c>
      <c r="AF330" s="389">
        <f t="shared" si="158"/>
        <v>0</v>
      </c>
      <c r="AG330" s="389">
        <f t="shared" si="158"/>
        <v>0</v>
      </c>
      <c r="AH330" s="389">
        <f t="shared" si="158"/>
        <v>0</v>
      </c>
      <c r="AI330" s="389">
        <f t="shared" si="158"/>
        <v>0</v>
      </c>
      <c r="AJ330" s="389">
        <f t="shared" si="158"/>
        <v>0</v>
      </c>
      <c r="AK330" s="389">
        <f t="shared" si="158"/>
        <v>0</v>
      </c>
      <c r="AL330" s="389">
        <f t="shared" si="158"/>
        <v>0</v>
      </c>
      <c r="AM330" s="389">
        <f t="shared" si="158"/>
        <v>0</v>
      </c>
      <c r="AN330" s="389">
        <f t="shared" si="158"/>
        <v>0</v>
      </c>
      <c r="AO330" s="389">
        <f t="shared" si="158"/>
        <v>0</v>
      </c>
      <c r="AP330" s="389">
        <f t="shared" si="158"/>
        <v>0</v>
      </c>
    </row>
    <row r="331" spans="1:42" x14ac:dyDescent="0.2">
      <c r="A331" s="21">
        <f t="shared" si="154"/>
        <v>7</v>
      </c>
      <c r="B331" s="409">
        <f t="shared" si="151"/>
        <v>0</v>
      </c>
      <c r="C331" s="411">
        <f t="shared" ref="C331:AP331" si="159">LOOKUP(C319,$B$257:$AP$257,$B$258:$AP$258)*$B655</f>
        <v>0</v>
      </c>
      <c r="D331" s="389">
        <f t="shared" si="159"/>
        <v>0</v>
      </c>
      <c r="E331" s="389">
        <f t="shared" si="159"/>
        <v>0</v>
      </c>
      <c r="F331" s="389">
        <f t="shared" si="159"/>
        <v>0</v>
      </c>
      <c r="G331" s="389">
        <f t="shared" si="159"/>
        <v>0</v>
      </c>
      <c r="H331" s="389">
        <f t="shared" si="159"/>
        <v>0</v>
      </c>
      <c r="I331" s="389">
        <f t="shared" si="159"/>
        <v>0</v>
      </c>
      <c r="J331" s="389">
        <f t="shared" si="159"/>
        <v>0</v>
      </c>
      <c r="K331" s="389">
        <f t="shared" si="159"/>
        <v>0</v>
      </c>
      <c r="L331" s="389">
        <f t="shared" si="159"/>
        <v>0</v>
      </c>
      <c r="M331" s="389">
        <f t="shared" si="159"/>
        <v>0</v>
      </c>
      <c r="N331" s="389">
        <f t="shared" si="159"/>
        <v>0</v>
      </c>
      <c r="O331" s="389">
        <f t="shared" si="159"/>
        <v>0</v>
      </c>
      <c r="P331" s="389">
        <f t="shared" si="159"/>
        <v>0</v>
      </c>
      <c r="Q331" s="389">
        <f t="shared" si="159"/>
        <v>0</v>
      </c>
      <c r="R331" s="389">
        <f t="shared" si="159"/>
        <v>0</v>
      </c>
      <c r="S331" s="389">
        <f t="shared" si="159"/>
        <v>0</v>
      </c>
      <c r="T331" s="389">
        <f t="shared" si="159"/>
        <v>0</v>
      </c>
      <c r="U331" s="389">
        <f t="shared" si="159"/>
        <v>0</v>
      </c>
      <c r="V331" s="389">
        <f t="shared" si="159"/>
        <v>0</v>
      </c>
      <c r="W331" s="389">
        <f t="shared" si="159"/>
        <v>0</v>
      </c>
      <c r="X331" s="389">
        <f t="shared" si="159"/>
        <v>0</v>
      </c>
      <c r="Y331" s="389">
        <f t="shared" si="159"/>
        <v>0</v>
      </c>
      <c r="Z331" s="389">
        <f t="shared" si="159"/>
        <v>0</v>
      </c>
      <c r="AA331" s="389">
        <f t="shared" si="159"/>
        <v>0</v>
      </c>
      <c r="AB331" s="389">
        <f t="shared" si="159"/>
        <v>0</v>
      </c>
      <c r="AC331" s="389">
        <f t="shared" si="159"/>
        <v>0</v>
      </c>
      <c r="AD331" s="389">
        <f t="shared" si="159"/>
        <v>0</v>
      </c>
      <c r="AE331" s="389">
        <f t="shared" si="159"/>
        <v>0</v>
      </c>
      <c r="AF331" s="389">
        <f t="shared" si="159"/>
        <v>0</v>
      </c>
      <c r="AG331" s="389">
        <f t="shared" si="159"/>
        <v>0</v>
      </c>
      <c r="AH331" s="389">
        <f t="shared" si="159"/>
        <v>0</v>
      </c>
      <c r="AI331" s="389">
        <f t="shared" si="159"/>
        <v>0</v>
      </c>
      <c r="AJ331" s="389">
        <f t="shared" si="159"/>
        <v>0</v>
      </c>
      <c r="AK331" s="389">
        <f t="shared" si="159"/>
        <v>0</v>
      </c>
      <c r="AL331" s="389">
        <f t="shared" si="159"/>
        <v>0</v>
      </c>
      <c r="AM331" s="389">
        <f t="shared" si="159"/>
        <v>0</v>
      </c>
      <c r="AN331" s="389">
        <f t="shared" si="159"/>
        <v>0</v>
      </c>
      <c r="AO331" s="389">
        <f t="shared" si="159"/>
        <v>0</v>
      </c>
      <c r="AP331" s="389">
        <f t="shared" si="159"/>
        <v>0</v>
      </c>
    </row>
    <row r="332" spans="1:42" x14ac:dyDescent="0.2">
      <c r="A332" s="21">
        <f t="shared" si="154"/>
        <v>8</v>
      </c>
      <c r="B332" s="409">
        <f t="shared" si="151"/>
        <v>0</v>
      </c>
      <c r="C332" s="411">
        <f t="shared" ref="C332:AP332" si="160">LOOKUP(C320,$B$257:$AP$257,$B$258:$AP$258)*$B656</f>
        <v>0</v>
      </c>
      <c r="D332" s="389">
        <f t="shared" si="160"/>
        <v>0</v>
      </c>
      <c r="E332" s="389">
        <f t="shared" si="160"/>
        <v>0</v>
      </c>
      <c r="F332" s="389">
        <f t="shared" si="160"/>
        <v>0</v>
      </c>
      <c r="G332" s="389">
        <f t="shared" si="160"/>
        <v>0</v>
      </c>
      <c r="H332" s="389">
        <f t="shared" si="160"/>
        <v>0</v>
      </c>
      <c r="I332" s="389">
        <f t="shared" si="160"/>
        <v>0</v>
      </c>
      <c r="J332" s="389">
        <f t="shared" si="160"/>
        <v>0</v>
      </c>
      <c r="K332" s="389">
        <f t="shared" si="160"/>
        <v>0</v>
      </c>
      <c r="L332" s="389">
        <f t="shared" si="160"/>
        <v>0</v>
      </c>
      <c r="M332" s="389">
        <f t="shared" si="160"/>
        <v>0</v>
      </c>
      <c r="N332" s="389">
        <f t="shared" si="160"/>
        <v>0</v>
      </c>
      <c r="O332" s="389">
        <f t="shared" si="160"/>
        <v>0</v>
      </c>
      <c r="P332" s="389">
        <f t="shared" si="160"/>
        <v>0</v>
      </c>
      <c r="Q332" s="389">
        <f t="shared" si="160"/>
        <v>0</v>
      </c>
      <c r="R332" s="389">
        <f t="shared" si="160"/>
        <v>0</v>
      </c>
      <c r="S332" s="389">
        <f t="shared" si="160"/>
        <v>0</v>
      </c>
      <c r="T332" s="389">
        <f t="shared" si="160"/>
        <v>0</v>
      </c>
      <c r="U332" s="389">
        <f t="shared" si="160"/>
        <v>0</v>
      </c>
      <c r="V332" s="389">
        <f t="shared" si="160"/>
        <v>0</v>
      </c>
      <c r="W332" s="389">
        <f t="shared" si="160"/>
        <v>0</v>
      </c>
      <c r="X332" s="389">
        <f t="shared" si="160"/>
        <v>0</v>
      </c>
      <c r="Y332" s="389">
        <f t="shared" si="160"/>
        <v>0</v>
      </c>
      <c r="Z332" s="389">
        <f t="shared" si="160"/>
        <v>0</v>
      </c>
      <c r="AA332" s="389">
        <f t="shared" si="160"/>
        <v>0</v>
      </c>
      <c r="AB332" s="389">
        <f t="shared" si="160"/>
        <v>0</v>
      </c>
      <c r="AC332" s="389">
        <f t="shared" si="160"/>
        <v>0</v>
      </c>
      <c r="AD332" s="389">
        <f t="shared" si="160"/>
        <v>0</v>
      </c>
      <c r="AE332" s="389">
        <f t="shared" si="160"/>
        <v>0</v>
      </c>
      <c r="AF332" s="389">
        <f t="shared" si="160"/>
        <v>0</v>
      </c>
      <c r="AG332" s="389">
        <f t="shared" si="160"/>
        <v>0</v>
      </c>
      <c r="AH332" s="389">
        <f t="shared" si="160"/>
        <v>0</v>
      </c>
      <c r="AI332" s="389">
        <f t="shared" si="160"/>
        <v>0</v>
      </c>
      <c r="AJ332" s="389">
        <f t="shared" si="160"/>
        <v>0</v>
      </c>
      <c r="AK332" s="389">
        <f t="shared" si="160"/>
        <v>0</v>
      </c>
      <c r="AL332" s="389">
        <f t="shared" si="160"/>
        <v>0</v>
      </c>
      <c r="AM332" s="389">
        <f t="shared" si="160"/>
        <v>0</v>
      </c>
      <c r="AN332" s="389">
        <f t="shared" si="160"/>
        <v>0</v>
      </c>
      <c r="AO332" s="389">
        <f t="shared" si="160"/>
        <v>0</v>
      </c>
      <c r="AP332" s="389">
        <f t="shared" si="160"/>
        <v>0</v>
      </c>
    </row>
    <row r="333" spans="1:42" x14ac:dyDescent="0.2">
      <c r="A333" s="21">
        <f>A332+1</f>
        <v>9</v>
      </c>
      <c r="B333" s="409">
        <f t="shared" si="151"/>
        <v>0</v>
      </c>
      <c r="C333" s="411">
        <f t="shared" ref="C333:AP333" si="161">LOOKUP(C321,$B$257:$AP$257,$B$258:$AP$258)*$B657</f>
        <v>0</v>
      </c>
      <c r="D333" s="389">
        <f t="shared" si="161"/>
        <v>0</v>
      </c>
      <c r="E333" s="389">
        <f t="shared" si="161"/>
        <v>0</v>
      </c>
      <c r="F333" s="389">
        <f t="shared" si="161"/>
        <v>0</v>
      </c>
      <c r="G333" s="389">
        <f t="shared" si="161"/>
        <v>0</v>
      </c>
      <c r="H333" s="389">
        <f t="shared" si="161"/>
        <v>0</v>
      </c>
      <c r="I333" s="389">
        <f t="shared" si="161"/>
        <v>0</v>
      </c>
      <c r="J333" s="389">
        <f t="shared" si="161"/>
        <v>0</v>
      </c>
      <c r="K333" s="389">
        <f t="shared" si="161"/>
        <v>0</v>
      </c>
      <c r="L333" s="389">
        <f t="shared" si="161"/>
        <v>0</v>
      </c>
      <c r="M333" s="389">
        <f t="shared" si="161"/>
        <v>0</v>
      </c>
      <c r="N333" s="389">
        <f t="shared" si="161"/>
        <v>0</v>
      </c>
      <c r="O333" s="389">
        <f t="shared" si="161"/>
        <v>0</v>
      </c>
      <c r="P333" s="389">
        <f t="shared" si="161"/>
        <v>0</v>
      </c>
      <c r="Q333" s="389">
        <f t="shared" si="161"/>
        <v>0</v>
      </c>
      <c r="R333" s="389">
        <f t="shared" si="161"/>
        <v>0</v>
      </c>
      <c r="S333" s="389">
        <f t="shared" si="161"/>
        <v>0</v>
      </c>
      <c r="T333" s="389">
        <f t="shared" si="161"/>
        <v>0</v>
      </c>
      <c r="U333" s="389">
        <f t="shared" si="161"/>
        <v>0</v>
      </c>
      <c r="V333" s="389">
        <f t="shared" si="161"/>
        <v>0</v>
      </c>
      <c r="W333" s="389">
        <f t="shared" si="161"/>
        <v>0</v>
      </c>
      <c r="X333" s="389">
        <f t="shared" si="161"/>
        <v>0</v>
      </c>
      <c r="Y333" s="389">
        <f t="shared" si="161"/>
        <v>0</v>
      </c>
      <c r="Z333" s="389">
        <f t="shared" si="161"/>
        <v>0</v>
      </c>
      <c r="AA333" s="389">
        <f t="shared" si="161"/>
        <v>0</v>
      </c>
      <c r="AB333" s="389">
        <f t="shared" si="161"/>
        <v>0</v>
      </c>
      <c r="AC333" s="389">
        <f t="shared" si="161"/>
        <v>0</v>
      </c>
      <c r="AD333" s="389">
        <f t="shared" si="161"/>
        <v>0</v>
      </c>
      <c r="AE333" s="389">
        <f t="shared" si="161"/>
        <v>0</v>
      </c>
      <c r="AF333" s="389">
        <f t="shared" si="161"/>
        <v>0</v>
      </c>
      <c r="AG333" s="389">
        <f t="shared" si="161"/>
        <v>0</v>
      </c>
      <c r="AH333" s="389">
        <f t="shared" si="161"/>
        <v>0</v>
      </c>
      <c r="AI333" s="389">
        <f t="shared" si="161"/>
        <v>0</v>
      </c>
      <c r="AJ333" s="389">
        <f t="shared" si="161"/>
        <v>0</v>
      </c>
      <c r="AK333" s="389">
        <f t="shared" si="161"/>
        <v>0</v>
      </c>
      <c r="AL333" s="389">
        <f t="shared" si="161"/>
        <v>0</v>
      </c>
      <c r="AM333" s="389">
        <f t="shared" si="161"/>
        <v>0</v>
      </c>
      <c r="AN333" s="389">
        <f t="shared" si="161"/>
        <v>0</v>
      </c>
      <c r="AO333" s="389">
        <f t="shared" si="161"/>
        <v>0</v>
      </c>
      <c r="AP333" s="389">
        <f t="shared" si="161"/>
        <v>0</v>
      </c>
    </row>
    <row r="334" spans="1:42" x14ac:dyDescent="0.2">
      <c r="A334" s="21">
        <f t="shared" si="154"/>
        <v>10</v>
      </c>
      <c r="B334" s="409">
        <f t="shared" si="151"/>
        <v>0</v>
      </c>
      <c r="C334" s="410">
        <f t="shared" ref="C334:AP334" si="162">LOOKUP(C322,$B$257:$AP$257,$B$258:$AP$258)*$B658</f>
        <v>0</v>
      </c>
      <c r="D334" s="394">
        <f t="shared" si="162"/>
        <v>0</v>
      </c>
      <c r="E334" s="394">
        <f t="shared" si="162"/>
        <v>0</v>
      </c>
      <c r="F334" s="394">
        <f t="shared" si="162"/>
        <v>0</v>
      </c>
      <c r="G334" s="394">
        <f t="shared" si="162"/>
        <v>0</v>
      </c>
      <c r="H334" s="394">
        <f t="shared" si="162"/>
        <v>0</v>
      </c>
      <c r="I334" s="394">
        <f t="shared" si="162"/>
        <v>0</v>
      </c>
      <c r="J334" s="394">
        <f t="shared" si="162"/>
        <v>0</v>
      </c>
      <c r="K334" s="394">
        <f t="shared" si="162"/>
        <v>0</v>
      </c>
      <c r="L334" s="394">
        <f t="shared" si="162"/>
        <v>0</v>
      </c>
      <c r="M334" s="394">
        <f t="shared" si="162"/>
        <v>0</v>
      </c>
      <c r="N334" s="394">
        <f t="shared" si="162"/>
        <v>0</v>
      </c>
      <c r="O334" s="394">
        <f t="shared" si="162"/>
        <v>0</v>
      </c>
      <c r="P334" s="394">
        <f t="shared" si="162"/>
        <v>0</v>
      </c>
      <c r="Q334" s="394">
        <f t="shared" si="162"/>
        <v>0</v>
      </c>
      <c r="R334" s="394">
        <f t="shared" si="162"/>
        <v>0</v>
      </c>
      <c r="S334" s="394">
        <f t="shared" si="162"/>
        <v>0</v>
      </c>
      <c r="T334" s="394">
        <f t="shared" si="162"/>
        <v>0</v>
      </c>
      <c r="U334" s="394">
        <f t="shared" si="162"/>
        <v>0</v>
      </c>
      <c r="V334" s="394">
        <f t="shared" si="162"/>
        <v>0</v>
      </c>
      <c r="W334" s="394">
        <f t="shared" si="162"/>
        <v>0</v>
      </c>
      <c r="X334" s="394">
        <f t="shared" si="162"/>
        <v>0</v>
      </c>
      <c r="Y334" s="394">
        <f t="shared" si="162"/>
        <v>0</v>
      </c>
      <c r="Z334" s="394">
        <f t="shared" si="162"/>
        <v>0</v>
      </c>
      <c r="AA334" s="394">
        <f t="shared" si="162"/>
        <v>0</v>
      </c>
      <c r="AB334" s="394">
        <f t="shared" si="162"/>
        <v>0</v>
      </c>
      <c r="AC334" s="394">
        <f t="shared" si="162"/>
        <v>0</v>
      </c>
      <c r="AD334" s="394">
        <f t="shared" si="162"/>
        <v>0</v>
      </c>
      <c r="AE334" s="394">
        <f t="shared" si="162"/>
        <v>0</v>
      </c>
      <c r="AF334" s="394">
        <f t="shared" si="162"/>
        <v>0</v>
      </c>
      <c r="AG334" s="394">
        <f t="shared" si="162"/>
        <v>0</v>
      </c>
      <c r="AH334" s="394">
        <f t="shared" si="162"/>
        <v>0</v>
      </c>
      <c r="AI334" s="394">
        <f t="shared" si="162"/>
        <v>0</v>
      </c>
      <c r="AJ334" s="394">
        <f t="shared" si="162"/>
        <v>0</v>
      </c>
      <c r="AK334" s="394">
        <f t="shared" si="162"/>
        <v>0</v>
      </c>
      <c r="AL334" s="394">
        <f t="shared" si="162"/>
        <v>0</v>
      </c>
      <c r="AM334" s="394">
        <f t="shared" si="162"/>
        <v>0</v>
      </c>
      <c r="AN334" s="394">
        <f t="shared" si="162"/>
        <v>0</v>
      </c>
      <c r="AO334" s="394">
        <f t="shared" si="162"/>
        <v>0</v>
      </c>
      <c r="AP334" s="394">
        <f t="shared" si="162"/>
        <v>0</v>
      </c>
    </row>
    <row r="335" spans="1:42" s="21" customFormat="1" ht="12" customHeight="1" x14ac:dyDescent="0.2">
      <c r="A335" s="49" t="s">
        <v>21</v>
      </c>
      <c r="B335" s="24"/>
      <c r="C335" s="390">
        <f>SUM(C325:C334)</f>
        <v>0</v>
      </c>
      <c r="D335" s="390">
        <f t="shared" ref="D335:AP335" si="163">SUM(D325:D334)</f>
        <v>0</v>
      </c>
      <c r="E335" s="390">
        <f t="shared" si="163"/>
        <v>0</v>
      </c>
      <c r="F335" s="390">
        <f t="shared" si="163"/>
        <v>0</v>
      </c>
      <c r="G335" s="390">
        <f t="shared" si="163"/>
        <v>0</v>
      </c>
      <c r="H335" s="390">
        <f t="shared" si="163"/>
        <v>0</v>
      </c>
      <c r="I335" s="390">
        <f t="shared" si="163"/>
        <v>0</v>
      </c>
      <c r="J335" s="390">
        <f t="shared" si="163"/>
        <v>0</v>
      </c>
      <c r="K335" s="390">
        <f t="shared" si="163"/>
        <v>0</v>
      </c>
      <c r="L335" s="390">
        <f t="shared" si="163"/>
        <v>0</v>
      </c>
      <c r="M335" s="390">
        <f t="shared" si="163"/>
        <v>0</v>
      </c>
      <c r="N335" s="390">
        <f t="shared" si="163"/>
        <v>0</v>
      </c>
      <c r="O335" s="390">
        <f t="shared" si="163"/>
        <v>0</v>
      </c>
      <c r="P335" s="390">
        <f t="shared" si="163"/>
        <v>0</v>
      </c>
      <c r="Q335" s="390">
        <f t="shared" si="163"/>
        <v>0</v>
      </c>
      <c r="R335" s="390">
        <f t="shared" si="163"/>
        <v>0</v>
      </c>
      <c r="S335" s="390">
        <f t="shared" si="163"/>
        <v>0</v>
      </c>
      <c r="T335" s="390">
        <f t="shared" si="163"/>
        <v>0</v>
      </c>
      <c r="U335" s="390">
        <f t="shared" si="163"/>
        <v>0</v>
      </c>
      <c r="V335" s="390">
        <f t="shared" si="163"/>
        <v>0</v>
      </c>
      <c r="W335" s="390">
        <f t="shared" si="163"/>
        <v>0</v>
      </c>
      <c r="X335" s="390">
        <f t="shared" si="163"/>
        <v>0</v>
      </c>
      <c r="Y335" s="390">
        <f t="shared" si="163"/>
        <v>0</v>
      </c>
      <c r="Z335" s="390">
        <f t="shared" si="163"/>
        <v>0</v>
      </c>
      <c r="AA335" s="390">
        <f t="shared" si="163"/>
        <v>0</v>
      </c>
      <c r="AB335" s="390">
        <f t="shared" si="163"/>
        <v>0</v>
      </c>
      <c r="AC335" s="390">
        <f t="shared" si="163"/>
        <v>0</v>
      </c>
      <c r="AD335" s="390">
        <f t="shared" si="163"/>
        <v>0</v>
      </c>
      <c r="AE335" s="390">
        <f t="shared" si="163"/>
        <v>0</v>
      </c>
      <c r="AF335" s="390">
        <f t="shared" si="163"/>
        <v>0</v>
      </c>
      <c r="AG335" s="390">
        <f t="shared" si="163"/>
        <v>0</v>
      </c>
      <c r="AH335" s="390">
        <f t="shared" si="163"/>
        <v>0</v>
      </c>
      <c r="AI335" s="390">
        <f t="shared" si="163"/>
        <v>0</v>
      </c>
      <c r="AJ335" s="390">
        <f t="shared" si="163"/>
        <v>0</v>
      </c>
      <c r="AK335" s="390">
        <f t="shared" si="163"/>
        <v>0</v>
      </c>
      <c r="AL335" s="390">
        <f t="shared" si="163"/>
        <v>0</v>
      </c>
      <c r="AM335" s="390">
        <f t="shared" si="163"/>
        <v>0</v>
      </c>
      <c r="AN335" s="390">
        <f t="shared" si="163"/>
        <v>0</v>
      </c>
      <c r="AO335" s="390">
        <f t="shared" si="163"/>
        <v>0</v>
      </c>
      <c r="AP335" s="390">
        <f t="shared" si="163"/>
        <v>0</v>
      </c>
    </row>
    <row r="336" spans="1:42" x14ac:dyDescent="0.2">
      <c r="A336" s="40"/>
      <c r="C336" s="36"/>
      <c r="D336" s="36"/>
      <c r="E336" s="36"/>
      <c r="F336" s="36"/>
      <c r="G336" s="36"/>
      <c r="H336" s="36"/>
      <c r="I336" s="36"/>
      <c r="J336" s="36"/>
      <c r="K336" s="36"/>
      <c r="L336" s="36"/>
      <c r="M336" s="36"/>
      <c r="N336" s="36"/>
      <c r="O336" s="36"/>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row>
    <row r="337" spans="1:17" x14ac:dyDescent="0.2">
      <c r="A337" s="37" t="s">
        <v>180</v>
      </c>
    </row>
    <row r="338" spans="1:17" x14ac:dyDescent="0.2">
      <c r="A338" s="21" t="s">
        <v>36</v>
      </c>
      <c r="G338" s="59" t="s">
        <v>90</v>
      </c>
      <c r="H338" s="60"/>
      <c r="I338" s="60"/>
      <c r="J338" s="61"/>
      <c r="K338" s="50" t="s">
        <v>91</v>
      </c>
      <c r="L338" s="51"/>
    </row>
    <row r="339" spans="1:17" ht="51" x14ac:dyDescent="0.2">
      <c r="A339" s="21"/>
      <c r="B339" s="23" t="s">
        <v>80</v>
      </c>
      <c r="C339" s="23" t="s">
        <v>76</v>
      </c>
      <c r="D339" s="23" t="s">
        <v>78</v>
      </c>
      <c r="E339" s="42" t="s">
        <v>79</v>
      </c>
      <c r="F339" s="23" t="s">
        <v>81</v>
      </c>
      <c r="G339" s="23" t="s">
        <v>85</v>
      </c>
      <c r="H339" s="23" t="s">
        <v>87</v>
      </c>
      <c r="I339" s="105" t="s">
        <v>86</v>
      </c>
      <c r="J339" s="23" t="s">
        <v>88</v>
      </c>
      <c r="K339" s="52" t="s">
        <v>6</v>
      </c>
      <c r="L339" s="346" t="s">
        <v>88</v>
      </c>
      <c r="M339" s="43" t="s">
        <v>92</v>
      </c>
      <c r="N339" s="43" t="s">
        <v>93</v>
      </c>
      <c r="O339" s="23" t="s">
        <v>82</v>
      </c>
      <c r="P339" s="345" t="s">
        <v>147</v>
      </c>
      <c r="Q339" s="23" t="s">
        <v>148</v>
      </c>
    </row>
    <row r="340" spans="1:17" s="21" customFormat="1" x14ac:dyDescent="0.2">
      <c r="A340" s="55" t="str">
        <f>A206</f>
        <v>5-yr MACRS</v>
      </c>
      <c r="B340" s="332">
        <f t="shared" ref="B340:B345" si="164">C340/$C$347*100</f>
        <v>93</v>
      </c>
      <c r="C340" s="313">
        <f>Inputs!H131</f>
        <v>46500000</v>
      </c>
      <c r="D340" s="313">
        <f t="shared" ref="D340:E345" si="165">IF(FedBasisReduction="5-Yr MACRS",D347,$B340/100*D$347)</f>
        <v>25000000</v>
      </c>
      <c r="E340" s="313">
        <f t="shared" si="165"/>
        <v>0</v>
      </c>
      <c r="F340" s="317">
        <f>C340-D340-E340</f>
        <v>21500000</v>
      </c>
      <c r="G340" s="318">
        <f>IF(Inputs!F131="Yes",F340,0)</f>
        <v>21500000</v>
      </c>
      <c r="H340" s="334">
        <f t="shared" ref="H340:H345" si="166">IF($G$347=0,0,G340/$G$347)*100</f>
        <v>100</v>
      </c>
      <c r="I340" s="321">
        <f>$I$347*H340/100</f>
        <v>6450000</v>
      </c>
      <c r="J340" s="322">
        <f>I340*0.5</f>
        <v>3225000</v>
      </c>
      <c r="K340" s="317">
        <f>H340/100*$K$347</f>
        <v>0</v>
      </c>
      <c r="L340" s="317">
        <f>K340*0.5</f>
        <v>0</v>
      </c>
      <c r="M340" s="313">
        <f t="shared" ref="M340:M345" si="167">IF(itc_sta_amount_deprbas_fed="Yes",L206,0)+IF(itc_sta_percent_deprbas_fed="Yes",J206,0)</f>
        <v>0</v>
      </c>
      <c r="N340" s="313">
        <f t="shared" ref="N340:N345" si="168">IF(itc_fed_amount_deprbas_fed="Yes",L340,0)+IF(itc_fed_percent_deprbas_fed="Yes",J340,0)</f>
        <v>3225000</v>
      </c>
      <c r="O340" s="323">
        <f t="shared" ref="O340:O345" si="169">F340-M340-N340</f>
        <v>18275000</v>
      </c>
      <c r="P340" s="313">
        <f>IF(Inputs!D131="Yes",O340*depr_bonus_fed,0)</f>
        <v>0</v>
      </c>
      <c r="Q340" s="317">
        <f>O340-P340</f>
        <v>18275000</v>
      </c>
    </row>
    <row r="341" spans="1:17" s="21" customFormat="1" x14ac:dyDescent="0.2">
      <c r="A341" s="55" t="str">
        <f t="shared" ref="A341:A345" si="170">A207</f>
        <v>15-yr MACRS</v>
      </c>
      <c r="B341" s="332">
        <f t="shared" si="164"/>
        <v>1.5</v>
      </c>
      <c r="C341" s="313">
        <f>Inputs!H132</f>
        <v>750000</v>
      </c>
      <c r="D341" s="313">
        <f t="shared" si="165"/>
        <v>0</v>
      </c>
      <c r="E341" s="313">
        <f t="shared" si="165"/>
        <v>0</v>
      </c>
      <c r="F341" s="317">
        <f t="shared" ref="F341:F345" si="171">C341-D341-E341</f>
        <v>750000</v>
      </c>
      <c r="G341" s="319">
        <f>IF(Inputs!F132="Yes",F341,0)</f>
        <v>0</v>
      </c>
      <c r="H341" s="335">
        <f t="shared" si="166"/>
        <v>0</v>
      </c>
      <c r="I341" s="313">
        <f t="shared" ref="I341:I345" si="172">$I$347*H341/100</f>
        <v>0</v>
      </c>
      <c r="J341" s="324">
        <f t="shared" ref="J341:J345" si="173">I341*0.5</f>
        <v>0</v>
      </c>
      <c r="K341" s="317">
        <f t="shared" ref="K341:K345" si="174">H341/100*$K$347</f>
        <v>0</v>
      </c>
      <c r="L341" s="317">
        <f t="shared" ref="L341:L345" si="175">K341*0.5</f>
        <v>0</v>
      </c>
      <c r="M341" s="313">
        <f t="shared" si="167"/>
        <v>0</v>
      </c>
      <c r="N341" s="313">
        <f t="shared" si="168"/>
        <v>0</v>
      </c>
      <c r="O341" s="317">
        <f t="shared" si="169"/>
        <v>750000</v>
      </c>
      <c r="P341" s="313">
        <f>IF(Inputs!D132="Yes",O341*depr_bonus_fed,0)</f>
        <v>0</v>
      </c>
      <c r="Q341" s="317">
        <f t="shared" ref="Q341:Q345" si="176">O341-P341</f>
        <v>750000</v>
      </c>
    </row>
    <row r="342" spans="1:17" s="21" customFormat="1" x14ac:dyDescent="0.2">
      <c r="A342" s="55" t="str">
        <f t="shared" si="170"/>
        <v>5-yr SL</v>
      </c>
      <c r="B342" s="332">
        <f t="shared" si="164"/>
        <v>0</v>
      </c>
      <c r="C342" s="313">
        <f>Inputs!H133</f>
        <v>0</v>
      </c>
      <c r="D342" s="313">
        <f t="shared" si="165"/>
        <v>0</v>
      </c>
      <c r="E342" s="313">
        <f t="shared" si="165"/>
        <v>0</v>
      </c>
      <c r="F342" s="317">
        <f t="shared" si="171"/>
        <v>0</v>
      </c>
      <c r="G342" s="319">
        <f>IF(Inputs!F133="Yes",F342,0)</f>
        <v>0</v>
      </c>
      <c r="H342" s="335">
        <f t="shared" si="166"/>
        <v>0</v>
      </c>
      <c r="I342" s="313">
        <f t="shared" si="172"/>
        <v>0</v>
      </c>
      <c r="J342" s="324">
        <f t="shared" si="173"/>
        <v>0</v>
      </c>
      <c r="K342" s="317">
        <f t="shared" si="174"/>
        <v>0</v>
      </c>
      <c r="L342" s="317">
        <f t="shared" si="175"/>
        <v>0</v>
      </c>
      <c r="M342" s="313">
        <f t="shared" si="167"/>
        <v>0</v>
      </c>
      <c r="N342" s="313">
        <f t="shared" si="168"/>
        <v>0</v>
      </c>
      <c r="O342" s="317">
        <f t="shared" si="169"/>
        <v>0</v>
      </c>
      <c r="P342" s="313">
        <f>IF(Inputs!D133="Yes",O342*depr_bonus_fed,0)</f>
        <v>0</v>
      </c>
      <c r="Q342" s="317">
        <f t="shared" si="176"/>
        <v>0</v>
      </c>
    </row>
    <row r="343" spans="1:17" s="21" customFormat="1" x14ac:dyDescent="0.2">
      <c r="A343" s="55" t="str">
        <f t="shared" si="170"/>
        <v>15-yr SL</v>
      </c>
      <c r="B343" s="332">
        <f t="shared" si="164"/>
        <v>2.5</v>
      </c>
      <c r="C343" s="313">
        <f>Inputs!H134</f>
        <v>1250000</v>
      </c>
      <c r="D343" s="313">
        <f t="shared" si="165"/>
        <v>0</v>
      </c>
      <c r="E343" s="313">
        <f t="shared" si="165"/>
        <v>0</v>
      </c>
      <c r="F343" s="317">
        <f t="shared" si="171"/>
        <v>1250000</v>
      </c>
      <c r="G343" s="319">
        <f>IF(Inputs!F134="Yes",F343,0)</f>
        <v>0</v>
      </c>
      <c r="H343" s="335">
        <f t="shared" si="166"/>
        <v>0</v>
      </c>
      <c r="I343" s="313">
        <f t="shared" si="172"/>
        <v>0</v>
      </c>
      <c r="J343" s="324">
        <f t="shared" si="173"/>
        <v>0</v>
      </c>
      <c r="K343" s="317">
        <f t="shared" si="174"/>
        <v>0</v>
      </c>
      <c r="L343" s="317">
        <f t="shared" si="175"/>
        <v>0</v>
      </c>
      <c r="M343" s="313">
        <f t="shared" si="167"/>
        <v>0</v>
      </c>
      <c r="N343" s="313">
        <f t="shared" si="168"/>
        <v>0</v>
      </c>
      <c r="O343" s="317">
        <f t="shared" si="169"/>
        <v>1250000</v>
      </c>
      <c r="P343" s="313">
        <f>IF(Inputs!D134="Yes",O343*depr_bonus_fed,0)</f>
        <v>0</v>
      </c>
      <c r="Q343" s="317">
        <f t="shared" si="176"/>
        <v>1250000</v>
      </c>
    </row>
    <row r="344" spans="1:17" s="21" customFormat="1" x14ac:dyDescent="0.2">
      <c r="A344" s="55" t="str">
        <f t="shared" si="170"/>
        <v>20-yr SL</v>
      </c>
      <c r="B344" s="332">
        <f t="shared" si="164"/>
        <v>2.5</v>
      </c>
      <c r="C344" s="313">
        <f>Inputs!H135</f>
        <v>1250000</v>
      </c>
      <c r="D344" s="313">
        <f t="shared" si="165"/>
        <v>0</v>
      </c>
      <c r="E344" s="313">
        <f t="shared" si="165"/>
        <v>0</v>
      </c>
      <c r="F344" s="317">
        <f t="shared" si="171"/>
        <v>1250000</v>
      </c>
      <c r="G344" s="319">
        <f>IF(Inputs!F135="Yes",F344,0)</f>
        <v>0</v>
      </c>
      <c r="H344" s="335">
        <f t="shared" si="166"/>
        <v>0</v>
      </c>
      <c r="I344" s="313">
        <f t="shared" si="172"/>
        <v>0</v>
      </c>
      <c r="J344" s="324">
        <f t="shared" si="173"/>
        <v>0</v>
      </c>
      <c r="K344" s="317">
        <f t="shared" si="174"/>
        <v>0</v>
      </c>
      <c r="L344" s="317">
        <f t="shared" si="175"/>
        <v>0</v>
      </c>
      <c r="M344" s="313">
        <f t="shared" si="167"/>
        <v>0</v>
      </c>
      <c r="N344" s="313">
        <f t="shared" si="168"/>
        <v>0</v>
      </c>
      <c r="O344" s="317">
        <f t="shared" si="169"/>
        <v>1250000</v>
      </c>
      <c r="P344" s="313">
        <f>IF(Inputs!D135="Yes",O344*depr_bonus_fed,0)</f>
        <v>0</v>
      </c>
      <c r="Q344" s="317">
        <f t="shared" si="176"/>
        <v>1250000</v>
      </c>
    </row>
    <row r="345" spans="1:17" s="21" customFormat="1" x14ac:dyDescent="0.2">
      <c r="A345" s="55" t="str">
        <f t="shared" si="170"/>
        <v>39-yr SL</v>
      </c>
      <c r="B345" s="332">
        <f t="shared" si="164"/>
        <v>0.5</v>
      </c>
      <c r="C345" s="313">
        <f>Inputs!H136</f>
        <v>250000</v>
      </c>
      <c r="D345" s="313">
        <f t="shared" si="165"/>
        <v>0</v>
      </c>
      <c r="E345" s="313">
        <f t="shared" si="165"/>
        <v>0</v>
      </c>
      <c r="F345" s="317">
        <f t="shared" si="171"/>
        <v>250000</v>
      </c>
      <c r="G345" s="319">
        <f>IF(Inputs!F136="Yes",F345,0)</f>
        <v>0</v>
      </c>
      <c r="H345" s="335">
        <f t="shared" si="166"/>
        <v>0</v>
      </c>
      <c r="I345" s="313">
        <f t="shared" si="172"/>
        <v>0</v>
      </c>
      <c r="J345" s="324">
        <f t="shared" si="173"/>
        <v>0</v>
      </c>
      <c r="K345" s="317">
        <f t="shared" si="174"/>
        <v>0</v>
      </c>
      <c r="L345" s="317">
        <f t="shared" si="175"/>
        <v>0</v>
      </c>
      <c r="M345" s="313">
        <f t="shared" si="167"/>
        <v>0</v>
      </c>
      <c r="N345" s="313">
        <f t="shared" si="168"/>
        <v>0</v>
      </c>
      <c r="O345" s="317">
        <f t="shared" si="169"/>
        <v>250000</v>
      </c>
      <c r="P345" s="313">
        <f>IF(Inputs!D136="Yes",O345*depr_bonus_fed,0)</f>
        <v>0</v>
      </c>
      <c r="Q345" s="317">
        <f t="shared" si="176"/>
        <v>250000</v>
      </c>
    </row>
    <row r="346" spans="1:17" x14ac:dyDescent="0.2">
      <c r="A346" s="58" t="s">
        <v>166</v>
      </c>
      <c r="B346" s="316"/>
      <c r="C346" s="314"/>
      <c r="D346" s="314"/>
      <c r="E346" s="314"/>
      <c r="F346" s="314"/>
      <c r="G346" s="336"/>
      <c r="H346" s="337"/>
      <c r="I346" s="336"/>
      <c r="J346" s="336"/>
      <c r="K346" s="343"/>
      <c r="L346" s="344"/>
      <c r="M346" s="314"/>
      <c r="N346" s="314"/>
      <c r="O346" s="325"/>
      <c r="P346" s="314"/>
      <c r="Q346" s="325"/>
    </row>
    <row r="347" spans="1:17" s="21" customFormat="1" x14ac:dyDescent="0.2">
      <c r="B347" s="333">
        <f>SUM(B340:B346)</f>
        <v>100</v>
      </c>
      <c r="C347" s="315">
        <f>SUM(C340:C346)</f>
        <v>50000000</v>
      </c>
      <c r="D347" s="315">
        <f>B356+B362</f>
        <v>25000000</v>
      </c>
      <c r="E347" s="315">
        <f>B368</f>
        <v>0</v>
      </c>
      <c r="F347" s="338">
        <f t="shared" ref="F347:Q347" si="177">SUM(F340:F346)</f>
        <v>25000000</v>
      </c>
      <c r="G347" s="339">
        <f>SUM(G340:G346)</f>
        <v>21500000</v>
      </c>
      <c r="H347" s="340">
        <f>SUM(H340:H346)</f>
        <v>100</v>
      </c>
      <c r="I347" s="341">
        <f>MIN(itc_fed_percent_maxvalue,itc_fed_percent/100*G347)</f>
        <v>6450000</v>
      </c>
      <c r="J347" s="341">
        <f>SUM(J340:J346)</f>
        <v>3225000</v>
      </c>
      <c r="K347" s="339">
        <f>itc_fed_amount</f>
        <v>0</v>
      </c>
      <c r="L347" s="342">
        <f>SUM(L340:L346)</f>
        <v>0</v>
      </c>
      <c r="M347" s="315">
        <f t="shared" si="177"/>
        <v>0</v>
      </c>
      <c r="N347" s="315">
        <f t="shared" si="177"/>
        <v>3225000</v>
      </c>
      <c r="O347" s="320">
        <f t="shared" si="177"/>
        <v>21775000</v>
      </c>
      <c r="P347" s="320">
        <f t="shared" si="177"/>
        <v>0</v>
      </c>
      <c r="Q347" s="320">
        <f t="shared" si="177"/>
        <v>21775000</v>
      </c>
    </row>
    <row r="348" spans="1:17" s="194" customFormat="1" x14ac:dyDescent="0.2">
      <c r="A348" s="21"/>
      <c r="B348" s="7"/>
    </row>
    <row r="349" spans="1:17" s="194" customFormat="1" x14ac:dyDescent="0.2">
      <c r="A349" s="21" t="s">
        <v>89</v>
      </c>
      <c r="B349" s="7"/>
    </row>
    <row r="350" spans="1:17" s="194" customFormat="1" x14ac:dyDescent="0.2">
      <c r="A350" s="55" t="str">
        <f>A216</f>
        <v>Investment Based Incentive (IBI)</v>
      </c>
      <c r="B350" s="7"/>
    </row>
    <row r="351" spans="1:17" s="194" customFormat="1" x14ac:dyDescent="0.2">
      <c r="A351" s="56" t="str">
        <f t="shared" ref="A351:A369" si="178">A217</f>
        <v>As fixed amount</v>
      </c>
      <c r="B351" s="7"/>
    </row>
    <row r="352" spans="1:17" s="194" customFormat="1" x14ac:dyDescent="0.2">
      <c r="A352" s="57" t="s">
        <v>7</v>
      </c>
      <c r="B352" s="393">
        <f>IF(ibi_fed_amount_deprbas_fed="Yes",ibi_fed_amount,0)</f>
        <v>0</v>
      </c>
    </row>
    <row r="353" spans="1:2" s="194" customFormat="1" x14ac:dyDescent="0.2">
      <c r="A353" s="57" t="s">
        <v>8</v>
      </c>
      <c r="B353" s="393">
        <f>IF(ibi_sta_amount_deprbas_fed="Yes",ibi_sta_amount,0)</f>
        <v>0</v>
      </c>
    </row>
    <row r="354" spans="1:2" s="194" customFormat="1" x14ac:dyDescent="0.2">
      <c r="A354" s="57" t="s">
        <v>317</v>
      </c>
      <c r="B354" s="393">
        <f>IF(ibi_uti_amount_deprbas_fed="Yes",ibi_uti_amount,0)</f>
        <v>0</v>
      </c>
    </row>
    <row r="355" spans="1:2" s="194" customFormat="1" x14ac:dyDescent="0.2">
      <c r="A355" s="57" t="s">
        <v>318</v>
      </c>
      <c r="B355" s="394">
        <f>IF(ibi_oth_amount_deprbas_fed="Yes",ibi_oth_amount,0)</f>
        <v>0</v>
      </c>
    </row>
    <row r="356" spans="1:2" s="194" customFormat="1" x14ac:dyDescent="0.2">
      <c r="A356" s="57" t="str">
        <f t="shared" si="178"/>
        <v>Total</v>
      </c>
      <c r="B356" s="393">
        <f>SUM(B352:B355)</f>
        <v>0</v>
      </c>
    </row>
    <row r="357" spans="1:2" s="194" customFormat="1" x14ac:dyDescent="0.2">
      <c r="A357" s="56" t="str">
        <f t="shared" si="178"/>
        <v>As percentage</v>
      </c>
      <c r="B357" s="7"/>
    </row>
    <row r="358" spans="1:2" s="194" customFormat="1" x14ac:dyDescent="0.2">
      <c r="A358" s="57" t="s">
        <v>7</v>
      </c>
      <c r="B358" s="393">
        <f>C493</f>
        <v>25000000</v>
      </c>
    </row>
    <row r="359" spans="1:2" s="194" customFormat="1" x14ac:dyDescent="0.2">
      <c r="A359" s="57" t="s">
        <v>8</v>
      </c>
      <c r="B359" s="393">
        <f t="shared" ref="B359:B361" si="179">C494</f>
        <v>0</v>
      </c>
    </row>
    <row r="360" spans="1:2" s="194" customFormat="1" x14ac:dyDescent="0.2">
      <c r="A360" s="57" t="s">
        <v>317</v>
      </c>
      <c r="B360" s="393">
        <f t="shared" si="179"/>
        <v>0</v>
      </c>
    </row>
    <row r="361" spans="1:2" s="194" customFormat="1" x14ac:dyDescent="0.2">
      <c r="A361" s="57" t="s">
        <v>318</v>
      </c>
      <c r="B361" s="394">
        <f t="shared" si="179"/>
        <v>0</v>
      </c>
    </row>
    <row r="362" spans="1:2" s="194" customFormat="1" x14ac:dyDescent="0.2">
      <c r="A362" s="57" t="str">
        <f t="shared" si="178"/>
        <v>Total</v>
      </c>
      <c r="B362" s="393">
        <f>SUM(B358:B361)</f>
        <v>25000000</v>
      </c>
    </row>
    <row r="363" spans="1:2" s="194" customFormat="1" x14ac:dyDescent="0.2">
      <c r="A363" s="55" t="str">
        <f t="shared" si="178"/>
        <v>Capacity Based Incentive (CBI)</v>
      </c>
      <c r="B363" s="7"/>
    </row>
    <row r="364" spans="1:2" s="194" customFormat="1" x14ac:dyDescent="0.2">
      <c r="A364" s="56" t="s">
        <v>7</v>
      </c>
      <c r="B364" s="393">
        <f>C499</f>
        <v>0</v>
      </c>
    </row>
    <row r="365" spans="1:2" s="194" customFormat="1" x14ac:dyDescent="0.2">
      <c r="A365" s="56" t="s">
        <v>8</v>
      </c>
      <c r="B365" s="393">
        <f t="shared" ref="B365:B367" si="180">C500</f>
        <v>0</v>
      </c>
    </row>
    <row r="366" spans="1:2" s="194" customFormat="1" x14ac:dyDescent="0.2">
      <c r="A366" s="56" t="s">
        <v>317</v>
      </c>
      <c r="B366" s="393">
        <f t="shared" si="180"/>
        <v>0</v>
      </c>
    </row>
    <row r="367" spans="1:2" s="194" customFormat="1" x14ac:dyDescent="0.2">
      <c r="A367" s="56" t="s">
        <v>318</v>
      </c>
      <c r="B367" s="393">
        <f t="shared" si="180"/>
        <v>0</v>
      </c>
    </row>
    <row r="368" spans="1:2" s="194" customFormat="1" x14ac:dyDescent="0.2">
      <c r="A368" s="56" t="str">
        <f t="shared" si="178"/>
        <v>Total</v>
      </c>
      <c r="B368" s="392">
        <f>SUM(B364:B367)</f>
        <v>0</v>
      </c>
    </row>
    <row r="369" spans="1:42" s="194" customFormat="1" x14ac:dyDescent="0.2">
      <c r="A369" s="55" t="str">
        <f t="shared" si="178"/>
        <v>Total Basis Reduction</v>
      </c>
      <c r="B369" s="393">
        <f>B356+B362+B368</f>
        <v>25000000</v>
      </c>
    </row>
    <row r="370" spans="1:42" s="194" customFormat="1" x14ac:dyDescent="0.2">
      <c r="A370" s="21"/>
      <c r="B370" s="7"/>
    </row>
    <row r="371" spans="1:42" s="194" customFormat="1" x14ac:dyDescent="0.2">
      <c r="A371" s="21" t="s">
        <v>137</v>
      </c>
      <c r="B371" s="7"/>
    </row>
    <row r="372" spans="1:42" s="194" customFormat="1" x14ac:dyDescent="0.2">
      <c r="A372" s="55" t="s">
        <v>83</v>
      </c>
      <c r="B372" s="7"/>
    </row>
    <row r="373" spans="1:42" x14ac:dyDescent="0.2">
      <c r="A373" s="41" t="str">
        <f>A340</f>
        <v>5-yr MACRS</v>
      </c>
      <c r="B373" s="399">
        <f t="array" ref="B373">SUM(IF(ISNUMBER(C373:AP373),C373:AP373))</f>
        <v>100</v>
      </c>
      <c r="C373" s="400">
        <f>LOOKUP(C$2,'Depreciation Schedules'!$A$3:$A$42,'Depreciation Schedules'!$B$3:$B$42)</f>
        <v>20</v>
      </c>
      <c r="D373" s="400">
        <f>LOOKUP(D$2,'Depreciation Schedules'!$A$3:$A$42,'Depreciation Schedules'!$B$3:$B$42)</f>
        <v>32</v>
      </c>
      <c r="E373" s="400">
        <f>LOOKUP(E$2,'Depreciation Schedules'!$A$3:$A$42,'Depreciation Schedules'!$B$3:$B$42)</f>
        <v>19.2</v>
      </c>
      <c r="F373" s="400">
        <f>LOOKUP(F$2,'Depreciation Schedules'!$A$3:$A$42,'Depreciation Schedules'!$B$3:$B$42)</f>
        <v>11.52</v>
      </c>
      <c r="G373" s="400">
        <f>LOOKUP(G$2,'Depreciation Schedules'!$A$3:$A$42,'Depreciation Schedules'!$B$3:$B$42)</f>
        <v>11.52</v>
      </c>
      <c r="H373" s="400">
        <f>LOOKUP(H$2,'Depreciation Schedules'!$A$3:$A$42,'Depreciation Schedules'!$B$3:$B$42)</f>
        <v>5.76</v>
      </c>
      <c r="I373" s="400">
        <f>LOOKUP(I$2,'Depreciation Schedules'!$A$3:$A$42,'Depreciation Schedules'!$B$3:$B$42)</f>
        <v>0</v>
      </c>
      <c r="J373" s="400">
        <f>LOOKUP(J$2,'Depreciation Schedules'!$A$3:$A$42,'Depreciation Schedules'!$B$3:$B$42)</f>
        <v>0</v>
      </c>
      <c r="K373" s="400">
        <f>LOOKUP(K$2,'Depreciation Schedules'!$A$3:$A$42,'Depreciation Schedules'!$B$3:$B$42)</f>
        <v>0</v>
      </c>
      <c r="L373" s="400">
        <f>LOOKUP(L$2,'Depreciation Schedules'!$A$3:$A$42,'Depreciation Schedules'!$B$3:$B$42)</f>
        <v>0</v>
      </c>
      <c r="M373" s="400">
        <f>LOOKUP(M$2,'Depreciation Schedules'!$A$3:$A$42,'Depreciation Schedules'!$B$3:$B$42)</f>
        <v>0</v>
      </c>
      <c r="N373" s="400">
        <f>LOOKUP(N$2,'Depreciation Schedules'!$A$3:$A$42,'Depreciation Schedules'!$B$3:$B$42)</f>
        <v>0</v>
      </c>
      <c r="O373" s="400">
        <f>LOOKUP(O$2,'Depreciation Schedules'!$A$3:$A$42,'Depreciation Schedules'!$B$3:$B$42)</f>
        <v>0</v>
      </c>
      <c r="P373" s="400">
        <f>LOOKUP(P$2,'Depreciation Schedules'!$A$3:$A$42,'Depreciation Schedules'!$B$3:$B$42)</f>
        <v>0</v>
      </c>
      <c r="Q373" s="400">
        <f>LOOKUP(Q$2,'Depreciation Schedules'!$A$3:$A$42,'Depreciation Schedules'!$B$3:$B$42)</f>
        <v>0</v>
      </c>
      <c r="R373" s="400">
        <f>LOOKUP(R$2,'Depreciation Schedules'!$A$3:$A$42,'Depreciation Schedules'!$B$3:$B$42)</f>
        <v>0</v>
      </c>
      <c r="S373" s="400">
        <f>LOOKUP(S$2,'Depreciation Schedules'!$A$3:$A$42,'Depreciation Schedules'!$B$3:$B$42)</f>
        <v>0</v>
      </c>
      <c r="T373" s="400">
        <f>LOOKUP(T$2,'Depreciation Schedules'!$A$3:$A$42,'Depreciation Schedules'!$B$3:$B$42)</f>
        <v>0</v>
      </c>
      <c r="U373" s="400">
        <f>LOOKUP(U$2,'Depreciation Schedules'!$A$3:$A$42,'Depreciation Schedules'!$B$3:$B$42)</f>
        <v>0</v>
      </c>
      <c r="V373" s="400">
        <f>LOOKUP(V$2,'Depreciation Schedules'!$A$3:$A$42,'Depreciation Schedules'!$B$3:$B$42)</f>
        <v>0</v>
      </c>
      <c r="W373" s="400">
        <f>LOOKUP(W$2,'Depreciation Schedules'!$A$3:$A$42,'Depreciation Schedules'!$B$3:$B$42)</f>
        <v>0</v>
      </c>
      <c r="X373" s="400">
        <f>LOOKUP(X$2,'Depreciation Schedules'!$A$3:$A$42,'Depreciation Schedules'!$B$3:$B$42)</f>
        <v>0</v>
      </c>
      <c r="Y373" s="400">
        <f>LOOKUP(Y$2,'Depreciation Schedules'!$A$3:$A$42,'Depreciation Schedules'!$B$3:$B$42)</f>
        <v>0</v>
      </c>
      <c r="Z373" s="400">
        <f>LOOKUP(Z$2,'Depreciation Schedules'!$A$3:$A$42,'Depreciation Schedules'!$B$3:$B$42)</f>
        <v>0</v>
      </c>
      <c r="AA373" s="400">
        <f>LOOKUP(AA$2,'Depreciation Schedules'!$A$3:$A$42,'Depreciation Schedules'!$B$3:$B$42)</f>
        <v>0</v>
      </c>
      <c r="AB373" s="400" t="e">
        <f>LOOKUP(AB$2,'Depreciation Schedules'!$A$3:$A$42,'Depreciation Schedules'!$B$3:$B$42)</f>
        <v>#N/A</v>
      </c>
      <c r="AC373" s="400" t="e">
        <f>LOOKUP(AC$2,'Depreciation Schedules'!$A$3:$A$42,'Depreciation Schedules'!$B$3:$B$42)</f>
        <v>#N/A</v>
      </c>
      <c r="AD373" s="400" t="e">
        <f>LOOKUP(AD$2,'Depreciation Schedules'!$A$3:$A$42,'Depreciation Schedules'!$B$3:$B$42)</f>
        <v>#N/A</v>
      </c>
      <c r="AE373" s="400" t="e">
        <f>LOOKUP(AE$2,'Depreciation Schedules'!$A$3:$A$42,'Depreciation Schedules'!$B$3:$B$42)</f>
        <v>#N/A</v>
      </c>
      <c r="AF373" s="400" t="e">
        <f>LOOKUP(AF$2,'Depreciation Schedules'!$A$3:$A$42,'Depreciation Schedules'!$B$3:$B$42)</f>
        <v>#N/A</v>
      </c>
      <c r="AG373" s="400" t="e">
        <f>LOOKUP(AG$2,'Depreciation Schedules'!$A$3:$A$42,'Depreciation Schedules'!$B$3:$B$42)</f>
        <v>#N/A</v>
      </c>
      <c r="AH373" s="400" t="e">
        <f>LOOKUP(AH$2,'Depreciation Schedules'!$A$3:$A$42,'Depreciation Schedules'!$B$3:$B$42)</f>
        <v>#N/A</v>
      </c>
      <c r="AI373" s="400" t="e">
        <f>LOOKUP(AI$2,'Depreciation Schedules'!$A$3:$A$42,'Depreciation Schedules'!$B$3:$B$42)</f>
        <v>#N/A</v>
      </c>
      <c r="AJ373" s="400" t="e">
        <f>LOOKUP(AJ$2,'Depreciation Schedules'!$A$3:$A$42,'Depreciation Schedules'!$B$3:$B$42)</f>
        <v>#N/A</v>
      </c>
      <c r="AK373" s="400" t="e">
        <f>LOOKUP(AK$2,'Depreciation Schedules'!$A$3:$A$42,'Depreciation Schedules'!$B$3:$B$42)</f>
        <v>#N/A</v>
      </c>
      <c r="AL373" s="400" t="e">
        <f>LOOKUP(AL$2,'Depreciation Schedules'!$A$3:$A$42,'Depreciation Schedules'!$B$3:$B$42)</f>
        <v>#N/A</v>
      </c>
      <c r="AM373" s="400" t="e">
        <f>LOOKUP(AM$2,'Depreciation Schedules'!$A$3:$A$42,'Depreciation Schedules'!$B$3:$B$42)</f>
        <v>#N/A</v>
      </c>
      <c r="AN373" s="400" t="e">
        <f>LOOKUP(AN$2,'Depreciation Schedules'!$A$3:$A$42,'Depreciation Schedules'!$B$3:$B$42)</f>
        <v>#N/A</v>
      </c>
      <c r="AO373" s="400" t="e">
        <f>LOOKUP(AO$2,'Depreciation Schedules'!$A$3:$A$42,'Depreciation Schedules'!$B$3:$B$42)</f>
        <v>#N/A</v>
      </c>
      <c r="AP373" s="400" t="e">
        <f>LOOKUP(AP$2,'Depreciation Schedules'!$A$3:$A$42,'Depreciation Schedules'!$B$3:$B$42)</f>
        <v>#N/A</v>
      </c>
    </row>
    <row r="374" spans="1:42" x14ac:dyDescent="0.2">
      <c r="A374" s="41" t="str">
        <f t="shared" ref="A374:A378" si="181">A341</f>
        <v>15-yr MACRS</v>
      </c>
      <c r="B374" s="399">
        <f t="array" ref="B374">SUM(IF(ISNUMBER(C374:AP374),C374:AP374))</f>
        <v>99.990000000000009</v>
      </c>
      <c r="C374" s="400">
        <f>LOOKUP(C$2,'Depreciation Schedules'!$A$3:$A$42,'Depreciation Schedules'!$C$3:$C$42)</f>
        <v>5</v>
      </c>
      <c r="D374" s="400">
        <f>LOOKUP(D$2,'Depreciation Schedules'!$A$3:$A$42,'Depreciation Schedules'!$C$3:$C$42)</f>
        <v>9.5</v>
      </c>
      <c r="E374" s="400">
        <f>LOOKUP(E$2,'Depreciation Schedules'!$A$3:$A$42,'Depreciation Schedules'!$C$3:$C$42)</f>
        <v>8.5500000000000007</v>
      </c>
      <c r="F374" s="400">
        <f>LOOKUP(F$2,'Depreciation Schedules'!$A$3:$A$42,'Depreciation Schedules'!$C$3:$C$42)</f>
        <v>7.7</v>
      </c>
      <c r="G374" s="400">
        <f>LOOKUP(G$2,'Depreciation Schedules'!$A$3:$A$42,'Depreciation Schedules'!$C$3:$C$42)</f>
        <v>6.93</v>
      </c>
      <c r="H374" s="400">
        <f>LOOKUP(H$2,'Depreciation Schedules'!$A$3:$A$42,'Depreciation Schedules'!$C$3:$C$42)</f>
        <v>6.23</v>
      </c>
      <c r="I374" s="400">
        <f>LOOKUP(I$2,'Depreciation Schedules'!$A$3:$A$42,'Depreciation Schedules'!$C$3:$C$42)</f>
        <v>5.9</v>
      </c>
      <c r="J374" s="400">
        <f>LOOKUP(J$2,'Depreciation Schedules'!$A$3:$A$42,'Depreciation Schedules'!$C$3:$C$42)</f>
        <v>5.9</v>
      </c>
      <c r="K374" s="400">
        <f>LOOKUP(K$2,'Depreciation Schedules'!$A$3:$A$42,'Depreciation Schedules'!$C$3:$C$42)</f>
        <v>5.91</v>
      </c>
      <c r="L374" s="400">
        <f>LOOKUP(L$2,'Depreciation Schedules'!$A$3:$A$42,'Depreciation Schedules'!$C$3:$C$42)</f>
        <v>5.9</v>
      </c>
      <c r="M374" s="400">
        <f>LOOKUP(M$2,'Depreciation Schedules'!$A$3:$A$42,'Depreciation Schedules'!$C$3:$C$42)</f>
        <v>5.91</v>
      </c>
      <c r="N374" s="400">
        <f>LOOKUP(N$2,'Depreciation Schedules'!$A$3:$A$42,'Depreciation Schedules'!$C$3:$C$42)</f>
        <v>5.9</v>
      </c>
      <c r="O374" s="400">
        <f>LOOKUP(O$2,'Depreciation Schedules'!$A$3:$A$42,'Depreciation Schedules'!$C$3:$C$42)</f>
        <v>5.91</v>
      </c>
      <c r="P374" s="400">
        <f>LOOKUP(P$2,'Depreciation Schedules'!$A$3:$A$42,'Depreciation Schedules'!$C$3:$C$42)</f>
        <v>5.9</v>
      </c>
      <c r="Q374" s="400">
        <f>LOOKUP(Q$2,'Depreciation Schedules'!$A$3:$A$42,'Depreciation Schedules'!$C$3:$C$42)</f>
        <v>5.9</v>
      </c>
      <c r="R374" s="400">
        <f>LOOKUP(R$2,'Depreciation Schedules'!$A$3:$A$42,'Depreciation Schedules'!$C$3:$C$42)</f>
        <v>2.95</v>
      </c>
      <c r="S374" s="400">
        <f>LOOKUP(S$2,'Depreciation Schedules'!$A$3:$A$42,'Depreciation Schedules'!$C$3:$C$42)</f>
        <v>0</v>
      </c>
      <c r="T374" s="400">
        <f>LOOKUP(T$2,'Depreciation Schedules'!$A$3:$A$42,'Depreciation Schedules'!$C$3:$C$42)</f>
        <v>0</v>
      </c>
      <c r="U374" s="400">
        <f>LOOKUP(U$2,'Depreciation Schedules'!$A$3:$A$42,'Depreciation Schedules'!$C$3:$C$42)</f>
        <v>0</v>
      </c>
      <c r="V374" s="400">
        <f>LOOKUP(V$2,'Depreciation Schedules'!$A$3:$A$42,'Depreciation Schedules'!$C$3:$C$42)</f>
        <v>0</v>
      </c>
      <c r="W374" s="400">
        <f>LOOKUP(W$2,'Depreciation Schedules'!$A$3:$A$42,'Depreciation Schedules'!$C$3:$C$42)</f>
        <v>0</v>
      </c>
      <c r="X374" s="400">
        <f>LOOKUP(X$2,'Depreciation Schedules'!$A$3:$A$42,'Depreciation Schedules'!$C$3:$C$42)</f>
        <v>0</v>
      </c>
      <c r="Y374" s="400">
        <f>LOOKUP(Y$2,'Depreciation Schedules'!$A$3:$A$42,'Depreciation Schedules'!$C$3:$C$42)</f>
        <v>0</v>
      </c>
      <c r="Z374" s="400">
        <f>LOOKUP(Z$2,'Depreciation Schedules'!$A$3:$A$42,'Depreciation Schedules'!$C$3:$C$42)</f>
        <v>0</v>
      </c>
      <c r="AA374" s="400">
        <f>LOOKUP(AA$2,'Depreciation Schedules'!$A$3:$A$42,'Depreciation Schedules'!$C$3:$C$42)</f>
        <v>0</v>
      </c>
      <c r="AB374" s="400" t="e">
        <f>LOOKUP(AB$2,'Depreciation Schedules'!$A$3:$A$42,'Depreciation Schedules'!$C$3:$C$42)</f>
        <v>#N/A</v>
      </c>
      <c r="AC374" s="400" t="e">
        <f>LOOKUP(AC$2,'Depreciation Schedules'!$A$3:$A$42,'Depreciation Schedules'!$C$3:$C$42)</f>
        <v>#N/A</v>
      </c>
      <c r="AD374" s="400" t="e">
        <f>LOOKUP(AD$2,'Depreciation Schedules'!$A$3:$A$42,'Depreciation Schedules'!$C$3:$C$42)</f>
        <v>#N/A</v>
      </c>
      <c r="AE374" s="400" t="e">
        <f>LOOKUP(AE$2,'Depreciation Schedules'!$A$3:$A$42,'Depreciation Schedules'!$C$3:$C$42)</f>
        <v>#N/A</v>
      </c>
      <c r="AF374" s="400" t="e">
        <f>LOOKUP(AF$2,'Depreciation Schedules'!$A$3:$A$42,'Depreciation Schedules'!$C$3:$C$42)</f>
        <v>#N/A</v>
      </c>
      <c r="AG374" s="400" t="e">
        <f>LOOKUP(AG$2,'Depreciation Schedules'!$A$3:$A$42,'Depreciation Schedules'!$C$3:$C$42)</f>
        <v>#N/A</v>
      </c>
      <c r="AH374" s="400" t="e">
        <f>LOOKUP(AH$2,'Depreciation Schedules'!$A$3:$A$42,'Depreciation Schedules'!$C$3:$C$42)</f>
        <v>#N/A</v>
      </c>
      <c r="AI374" s="400" t="e">
        <f>LOOKUP(AI$2,'Depreciation Schedules'!$A$3:$A$42,'Depreciation Schedules'!$C$3:$C$42)</f>
        <v>#N/A</v>
      </c>
      <c r="AJ374" s="400" t="e">
        <f>LOOKUP(AJ$2,'Depreciation Schedules'!$A$3:$A$42,'Depreciation Schedules'!$C$3:$C$42)</f>
        <v>#N/A</v>
      </c>
      <c r="AK374" s="400" t="e">
        <f>LOOKUP(AK$2,'Depreciation Schedules'!$A$3:$A$42,'Depreciation Schedules'!$C$3:$C$42)</f>
        <v>#N/A</v>
      </c>
      <c r="AL374" s="400" t="e">
        <f>LOOKUP(AL$2,'Depreciation Schedules'!$A$3:$A$42,'Depreciation Schedules'!$C$3:$C$42)</f>
        <v>#N/A</v>
      </c>
      <c r="AM374" s="400" t="e">
        <f>LOOKUP(AM$2,'Depreciation Schedules'!$A$3:$A$42,'Depreciation Schedules'!$C$3:$C$42)</f>
        <v>#N/A</v>
      </c>
      <c r="AN374" s="400" t="e">
        <f>LOOKUP(AN$2,'Depreciation Schedules'!$A$3:$A$42,'Depreciation Schedules'!$C$3:$C$42)</f>
        <v>#N/A</v>
      </c>
      <c r="AO374" s="400" t="e">
        <f>LOOKUP(AO$2,'Depreciation Schedules'!$A$3:$A$42,'Depreciation Schedules'!$C$3:$C$42)</f>
        <v>#N/A</v>
      </c>
      <c r="AP374" s="400" t="e">
        <f>LOOKUP(AP$2,'Depreciation Schedules'!$A$3:$A$42,'Depreciation Schedules'!$C$3:$C$42)</f>
        <v>#N/A</v>
      </c>
    </row>
    <row r="375" spans="1:42" x14ac:dyDescent="0.2">
      <c r="A375" s="41" t="str">
        <f t="shared" si="181"/>
        <v>5-yr SL</v>
      </c>
      <c r="B375" s="399">
        <f t="array" ref="B375">SUM(IF(ISNUMBER(C375:AP375),C375:AP375))</f>
        <v>100</v>
      </c>
      <c r="C375" s="400">
        <f>LOOKUP(C$2,'Depreciation Schedules'!$A$3:$A$42,'Depreciation Schedules'!$D$3:$D$42)</f>
        <v>10</v>
      </c>
      <c r="D375" s="400">
        <f>LOOKUP(D$2,'Depreciation Schedules'!$A$3:$A$42,'Depreciation Schedules'!$D$3:$D$42)</f>
        <v>20</v>
      </c>
      <c r="E375" s="400">
        <f>LOOKUP(E$2,'Depreciation Schedules'!$A$3:$A$42,'Depreciation Schedules'!$D$3:$D$42)</f>
        <v>20</v>
      </c>
      <c r="F375" s="400">
        <f>LOOKUP(F$2,'Depreciation Schedules'!$A$3:$A$42,'Depreciation Schedules'!$D$3:$D$42)</f>
        <v>20</v>
      </c>
      <c r="G375" s="400">
        <f>LOOKUP(G$2,'Depreciation Schedules'!$A$3:$A$42,'Depreciation Schedules'!$D$3:$D$42)</f>
        <v>20</v>
      </c>
      <c r="H375" s="400">
        <f>LOOKUP(H$2,'Depreciation Schedules'!$A$3:$A$42,'Depreciation Schedules'!$D$3:$D$42)</f>
        <v>10</v>
      </c>
      <c r="I375" s="400">
        <f>LOOKUP(I$2,'Depreciation Schedules'!$A$3:$A$42,'Depreciation Schedules'!$D$3:$D$42)</f>
        <v>0</v>
      </c>
      <c r="J375" s="400">
        <f>LOOKUP(J$2,'Depreciation Schedules'!$A$3:$A$42,'Depreciation Schedules'!$D$3:$D$42)</f>
        <v>0</v>
      </c>
      <c r="K375" s="400">
        <f>LOOKUP(K$2,'Depreciation Schedules'!$A$3:$A$42,'Depreciation Schedules'!$D$3:$D$42)</f>
        <v>0</v>
      </c>
      <c r="L375" s="400">
        <f>LOOKUP(L$2,'Depreciation Schedules'!$A$3:$A$42,'Depreciation Schedules'!$D$3:$D$42)</f>
        <v>0</v>
      </c>
      <c r="M375" s="400">
        <f>LOOKUP(M$2,'Depreciation Schedules'!$A$3:$A$42,'Depreciation Schedules'!$D$3:$D$42)</f>
        <v>0</v>
      </c>
      <c r="N375" s="400">
        <f>LOOKUP(N$2,'Depreciation Schedules'!$A$3:$A$42,'Depreciation Schedules'!$D$3:$D$42)</f>
        <v>0</v>
      </c>
      <c r="O375" s="400">
        <f>LOOKUP(O$2,'Depreciation Schedules'!$A$3:$A$42,'Depreciation Schedules'!$D$3:$D$42)</f>
        <v>0</v>
      </c>
      <c r="P375" s="400">
        <f>LOOKUP(P$2,'Depreciation Schedules'!$A$3:$A$42,'Depreciation Schedules'!$D$3:$D$42)</f>
        <v>0</v>
      </c>
      <c r="Q375" s="400">
        <f>LOOKUP(Q$2,'Depreciation Schedules'!$A$3:$A$42,'Depreciation Schedules'!$D$3:$D$42)</f>
        <v>0</v>
      </c>
      <c r="R375" s="400">
        <f>LOOKUP(R$2,'Depreciation Schedules'!$A$3:$A$42,'Depreciation Schedules'!$D$3:$D$42)</f>
        <v>0</v>
      </c>
      <c r="S375" s="400">
        <f>LOOKUP(S$2,'Depreciation Schedules'!$A$3:$A$42,'Depreciation Schedules'!$D$3:$D$42)</f>
        <v>0</v>
      </c>
      <c r="T375" s="400">
        <f>LOOKUP(T$2,'Depreciation Schedules'!$A$3:$A$42,'Depreciation Schedules'!$D$3:$D$42)</f>
        <v>0</v>
      </c>
      <c r="U375" s="400">
        <f>LOOKUP(U$2,'Depreciation Schedules'!$A$3:$A$42,'Depreciation Schedules'!$D$3:$D$42)</f>
        <v>0</v>
      </c>
      <c r="V375" s="400">
        <f>LOOKUP(V$2,'Depreciation Schedules'!$A$3:$A$42,'Depreciation Schedules'!$D$3:$D$42)</f>
        <v>0</v>
      </c>
      <c r="W375" s="400">
        <f>LOOKUP(W$2,'Depreciation Schedules'!$A$3:$A$42,'Depreciation Schedules'!$D$3:$D$42)</f>
        <v>0</v>
      </c>
      <c r="X375" s="400">
        <f>LOOKUP(X$2,'Depreciation Schedules'!$A$3:$A$42,'Depreciation Schedules'!$D$3:$D$42)</f>
        <v>0</v>
      </c>
      <c r="Y375" s="400">
        <f>LOOKUP(Y$2,'Depreciation Schedules'!$A$3:$A$42,'Depreciation Schedules'!$D$3:$D$42)</f>
        <v>0</v>
      </c>
      <c r="Z375" s="400">
        <f>LOOKUP(Z$2,'Depreciation Schedules'!$A$3:$A$42,'Depreciation Schedules'!$D$3:$D$42)</f>
        <v>0</v>
      </c>
      <c r="AA375" s="400">
        <f>LOOKUP(AA$2,'Depreciation Schedules'!$A$3:$A$42,'Depreciation Schedules'!$D$3:$D$42)</f>
        <v>0</v>
      </c>
      <c r="AB375" s="400" t="e">
        <f>LOOKUP(AB$2,'Depreciation Schedules'!$A$3:$A$42,'Depreciation Schedules'!$D$3:$D$42)</f>
        <v>#N/A</v>
      </c>
      <c r="AC375" s="400" t="e">
        <f>LOOKUP(AC$2,'Depreciation Schedules'!$A$3:$A$42,'Depreciation Schedules'!$D$3:$D$42)</f>
        <v>#N/A</v>
      </c>
      <c r="AD375" s="400" t="e">
        <f>LOOKUP(AD$2,'Depreciation Schedules'!$A$3:$A$42,'Depreciation Schedules'!$D$3:$D$42)</f>
        <v>#N/A</v>
      </c>
      <c r="AE375" s="400" t="e">
        <f>LOOKUP(AE$2,'Depreciation Schedules'!$A$3:$A$42,'Depreciation Schedules'!$D$3:$D$42)</f>
        <v>#N/A</v>
      </c>
      <c r="AF375" s="400" t="e">
        <f>LOOKUP(AF$2,'Depreciation Schedules'!$A$3:$A$42,'Depreciation Schedules'!$D$3:$D$42)</f>
        <v>#N/A</v>
      </c>
      <c r="AG375" s="400" t="e">
        <f>LOOKUP(AG$2,'Depreciation Schedules'!$A$3:$A$42,'Depreciation Schedules'!$D$3:$D$42)</f>
        <v>#N/A</v>
      </c>
      <c r="AH375" s="400" t="e">
        <f>LOOKUP(AH$2,'Depreciation Schedules'!$A$3:$A$42,'Depreciation Schedules'!$D$3:$D$42)</f>
        <v>#N/A</v>
      </c>
      <c r="AI375" s="400" t="e">
        <f>LOOKUP(AI$2,'Depreciation Schedules'!$A$3:$A$42,'Depreciation Schedules'!$D$3:$D$42)</f>
        <v>#N/A</v>
      </c>
      <c r="AJ375" s="400" t="e">
        <f>LOOKUP(AJ$2,'Depreciation Schedules'!$A$3:$A$42,'Depreciation Schedules'!$D$3:$D$42)</f>
        <v>#N/A</v>
      </c>
      <c r="AK375" s="400" t="e">
        <f>LOOKUP(AK$2,'Depreciation Schedules'!$A$3:$A$42,'Depreciation Schedules'!$D$3:$D$42)</f>
        <v>#N/A</v>
      </c>
      <c r="AL375" s="400" t="e">
        <f>LOOKUP(AL$2,'Depreciation Schedules'!$A$3:$A$42,'Depreciation Schedules'!$D$3:$D$42)</f>
        <v>#N/A</v>
      </c>
      <c r="AM375" s="400" t="e">
        <f>LOOKUP(AM$2,'Depreciation Schedules'!$A$3:$A$42,'Depreciation Schedules'!$D$3:$D$42)</f>
        <v>#N/A</v>
      </c>
      <c r="AN375" s="400" t="e">
        <f>LOOKUP(AN$2,'Depreciation Schedules'!$A$3:$A$42,'Depreciation Schedules'!$D$3:$D$42)</f>
        <v>#N/A</v>
      </c>
      <c r="AO375" s="400" t="e">
        <f>LOOKUP(AO$2,'Depreciation Schedules'!$A$3:$A$42,'Depreciation Schedules'!$D$3:$D$42)</f>
        <v>#N/A</v>
      </c>
      <c r="AP375" s="400" t="e">
        <f>LOOKUP(AP$2,'Depreciation Schedules'!$A$3:$A$42,'Depreciation Schedules'!$D$3:$D$42)</f>
        <v>#N/A</v>
      </c>
    </row>
    <row r="376" spans="1:42" x14ac:dyDescent="0.2">
      <c r="A376" s="41" t="str">
        <f t="shared" si="181"/>
        <v>15-yr SL</v>
      </c>
      <c r="B376" s="399">
        <f t="array" ref="B376">SUM(IF(ISNUMBER(C376:AP376),C376:AP376))</f>
        <v>100.02000000000001</v>
      </c>
      <c r="C376" s="400">
        <f>LOOKUP(C$2,'Depreciation Schedules'!$A$3:$A$42,'Depreciation Schedules'!$E$3:$E$42)</f>
        <v>3.33</v>
      </c>
      <c r="D376" s="400">
        <f>LOOKUP(D$2,'Depreciation Schedules'!$A$3:$A$42,'Depreciation Schedules'!$E$3:$E$42)</f>
        <v>6.67</v>
      </c>
      <c r="E376" s="400">
        <f>LOOKUP(E$2,'Depreciation Schedules'!$A$3:$A$42,'Depreciation Schedules'!$E$3:$E$42)</f>
        <v>6.67</v>
      </c>
      <c r="F376" s="400">
        <f>LOOKUP(F$2,'Depreciation Schedules'!$A$3:$A$42,'Depreciation Schedules'!$E$3:$E$42)</f>
        <v>6.67</v>
      </c>
      <c r="G376" s="400">
        <f>LOOKUP(G$2,'Depreciation Schedules'!$A$3:$A$42,'Depreciation Schedules'!$E$3:$E$42)</f>
        <v>6.67</v>
      </c>
      <c r="H376" s="400">
        <f>LOOKUP(H$2,'Depreciation Schedules'!$A$3:$A$42,'Depreciation Schedules'!$E$3:$E$42)</f>
        <v>6.67</v>
      </c>
      <c r="I376" s="400">
        <f>LOOKUP(I$2,'Depreciation Schedules'!$A$3:$A$42,'Depreciation Schedules'!$E$3:$E$42)</f>
        <v>6.67</v>
      </c>
      <c r="J376" s="400">
        <f>LOOKUP(J$2,'Depreciation Schedules'!$A$3:$A$42,'Depreciation Schedules'!$E$3:$E$42)</f>
        <v>6.67</v>
      </c>
      <c r="K376" s="400">
        <f>LOOKUP(K$2,'Depreciation Schedules'!$A$3:$A$42,'Depreciation Schedules'!$E$3:$E$42)</f>
        <v>6.67</v>
      </c>
      <c r="L376" s="400">
        <f>LOOKUP(L$2,'Depreciation Schedules'!$A$3:$A$42,'Depreciation Schedules'!$E$3:$E$42)</f>
        <v>6.67</v>
      </c>
      <c r="M376" s="400">
        <f>LOOKUP(M$2,'Depreciation Schedules'!$A$3:$A$42,'Depreciation Schedules'!$E$3:$E$42)</f>
        <v>6.67</v>
      </c>
      <c r="N376" s="400">
        <f>LOOKUP(N$2,'Depreciation Schedules'!$A$3:$A$42,'Depreciation Schedules'!$E$3:$E$42)</f>
        <v>6.66</v>
      </c>
      <c r="O376" s="400">
        <f>LOOKUP(O$2,'Depreciation Schedules'!$A$3:$A$42,'Depreciation Schedules'!$E$3:$E$42)</f>
        <v>6.67</v>
      </c>
      <c r="P376" s="400">
        <f>LOOKUP(P$2,'Depreciation Schedules'!$A$3:$A$42,'Depreciation Schedules'!$E$3:$E$42)</f>
        <v>6.66</v>
      </c>
      <c r="Q376" s="400">
        <f>LOOKUP(Q$2,'Depreciation Schedules'!$A$3:$A$42,'Depreciation Schedules'!$E$3:$E$42)</f>
        <v>6.67</v>
      </c>
      <c r="R376" s="400">
        <f>LOOKUP(R$2,'Depreciation Schedules'!$A$3:$A$42,'Depreciation Schedules'!$E$3:$E$42)</f>
        <v>3.33</v>
      </c>
      <c r="S376" s="400">
        <f>LOOKUP(S$2,'Depreciation Schedules'!$A$3:$A$42,'Depreciation Schedules'!$E$3:$E$42)</f>
        <v>0</v>
      </c>
      <c r="T376" s="400">
        <f>LOOKUP(T$2,'Depreciation Schedules'!$A$3:$A$42,'Depreciation Schedules'!$E$3:$E$42)</f>
        <v>0</v>
      </c>
      <c r="U376" s="400">
        <f>LOOKUP(U$2,'Depreciation Schedules'!$A$3:$A$42,'Depreciation Schedules'!$E$3:$E$42)</f>
        <v>0</v>
      </c>
      <c r="V376" s="400">
        <f>LOOKUP(V$2,'Depreciation Schedules'!$A$3:$A$42,'Depreciation Schedules'!$E$3:$E$42)</f>
        <v>0</v>
      </c>
      <c r="W376" s="400">
        <f>LOOKUP(W$2,'Depreciation Schedules'!$A$3:$A$42,'Depreciation Schedules'!$E$3:$E$42)</f>
        <v>0</v>
      </c>
      <c r="X376" s="400">
        <f>LOOKUP(X$2,'Depreciation Schedules'!$A$3:$A$42,'Depreciation Schedules'!$E$3:$E$42)</f>
        <v>0</v>
      </c>
      <c r="Y376" s="400">
        <f>LOOKUP(Y$2,'Depreciation Schedules'!$A$3:$A$42,'Depreciation Schedules'!$E$3:$E$42)</f>
        <v>0</v>
      </c>
      <c r="Z376" s="400">
        <f>LOOKUP(Z$2,'Depreciation Schedules'!$A$3:$A$42,'Depreciation Schedules'!$E$3:$E$42)</f>
        <v>0</v>
      </c>
      <c r="AA376" s="400">
        <f>LOOKUP(AA$2,'Depreciation Schedules'!$A$3:$A$42,'Depreciation Schedules'!$E$3:$E$42)</f>
        <v>0</v>
      </c>
      <c r="AB376" s="400" t="e">
        <f>LOOKUP(AB$2,'Depreciation Schedules'!$A$3:$A$42,'Depreciation Schedules'!$E$3:$E$42)</f>
        <v>#N/A</v>
      </c>
      <c r="AC376" s="400" t="e">
        <f>LOOKUP(AC$2,'Depreciation Schedules'!$A$3:$A$42,'Depreciation Schedules'!$E$3:$E$42)</f>
        <v>#N/A</v>
      </c>
      <c r="AD376" s="400" t="e">
        <f>LOOKUP(AD$2,'Depreciation Schedules'!$A$3:$A$42,'Depreciation Schedules'!$E$3:$E$42)</f>
        <v>#N/A</v>
      </c>
      <c r="AE376" s="400" t="e">
        <f>LOOKUP(AE$2,'Depreciation Schedules'!$A$3:$A$42,'Depreciation Schedules'!$E$3:$E$42)</f>
        <v>#N/A</v>
      </c>
      <c r="AF376" s="400" t="e">
        <f>LOOKUP(AF$2,'Depreciation Schedules'!$A$3:$A$42,'Depreciation Schedules'!$E$3:$E$42)</f>
        <v>#N/A</v>
      </c>
      <c r="AG376" s="400" t="e">
        <f>LOOKUP(AG$2,'Depreciation Schedules'!$A$3:$A$42,'Depreciation Schedules'!$E$3:$E$42)</f>
        <v>#N/A</v>
      </c>
      <c r="AH376" s="400" t="e">
        <f>LOOKUP(AH$2,'Depreciation Schedules'!$A$3:$A$42,'Depreciation Schedules'!$E$3:$E$42)</f>
        <v>#N/A</v>
      </c>
      <c r="AI376" s="400" t="e">
        <f>LOOKUP(AI$2,'Depreciation Schedules'!$A$3:$A$42,'Depreciation Schedules'!$E$3:$E$42)</f>
        <v>#N/A</v>
      </c>
      <c r="AJ376" s="400" t="e">
        <f>LOOKUP(AJ$2,'Depreciation Schedules'!$A$3:$A$42,'Depreciation Schedules'!$E$3:$E$42)</f>
        <v>#N/A</v>
      </c>
      <c r="AK376" s="400" t="e">
        <f>LOOKUP(AK$2,'Depreciation Schedules'!$A$3:$A$42,'Depreciation Schedules'!$E$3:$E$42)</f>
        <v>#N/A</v>
      </c>
      <c r="AL376" s="400" t="e">
        <f>LOOKUP(AL$2,'Depreciation Schedules'!$A$3:$A$42,'Depreciation Schedules'!$E$3:$E$42)</f>
        <v>#N/A</v>
      </c>
      <c r="AM376" s="400" t="e">
        <f>LOOKUP(AM$2,'Depreciation Schedules'!$A$3:$A$42,'Depreciation Schedules'!$E$3:$E$42)</f>
        <v>#N/A</v>
      </c>
      <c r="AN376" s="400" t="e">
        <f>LOOKUP(AN$2,'Depreciation Schedules'!$A$3:$A$42,'Depreciation Schedules'!$E$3:$E$42)</f>
        <v>#N/A</v>
      </c>
      <c r="AO376" s="400" t="e">
        <f>LOOKUP(AO$2,'Depreciation Schedules'!$A$3:$A$42,'Depreciation Schedules'!$E$3:$E$42)</f>
        <v>#N/A</v>
      </c>
      <c r="AP376" s="400" t="e">
        <f>LOOKUP(AP$2,'Depreciation Schedules'!$A$3:$A$42,'Depreciation Schedules'!$E$3:$E$42)</f>
        <v>#N/A</v>
      </c>
    </row>
    <row r="377" spans="1:42" x14ac:dyDescent="0.2">
      <c r="A377" s="41" t="str">
        <f t="shared" si="181"/>
        <v>20-yr SL</v>
      </c>
      <c r="B377" s="399">
        <f t="array" ref="B377">SUM(IF(ISNUMBER(C377:AP377),C377:AP377))</f>
        <v>100</v>
      </c>
      <c r="C377" s="400">
        <f>LOOKUP(C$2,'Depreciation Schedules'!$A$3:$A$42,'Depreciation Schedules'!$F$3:$F$42)</f>
        <v>2.5</v>
      </c>
      <c r="D377" s="400">
        <f>LOOKUP(D$2,'Depreciation Schedules'!$A$3:$A$42,'Depreciation Schedules'!$F$3:$F$42)</f>
        <v>5</v>
      </c>
      <c r="E377" s="400">
        <f>LOOKUP(E$2,'Depreciation Schedules'!$A$3:$A$42,'Depreciation Schedules'!$F$3:$F$42)</f>
        <v>5</v>
      </c>
      <c r="F377" s="400">
        <f>LOOKUP(F$2,'Depreciation Schedules'!$A$3:$A$42,'Depreciation Schedules'!$F$3:$F$42)</f>
        <v>5</v>
      </c>
      <c r="G377" s="400">
        <f>LOOKUP(G$2,'Depreciation Schedules'!$A$3:$A$42,'Depreciation Schedules'!$F$3:$F$42)</f>
        <v>5</v>
      </c>
      <c r="H377" s="400">
        <f>LOOKUP(H$2,'Depreciation Schedules'!$A$3:$A$42,'Depreciation Schedules'!$F$3:$F$42)</f>
        <v>5</v>
      </c>
      <c r="I377" s="400">
        <f>LOOKUP(I$2,'Depreciation Schedules'!$A$3:$A$42,'Depreciation Schedules'!$F$3:$F$42)</f>
        <v>5</v>
      </c>
      <c r="J377" s="400">
        <f>LOOKUP(J$2,'Depreciation Schedules'!$A$3:$A$42,'Depreciation Schedules'!$F$3:$F$42)</f>
        <v>5</v>
      </c>
      <c r="K377" s="400">
        <f>LOOKUP(K$2,'Depreciation Schedules'!$A$3:$A$42,'Depreciation Schedules'!$F$3:$F$42)</f>
        <v>5</v>
      </c>
      <c r="L377" s="400">
        <f>LOOKUP(L$2,'Depreciation Schedules'!$A$3:$A$42,'Depreciation Schedules'!$F$3:$F$42)</f>
        <v>5</v>
      </c>
      <c r="M377" s="400">
        <f>LOOKUP(M$2,'Depreciation Schedules'!$A$3:$A$42,'Depreciation Schedules'!$F$3:$F$42)</f>
        <v>5</v>
      </c>
      <c r="N377" s="400">
        <f>LOOKUP(N$2,'Depreciation Schedules'!$A$3:$A$42,'Depreciation Schedules'!$F$3:$F$42)</f>
        <v>5</v>
      </c>
      <c r="O377" s="400">
        <f>LOOKUP(O$2,'Depreciation Schedules'!$A$3:$A$42,'Depreciation Schedules'!$F$3:$F$42)</f>
        <v>5</v>
      </c>
      <c r="P377" s="400">
        <f>LOOKUP(P$2,'Depreciation Schedules'!$A$3:$A$42,'Depreciation Schedules'!$F$3:$F$42)</f>
        <v>5</v>
      </c>
      <c r="Q377" s="400">
        <f>LOOKUP(Q$2,'Depreciation Schedules'!$A$3:$A$42,'Depreciation Schedules'!$F$3:$F$42)</f>
        <v>5</v>
      </c>
      <c r="R377" s="400">
        <f>LOOKUP(R$2,'Depreciation Schedules'!$A$3:$A$42,'Depreciation Schedules'!$F$3:$F$42)</f>
        <v>5</v>
      </c>
      <c r="S377" s="400">
        <f>LOOKUP(S$2,'Depreciation Schedules'!$A$3:$A$42,'Depreciation Schedules'!$F$3:$F$42)</f>
        <v>5</v>
      </c>
      <c r="T377" s="400">
        <f>LOOKUP(T$2,'Depreciation Schedules'!$A$3:$A$42,'Depreciation Schedules'!$F$3:$F$42)</f>
        <v>5</v>
      </c>
      <c r="U377" s="400">
        <f>LOOKUP(U$2,'Depreciation Schedules'!$A$3:$A$42,'Depreciation Schedules'!$F$3:$F$42)</f>
        <v>5</v>
      </c>
      <c r="V377" s="400">
        <f>LOOKUP(V$2,'Depreciation Schedules'!$A$3:$A$42,'Depreciation Schedules'!$F$3:$F$42)</f>
        <v>5</v>
      </c>
      <c r="W377" s="400">
        <f>LOOKUP(W$2,'Depreciation Schedules'!$A$3:$A$42,'Depreciation Schedules'!$F$3:$F$42)</f>
        <v>2.5</v>
      </c>
      <c r="X377" s="400">
        <f>LOOKUP(X$2,'Depreciation Schedules'!$A$3:$A$42,'Depreciation Schedules'!$F$3:$F$42)</f>
        <v>0</v>
      </c>
      <c r="Y377" s="400">
        <f>LOOKUP(Y$2,'Depreciation Schedules'!$A$3:$A$42,'Depreciation Schedules'!$F$3:$F$42)</f>
        <v>0</v>
      </c>
      <c r="Z377" s="400">
        <f>LOOKUP(Z$2,'Depreciation Schedules'!$A$3:$A$42,'Depreciation Schedules'!$F$3:$F$42)</f>
        <v>0</v>
      </c>
      <c r="AA377" s="400">
        <f>LOOKUP(AA$2,'Depreciation Schedules'!$A$3:$A$42,'Depreciation Schedules'!$F$3:$F$42)</f>
        <v>0</v>
      </c>
      <c r="AB377" s="400" t="e">
        <f>LOOKUP(AB$2,'Depreciation Schedules'!$A$3:$A$42,'Depreciation Schedules'!$F$3:$F$42)</f>
        <v>#N/A</v>
      </c>
      <c r="AC377" s="400" t="e">
        <f>LOOKUP(AC$2,'Depreciation Schedules'!$A$3:$A$42,'Depreciation Schedules'!$F$3:$F$42)</f>
        <v>#N/A</v>
      </c>
      <c r="AD377" s="400" t="e">
        <f>LOOKUP(AD$2,'Depreciation Schedules'!$A$3:$A$42,'Depreciation Schedules'!$F$3:$F$42)</f>
        <v>#N/A</v>
      </c>
      <c r="AE377" s="400" t="e">
        <f>LOOKUP(AE$2,'Depreciation Schedules'!$A$3:$A$42,'Depreciation Schedules'!$F$3:$F$42)</f>
        <v>#N/A</v>
      </c>
      <c r="AF377" s="400" t="e">
        <f>LOOKUP(AF$2,'Depreciation Schedules'!$A$3:$A$42,'Depreciation Schedules'!$F$3:$F$42)</f>
        <v>#N/A</v>
      </c>
      <c r="AG377" s="400" t="e">
        <f>LOOKUP(AG$2,'Depreciation Schedules'!$A$3:$A$42,'Depreciation Schedules'!$F$3:$F$42)</f>
        <v>#N/A</v>
      </c>
      <c r="AH377" s="400" t="e">
        <f>LOOKUP(AH$2,'Depreciation Schedules'!$A$3:$A$42,'Depreciation Schedules'!$F$3:$F$42)</f>
        <v>#N/A</v>
      </c>
      <c r="AI377" s="400" t="e">
        <f>LOOKUP(AI$2,'Depreciation Schedules'!$A$3:$A$42,'Depreciation Schedules'!$F$3:$F$42)</f>
        <v>#N/A</v>
      </c>
      <c r="AJ377" s="400" t="e">
        <f>LOOKUP(AJ$2,'Depreciation Schedules'!$A$3:$A$42,'Depreciation Schedules'!$F$3:$F$42)</f>
        <v>#N/A</v>
      </c>
      <c r="AK377" s="400" t="e">
        <f>LOOKUP(AK$2,'Depreciation Schedules'!$A$3:$A$42,'Depreciation Schedules'!$F$3:$F$42)</f>
        <v>#N/A</v>
      </c>
      <c r="AL377" s="400" t="e">
        <f>LOOKUP(AL$2,'Depreciation Schedules'!$A$3:$A$42,'Depreciation Schedules'!$F$3:$F$42)</f>
        <v>#N/A</v>
      </c>
      <c r="AM377" s="400" t="e">
        <f>LOOKUP(AM$2,'Depreciation Schedules'!$A$3:$A$42,'Depreciation Schedules'!$F$3:$F$42)</f>
        <v>#N/A</v>
      </c>
      <c r="AN377" s="400" t="e">
        <f>LOOKUP(AN$2,'Depreciation Schedules'!$A$3:$A$42,'Depreciation Schedules'!$F$3:$F$42)</f>
        <v>#N/A</v>
      </c>
      <c r="AO377" s="400" t="e">
        <f>LOOKUP(AO$2,'Depreciation Schedules'!$A$3:$A$42,'Depreciation Schedules'!$F$3:$F$42)</f>
        <v>#N/A</v>
      </c>
      <c r="AP377" s="400" t="e">
        <f>LOOKUP(AP$2,'Depreciation Schedules'!$A$3:$A$42,'Depreciation Schedules'!$F$3:$F$42)</f>
        <v>#N/A</v>
      </c>
    </row>
    <row r="378" spans="1:42" x14ac:dyDescent="0.2">
      <c r="A378" s="41" t="str">
        <f t="shared" si="181"/>
        <v>39-yr SL</v>
      </c>
      <c r="B378" s="403">
        <f t="array" ref="B378">SUM(IF(ISNUMBER(C378:AP378),C378:AP378))</f>
        <v>62.820512820512739</v>
      </c>
      <c r="C378" s="400">
        <f>LOOKUP(C$2,'Depreciation Schedules'!$A$3:$A$42,'Depreciation Schedules'!$G$3:$G$42)</f>
        <v>1.2820512820512799</v>
      </c>
      <c r="D378" s="400">
        <f>LOOKUP(D$2,'Depreciation Schedules'!$A$3:$A$42,'Depreciation Schedules'!$G$3:$G$42)</f>
        <v>2.5641025641025599</v>
      </c>
      <c r="E378" s="400">
        <f>LOOKUP(E$2,'Depreciation Schedules'!$A$3:$A$42,'Depreciation Schedules'!$G$3:$G$42)</f>
        <v>2.5641025641025599</v>
      </c>
      <c r="F378" s="400">
        <f>LOOKUP(F$2,'Depreciation Schedules'!$A$3:$A$42,'Depreciation Schedules'!$G$3:$G$42)</f>
        <v>2.5641025641025599</v>
      </c>
      <c r="G378" s="400">
        <f>LOOKUP(G$2,'Depreciation Schedules'!$A$3:$A$42,'Depreciation Schedules'!$G$3:$G$42)</f>
        <v>2.5641025641025599</v>
      </c>
      <c r="H378" s="400">
        <f>LOOKUP(H$2,'Depreciation Schedules'!$A$3:$A$42,'Depreciation Schedules'!$G$3:$G$42)</f>
        <v>2.5641025641025599</v>
      </c>
      <c r="I378" s="400">
        <f>LOOKUP(I$2,'Depreciation Schedules'!$A$3:$A$42,'Depreciation Schedules'!$G$3:$G$42)</f>
        <v>2.5641025641025599</v>
      </c>
      <c r="J378" s="400">
        <f>LOOKUP(J$2,'Depreciation Schedules'!$A$3:$A$42,'Depreciation Schedules'!$G$3:$G$42)</f>
        <v>2.5641025641025599</v>
      </c>
      <c r="K378" s="400">
        <f>LOOKUP(K$2,'Depreciation Schedules'!$A$3:$A$42,'Depreciation Schedules'!$G$3:$G$42)</f>
        <v>2.5641025641025599</v>
      </c>
      <c r="L378" s="400">
        <f>LOOKUP(L$2,'Depreciation Schedules'!$A$3:$A$42,'Depreciation Schedules'!$G$3:$G$42)</f>
        <v>2.5641025641025599</v>
      </c>
      <c r="M378" s="400">
        <f>LOOKUP(M$2,'Depreciation Schedules'!$A$3:$A$42,'Depreciation Schedules'!$G$3:$G$42)</f>
        <v>2.5641025641025599</v>
      </c>
      <c r="N378" s="400">
        <f>LOOKUP(N$2,'Depreciation Schedules'!$A$3:$A$42,'Depreciation Schedules'!$G$3:$G$42)</f>
        <v>2.5641025641025599</v>
      </c>
      <c r="O378" s="400">
        <f>LOOKUP(O$2,'Depreciation Schedules'!$A$3:$A$42,'Depreciation Schedules'!$G$3:$G$42)</f>
        <v>2.5641025641025599</v>
      </c>
      <c r="P378" s="400">
        <f>LOOKUP(P$2,'Depreciation Schedules'!$A$3:$A$42,'Depreciation Schedules'!$G$3:$G$42)</f>
        <v>2.5641025641025599</v>
      </c>
      <c r="Q378" s="400">
        <f>LOOKUP(Q$2,'Depreciation Schedules'!$A$3:$A$42,'Depreciation Schedules'!$G$3:$G$42)</f>
        <v>2.5641025641025599</v>
      </c>
      <c r="R378" s="400">
        <f>LOOKUP(R$2,'Depreciation Schedules'!$A$3:$A$42,'Depreciation Schedules'!$G$3:$G$42)</f>
        <v>2.5641025641025599</v>
      </c>
      <c r="S378" s="400">
        <f>LOOKUP(S$2,'Depreciation Schedules'!$A$3:$A$42,'Depreciation Schedules'!$G$3:$G$42)</f>
        <v>2.5641025641025599</v>
      </c>
      <c r="T378" s="400">
        <f>LOOKUP(T$2,'Depreciation Schedules'!$A$3:$A$42,'Depreciation Schedules'!$G$3:$G$42)</f>
        <v>2.5641025641025599</v>
      </c>
      <c r="U378" s="400">
        <f>LOOKUP(U$2,'Depreciation Schedules'!$A$3:$A$42,'Depreciation Schedules'!$G$3:$G$42)</f>
        <v>2.5641025641025599</v>
      </c>
      <c r="V378" s="400">
        <f>LOOKUP(V$2,'Depreciation Schedules'!$A$3:$A$42,'Depreciation Schedules'!$G$3:$G$42)</f>
        <v>2.5641025641025599</v>
      </c>
      <c r="W378" s="400">
        <f>LOOKUP(W$2,'Depreciation Schedules'!$A$3:$A$42,'Depreciation Schedules'!$G$3:$G$42)</f>
        <v>2.5641025641025599</v>
      </c>
      <c r="X378" s="400">
        <f>LOOKUP(X$2,'Depreciation Schedules'!$A$3:$A$42,'Depreciation Schedules'!$G$3:$G$42)</f>
        <v>2.5641025641025599</v>
      </c>
      <c r="Y378" s="400">
        <f>LOOKUP(Y$2,'Depreciation Schedules'!$A$3:$A$42,'Depreciation Schedules'!$G$3:$G$42)</f>
        <v>2.5641025641025599</v>
      </c>
      <c r="Z378" s="400">
        <f>LOOKUP(Z$2,'Depreciation Schedules'!$A$3:$A$42,'Depreciation Schedules'!$G$3:$G$42)</f>
        <v>2.5641025641025599</v>
      </c>
      <c r="AA378" s="400">
        <f>LOOKUP(AA$2,'Depreciation Schedules'!$A$3:$A$42,'Depreciation Schedules'!$G$3:$G$42)</f>
        <v>2.5641025641025599</v>
      </c>
      <c r="AB378" s="400" t="e">
        <f>LOOKUP(AB$2,'Depreciation Schedules'!$A$3:$A$42,'Depreciation Schedules'!$G$3:$G$42)</f>
        <v>#N/A</v>
      </c>
      <c r="AC378" s="400" t="e">
        <f>LOOKUP(AC$2,'Depreciation Schedules'!$A$3:$A$42,'Depreciation Schedules'!$G$3:$G$42)</f>
        <v>#N/A</v>
      </c>
      <c r="AD378" s="400" t="e">
        <f>LOOKUP(AD$2,'Depreciation Schedules'!$A$3:$A$42,'Depreciation Schedules'!$G$3:$G$42)</f>
        <v>#N/A</v>
      </c>
      <c r="AE378" s="400" t="e">
        <f>LOOKUP(AE$2,'Depreciation Schedules'!$A$3:$A$42,'Depreciation Schedules'!$G$3:$G$42)</f>
        <v>#N/A</v>
      </c>
      <c r="AF378" s="400" t="e">
        <f>LOOKUP(AF$2,'Depreciation Schedules'!$A$3:$A$42,'Depreciation Schedules'!$G$3:$G$42)</f>
        <v>#N/A</v>
      </c>
      <c r="AG378" s="400" t="e">
        <f>LOOKUP(AG$2,'Depreciation Schedules'!$A$3:$A$42,'Depreciation Schedules'!$G$3:$G$42)</f>
        <v>#N/A</v>
      </c>
      <c r="AH378" s="400" t="e">
        <f>LOOKUP(AH$2,'Depreciation Schedules'!$A$3:$A$42,'Depreciation Schedules'!$G$3:$G$42)</f>
        <v>#N/A</v>
      </c>
      <c r="AI378" s="400" t="e">
        <f>LOOKUP(AI$2,'Depreciation Schedules'!$A$3:$A$42,'Depreciation Schedules'!$G$3:$G$42)</f>
        <v>#N/A</v>
      </c>
      <c r="AJ378" s="400" t="e">
        <f>LOOKUP(AJ$2,'Depreciation Schedules'!$A$3:$A$42,'Depreciation Schedules'!$G$3:$G$42)</f>
        <v>#N/A</v>
      </c>
      <c r="AK378" s="400" t="e">
        <f>LOOKUP(AK$2,'Depreciation Schedules'!$A$3:$A$42,'Depreciation Schedules'!$G$3:$G$42)</f>
        <v>#N/A</v>
      </c>
      <c r="AL378" s="400" t="e">
        <f>LOOKUP(AL$2,'Depreciation Schedules'!$A$3:$A$42,'Depreciation Schedules'!$G$3:$G$42)</f>
        <v>#N/A</v>
      </c>
      <c r="AM378" s="400" t="e">
        <f>LOOKUP(AM$2,'Depreciation Schedules'!$A$3:$A$42,'Depreciation Schedules'!$G$3:$G$42)</f>
        <v>#N/A</v>
      </c>
      <c r="AN378" s="400" t="e">
        <f>LOOKUP(AN$2,'Depreciation Schedules'!$A$3:$A$42,'Depreciation Schedules'!$G$3:$G$42)</f>
        <v>#N/A</v>
      </c>
      <c r="AO378" s="400" t="e">
        <f>LOOKUP(AO$2,'Depreciation Schedules'!$A$3:$A$42,'Depreciation Schedules'!$G$3:$G$42)</f>
        <v>#N/A</v>
      </c>
      <c r="AP378" s="400" t="e">
        <f>LOOKUP(AP$2,'Depreciation Schedules'!$A$3:$A$42,'Depreciation Schedules'!$G$3:$G$42)</f>
        <v>#N/A</v>
      </c>
    </row>
    <row r="379" spans="1:42" x14ac:dyDescent="0.2">
      <c r="A379" s="55" t="s">
        <v>6</v>
      </c>
      <c r="C379" s="36"/>
      <c r="D379" s="36"/>
      <c r="E379" s="36"/>
      <c r="F379" s="36"/>
      <c r="G379" s="36"/>
      <c r="H379" s="36"/>
      <c r="I379" s="36"/>
      <c r="J379" s="36"/>
      <c r="K379" s="36"/>
      <c r="L379" s="36"/>
      <c r="M379" s="36"/>
      <c r="N379" s="36"/>
      <c r="O379" s="36"/>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row>
    <row r="380" spans="1:42" x14ac:dyDescent="0.2">
      <c r="A380" s="41" t="str">
        <f>A373</f>
        <v>5-yr MACRS</v>
      </c>
      <c r="B380" s="412">
        <f t="array" ref="B380">SUM(IF(ISNUMBER(C380:AP380),C380:AP380))</f>
        <v>18275000</v>
      </c>
      <c r="C380" s="353">
        <f>C373/100*$Q$340</f>
        <v>3655000</v>
      </c>
      <c r="D380" s="353">
        <f t="shared" ref="D380:AP380" si="182">D373/100*$Q$340</f>
        <v>5848000</v>
      </c>
      <c r="E380" s="353">
        <f t="shared" si="182"/>
        <v>3508800</v>
      </c>
      <c r="F380" s="353">
        <f t="shared" si="182"/>
        <v>2105280</v>
      </c>
      <c r="G380" s="353">
        <f t="shared" si="182"/>
        <v>2105280</v>
      </c>
      <c r="H380" s="353">
        <f t="shared" si="182"/>
        <v>1052640</v>
      </c>
      <c r="I380" s="353">
        <f t="shared" si="182"/>
        <v>0</v>
      </c>
      <c r="J380" s="353">
        <f t="shared" si="182"/>
        <v>0</v>
      </c>
      <c r="K380" s="353">
        <f t="shared" si="182"/>
        <v>0</v>
      </c>
      <c r="L380" s="353">
        <f t="shared" si="182"/>
        <v>0</v>
      </c>
      <c r="M380" s="353">
        <f t="shared" si="182"/>
        <v>0</v>
      </c>
      <c r="N380" s="353">
        <f t="shared" si="182"/>
        <v>0</v>
      </c>
      <c r="O380" s="353">
        <f t="shared" si="182"/>
        <v>0</v>
      </c>
      <c r="P380" s="353">
        <f t="shared" si="182"/>
        <v>0</v>
      </c>
      <c r="Q380" s="353">
        <f t="shared" si="182"/>
        <v>0</v>
      </c>
      <c r="R380" s="353">
        <f t="shared" si="182"/>
        <v>0</v>
      </c>
      <c r="S380" s="353">
        <f t="shared" si="182"/>
        <v>0</v>
      </c>
      <c r="T380" s="353">
        <f t="shared" si="182"/>
        <v>0</v>
      </c>
      <c r="U380" s="353">
        <f t="shared" si="182"/>
        <v>0</v>
      </c>
      <c r="V380" s="353">
        <f t="shared" si="182"/>
        <v>0</v>
      </c>
      <c r="W380" s="353">
        <f t="shared" si="182"/>
        <v>0</v>
      </c>
      <c r="X380" s="353">
        <f t="shared" si="182"/>
        <v>0</v>
      </c>
      <c r="Y380" s="353">
        <f t="shared" si="182"/>
        <v>0</v>
      </c>
      <c r="Z380" s="353">
        <f t="shared" si="182"/>
        <v>0</v>
      </c>
      <c r="AA380" s="353">
        <f t="shared" si="182"/>
        <v>0</v>
      </c>
      <c r="AB380" s="353" t="e">
        <f t="shared" si="182"/>
        <v>#N/A</v>
      </c>
      <c r="AC380" s="353" t="e">
        <f t="shared" si="182"/>
        <v>#N/A</v>
      </c>
      <c r="AD380" s="353" t="e">
        <f t="shared" si="182"/>
        <v>#N/A</v>
      </c>
      <c r="AE380" s="353" t="e">
        <f t="shared" si="182"/>
        <v>#N/A</v>
      </c>
      <c r="AF380" s="353" t="e">
        <f t="shared" si="182"/>
        <v>#N/A</v>
      </c>
      <c r="AG380" s="353" t="e">
        <f t="shared" si="182"/>
        <v>#N/A</v>
      </c>
      <c r="AH380" s="353" t="e">
        <f t="shared" si="182"/>
        <v>#N/A</v>
      </c>
      <c r="AI380" s="353" t="e">
        <f t="shared" si="182"/>
        <v>#N/A</v>
      </c>
      <c r="AJ380" s="353" t="e">
        <f t="shared" si="182"/>
        <v>#N/A</v>
      </c>
      <c r="AK380" s="353" t="e">
        <f t="shared" si="182"/>
        <v>#N/A</v>
      </c>
      <c r="AL380" s="353" t="e">
        <f t="shared" si="182"/>
        <v>#N/A</v>
      </c>
      <c r="AM380" s="353" t="e">
        <f t="shared" si="182"/>
        <v>#N/A</v>
      </c>
      <c r="AN380" s="353" t="e">
        <f t="shared" si="182"/>
        <v>#N/A</v>
      </c>
      <c r="AO380" s="353" t="e">
        <f t="shared" si="182"/>
        <v>#N/A</v>
      </c>
      <c r="AP380" s="353" t="e">
        <f t="shared" si="182"/>
        <v>#N/A</v>
      </c>
    </row>
    <row r="381" spans="1:42" x14ac:dyDescent="0.2">
      <c r="A381" s="41" t="str">
        <f t="shared" ref="A381:A385" si="183">A374</f>
        <v>15-yr MACRS</v>
      </c>
      <c r="B381" s="412">
        <f t="array" ref="B381">SUM(IF(ISNUMBER(C381:AP381),C381:AP381))</f>
        <v>749925</v>
      </c>
      <c r="C381" s="353">
        <f>C374/100*$Q$341</f>
        <v>37500</v>
      </c>
      <c r="D381" s="353">
        <f t="shared" ref="D381:AP381" si="184">D374/100*$Q$341</f>
        <v>71250</v>
      </c>
      <c r="E381" s="353">
        <f t="shared" si="184"/>
        <v>64125.000000000007</v>
      </c>
      <c r="F381" s="353">
        <f t="shared" si="184"/>
        <v>57750</v>
      </c>
      <c r="G381" s="353">
        <f t="shared" si="184"/>
        <v>51975</v>
      </c>
      <c r="H381" s="353">
        <f t="shared" si="184"/>
        <v>46725</v>
      </c>
      <c r="I381" s="353">
        <f t="shared" si="184"/>
        <v>44250</v>
      </c>
      <c r="J381" s="353">
        <f t="shared" si="184"/>
        <v>44250</v>
      </c>
      <c r="K381" s="353">
        <f t="shared" si="184"/>
        <v>44325</v>
      </c>
      <c r="L381" s="353">
        <f t="shared" si="184"/>
        <v>44250</v>
      </c>
      <c r="M381" s="353">
        <f t="shared" si="184"/>
        <v>44325</v>
      </c>
      <c r="N381" s="353">
        <f t="shared" si="184"/>
        <v>44250</v>
      </c>
      <c r="O381" s="353">
        <f t="shared" si="184"/>
        <v>44325</v>
      </c>
      <c r="P381" s="353">
        <f t="shared" si="184"/>
        <v>44250</v>
      </c>
      <c r="Q381" s="353">
        <f t="shared" si="184"/>
        <v>44250</v>
      </c>
      <c r="R381" s="353">
        <f t="shared" si="184"/>
        <v>22125</v>
      </c>
      <c r="S381" s="353">
        <f t="shared" si="184"/>
        <v>0</v>
      </c>
      <c r="T381" s="353">
        <f t="shared" si="184"/>
        <v>0</v>
      </c>
      <c r="U381" s="353">
        <f t="shared" si="184"/>
        <v>0</v>
      </c>
      <c r="V381" s="353">
        <f t="shared" si="184"/>
        <v>0</v>
      </c>
      <c r="W381" s="353">
        <f t="shared" si="184"/>
        <v>0</v>
      </c>
      <c r="X381" s="353">
        <f t="shared" si="184"/>
        <v>0</v>
      </c>
      <c r="Y381" s="353">
        <f t="shared" si="184"/>
        <v>0</v>
      </c>
      <c r="Z381" s="353">
        <f t="shared" si="184"/>
        <v>0</v>
      </c>
      <c r="AA381" s="353">
        <f t="shared" si="184"/>
        <v>0</v>
      </c>
      <c r="AB381" s="353" t="e">
        <f t="shared" si="184"/>
        <v>#N/A</v>
      </c>
      <c r="AC381" s="353" t="e">
        <f t="shared" si="184"/>
        <v>#N/A</v>
      </c>
      <c r="AD381" s="353" t="e">
        <f t="shared" si="184"/>
        <v>#N/A</v>
      </c>
      <c r="AE381" s="353" t="e">
        <f t="shared" si="184"/>
        <v>#N/A</v>
      </c>
      <c r="AF381" s="353" t="e">
        <f t="shared" si="184"/>
        <v>#N/A</v>
      </c>
      <c r="AG381" s="353" t="e">
        <f t="shared" si="184"/>
        <v>#N/A</v>
      </c>
      <c r="AH381" s="353" t="e">
        <f t="shared" si="184"/>
        <v>#N/A</v>
      </c>
      <c r="AI381" s="353" t="e">
        <f t="shared" si="184"/>
        <v>#N/A</v>
      </c>
      <c r="AJ381" s="353" t="e">
        <f t="shared" si="184"/>
        <v>#N/A</v>
      </c>
      <c r="AK381" s="353" t="e">
        <f t="shared" si="184"/>
        <v>#N/A</v>
      </c>
      <c r="AL381" s="353" t="e">
        <f t="shared" si="184"/>
        <v>#N/A</v>
      </c>
      <c r="AM381" s="353" t="e">
        <f t="shared" si="184"/>
        <v>#N/A</v>
      </c>
      <c r="AN381" s="353" t="e">
        <f t="shared" si="184"/>
        <v>#N/A</v>
      </c>
      <c r="AO381" s="353" t="e">
        <f t="shared" si="184"/>
        <v>#N/A</v>
      </c>
      <c r="AP381" s="353" t="e">
        <f t="shared" si="184"/>
        <v>#N/A</v>
      </c>
    </row>
    <row r="382" spans="1:42" x14ac:dyDescent="0.2">
      <c r="A382" s="41" t="str">
        <f t="shared" si="183"/>
        <v>5-yr SL</v>
      </c>
      <c r="B382" s="412">
        <f t="array" ref="B382">SUM(IF(ISNUMBER(C382:AP382),C382:AP382))</f>
        <v>0</v>
      </c>
      <c r="C382" s="353">
        <f>C375/100*$Q$342</f>
        <v>0</v>
      </c>
      <c r="D382" s="353">
        <f t="shared" ref="D382:AP382" si="185">D375/100*$Q$342</f>
        <v>0</v>
      </c>
      <c r="E382" s="353">
        <f t="shared" si="185"/>
        <v>0</v>
      </c>
      <c r="F382" s="353">
        <f t="shared" si="185"/>
        <v>0</v>
      </c>
      <c r="G382" s="353">
        <f t="shared" si="185"/>
        <v>0</v>
      </c>
      <c r="H382" s="353">
        <f t="shared" si="185"/>
        <v>0</v>
      </c>
      <c r="I382" s="353">
        <f t="shared" si="185"/>
        <v>0</v>
      </c>
      <c r="J382" s="353">
        <f t="shared" si="185"/>
        <v>0</v>
      </c>
      <c r="K382" s="353">
        <f t="shared" si="185"/>
        <v>0</v>
      </c>
      <c r="L382" s="353">
        <f t="shared" si="185"/>
        <v>0</v>
      </c>
      <c r="M382" s="353">
        <f t="shared" si="185"/>
        <v>0</v>
      </c>
      <c r="N382" s="353">
        <f t="shared" si="185"/>
        <v>0</v>
      </c>
      <c r="O382" s="353">
        <f t="shared" si="185"/>
        <v>0</v>
      </c>
      <c r="P382" s="353">
        <f t="shared" si="185"/>
        <v>0</v>
      </c>
      <c r="Q382" s="353">
        <f t="shared" si="185"/>
        <v>0</v>
      </c>
      <c r="R382" s="353">
        <f t="shared" si="185"/>
        <v>0</v>
      </c>
      <c r="S382" s="353">
        <f t="shared" si="185"/>
        <v>0</v>
      </c>
      <c r="T382" s="353">
        <f t="shared" si="185"/>
        <v>0</v>
      </c>
      <c r="U382" s="353">
        <f t="shared" si="185"/>
        <v>0</v>
      </c>
      <c r="V382" s="353">
        <f t="shared" si="185"/>
        <v>0</v>
      </c>
      <c r="W382" s="353">
        <f t="shared" si="185"/>
        <v>0</v>
      </c>
      <c r="X382" s="353">
        <f t="shared" si="185"/>
        <v>0</v>
      </c>
      <c r="Y382" s="353">
        <f t="shared" si="185"/>
        <v>0</v>
      </c>
      <c r="Z382" s="353">
        <f t="shared" si="185"/>
        <v>0</v>
      </c>
      <c r="AA382" s="353">
        <f t="shared" si="185"/>
        <v>0</v>
      </c>
      <c r="AB382" s="353" t="e">
        <f t="shared" si="185"/>
        <v>#N/A</v>
      </c>
      <c r="AC382" s="353" t="e">
        <f t="shared" si="185"/>
        <v>#N/A</v>
      </c>
      <c r="AD382" s="353" t="e">
        <f t="shared" si="185"/>
        <v>#N/A</v>
      </c>
      <c r="AE382" s="353" t="e">
        <f t="shared" si="185"/>
        <v>#N/A</v>
      </c>
      <c r="AF382" s="353" t="e">
        <f t="shared" si="185"/>
        <v>#N/A</v>
      </c>
      <c r="AG382" s="353" t="e">
        <f t="shared" si="185"/>
        <v>#N/A</v>
      </c>
      <c r="AH382" s="353" t="e">
        <f t="shared" si="185"/>
        <v>#N/A</v>
      </c>
      <c r="AI382" s="353" t="e">
        <f t="shared" si="185"/>
        <v>#N/A</v>
      </c>
      <c r="AJ382" s="353" t="e">
        <f t="shared" si="185"/>
        <v>#N/A</v>
      </c>
      <c r="AK382" s="353" t="e">
        <f t="shared" si="185"/>
        <v>#N/A</v>
      </c>
      <c r="AL382" s="353" t="e">
        <f t="shared" si="185"/>
        <v>#N/A</v>
      </c>
      <c r="AM382" s="353" t="e">
        <f t="shared" si="185"/>
        <v>#N/A</v>
      </c>
      <c r="AN382" s="353" t="e">
        <f t="shared" si="185"/>
        <v>#N/A</v>
      </c>
      <c r="AO382" s="353" t="e">
        <f t="shared" si="185"/>
        <v>#N/A</v>
      </c>
      <c r="AP382" s="353" t="e">
        <f t="shared" si="185"/>
        <v>#N/A</v>
      </c>
    </row>
    <row r="383" spans="1:42" x14ac:dyDescent="0.2">
      <c r="A383" s="41" t="str">
        <f t="shared" si="183"/>
        <v>15-yr SL</v>
      </c>
      <c r="B383" s="412">
        <f t="array" ref="B383">SUM(IF(ISNUMBER(C383:AP383),C383:AP383))</f>
        <v>1250250</v>
      </c>
      <c r="C383" s="353">
        <f>C376/100*$Q$343</f>
        <v>41625.000000000007</v>
      </c>
      <c r="D383" s="353">
        <f t="shared" ref="D383:AP383" si="186">D376/100*$Q$343</f>
        <v>83375</v>
      </c>
      <c r="E383" s="353">
        <f t="shared" si="186"/>
        <v>83375</v>
      </c>
      <c r="F383" s="353">
        <f t="shared" si="186"/>
        <v>83375</v>
      </c>
      <c r="G383" s="353">
        <f t="shared" si="186"/>
        <v>83375</v>
      </c>
      <c r="H383" s="353">
        <f t="shared" si="186"/>
        <v>83375</v>
      </c>
      <c r="I383" s="353">
        <f t="shared" si="186"/>
        <v>83375</v>
      </c>
      <c r="J383" s="353">
        <f t="shared" si="186"/>
        <v>83375</v>
      </c>
      <c r="K383" s="353">
        <f t="shared" si="186"/>
        <v>83375</v>
      </c>
      <c r="L383" s="353">
        <f t="shared" si="186"/>
        <v>83375</v>
      </c>
      <c r="M383" s="353">
        <f t="shared" si="186"/>
        <v>83375</v>
      </c>
      <c r="N383" s="353">
        <f t="shared" si="186"/>
        <v>83250.000000000015</v>
      </c>
      <c r="O383" s="353">
        <f t="shared" si="186"/>
        <v>83375</v>
      </c>
      <c r="P383" s="353">
        <f t="shared" si="186"/>
        <v>83250.000000000015</v>
      </c>
      <c r="Q383" s="353">
        <f t="shared" si="186"/>
        <v>83375</v>
      </c>
      <c r="R383" s="353">
        <f t="shared" si="186"/>
        <v>41625.000000000007</v>
      </c>
      <c r="S383" s="353">
        <f t="shared" si="186"/>
        <v>0</v>
      </c>
      <c r="T383" s="353">
        <f t="shared" si="186"/>
        <v>0</v>
      </c>
      <c r="U383" s="353">
        <f t="shared" si="186"/>
        <v>0</v>
      </c>
      <c r="V383" s="353">
        <f t="shared" si="186"/>
        <v>0</v>
      </c>
      <c r="W383" s="353">
        <f t="shared" si="186"/>
        <v>0</v>
      </c>
      <c r="X383" s="353">
        <f t="shared" si="186"/>
        <v>0</v>
      </c>
      <c r="Y383" s="353">
        <f t="shared" si="186"/>
        <v>0</v>
      </c>
      <c r="Z383" s="353">
        <f t="shared" si="186"/>
        <v>0</v>
      </c>
      <c r="AA383" s="353">
        <f t="shared" si="186"/>
        <v>0</v>
      </c>
      <c r="AB383" s="353" t="e">
        <f t="shared" si="186"/>
        <v>#N/A</v>
      </c>
      <c r="AC383" s="353" t="e">
        <f t="shared" si="186"/>
        <v>#N/A</v>
      </c>
      <c r="AD383" s="353" t="e">
        <f t="shared" si="186"/>
        <v>#N/A</v>
      </c>
      <c r="AE383" s="353" t="e">
        <f t="shared" si="186"/>
        <v>#N/A</v>
      </c>
      <c r="AF383" s="353" t="e">
        <f t="shared" si="186"/>
        <v>#N/A</v>
      </c>
      <c r="AG383" s="353" t="e">
        <f t="shared" si="186"/>
        <v>#N/A</v>
      </c>
      <c r="AH383" s="353" t="e">
        <f t="shared" si="186"/>
        <v>#N/A</v>
      </c>
      <c r="AI383" s="353" t="e">
        <f t="shared" si="186"/>
        <v>#N/A</v>
      </c>
      <c r="AJ383" s="353" t="e">
        <f t="shared" si="186"/>
        <v>#N/A</v>
      </c>
      <c r="AK383" s="353" t="e">
        <f t="shared" si="186"/>
        <v>#N/A</v>
      </c>
      <c r="AL383" s="353" t="e">
        <f t="shared" si="186"/>
        <v>#N/A</v>
      </c>
      <c r="AM383" s="353" t="e">
        <f t="shared" si="186"/>
        <v>#N/A</v>
      </c>
      <c r="AN383" s="353" t="e">
        <f t="shared" si="186"/>
        <v>#N/A</v>
      </c>
      <c r="AO383" s="353" t="e">
        <f t="shared" si="186"/>
        <v>#N/A</v>
      </c>
      <c r="AP383" s="353" t="e">
        <f t="shared" si="186"/>
        <v>#N/A</v>
      </c>
    </row>
    <row r="384" spans="1:42" x14ac:dyDescent="0.2">
      <c r="A384" s="41" t="str">
        <f t="shared" si="183"/>
        <v>20-yr SL</v>
      </c>
      <c r="B384" s="412">
        <f t="array" ref="B384">SUM(IF(ISNUMBER(C384:AP384),C384:AP384))</f>
        <v>1250000</v>
      </c>
      <c r="C384" s="353">
        <f>C377/100*$Q$344</f>
        <v>31250</v>
      </c>
      <c r="D384" s="353">
        <f t="shared" ref="D384:AP384" si="187">D377/100*$Q$344</f>
        <v>62500</v>
      </c>
      <c r="E384" s="353">
        <f t="shared" si="187"/>
        <v>62500</v>
      </c>
      <c r="F384" s="353">
        <f t="shared" si="187"/>
        <v>62500</v>
      </c>
      <c r="G384" s="353">
        <f t="shared" si="187"/>
        <v>62500</v>
      </c>
      <c r="H384" s="353">
        <f t="shared" si="187"/>
        <v>62500</v>
      </c>
      <c r="I384" s="353">
        <f t="shared" si="187"/>
        <v>62500</v>
      </c>
      <c r="J384" s="353">
        <f t="shared" si="187"/>
        <v>62500</v>
      </c>
      <c r="K384" s="353">
        <f t="shared" si="187"/>
        <v>62500</v>
      </c>
      <c r="L384" s="353">
        <f t="shared" si="187"/>
        <v>62500</v>
      </c>
      <c r="M384" s="353">
        <f t="shared" si="187"/>
        <v>62500</v>
      </c>
      <c r="N384" s="353">
        <f t="shared" si="187"/>
        <v>62500</v>
      </c>
      <c r="O384" s="353">
        <f t="shared" si="187"/>
        <v>62500</v>
      </c>
      <c r="P384" s="353">
        <f t="shared" si="187"/>
        <v>62500</v>
      </c>
      <c r="Q384" s="353">
        <f t="shared" si="187"/>
        <v>62500</v>
      </c>
      <c r="R384" s="353">
        <f t="shared" si="187"/>
        <v>62500</v>
      </c>
      <c r="S384" s="353">
        <f t="shared" si="187"/>
        <v>62500</v>
      </c>
      <c r="T384" s="353">
        <f t="shared" si="187"/>
        <v>62500</v>
      </c>
      <c r="U384" s="353">
        <f t="shared" si="187"/>
        <v>62500</v>
      </c>
      <c r="V384" s="353">
        <f t="shared" si="187"/>
        <v>62500</v>
      </c>
      <c r="W384" s="353">
        <f t="shared" si="187"/>
        <v>31250</v>
      </c>
      <c r="X384" s="353">
        <f t="shared" si="187"/>
        <v>0</v>
      </c>
      <c r="Y384" s="353">
        <f t="shared" si="187"/>
        <v>0</v>
      </c>
      <c r="Z384" s="353">
        <f t="shared" si="187"/>
        <v>0</v>
      </c>
      <c r="AA384" s="353">
        <f t="shared" si="187"/>
        <v>0</v>
      </c>
      <c r="AB384" s="353" t="e">
        <f t="shared" si="187"/>
        <v>#N/A</v>
      </c>
      <c r="AC384" s="353" t="e">
        <f t="shared" si="187"/>
        <v>#N/A</v>
      </c>
      <c r="AD384" s="353" t="e">
        <f t="shared" si="187"/>
        <v>#N/A</v>
      </c>
      <c r="AE384" s="353" t="e">
        <f t="shared" si="187"/>
        <v>#N/A</v>
      </c>
      <c r="AF384" s="353" t="e">
        <f t="shared" si="187"/>
        <v>#N/A</v>
      </c>
      <c r="AG384" s="353" t="e">
        <f t="shared" si="187"/>
        <v>#N/A</v>
      </c>
      <c r="AH384" s="353" t="e">
        <f t="shared" si="187"/>
        <v>#N/A</v>
      </c>
      <c r="AI384" s="353" t="e">
        <f t="shared" si="187"/>
        <v>#N/A</v>
      </c>
      <c r="AJ384" s="353" t="e">
        <f t="shared" si="187"/>
        <v>#N/A</v>
      </c>
      <c r="AK384" s="353" t="e">
        <f t="shared" si="187"/>
        <v>#N/A</v>
      </c>
      <c r="AL384" s="353" t="e">
        <f t="shared" si="187"/>
        <v>#N/A</v>
      </c>
      <c r="AM384" s="353" t="e">
        <f t="shared" si="187"/>
        <v>#N/A</v>
      </c>
      <c r="AN384" s="353" t="e">
        <f t="shared" si="187"/>
        <v>#N/A</v>
      </c>
      <c r="AO384" s="353" t="e">
        <f t="shared" si="187"/>
        <v>#N/A</v>
      </c>
      <c r="AP384" s="353" t="e">
        <f t="shared" si="187"/>
        <v>#N/A</v>
      </c>
    </row>
    <row r="385" spans="1:42" x14ac:dyDescent="0.2">
      <c r="A385" s="41" t="str">
        <f t="shared" si="183"/>
        <v>39-yr SL</v>
      </c>
      <c r="B385" s="412">
        <f t="array" ref="B385">SUM(IF(ISNUMBER(C385:AP385),C385:AP385))</f>
        <v>157051.28205128189</v>
      </c>
      <c r="C385" s="353">
        <f>C378/100*$Q$345</f>
        <v>3205.1282051281996</v>
      </c>
      <c r="D385" s="353">
        <f t="shared" ref="D385:AP385" si="188">D378/100*$Q$345</f>
        <v>6410.2564102563992</v>
      </c>
      <c r="E385" s="353">
        <f t="shared" si="188"/>
        <v>6410.2564102563992</v>
      </c>
      <c r="F385" s="353">
        <f t="shared" si="188"/>
        <v>6410.2564102563992</v>
      </c>
      <c r="G385" s="353">
        <f t="shared" si="188"/>
        <v>6410.2564102563992</v>
      </c>
      <c r="H385" s="353">
        <f t="shared" si="188"/>
        <v>6410.2564102563992</v>
      </c>
      <c r="I385" s="353">
        <f t="shared" si="188"/>
        <v>6410.2564102563992</v>
      </c>
      <c r="J385" s="353">
        <f t="shared" si="188"/>
        <v>6410.2564102563992</v>
      </c>
      <c r="K385" s="353">
        <f t="shared" si="188"/>
        <v>6410.2564102563992</v>
      </c>
      <c r="L385" s="353">
        <f t="shared" si="188"/>
        <v>6410.2564102563992</v>
      </c>
      <c r="M385" s="353">
        <f t="shared" si="188"/>
        <v>6410.2564102563992</v>
      </c>
      <c r="N385" s="353">
        <f t="shared" si="188"/>
        <v>6410.2564102563992</v>
      </c>
      <c r="O385" s="353">
        <f t="shared" si="188"/>
        <v>6410.2564102563992</v>
      </c>
      <c r="P385" s="353">
        <f t="shared" si="188"/>
        <v>6410.2564102563992</v>
      </c>
      <c r="Q385" s="353">
        <f t="shared" si="188"/>
        <v>6410.2564102563992</v>
      </c>
      <c r="R385" s="353">
        <f t="shared" si="188"/>
        <v>6410.2564102563992</v>
      </c>
      <c r="S385" s="353">
        <f t="shared" si="188"/>
        <v>6410.2564102563992</v>
      </c>
      <c r="T385" s="353">
        <f t="shared" si="188"/>
        <v>6410.2564102563992</v>
      </c>
      <c r="U385" s="353">
        <f t="shared" si="188"/>
        <v>6410.2564102563992</v>
      </c>
      <c r="V385" s="353">
        <f t="shared" si="188"/>
        <v>6410.2564102563992</v>
      </c>
      <c r="W385" s="353">
        <f t="shared" si="188"/>
        <v>6410.2564102563992</v>
      </c>
      <c r="X385" s="353">
        <f t="shared" si="188"/>
        <v>6410.2564102563992</v>
      </c>
      <c r="Y385" s="353">
        <f t="shared" si="188"/>
        <v>6410.2564102563992</v>
      </c>
      <c r="Z385" s="353">
        <f t="shared" si="188"/>
        <v>6410.2564102563992</v>
      </c>
      <c r="AA385" s="353">
        <f t="shared" si="188"/>
        <v>6410.2564102563992</v>
      </c>
      <c r="AB385" s="353" t="e">
        <f t="shared" si="188"/>
        <v>#N/A</v>
      </c>
      <c r="AC385" s="353" t="e">
        <f t="shared" si="188"/>
        <v>#N/A</v>
      </c>
      <c r="AD385" s="353" t="e">
        <f t="shared" si="188"/>
        <v>#N/A</v>
      </c>
      <c r="AE385" s="353" t="e">
        <f t="shared" si="188"/>
        <v>#N/A</v>
      </c>
      <c r="AF385" s="353" t="e">
        <f t="shared" si="188"/>
        <v>#N/A</v>
      </c>
      <c r="AG385" s="353" t="e">
        <f t="shared" si="188"/>
        <v>#N/A</v>
      </c>
      <c r="AH385" s="353" t="e">
        <f t="shared" si="188"/>
        <v>#N/A</v>
      </c>
      <c r="AI385" s="353" t="e">
        <f t="shared" si="188"/>
        <v>#N/A</v>
      </c>
      <c r="AJ385" s="353" t="e">
        <f t="shared" si="188"/>
        <v>#N/A</v>
      </c>
      <c r="AK385" s="353" t="e">
        <f t="shared" si="188"/>
        <v>#N/A</v>
      </c>
      <c r="AL385" s="353" t="e">
        <f t="shared" si="188"/>
        <v>#N/A</v>
      </c>
      <c r="AM385" s="353" t="e">
        <f t="shared" si="188"/>
        <v>#N/A</v>
      </c>
      <c r="AN385" s="353" t="e">
        <f t="shared" si="188"/>
        <v>#N/A</v>
      </c>
      <c r="AO385" s="353" t="e">
        <f t="shared" si="188"/>
        <v>#N/A</v>
      </c>
      <c r="AP385" s="353" t="e">
        <f t="shared" si="188"/>
        <v>#N/A</v>
      </c>
    </row>
    <row r="386" spans="1:42" x14ac:dyDescent="0.2">
      <c r="A386" s="41" t="s">
        <v>147</v>
      </c>
      <c r="B386" s="412">
        <f t="array" ref="B386">SUM(IF(ISNUMBER(C386:AP386),C386:AP386))</f>
        <v>0</v>
      </c>
      <c r="C386" s="360">
        <f>P347</f>
        <v>0</v>
      </c>
      <c r="D386" s="360">
        <v>0</v>
      </c>
      <c r="E386" s="360">
        <v>0</v>
      </c>
      <c r="F386" s="360">
        <v>0</v>
      </c>
      <c r="G386" s="360">
        <v>0</v>
      </c>
      <c r="H386" s="360">
        <v>0</v>
      </c>
      <c r="I386" s="360">
        <v>0</v>
      </c>
      <c r="J386" s="360">
        <v>0</v>
      </c>
      <c r="K386" s="360">
        <v>0</v>
      </c>
      <c r="L386" s="360">
        <v>0</v>
      </c>
      <c r="M386" s="360">
        <v>0</v>
      </c>
      <c r="N386" s="360">
        <v>0</v>
      </c>
      <c r="O386" s="360">
        <v>0</v>
      </c>
      <c r="P386" s="360">
        <v>0</v>
      </c>
      <c r="Q386" s="360">
        <v>0</v>
      </c>
      <c r="R386" s="360">
        <v>0</v>
      </c>
      <c r="S386" s="360">
        <v>0</v>
      </c>
      <c r="T386" s="360">
        <v>0</v>
      </c>
      <c r="U386" s="360">
        <v>0</v>
      </c>
      <c r="V386" s="360">
        <v>0</v>
      </c>
      <c r="W386" s="360">
        <v>0</v>
      </c>
      <c r="X386" s="360">
        <v>0</v>
      </c>
      <c r="Y386" s="360">
        <v>0</v>
      </c>
      <c r="Z386" s="360">
        <v>0</v>
      </c>
      <c r="AA386" s="360">
        <v>0</v>
      </c>
      <c r="AB386" s="360">
        <v>0</v>
      </c>
      <c r="AC386" s="360">
        <v>0</v>
      </c>
      <c r="AD386" s="360">
        <v>0</v>
      </c>
      <c r="AE386" s="360">
        <v>0</v>
      </c>
      <c r="AF386" s="360">
        <v>0</v>
      </c>
      <c r="AG386" s="360">
        <v>0</v>
      </c>
      <c r="AH386" s="360">
        <v>0</v>
      </c>
      <c r="AI386" s="360">
        <v>0</v>
      </c>
      <c r="AJ386" s="360">
        <v>0</v>
      </c>
      <c r="AK386" s="360">
        <v>0</v>
      </c>
      <c r="AL386" s="360">
        <v>0</v>
      </c>
      <c r="AM386" s="360">
        <v>0</v>
      </c>
      <c r="AN386" s="360">
        <v>0</v>
      </c>
      <c r="AO386" s="360">
        <v>0</v>
      </c>
      <c r="AP386" s="360">
        <v>0</v>
      </c>
    </row>
    <row r="387" spans="1:42" x14ac:dyDescent="0.2">
      <c r="A387" s="40"/>
      <c r="B387" s="413">
        <f t="array" ref="B387">SUM(IF(ISNUMBER(C387:AP387),C387:AP387))</f>
        <v>21682226.282051273</v>
      </c>
      <c r="C387" s="353">
        <f>SUM(C380:C386)</f>
        <v>3768580.128205128</v>
      </c>
      <c r="D387" s="353">
        <f t="shared" ref="D387:AP387" si="189">SUM(D380:D386)</f>
        <v>6071535.256410256</v>
      </c>
      <c r="E387" s="353">
        <f t="shared" si="189"/>
        <v>3725210.2564102565</v>
      </c>
      <c r="F387" s="353">
        <f t="shared" si="189"/>
        <v>2315315.2564102565</v>
      </c>
      <c r="G387" s="353">
        <f t="shared" si="189"/>
        <v>2309540.2564102565</v>
      </c>
      <c r="H387" s="353">
        <f t="shared" si="189"/>
        <v>1251650.2564102565</v>
      </c>
      <c r="I387" s="353">
        <f t="shared" si="189"/>
        <v>196535.25641025641</v>
      </c>
      <c r="J387" s="353">
        <f t="shared" si="189"/>
        <v>196535.25641025641</v>
      </c>
      <c r="K387" s="353">
        <f t="shared" si="189"/>
        <v>196610.25641025641</v>
      </c>
      <c r="L387" s="353">
        <f t="shared" si="189"/>
        <v>196535.25641025641</v>
      </c>
      <c r="M387" s="353">
        <f t="shared" si="189"/>
        <v>196610.25641025641</v>
      </c>
      <c r="N387" s="353">
        <f t="shared" si="189"/>
        <v>196410.25641025641</v>
      </c>
      <c r="O387" s="353">
        <f t="shared" si="189"/>
        <v>196610.25641025641</v>
      </c>
      <c r="P387" s="353">
        <f t="shared" si="189"/>
        <v>196410.25641025641</v>
      </c>
      <c r="Q387" s="353">
        <f t="shared" si="189"/>
        <v>196535.25641025641</v>
      </c>
      <c r="R387" s="353">
        <f t="shared" si="189"/>
        <v>132660.25641025641</v>
      </c>
      <c r="S387" s="353">
        <f t="shared" si="189"/>
        <v>68910.256410256407</v>
      </c>
      <c r="T387" s="353">
        <f t="shared" si="189"/>
        <v>68910.256410256407</v>
      </c>
      <c r="U387" s="353">
        <f t="shared" si="189"/>
        <v>68910.256410256407</v>
      </c>
      <c r="V387" s="353">
        <f t="shared" si="189"/>
        <v>68910.256410256407</v>
      </c>
      <c r="W387" s="353">
        <f t="shared" si="189"/>
        <v>37660.256410256399</v>
      </c>
      <c r="X387" s="353">
        <f t="shared" si="189"/>
        <v>6410.2564102563992</v>
      </c>
      <c r="Y387" s="353">
        <f t="shared" si="189"/>
        <v>6410.2564102563992</v>
      </c>
      <c r="Z387" s="353">
        <f t="shared" si="189"/>
        <v>6410.2564102563992</v>
      </c>
      <c r="AA387" s="353">
        <f t="shared" si="189"/>
        <v>6410.2564102563992</v>
      </c>
      <c r="AB387" s="353" t="e">
        <f t="shared" si="189"/>
        <v>#N/A</v>
      </c>
      <c r="AC387" s="353" t="e">
        <f t="shared" si="189"/>
        <v>#N/A</v>
      </c>
      <c r="AD387" s="353" t="e">
        <f t="shared" si="189"/>
        <v>#N/A</v>
      </c>
      <c r="AE387" s="353" t="e">
        <f t="shared" si="189"/>
        <v>#N/A</v>
      </c>
      <c r="AF387" s="353" t="e">
        <f t="shared" si="189"/>
        <v>#N/A</v>
      </c>
      <c r="AG387" s="353" t="e">
        <f t="shared" si="189"/>
        <v>#N/A</v>
      </c>
      <c r="AH387" s="353" t="e">
        <f t="shared" si="189"/>
        <v>#N/A</v>
      </c>
      <c r="AI387" s="353" t="e">
        <f t="shared" si="189"/>
        <v>#N/A</v>
      </c>
      <c r="AJ387" s="353" t="e">
        <f t="shared" si="189"/>
        <v>#N/A</v>
      </c>
      <c r="AK387" s="353" t="e">
        <f t="shared" si="189"/>
        <v>#N/A</v>
      </c>
      <c r="AL387" s="353" t="e">
        <f t="shared" si="189"/>
        <v>#N/A</v>
      </c>
      <c r="AM387" s="353" t="e">
        <f t="shared" si="189"/>
        <v>#N/A</v>
      </c>
      <c r="AN387" s="353" t="e">
        <f t="shared" si="189"/>
        <v>#N/A</v>
      </c>
      <c r="AO387" s="353" t="e">
        <f t="shared" si="189"/>
        <v>#N/A</v>
      </c>
      <c r="AP387" s="353" t="e">
        <f t="shared" si="189"/>
        <v>#N/A</v>
      </c>
    </row>
    <row r="388" spans="1:42" x14ac:dyDescent="0.2">
      <c r="A388" s="40"/>
      <c r="B388" s="36"/>
      <c r="C388" s="36"/>
      <c r="D388" s="36"/>
      <c r="E388" s="36"/>
      <c r="F388" s="36"/>
      <c r="G388" s="36"/>
      <c r="H388" s="36"/>
      <c r="I388" s="36"/>
      <c r="J388" s="36"/>
      <c r="K388" s="36"/>
      <c r="L388" s="36"/>
      <c r="M388" s="36"/>
      <c r="N388" s="36"/>
      <c r="O388" s="36"/>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row>
    <row r="389" spans="1:42" x14ac:dyDescent="0.2">
      <c r="A389" s="38" t="s">
        <v>120</v>
      </c>
      <c r="C389" s="36"/>
      <c r="D389" s="36"/>
      <c r="E389" s="36"/>
      <c r="F389" s="36"/>
      <c r="G389" s="36"/>
      <c r="H389" s="36"/>
      <c r="I389" s="36"/>
      <c r="J389" s="36"/>
      <c r="K389" s="36"/>
      <c r="L389" s="36"/>
      <c r="M389" s="36"/>
      <c r="N389" s="36"/>
      <c r="O389" s="36"/>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row>
    <row r="390" spans="1:42" x14ac:dyDescent="0.2">
      <c r="A390" s="40" t="s">
        <v>122</v>
      </c>
      <c r="B390" s="47" t="str">
        <f>equip_reserve_depr_fed</f>
        <v>5-yr MACRS</v>
      </c>
      <c r="C390" s="36"/>
      <c r="D390" s="36"/>
      <c r="E390" s="36"/>
      <c r="F390" s="36"/>
      <c r="G390" s="36"/>
      <c r="H390" s="36"/>
      <c r="I390" s="36"/>
      <c r="J390" s="36"/>
      <c r="K390" s="36"/>
      <c r="L390" s="36"/>
      <c r="M390" s="36"/>
      <c r="N390" s="36"/>
      <c r="O390" s="36"/>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row>
    <row r="391" spans="1:42" x14ac:dyDescent="0.2">
      <c r="A391" s="40" t="s">
        <v>123</v>
      </c>
      <c r="B391" s="408">
        <f t="shared" ref="B391:AP391" si="190">B2</f>
        <v>0</v>
      </c>
      <c r="C391" s="408">
        <f t="shared" si="190"/>
        <v>1</v>
      </c>
      <c r="D391" s="408">
        <f t="shared" si="190"/>
        <v>2</v>
      </c>
      <c r="E391" s="408">
        <f t="shared" si="190"/>
        <v>3</v>
      </c>
      <c r="F391" s="408">
        <f t="shared" si="190"/>
        <v>4</v>
      </c>
      <c r="G391" s="408">
        <f t="shared" si="190"/>
        <v>5</v>
      </c>
      <c r="H391" s="408">
        <f t="shared" si="190"/>
        <v>6</v>
      </c>
      <c r="I391" s="408">
        <f t="shared" si="190"/>
        <v>7</v>
      </c>
      <c r="J391" s="408">
        <f t="shared" si="190"/>
        <v>8</v>
      </c>
      <c r="K391" s="408">
        <f t="shared" si="190"/>
        <v>9</v>
      </c>
      <c r="L391" s="408">
        <f t="shared" si="190"/>
        <v>10</v>
      </c>
      <c r="M391" s="408">
        <f t="shared" si="190"/>
        <v>11</v>
      </c>
      <c r="N391" s="408">
        <f t="shared" si="190"/>
        <v>12</v>
      </c>
      <c r="O391" s="408">
        <f t="shared" si="190"/>
        <v>13</v>
      </c>
      <c r="P391" s="408">
        <f t="shared" si="190"/>
        <v>14</v>
      </c>
      <c r="Q391" s="408">
        <f t="shared" si="190"/>
        <v>15</v>
      </c>
      <c r="R391" s="408">
        <f t="shared" si="190"/>
        <v>16</v>
      </c>
      <c r="S391" s="408">
        <f t="shared" si="190"/>
        <v>17</v>
      </c>
      <c r="T391" s="408">
        <f t="shared" si="190"/>
        <v>18</v>
      </c>
      <c r="U391" s="408">
        <f t="shared" si="190"/>
        <v>19</v>
      </c>
      <c r="V391" s="408">
        <f t="shared" si="190"/>
        <v>20</v>
      </c>
      <c r="W391" s="408">
        <f t="shared" si="190"/>
        <v>21</v>
      </c>
      <c r="X391" s="408">
        <f t="shared" si="190"/>
        <v>22</v>
      </c>
      <c r="Y391" s="408">
        <f t="shared" si="190"/>
        <v>23</v>
      </c>
      <c r="Z391" s="408">
        <f t="shared" si="190"/>
        <v>24</v>
      </c>
      <c r="AA391" s="408">
        <f t="shared" si="190"/>
        <v>25</v>
      </c>
      <c r="AB391" s="408" t="str">
        <f t="shared" si="190"/>
        <v/>
      </c>
      <c r="AC391" s="408" t="str">
        <f t="shared" si="190"/>
        <v/>
      </c>
      <c r="AD391" s="408" t="str">
        <f t="shared" si="190"/>
        <v/>
      </c>
      <c r="AE391" s="408" t="str">
        <f t="shared" si="190"/>
        <v/>
      </c>
      <c r="AF391" s="408" t="str">
        <f t="shared" si="190"/>
        <v/>
      </c>
      <c r="AG391" s="408" t="str">
        <f t="shared" si="190"/>
        <v/>
      </c>
      <c r="AH391" s="408" t="str">
        <f t="shared" si="190"/>
        <v/>
      </c>
      <c r="AI391" s="408" t="str">
        <f t="shared" si="190"/>
        <v/>
      </c>
      <c r="AJ391" s="408" t="str">
        <f t="shared" si="190"/>
        <v/>
      </c>
      <c r="AK391" s="408" t="str">
        <f t="shared" si="190"/>
        <v/>
      </c>
      <c r="AL391" s="408" t="str">
        <f t="shared" si="190"/>
        <v/>
      </c>
      <c r="AM391" s="408" t="str">
        <f t="shared" si="190"/>
        <v/>
      </c>
      <c r="AN391" s="408" t="str">
        <f t="shared" si="190"/>
        <v/>
      </c>
      <c r="AO391" s="408" t="str">
        <f t="shared" si="190"/>
        <v/>
      </c>
      <c r="AP391" s="408" t="str">
        <f t="shared" si="190"/>
        <v/>
      </c>
    </row>
    <row r="392" spans="1:42" x14ac:dyDescent="0.2">
      <c r="A392" s="40" t="s">
        <v>124</v>
      </c>
      <c r="B392" s="407">
        <v>0</v>
      </c>
      <c r="C392" s="400">
        <f t="shared" ref="C392:AP392" si="191">IF($B$390=$A373,C373,0)+IF($B$390=$A374,C374,0)+IF($B$390=$A375,C375,0)+IF($B$390=$A376,C376,0)+IF($B$390=$A377,C377,0)+IF($B$390=$A378,C378,0)</f>
        <v>20</v>
      </c>
      <c r="D392" s="400">
        <f t="shared" si="191"/>
        <v>32</v>
      </c>
      <c r="E392" s="400">
        <f t="shared" si="191"/>
        <v>19.2</v>
      </c>
      <c r="F392" s="400">
        <f t="shared" si="191"/>
        <v>11.52</v>
      </c>
      <c r="G392" s="400">
        <f t="shared" si="191"/>
        <v>11.52</v>
      </c>
      <c r="H392" s="400">
        <f t="shared" si="191"/>
        <v>5.76</v>
      </c>
      <c r="I392" s="400">
        <f t="shared" si="191"/>
        <v>0</v>
      </c>
      <c r="J392" s="400">
        <f t="shared" si="191"/>
        <v>0</v>
      </c>
      <c r="K392" s="400">
        <f t="shared" si="191"/>
        <v>0</v>
      </c>
      <c r="L392" s="400">
        <f t="shared" si="191"/>
        <v>0</v>
      </c>
      <c r="M392" s="400">
        <f t="shared" si="191"/>
        <v>0</v>
      </c>
      <c r="N392" s="400">
        <f t="shared" si="191"/>
        <v>0</v>
      </c>
      <c r="O392" s="400">
        <f t="shared" si="191"/>
        <v>0</v>
      </c>
      <c r="P392" s="400">
        <f t="shared" si="191"/>
        <v>0</v>
      </c>
      <c r="Q392" s="400">
        <f t="shared" si="191"/>
        <v>0</v>
      </c>
      <c r="R392" s="400">
        <f t="shared" si="191"/>
        <v>0</v>
      </c>
      <c r="S392" s="400">
        <f t="shared" si="191"/>
        <v>0</v>
      </c>
      <c r="T392" s="400">
        <f t="shared" si="191"/>
        <v>0</v>
      </c>
      <c r="U392" s="400">
        <f t="shared" si="191"/>
        <v>0</v>
      </c>
      <c r="V392" s="400">
        <f t="shared" si="191"/>
        <v>0</v>
      </c>
      <c r="W392" s="400">
        <f t="shared" si="191"/>
        <v>0</v>
      </c>
      <c r="X392" s="400">
        <f t="shared" si="191"/>
        <v>0</v>
      </c>
      <c r="Y392" s="400">
        <f t="shared" si="191"/>
        <v>0</v>
      </c>
      <c r="Z392" s="400">
        <f t="shared" si="191"/>
        <v>0</v>
      </c>
      <c r="AA392" s="400">
        <f t="shared" si="191"/>
        <v>0</v>
      </c>
      <c r="AB392" s="400" t="e">
        <f t="shared" si="191"/>
        <v>#N/A</v>
      </c>
      <c r="AC392" s="400" t="e">
        <f t="shared" si="191"/>
        <v>#N/A</v>
      </c>
      <c r="AD392" s="400" t="e">
        <f t="shared" si="191"/>
        <v>#N/A</v>
      </c>
      <c r="AE392" s="400" t="e">
        <f t="shared" si="191"/>
        <v>#N/A</v>
      </c>
      <c r="AF392" s="400" t="e">
        <f t="shared" si="191"/>
        <v>#N/A</v>
      </c>
      <c r="AG392" s="400" t="e">
        <f t="shared" si="191"/>
        <v>#N/A</v>
      </c>
      <c r="AH392" s="400" t="e">
        <f t="shared" si="191"/>
        <v>#N/A</v>
      </c>
      <c r="AI392" s="400" t="e">
        <f t="shared" si="191"/>
        <v>#N/A</v>
      </c>
      <c r="AJ392" s="400" t="e">
        <f t="shared" si="191"/>
        <v>#N/A</v>
      </c>
      <c r="AK392" s="400" t="e">
        <f t="shared" si="191"/>
        <v>#N/A</v>
      </c>
      <c r="AL392" s="400" t="e">
        <f t="shared" si="191"/>
        <v>#N/A</v>
      </c>
      <c r="AM392" s="400" t="e">
        <f t="shared" si="191"/>
        <v>#N/A</v>
      </c>
      <c r="AN392" s="400" t="e">
        <f t="shared" si="191"/>
        <v>#N/A</v>
      </c>
      <c r="AO392" s="400" t="e">
        <f t="shared" si="191"/>
        <v>#N/A</v>
      </c>
      <c r="AP392" s="400" t="e">
        <f t="shared" si="191"/>
        <v>#N/A</v>
      </c>
    </row>
    <row r="393" spans="1:42" x14ac:dyDescent="0.2">
      <c r="A393" s="38"/>
      <c r="C393" s="36"/>
      <c r="D393" s="36"/>
      <c r="E393" s="36"/>
      <c r="F393" s="36"/>
      <c r="G393" s="36"/>
      <c r="H393" s="36"/>
      <c r="I393" s="36"/>
      <c r="J393" s="36"/>
      <c r="K393" s="36"/>
      <c r="L393" s="36"/>
      <c r="M393" s="36"/>
      <c r="N393" s="36"/>
      <c r="O393" s="36"/>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row>
    <row r="394" spans="1:42" x14ac:dyDescent="0.2">
      <c r="A394" s="38" t="s">
        <v>159</v>
      </c>
      <c r="C394" s="36"/>
      <c r="D394" s="36"/>
      <c r="E394" s="36"/>
      <c r="F394" s="36"/>
      <c r="G394" s="36"/>
      <c r="H394" s="36"/>
      <c r="I394" s="36"/>
      <c r="J394" s="36"/>
      <c r="K394" s="36"/>
      <c r="L394" s="36"/>
      <c r="M394" s="36"/>
      <c r="N394" s="36"/>
      <c r="O394" s="36"/>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row>
    <row r="395" spans="1:42" x14ac:dyDescent="0.2">
      <c r="A395" s="40" t="s">
        <v>121</v>
      </c>
      <c r="C395" s="36"/>
      <c r="D395" s="36"/>
      <c r="E395" s="36"/>
      <c r="F395" s="36"/>
      <c r="G395" s="36"/>
      <c r="H395" s="36"/>
      <c r="I395" s="36"/>
      <c r="J395" s="36"/>
      <c r="K395" s="36"/>
      <c r="L395" s="36"/>
      <c r="M395" s="36"/>
      <c r="N395" s="36"/>
      <c r="O395" s="36"/>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row>
    <row r="396" spans="1:42" x14ac:dyDescent="0.2">
      <c r="A396" s="21">
        <v>1</v>
      </c>
      <c r="C396" s="389">
        <f>C262</f>
        <v>0</v>
      </c>
      <c r="D396" s="389">
        <f t="shared" ref="D396:AP402" si="192">D262</f>
        <v>0</v>
      </c>
      <c r="E396" s="389">
        <f t="shared" si="192"/>
        <v>0</v>
      </c>
      <c r="F396" s="389">
        <f t="shared" si="192"/>
        <v>0</v>
      </c>
      <c r="G396" s="389">
        <f t="shared" si="192"/>
        <v>0</v>
      </c>
      <c r="H396" s="389">
        <f t="shared" si="192"/>
        <v>0</v>
      </c>
      <c r="I396" s="389">
        <f t="shared" si="192"/>
        <v>0</v>
      </c>
      <c r="J396" s="389">
        <f t="shared" si="192"/>
        <v>0</v>
      </c>
      <c r="K396" s="389">
        <f t="shared" si="192"/>
        <v>0</v>
      </c>
      <c r="L396" s="389">
        <f t="shared" si="192"/>
        <v>0</v>
      </c>
      <c r="M396" s="389">
        <f t="shared" si="192"/>
        <v>0</v>
      </c>
      <c r="N396" s="389">
        <f t="shared" si="192"/>
        <v>1</v>
      </c>
      <c r="O396" s="389">
        <f t="shared" si="192"/>
        <v>2</v>
      </c>
      <c r="P396" s="389">
        <f t="shared" si="192"/>
        <v>3</v>
      </c>
      <c r="Q396" s="389">
        <f t="shared" si="192"/>
        <v>4</v>
      </c>
      <c r="R396" s="389">
        <f t="shared" si="192"/>
        <v>5</v>
      </c>
      <c r="S396" s="389">
        <f t="shared" si="192"/>
        <v>6</v>
      </c>
      <c r="T396" s="389">
        <f t="shared" si="192"/>
        <v>7</v>
      </c>
      <c r="U396" s="389">
        <f t="shared" si="192"/>
        <v>8</v>
      </c>
      <c r="V396" s="389">
        <f t="shared" si="192"/>
        <v>9</v>
      </c>
      <c r="W396" s="389">
        <f t="shared" si="192"/>
        <v>10</v>
      </c>
      <c r="X396" s="389">
        <f t="shared" si="192"/>
        <v>11</v>
      </c>
      <c r="Y396" s="389">
        <f t="shared" si="192"/>
        <v>12</v>
      </c>
      <c r="Z396" s="389">
        <f t="shared" si="192"/>
        <v>13</v>
      </c>
      <c r="AA396" s="389">
        <f t="shared" si="192"/>
        <v>14</v>
      </c>
      <c r="AB396" s="389">
        <f t="shared" si="192"/>
        <v>0</v>
      </c>
      <c r="AC396" s="389">
        <f t="shared" si="192"/>
        <v>0</v>
      </c>
      <c r="AD396" s="389">
        <f t="shared" si="192"/>
        <v>0</v>
      </c>
      <c r="AE396" s="389">
        <f t="shared" si="192"/>
        <v>0</v>
      </c>
      <c r="AF396" s="389">
        <f t="shared" si="192"/>
        <v>0</v>
      </c>
      <c r="AG396" s="389">
        <f t="shared" si="192"/>
        <v>0</v>
      </c>
      <c r="AH396" s="389">
        <f t="shared" si="192"/>
        <v>0</v>
      </c>
      <c r="AI396" s="389">
        <f t="shared" si="192"/>
        <v>0</v>
      </c>
      <c r="AJ396" s="389">
        <f t="shared" si="192"/>
        <v>0</v>
      </c>
      <c r="AK396" s="389">
        <f t="shared" si="192"/>
        <v>0</v>
      </c>
      <c r="AL396" s="389">
        <f t="shared" si="192"/>
        <v>0</v>
      </c>
      <c r="AM396" s="389">
        <f t="shared" si="192"/>
        <v>0</v>
      </c>
      <c r="AN396" s="389">
        <f t="shared" si="192"/>
        <v>0</v>
      </c>
      <c r="AO396" s="389">
        <f t="shared" si="192"/>
        <v>0</v>
      </c>
      <c r="AP396" s="389">
        <f t="shared" si="192"/>
        <v>0</v>
      </c>
    </row>
    <row r="397" spans="1:42" x14ac:dyDescent="0.2">
      <c r="A397" s="21">
        <f>A396+1</f>
        <v>2</v>
      </c>
      <c r="C397" s="389">
        <f t="shared" ref="C397:R405" si="193">C263</f>
        <v>0</v>
      </c>
      <c r="D397" s="389">
        <f t="shared" si="192"/>
        <v>0</v>
      </c>
      <c r="E397" s="389">
        <f t="shared" si="192"/>
        <v>0</v>
      </c>
      <c r="F397" s="389">
        <f t="shared" si="192"/>
        <v>0</v>
      </c>
      <c r="G397" s="389">
        <f t="shared" si="192"/>
        <v>0</v>
      </c>
      <c r="H397" s="389">
        <f t="shared" si="192"/>
        <v>0</v>
      </c>
      <c r="I397" s="389">
        <f t="shared" si="192"/>
        <v>0</v>
      </c>
      <c r="J397" s="389">
        <f t="shared" si="192"/>
        <v>0</v>
      </c>
      <c r="K397" s="389">
        <f t="shared" si="192"/>
        <v>0</v>
      </c>
      <c r="L397" s="389">
        <f t="shared" si="192"/>
        <v>0</v>
      </c>
      <c r="M397" s="389">
        <f t="shared" si="192"/>
        <v>0</v>
      </c>
      <c r="N397" s="389">
        <f t="shared" si="192"/>
        <v>0</v>
      </c>
      <c r="O397" s="389">
        <f t="shared" si="192"/>
        <v>0</v>
      </c>
      <c r="P397" s="389">
        <f t="shared" si="192"/>
        <v>0</v>
      </c>
      <c r="Q397" s="389">
        <f t="shared" si="192"/>
        <v>0</v>
      </c>
      <c r="R397" s="389">
        <f t="shared" si="192"/>
        <v>0</v>
      </c>
      <c r="S397" s="389">
        <f t="shared" si="192"/>
        <v>0</v>
      </c>
      <c r="T397" s="389">
        <f t="shared" si="192"/>
        <v>0</v>
      </c>
      <c r="U397" s="389">
        <f t="shared" si="192"/>
        <v>0</v>
      </c>
      <c r="V397" s="389">
        <f t="shared" si="192"/>
        <v>0</v>
      </c>
      <c r="W397" s="389">
        <f t="shared" si="192"/>
        <v>0</v>
      </c>
      <c r="X397" s="389">
        <f t="shared" si="192"/>
        <v>0</v>
      </c>
      <c r="Y397" s="389">
        <f t="shared" si="192"/>
        <v>0</v>
      </c>
      <c r="Z397" s="389">
        <f t="shared" si="192"/>
        <v>1</v>
      </c>
      <c r="AA397" s="389">
        <f t="shared" si="192"/>
        <v>2</v>
      </c>
      <c r="AB397" s="389">
        <f t="shared" si="192"/>
        <v>0</v>
      </c>
      <c r="AC397" s="389">
        <f t="shared" si="192"/>
        <v>0</v>
      </c>
      <c r="AD397" s="389">
        <f t="shared" si="192"/>
        <v>0</v>
      </c>
      <c r="AE397" s="389">
        <f t="shared" si="192"/>
        <v>0</v>
      </c>
      <c r="AF397" s="389">
        <f t="shared" si="192"/>
        <v>0</v>
      </c>
      <c r="AG397" s="389">
        <f t="shared" si="192"/>
        <v>0</v>
      </c>
      <c r="AH397" s="389">
        <f t="shared" si="192"/>
        <v>0</v>
      </c>
      <c r="AI397" s="389">
        <f t="shared" si="192"/>
        <v>0</v>
      </c>
      <c r="AJ397" s="389">
        <f t="shared" si="192"/>
        <v>0</v>
      </c>
      <c r="AK397" s="389">
        <f t="shared" si="192"/>
        <v>0</v>
      </c>
      <c r="AL397" s="389">
        <f t="shared" si="192"/>
        <v>0</v>
      </c>
      <c r="AM397" s="389">
        <f t="shared" si="192"/>
        <v>0</v>
      </c>
      <c r="AN397" s="389">
        <f t="shared" si="192"/>
        <v>0</v>
      </c>
      <c r="AO397" s="389">
        <f t="shared" si="192"/>
        <v>0</v>
      </c>
      <c r="AP397" s="389">
        <f t="shared" si="192"/>
        <v>0</v>
      </c>
    </row>
    <row r="398" spans="1:42" x14ac:dyDescent="0.2">
      <c r="A398" s="21">
        <f t="shared" ref="A398:A403" si="194">A397+1</f>
        <v>3</v>
      </c>
      <c r="C398" s="389">
        <f t="shared" si="193"/>
        <v>0</v>
      </c>
      <c r="D398" s="389">
        <f t="shared" si="192"/>
        <v>0</v>
      </c>
      <c r="E398" s="389">
        <f t="shared" si="192"/>
        <v>0</v>
      </c>
      <c r="F398" s="389">
        <f t="shared" si="192"/>
        <v>0</v>
      </c>
      <c r="G398" s="389">
        <f t="shared" si="192"/>
        <v>0</v>
      </c>
      <c r="H398" s="389">
        <f t="shared" si="192"/>
        <v>0</v>
      </c>
      <c r="I398" s="389">
        <f t="shared" si="192"/>
        <v>0</v>
      </c>
      <c r="J398" s="389">
        <f t="shared" si="192"/>
        <v>0</v>
      </c>
      <c r="K398" s="389">
        <f t="shared" si="192"/>
        <v>0</v>
      </c>
      <c r="L398" s="389">
        <f t="shared" si="192"/>
        <v>0</v>
      </c>
      <c r="M398" s="389">
        <f t="shared" si="192"/>
        <v>0</v>
      </c>
      <c r="N398" s="389">
        <f t="shared" si="192"/>
        <v>0</v>
      </c>
      <c r="O398" s="389">
        <f t="shared" si="192"/>
        <v>0</v>
      </c>
      <c r="P398" s="389">
        <f t="shared" si="192"/>
        <v>0</v>
      </c>
      <c r="Q398" s="389">
        <f t="shared" si="192"/>
        <v>0</v>
      </c>
      <c r="R398" s="389">
        <f t="shared" si="192"/>
        <v>0</v>
      </c>
      <c r="S398" s="389">
        <f t="shared" si="192"/>
        <v>0</v>
      </c>
      <c r="T398" s="389">
        <f t="shared" si="192"/>
        <v>0</v>
      </c>
      <c r="U398" s="389">
        <f t="shared" si="192"/>
        <v>0</v>
      </c>
      <c r="V398" s="389">
        <f t="shared" si="192"/>
        <v>0</v>
      </c>
      <c r="W398" s="389">
        <f t="shared" si="192"/>
        <v>0</v>
      </c>
      <c r="X398" s="389">
        <f t="shared" si="192"/>
        <v>0</v>
      </c>
      <c r="Y398" s="389">
        <f t="shared" si="192"/>
        <v>0</v>
      </c>
      <c r="Z398" s="389">
        <f t="shared" si="192"/>
        <v>0</v>
      </c>
      <c r="AA398" s="389">
        <f t="shared" si="192"/>
        <v>0</v>
      </c>
      <c r="AB398" s="389">
        <f t="shared" si="192"/>
        <v>0</v>
      </c>
      <c r="AC398" s="389">
        <f t="shared" si="192"/>
        <v>0</v>
      </c>
      <c r="AD398" s="389">
        <f t="shared" si="192"/>
        <v>0</v>
      </c>
      <c r="AE398" s="389">
        <f t="shared" si="192"/>
        <v>0</v>
      </c>
      <c r="AF398" s="389">
        <f t="shared" si="192"/>
        <v>0</v>
      </c>
      <c r="AG398" s="389">
        <f t="shared" si="192"/>
        <v>0</v>
      </c>
      <c r="AH398" s="389">
        <f t="shared" si="192"/>
        <v>0</v>
      </c>
      <c r="AI398" s="389">
        <f t="shared" si="192"/>
        <v>0</v>
      </c>
      <c r="AJ398" s="389">
        <f t="shared" si="192"/>
        <v>0</v>
      </c>
      <c r="AK398" s="389">
        <f t="shared" si="192"/>
        <v>0</v>
      </c>
      <c r="AL398" s="389">
        <f t="shared" si="192"/>
        <v>0</v>
      </c>
      <c r="AM398" s="389">
        <f t="shared" si="192"/>
        <v>0</v>
      </c>
      <c r="AN398" s="389">
        <f t="shared" si="192"/>
        <v>0</v>
      </c>
      <c r="AO398" s="389">
        <f t="shared" si="192"/>
        <v>0</v>
      </c>
      <c r="AP398" s="389">
        <f t="shared" si="192"/>
        <v>0</v>
      </c>
    </row>
    <row r="399" spans="1:42" x14ac:dyDescent="0.2">
      <c r="A399" s="21">
        <f t="shared" si="194"/>
        <v>4</v>
      </c>
      <c r="C399" s="389">
        <f t="shared" si="193"/>
        <v>0</v>
      </c>
      <c r="D399" s="389">
        <f t="shared" si="192"/>
        <v>0</v>
      </c>
      <c r="E399" s="389">
        <f t="shared" si="192"/>
        <v>0</v>
      </c>
      <c r="F399" s="389">
        <f t="shared" si="192"/>
        <v>0</v>
      </c>
      <c r="G399" s="389">
        <f t="shared" si="192"/>
        <v>0</v>
      </c>
      <c r="H399" s="389">
        <f t="shared" si="192"/>
        <v>0</v>
      </c>
      <c r="I399" s="389">
        <f t="shared" si="192"/>
        <v>0</v>
      </c>
      <c r="J399" s="389">
        <f t="shared" si="192"/>
        <v>0</v>
      </c>
      <c r="K399" s="389">
        <f t="shared" si="192"/>
        <v>0</v>
      </c>
      <c r="L399" s="389">
        <f t="shared" si="192"/>
        <v>0</v>
      </c>
      <c r="M399" s="389">
        <f t="shared" si="192"/>
        <v>0</v>
      </c>
      <c r="N399" s="389">
        <f t="shared" si="192"/>
        <v>0</v>
      </c>
      <c r="O399" s="389">
        <f t="shared" si="192"/>
        <v>0</v>
      </c>
      <c r="P399" s="389">
        <f t="shared" si="192"/>
        <v>0</v>
      </c>
      <c r="Q399" s="389">
        <f t="shared" si="192"/>
        <v>0</v>
      </c>
      <c r="R399" s="389">
        <f t="shared" si="192"/>
        <v>0</v>
      </c>
      <c r="S399" s="389">
        <f t="shared" si="192"/>
        <v>0</v>
      </c>
      <c r="T399" s="389">
        <f t="shared" si="192"/>
        <v>0</v>
      </c>
      <c r="U399" s="389">
        <f t="shared" si="192"/>
        <v>0</v>
      </c>
      <c r="V399" s="389">
        <f t="shared" si="192"/>
        <v>0</v>
      </c>
      <c r="W399" s="389">
        <f t="shared" si="192"/>
        <v>0</v>
      </c>
      <c r="X399" s="389">
        <f t="shared" si="192"/>
        <v>0</v>
      </c>
      <c r="Y399" s="389">
        <f t="shared" si="192"/>
        <v>0</v>
      </c>
      <c r="Z399" s="389">
        <f t="shared" si="192"/>
        <v>0</v>
      </c>
      <c r="AA399" s="389">
        <f t="shared" si="192"/>
        <v>0</v>
      </c>
      <c r="AB399" s="389">
        <f t="shared" si="192"/>
        <v>0</v>
      </c>
      <c r="AC399" s="389">
        <f t="shared" si="192"/>
        <v>0</v>
      </c>
      <c r="AD399" s="389">
        <f t="shared" si="192"/>
        <v>0</v>
      </c>
      <c r="AE399" s="389">
        <f t="shared" si="192"/>
        <v>0</v>
      </c>
      <c r="AF399" s="389">
        <f t="shared" si="192"/>
        <v>0</v>
      </c>
      <c r="AG399" s="389">
        <f t="shared" si="192"/>
        <v>0</v>
      </c>
      <c r="AH399" s="389">
        <f t="shared" si="192"/>
        <v>0</v>
      </c>
      <c r="AI399" s="389">
        <f t="shared" si="192"/>
        <v>0</v>
      </c>
      <c r="AJ399" s="389">
        <f t="shared" si="192"/>
        <v>0</v>
      </c>
      <c r="AK399" s="389">
        <f t="shared" si="192"/>
        <v>0</v>
      </c>
      <c r="AL399" s="389">
        <f t="shared" si="192"/>
        <v>0</v>
      </c>
      <c r="AM399" s="389">
        <f t="shared" si="192"/>
        <v>0</v>
      </c>
      <c r="AN399" s="389">
        <f t="shared" si="192"/>
        <v>0</v>
      </c>
      <c r="AO399" s="389">
        <f t="shared" si="192"/>
        <v>0</v>
      </c>
      <c r="AP399" s="389">
        <f t="shared" si="192"/>
        <v>0</v>
      </c>
    </row>
    <row r="400" spans="1:42" x14ac:dyDescent="0.2">
      <c r="A400" s="21">
        <f t="shared" si="194"/>
        <v>5</v>
      </c>
      <c r="C400" s="389">
        <f t="shared" si="193"/>
        <v>0</v>
      </c>
      <c r="D400" s="389">
        <f t="shared" si="192"/>
        <v>0</v>
      </c>
      <c r="E400" s="389">
        <f t="shared" si="192"/>
        <v>0</v>
      </c>
      <c r="F400" s="389">
        <f t="shared" si="192"/>
        <v>0</v>
      </c>
      <c r="G400" s="389">
        <f t="shared" si="192"/>
        <v>0</v>
      </c>
      <c r="H400" s="389">
        <f t="shared" si="192"/>
        <v>0</v>
      </c>
      <c r="I400" s="389">
        <f t="shared" si="192"/>
        <v>0</v>
      </c>
      <c r="J400" s="389">
        <f t="shared" si="192"/>
        <v>0</v>
      </c>
      <c r="K400" s="389">
        <f t="shared" si="192"/>
        <v>0</v>
      </c>
      <c r="L400" s="389">
        <f t="shared" si="192"/>
        <v>0</v>
      </c>
      <c r="M400" s="389">
        <f t="shared" si="192"/>
        <v>0</v>
      </c>
      <c r="N400" s="389">
        <f t="shared" si="192"/>
        <v>0</v>
      </c>
      <c r="O400" s="389">
        <f t="shared" si="192"/>
        <v>0</v>
      </c>
      <c r="P400" s="389">
        <f t="shared" si="192"/>
        <v>0</v>
      </c>
      <c r="Q400" s="389">
        <f t="shared" si="192"/>
        <v>0</v>
      </c>
      <c r="R400" s="389">
        <f t="shared" si="192"/>
        <v>0</v>
      </c>
      <c r="S400" s="389">
        <f t="shared" si="192"/>
        <v>0</v>
      </c>
      <c r="T400" s="389">
        <f t="shared" si="192"/>
        <v>0</v>
      </c>
      <c r="U400" s="389">
        <f t="shared" si="192"/>
        <v>0</v>
      </c>
      <c r="V400" s="389">
        <f t="shared" si="192"/>
        <v>0</v>
      </c>
      <c r="W400" s="389">
        <f t="shared" si="192"/>
        <v>0</v>
      </c>
      <c r="X400" s="389">
        <f t="shared" si="192"/>
        <v>0</v>
      </c>
      <c r="Y400" s="389">
        <f t="shared" si="192"/>
        <v>0</v>
      </c>
      <c r="Z400" s="389">
        <f t="shared" si="192"/>
        <v>0</v>
      </c>
      <c r="AA400" s="389">
        <f t="shared" si="192"/>
        <v>0</v>
      </c>
      <c r="AB400" s="389">
        <f t="shared" si="192"/>
        <v>0</v>
      </c>
      <c r="AC400" s="389">
        <f t="shared" si="192"/>
        <v>0</v>
      </c>
      <c r="AD400" s="389">
        <f t="shared" si="192"/>
        <v>0</v>
      </c>
      <c r="AE400" s="389">
        <f t="shared" si="192"/>
        <v>0</v>
      </c>
      <c r="AF400" s="389">
        <f t="shared" si="192"/>
        <v>0</v>
      </c>
      <c r="AG400" s="389">
        <f t="shared" si="192"/>
        <v>0</v>
      </c>
      <c r="AH400" s="389">
        <f t="shared" si="192"/>
        <v>0</v>
      </c>
      <c r="AI400" s="389">
        <f t="shared" si="192"/>
        <v>0</v>
      </c>
      <c r="AJ400" s="389">
        <f t="shared" si="192"/>
        <v>0</v>
      </c>
      <c r="AK400" s="389">
        <f t="shared" si="192"/>
        <v>0</v>
      </c>
      <c r="AL400" s="389">
        <f t="shared" si="192"/>
        <v>0</v>
      </c>
      <c r="AM400" s="389">
        <f t="shared" si="192"/>
        <v>0</v>
      </c>
      <c r="AN400" s="389">
        <f t="shared" si="192"/>
        <v>0</v>
      </c>
      <c r="AO400" s="389">
        <f t="shared" si="192"/>
        <v>0</v>
      </c>
      <c r="AP400" s="389">
        <f t="shared" si="192"/>
        <v>0</v>
      </c>
    </row>
    <row r="401" spans="1:42" x14ac:dyDescent="0.2">
      <c r="A401" s="21">
        <f t="shared" si="194"/>
        <v>6</v>
      </c>
      <c r="C401" s="389">
        <f t="shared" si="193"/>
        <v>0</v>
      </c>
      <c r="D401" s="389">
        <f t="shared" si="192"/>
        <v>0</v>
      </c>
      <c r="E401" s="389">
        <f t="shared" si="192"/>
        <v>0</v>
      </c>
      <c r="F401" s="389">
        <f t="shared" si="192"/>
        <v>0</v>
      </c>
      <c r="G401" s="389">
        <f t="shared" si="192"/>
        <v>0</v>
      </c>
      <c r="H401" s="389">
        <f t="shared" si="192"/>
        <v>0</v>
      </c>
      <c r="I401" s="389">
        <f t="shared" si="192"/>
        <v>0</v>
      </c>
      <c r="J401" s="389">
        <f t="shared" si="192"/>
        <v>0</v>
      </c>
      <c r="K401" s="389">
        <f t="shared" si="192"/>
        <v>0</v>
      </c>
      <c r="L401" s="389">
        <f t="shared" si="192"/>
        <v>0</v>
      </c>
      <c r="M401" s="389">
        <f t="shared" si="192"/>
        <v>0</v>
      </c>
      <c r="N401" s="389">
        <f t="shared" si="192"/>
        <v>0</v>
      </c>
      <c r="O401" s="389">
        <f t="shared" si="192"/>
        <v>0</v>
      </c>
      <c r="P401" s="389">
        <f t="shared" si="192"/>
        <v>0</v>
      </c>
      <c r="Q401" s="389">
        <f t="shared" si="192"/>
        <v>0</v>
      </c>
      <c r="R401" s="389">
        <f t="shared" si="192"/>
        <v>0</v>
      </c>
      <c r="S401" s="389">
        <f t="shared" si="192"/>
        <v>0</v>
      </c>
      <c r="T401" s="389">
        <f t="shared" si="192"/>
        <v>0</v>
      </c>
      <c r="U401" s="389">
        <f t="shared" si="192"/>
        <v>0</v>
      </c>
      <c r="V401" s="389">
        <f t="shared" si="192"/>
        <v>0</v>
      </c>
      <c r="W401" s="389">
        <f t="shared" si="192"/>
        <v>0</v>
      </c>
      <c r="X401" s="389">
        <f t="shared" si="192"/>
        <v>0</v>
      </c>
      <c r="Y401" s="389">
        <f t="shared" si="192"/>
        <v>0</v>
      </c>
      <c r="Z401" s="389">
        <f t="shared" si="192"/>
        <v>0</v>
      </c>
      <c r="AA401" s="389">
        <f t="shared" si="192"/>
        <v>0</v>
      </c>
      <c r="AB401" s="389">
        <f t="shared" si="192"/>
        <v>0</v>
      </c>
      <c r="AC401" s="389">
        <f t="shared" si="192"/>
        <v>0</v>
      </c>
      <c r="AD401" s="389">
        <f t="shared" si="192"/>
        <v>0</v>
      </c>
      <c r="AE401" s="389">
        <f t="shared" si="192"/>
        <v>0</v>
      </c>
      <c r="AF401" s="389">
        <f t="shared" si="192"/>
        <v>0</v>
      </c>
      <c r="AG401" s="389">
        <f t="shared" si="192"/>
        <v>0</v>
      </c>
      <c r="AH401" s="389">
        <f t="shared" si="192"/>
        <v>0</v>
      </c>
      <c r="AI401" s="389">
        <f t="shared" si="192"/>
        <v>0</v>
      </c>
      <c r="AJ401" s="389">
        <f t="shared" si="192"/>
        <v>0</v>
      </c>
      <c r="AK401" s="389">
        <f t="shared" si="192"/>
        <v>0</v>
      </c>
      <c r="AL401" s="389">
        <f t="shared" si="192"/>
        <v>0</v>
      </c>
      <c r="AM401" s="389">
        <f t="shared" si="192"/>
        <v>0</v>
      </c>
      <c r="AN401" s="389">
        <f t="shared" si="192"/>
        <v>0</v>
      </c>
      <c r="AO401" s="389">
        <f t="shared" si="192"/>
        <v>0</v>
      </c>
      <c r="AP401" s="389">
        <f t="shared" si="192"/>
        <v>0</v>
      </c>
    </row>
    <row r="402" spans="1:42" x14ac:dyDescent="0.2">
      <c r="A402" s="21">
        <f t="shared" si="194"/>
        <v>7</v>
      </c>
      <c r="C402" s="389">
        <f t="shared" si="193"/>
        <v>0</v>
      </c>
      <c r="D402" s="389">
        <f t="shared" si="192"/>
        <v>0</v>
      </c>
      <c r="E402" s="389">
        <f t="shared" si="192"/>
        <v>0</v>
      </c>
      <c r="F402" s="389">
        <f t="shared" si="192"/>
        <v>0</v>
      </c>
      <c r="G402" s="389">
        <f t="shared" si="192"/>
        <v>0</v>
      </c>
      <c r="H402" s="389">
        <f t="shared" si="192"/>
        <v>0</v>
      </c>
      <c r="I402" s="389">
        <f t="shared" si="192"/>
        <v>0</v>
      </c>
      <c r="J402" s="389">
        <f t="shared" si="192"/>
        <v>0</v>
      </c>
      <c r="K402" s="389">
        <f t="shared" si="192"/>
        <v>0</v>
      </c>
      <c r="L402" s="389">
        <f t="shared" si="192"/>
        <v>0</v>
      </c>
      <c r="M402" s="389">
        <f t="shared" si="192"/>
        <v>0</v>
      </c>
      <c r="N402" s="389">
        <f t="shared" si="192"/>
        <v>0</v>
      </c>
      <c r="O402" s="389">
        <f t="shared" si="192"/>
        <v>0</v>
      </c>
      <c r="P402" s="389">
        <f t="shared" si="192"/>
        <v>0</v>
      </c>
      <c r="Q402" s="389">
        <f t="shared" si="192"/>
        <v>0</v>
      </c>
      <c r="R402" s="389">
        <f t="shared" si="192"/>
        <v>0</v>
      </c>
      <c r="S402" s="389">
        <f t="shared" si="192"/>
        <v>0</v>
      </c>
      <c r="T402" s="389">
        <f t="shared" si="192"/>
        <v>0</v>
      </c>
      <c r="U402" s="389">
        <f t="shared" si="192"/>
        <v>0</v>
      </c>
      <c r="V402" s="389">
        <f t="shared" si="192"/>
        <v>0</v>
      </c>
      <c r="W402" s="389">
        <f t="shared" si="192"/>
        <v>0</v>
      </c>
      <c r="X402" s="389">
        <f t="shared" si="192"/>
        <v>0</v>
      </c>
      <c r="Y402" s="389">
        <f t="shared" ref="Y402:AP402" si="195">Y268</f>
        <v>0</v>
      </c>
      <c r="Z402" s="389">
        <f t="shared" si="195"/>
        <v>0</v>
      </c>
      <c r="AA402" s="389">
        <f t="shared" si="195"/>
        <v>0</v>
      </c>
      <c r="AB402" s="389">
        <f t="shared" si="195"/>
        <v>0</v>
      </c>
      <c r="AC402" s="389">
        <f t="shared" si="195"/>
        <v>0</v>
      </c>
      <c r="AD402" s="389">
        <f t="shared" si="195"/>
        <v>0</v>
      </c>
      <c r="AE402" s="389">
        <f t="shared" si="195"/>
        <v>0</v>
      </c>
      <c r="AF402" s="389">
        <f t="shared" si="195"/>
        <v>0</v>
      </c>
      <c r="AG402" s="389">
        <f t="shared" si="195"/>
        <v>0</v>
      </c>
      <c r="AH402" s="389">
        <f t="shared" si="195"/>
        <v>0</v>
      </c>
      <c r="AI402" s="389">
        <f t="shared" si="195"/>
        <v>0</v>
      </c>
      <c r="AJ402" s="389">
        <f t="shared" si="195"/>
        <v>0</v>
      </c>
      <c r="AK402" s="389">
        <f t="shared" si="195"/>
        <v>0</v>
      </c>
      <c r="AL402" s="389">
        <f t="shared" si="195"/>
        <v>0</v>
      </c>
      <c r="AM402" s="389">
        <f t="shared" si="195"/>
        <v>0</v>
      </c>
      <c r="AN402" s="389">
        <f t="shared" si="195"/>
        <v>0</v>
      </c>
      <c r="AO402" s="389">
        <f t="shared" si="195"/>
        <v>0</v>
      </c>
      <c r="AP402" s="389">
        <f t="shared" si="195"/>
        <v>0</v>
      </c>
    </row>
    <row r="403" spans="1:42" x14ac:dyDescent="0.2">
      <c r="A403" s="21">
        <f t="shared" si="194"/>
        <v>8</v>
      </c>
      <c r="C403" s="389">
        <f t="shared" si="193"/>
        <v>0</v>
      </c>
      <c r="D403" s="389">
        <f t="shared" si="193"/>
        <v>0</v>
      </c>
      <c r="E403" s="389">
        <f t="shared" si="193"/>
        <v>0</v>
      </c>
      <c r="F403" s="389">
        <f t="shared" si="193"/>
        <v>0</v>
      </c>
      <c r="G403" s="389">
        <f t="shared" si="193"/>
        <v>0</v>
      </c>
      <c r="H403" s="389">
        <f t="shared" si="193"/>
        <v>0</v>
      </c>
      <c r="I403" s="389">
        <f t="shared" si="193"/>
        <v>0</v>
      </c>
      <c r="J403" s="389">
        <f t="shared" si="193"/>
        <v>0</v>
      </c>
      <c r="K403" s="389">
        <f t="shared" si="193"/>
        <v>0</v>
      </c>
      <c r="L403" s="389">
        <f t="shared" si="193"/>
        <v>0</v>
      </c>
      <c r="M403" s="389">
        <f t="shared" si="193"/>
        <v>0</v>
      </c>
      <c r="N403" s="389">
        <f t="shared" si="193"/>
        <v>0</v>
      </c>
      <c r="O403" s="389">
        <f t="shared" si="193"/>
        <v>0</v>
      </c>
      <c r="P403" s="389">
        <f t="shared" si="193"/>
        <v>0</v>
      </c>
      <c r="Q403" s="389">
        <f t="shared" si="193"/>
        <v>0</v>
      </c>
      <c r="R403" s="389">
        <f t="shared" si="193"/>
        <v>0</v>
      </c>
      <c r="S403" s="389">
        <f t="shared" ref="S403:AP405" si="196">S269</f>
        <v>0</v>
      </c>
      <c r="T403" s="389">
        <f t="shared" si="196"/>
        <v>0</v>
      </c>
      <c r="U403" s="389">
        <f t="shared" si="196"/>
        <v>0</v>
      </c>
      <c r="V403" s="389">
        <f t="shared" si="196"/>
        <v>0</v>
      </c>
      <c r="W403" s="389">
        <f t="shared" si="196"/>
        <v>0</v>
      </c>
      <c r="X403" s="389">
        <f t="shared" si="196"/>
        <v>0</v>
      </c>
      <c r="Y403" s="389">
        <f t="shared" si="196"/>
        <v>0</v>
      </c>
      <c r="Z403" s="389">
        <f t="shared" si="196"/>
        <v>0</v>
      </c>
      <c r="AA403" s="389">
        <f t="shared" si="196"/>
        <v>0</v>
      </c>
      <c r="AB403" s="389">
        <f t="shared" si="196"/>
        <v>0</v>
      </c>
      <c r="AC403" s="389">
        <f t="shared" si="196"/>
        <v>0</v>
      </c>
      <c r="AD403" s="389">
        <f t="shared" si="196"/>
        <v>0</v>
      </c>
      <c r="AE403" s="389">
        <f t="shared" si="196"/>
        <v>0</v>
      </c>
      <c r="AF403" s="389">
        <f t="shared" si="196"/>
        <v>0</v>
      </c>
      <c r="AG403" s="389">
        <f t="shared" si="196"/>
        <v>0</v>
      </c>
      <c r="AH403" s="389">
        <f t="shared" si="196"/>
        <v>0</v>
      </c>
      <c r="AI403" s="389">
        <f t="shared" si="196"/>
        <v>0</v>
      </c>
      <c r="AJ403" s="389">
        <f t="shared" si="196"/>
        <v>0</v>
      </c>
      <c r="AK403" s="389">
        <f t="shared" si="196"/>
        <v>0</v>
      </c>
      <c r="AL403" s="389">
        <f t="shared" si="196"/>
        <v>0</v>
      </c>
      <c r="AM403" s="389">
        <f t="shared" si="196"/>
        <v>0</v>
      </c>
      <c r="AN403" s="389">
        <f t="shared" si="196"/>
        <v>0</v>
      </c>
      <c r="AO403" s="389">
        <f t="shared" si="196"/>
        <v>0</v>
      </c>
      <c r="AP403" s="389">
        <f t="shared" si="196"/>
        <v>0</v>
      </c>
    </row>
    <row r="404" spans="1:42" x14ac:dyDescent="0.2">
      <c r="A404" s="21">
        <f>A403+1</f>
        <v>9</v>
      </c>
      <c r="C404" s="389">
        <f t="shared" si="193"/>
        <v>0</v>
      </c>
      <c r="D404" s="389">
        <f t="shared" si="193"/>
        <v>0</v>
      </c>
      <c r="E404" s="389">
        <f t="shared" si="193"/>
        <v>0</v>
      </c>
      <c r="F404" s="389">
        <f t="shared" si="193"/>
        <v>0</v>
      </c>
      <c r="G404" s="389">
        <f t="shared" si="193"/>
        <v>0</v>
      </c>
      <c r="H404" s="389">
        <f t="shared" si="193"/>
        <v>0</v>
      </c>
      <c r="I404" s="389">
        <f t="shared" si="193"/>
        <v>0</v>
      </c>
      <c r="J404" s="389">
        <f t="shared" si="193"/>
        <v>0</v>
      </c>
      <c r="K404" s="389">
        <f t="shared" si="193"/>
        <v>0</v>
      </c>
      <c r="L404" s="389">
        <f t="shared" si="193"/>
        <v>0</v>
      </c>
      <c r="M404" s="389">
        <f t="shared" si="193"/>
        <v>0</v>
      </c>
      <c r="N404" s="389">
        <f t="shared" si="193"/>
        <v>0</v>
      </c>
      <c r="O404" s="389">
        <f t="shared" si="193"/>
        <v>0</v>
      </c>
      <c r="P404" s="389">
        <f t="shared" si="193"/>
        <v>0</v>
      </c>
      <c r="Q404" s="389">
        <f t="shared" si="193"/>
        <v>0</v>
      </c>
      <c r="R404" s="389">
        <f t="shared" si="193"/>
        <v>0</v>
      </c>
      <c r="S404" s="389">
        <f t="shared" si="196"/>
        <v>0</v>
      </c>
      <c r="T404" s="389">
        <f t="shared" si="196"/>
        <v>0</v>
      </c>
      <c r="U404" s="389">
        <f t="shared" si="196"/>
        <v>0</v>
      </c>
      <c r="V404" s="389">
        <f t="shared" si="196"/>
        <v>0</v>
      </c>
      <c r="W404" s="389">
        <f t="shared" si="196"/>
        <v>0</v>
      </c>
      <c r="X404" s="389">
        <f t="shared" si="196"/>
        <v>0</v>
      </c>
      <c r="Y404" s="389">
        <f t="shared" si="196"/>
        <v>0</v>
      </c>
      <c r="Z404" s="389">
        <f t="shared" si="196"/>
        <v>0</v>
      </c>
      <c r="AA404" s="389">
        <f t="shared" si="196"/>
        <v>0</v>
      </c>
      <c r="AB404" s="389">
        <f t="shared" si="196"/>
        <v>0</v>
      </c>
      <c r="AC404" s="389">
        <f t="shared" si="196"/>
        <v>0</v>
      </c>
      <c r="AD404" s="389">
        <f t="shared" si="196"/>
        <v>0</v>
      </c>
      <c r="AE404" s="389">
        <f t="shared" si="196"/>
        <v>0</v>
      </c>
      <c r="AF404" s="389">
        <f t="shared" si="196"/>
        <v>0</v>
      </c>
      <c r="AG404" s="389">
        <f t="shared" si="196"/>
        <v>0</v>
      </c>
      <c r="AH404" s="389">
        <f t="shared" si="196"/>
        <v>0</v>
      </c>
      <c r="AI404" s="389">
        <f t="shared" si="196"/>
        <v>0</v>
      </c>
      <c r="AJ404" s="389">
        <f t="shared" si="196"/>
        <v>0</v>
      </c>
      <c r="AK404" s="389">
        <f t="shared" si="196"/>
        <v>0</v>
      </c>
      <c r="AL404" s="389">
        <f t="shared" si="196"/>
        <v>0</v>
      </c>
      <c r="AM404" s="389">
        <f t="shared" si="196"/>
        <v>0</v>
      </c>
      <c r="AN404" s="389">
        <f t="shared" si="196"/>
        <v>0</v>
      </c>
      <c r="AO404" s="389">
        <f t="shared" si="196"/>
        <v>0</v>
      </c>
      <c r="AP404" s="389">
        <f t="shared" si="196"/>
        <v>0</v>
      </c>
    </row>
    <row r="405" spans="1:42" x14ac:dyDescent="0.2">
      <c r="A405" s="21">
        <f t="shared" ref="A405" si="197">A404+1</f>
        <v>10</v>
      </c>
      <c r="C405" s="389">
        <f t="shared" si="193"/>
        <v>0</v>
      </c>
      <c r="D405" s="389">
        <f t="shared" si="193"/>
        <v>0</v>
      </c>
      <c r="E405" s="389">
        <f t="shared" si="193"/>
        <v>0</v>
      </c>
      <c r="F405" s="389">
        <f t="shared" si="193"/>
        <v>0</v>
      </c>
      <c r="G405" s="389">
        <f t="shared" si="193"/>
        <v>0</v>
      </c>
      <c r="H405" s="389">
        <f t="shared" si="193"/>
        <v>0</v>
      </c>
      <c r="I405" s="389">
        <f t="shared" si="193"/>
        <v>0</v>
      </c>
      <c r="J405" s="389">
        <f t="shared" si="193"/>
        <v>0</v>
      </c>
      <c r="K405" s="389">
        <f t="shared" si="193"/>
        <v>0</v>
      </c>
      <c r="L405" s="389">
        <f t="shared" si="193"/>
        <v>0</v>
      </c>
      <c r="M405" s="389">
        <f t="shared" si="193"/>
        <v>0</v>
      </c>
      <c r="N405" s="389">
        <f t="shared" si="193"/>
        <v>0</v>
      </c>
      <c r="O405" s="389">
        <f t="shared" si="193"/>
        <v>0</v>
      </c>
      <c r="P405" s="389">
        <f t="shared" si="193"/>
        <v>0</v>
      </c>
      <c r="Q405" s="389">
        <f t="shared" si="193"/>
        <v>0</v>
      </c>
      <c r="R405" s="389">
        <f t="shared" si="193"/>
        <v>0</v>
      </c>
      <c r="S405" s="389">
        <f t="shared" si="196"/>
        <v>0</v>
      </c>
      <c r="T405" s="389">
        <f t="shared" si="196"/>
        <v>0</v>
      </c>
      <c r="U405" s="389">
        <f t="shared" si="196"/>
        <v>0</v>
      </c>
      <c r="V405" s="389">
        <f t="shared" si="196"/>
        <v>0</v>
      </c>
      <c r="W405" s="389">
        <f t="shared" si="196"/>
        <v>0</v>
      </c>
      <c r="X405" s="389">
        <f t="shared" si="196"/>
        <v>0</v>
      </c>
      <c r="Y405" s="389">
        <f t="shared" si="196"/>
        <v>0</v>
      </c>
      <c r="Z405" s="389">
        <f t="shared" si="196"/>
        <v>0</v>
      </c>
      <c r="AA405" s="389">
        <f t="shared" si="196"/>
        <v>0</v>
      </c>
      <c r="AB405" s="389">
        <f t="shared" si="196"/>
        <v>0</v>
      </c>
      <c r="AC405" s="389">
        <f t="shared" si="196"/>
        <v>0</v>
      </c>
      <c r="AD405" s="389">
        <f t="shared" si="196"/>
        <v>0</v>
      </c>
      <c r="AE405" s="389">
        <f t="shared" si="196"/>
        <v>0</v>
      </c>
      <c r="AF405" s="389">
        <f t="shared" si="196"/>
        <v>0</v>
      </c>
      <c r="AG405" s="389">
        <f t="shared" si="196"/>
        <v>0</v>
      </c>
      <c r="AH405" s="389">
        <f t="shared" si="196"/>
        <v>0</v>
      </c>
      <c r="AI405" s="389">
        <f t="shared" si="196"/>
        <v>0</v>
      </c>
      <c r="AJ405" s="389">
        <f t="shared" si="196"/>
        <v>0</v>
      </c>
      <c r="AK405" s="389">
        <f t="shared" si="196"/>
        <v>0</v>
      </c>
      <c r="AL405" s="389">
        <f t="shared" si="196"/>
        <v>0</v>
      </c>
      <c r="AM405" s="389">
        <f t="shared" si="196"/>
        <v>0</v>
      </c>
      <c r="AN405" s="389">
        <f t="shared" si="196"/>
        <v>0</v>
      </c>
      <c r="AO405" s="389">
        <f t="shared" si="196"/>
        <v>0</v>
      </c>
      <c r="AP405" s="389">
        <f t="shared" si="196"/>
        <v>0</v>
      </c>
    </row>
    <row r="406" spans="1:42" x14ac:dyDescent="0.2">
      <c r="A406" s="40"/>
      <c r="C406" s="36"/>
      <c r="D406" s="36"/>
      <c r="E406" s="36"/>
      <c r="F406" s="36"/>
      <c r="G406" s="36"/>
      <c r="H406" s="36"/>
      <c r="I406" s="36"/>
      <c r="J406" s="36"/>
      <c r="K406" s="36"/>
      <c r="L406" s="36"/>
      <c r="M406" s="36"/>
      <c r="N406" s="36"/>
      <c r="O406" s="36"/>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row>
    <row r="407" spans="1:42" x14ac:dyDescent="0.2">
      <c r="A407" s="40" t="s">
        <v>125</v>
      </c>
      <c r="C407" s="36"/>
      <c r="D407" s="36"/>
      <c r="E407" s="36"/>
      <c r="F407" s="36"/>
      <c r="G407" s="36"/>
      <c r="H407" s="36"/>
      <c r="I407" s="36"/>
      <c r="J407" s="36"/>
      <c r="K407" s="36"/>
      <c r="L407" s="36"/>
      <c r="M407" s="36"/>
      <c r="N407" s="36"/>
      <c r="O407" s="36"/>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row>
    <row r="408" spans="1:42" x14ac:dyDescent="0.2">
      <c r="A408" s="21">
        <v>1</v>
      </c>
      <c r="B408" s="409">
        <f t="shared" ref="B408:B417" si="198">SUM(C408:AP408)</f>
        <v>328021664.45031649</v>
      </c>
      <c r="C408" s="411">
        <f t="shared" ref="C408:AP408" si="199">LOOKUP(C396,$B$391:$AP$391,$B$392:$AP$392)*$B585</f>
        <v>0</v>
      </c>
      <c r="D408" s="389">
        <f t="shared" si="199"/>
        <v>0</v>
      </c>
      <c r="E408" s="389">
        <f t="shared" si="199"/>
        <v>0</v>
      </c>
      <c r="F408" s="389">
        <f t="shared" si="199"/>
        <v>0</v>
      </c>
      <c r="G408" s="389">
        <f t="shared" si="199"/>
        <v>0</v>
      </c>
      <c r="H408" s="389">
        <f t="shared" si="199"/>
        <v>0</v>
      </c>
      <c r="I408" s="389">
        <f t="shared" si="199"/>
        <v>0</v>
      </c>
      <c r="J408" s="389">
        <f t="shared" si="199"/>
        <v>0</v>
      </c>
      <c r="K408" s="389">
        <f t="shared" si="199"/>
        <v>0</v>
      </c>
      <c r="L408" s="389">
        <f t="shared" si="199"/>
        <v>0</v>
      </c>
      <c r="M408" s="389">
        <f t="shared" si="199"/>
        <v>0</v>
      </c>
      <c r="N408" s="389">
        <f t="shared" si="199"/>
        <v>65604332.890063301</v>
      </c>
      <c r="O408" s="389">
        <f t="shared" si="199"/>
        <v>104966932.62410128</v>
      </c>
      <c r="P408" s="389">
        <f t="shared" si="199"/>
        <v>62980159.574460767</v>
      </c>
      <c r="Q408" s="389">
        <f t="shared" si="199"/>
        <v>37788095.744676463</v>
      </c>
      <c r="R408" s="389">
        <f t="shared" si="199"/>
        <v>37788095.744676463</v>
      </c>
      <c r="S408" s="389">
        <f t="shared" si="199"/>
        <v>18894047.872338232</v>
      </c>
      <c r="T408" s="389">
        <f t="shared" si="199"/>
        <v>0</v>
      </c>
      <c r="U408" s="389">
        <f t="shared" si="199"/>
        <v>0</v>
      </c>
      <c r="V408" s="389">
        <f t="shared" si="199"/>
        <v>0</v>
      </c>
      <c r="W408" s="389">
        <f t="shared" si="199"/>
        <v>0</v>
      </c>
      <c r="X408" s="389">
        <f t="shared" si="199"/>
        <v>0</v>
      </c>
      <c r="Y408" s="389">
        <f t="shared" si="199"/>
        <v>0</v>
      </c>
      <c r="Z408" s="389">
        <f t="shared" si="199"/>
        <v>0</v>
      </c>
      <c r="AA408" s="389">
        <f t="shared" si="199"/>
        <v>0</v>
      </c>
      <c r="AB408" s="389">
        <f t="shared" si="199"/>
        <v>0</v>
      </c>
      <c r="AC408" s="389">
        <f t="shared" si="199"/>
        <v>0</v>
      </c>
      <c r="AD408" s="389">
        <f t="shared" si="199"/>
        <v>0</v>
      </c>
      <c r="AE408" s="389">
        <f t="shared" si="199"/>
        <v>0</v>
      </c>
      <c r="AF408" s="389">
        <f t="shared" si="199"/>
        <v>0</v>
      </c>
      <c r="AG408" s="389">
        <f t="shared" si="199"/>
        <v>0</v>
      </c>
      <c r="AH408" s="389">
        <f t="shared" si="199"/>
        <v>0</v>
      </c>
      <c r="AI408" s="389">
        <f t="shared" si="199"/>
        <v>0</v>
      </c>
      <c r="AJ408" s="389">
        <f t="shared" si="199"/>
        <v>0</v>
      </c>
      <c r="AK408" s="389">
        <f t="shared" si="199"/>
        <v>0</v>
      </c>
      <c r="AL408" s="389">
        <f t="shared" si="199"/>
        <v>0</v>
      </c>
      <c r="AM408" s="389">
        <f t="shared" si="199"/>
        <v>0</v>
      </c>
      <c r="AN408" s="389">
        <f t="shared" si="199"/>
        <v>0</v>
      </c>
      <c r="AO408" s="389">
        <f t="shared" si="199"/>
        <v>0</v>
      </c>
      <c r="AP408" s="389">
        <f t="shared" si="199"/>
        <v>0</v>
      </c>
    </row>
    <row r="409" spans="1:42" x14ac:dyDescent="0.2">
      <c r="A409" s="21">
        <f>A408+1</f>
        <v>2</v>
      </c>
      <c r="B409" s="409">
        <f t="shared" si="198"/>
        <v>229399388.72754788</v>
      </c>
      <c r="C409" s="411">
        <f t="shared" ref="C409:AP409" si="200">LOOKUP(C397,$B$391:$AP$391,$B$392:$AP$392)*$B586</f>
        <v>0</v>
      </c>
      <c r="D409" s="389">
        <f t="shared" si="200"/>
        <v>0</v>
      </c>
      <c r="E409" s="389">
        <f t="shared" si="200"/>
        <v>0</v>
      </c>
      <c r="F409" s="389">
        <f t="shared" si="200"/>
        <v>0</v>
      </c>
      <c r="G409" s="389">
        <f t="shared" si="200"/>
        <v>0</v>
      </c>
      <c r="H409" s="389">
        <f t="shared" si="200"/>
        <v>0</v>
      </c>
      <c r="I409" s="389">
        <f t="shared" si="200"/>
        <v>0</v>
      </c>
      <c r="J409" s="389">
        <f t="shared" si="200"/>
        <v>0</v>
      </c>
      <c r="K409" s="389">
        <f t="shared" si="200"/>
        <v>0</v>
      </c>
      <c r="L409" s="389">
        <f t="shared" si="200"/>
        <v>0</v>
      </c>
      <c r="M409" s="389">
        <f t="shared" si="200"/>
        <v>0</v>
      </c>
      <c r="N409" s="389">
        <f t="shared" si="200"/>
        <v>0</v>
      </c>
      <c r="O409" s="389">
        <f t="shared" si="200"/>
        <v>0</v>
      </c>
      <c r="P409" s="389">
        <f t="shared" si="200"/>
        <v>0</v>
      </c>
      <c r="Q409" s="389">
        <f t="shared" si="200"/>
        <v>0</v>
      </c>
      <c r="R409" s="389">
        <f t="shared" si="200"/>
        <v>0</v>
      </c>
      <c r="S409" s="389">
        <f t="shared" si="200"/>
        <v>0</v>
      </c>
      <c r="T409" s="389">
        <f t="shared" si="200"/>
        <v>0</v>
      </c>
      <c r="U409" s="389">
        <f t="shared" si="200"/>
        <v>0</v>
      </c>
      <c r="V409" s="389">
        <f t="shared" si="200"/>
        <v>0</v>
      </c>
      <c r="W409" s="389">
        <f t="shared" si="200"/>
        <v>0</v>
      </c>
      <c r="X409" s="389">
        <f t="shared" si="200"/>
        <v>0</v>
      </c>
      <c r="Y409" s="389">
        <f t="shared" si="200"/>
        <v>0</v>
      </c>
      <c r="Z409" s="389">
        <f t="shared" si="200"/>
        <v>88230534.12597996</v>
      </c>
      <c r="AA409" s="389">
        <f t="shared" si="200"/>
        <v>141168854.60156792</v>
      </c>
      <c r="AB409" s="389">
        <f t="shared" si="200"/>
        <v>0</v>
      </c>
      <c r="AC409" s="389">
        <f t="shared" si="200"/>
        <v>0</v>
      </c>
      <c r="AD409" s="389">
        <f t="shared" si="200"/>
        <v>0</v>
      </c>
      <c r="AE409" s="389">
        <f t="shared" si="200"/>
        <v>0</v>
      </c>
      <c r="AF409" s="389">
        <f t="shared" si="200"/>
        <v>0</v>
      </c>
      <c r="AG409" s="389">
        <f t="shared" si="200"/>
        <v>0</v>
      </c>
      <c r="AH409" s="389">
        <f t="shared" si="200"/>
        <v>0</v>
      </c>
      <c r="AI409" s="389">
        <f t="shared" si="200"/>
        <v>0</v>
      </c>
      <c r="AJ409" s="389">
        <f t="shared" si="200"/>
        <v>0</v>
      </c>
      <c r="AK409" s="389">
        <f t="shared" si="200"/>
        <v>0</v>
      </c>
      <c r="AL409" s="389">
        <f t="shared" si="200"/>
        <v>0</v>
      </c>
      <c r="AM409" s="389">
        <f t="shared" si="200"/>
        <v>0</v>
      </c>
      <c r="AN409" s="389">
        <f t="shared" si="200"/>
        <v>0</v>
      </c>
      <c r="AO409" s="389">
        <f t="shared" si="200"/>
        <v>0</v>
      </c>
      <c r="AP409" s="389">
        <f t="shared" si="200"/>
        <v>0</v>
      </c>
    </row>
    <row r="410" spans="1:42" x14ac:dyDescent="0.2">
      <c r="A410" s="21">
        <f t="shared" ref="A410:A415" si="201">A409+1</f>
        <v>3</v>
      </c>
      <c r="B410" s="409">
        <f t="shared" si="198"/>
        <v>0</v>
      </c>
      <c r="C410" s="411">
        <f t="shared" ref="C410:AP410" si="202">LOOKUP(C398,$B$391:$AP$391,$B$392:$AP$392)*$B587</f>
        <v>0</v>
      </c>
      <c r="D410" s="389">
        <f t="shared" si="202"/>
        <v>0</v>
      </c>
      <c r="E410" s="389">
        <f t="shared" si="202"/>
        <v>0</v>
      </c>
      <c r="F410" s="389">
        <f t="shared" si="202"/>
        <v>0</v>
      </c>
      <c r="G410" s="389">
        <f t="shared" si="202"/>
        <v>0</v>
      </c>
      <c r="H410" s="389">
        <f t="shared" si="202"/>
        <v>0</v>
      </c>
      <c r="I410" s="389">
        <f t="shared" si="202"/>
        <v>0</v>
      </c>
      <c r="J410" s="389">
        <f t="shared" si="202"/>
        <v>0</v>
      </c>
      <c r="K410" s="389">
        <f t="shared" si="202"/>
        <v>0</v>
      </c>
      <c r="L410" s="389">
        <f t="shared" si="202"/>
        <v>0</v>
      </c>
      <c r="M410" s="389">
        <f t="shared" si="202"/>
        <v>0</v>
      </c>
      <c r="N410" s="389">
        <f t="shared" si="202"/>
        <v>0</v>
      </c>
      <c r="O410" s="389">
        <f t="shared" si="202"/>
        <v>0</v>
      </c>
      <c r="P410" s="389">
        <f t="shared" si="202"/>
        <v>0</v>
      </c>
      <c r="Q410" s="389">
        <f t="shared" si="202"/>
        <v>0</v>
      </c>
      <c r="R410" s="389">
        <f t="shared" si="202"/>
        <v>0</v>
      </c>
      <c r="S410" s="389">
        <f t="shared" si="202"/>
        <v>0</v>
      </c>
      <c r="T410" s="389">
        <f t="shared" si="202"/>
        <v>0</v>
      </c>
      <c r="U410" s="389">
        <f t="shared" si="202"/>
        <v>0</v>
      </c>
      <c r="V410" s="389">
        <f t="shared" si="202"/>
        <v>0</v>
      </c>
      <c r="W410" s="389">
        <f t="shared" si="202"/>
        <v>0</v>
      </c>
      <c r="X410" s="389">
        <f t="shared" si="202"/>
        <v>0</v>
      </c>
      <c r="Y410" s="389">
        <f t="shared" si="202"/>
        <v>0</v>
      </c>
      <c r="Z410" s="389">
        <f t="shared" si="202"/>
        <v>0</v>
      </c>
      <c r="AA410" s="389">
        <f t="shared" si="202"/>
        <v>0</v>
      </c>
      <c r="AB410" s="389">
        <f t="shared" si="202"/>
        <v>0</v>
      </c>
      <c r="AC410" s="389">
        <f t="shared" si="202"/>
        <v>0</v>
      </c>
      <c r="AD410" s="389">
        <f t="shared" si="202"/>
        <v>0</v>
      </c>
      <c r="AE410" s="389">
        <f t="shared" si="202"/>
        <v>0</v>
      </c>
      <c r="AF410" s="389">
        <f t="shared" si="202"/>
        <v>0</v>
      </c>
      <c r="AG410" s="389">
        <f t="shared" si="202"/>
        <v>0</v>
      </c>
      <c r="AH410" s="389">
        <f t="shared" si="202"/>
        <v>0</v>
      </c>
      <c r="AI410" s="389">
        <f t="shared" si="202"/>
        <v>0</v>
      </c>
      <c r="AJ410" s="389">
        <f t="shared" si="202"/>
        <v>0</v>
      </c>
      <c r="AK410" s="389">
        <f t="shared" si="202"/>
        <v>0</v>
      </c>
      <c r="AL410" s="389">
        <f t="shared" si="202"/>
        <v>0</v>
      </c>
      <c r="AM410" s="389">
        <f t="shared" si="202"/>
        <v>0</v>
      </c>
      <c r="AN410" s="389">
        <f t="shared" si="202"/>
        <v>0</v>
      </c>
      <c r="AO410" s="389">
        <f t="shared" si="202"/>
        <v>0</v>
      </c>
      <c r="AP410" s="389">
        <f t="shared" si="202"/>
        <v>0</v>
      </c>
    </row>
    <row r="411" spans="1:42" x14ac:dyDescent="0.2">
      <c r="A411" s="21">
        <f t="shared" si="201"/>
        <v>4</v>
      </c>
      <c r="B411" s="409">
        <f t="shared" si="198"/>
        <v>0</v>
      </c>
      <c r="C411" s="411">
        <f t="shared" ref="C411:AP411" si="203">LOOKUP(C399,$B$391:$AP$391,$B$392:$AP$392)*$B588</f>
        <v>0</v>
      </c>
      <c r="D411" s="389">
        <f t="shared" si="203"/>
        <v>0</v>
      </c>
      <c r="E411" s="389">
        <f t="shared" si="203"/>
        <v>0</v>
      </c>
      <c r="F411" s="389">
        <f t="shared" si="203"/>
        <v>0</v>
      </c>
      <c r="G411" s="389">
        <f t="shared" si="203"/>
        <v>0</v>
      </c>
      <c r="H411" s="389">
        <f t="shared" si="203"/>
        <v>0</v>
      </c>
      <c r="I411" s="389">
        <f t="shared" si="203"/>
        <v>0</v>
      </c>
      <c r="J411" s="389">
        <f t="shared" si="203"/>
        <v>0</v>
      </c>
      <c r="K411" s="389">
        <f t="shared" si="203"/>
        <v>0</v>
      </c>
      <c r="L411" s="389">
        <f t="shared" si="203"/>
        <v>0</v>
      </c>
      <c r="M411" s="389">
        <f t="shared" si="203"/>
        <v>0</v>
      </c>
      <c r="N411" s="389">
        <f t="shared" si="203"/>
        <v>0</v>
      </c>
      <c r="O411" s="389">
        <f t="shared" si="203"/>
        <v>0</v>
      </c>
      <c r="P411" s="389">
        <f t="shared" si="203"/>
        <v>0</v>
      </c>
      <c r="Q411" s="389">
        <f t="shared" si="203"/>
        <v>0</v>
      </c>
      <c r="R411" s="389">
        <f t="shared" si="203"/>
        <v>0</v>
      </c>
      <c r="S411" s="389">
        <f t="shared" si="203"/>
        <v>0</v>
      </c>
      <c r="T411" s="389">
        <f t="shared" si="203"/>
        <v>0</v>
      </c>
      <c r="U411" s="389">
        <f t="shared" si="203"/>
        <v>0</v>
      </c>
      <c r="V411" s="389">
        <f t="shared" si="203"/>
        <v>0</v>
      </c>
      <c r="W411" s="389">
        <f t="shared" si="203"/>
        <v>0</v>
      </c>
      <c r="X411" s="389">
        <f t="shared" si="203"/>
        <v>0</v>
      </c>
      <c r="Y411" s="389">
        <f t="shared" si="203"/>
        <v>0</v>
      </c>
      <c r="Z411" s="389">
        <f t="shared" si="203"/>
        <v>0</v>
      </c>
      <c r="AA411" s="389">
        <f t="shared" si="203"/>
        <v>0</v>
      </c>
      <c r="AB411" s="389">
        <f t="shared" si="203"/>
        <v>0</v>
      </c>
      <c r="AC411" s="389">
        <f t="shared" si="203"/>
        <v>0</v>
      </c>
      <c r="AD411" s="389">
        <f t="shared" si="203"/>
        <v>0</v>
      </c>
      <c r="AE411" s="389">
        <f t="shared" si="203"/>
        <v>0</v>
      </c>
      <c r="AF411" s="389">
        <f t="shared" si="203"/>
        <v>0</v>
      </c>
      <c r="AG411" s="389">
        <f t="shared" si="203"/>
        <v>0</v>
      </c>
      <c r="AH411" s="389">
        <f t="shared" si="203"/>
        <v>0</v>
      </c>
      <c r="AI411" s="389">
        <f t="shared" si="203"/>
        <v>0</v>
      </c>
      <c r="AJ411" s="389">
        <f t="shared" si="203"/>
        <v>0</v>
      </c>
      <c r="AK411" s="389">
        <f t="shared" si="203"/>
        <v>0</v>
      </c>
      <c r="AL411" s="389">
        <f t="shared" si="203"/>
        <v>0</v>
      </c>
      <c r="AM411" s="389">
        <f t="shared" si="203"/>
        <v>0</v>
      </c>
      <c r="AN411" s="389">
        <f t="shared" si="203"/>
        <v>0</v>
      </c>
      <c r="AO411" s="389">
        <f t="shared" si="203"/>
        <v>0</v>
      </c>
      <c r="AP411" s="389">
        <f t="shared" si="203"/>
        <v>0</v>
      </c>
    </row>
    <row r="412" spans="1:42" x14ac:dyDescent="0.2">
      <c r="A412" s="21">
        <f t="shared" si="201"/>
        <v>5</v>
      </c>
      <c r="B412" s="409">
        <f t="shared" si="198"/>
        <v>0</v>
      </c>
      <c r="C412" s="411">
        <f t="shared" ref="C412:AP412" si="204">LOOKUP(C400,$B$391:$AP$391,$B$392:$AP$392)*$B589</f>
        <v>0</v>
      </c>
      <c r="D412" s="389">
        <f t="shared" si="204"/>
        <v>0</v>
      </c>
      <c r="E412" s="389">
        <f t="shared" si="204"/>
        <v>0</v>
      </c>
      <c r="F412" s="389">
        <f t="shared" si="204"/>
        <v>0</v>
      </c>
      <c r="G412" s="389">
        <f t="shared" si="204"/>
        <v>0</v>
      </c>
      <c r="H412" s="389">
        <f t="shared" si="204"/>
        <v>0</v>
      </c>
      <c r="I412" s="389">
        <f t="shared" si="204"/>
        <v>0</v>
      </c>
      <c r="J412" s="389">
        <f t="shared" si="204"/>
        <v>0</v>
      </c>
      <c r="K412" s="389">
        <f t="shared" si="204"/>
        <v>0</v>
      </c>
      <c r="L412" s="389">
        <f t="shared" si="204"/>
        <v>0</v>
      </c>
      <c r="M412" s="389">
        <f t="shared" si="204"/>
        <v>0</v>
      </c>
      <c r="N412" s="389">
        <f t="shared" si="204"/>
        <v>0</v>
      </c>
      <c r="O412" s="389">
        <f t="shared" si="204"/>
        <v>0</v>
      </c>
      <c r="P412" s="389">
        <f t="shared" si="204"/>
        <v>0</v>
      </c>
      <c r="Q412" s="389">
        <f t="shared" si="204"/>
        <v>0</v>
      </c>
      <c r="R412" s="389">
        <f t="shared" si="204"/>
        <v>0</v>
      </c>
      <c r="S412" s="389">
        <f t="shared" si="204"/>
        <v>0</v>
      </c>
      <c r="T412" s="389">
        <f t="shared" si="204"/>
        <v>0</v>
      </c>
      <c r="U412" s="389">
        <f t="shared" si="204"/>
        <v>0</v>
      </c>
      <c r="V412" s="389">
        <f t="shared" si="204"/>
        <v>0</v>
      </c>
      <c r="W412" s="389">
        <f t="shared" si="204"/>
        <v>0</v>
      </c>
      <c r="X412" s="389">
        <f t="shared" si="204"/>
        <v>0</v>
      </c>
      <c r="Y412" s="389">
        <f t="shared" si="204"/>
        <v>0</v>
      </c>
      <c r="Z412" s="389">
        <f t="shared" si="204"/>
        <v>0</v>
      </c>
      <c r="AA412" s="389">
        <f t="shared" si="204"/>
        <v>0</v>
      </c>
      <c r="AB412" s="389">
        <f t="shared" si="204"/>
        <v>0</v>
      </c>
      <c r="AC412" s="389">
        <f t="shared" si="204"/>
        <v>0</v>
      </c>
      <c r="AD412" s="389">
        <f t="shared" si="204"/>
        <v>0</v>
      </c>
      <c r="AE412" s="389">
        <f t="shared" si="204"/>
        <v>0</v>
      </c>
      <c r="AF412" s="389">
        <f t="shared" si="204"/>
        <v>0</v>
      </c>
      <c r="AG412" s="389">
        <f t="shared" si="204"/>
        <v>0</v>
      </c>
      <c r="AH412" s="389">
        <f t="shared" si="204"/>
        <v>0</v>
      </c>
      <c r="AI412" s="389">
        <f t="shared" si="204"/>
        <v>0</v>
      </c>
      <c r="AJ412" s="389">
        <f t="shared" si="204"/>
        <v>0</v>
      </c>
      <c r="AK412" s="389">
        <f t="shared" si="204"/>
        <v>0</v>
      </c>
      <c r="AL412" s="389">
        <f t="shared" si="204"/>
        <v>0</v>
      </c>
      <c r="AM412" s="389">
        <f t="shared" si="204"/>
        <v>0</v>
      </c>
      <c r="AN412" s="389">
        <f t="shared" si="204"/>
        <v>0</v>
      </c>
      <c r="AO412" s="389">
        <f t="shared" si="204"/>
        <v>0</v>
      </c>
      <c r="AP412" s="389">
        <f t="shared" si="204"/>
        <v>0</v>
      </c>
    </row>
    <row r="413" spans="1:42" x14ac:dyDescent="0.2">
      <c r="A413" s="21">
        <f t="shared" si="201"/>
        <v>6</v>
      </c>
      <c r="B413" s="409">
        <f t="shared" si="198"/>
        <v>0</v>
      </c>
      <c r="C413" s="411">
        <f t="shared" ref="C413:AP413" si="205">LOOKUP(C401,$B$391:$AP$391,$B$392:$AP$392)*$B590</f>
        <v>0</v>
      </c>
      <c r="D413" s="389">
        <f t="shared" si="205"/>
        <v>0</v>
      </c>
      <c r="E413" s="389">
        <f t="shared" si="205"/>
        <v>0</v>
      </c>
      <c r="F413" s="389">
        <f t="shared" si="205"/>
        <v>0</v>
      </c>
      <c r="G413" s="389">
        <f t="shared" si="205"/>
        <v>0</v>
      </c>
      <c r="H413" s="389">
        <f t="shared" si="205"/>
        <v>0</v>
      </c>
      <c r="I413" s="389">
        <f t="shared" si="205"/>
        <v>0</v>
      </c>
      <c r="J413" s="389">
        <f t="shared" si="205"/>
        <v>0</v>
      </c>
      <c r="K413" s="389">
        <f t="shared" si="205"/>
        <v>0</v>
      </c>
      <c r="L413" s="389">
        <f t="shared" si="205"/>
        <v>0</v>
      </c>
      <c r="M413" s="389">
        <f t="shared" si="205"/>
        <v>0</v>
      </c>
      <c r="N413" s="389">
        <f t="shared" si="205"/>
        <v>0</v>
      </c>
      <c r="O413" s="389">
        <f t="shared" si="205"/>
        <v>0</v>
      </c>
      <c r="P413" s="389">
        <f t="shared" si="205"/>
        <v>0</v>
      </c>
      <c r="Q413" s="389">
        <f t="shared" si="205"/>
        <v>0</v>
      </c>
      <c r="R413" s="389">
        <f t="shared" si="205"/>
        <v>0</v>
      </c>
      <c r="S413" s="389">
        <f t="shared" si="205"/>
        <v>0</v>
      </c>
      <c r="T413" s="389">
        <f t="shared" si="205"/>
        <v>0</v>
      </c>
      <c r="U413" s="389">
        <f t="shared" si="205"/>
        <v>0</v>
      </c>
      <c r="V413" s="389">
        <f t="shared" si="205"/>
        <v>0</v>
      </c>
      <c r="W413" s="389">
        <f t="shared" si="205"/>
        <v>0</v>
      </c>
      <c r="X413" s="389">
        <f t="shared" si="205"/>
        <v>0</v>
      </c>
      <c r="Y413" s="389">
        <f t="shared" si="205"/>
        <v>0</v>
      </c>
      <c r="Z413" s="389">
        <f t="shared" si="205"/>
        <v>0</v>
      </c>
      <c r="AA413" s="389">
        <f t="shared" si="205"/>
        <v>0</v>
      </c>
      <c r="AB413" s="389">
        <f t="shared" si="205"/>
        <v>0</v>
      </c>
      <c r="AC413" s="389">
        <f t="shared" si="205"/>
        <v>0</v>
      </c>
      <c r="AD413" s="389">
        <f t="shared" si="205"/>
        <v>0</v>
      </c>
      <c r="AE413" s="389">
        <f t="shared" si="205"/>
        <v>0</v>
      </c>
      <c r="AF413" s="389">
        <f t="shared" si="205"/>
        <v>0</v>
      </c>
      <c r="AG413" s="389">
        <f t="shared" si="205"/>
        <v>0</v>
      </c>
      <c r="AH413" s="389">
        <f t="shared" si="205"/>
        <v>0</v>
      </c>
      <c r="AI413" s="389">
        <f t="shared" si="205"/>
        <v>0</v>
      </c>
      <c r="AJ413" s="389">
        <f t="shared" si="205"/>
        <v>0</v>
      </c>
      <c r="AK413" s="389">
        <f t="shared" si="205"/>
        <v>0</v>
      </c>
      <c r="AL413" s="389">
        <f t="shared" si="205"/>
        <v>0</v>
      </c>
      <c r="AM413" s="389">
        <f t="shared" si="205"/>
        <v>0</v>
      </c>
      <c r="AN413" s="389">
        <f t="shared" si="205"/>
        <v>0</v>
      </c>
      <c r="AO413" s="389">
        <f t="shared" si="205"/>
        <v>0</v>
      </c>
      <c r="AP413" s="389">
        <f t="shared" si="205"/>
        <v>0</v>
      </c>
    </row>
    <row r="414" spans="1:42" x14ac:dyDescent="0.2">
      <c r="A414" s="21">
        <f t="shared" si="201"/>
        <v>7</v>
      </c>
      <c r="B414" s="409">
        <f t="shared" si="198"/>
        <v>0</v>
      </c>
      <c r="C414" s="411">
        <f t="shared" ref="C414:AP414" si="206">LOOKUP(C402,$B$391:$AP$391,$B$392:$AP$392)*$B591</f>
        <v>0</v>
      </c>
      <c r="D414" s="389">
        <f t="shared" si="206"/>
        <v>0</v>
      </c>
      <c r="E414" s="389">
        <f t="shared" si="206"/>
        <v>0</v>
      </c>
      <c r="F414" s="389">
        <f t="shared" si="206"/>
        <v>0</v>
      </c>
      <c r="G414" s="389">
        <f t="shared" si="206"/>
        <v>0</v>
      </c>
      <c r="H414" s="389">
        <f t="shared" si="206"/>
        <v>0</v>
      </c>
      <c r="I414" s="389">
        <f t="shared" si="206"/>
        <v>0</v>
      </c>
      <c r="J414" s="389">
        <f t="shared" si="206"/>
        <v>0</v>
      </c>
      <c r="K414" s="389">
        <f t="shared" si="206"/>
        <v>0</v>
      </c>
      <c r="L414" s="389">
        <f t="shared" si="206"/>
        <v>0</v>
      </c>
      <c r="M414" s="389">
        <f t="shared" si="206"/>
        <v>0</v>
      </c>
      <c r="N414" s="389">
        <f t="shared" si="206"/>
        <v>0</v>
      </c>
      <c r="O414" s="389">
        <f t="shared" si="206"/>
        <v>0</v>
      </c>
      <c r="P414" s="389">
        <f t="shared" si="206"/>
        <v>0</v>
      </c>
      <c r="Q414" s="389">
        <f t="shared" si="206"/>
        <v>0</v>
      </c>
      <c r="R414" s="389">
        <f t="shared" si="206"/>
        <v>0</v>
      </c>
      <c r="S414" s="389">
        <f t="shared" si="206"/>
        <v>0</v>
      </c>
      <c r="T414" s="389">
        <f t="shared" si="206"/>
        <v>0</v>
      </c>
      <c r="U414" s="389">
        <f t="shared" si="206"/>
        <v>0</v>
      </c>
      <c r="V414" s="389">
        <f t="shared" si="206"/>
        <v>0</v>
      </c>
      <c r="W414" s="389">
        <f t="shared" si="206"/>
        <v>0</v>
      </c>
      <c r="X414" s="389">
        <f t="shared" si="206"/>
        <v>0</v>
      </c>
      <c r="Y414" s="389">
        <f t="shared" si="206"/>
        <v>0</v>
      </c>
      <c r="Z414" s="389">
        <f t="shared" si="206"/>
        <v>0</v>
      </c>
      <c r="AA414" s="389">
        <f t="shared" si="206"/>
        <v>0</v>
      </c>
      <c r="AB414" s="389">
        <f t="shared" si="206"/>
        <v>0</v>
      </c>
      <c r="AC414" s="389">
        <f t="shared" si="206"/>
        <v>0</v>
      </c>
      <c r="AD414" s="389">
        <f t="shared" si="206"/>
        <v>0</v>
      </c>
      <c r="AE414" s="389">
        <f t="shared" si="206"/>
        <v>0</v>
      </c>
      <c r="AF414" s="389">
        <f t="shared" si="206"/>
        <v>0</v>
      </c>
      <c r="AG414" s="389">
        <f t="shared" si="206"/>
        <v>0</v>
      </c>
      <c r="AH414" s="389">
        <f t="shared" si="206"/>
        <v>0</v>
      </c>
      <c r="AI414" s="389">
        <f t="shared" si="206"/>
        <v>0</v>
      </c>
      <c r="AJ414" s="389">
        <f t="shared" si="206"/>
        <v>0</v>
      </c>
      <c r="AK414" s="389">
        <f t="shared" si="206"/>
        <v>0</v>
      </c>
      <c r="AL414" s="389">
        <f t="shared" si="206"/>
        <v>0</v>
      </c>
      <c r="AM414" s="389">
        <f t="shared" si="206"/>
        <v>0</v>
      </c>
      <c r="AN414" s="389">
        <f t="shared" si="206"/>
        <v>0</v>
      </c>
      <c r="AO414" s="389">
        <f t="shared" si="206"/>
        <v>0</v>
      </c>
      <c r="AP414" s="389">
        <f t="shared" si="206"/>
        <v>0</v>
      </c>
    </row>
    <row r="415" spans="1:42" x14ac:dyDescent="0.2">
      <c r="A415" s="21">
        <f t="shared" si="201"/>
        <v>8</v>
      </c>
      <c r="B415" s="409">
        <f t="shared" si="198"/>
        <v>0</v>
      </c>
      <c r="C415" s="411">
        <f t="shared" ref="C415:AP415" si="207">LOOKUP(C403,$B$391:$AP$391,$B$392:$AP$392)*$B592</f>
        <v>0</v>
      </c>
      <c r="D415" s="389">
        <f t="shared" si="207"/>
        <v>0</v>
      </c>
      <c r="E415" s="389">
        <f t="shared" si="207"/>
        <v>0</v>
      </c>
      <c r="F415" s="389">
        <f t="shared" si="207"/>
        <v>0</v>
      </c>
      <c r="G415" s="389">
        <f t="shared" si="207"/>
        <v>0</v>
      </c>
      <c r="H415" s="389">
        <f t="shared" si="207"/>
        <v>0</v>
      </c>
      <c r="I415" s="389">
        <f t="shared" si="207"/>
        <v>0</v>
      </c>
      <c r="J415" s="389">
        <f t="shared" si="207"/>
        <v>0</v>
      </c>
      <c r="K415" s="389">
        <f t="shared" si="207"/>
        <v>0</v>
      </c>
      <c r="L415" s="389">
        <f t="shared" si="207"/>
        <v>0</v>
      </c>
      <c r="M415" s="389">
        <f t="shared" si="207"/>
        <v>0</v>
      </c>
      <c r="N415" s="389">
        <f t="shared" si="207"/>
        <v>0</v>
      </c>
      <c r="O415" s="389">
        <f t="shared" si="207"/>
        <v>0</v>
      </c>
      <c r="P415" s="389">
        <f t="shared" si="207"/>
        <v>0</v>
      </c>
      <c r="Q415" s="389">
        <f t="shared" si="207"/>
        <v>0</v>
      </c>
      <c r="R415" s="389">
        <f t="shared" si="207"/>
        <v>0</v>
      </c>
      <c r="S415" s="389">
        <f t="shared" si="207"/>
        <v>0</v>
      </c>
      <c r="T415" s="389">
        <f t="shared" si="207"/>
        <v>0</v>
      </c>
      <c r="U415" s="389">
        <f t="shared" si="207"/>
        <v>0</v>
      </c>
      <c r="V415" s="389">
        <f t="shared" si="207"/>
        <v>0</v>
      </c>
      <c r="W415" s="389">
        <f t="shared" si="207"/>
        <v>0</v>
      </c>
      <c r="X415" s="389">
        <f t="shared" si="207"/>
        <v>0</v>
      </c>
      <c r="Y415" s="389">
        <f t="shared" si="207"/>
        <v>0</v>
      </c>
      <c r="Z415" s="389">
        <f t="shared" si="207"/>
        <v>0</v>
      </c>
      <c r="AA415" s="389">
        <f t="shared" si="207"/>
        <v>0</v>
      </c>
      <c r="AB415" s="389">
        <f t="shared" si="207"/>
        <v>0</v>
      </c>
      <c r="AC415" s="389">
        <f t="shared" si="207"/>
        <v>0</v>
      </c>
      <c r="AD415" s="389">
        <f t="shared" si="207"/>
        <v>0</v>
      </c>
      <c r="AE415" s="389">
        <f t="shared" si="207"/>
        <v>0</v>
      </c>
      <c r="AF415" s="389">
        <f t="shared" si="207"/>
        <v>0</v>
      </c>
      <c r="AG415" s="389">
        <f t="shared" si="207"/>
        <v>0</v>
      </c>
      <c r="AH415" s="389">
        <f t="shared" si="207"/>
        <v>0</v>
      </c>
      <c r="AI415" s="389">
        <f t="shared" si="207"/>
        <v>0</v>
      </c>
      <c r="AJ415" s="389">
        <f t="shared" si="207"/>
        <v>0</v>
      </c>
      <c r="AK415" s="389">
        <f t="shared" si="207"/>
        <v>0</v>
      </c>
      <c r="AL415" s="389">
        <f t="shared" si="207"/>
        <v>0</v>
      </c>
      <c r="AM415" s="389">
        <f t="shared" si="207"/>
        <v>0</v>
      </c>
      <c r="AN415" s="389">
        <f t="shared" si="207"/>
        <v>0</v>
      </c>
      <c r="AO415" s="389">
        <f t="shared" si="207"/>
        <v>0</v>
      </c>
      <c r="AP415" s="389">
        <f t="shared" si="207"/>
        <v>0</v>
      </c>
    </row>
    <row r="416" spans="1:42" x14ac:dyDescent="0.2">
      <c r="A416" s="21">
        <f>A415+1</f>
        <v>9</v>
      </c>
      <c r="B416" s="409">
        <f t="shared" si="198"/>
        <v>0</v>
      </c>
      <c r="C416" s="411">
        <f t="shared" ref="C416:AP416" si="208">LOOKUP(C404,$B$391:$AP$391,$B$392:$AP$392)*$B593</f>
        <v>0</v>
      </c>
      <c r="D416" s="389">
        <f t="shared" si="208"/>
        <v>0</v>
      </c>
      <c r="E416" s="389">
        <f t="shared" si="208"/>
        <v>0</v>
      </c>
      <c r="F416" s="389">
        <f t="shared" si="208"/>
        <v>0</v>
      </c>
      <c r="G416" s="389">
        <f t="shared" si="208"/>
        <v>0</v>
      </c>
      <c r="H416" s="389">
        <f t="shared" si="208"/>
        <v>0</v>
      </c>
      <c r="I416" s="389">
        <f t="shared" si="208"/>
        <v>0</v>
      </c>
      <c r="J416" s="389">
        <f t="shared" si="208"/>
        <v>0</v>
      </c>
      <c r="K416" s="389">
        <f t="shared" si="208"/>
        <v>0</v>
      </c>
      <c r="L416" s="389">
        <f t="shared" si="208"/>
        <v>0</v>
      </c>
      <c r="M416" s="389">
        <f t="shared" si="208"/>
        <v>0</v>
      </c>
      <c r="N416" s="389">
        <f t="shared" si="208"/>
        <v>0</v>
      </c>
      <c r="O416" s="389">
        <f t="shared" si="208"/>
        <v>0</v>
      </c>
      <c r="P416" s="389">
        <f t="shared" si="208"/>
        <v>0</v>
      </c>
      <c r="Q416" s="389">
        <f t="shared" si="208"/>
        <v>0</v>
      </c>
      <c r="R416" s="389">
        <f t="shared" si="208"/>
        <v>0</v>
      </c>
      <c r="S416" s="389">
        <f t="shared" si="208"/>
        <v>0</v>
      </c>
      <c r="T416" s="389">
        <f t="shared" si="208"/>
        <v>0</v>
      </c>
      <c r="U416" s="389">
        <f t="shared" si="208"/>
        <v>0</v>
      </c>
      <c r="V416" s="389">
        <f t="shared" si="208"/>
        <v>0</v>
      </c>
      <c r="W416" s="389">
        <f t="shared" si="208"/>
        <v>0</v>
      </c>
      <c r="X416" s="389">
        <f t="shared" si="208"/>
        <v>0</v>
      </c>
      <c r="Y416" s="389">
        <f t="shared" si="208"/>
        <v>0</v>
      </c>
      <c r="Z416" s="389">
        <f t="shared" si="208"/>
        <v>0</v>
      </c>
      <c r="AA416" s="389">
        <f t="shared" si="208"/>
        <v>0</v>
      </c>
      <c r="AB416" s="389">
        <f t="shared" si="208"/>
        <v>0</v>
      </c>
      <c r="AC416" s="389">
        <f t="shared" si="208"/>
        <v>0</v>
      </c>
      <c r="AD416" s="389">
        <f t="shared" si="208"/>
        <v>0</v>
      </c>
      <c r="AE416" s="389">
        <f t="shared" si="208"/>
        <v>0</v>
      </c>
      <c r="AF416" s="389">
        <f t="shared" si="208"/>
        <v>0</v>
      </c>
      <c r="AG416" s="389">
        <f t="shared" si="208"/>
        <v>0</v>
      </c>
      <c r="AH416" s="389">
        <f t="shared" si="208"/>
        <v>0</v>
      </c>
      <c r="AI416" s="389">
        <f t="shared" si="208"/>
        <v>0</v>
      </c>
      <c r="AJ416" s="389">
        <f t="shared" si="208"/>
        <v>0</v>
      </c>
      <c r="AK416" s="389">
        <f t="shared" si="208"/>
        <v>0</v>
      </c>
      <c r="AL416" s="389">
        <f t="shared" si="208"/>
        <v>0</v>
      </c>
      <c r="AM416" s="389">
        <f t="shared" si="208"/>
        <v>0</v>
      </c>
      <c r="AN416" s="389">
        <f t="shared" si="208"/>
        <v>0</v>
      </c>
      <c r="AO416" s="389">
        <f t="shared" si="208"/>
        <v>0</v>
      </c>
      <c r="AP416" s="389">
        <f t="shared" si="208"/>
        <v>0</v>
      </c>
    </row>
    <row r="417" spans="1:42" x14ac:dyDescent="0.2">
      <c r="A417" s="21">
        <f t="shared" ref="A417" si="209">A416+1</f>
        <v>10</v>
      </c>
      <c r="B417" s="409">
        <f t="shared" si="198"/>
        <v>0</v>
      </c>
      <c r="C417" s="410">
        <f t="shared" ref="C417:AP417" si="210">LOOKUP(C405,$B$391:$AP$391,$B$392:$AP$392)*$B594</f>
        <v>0</v>
      </c>
      <c r="D417" s="394">
        <f t="shared" si="210"/>
        <v>0</v>
      </c>
      <c r="E417" s="394">
        <f t="shared" si="210"/>
        <v>0</v>
      </c>
      <c r="F417" s="394">
        <f t="shared" si="210"/>
        <v>0</v>
      </c>
      <c r="G417" s="394">
        <f t="shared" si="210"/>
        <v>0</v>
      </c>
      <c r="H417" s="394">
        <f t="shared" si="210"/>
        <v>0</v>
      </c>
      <c r="I417" s="394">
        <f t="shared" si="210"/>
        <v>0</v>
      </c>
      <c r="J417" s="394">
        <f t="shared" si="210"/>
        <v>0</v>
      </c>
      <c r="K417" s="394">
        <f t="shared" si="210"/>
        <v>0</v>
      </c>
      <c r="L417" s="394">
        <f t="shared" si="210"/>
        <v>0</v>
      </c>
      <c r="M417" s="394">
        <f t="shared" si="210"/>
        <v>0</v>
      </c>
      <c r="N417" s="394">
        <f t="shared" si="210"/>
        <v>0</v>
      </c>
      <c r="O417" s="394">
        <f t="shared" si="210"/>
        <v>0</v>
      </c>
      <c r="P417" s="394">
        <f t="shared" si="210"/>
        <v>0</v>
      </c>
      <c r="Q417" s="394">
        <f t="shared" si="210"/>
        <v>0</v>
      </c>
      <c r="R417" s="394">
        <f t="shared" si="210"/>
        <v>0</v>
      </c>
      <c r="S417" s="394">
        <f t="shared" si="210"/>
        <v>0</v>
      </c>
      <c r="T417" s="394">
        <f t="shared" si="210"/>
        <v>0</v>
      </c>
      <c r="U417" s="394">
        <f t="shared" si="210"/>
        <v>0</v>
      </c>
      <c r="V417" s="394">
        <f t="shared" si="210"/>
        <v>0</v>
      </c>
      <c r="W417" s="394">
        <f t="shared" si="210"/>
        <v>0</v>
      </c>
      <c r="X417" s="394">
        <f t="shared" si="210"/>
        <v>0</v>
      </c>
      <c r="Y417" s="394">
        <f t="shared" si="210"/>
        <v>0</v>
      </c>
      <c r="Z417" s="394">
        <f t="shared" si="210"/>
        <v>0</v>
      </c>
      <c r="AA417" s="394">
        <f t="shared" si="210"/>
        <v>0</v>
      </c>
      <c r="AB417" s="394">
        <f t="shared" si="210"/>
        <v>0</v>
      </c>
      <c r="AC417" s="394">
        <f t="shared" si="210"/>
        <v>0</v>
      </c>
      <c r="AD417" s="394">
        <f t="shared" si="210"/>
        <v>0</v>
      </c>
      <c r="AE417" s="394">
        <f t="shared" si="210"/>
        <v>0</v>
      </c>
      <c r="AF417" s="394">
        <f t="shared" si="210"/>
        <v>0</v>
      </c>
      <c r="AG417" s="394">
        <f t="shared" si="210"/>
        <v>0</v>
      </c>
      <c r="AH417" s="394">
        <f t="shared" si="210"/>
        <v>0</v>
      </c>
      <c r="AI417" s="394">
        <f t="shared" si="210"/>
        <v>0</v>
      </c>
      <c r="AJ417" s="394">
        <f t="shared" si="210"/>
        <v>0</v>
      </c>
      <c r="AK417" s="394">
        <f t="shared" si="210"/>
        <v>0</v>
      </c>
      <c r="AL417" s="394">
        <f t="shared" si="210"/>
        <v>0</v>
      </c>
      <c r="AM417" s="394">
        <f t="shared" si="210"/>
        <v>0</v>
      </c>
      <c r="AN417" s="394">
        <f t="shared" si="210"/>
        <v>0</v>
      </c>
      <c r="AO417" s="394">
        <f t="shared" si="210"/>
        <v>0</v>
      </c>
      <c r="AP417" s="394">
        <f t="shared" si="210"/>
        <v>0</v>
      </c>
    </row>
    <row r="418" spans="1:42" s="21" customFormat="1" x14ac:dyDescent="0.2">
      <c r="A418" s="49" t="s">
        <v>21</v>
      </c>
      <c r="B418" s="24"/>
      <c r="C418" s="390">
        <f>SUM(C408:C417)</f>
        <v>0</v>
      </c>
      <c r="D418" s="390">
        <f t="shared" ref="D418:AP418" si="211">SUM(D408:D417)</f>
        <v>0</v>
      </c>
      <c r="E418" s="390">
        <f t="shared" si="211"/>
        <v>0</v>
      </c>
      <c r="F418" s="390">
        <f t="shared" si="211"/>
        <v>0</v>
      </c>
      <c r="G418" s="390">
        <f t="shared" si="211"/>
        <v>0</v>
      </c>
      <c r="H418" s="390">
        <f t="shared" si="211"/>
        <v>0</v>
      </c>
      <c r="I418" s="390">
        <f t="shared" si="211"/>
        <v>0</v>
      </c>
      <c r="J418" s="390">
        <f t="shared" si="211"/>
        <v>0</v>
      </c>
      <c r="K418" s="390">
        <f t="shared" si="211"/>
        <v>0</v>
      </c>
      <c r="L418" s="390">
        <f t="shared" si="211"/>
        <v>0</v>
      </c>
      <c r="M418" s="390">
        <f t="shared" si="211"/>
        <v>0</v>
      </c>
      <c r="N418" s="390">
        <f t="shared" si="211"/>
        <v>65604332.890063301</v>
      </c>
      <c r="O418" s="390">
        <f t="shared" si="211"/>
        <v>104966932.62410128</v>
      </c>
      <c r="P418" s="390">
        <f t="shared" si="211"/>
        <v>62980159.574460767</v>
      </c>
      <c r="Q418" s="390">
        <f t="shared" si="211"/>
        <v>37788095.744676463</v>
      </c>
      <c r="R418" s="390">
        <f t="shared" si="211"/>
        <v>37788095.744676463</v>
      </c>
      <c r="S418" s="390">
        <f t="shared" si="211"/>
        <v>18894047.872338232</v>
      </c>
      <c r="T418" s="390">
        <f t="shared" si="211"/>
        <v>0</v>
      </c>
      <c r="U418" s="390">
        <f t="shared" si="211"/>
        <v>0</v>
      </c>
      <c r="V418" s="390">
        <f t="shared" si="211"/>
        <v>0</v>
      </c>
      <c r="W418" s="390">
        <f t="shared" si="211"/>
        <v>0</v>
      </c>
      <c r="X418" s="390">
        <f t="shared" si="211"/>
        <v>0</v>
      </c>
      <c r="Y418" s="390">
        <f t="shared" si="211"/>
        <v>0</v>
      </c>
      <c r="Z418" s="390">
        <f t="shared" si="211"/>
        <v>88230534.12597996</v>
      </c>
      <c r="AA418" s="390">
        <f t="shared" si="211"/>
        <v>141168854.60156792</v>
      </c>
      <c r="AB418" s="390">
        <f t="shared" si="211"/>
        <v>0</v>
      </c>
      <c r="AC418" s="390">
        <f t="shared" si="211"/>
        <v>0</v>
      </c>
      <c r="AD418" s="390">
        <f t="shared" si="211"/>
        <v>0</v>
      </c>
      <c r="AE418" s="390">
        <f t="shared" si="211"/>
        <v>0</v>
      </c>
      <c r="AF418" s="390">
        <f t="shared" si="211"/>
        <v>0</v>
      </c>
      <c r="AG418" s="390">
        <f t="shared" si="211"/>
        <v>0</v>
      </c>
      <c r="AH418" s="390">
        <f t="shared" si="211"/>
        <v>0</v>
      </c>
      <c r="AI418" s="390">
        <f t="shared" si="211"/>
        <v>0</v>
      </c>
      <c r="AJ418" s="390">
        <f t="shared" si="211"/>
        <v>0</v>
      </c>
      <c r="AK418" s="390">
        <f t="shared" si="211"/>
        <v>0</v>
      </c>
      <c r="AL418" s="390">
        <f t="shared" si="211"/>
        <v>0</v>
      </c>
      <c r="AM418" s="390">
        <f t="shared" si="211"/>
        <v>0</v>
      </c>
      <c r="AN418" s="390">
        <f t="shared" si="211"/>
        <v>0</v>
      </c>
      <c r="AO418" s="390">
        <f t="shared" si="211"/>
        <v>0</v>
      </c>
      <c r="AP418" s="390">
        <f t="shared" si="211"/>
        <v>0</v>
      </c>
    </row>
    <row r="419" spans="1:42" s="21" customFormat="1" x14ac:dyDescent="0.2">
      <c r="A419" s="49"/>
      <c r="B419" s="24"/>
      <c r="C419" s="390"/>
      <c r="D419" s="24"/>
      <c r="E419" s="24"/>
      <c r="F419" s="24"/>
      <c r="G419" s="24"/>
      <c r="H419" s="24"/>
      <c r="I419" s="24"/>
      <c r="J419" s="24"/>
      <c r="K419" s="24"/>
      <c r="L419" s="24"/>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row>
    <row r="420" spans="1:42" x14ac:dyDescent="0.2">
      <c r="A420" s="38" t="s">
        <v>162</v>
      </c>
      <c r="C420" s="390"/>
      <c r="D420" s="36"/>
      <c r="E420" s="36"/>
      <c r="F420" s="36"/>
      <c r="G420" s="36"/>
      <c r="H420" s="36"/>
      <c r="I420" s="36"/>
      <c r="J420" s="36"/>
      <c r="K420" s="36"/>
      <c r="L420" s="36"/>
      <c r="M420" s="36"/>
      <c r="N420" s="36"/>
      <c r="O420" s="36"/>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row>
    <row r="421" spans="1:42" x14ac:dyDescent="0.2">
      <c r="A421" s="40" t="s">
        <v>121</v>
      </c>
      <c r="C421" s="390"/>
      <c r="D421" s="36"/>
      <c r="E421" s="36"/>
      <c r="F421" s="36"/>
      <c r="G421" s="36"/>
      <c r="H421" s="36"/>
      <c r="I421" s="36"/>
      <c r="J421" s="36"/>
      <c r="K421" s="36"/>
      <c r="L421" s="36"/>
      <c r="M421" s="36"/>
      <c r="N421" s="36"/>
      <c r="O421" s="36"/>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row>
    <row r="422" spans="1:42" x14ac:dyDescent="0.2">
      <c r="A422" s="21">
        <v>1</v>
      </c>
      <c r="C422" s="390">
        <f>C287</f>
        <v>0</v>
      </c>
      <c r="D422" s="389">
        <f t="shared" ref="D422:AP428" si="212">D287</f>
        <v>0</v>
      </c>
      <c r="E422" s="389">
        <f t="shared" si="212"/>
        <v>0</v>
      </c>
      <c r="F422" s="389">
        <f t="shared" si="212"/>
        <v>0</v>
      </c>
      <c r="G422" s="389">
        <f t="shared" si="212"/>
        <v>0</v>
      </c>
      <c r="H422" s="389">
        <f t="shared" si="212"/>
        <v>0</v>
      </c>
      <c r="I422" s="389">
        <f t="shared" si="212"/>
        <v>0</v>
      </c>
      <c r="J422" s="389">
        <f t="shared" si="212"/>
        <v>0</v>
      </c>
      <c r="K422" s="389">
        <f t="shared" si="212"/>
        <v>0</v>
      </c>
      <c r="L422" s="389">
        <f t="shared" si="212"/>
        <v>0</v>
      </c>
      <c r="M422" s="389">
        <f t="shared" si="212"/>
        <v>0</v>
      </c>
      <c r="N422" s="389">
        <f t="shared" si="212"/>
        <v>0</v>
      </c>
      <c r="O422" s="389">
        <f t="shared" si="212"/>
        <v>0</v>
      </c>
      <c r="P422" s="389">
        <f t="shared" si="212"/>
        <v>0</v>
      </c>
      <c r="Q422" s="389">
        <f t="shared" si="212"/>
        <v>0</v>
      </c>
      <c r="R422" s="389">
        <f t="shared" si="212"/>
        <v>0</v>
      </c>
      <c r="S422" s="389">
        <f t="shared" si="212"/>
        <v>0</v>
      </c>
      <c r="T422" s="389">
        <f t="shared" si="212"/>
        <v>0</v>
      </c>
      <c r="U422" s="389">
        <f t="shared" si="212"/>
        <v>0</v>
      </c>
      <c r="V422" s="389">
        <f t="shared" si="212"/>
        <v>0</v>
      </c>
      <c r="W422" s="389">
        <f t="shared" si="212"/>
        <v>0</v>
      </c>
      <c r="X422" s="389">
        <f t="shared" si="212"/>
        <v>0</v>
      </c>
      <c r="Y422" s="389">
        <f t="shared" si="212"/>
        <v>0</v>
      </c>
      <c r="Z422" s="389">
        <f t="shared" si="212"/>
        <v>0</v>
      </c>
      <c r="AA422" s="389">
        <f t="shared" si="212"/>
        <v>0</v>
      </c>
      <c r="AB422" s="389">
        <f t="shared" si="212"/>
        <v>0</v>
      </c>
      <c r="AC422" s="389">
        <f t="shared" si="212"/>
        <v>0</v>
      </c>
      <c r="AD422" s="389">
        <f t="shared" si="212"/>
        <v>0</v>
      </c>
      <c r="AE422" s="389">
        <f t="shared" si="212"/>
        <v>0</v>
      </c>
      <c r="AF422" s="389">
        <f t="shared" si="212"/>
        <v>0</v>
      </c>
      <c r="AG422" s="389">
        <f t="shared" si="212"/>
        <v>0</v>
      </c>
      <c r="AH422" s="389">
        <f t="shared" si="212"/>
        <v>0</v>
      </c>
      <c r="AI422" s="389">
        <f t="shared" si="212"/>
        <v>0</v>
      </c>
      <c r="AJ422" s="389">
        <f t="shared" si="212"/>
        <v>0</v>
      </c>
      <c r="AK422" s="389">
        <f t="shared" si="212"/>
        <v>0</v>
      </c>
      <c r="AL422" s="389">
        <f t="shared" si="212"/>
        <v>0</v>
      </c>
      <c r="AM422" s="389">
        <f t="shared" si="212"/>
        <v>0</v>
      </c>
      <c r="AN422" s="389">
        <f t="shared" si="212"/>
        <v>0</v>
      </c>
      <c r="AO422" s="389">
        <f t="shared" si="212"/>
        <v>0</v>
      </c>
      <c r="AP422" s="389">
        <f t="shared" si="212"/>
        <v>0</v>
      </c>
    </row>
    <row r="423" spans="1:42" x14ac:dyDescent="0.2">
      <c r="A423" s="21">
        <f>A422+1</f>
        <v>2</v>
      </c>
      <c r="C423" s="390">
        <f t="shared" ref="C423:R431" si="213">C288</f>
        <v>0</v>
      </c>
      <c r="D423" s="389">
        <f t="shared" si="213"/>
        <v>0</v>
      </c>
      <c r="E423" s="389">
        <f t="shared" si="213"/>
        <v>0</v>
      </c>
      <c r="F423" s="389">
        <f t="shared" si="213"/>
        <v>0</v>
      </c>
      <c r="G423" s="389">
        <f t="shared" si="213"/>
        <v>0</v>
      </c>
      <c r="H423" s="389">
        <f t="shared" si="213"/>
        <v>0</v>
      </c>
      <c r="I423" s="389">
        <f t="shared" si="213"/>
        <v>0</v>
      </c>
      <c r="J423" s="389">
        <f t="shared" si="213"/>
        <v>0</v>
      </c>
      <c r="K423" s="389">
        <f t="shared" si="213"/>
        <v>0</v>
      </c>
      <c r="L423" s="389">
        <f t="shared" si="213"/>
        <v>0</v>
      </c>
      <c r="M423" s="389">
        <f t="shared" si="213"/>
        <v>0</v>
      </c>
      <c r="N423" s="389">
        <f t="shared" si="213"/>
        <v>0</v>
      </c>
      <c r="O423" s="389">
        <f t="shared" si="213"/>
        <v>0</v>
      </c>
      <c r="P423" s="389">
        <f t="shared" si="213"/>
        <v>0</v>
      </c>
      <c r="Q423" s="389">
        <f t="shared" si="213"/>
        <v>0</v>
      </c>
      <c r="R423" s="389">
        <f t="shared" si="213"/>
        <v>0</v>
      </c>
      <c r="S423" s="389">
        <f t="shared" si="212"/>
        <v>0</v>
      </c>
      <c r="T423" s="389">
        <f t="shared" si="212"/>
        <v>0</v>
      </c>
      <c r="U423" s="389">
        <f t="shared" si="212"/>
        <v>0</v>
      </c>
      <c r="V423" s="389">
        <f t="shared" si="212"/>
        <v>0</v>
      </c>
      <c r="W423" s="389">
        <f t="shared" si="212"/>
        <v>0</v>
      </c>
      <c r="X423" s="389">
        <f t="shared" si="212"/>
        <v>0</v>
      </c>
      <c r="Y423" s="389">
        <f t="shared" si="212"/>
        <v>0</v>
      </c>
      <c r="Z423" s="389">
        <f t="shared" si="212"/>
        <v>0</v>
      </c>
      <c r="AA423" s="389">
        <f t="shared" si="212"/>
        <v>0</v>
      </c>
      <c r="AB423" s="389">
        <f t="shared" si="212"/>
        <v>0</v>
      </c>
      <c r="AC423" s="389">
        <f t="shared" si="212"/>
        <v>0</v>
      </c>
      <c r="AD423" s="389">
        <f t="shared" si="212"/>
        <v>0</v>
      </c>
      <c r="AE423" s="389">
        <f t="shared" si="212"/>
        <v>0</v>
      </c>
      <c r="AF423" s="389">
        <f t="shared" si="212"/>
        <v>0</v>
      </c>
      <c r="AG423" s="389">
        <f t="shared" si="212"/>
        <v>0</v>
      </c>
      <c r="AH423" s="389">
        <f t="shared" si="212"/>
        <v>0</v>
      </c>
      <c r="AI423" s="389">
        <f t="shared" si="212"/>
        <v>0</v>
      </c>
      <c r="AJ423" s="389">
        <f t="shared" si="212"/>
        <v>0</v>
      </c>
      <c r="AK423" s="389">
        <f t="shared" si="212"/>
        <v>0</v>
      </c>
      <c r="AL423" s="389">
        <f t="shared" si="212"/>
        <v>0</v>
      </c>
      <c r="AM423" s="389">
        <f t="shared" si="212"/>
        <v>0</v>
      </c>
      <c r="AN423" s="389">
        <f t="shared" si="212"/>
        <v>0</v>
      </c>
      <c r="AO423" s="389">
        <f t="shared" si="212"/>
        <v>0</v>
      </c>
      <c r="AP423" s="389">
        <f t="shared" si="212"/>
        <v>0</v>
      </c>
    </row>
    <row r="424" spans="1:42" x14ac:dyDescent="0.2">
      <c r="A424" s="21">
        <f t="shared" ref="A424:A429" si="214">A423+1</f>
        <v>3</v>
      </c>
      <c r="C424" s="390">
        <f t="shared" si="213"/>
        <v>0</v>
      </c>
      <c r="D424" s="389">
        <f t="shared" si="212"/>
        <v>0</v>
      </c>
      <c r="E424" s="389">
        <f t="shared" si="212"/>
        <v>0</v>
      </c>
      <c r="F424" s="389">
        <f t="shared" si="212"/>
        <v>0</v>
      </c>
      <c r="G424" s="389">
        <f t="shared" si="212"/>
        <v>0</v>
      </c>
      <c r="H424" s="389">
        <f t="shared" si="212"/>
        <v>0</v>
      </c>
      <c r="I424" s="389">
        <f t="shared" si="212"/>
        <v>0</v>
      </c>
      <c r="J424" s="389">
        <f t="shared" si="212"/>
        <v>0</v>
      </c>
      <c r="K424" s="389">
        <f t="shared" si="212"/>
        <v>0</v>
      </c>
      <c r="L424" s="389">
        <f t="shared" si="212"/>
        <v>0</v>
      </c>
      <c r="M424" s="389">
        <f t="shared" si="212"/>
        <v>0</v>
      </c>
      <c r="N424" s="389">
        <f t="shared" si="212"/>
        <v>0</v>
      </c>
      <c r="O424" s="389">
        <f t="shared" si="212"/>
        <v>0</v>
      </c>
      <c r="P424" s="389">
        <f t="shared" si="212"/>
        <v>0</v>
      </c>
      <c r="Q424" s="389">
        <f t="shared" si="212"/>
        <v>0</v>
      </c>
      <c r="R424" s="389">
        <f t="shared" si="212"/>
        <v>0</v>
      </c>
      <c r="S424" s="389">
        <f t="shared" si="212"/>
        <v>0</v>
      </c>
      <c r="T424" s="389">
        <f t="shared" si="212"/>
        <v>0</v>
      </c>
      <c r="U424" s="389">
        <f t="shared" si="212"/>
        <v>0</v>
      </c>
      <c r="V424" s="389">
        <f t="shared" si="212"/>
        <v>0</v>
      </c>
      <c r="W424" s="389">
        <f t="shared" si="212"/>
        <v>0</v>
      </c>
      <c r="X424" s="389">
        <f t="shared" si="212"/>
        <v>0</v>
      </c>
      <c r="Y424" s="389">
        <f t="shared" si="212"/>
        <v>0</v>
      </c>
      <c r="Z424" s="389">
        <f t="shared" si="212"/>
        <v>0</v>
      </c>
      <c r="AA424" s="389">
        <f t="shared" si="212"/>
        <v>0</v>
      </c>
      <c r="AB424" s="389">
        <f t="shared" si="212"/>
        <v>0</v>
      </c>
      <c r="AC424" s="389">
        <f t="shared" si="212"/>
        <v>0</v>
      </c>
      <c r="AD424" s="389">
        <f t="shared" si="212"/>
        <v>0</v>
      </c>
      <c r="AE424" s="389">
        <f t="shared" si="212"/>
        <v>0</v>
      </c>
      <c r="AF424" s="389">
        <f t="shared" si="212"/>
        <v>0</v>
      </c>
      <c r="AG424" s="389">
        <f t="shared" si="212"/>
        <v>0</v>
      </c>
      <c r="AH424" s="389">
        <f t="shared" si="212"/>
        <v>0</v>
      </c>
      <c r="AI424" s="389">
        <f t="shared" si="212"/>
        <v>0</v>
      </c>
      <c r="AJ424" s="389">
        <f t="shared" si="212"/>
        <v>0</v>
      </c>
      <c r="AK424" s="389">
        <f t="shared" si="212"/>
        <v>0</v>
      </c>
      <c r="AL424" s="389">
        <f t="shared" si="212"/>
        <v>0</v>
      </c>
      <c r="AM424" s="389">
        <f t="shared" si="212"/>
        <v>0</v>
      </c>
      <c r="AN424" s="389">
        <f t="shared" si="212"/>
        <v>0</v>
      </c>
      <c r="AO424" s="389">
        <f t="shared" si="212"/>
        <v>0</v>
      </c>
      <c r="AP424" s="389">
        <f t="shared" si="212"/>
        <v>0</v>
      </c>
    </row>
    <row r="425" spans="1:42" x14ac:dyDescent="0.2">
      <c r="A425" s="21">
        <f t="shared" si="214"/>
        <v>4</v>
      </c>
      <c r="C425" s="390">
        <f t="shared" si="213"/>
        <v>0</v>
      </c>
      <c r="D425" s="389">
        <f t="shared" si="212"/>
        <v>0</v>
      </c>
      <c r="E425" s="389">
        <f t="shared" si="212"/>
        <v>0</v>
      </c>
      <c r="F425" s="389">
        <f t="shared" si="212"/>
        <v>0</v>
      </c>
      <c r="G425" s="389">
        <f t="shared" si="212"/>
        <v>0</v>
      </c>
      <c r="H425" s="389">
        <f t="shared" si="212"/>
        <v>0</v>
      </c>
      <c r="I425" s="389">
        <f t="shared" si="212"/>
        <v>0</v>
      </c>
      <c r="J425" s="389">
        <f t="shared" si="212"/>
        <v>0</v>
      </c>
      <c r="K425" s="389">
        <f t="shared" si="212"/>
        <v>0</v>
      </c>
      <c r="L425" s="389">
        <f t="shared" si="212"/>
        <v>0</v>
      </c>
      <c r="M425" s="389">
        <f t="shared" si="212"/>
        <v>0</v>
      </c>
      <c r="N425" s="389">
        <f t="shared" si="212"/>
        <v>0</v>
      </c>
      <c r="O425" s="389">
        <f t="shared" si="212"/>
        <v>0</v>
      </c>
      <c r="P425" s="389">
        <f t="shared" si="212"/>
        <v>0</v>
      </c>
      <c r="Q425" s="389">
        <f t="shared" si="212"/>
        <v>0</v>
      </c>
      <c r="R425" s="389">
        <f t="shared" si="212"/>
        <v>0</v>
      </c>
      <c r="S425" s="389">
        <f t="shared" si="212"/>
        <v>0</v>
      </c>
      <c r="T425" s="389">
        <f t="shared" si="212"/>
        <v>0</v>
      </c>
      <c r="U425" s="389">
        <f t="shared" si="212"/>
        <v>0</v>
      </c>
      <c r="V425" s="389">
        <f t="shared" si="212"/>
        <v>0</v>
      </c>
      <c r="W425" s="389">
        <f t="shared" si="212"/>
        <v>0</v>
      </c>
      <c r="X425" s="389">
        <f t="shared" si="212"/>
        <v>0</v>
      </c>
      <c r="Y425" s="389">
        <f t="shared" si="212"/>
        <v>0</v>
      </c>
      <c r="Z425" s="389">
        <f t="shared" si="212"/>
        <v>0</v>
      </c>
      <c r="AA425" s="389">
        <f t="shared" si="212"/>
        <v>0</v>
      </c>
      <c r="AB425" s="389">
        <f t="shared" si="212"/>
        <v>0</v>
      </c>
      <c r="AC425" s="389">
        <f t="shared" si="212"/>
        <v>0</v>
      </c>
      <c r="AD425" s="389">
        <f t="shared" si="212"/>
        <v>0</v>
      </c>
      <c r="AE425" s="389">
        <f t="shared" si="212"/>
        <v>0</v>
      </c>
      <c r="AF425" s="389">
        <f t="shared" si="212"/>
        <v>0</v>
      </c>
      <c r="AG425" s="389">
        <f t="shared" si="212"/>
        <v>0</v>
      </c>
      <c r="AH425" s="389">
        <f t="shared" si="212"/>
        <v>0</v>
      </c>
      <c r="AI425" s="389">
        <f t="shared" si="212"/>
        <v>0</v>
      </c>
      <c r="AJ425" s="389">
        <f t="shared" si="212"/>
        <v>0</v>
      </c>
      <c r="AK425" s="389">
        <f t="shared" si="212"/>
        <v>0</v>
      </c>
      <c r="AL425" s="389">
        <f t="shared" si="212"/>
        <v>0</v>
      </c>
      <c r="AM425" s="389">
        <f t="shared" si="212"/>
        <v>0</v>
      </c>
      <c r="AN425" s="389">
        <f t="shared" si="212"/>
        <v>0</v>
      </c>
      <c r="AO425" s="389">
        <f t="shared" si="212"/>
        <v>0</v>
      </c>
      <c r="AP425" s="389">
        <f t="shared" si="212"/>
        <v>0</v>
      </c>
    </row>
    <row r="426" spans="1:42" x14ac:dyDescent="0.2">
      <c r="A426" s="21">
        <f t="shared" si="214"/>
        <v>5</v>
      </c>
      <c r="C426" s="390">
        <f t="shared" si="213"/>
        <v>0</v>
      </c>
      <c r="D426" s="389">
        <f t="shared" si="212"/>
        <v>0</v>
      </c>
      <c r="E426" s="389">
        <f t="shared" si="212"/>
        <v>0</v>
      </c>
      <c r="F426" s="389">
        <f t="shared" si="212"/>
        <v>0</v>
      </c>
      <c r="G426" s="389">
        <f t="shared" si="212"/>
        <v>0</v>
      </c>
      <c r="H426" s="389">
        <f t="shared" si="212"/>
        <v>0</v>
      </c>
      <c r="I426" s="389">
        <f t="shared" si="212"/>
        <v>0</v>
      </c>
      <c r="J426" s="389">
        <f t="shared" si="212"/>
        <v>0</v>
      </c>
      <c r="K426" s="389">
        <f t="shared" si="212"/>
        <v>0</v>
      </c>
      <c r="L426" s="389">
        <f t="shared" si="212"/>
        <v>0</v>
      </c>
      <c r="M426" s="389">
        <f t="shared" si="212"/>
        <v>0</v>
      </c>
      <c r="N426" s="389">
        <f t="shared" si="212"/>
        <v>0</v>
      </c>
      <c r="O426" s="389">
        <f t="shared" si="212"/>
        <v>0</v>
      </c>
      <c r="P426" s="389">
        <f t="shared" si="212"/>
        <v>0</v>
      </c>
      <c r="Q426" s="389">
        <f t="shared" si="212"/>
        <v>0</v>
      </c>
      <c r="R426" s="389">
        <f t="shared" si="212"/>
        <v>0</v>
      </c>
      <c r="S426" s="389">
        <f t="shared" si="212"/>
        <v>0</v>
      </c>
      <c r="T426" s="389">
        <f t="shared" si="212"/>
        <v>0</v>
      </c>
      <c r="U426" s="389">
        <f t="shared" si="212"/>
        <v>0</v>
      </c>
      <c r="V426" s="389">
        <f t="shared" si="212"/>
        <v>0</v>
      </c>
      <c r="W426" s="389">
        <f t="shared" si="212"/>
        <v>0</v>
      </c>
      <c r="X426" s="389">
        <f t="shared" si="212"/>
        <v>0</v>
      </c>
      <c r="Y426" s="389">
        <f t="shared" si="212"/>
        <v>0</v>
      </c>
      <c r="Z426" s="389">
        <f t="shared" si="212"/>
        <v>0</v>
      </c>
      <c r="AA426" s="389">
        <f t="shared" si="212"/>
        <v>0</v>
      </c>
      <c r="AB426" s="389">
        <f t="shared" si="212"/>
        <v>0</v>
      </c>
      <c r="AC426" s="389">
        <f t="shared" si="212"/>
        <v>0</v>
      </c>
      <c r="AD426" s="389">
        <f t="shared" si="212"/>
        <v>0</v>
      </c>
      <c r="AE426" s="389">
        <f t="shared" si="212"/>
        <v>0</v>
      </c>
      <c r="AF426" s="389">
        <f t="shared" si="212"/>
        <v>0</v>
      </c>
      <c r="AG426" s="389">
        <f t="shared" si="212"/>
        <v>0</v>
      </c>
      <c r="AH426" s="389">
        <f t="shared" si="212"/>
        <v>0</v>
      </c>
      <c r="AI426" s="389">
        <f t="shared" si="212"/>
        <v>0</v>
      </c>
      <c r="AJ426" s="389">
        <f t="shared" si="212"/>
        <v>0</v>
      </c>
      <c r="AK426" s="389">
        <f t="shared" si="212"/>
        <v>0</v>
      </c>
      <c r="AL426" s="389">
        <f t="shared" si="212"/>
        <v>0</v>
      </c>
      <c r="AM426" s="389">
        <f t="shared" si="212"/>
        <v>0</v>
      </c>
      <c r="AN426" s="389">
        <f t="shared" si="212"/>
        <v>0</v>
      </c>
      <c r="AO426" s="389">
        <f t="shared" si="212"/>
        <v>0</v>
      </c>
      <c r="AP426" s="389">
        <f t="shared" si="212"/>
        <v>0</v>
      </c>
    </row>
    <row r="427" spans="1:42" x14ac:dyDescent="0.2">
      <c r="A427" s="21">
        <f t="shared" si="214"/>
        <v>6</v>
      </c>
      <c r="C427" s="390">
        <f t="shared" si="213"/>
        <v>0</v>
      </c>
      <c r="D427" s="389">
        <f t="shared" si="212"/>
        <v>0</v>
      </c>
      <c r="E427" s="389">
        <f t="shared" si="212"/>
        <v>0</v>
      </c>
      <c r="F427" s="389">
        <f t="shared" si="212"/>
        <v>0</v>
      </c>
      <c r="G427" s="389">
        <f t="shared" si="212"/>
        <v>0</v>
      </c>
      <c r="H427" s="389">
        <f t="shared" si="212"/>
        <v>0</v>
      </c>
      <c r="I427" s="389">
        <f t="shared" si="212"/>
        <v>0</v>
      </c>
      <c r="J427" s="389">
        <f t="shared" si="212"/>
        <v>0</v>
      </c>
      <c r="K427" s="389">
        <f t="shared" si="212"/>
        <v>0</v>
      </c>
      <c r="L427" s="389">
        <f t="shared" si="212"/>
        <v>0</v>
      </c>
      <c r="M427" s="389">
        <f t="shared" si="212"/>
        <v>0</v>
      </c>
      <c r="N427" s="389">
        <f t="shared" si="212"/>
        <v>0</v>
      </c>
      <c r="O427" s="389">
        <f t="shared" si="212"/>
        <v>0</v>
      </c>
      <c r="P427" s="389">
        <f t="shared" si="212"/>
        <v>0</v>
      </c>
      <c r="Q427" s="389">
        <f t="shared" si="212"/>
        <v>0</v>
      </c>
      <c r="R427" s="389">
        <f t="shared" si="212"/>
        <v>0</v>
      </c>
      <c r="S427" s="389">
        <f t="shared" si="212"/>
        <v>0</v>
      </c>
      <c r="T427" s="389">
        <f t="shared" si="212"/>
        <v>0</v>
      </c>
      <c r="U427" s="389">
        <f t="shared" si="212"/>
        <v>0</v>
      </c>
      <c r="V427" s="389">
        <f t="shared" si="212"/>
        <v>0</v>
      </c>
      <c r="W427" s="389">
        <f t="shared" si="212"/>
        <v>0</v>
      </c>
      <c r="X427" s="389">
        <f t="shared" si="212"/>
        <v>0</v>
      </c>
      <c r="Y427" s="389">
        <f t="shared" si="212"/>
        <v>0</v>
      </c>
      <c r="Z427" s="389">
        <f t="shared" si="212"/>
        <v>0</v>
      </c>
      <c r="AA427" s="389">
        <f t="shared" si="212"/>
        <v>0</v>
      </c>
      <c r="AB427" s="389">
        <f t="shared" si="212"/>
        <v>0</v>
      </c>
      <c r="AC427" s="389">
        <f t="shared" si="212"/>
        <v>0</v>
      </c>
      <c r="AD427" s="389">
        <f t="shared" si="212"/>
        <v>0</v>
      </c>
      <c r="AE427" s="389">
        <f t="shared" si="212"/>
        <v>0</v>
      </c>
      <c r="AF427" s="389">
        <f t="shared" si="212"/>
        <v>0</v>
      </c>
      <c r="AG427" s="389">
        <f t="shared" si="212"/>
        <v>0</v>
      </c>
      <c r="AH427" s="389">
        <f t="shared" si="212"/>
        <v>0</v>
      </c>
      <c r="AI427" s="389">
        <f t="shared" si="212"/>
        <v>0</v>
      </c>
      <c r="AJ427" s="389">
        <f t="shared" si="212"/>
        <v>0</v>
      </c>
      <c r="AK427" s="389">
        <f t="shared" si="212"/>
        <v>0</v>
      </c>
      <c r="AL427" s="389">
        <f t="shared" si="212"/>
        <v>0</v>
      </c>
      <c r="AM427" s="389">
        <f t="shared" si="212"/>
        <v>0</v>
      </c>
      <c r="AN427" s="389">
        <f t="shared" si="212"/>
        <v>0</v>
      </c>
      <c r="AO427" s="389">
        <f t="shared" si="212"/>
        <v>0</v>
      </c>
      <c r="AP427" s="389">
        <f t="shared" si="212"/>
        <v>0</v>
      </c>
    </row>
    <row r="428" spans="1:42" x14ac:dyDescent="0.2">
      <c r="A428" s="21">
        <f t="shared" si="214"/>
        <v>7</v>
      </c>
      <c r="C428" s="390">
        <f t="shared" si="213"/>
        <v>0</v>
      </c>
      <c r="D428" s="389">
        <f t="shared" si="212"/>
        <v>0</v>
      </c>
      <c r="E428" s="389">
        <f t="shared" si="212"/>
        <v>0</v>
      </c>
      <c r="F428" s="389">
        <f t="shared" si="212"/>
        <v>0</v>
      </c>
      <c r="G428" s="389">
        <f t="shared" si="212"/>
        <v>0</v>
      </c>
      <c r="H428" s="389">
        <f t="shared" si="212"/>
        <v>0</v>
      </c>
      <c r="I428" s="389">
        <f t="shared" si="212"/>
        <v>0</v>
      </c>
      <c r="J428" s="389">
        <f t="shared" si="212"/>
        <v>0</v>
      </c>
      <c r="K428" s="389">
        <f t="shared" si="212"/>
        <v>0</v>
      </c>
      <c r="L428" s="389">
        <f t="shared" si="212"/>
        <v>0</v>
      </c>
      <c r="M428" s="389">
        <f t="shared" si="212"/>
        <v>0</v>
      </c>
      <c r="N428" s="389">
        <f t="shared" si="212"/>
        <v>0</v>
      </c>
      <c r="O428" s="389">
        <f t="shared" si="212"/>
        <v>0</v>
      </c>
      <c r="P428" s="389">
        <f t="shared" si="212"/>
        <v>0</v>
      </c>
      <c r="Q428" s="389">
        <f t="shared" si="212"/>
        <v>0</v>
      </c>
      <c r="R428" s="389">
        <f t="shared" si="212"/>
        <v>0</v>
      </c>
      <c r="S428" s="389">
        <f t="shared" si="212"/>
        <v>0</v>
      </c>
      <c r="T428" s="389">
        <f t="shared" si="212"/>
        <v>0</v>
      </c>
      <c r="U428" s="389">
        <f t="shared" si="212"/>
        <v>0</v>
      </c>
      <c r="V428" s="389">
        <f t="shared" si="212"/>
        <v>0</v>
      </c>
      <c r="W428" s="389">
        <f t="shared" si="212"/>
        <v>0</v>
      </c>
      <c r="X428" s="389">
        <f t="shared" si="212"/>
        <v>0</v>
      </c>
      <c r="Y428" s="389">
        <f t="shared" si="212"/>
        <v>0</v>
      </c>
      <c r="Z428" s="389">
        <f t="shared" si="212"/>
        <v>0</v>
      </c>
      <c r="AA428" s="389">
        <f t="shared" si="212"/>
        <v>0</v>
      </c>
      <c r="AB428" s="389">
        <f t="shared" si="212"/>
        <v>0</v>
      </c>
      <c r="AC428" s="389">
        <f t="shared" si="212"/>
        <v>0</v>
      </c>
      <c r="AD428" s="389">
        <f t="shared" si="212"/>
        <v>0</v>
      </c>
      <c r="AE428" s="389">
        <f t="shared" si="212"/>
        <v>0</v>
      </c>
      <c r="AF428" s="389">
        <f t="shared" si="212"/>
        <v>0</v>
      </c>
      <c r="AG428" s="389">
        <f t="shared" si="212"/>
        <v>0</v>
      </c>
      <c r="AH428" s="389">
        <f t="shared" si="212"/>
        <v>0</v>
      </c>
      <c r="AI428" s="389">
        <f t="shared" si="212"/>
        <v>0</v>
      </c>
      <c r="AJ428" s="389">
        <f t="shared" si="212"/>
        <v>0</v>
      </c>
      <c r="AK428" s="389">
        <f t="shared" si="212"/>
        <v>0</v>
      </c>
      <c r="AL428" s="389">
        <f t="shared" si="212"/>
        <v>0</v>
      </c>
      <c r="AM428" s="389">
        <f t="shared" si="212"/>
        <v>0</v>
      </c>
      <c r="AN428" s="389">
        <f t="shared" ref="AN428:AP428" si="215">AN293</f>
        <v>0</v>
      </c>
      <c r="AO428" s="389">
        <f t="shared" si="215"/>
        <v>0</v>
      </c>
      <c r="AP428" s="389">
        <f t="shared" si="215"/>
        <v>0</v>
      </c>
    </row>
    <row r="429" spans="1:42" x14ac:dyDescent="0.2">
      <c r="A429" s="21">
        <f t="shared" si="214"/>
        <v>8</v>
      </c>
      <c r="C429" s="390">
        <f t="shared" si="213"/>
        <v>0</v>
      </c>
      <c r="D429" s="389">
        <f t="shared" si="213"/>
        <v>0</v>
      </c>
      <c r="E429" s="389">
        <f t="shared" si="213"/>
        <v>0</v>
      </c>
      <c r="F429" s="389">
        <f t="shared" si="213"/>
        <v>0</v>
      </c>
      <c r="G429" s="389">
        <f t="shared" si="213"/>
        <v>0</v>
      </c>
      <c r="H429" s="389">
        <f t="shared" si="213"/>
        <v>0</v>
      </c>
      <c r="I429" s="389">
        <f t="shared" si="213"/>
        <v>0</v>
      </c>
      <c r="J429" s="389">
        <f t="shared" si="213"/>
        <v>0</v>
      </c>
      <c r="K429" s="389">
        <f t="shared" si="213"/>
        <v>0</v>
      </c>
      <c r="L429" s="389">
        <f t="shared" si="213"/>
        <v>0</v>
      </c>
      <c r="M429" s="389">
        <f t="shared" si="213"/>
        <v>0</v>
      </c>
      <c r="N429" s="389">
        <f t="shared" si="213"/>
        <v>0</v>
      </c>
      <c r="O429" s="389">
        <f t="shared" si="213"/>
        <v>0</v>
      </c>
      <c r="P429" s="389">
        <f t="shared" si="213"/>
        <v>0</v>
      </c>
      <c r="Q429" s="389">
        <f t="shared" si="213"/>
        <v>0</v>
      </c>
      <c r="R429" s="389">
        <f t="shared" si="213"/>
        <v>0</v>
      </c>
      <c r="S429" s="389">
        <f t="shared" ref="D429:AP431" si="216">S294</f>
        <v>0</v>
      </c>
      <c r="T429" s="389">
        <f t="shared" si="216"/>
        <v>0</v>
      </c>
      <c r="U429" s="389">
        <f t="shared" si="216"/>
        <v>0</v>
      </c>
      <c r="V429" s="389">
        <f t="shared" si="216"/>
        <v>0</v>
      </c>
      <c r="W429" s="389">
        <f t="shared" si="216"/>
        <v>0</v>
      </c>
      <c r="X429" s="389">
        <f t="shared" si="216"/>
        <v>0</v>
      </c>
      <c r="Y429" s="389">
        <f t="shared" si="216"/>
        <v>0</v>
      </c>
      <c r="Z429" s="389">
        <f t="shared" si="216"/>
        <v>0</v>
      </c>
      <c r="AA429" s="389">
        <f t="shared" si="216"/>
        <v>0</v>
      </c>
      <c r="AB429" s="389">
        <f t="shared" si="216"/>
        <v>0</v>
      </c>
      <c r="AC429" s="389">
        <f t="shared" si="216"/>
        <v>0</v>
      </c>
      <c r="AD429" s="389">
        <f t="shared" si="216"/>
        <v>0</v>
      </c>
      <c r="AE429" s="389">
        <f t="shared" si="216"/>
        <v>0</v>
      </c>
      <c r="AF429" s="389">
        <f t="shared" si="216"/>
        <v>0</v>
      </c>
      <c r="AG429" s="389">
        <f t="shared" si="216"/>
        <v>0</v>
      </c>
      <c r="AH429" s="389">
        <f t="shared" si="216"/>
        <v>0</v>
      </c>
      <c r="AI429" s="389">
        <f t="shared" si="216"/>
        <v>0</v>
      </c>
      <c r="AJ429" s="389">
        <f t="shared" si="216"/>
        <v>0</v>
      </c>
      <c r="AK429" s="389">
        <f t="shared" si="216"/>
        <v>0</v>
      </c>
      <c r="AL429" s="389">
        <f t="shared" si="216"/>
        <v>0</v>
      </c>
      <c r="AM429" s="389">
        <f t="shared" si="216"/>
        <v>0</v>
      </c>
      <c r="AN429" s="389">
        <f t="shared" si="216"/>
        <v>0</v>
      </c>
      <c r="AO429" s="389">
        <f t="shared" si="216"/>
        <v>0</v>
      </c>
      <c r="AP429" s="389">
        <f t="shared" si="216"/>
        <v>0</v>
      </c>
    </row>
    <row r="430" spans="1:42" x14ac:dyDescent="0.2">
      <c r="A430" s="21">
        <f>A429+1</f>
        <v>9</v>
      </c>
      <c r="C430" s="390">
        <f t="shared" si="213"/>
        <v>0</v>
      </c>
      <c r="D430" s="389">
        <f t="shared" si="216"/>
        <v>0</v>
      </c>
      <c r="E430" s="389">
        <f t="shared" si="216"/>
        <v>0</v>
      </c>
      <c r="F430" s="389">
        <f t="shared" si="216"/>
        <v>0</v>
      </c>
      <c r="G430" s="389">
        <f t="shared" si="216"/>
        <v>0</v>
      </c>
      <c r="H430" s="389">
        <f t="shared" si="216"/>
        <v>0</v>
      </c>
      <c r="I430" s="389">
        <f t="shared" si="216"/>
        <v>0</v>
      </c>
      <c r="J430" s="389">
        <f t="shared" si="216"/>
        <v>0</v>
      </c>
      <c r="K430" s="389">
        <f t="shared" si="216"/>
        <v>0</v>
      </c>
      <c r="L430" s="389">
        <f t="shared" si="216"/>
        <v>0</v>
      </c>
      <c r="M430" s="389">
        <f t="shared" si="216"/>
        <v>0</v>
      </c>
      <c r="N430" s="389">
        <f t="shared" si="216"/>
        <v>0</v>
      </c>
      <c r="O430" s="389">
        <f t="shared" si="216"/>
        <v>0</v>
      </c>
      <c r="P430" s="389">
        <f t="shared" si="216"/>
        <v>0</v>
      </c>
      <c r="Q430" s="389">
        <f t="shared" si="216"/>
        <v>0</v>
      </c>
      <c r="R430" s="389">
        <f t="shared" si="216"/>
        <v>0</v>
      </c>
      <c r="S430" s="389">
        <f t="shared" si="216"/>
        <v>0</v>
      </c>
      <c r="T430" s="389">
        <f t="shared" si="216"/>
        <v>0</v>
      </c>
      <c r="U430" s="389">
        <f t="shared" si="216"/>
        <v>0</v>
      </c>
      <c r="V430" s="389">
        <f t="shared" si="216"/>
        <v>0</v>
      </c>
      <c r="W430" s="389">
        <f t="shared" si="216"/>
        <v>0</v>
      </c>
      <c r="X430" s="389">
        <f t="shared" si="216"/>
        <v>0</v>
      </c>
      <c r="Y430" s="389">
        <f t="shared" si="216"/>
        <v>0</v>
      </c>
      <c r="Z430" s="389">
        <f t="shared" si="216"/>
        <v>0</v>
      </c>
      <c r="AA430" s="389">
        <f t="shared" si="216"/>
        <v>0</v>
      </c>
      <c r="AB430" s="389">
        <f t="shared" si="216"/>
        <v>0</v>
      </c>
      <c r="AC430" s="389">
        <f t="shared" si="216"/>
        <v>0</v>
      </c>
      <c r="AD430" s="389">
        <f t="shared" si="216"/>
        <v>0</v>
      </c>
      <c r="AE430" s="389">
        <f t="shared" si="216"/>
        <v>0</v>
      </c>
      <c r="AF430" s="389">
        <f t="shared" si="216"/>
        <v>0</v>
      </c>
      <c r="AG430" s="389">
        <f t="shared" si="216"/>
        <v>0</v>
      </c>
      <c r="AH430" s="389">
        <f t="shared" si="216"/>
        <v>0</v>
      </c>
      <c r="AI430" s="389">
        <f t="shared" si="216"/>
        <v>0</v>
      </c>
      <c r="AJ430" s="389">
        <f t="shared" si="216"/>
        <v>0</v>
      </c>
      <c r="AK430" s="389">
        <f t="shared" si="216"/>
        <v>0</v>
      </c>
      <c r="AL430" s="389">
        <f t="shared" si="216"/>
        <v>0</v>
      </c>
      <c r="AM430" s="389">
        <f t="shared" si="216"/>
        <v>0</v>
      </c>
      <c r="AN430" s="389">
        <f t="shared" si="216"/>
        <v>0</v>
      </c>
      <c r="AO430" s="389">
        <f t="shared" si="216"/>
        <v>0</v>
      </c>
      <c r="AP430" s="389">
        <f t="shared" si="216"/>
        <v>0</v>
      </c>
    </row>
    <row r="431" spans="1:42" x14ac:dyDescent="0.2">
      <c r="A431" s="21">
        <f t="shared" ref="A431" si="217">A430+1</f>
        <v>10</v>
      </c>
      <c r="C431" s="390">
        <f t="shared" si="213"/>
        <v>0</v>
      </c>
      <c r="D431" s="389">
        <f t="shared" si="216"/>
        <v>0</v>
      </c>
      <c r="E431" s="389">
        <f t="shared" si="216"/>
        <v>0</v>
      </c>
      <c r="F431" s="389">
        <f t="shared" si="216"/>
        <v>0</v>
      </c>
      <c r="G431" s="389">
        <f t="shared" si="216"/>
        <v>0</v>
      </c>
      <c r="H431" s="389">
        <f t="shared" si="216"/>
        <v>0</v>
      </c>
      <c r="I431" s="389">
        <f t="shared" si="216"/>
        <v>0</v>
      </c>
      <c r="J431" s="389">
        <f t="shared" si="216"/>
        <v>0</v>
      </c>
      <c r="K431" s="389">
        <f t="shared" si="216"/>
        <v>0</v>
      </c>
      <c r="L431" s="389">
        <f t="shared" si="216"/>
        <v>0</v>
      </c>
      <c r="M431" s="389">
        <f t="shared" si="216"/>
        <v>0</v>
      </c>
      <c r="N431" s="389">
        <f t="shared" si="216"/>
        <v>0</v>
      </c>
      <c r="O431" s="389">
        <f t="shared" si="216"/>
        <v>0</v>
      </c>
      <c r="P431" s="389">
        <f t="shared" si="216"/>
        <v>0</v>
      </c>
      <c r="Q431" s="389">
        <f t="shared" si="216"/>
        <v>0</v>
      </c>
      <c r="R431" s="389">
        <f t="shared" si="216"/>
        <v>0</v>
      </c>
      <c r="S431" s="389">
        <f t="shared" si="216"/>
        <v>0</v>
      </c>
      <c r="T431" s="389">
        <f t="shared" si="216"/>
        <v>0</v>
      </c>
      <c r="U431" s="389">
        <f t="shared" si="216"/>
        <v>0</v>
      </c>
      <c r="V431" s="389">
        <f t="shared" si="216"/>
        <v>0</v>
      </c>
      <c r="W431" s="389">
        <f t="shared" si="216"/>
        <v>0</v>
      </c>
      <c r="X431" s="389">
        <f t="shared" si="216"/>
        <v>0</v>
      </c>
      <c r="Y431" s="389">
        <f t="shared" si="216"/>
        <v>0</v>
      </c>
      <c r="Z431" s="389">
        <f t="shared" si="216"/>
        <v>0</v>
      </c>
      <c r="AA431" s="389">
        <f t="shared" si="216"/>
        <v>0</v>
      </c>
      <c r="AB431" s="389">
        <f t="shared" si="216"/>
        <v>0</v>
      </c>
      <c r="AC431" s="389">
        <f t="shared" si="216"/>
        <v>0</v>
      </c>
      <c r="AD431" s="389">
        <f t="shared" si="216"/>
        <v>0</v>
      </c>
      <c r="AE431" s="389">
        <f t="shared" si="216"/>
        <v>0</v>
      </c>
      <c r="AF431" s="389">
        <f t="shared" si="216"/>
        <v>0</v>
      </c>
      <c r="AG431" s="389">
        <f t="shared" si="216"/>
        <v>0</v>
      </c>
      <c r="AH431" s="389">
        <f t="shared" si="216"/>
        <v>0</v>
      </c>
      <c r="AI431" s="389">
        <f t="shared" si="216"/>
        <v>0</v>
      </c>
      <c r="AJ431" s="389">
        <f t="shared" si="216"/>
        <v>0</v>
      </c>
      <c r="AK431" s="389">
        <f t="shared" si="216"/>
        <v>0</v>
      </c>
      <c r="AL431" s="389">
        <f t="shared" si="216"/>
        <v>0</v>
      </c>
      <c r="AM431" s="389">
        <f t="shared" si="216"/>
        <v>0</v>
      </c>
      <c r="AN431" s="389">
        <f t="shared" si="216"/>
        <v>0</v>
      </c>
      <c r="AO431" s="389">
        <f t="shared" si="216"/>
        <v>0</v>
      </c>
      <c r="AP431" s="389">
        <f t="shared" si="216"/>
        <v>0</v>
      </c>
    </row>
    <row r="432" spans="1:42" x14ac:dyDescent="0.2">
      <c r="A432" s="40"/>
      <c r="C432" s="390"/>
      <c r="D432" s="36"/>
      <c r="E432" s="36"/>
      <c r="F432" s="36"/>
      <c r="G432" s="36"/>
      <c r="H432" s="36"/>
      <c r="I432" s="36"/>
      <c r="J432" s="36"/>
      <c r="K432" s="36"/>
      <c r="L432" s="36"/>
      <c r="M432" s="36"/>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row>
    <row r="433" spans="1:42" x14ac:dyDescent="0.2">
      <c r="A433" s="40" t="s">
        <v>125</v>
      </c>
      <c r="C433" s="390"/>
      <c r="D433" s="36"/>
      <c r="E433" s="36"/>
      <c r="F433" s="36"/>
      <c r="G433" s="36"/>
      <c r="H433" s="36"/>
      <c r="I433" s="36"/>
      <c r="J433" s="36"/>
      <c r="K433" s="36"/>
      <c r="L433" s="36"/>
      <c r="M433" s="36"/>
      <c r="N433" s="36"/>
      <c r="O433" s="36"/>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row>
    <row r="434" spans="1:42" x14ac:dyDescent="0.2">
      <c r="A434" s="21">
        <v>1</v>
      </c>
      <c r="B434" s="365">
        <f t="shared" ref="B434:B443" si="218">SUM(C434:AP434)</f>
        <v>0</v>
      </c>
      <c r="C434" s="390">
        <f t="shared" ref="C434:AP434" si="219">LOOKUP(C422,$B$391:$AP$391,$B$392:$AP$392)*$B617</f>
        <v>0</v>
      </c>
      <c r="D434" s="353">
        <f t="shared" si="219"/>
        <v>0</v>
      </c>
      <c r="E434" s="353">
        <f t="shared" si="219"/>
        <v>0</v>
      </c>
      <c r="F434" s="353">
        <f t="shared" si="219"/>
        <v>0</v>
      </c>
      <c r="G434" s="353">
        <f t="shared" si="219"/>
        <v>0</v>
      </c>
      <c r="H434" s="353">
        <f t="shared" si="219"/>
        <v>0</v>
      </c>
      <c r="I434" s="353">
        <f t="shared" si="219"/>
        <v>0</v>
      </c>
      <c r="J434" s="353">
        <f t="shared" si="219"/>
        <v>0</v>
      </c>
      <c r="K434" s="353">
        <f t="shared" si="219"/>
        <v>0</v>
      </c>
      <c r="L434" s="353">
        <f t="shared" si="219"/>
        <v>0</v>
      </c>
      <c r="M434" s="353">
        <f t="shared" si="219"/>
        <v>0</v>
      </c>
      <c r="N434" s="353">
        <f t="shared" si="219"/>
        <v>0</v>
      </c>
      <c r="O434" s="353">
        <f t="shared" si="219"/>
        <v>0</v>
      </c>
      <c r="P434" s="353">
        <f t="shared" si="219"/>
        <v>0</v>
      </c>
      <c r="Q434" s="353">
        <f t="shared" si="219"/>
        <v>0</v>
      </c>
      <c r="R434" s="353">
        <f t="shared" si="219"/>
        <v>0</v>
      </c>
      <c r="S434" s="353">
        <f t="shared" si="219"/>
        <v>0</v>
      </c>
      <c r="T434" s="353">
        <f t="shared" si="219"/>
        <v>0</v>
      </c>
      <c r="U434" s="353">
        <f t="shared" si="219"/>
        <v>0</v>
      </c>
      <c r="V434" s="353">
        <f t="shared" si="219"/>
        <v>0</v>
      </c>
      <c r="W434" s="353">
        <f t="shared" si="219"/>
        <v>0</v>
      </c>
      <c r="X434" s="353">
        <f t="shared" si="219"/>
        <v>0</v>
      </c>
      <c r="Y434" s="353">
        <f t="shared" si="219"/>
        <v>0</v>
      </c>
      <c r="Z434" s="353">
        <f t="shared" si="219"/>
        <v>0</v>
      </c>
      <c r="AA434" s="353">
        <f t="shared" si="219"/>
        <v>0</v>
      </c>
      <c r="AB434" s="353">
        <f t="shared" si="219"/>
        <v>0</v>
      </c>
      <c r="AC434" s="353">
        <f t="shared" si="219"/>
        <v>0</v>
      </c>
      <c r="AD434" s="353">
        <f t="shared" si="219"/>
        <v>0</v>
      </c>
      <c r="AE434" s="353">
        <f t="shared" si="219"/>
        <v>0</v>
      </c>
      <c r="AF434" s="353">
        <f t="shared" si="219"/>
        <v>0</v>
      </c>
      <c r="AG434" s="353">
        <f t="shared" si="219"/>
        <v>0</v>
      </c>
      <c r="AH434" s="353">
        <f t="shared" si="219"/>
        <v>0</v>
      </c>
      <c r="AI434" s="353">
        <f t="shared" si="219"/>
        <v>0</v>
      </c>
      <c r="AJ434" s="353">
        <f t="shared" si="219"/>
        <v>0</v>
      </c>
      <c r="AK434" s="353">
        <f t="shared" si="219"/>
        <v>0</v>
      </c>
      <c r="AL434" s="353">
        <f t="shared" si="219"/>
        <v>0</v>
      </c>
      <c r="AM434" s="353">
        <f t="shared" si="219"/>
        <v>0</v>
      </c>
      <c r="AN434" s="353">
        <f t="shared" si="219"/>
        <v>0</v>
      </c>
      <c r="AO434" s="353">
        <f t="shared" si="219"/>
        <v>0</v>
      </c>
      <c r="AP434" s="353">
        <f t="shared" si="219"/>
        <v>0</v>
      </c>
    </row>
    <row r="435" spans="1:42" x14ac:dyDescent="0.2">
      <c r="A435" s="21">
        <f>A434+1</f>
        <v>2</v>
      </c>
      <c r="B435" s="365">
        <f t="shared" si="218"/>
        <v>0</v>
      </c>
      <c r="C435" s="390">
        <f t="shared" ref="C435:AP435" si="220">LOOKUP(C423,$B$391:$AP$391,$B$392:$AP$392)*$B618</f>
        <v>0</v>
      </c>
      <c r="D435" s="353">
        <f t="shared" si="220"/>
        <v>0</v>
      </c>
      <c r="E435" s="353">
        <f t="shared" si="220"/>
        <v>0</v>
      </c>
      <c r="F435" s="353">
        <f t="shared" si="220"/>
        <v>0</v>
      </c>
      <c r="G435" s="353">
        <f t="shared" si="220"/>
        <v>0</v>
      </c>
      <c r="H435" s="353">
        <f t="shared" si="220"/>
        <v>0</v>
      </c>
      <c r="I435" s="353">
        <f t="shared" si="220"/>
        <v>0</v>
      </c>
      <c r="J435" s="353">
        <f t="shared" si="220"/>
        <v>0</v>
      </c>
      <c r="K435" s="353">
        <f t="shared" si="220"/>
        <v>0</v>
      </c>
      <c r="L435" s="353">
        <f t="shared" si="220"/>
        <v>0</v>
      </c>
      <c r="M435" s="353">
        <f t="shared" si="220"/>
        <v>0</v>
      </c>
      <c r="N435" s="353">
        <f t="shared" si="220"/>
        <v>0</v>
      </c>
      <c r="O435" s="353">
        <f t="shared" si="220"/>
        <v>0</v>
      </c>
      <c r="P435" s="353">
        <f t="shared" si="220"/>
        <v>0</v>
      </c>
      <c r="Q435" s="353">
        <f t="shared" si="220"/>
        <v>0</v>
      </c>
      <c r="R435" s="353">
        <f t="shared" si="220"/>
        <v>0</v>
      </c>
      <c r="S435" s="353">
        <f t="shared" si="220"/>
        <v>0</v>
      </c>
      <c r="T435" s="353">
        <f t="shared" si="220"/>
        <v>0</v>
      </c>
      <c r="U435" s="353">
        <f t="shared" si="220"/>
        <v>0</v>
      </c>
      <c r="V435" s="353">
        <f t="shared" si="220"/>
        <v>0</v>
      </c>
      <c r="W435" s="353">
        <f t="shared" si="220"/>
        <v>0</v>
      </c>
      <c r="X435" s="353">
        <f t="shared" si="220"/>
        <v>0</v>
      </c>
      <c r="Y435" s="353">
        <f t="shared" si="220"/>
        <v>0</v>
      </c>
      <c r="Z435" s="353">
        <f t="shared" si="220"/>
        <v>0</v>
      </c>
      <c r="AA435" s="353">
        <f t="shared" si="220"/>
        <v>0</v>
      </c>
      <c r="AB435" s="353">
        <f t="shared" si="220"/>
        <v>0</v>
      </c>
      <c r="AC435" s="353">
        <f t="shared" si="220"/>
        <v>0</v>
      </c>
      <c r="AD435" s="353">
        <f t="shared" si="220"/>
        <v>0</v>
      </c>
      <c r="AE435" s="353">
        <f t="shared" si="220"/>
        <v>0</v>
      </c>
      <c r="AF435" s="353">
        <f t="shared" si="220"/>
        <v>0</v>
      </c>
      <c r="AG435" s="353">
        <f t="shared" si="220"/>
        <v>0</v>
      </c>
      <c r="AH435" s="353">
        <f t="shared" si="220"/>
        <v>0</v>
      </c>
      <c r="AI435" s="353">
        <f t="shared" si="220"/>
        <v>0</v>
      </c>
      <c r="AJ435" s="353">
        <f t="shared" si="220"/>
        <v>0</v>
      </c>
      <c r="AK435" s="353">
        <f t="shared" si="220"/>
        <v>0</v>
      </c>
      <c r="AL435" s="353">
        <f t="shared" si="220"/>
        <v>0</v>
      </c>
      <c r="AM435" s="353">
        <f t="shared" si="220"/>
        <v>0</v>
      </c>
      <c r="AN435" s="353">
        <f t="shared" si="220"/>
        <v>0</v>
      </c>
      <c r="AO435" s="353">
        <f t="shared" si="220"/>
        <v>0</v>
      </c>
      <c r="AP435" s="353">
        <f t="shared" si="220"/>
        <v>0</v>
      </c>
    </row>
    <row r="436" spans="1:42" x14ac:dyDescent="0.2">
      <c r="A436" s="21">
        <f t="shared" ref="A436:A441" si="221">A435+1</f>
        <v>3</v>
      </c>
      <c r="B436" s="365">
        <f t="shared" si="218"/>
        <v>0</v>
      </c>
      <c r="C436" s="390">
        <f t="shared" ref="C436:AP436" si="222">LOOKUP(C424,$B$391:$AP$391,$B$392:$AP$392)*$B619</f>
        <v>0</v>
      </c>
      <c r="D436" s="353">
        <f t="shared" si="222"/>
        <v>0</v>
      </c>
      <c r="E436" s="353">
        <f t="shared" si="222"/>
        <v>0</v>
      </c>
      <c r="F436" s="353">
        <f t="shared" si="222"/>
        <v>0</v>
      </c>
      <c r="G436" s="353">
        <f t="shared" si="222"/>
        <v>0</v>
      </c>
      <c r="H436" s="353">
        <f t="shared" si="222"/>
        <v>0</v>
      </c>
      <c r="I436" s="353">
        <f t="shared" si="222"/>
        <v>0</v>
      </c>
      <c r="J436" s="353">
        <f t="shared" si="222"/>
        <v>0</v>
      </c>
      <c r="K436" s="353">
        <f t="shared" si="222"/>
        <v>0</v>
      </c>
      <c r="L436" s="353">
        <f t="shared" si="222"/>
        <v>0</v>
      </c>
      <c r="M436" s="353">
        <f t="shared" si="222"/>
        <v>0</v>
      </c>
      <c r="N436" s="353">
        <f t="shared" si="222"/>
        <v>0</v>
      </c>
      <c r="O436" s="353">
        <f t="shared" si="222"/>
        <v>0</v>
      </c>
      <c r="P436" s="353">
        <f t="shared" si="222"/>
        <v>0</v>
      </c>
      <c r="Q436" s="353">
        <f t="shared" si="222"/>
        <v>0</v>
      </c>
      <c r="R436" s="353">
        <f t="shared" si="222"/>
        <v>0</v>
      </c>
      <c r="S436" s="353">
        <f t="shared" si="222"/>
        <v>0</v>
      </c>
      <c r="T436" s="353">
        <f t="shared" si="222"/>
        <v>0</v>
      </c>
      <c r="U436" s="353">
        <f t="shared" si="222"/>
        <v>0</v>
      </c>
      <c r="V436" s="353">
        <f t="shared" si="222"/>
        <v>0</v>
      </c>
      <c r="W436" s="353">
        <f t="shared" si="222"/>
        <v>0</v>
      </c>
      <c r="X436" s="353">
        <f t="shared" si="222"/>
        <v>0</v>
      </c>
      <c r="Y436" s="353">
        <f t="shared" si="222"/>
        <v>0</v>
      </c>
      <c r="Z436" s="353">
        <f t="shared" si="222"/>
        <v>0</v>
      </c>
      <c r="AA436" s="353">
        <f t="shared" si="222"/>
        <v>0</v>
      </c>
      <c r="AB436" s="353">
        <f t="shared" si="222"/>
        <v>0</v>
      </c>
      <c r="AC436" s="353">
        <f t="shared" si="222"/>
        <v>0</v>
      </c>
      <c r="AD436" s="353">
        <f t="shared" si="222"/>
        <v>0</v>
      </c>
      <c r="AE436" s="353">
        <f t="shared" si="222"/>
        <v>0</v>
      </c>
      <c r="AF436" s="353">
        <f t="shared" si="222"/>
        <v>0</v>
      </c>
      <c r="AG436" s="353">
        <f t="shared" si="222"/>
        <v>0</v>
      </c>
      <c r="AH436" s="353">
        <f t="shared" si="222"/>
        <v>0</v>
      </c>
      <c r="AI436" s="353">
        <f t="shared" si="222"/>
        <v>0</v>
      </c>
      <c r="AJ436" s="353">
        <f t="shared" si="222"/>
        <v>0</v>
      </c>
      <c r="AK436" s="353">
        <f t="shared" si="222"/>
        <v>0</v>
      </c>
      <c r="AL436" s="353">
        <f t="shared" si="222"/>
        <v>0</v>
      </c>
      <c r="AM436" s="353">
        <f t="shared" si="222"/>
        <v>0</v>
      </c>
      <c r="AN436" s="353">
        <f t="shared" si="222"/>
        <v>0</v>
      </c>
      <c r="AO436" s="353">
        <f t="shared" si="222"/>
        <v>0</v>
      </c>
      <c r="AP436" s="353">
        <f t="shared" si="222"/>
        <v>0</v>
      </c>
    </row>
    <row r="437" spans="1:42" x14ac:dyDescent="0.2">
      <c r="A437" s="21">
        <f t="shared" si="221"/>
        <v>4</v>
      </c>
      <c r="B437" s="365">
        <f t="shared" si="218"/>
        <v>0</v>
      </c>
      <c r="C437" s="390">
        <f t="shared" ref="C437:AP437" si="223">LOOKUP(C425,$B$391:$AP$391,$B$392:$AP$392)*$B620</f>
        <v>0</v>
      </c>
      <c r="D437" s="353">
        <f t="shared" si="223"/>
        <v>0</v>
      </c>
      <c r="E437" s="353">
        <f t="shared" si="223"/>
        <v>0</v>
      </c>
      <c r="F437" s="353">
        <f t="shared" si="223"/>
        <v>0</v>
      </c>
      <c r="G437" s="353">
        <f t="shared" si="223"/>
        <v>0</v>
      </c>
      <c r="H437" s="353">
        <f t="shared" si="223"/>
        <v>0</v>
      </c>
      <c r="I437" s="353">
        <f t="shared" si="223"/>
        <v>0</v>
      </c>
      <c r="J437" s="353">
        <f t="shared" si="223"/>
        <v>0</v>
      </c>
      <c r="K437" s="353">
        <f t="shared" si="223"/>
        <v>0</v>
      </c>
      <c r="L437" s="353">
        <f t="shared" si="223"/>
        <v>0</v>
      </c>
      <c r="M437" s="353">
        <f t="shared" si="223"/>
        <v>0</v>
      </c>
      <c r="N437" s="353">
        <f t="shared" si="223"/>
        <v>0</v>
      </c>
      <c r="O437" s="353">
        <f t="shared" si="223"/>
        <v>0</v>
      </c>
      <c r="P437" s="353">
        <f t="shared" si="223"/>
        <v>0</v>
      </c>
      <c r="Q437" s="353">
        <f t="shared" si="223"/>
        <v>0</v>
      </c>
      <c r="R437" s="353">
        <f t="shared" si="223"/>
        <v>0</v>
      </c>
      <c r="S437" s="353">
        <f t="shared" si="223"/>
        <v>0</v>
      </c>
      <c r="T437" s="353">
        <f t="shared" si="223"/>
        <v>0</v>
      </c>
      <c r="U437" s="353">
        <f t="shared" si="223"/>
        <v>0</v>
      </c>
      <c r="V437" s="353">
        <f t="shared" si="223"/>
        <v>0</v>
      </c>
      <c r="W437" s="353">
        <f t="shared" si="223"/>
        <v>0</v>
      </c>
      <c r="X437" s="353">
        <f t="shared" si="223"/>
        <v>0</v>
      </c>
      <c r="Y437" s="353">
        <f t="shared" si="223"/>
        <v>0</v>
      </c>
      <c r="Z437" s="353">
        <f t="shared" si="223"/>
        <v>0</v>
      </c>
      <c r="AA437" s="353">
        <f t="shared" si="223"/>
        <v>0</v>
      </c>
      <c r="AB437" s="353">
        <f t="shared" si="223"/>
        <v>0</v>
      </c>
      <c r="AC437" s="353">
        <f t="shared" si="223"/>
        <v>0</v>
      </c>
      <c r="AD437" s="353">
        <f t="shared" si="223"/>
        <v>0</v>
      </c>
      <c r="AE437" s="353">
        <f t="shared" si="223"/>
        <v>0</v>
      </c>
      <c r="AF437" s="353">
        <f t="shared" si="223"/>
        <v>0</v>
      </c>
      <c r="AG437" s="353">
        <f t="shared" si="223"/>
        <v>0</v>
      </c>
      <c r="AH437" s="353">
        <f t="shared" si="223"/>
        <v>0</v>
      </c>
      <c r="AI437" s="353">
        <f t="shared" si="223"/>
        <v>0</v>
      </c>
      <c r="AJ437" s="353">
        <f t="shared" si="223"/>
        <v>0</v>
      </c>
      <c r="AK437" s="353">
        <f t="shared" si="223"/>
        <v>0</v>
      </c>
      <c r="AL437" s="353">
        <f t="shared" si="223"/>
        <v>0</v>
      </c>
      <c r="AM437" s="353">
        <f t="shared" si="223"/>
        <v>0</v>
      </c>
      <c r="AN437" s="353">
        <f t="shared" si="223"/>
        <v>0</v>
      </c>
      <c r="AO437" s="353">
        <f t="shared" si="223"/>
        <v>0</v>
      </c>
      <c r="AP437" s="353">
        <f t="shared" si="223"/>
        <v>0</v>
      </c>
    </row>
    <row r="438" spans="1:42" x14ac:dyDescent="0.2">
      <c r="A438" s="21">
        <f t="shared" si="221"/>
        <v>5</v>
      </c>
      <c r="B438" s="365">
        <f t="shared" si="218"/>
        <v>0</v>
      </c>
      <c r="C438" s="390">
        <f t="shared" ref="C438:AP438" si="224">LOOKUP(C426,$B$391:$AP$391,$B$392:$AP$392)*$B621</f>
        <v>0</v>
      </c>
      <c r="D438" s="353">
        <f t="shared" si="224"/>
        <v>0</v>
      </c>
      <c r="E438" s="353">
        <f t="shared" si="224"/>
        <v>0</v>
      </c>
      <c r="F438" s="353">
        <f t="shared" si="224"/>
        <v>0</v>
      </c>
      <c r="G438" s="353">
        <f t="shared" si="224"/>
        <v>0</v>
      </c>
      <c r="H438" s="353">
        <f t="shared" si="224"/>
        <v>0</v>
      </c>
      <c r="I438" s="353">
        <f t="shared" si="224"/>
        <v>0</v>
      </c>
      <c r="J438" s="353">
        <f t="shared" si="224"/>
        <v>0</v>
      </c>
      <c r="K438" s="353">
        <f t="shared" si="224"/>
        <v>0</v>
      </c>
      <c r="L438" s="353">
        <f t="shared" si="224"/>
        <v>0</v>
      </c>
      <c r="M438" s="353">
        <f t="shared" si="224"/>
        <v>0</v>
      </c>
      <c r="N438" s="353">
        <f t="shared" si="224"/>
        <v>0</v>
      </c>
      <c r="O438" s="353">
        <f t="shared" si="224"/>
        <v>0</v>
      </c>
      <c r="P438" s="353">
        <f t="shared" si="224"/>
        <v>0</v>
      </c>
      <c r="Q438" s="353">
        <f t="shared" si="224"/>
        <v>0</v>
      </c>
      <c r="R438" s="353">
        <f t="shared" si="224"/>
        <v>0</v>
      </c>
      <c r="S438" s="353">
        <f t="shared" si="224"/>
        <v>0</v>
      </c>
      <c r="T438" s="353">
        <f t="shared" si="224"/>
        <v>0</v>
      </c>
      <c r="U438" s="353">
        <f t="shared" si="224"/>
        <v>0</v>
      </c>
      <c r="V438" s="353">
        <f t="shared" si="224"/>
        <v>0</v>
      </c>
      <c r="W438" s="353">
        <f t="shared" si="224"/>
        <v>0</v>
      </c>
      <c r="X438" s="353">
        <f t="shared" si="224"/>
        <v>0</v>
      </c>
      <c r="Y438" s="353">
        <f t="shared" si="224"/>
        <v>0</v>
      </c>
      <c r="Z438" s="353">
        <f t="shared" si="224"/>
        <v>0</v>
      </c>
      <c r="AA438" s="353">
        <f t="shared" si="224"/>
        <v>0</v>
      </c>
      <c r="AB438" s="353">
        <f t="shared" si="224"/>
        <v>0</v>
      </c>
      <c r="AC438" s="353">
        <f t="shared" si="224"/>
        <v>0</v>
      </c>
      <c r="AD438" s="353">
        <f t="shared" si="224"/>
        <v>0</v>
      </c>
      <c r="AE438" s="353">
        <f t="shared" si="224"/>
        <v>0</v>
      </c>
      <c r="AF438" s="353">
        <f t="shared" si="224"/>
        <v>0</v>
      </c>
      <c r="AG438" s="353">
        <f t="shared" si="224"/>
        <v>0</v>
      </c>
      <c r="AH438" s="353">
        <f t="shared" si="224"/>
        <v>0</v>
      </c>
      <c r="AI438" s="353">
        <f t="shared" si="224"/>
        <v>0</v>
      </c>
      <c r="AJ438" s="353">
        <f t="shared" si="224"/>
        <v>0</v>
      </c>
      <c r="AK438" s="353">
        <f t="shared" si="224"/>
        <v>0</v>
      </c>
      <c r="AL438" s="353">
        <f t="shared" si="224"/>
        <v>0</v>
      </c>
      <c r="AM438" s="353">
        <f t="shared" si="224"/>
        <v>0</v>
      </c>
      <c r="AN438" s="353">
        <f t="shared" si="224"/>
        <v>0</v>
      </c>
      <c r="AO438" s="353">
        <f t="shared" si="224"/>
        <v>0</v>
      </c>
      <c r="AP438" s="353">
        <f t="shared" si="224"/>
        <v>0</v>
      </c>
    </row>
    <row r="439" spans="1:42" x14ac:dyDescent="0.2">
      <c r="A439" s="21">
        <f t="shared" si="221"/>
        <v>6</v>
      </c>
      <c r="B439" s="365">
        <f t="shared" si="218"/>
        <v>0</v>
      </c>
      <c r="C439" s="390">
        <f t="shared" ref="C439:AP439" si="225">LOOKUP(C427,$B$391:$AP$391,$B$392:$AP$392)*$B622</f>
        <v>0</v>
      </c>
      <c r="D439" s="353">
        <f t="shared" si="225"/>
        <v>0</v>
      </c>
      <c r="E439" s="353">
        <f t="shared" si="225"/>
        <v>0</v>
      </c>
      <c r="F439" s="353">
        <f t="shared" si="225"/>
        <v>0</v>
      </c>
      <c r="G439" s="353">
        <f t="shared" si="225"/>
        <v>0</v>
      </c>
      <c r="H439" s="353">
        <f t="shared" si="225"/>
        <v>0</v>
      </c>
      <c r="I439" s="353">
        <f t="shared" si="225"/>
        <v>0</v>
      </c>
      <c r="J439" s="353">
        <f t="shared" si="225"/>
        <v>0</v>
      </c>
      <c r="K439" s="353">
        <f t="shared" si="225"/>
        <v>0</v>
      </c>
      <c r="L439" s="353">
        <f t="shared" si="225"/>
        <v>0</v>
      </c>
      <c r="M439" s="353">
        <f t="shared" si="225"/>
        <v>0</v>
      </c>
      <c r="N439" s="353">
        <f t="shared" si="225"/>
        <v>0</v>
      </c>
      <c r="O439" s="353">
        <f t="shared" si="225"/>
        <v>0</v>
      </c>
      <c r="P439" s="353">
        <f t="shared" si="225"/>
        <v>0</v>
      </c>
      <c r="Q439" s="353">
        <f t="shared" si="225"/>
        <v>0</v>
      </c>
      <c r="R439" s="353">
        <f t="shared" si="225"/>
        <v>0</v>
      </c>
      <c r="S439" s="353">
        <f t="shared" si="225"/>
        <v>0</v>
      </c>
      <c r="T439" s="353">
        <f t="shared" si="225"/>
        <v>0</v>
      </c>
      <c r="U439" s="353">
        <f t="shared" si="225"/>
        <v>0</v>
      </c>
      <c r="V439" s="353">
        <f t="shared" si="225"/>
        <v>0</v>
      </c>
      <c r="W439" s="353">
        <f t="shared" si="225"/>
        <v>0</v>
      </c>
      <c r="X439" s="353">
        <f t="shared" si="225"/>
        <v>0</v>
      </c>
      <c r="Y439" s="353">
        <f t="shared" si="225"/>
        <v>0</v>
      </c>
      <c r="Z439" s="353">
        <f t="shared" si="225"/>
        <v>0</v>
      </c>
      <c r="AA439" s="353">
        <f t="shared" si="225"/>
        <v>0</v>
      </c>
      <c r="AB439" s="353">
        <f t="shared" si="225"/>
        <v>0</v>
      </c>
      <c r="AC439" s="353">
        <f t="shared" si="225"/>
        <v>0</v>
      </c>
      <c r="AD439" s="353">
        <f t="shared" si="225"/>
        <v>0</v>
      </c>
      <c r="AE439" s="353">
        <f t="shared" si="225"/>
        <v>0</v>
      </c>
      <c r="AF439" s="353">
        <f t="shared" si="225"/>
        <v>0</v>
      </c>
      <c r="AG439" s="353">
        <f t="shared" si="225"/>
        <v>0</v>
      </c>
      <c r="AH439" s="353">
        <f t="shared" si="225"/>
        <v>0</v>
      </c>
      <c r="AI439" s="353">
        <f t="shared" si="225"/>
        <v>0</v>
      </c>
      <c r="AJ439" s="353">
        <f t="shared" si="225"/>
        <v>0</v>
      </c>
      <c r="AK439" s="353">
        <f t="shared" si="225"/>
        <v>0</v>
      </c>
      <c r="AL439" s="353">
        <f t="shared" si="225"/>
        <v>0</v>
      </c>
      <c r="AM439" s="353">
        <f t="shared" si="225"/>
        <v>0</v>
      </c>
      <c r="AN439" s="353">
        <f t="shared" si="225"/>
        <v>0</v>
      </c>
      <c r="AO439" s="353">
        <f t="shared" si="225"/>
        <v>0</v>
      </c>
      <c r="AP439" s="353">
        <f t="shared" si="225"/>
        <v>0</v>
      </c>
    </row>
    <row r="440" spans="1:42" x14ac:dyDescent="0.2">
      <c r="A440" s="21">
        <f t="shared" si="221"/>
        <v>7</v>
      </c>
      <c r="B440" s="365">
        <f t="shared" si="218"/>
        <v>0</v>
      </c>
      <c r="C440" s="390">
        <f t="shared" ref="C440:AP440" si="226">LOOKUP(C428,$B$391:$AP$391,$B$392:$AP$392)*$B623</f>
        <v>0</v>
      </c>
      <c r="D440" s="353">
        <f t="shared" si="226"/>
        <v>0</v>
      </c>
      <c r="E440" s="353">
        <f t="shared" si="226"/>
        <v>0</v>
      </c>
      <c r="F440" s="353">
        <f t="shared" si="226"/>
        <v>0</v>
      </c>
      <c r="G440" s="353">
        <f t="shared" si="226"/>
        <v>0</v>
      </c>
      <c r="H440" s="353">
        <f t="shared" si="226"/>
        <v>0</v>
      </c>
      <c r="I440" s="353">
        <f t="shared" si="226"/>
        <v>0</v>
      </c>
      <c r="J440" s="353">
        <f t="shared" si="226"/>
        <v>0</v>
      </c>
      <c r="K440" s="353">
        <f t="shared" si="226"/>
        <v>0</v>
      </c>
      <c r="L440" s="353">
        <f t="shared" si="226"/>
        <v>0</v>
      </c>
      <c r="M440" s="353">
        <f t="shared" si="226"/>
        <v>0</v>
      </c>
      <c r="N440" s="353">
        <f t="shared" si="226"/>
        <v>0</v>
      </c>
      <c r="O440" s="353">
        <f t="shared" si="226"/>
        <v>0</v>
      </c>
      <c r="P440" s="353">
        <f t="shared" si="226"/>
        <v>0</v>
      </c>
      <c r="Q440" s="353">
        <f t="shared" si="226"/>
        <v>0</v>
      </c>
      <c r="R440" s="353">
        <f t="shared" si="226"/>
        <v>0</v>
      </c>
      <c r="S440" s="353">
        <f t="shared" si="226"/>
        <v>0</v>
      </c>
      <c r="T440" s="353">
        <f t="shared" si="226"/>
        <v>0</v>
      </c>
      <c r="U440" s="353">
        <f t="shared" si="226"/>
        <v>0</v>
      </c>
      <c r="V440" s="353">
        <f t="shared" si="226"/>
        <v>0</v>
      </c>
      <c r="W440" s="353">
        <f t="shared" si="226"/>
        <v>0</v>
      </c>
      <c r="X440" s="353">
        <f t="shared" si="226"/>
        <v>0</v>
      </c>
      <c r="Y440" s="353">
        <f t="shared" si="226"/>
        <v>0</v>
      </c>
      <c r="Z440" s="353">
        <f t="shared" si="226"/>
        <v>0</v>
      </c>
      <c r="AA440" s="353">
        <f t="shared" si="226"/>
        <v>0</v>
      </c>
      <c r="AB440" s="353">
        <f t="shared" si="226"/>
        <v>0</v>
      </c>
      <c r="AC440" s="353">
        <f t="shared" si="226"/>
        <v>0</v>
      </c>
      <c r="AD440" s="353">
        <f t="shared" si="226"/>
        <v>0</v>
      </c>
      <c r="AE440" s="353">
        <f t="shared" si="226"/>
        <v>0</v>
      </c>
      <c r="AF440" s="353">
        <f t="shared" si="226"/>
        <v>0</v>
      </c>
      <c r="AG440" s="353">
        <f t="shared" si="226"/>
        <v>0</v>
      </c>
      <c r="AH440" s="353">
        <f t="shared" si="226"/>
        <v>0</v>
      </c>
      <c r="AI440" s="353">
        <f t="shared" si="226"/>
        <v>0</v>
      </c>
      <c r="AJ440" s="353">
        <f t="shared" si="226"/>
        <v>0</v>
      </c>
      <c r="AK440" s="353">
        <f t="shared" si="226"/>
        <v>0</v>
      </c>
      <c r="AL440" s="353">
        <f t="shared" si="226"/>
        <v>0</v>
      </c>
      <c r="AM440" s="353">
        <f t="shared" si="226"/>
        <v>0</v>
      </c>
      <c r="AN440" s="353">
        <f t="shared" si="226"/>
        <v>0</v>
      </c>
      <c r="AO440" s="353">
        <f t="shared" si="226"/>
        <v>0</v>
      </c>
      <c r="AP440" s="353">
        <f t="shared" si="226"/>
        <v>0</v>
      </c>
    </row>
    <row r="441" spans="1:42" x14ac:dyDescent="0.2">
      <c r="A441" s="21">
        <f t="shared" si="221"/>
        <v>8</v>
      </c>
      <c r="B441" s="365">
        <f t="shared" si="218"/>
        <v>0</v>
      </c>
      <c r="C441" s="390">
        <f t="shared" ref="C441:AP441" si="227">LOOKUP(C429,$B$391:$AP$391,$B$392:$AP$392)*$B624</f>
        <v>0</v>
      </c>
      <c r="D441" s="353">
        <f t="shared" si="227"/>
        <v>0</v>
      </c>
      <c r="E441" s="353">
        <f t="shared" si="227"/>
        <v>0</v>
      </c>
      <c r="F441" s="353">
        <f t="shared" si="227"/>
        <v>0</v>
      </c>
      <c r="G441" s="353">
        <f t="shared" si="227"/>
        <v>0</v>
      </c>
      <c r="H441" s="353">
        <f t="shared" si="227"/>
        <v>0</v>
      </c>
      <c r="I441" s="353">
        <f t="shared" si="227"/>
        <v>0</v>
      </c>
      <c r="J441" s="353">
        <f t="shared" si="227"/>
        <v>0</v>
      </c>
      <c r="K441" s="353">
        <f t="shared" si="227"/>
        <v>0</v>
      </c>
      <c r="L441" s="353">
        <f t="shared" si="227"/>
        <v>0</v>
      </c>
      <c r="M441" s="353">
        <f t="shared" si="227"/>
        <v>0</v>
      </c>
      <c r="N441" s="353">
        <f t="shared" si="227"/>
        <v>0</v>
      </c>
      <c r="O441" s="353">
        <f t="shared" si="227"/>
        <v>0</v>
      </c>
      <c r="P441" s="353">
        <f t="shared" si="227"/>
        <v>0</v>
      </c>
      <c r="Q441" s="353">
        <f t="shared" si="227"/>
        <v>0</v>
      </c>
      <c r="R441" s="353">
        <f t="shared" si="227"/>
        <v>0</v>
      </c>
      <c r="S441" s="353">
        <f t="shared" si="227"/>
        <v>0</v>
      </c>
      <c r="T441" s="353">
        <f t="shared" si="227"/>
        <v>0</v>
      </c>
      <c r="U441" s="353">
        <f t="shared" si="227"/>
        <v>0</v>
      </c>
      <c r="V441" s="353">
        <f t="shared" si="227"/>
        <v>0</v>
      </c>
      <c r="W441" s="353">
        <f t="shared" si="227"/>
        <v>0</v>
      </c>
      <c r="X441" s="353">
        <f t="shared" si="227"/>
        <v>0</v>
      </c>
      <c r="Y441" s="353">
        <f t="shared" si="227"/>
        <v>0</v>
      </c>
      <c r="Z441" s="353">
        <f t="shared" si="227"/>
        <v>0</v>
      </c>
      <c r="AA441" s="353">
        <f t="shared" si="227"/>
        <v>0</v>
      </c>
      <c r="AB441" s="353">
        <f t="shared" si="227"/>
        <v>0</v>
      </c>
      <c r="AC441" s="353">
        <f t="shared" si="227"/>
        <v>0</v>
      </c>
      <c r="AD441" s="353">
        <f t="shared" si="227"/>
        <v>0</v>
      </c>
      <c r="AE441" s="353">
        <f t="shared" si="227"/>
        <v>0</v>
      </c>
      <c r="AF441" s="353">
        <f t="shared" si="227"/>
        <v>0</v>
      </c>
      <c r="AG441" s="353">
        <f t="shared" si="227"/>
        <v>0</v>
      </c>
      <c r="AH441" s="353">
        <f t="shared" si="227"/>
        <v>0</v>
      </c>
      <c r="AI441" s="353">
        <f t="shared" si="227"/>
        <v>0</v>
      </c>
      <c r="AJ441" s="353">
        <f t="shared" si="227"/>
        <v>0</v>
      </c>
      <c r="AK441" s="353">
        <f t="shared" si="227"/>
        <v>0</v>
      </c>
      <c r="AL441" s="353">
        <f t="shared" si="227"/>
        <v>0</v>
      </c>
      <c r="AM441" s="353">
        <f t="shared" si="227"/>
        <v>0</v>
      </c>
      <c r="AN441" s="353">
        <f t="shared" si="227"/>
        <v>0</v>
      </c>
      <c r="AO441" s="353">
        <f t="shared" si="227"/>
        <v>0</v>
      </c>
      <c r="AP441" s="353">
        <f t="shared" si="227"/>
        <v>0</v>
      </c>
    </row>
    <row r="442" spans="1:42" x14ac:dyDescent="0.2">
      <c r="A442" s="21">
        <f>A441+1</f>
        <v>9</v>
      </c>
      <c r="B442" s="365">
        <f t="shared" si="218"/>
        <v>0</v>
      </c>
      <c r="C442" s="390">
        <f t="shared" ref="C442:AP442" si="228">LOOKUP(C430,$B$391:$AP$391,$B$392:$AP$392)*$B625</f>
        <v>0</v>
      </c>
      <c r="D442" s="353">
        <f t="shared" si="228"/>
        <v>0</v>
      </c>
      <c r="E442" s="353">
        <f t="shared" si="228"/>
        <v>0</v>
      </c>
      <c r="F442" s="353">
        <f t="shared" si="228"/>
        <v>0</v>
      </c>
      <c r="G442" s="353">
        <f t="shared" si="228"/>
        <v>0</v>
      </c>
      <c r="H442" s="353">
        <f t="shared" si="228"/>
        <v>0</v>
      </c>
      <c r="I442" s="353">
        <f t="shared" si="228"/>
        <v>0</v>
      </c>
      <c r="J442" s="353">
        <f t="shared" si="228"/>
        <v>0</v>
      </c>
      <c r="K442" s="353">
        <f t="shared" si="228"/>
        <v>0</v>
      </c>
      <c r="L442" s="353">
        <f t="shared" si="228"/>
        <v>0</v>
      </c>
      <c r="M442" s="353">
        <f t="shared" si="228"/>
        <v>0</v>
      </c>
      <c r="N442" s="353">
        <f t="shared" si="228"/>
        <v>0</v>
      </c>
      <c r="O442" s="353">
        <f t="shared" si="228"/>
        <v>0</v>
      </c>
      <c r="P442" s="353">
        <f t="shared" si="228"/>
        <v>0</v>
      </c>
      <c r="Q442" s="353">
        <f t="shared" si="228"/>
        <v>0</v>
      </c>
      <c r="R442" s="353">
        <f t="shared" si="228"/>
        <v>0</v>
      </c>
      <c r="S442" s="353">
        <f t="shared" si="228"/>
        <v>0</v>
      </c>
      <c r="T442" s="353">
        <f t="shared" si="228"/>
        <v>0</v>
      </c>
      <c r="U442" s="353">
        <f t="shared" si="228"/>
        <v>0</v>
      </c>
      <c r="V442" s="353">
        <f t="shared" si="228"/>
        <v>0</v>
      </c>
      <c r="W442" s="353">
        <f t="shared" si="228"/>
        <v>0</v>
      </c>
      <c r="X442" s="353">
        <f t="shared" si="228"/>
        <v>0</v>
      </c>
      <c r="Y442" s="353">
        <f t="shared" si="228"/>
        <v>0</v>
      </c>
      <c r="Z442" s="353">
        <f t="shared" si="228"/>
        <v>0</v>
      </c>
      <c r="AA442" s="353">
        <f t="shared" si="228"/>
        <v>0</v>
      </c>
      <c r="AB442" s="353">
        <f t="shared" si="228"/>
        <v>0</v>
      </c>
      <c r="AC442" s="353">
        <f t="shared" si="228"/>
        <v>0</v>
      </c>
      <c r="AD442" s="353">
        <f t="shared" si="228"/>
        <v>0</v>
      </c>
      <c r="AE442" s="353">
        <f t="shared" si="228"/>
        <v>0</v>
      </c>
      <c r="AF442" s="353">
        <f t="shared" si="228"/>
        <v>0</v>
      </c>
      <c r="AG442" s="353">
        <f t="shared" si="228"/>
        <v>0</v>
      </c>
      <c r="AH442" s="353">
        <f t="shared" si="228"/>
        <v>0</v>
      </c>
      <c r="AI442" s="353">
        <f t="shared" si="228"/>
        <v>0</v>
      </c>
      <c r="AJ442" s="353">
        <f t="shared" si="228"/>
        <v>0</v>
      </c>
      <c r="AK442" s="353">
        <f t="shared" si="228"/>
        <v>0</v>
      </c>
      <c r="AL442" s="353">
        <f t="shared" si="228"/>
        <v>0</v>
      </c>
      <c r="AM442" s="353">
        <f t="shared" si="228"/>
        <v>0</v>
      </c>
      <c r="AN442" s="353">
        <f t="shared" si="228"/>
        <v>0</v>
      </c>
      <c r="AO442" s="353">
        <f t="shared" si="228"/>
        <v>0</v>
      </c>
      <c r="AP442" s="353">
        <f t="shared" si="228"/>
        <v>0</v>
      </c>
    </row>
    <row r="443" spans="1:42" x14ac:dyDescent="0.2">
      <c r="A443" s="21">
        <f t="shared" ref="A443" si="229">A442+1</f>
        <v>10</v>
      </c>
      <c r="B443" s="365">
        <f t="shared" si="218"/>
        <v>0</v>
      </c>
      <c r="C443" s="414">
        <f t="shared" ref="C443:AP443" si="230">LOOKUP(C431,$B$391:$AP$391,$B$392:$AP$392)*$B626</f>
        <v>0</v>
      </c>
      <c r="D443" s="360">
        <f t="shared" si="230"/>
        <v>0</v>
      </c>
      <c r="E443" s="360">
        <f t="shared" si="230"/>
        <v>0</v>
      </c>
      <c r="F443" s="360">
        <f t="shared" si="230"/>
        <v>0</v>
      </c>
      <c r="G443" s="360">
        <f t="shared" si="230"/>
        <v>0</v>
      </c>
      <c r="H443" s="360">
        <f t="shared" si="230"/>
        <v>0</v>
      </c>
      <c r="I443" s="360">
        <f t="shared" si="230"/>
        <v>0</v>
      </c>
      <c r="J443" s="360">
        <f t="shared" si="230"/>
        <v>0</v>
      </c>
      <c r="K443" s="360">
        <f t="shared" si="230"/>
        <v>0</v>
      </c>
      <c r="L443" s="360">
        <f t="shared" si="230"/>
        <v>0</v>
      </c>
      <c r="M443" s="360">
        <f t="shared" si="230"/>
        <v>0</v>
      </c>
      <c r="N443" s="360">
        <f t="shared" si="230"/>
        <v>0</v>
      </c>
      <c r="O443" s="360">
        <f t="shared" si="230"/>
        <v>0</v>
      </c>
      <c r="P443" s="360">
        <f t="shared" si="230"/>
        <v>0</v>
      </c>
      <c r="Q443" s="360">
        <f t="shared" si="230"/>
        <v>0</v>
      </c>
      <c r="R443" s="360">
        <f t="shared" si="230"/>
        <v>0</v>
      </c>
      <c r="S443" s="360">
        <f t="shared" si="230"/>
        <v>0</v>
      </c>
      <c r="T443" s="360">
        <f t="shared" si="230"/>
        <v>0</v>
      </c>
      <c r="U443" s="360">
        <f t="shared" si="230"/>
        <v>0</v>
      </c>
      <c r="V443" s="360">
        <f t="shared" si="230"/>
        <v>0</v>
      </c>
      <c r="W443" s="360">
        <f t="shared" si="230"/>
        <v>0</v>
      </c>
      <c r="X443" s="360">
        <f t="shared" si="230"/>
        <v>0</v>
      </c>
      <c r="Y443" s="360">
        <f t="shared" si="230"/>
        <v>0</v>
      </c>
      <c r="Z443" s="360">
        <f t="shared" si="230"/>
        <v>0</v>
      </c>
      <c r="AA443" s="360">
        <f t="shared" si="230"/>
        <v>0</v>
      </c>
      <c r="AB443" s="360">
        <f t="shared" si="230"/>
        <v>0</v>
      </c>
      <c r="AC443" s="360">
        <f t="shared" si="230"/>
        <v>0</v>
      </c>
      <c r="AD443" s="360">
        <f t="shared" si="230"/>
        <v>0</v>
      </c>
      <c r="AE443" s="360">
        <f t="shared" si="230"/>
        <v>0</v>
      </c>
      <c r="AF443" s="360">
        <f t="shared" si="230"/>
        <v>0</v>
      </c>
      <c r="AG443" s="360">
        <f t="shared" si="230"/>
        <v>0</v>
      </c>
      <c r="AH443" s="360">
        <f t="shared" si="230"/>
        <v>0</v>
      </c>
      <c r="AI443" s="360">
        <f t="shared" si="230"/>
        <v>0</v>
      </c>
      <c r="AJ443" s="360">
        <f t="shared" si="230"/>
        <v>0</v>
      </c>
      <c r="AK443" s="360">
        <f t="shared" si="230"/>
        <v>0</v>
      </c>
      <c r="AL443" s="360">
        <f t="shared" si="230"/>
        <v>0</v>
      </c>
      <c r="AM443" s="360">
        <f t="shared" si="230"/>
        <v>0</v>
      </c>
      <c r="AN443" s="360">
        <f t="shared" si="230"/>
        <v>0</v>
      </c>
      <c r="AO443" s="360">
        <f t="shared" si="230"/>
        <v>0</v>
      </c>
      <c r="AP443" s="360">
        <f t="shared" si="230"/>
        <v>0</v>
      </c>
    </row>
    <row r="444" spans="1:42" s="21" customFormat="1" x14ac:dyDescent="0.2">
      <c r="A444" s="49" t="s">
        <v>21</v>
      </c>
      <c r="B444" s="24"/>
      <c r="C444" s="390">
        <f>SUM(C434:C443)</f>
        <v>0</v>
      </c>
      <c r="D444" s="390">
        <f t="shared" ref="D444:AP444" si="231">SUM(D434:D443)</f>
        <v>0</v>
      </c>
      <c r="E444" s="390">
        <f t="shared" si="231"/>
        <v>0</v>
      </c>
      <c r="F444" s="390">
        <f t="shared" si="231"/>
        <v>0</v>
      </c>
      <c r="G444" s="390">
        <f t="shared" si="231"/>
        <v>0</v>
      </c>
      <c r="H444" s="390">
        <f t="shared" si="231"/>
        <v>0</v>
      </c>
      <c r="I444" s="390">
        <f t="shared" si="231"/>
        <v>0</v>
      </c>
      <c r="J444" s="390">
        <f t="shared" si="231"/>
        <v>0</v>
      </c>
      <c r="K444" s="390">
        <f t="shared" si="231"/>
        <v>0</v>
      </c>
      <c r="L444" s="390">
        <f t="shared" si="231"/>
        <v>0</v>
      </c>
      <c r="M444" s="390">
        <f t="shared" si="231"/>
        <v>0</v>
      </c>
      <c r="N444" s="390">
        <f t="shared" si="231"/>
        <v>0</v>
      </c>
      <c r="O444" s="390">
        <f t="shared" si="231"/>
        <v>0</v>
      </c>
      <c r="P444" s="390">
        <f t="shared" si="231"/>
        <v>0</v>
      </c>
      <c r="Q444" s="390">
        <f t="shared" si="231"/>
        <v>0</v>
      </c>
      <c r="R444" s="390">
        <f t="shared" si="231"/>
        <v>0</v>
      </c>
      <c r="S444" s="390">
        <f t="shared" si="231"/>
        <v>0</v>
      </c>
      <c r="T444" s="390">
        <f t="shared" si="231"/>
        <v>0</v>
      </c>
      <c r="U444" s="390">
        <f t="shared" si="231"/>
        <v>0</v>
      </c>
      <c r="V444" s="390">
        <f t="shared" si="231"/>
        <v>0</v>
      </c>
      <c r="W444" s="390">
        <f t="shared" si="231"/>
        <v>0</v>
      </c>
      <c r="X444" s="390">
        <f t="shared" si="231"/>
        <v>0</v>
      </c>
      <c r="Y444" s="390">
        <f t="shared" si="231"/>
        <v>0</v>
      </c>
      <c r="Z444" s="390">
        <f t="shared" si="231"/>
        <v>0</v>
      </c>
      <c r="AA444" s="390">
        <f t="shared" si="231"/>
        <v>0</v>
      </c>
      <c r="AB444" s="390">
        <f t="shared" si="231"/>
        <v>0</v>
      </c>
      <c r="AC444" s="390">
        <f t="shared" si="231"/>
        <v>0</v>
      </c>
      <c r="AD444" s="390">
        <f t="shared" si="231"/>
        <v>0</v>
      </c>
      <c r="AE444" s="390">
        <f t="shared" si="231"/>
        <v>0</v>
      </c>
      <c r="AF444" s="390">
        <f t="shared" si="231"/>
        <v>0</v>
      </c>
      <c r="AG444" s="390">
        <f t="shared" si="231"/>
        <v>0</v>
      </c>
      <c r="AH444" s="390">
        <f t="shared" si="231"/>
        <v>0</v>
      </c>
      <c r="AI444" s="390">
        <f t="shared" si="231"/>
        <v>0</v>
      </c>
      <c r="AJ444" s="390">
        <f t="shared" si="231"/>
        <v>0</v>
      </c>
      <c r="AK444" s="390">
        <f t="shared" si="231"/>
        <v>0</v>
      </c>
      <c r="AL444" s="390">
        <f t="shared" si="231"/>
        <v>0</v>
      </c>
      <c r="AM444" s="390">
        <f t="shared" si="231"/>
        <v>0</v>
      </c>
      <c r="AN444" s="390">
        <f t="shared" si="231"/>
        <v>0</v>
      </c>
      <c r="AO444" s="390">
        <f t="shared" si="231"/>
        <v>0</v>
      </c>
      <c r="AP444" s="390">
        <f t="shared" si="231"/>
        <v>0</v>
      </c>
    </row>
    <row r="445" spans="1:42" s="21" customFormat="1" x14ac:dyDescent="0.2">
      <c r="A445" s="49"/>
      <c r="B445" s="24"/>
      <c r="C445" s="390"/>
      <c r="D445" s="24"/>
      <c r="E445" s="24"/>
      <c r="F445" s="24"/>
      <c r="G445" s="24"/>
      <c r="H445" s="24"/>
      <c r="I445" s="24"/>
      <c r="J445" s="24"/>
      <c r="K445" s="24"/>
      <c r="L445" s="24"/>
      <c r="M445" s="24"/>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row>
    <row r="446" spans="1:42" x14ac:dyDescent="0.2">
      <c r="A446" s="38" t="s">
        <v>163</v>
      </c>
      <c r="C446" s="390"/>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row>
    <row r="447" spans="1:42" x14ac:dyDescent="0.2">
      <c r="A447" s="40" t="s">
        <v>121</v>
      </c>
      <c r="C447" s="390"/>
      <c r="D447" s="36"/>
      <c r="E447" s="36"/>
      <c r="F447" s="36"/>
      <c r="G447" s="36"/>
      <c r="H447" s="36"/>
      <c r="I447" s="36"/>
      <c r="J447" s="36"/>
      <c r="K447" s="36"/>
      <c r="L447" s="36"/>
      <c r="M447" s="36"/>
      <c r="N447" s="36"/>
      <c r="O447" s="36"/>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row>
    <row r="448" spans="1:42" x14ac:dyDescent="0.2">
      <c r="A448" s="7">
        <v>1</v>
      </c>
      <c r="C448" s="389">
        <f>C313</f>
        <v>0</v>
      </c>
      <c r="D448" s="389">
        <f t="shared" ref="D448:AP454" si="232">D313</f>
        <v>0</v>
      </c>
      <c r="E448" s="389">
        <f t="shared" si="232"/>
        <v>0</v>
      </c>
      <c r="F448" s="389">
        <f t="shared" si="232"/>
        <v>0</v>
      </c>
      <c r="G448" s="389">
        <f t="shared" si="232"/>
        <v>0</v>
      </c>
      <c r="H448" s="389">
        <f t="shared" si="232"/>
        <v>0</v>
      </c>
      <c r="I448" s="389">
        <f t="shared" si="232"/>
        <v>0</v>
      </c>
      <c r="J448" s="389">
        <f t="shared" si="232"/>
        <v>0</v>
      </c>
      <c r="K448" s="389">
        <f t="shared" si="232"/>
        <v>0</v>
      </c>
      <c r="L448" s="389">
        <f t="shared" si="232"/>
        <v>0</v>
      </c>
      <c r="M448" s="389">
        <f t="shared" si="232"/>
        <v>0</v>
      </c>
      <c r="N448" s="389">
        <f t="shared" si="232"/>
        <v>0</v>
      </c>
      <c r="O448" s="389">
        <f t="shared" si="232"/>
        <v>0</v>
      </c>
      <c r="P448" s="389">
        <f t="shared" si="232"/>
        <v>0</v>
      </c>
      <c r="Q448" s="389">
        <f t="shared" si="232"/>
        <v>0</v>
      </c>
      <c r="R448" s="389">
        <f t="shared" si="232"/>
        <v>0</v>
      </c>
      <c r="S448" s="389">
        <f t="shared" si="232"/>
        <v>0</v>
      </c>
      <c r="T448" s="389">
        <f t="shared" si="232"/>
        <v>0</v>
      </c>
      <c r="U448" s="389">
        <f t="shared" si="232"/>
        <v>0</v>
      </c>
      <c r="V448" s="389">
        <f t="shared" si="232"/>
        <v>0</v>
      </c>
      <c r="W448" s="389">
        <f t="shared" si="232"/>
        <v>0</v>
      </c>
      <c r="X448" s="389">
        <f t="shared" si="232"/>
        <v>0</v>
      </c>
      <c r="Y448" s="389">
        <f t="shared" si="232"/>
        <v>0</v>
      </c>
      <c r="Z448" s="389">
        <f t="shared" si="232"/>
        <v>0</v>
      </c>
      <c r="AA448" s="389">
        <f t="shared" si="232"/>
        <v>0</v>
      </c>
      <c r="AB448" s="389">
        <f t="shared" si="232"/>
        <v>0</v>
      </c>
      <c r="AC448" s="389">
        <f t="shared" si="232"/>
        <v>0</v>
      </c>
      <c r="AD448" s="389">
        <f t="shared" si="232"/>
        <v>0</v>
      </c>
      <c r="AE448" s="389">
        <f t="shared" si="232"/>
        <v>0</v>
      </c>
      <c r="AF448" s="389">
        <f t="shared" si="232"/>
        <v>0</v>
      </c>
      <c r="AG448" s="389">
        <f t="shared" si="232"/>
        <v>0</v>
      </c>
      <c r="AH448" s="389">
        <f t="shared" si="232"/>
        <v>0</v>
      </c>
      <c r="AI448" s="389">
        <f t="shared" si="232"/>
        <v>0</v>
      </c>
      <c r="AJ448" s="389">
        <f t="shared" si="232"/>
        <v>0</v>
      </c>
      <c r="AK448" s="389">
        <f t="shared" si="232"/>
        <v>0</v>
      </c>
      <c r="AL448" s="389">
        <f t="shared" si="232"/>
        <v>0</v>
      </c>
      <c r="AM448" s="389">
        <f t="shared" si="232"/>
        <v>0</v>
      </c>
      <c r="AN448" s="389">
        <f t="shared" si="232"/>
        <v>0</v>
      </c>
      <c r="AO448" s="389">
        <f t="shared" si="232"/>
        <v>0</v>
      </c>
      <c r="AP448" s="389">
        <f t="shared" si="232"/>
        <v>0</v>
      </c>
    </row>
    <row r="449" spans="1:42" x14ac:dyDescent="0.2">
      <c r="A449" s="7">
        <f>A448+1</f>
        <v>2</v>
      </c>
      <c r="C449" s="389">
        <f t="shared" ref="C449:R457" si="233">C314</f>
        <v>0</v>
      </c>
      <c r="D449" s="389">
        <f t="shared" si="233"/>
        <v>0</v>
      </c>
      <c r="E449" s="389">
        <f t="shared" si="233"/>
        <v>0</v>
      </c>
      <c r="F449" s="389">
        <f t="shared" si="233"/>
        <v>0</v>
      </c>
      <c r="G449" s="389">
        <f t="shared" si="233"/>
        <v>0</v>
      </c>
      <c r="H449" s="389">
        <f t="shared" si="233"/>
        <v>0</v>
      </c>
      <c r="I449" s="389">
        <f t="shared" si="233"/>
        <v>0</v>
      </c>
      <c r="J449" s="389">
        <f t="shared" si="233"/>
        <v>0</v>
      </c>
      <c r="K449" s="389">
        <f t="shared" si="233"/>
        <v>0</v>
      </c>
      <c r="L449" s="389">
        <f t="shared" si="233"/>
        <v>0</v>
      </c>
      <c r="M449" s="389">
        <f t="shared" si="233"/>
        <v>0</v>
      </c>
      <c r="N449" s="389">
        <f t="shared" si="233"/>
        <v>0</v>
      </c>
      <c r="O449" s="389">
        <f t="shared" si="233"/>
        <v>0</v>
      </c>
      <c r="P449" s="389">
        <f t="shared" si="233"/>
        <v>0</v>
      </c>
      <c r="Q449" s="389">
        <f t="shared" si="233"/>
        <v>0</v>
      </c>
      <c r="R449" s="389">
        <f t="shared" si="233"/>
        <v>0</v>
      </c>
      <c r="S449" s="389">
        <f t="shared" si="232"/>
        <v>0</v>
      </c>
      <c r="T449" s="389">
        <f t="shared" si="232"/>
        <v>0</v>
      </c>
      <c r="U449" s="389">
        <f t="shared" si="232"/>
        <v>0</v>
      </c>
      <c r="V449" s="389">
        <f t="shared" si="232"/>
        <v>0</v>
      </c>
      <c r="W449" s="389">
        <f t="shared" si="232"/>
        <v>0</v>
      </c>
      <c r="X449" s="389">
        <f t="shared" si="232"/>
        <v>0</v>
      </c>
      <c r="Y449" s="389">
        <f t="shared" si="232"/>
        <v>0</v>
      </c>
      <c r="Z449" s="389">
        <f t="shared" si="232"/>
        <v>0</v>
      </c>
      <c r="AA449" s="389">
        <f t="shared" si="232"/>
        <v>0</v>
      </c>
      <c r="AB449" s="389">
        <f t="shared" si="232"/>
        <v>0</v>
      </c>
      <c r="AC449" s="389">
        <f t="shared" si="232"/>
        <v>0</v>
      </c>
      <c r="AD449" s="389">
        <f t="shared" si="232"/>
        <v>0</v>
      </c>
      <c r="AE449" s="389">
        <f t="shared" si="232"/>
        <v>0</v>
      </c>
      <c r="AF449" s="389">
        <f t="shared" si="232"/>
        <v>0</v>
      </c>
      <c r="AG449" s="389">
        <f t="shared" si="232"/>
        <v>0</v>
      </c>
      <c r="AH449" s="389">
        <f t="shared" si="232"/>
        <v>0</v>
      </c>
      <c r="AI449" s="389">
        <f t="shared" si="232"/>
        <v>0</v>
      </c>
      <c r="AJ449" s="389">
        <f t="shared" si="232"/>
        <v>0</v>
      </c>
      <c r="AK449" s="389">
        <f t="shared" si="232"/>
        <v>0</v>
      </c>
      <c r="AL449" s="389">
        <f t="shared" si="232"/>
        <v>0</v>
      </c>
      <c r="AM449" s="389">
        <f t="shared" si="232"/>
        <v>0</v>
      </c>
      <c r="AN449" s="389">
        <f t="shared" si="232"/>
        <v>0</v>
      </c>
      <c r="AO449" s="389">
        <f t="shared" si="232"/>
        <v>0</v>
      </c>
      <c r="AP449" s="389">
        <f t="shared" si="232"/>
        <v>0</v>
      </c>
    </row>
    <row r="450" spans="1:42" x14ac:dyDescent="0.2">
      <c r="A450" s="7">
        <f t="shared" ref="A450:A455" si="234">A449+1</f>
        <v>3</v>
      </c>
      <c r="C450" s="389">
        <f t="shared" si="233"/>
        <v>0</v>
      </c>
      <c r="D450" s="389">
        <f t="shared" si="232"/>
        <v>0</v>
      </c>
      <c r="E450" s="389">
        <f t="shared" si="232"/>
        <v>0</v>
      </c>
      <c r="F450" s="389">
        <f t="shared" si="232"/>
        <v>0</v>
      </c>
      <c r="G450" s="389">
        <f t="shared" si="232"/>
        <v>0</v>
      </c>
      <c r="H450" s="389">
        <f t="shared" si="232"/>
        <v>0</v>
      </c>
      <c r="I450" s="389">
        <f t="shared" si="232"/>
        <v>0</v>
      </c>
      <c r="J450" s="389">
        <f t="shared" si="232"/>
        <v>0</v>
      </c>
      <c r="K450" s="389">
        <f t="shared" si="232"/>
        <v>0</v>
      </c>
      <c r="L450" s="389">
        <f t="shared" si="232"/>
        <v>0</v>
      </c>
      <c r="M450" s="389">
        <f t="shared" si="232"/>
        <v>0</v>
      </c>
      <c r="N450" s="389">
        <f t="shared" si="232"/>
        <v>0</v>
      </c>
      <c r="O450" s="389">
        <f t="shared" si="232"/>
        <v>0</v>
      </c>
      <c r="P450" s="389">
        <f t="shared" si="232"/>
        <v>0</v>
      </c>
      <c r="Q450" s="389">
        <f t="shared" si="232"/>
        <v>0</v>
      </c>
      <c r="R450" s="389">
        <f t="shared" si="232"/>
        <v>0</v>
      </c>
      <c r="S450" s="389">
        <f t="shared" si="232"/>
        <v>0</v>
      </c>
      <c r="T450" s="389">
        <f t="shared" si="232"/>
        <v>0</v>
      </c>
      <c r="U450" s="389">
        <f t="shared" si="232"/>
        <v>0</v>
      </c>
      <c r="V450" s="389">
        <f t="shared" si="232"/>
        <v>0</v>
      </c>
      <c r="W450" s="389">
        <f t="shared" si="232"/>
        <v>0</v>
      </c>
      <c r="X450" s="389">
        <f t="shared" si="232"/>
        <v>0</v>
      </c>
      <c r="Y450" s="389">
        <f t="shared" si="232"/>
        <v>0</v>
      </c>
      <c r="Z450" s="389">
        <f t="shared" si="232"/>
        <v>0</v>
      </c>
      <c r="AA450" s="389">
        <f t="shared" si="232"/>
        <v>0</v>
      </c>
      <c r="AB450" s="389">
        <f t="shared" si="232"/>
        <v>0</v>
      </c>
      <c r="AC450" s="389">
        <f t="shared" si="232"/>
        <v>0</v>
      </c>
      <c r="AD450" s="389">
        <f t="shared" si="232"/>
        <v>0</v>
      </c>
      <c r="AE450" s="389">
        <f t="shared" si="232"/>
        <v>0</v>
      </c>
      <c r="AF450" s="389">
        <f t="shared" si="232"/>
        <v>0</v>
      </c>
      <c r="AG450" s="389">
        <f t="shared" si="232"/>
        <v>0</v>
      </c>
      <c r="AH450" s="389">
        <f t="shared" si="232"/>
        <v>0</v>
      </c>
      <c r="AI450" s="389">
        <f t="shared" si="232"/>
        <v>0</v>
      </c>
      <c r="AJ450" s="389">
        <f t="shared" si="232"/>
        <v>0</v>
      </c>
      <c r="AK450" s="389">
        <f t="shared" si="232"/>
        <v>0</v>
      </c>
      <c r="AL450" s="389">
        <f t="shared" si="232"/>
        <v>0</v>
      </c>
      <c r="AM450" s="389">
        <f t="shared" si="232"/>
        <v>0</v>
      </c>
      <c r="AN450" s="389">
        <f t="shared" si="232"/>
        <v>0</v>
      </c>
      <c r="AO450" s="389">
        <f t="shared" si="232"/>
        <v>0</v>
      </c>
      <c r="AP450" s="389">
        <f t="shared" si="232"/>
        <v>0</v>
      </c>
    </row>
    <row r="451" spans="1:42" x14ac:dyDescent="0.2">
      <c r="A451" s="7">
        <f t="shared" si="234"/>
        <v>4</v>
      </c>
      <c r="C451" s="389">
        <f t="shared" si="233"/>
        <v>0</v>
      </c>
      <c r="D451" s="389">
        <f t="shared" si="232"/>
        <v>0</v>
      </c>
      <c r="E451" s="389">
        <f t="shared" si="232"/>
        <v>0</v>
      </c>
      <c r="F451" s="389">
        <f t="shared" si="232"/>
        <v>0</v>
      </c>
      <c r="G451" s="389">
        <f t="shared" si="232"/>
        <v>0</v>
      </c>
      <c r="H451" s="389">
        <f t="shared" si="232"/>
        <v>0</v>
      </c>
      <c r="I451" s="389">
        <f t="shared" si="232"/>
        <v>0</v>
      </c>
      <c r="J451" s="389">
        <f t="shared" si="232"/>
        <v>0</v>
      </c>
      <c r="K451" s="389">
        <f t="shared" si="232"/>
        <v>0</v>
      </c>
      <c r="L451" s="389">
        <f t="shared" si="232"/>
        <v>0</v>
      </c>
      <c r="M451" s="389">
        <f t="shared" si="232"/>
        <v>0</v>
      </c>
      <c r="N451" s="389">
        <f t="shared" si="232"/>
        <v>0</v>
      </c>
      <c r="O451" s="389">
        <f t="shared" si="232"/>
        <v>0</v>
      </c>
      <c r="P451" s="389">
        <f t="shared" si="232"/>
        <v>0</v>
      </c>
      <c r="Q451" s="389">
        <f t="shared" si="232"/>
        <v>0</v>
      </c>
      <c r="R451" s="389">
        <f t="shared" si="232"/>
        <v>0</v>
      </c>
      <c r="S451" s="389">
        <f t="shared" si="232"/>
        <v>0</v>
      </c>
      <c r="T451" s="389">
        <f t="shared" si="232"/>
        <v>0</v>
      </c>
      <c r="U451" s="389">
        <f t="shared" si="232"/>
        <v>0</v>
      </c>
      <c r="V451" s="389">
        <f t="shared" si="232"/>
        <v>0</v>
      </c>
      <c r="W451" s="389">
        <f t="shared" si="232"/>
        <v>0</v>
      </c>
      <c r="X451" s="389">
        <f t="shared" si="232"/>
        <v>0</v>
      </c>
      <c r="Y451" s="389">
        <f t="shared" si="232"/>
        <v>0</v>
      </c>
      <c r="Z451" s="389">
        <f t="shared" si="232"/>
        <v>0</v>
      </c>
      <c r="AA451" s="389">
        <f t="shared" si="232"/>
        <v>0</v>
      </c>
      <c r="AB451" s="389">
        <f t="shared" si="232"/>
        <v>0</v>
      </c>
      <c r="AC451" s="389">
        <f t="shared" si="232"/>
        <v>0</v>
      </c>
      <c r="AD451" s="389">
        <f t="shared" si="232"/>
        <v>0</v>
      </c>
      <c r="AE451" s="389">
        <f t="shared" si="232"/>
        <v>0</v>
      </c>
      <c r="AF451" s="389">
        <f t="shared" si="232"/>
        <v>0</v>
      </c>
      <c r="AG451" s="389">
        <f t="shared" si="232"/>
        <v>0</v>
      </c>
      <c r="AH451" s="389">
        <f t="shared" si="232"/>
        <v>0</v>
      </c>
      <c r="AI451" s="389">
        <f t="shared" si="232"/>
        <v>0</v>
      </c>
      <c r="AJ451" s="389">
        <f t="shared" si="232"/>
        <v>0</v>
      </c>
      <c r="AK451" s="389">
        <f t="shared" si="232"/>
        <v>0</v>
      </c>
      <c r="AL451" s="389">
        <f t="shared" si="232"/>
        <v>0</v>
      </c>
      <c r="AM451" s="389">
        <f t="shared" si="232"/>
        <v>0</v>
      </c>
      <c r="AN451" s="389">
        <f t="shared" si="232"/>
        <v>0</v>
      </c>
      <c r="AO451" s="389">
        <f t="shared" si="232"/>
        <v>0</v>
      </c>
      <c r="AP451" s="389">
        <f t="shared" si="232"/>
        <v>0</v>
      </c>
    </row>
    <row r="452" spans="1:42" x14ac:dyDescent="0.2">
      <c r="A452" s="7">
        <f t="shared" si="234"/>
        <v>5</v>
      </c>
      <c r="C452" s="389">
        <f t="shared" si="233"/>
        <v>0</v>
      </c>
      <c r="D452" s="389">
        <f t="shared" si="232"/>
        <v>0</v>
      </c>
      <c r="E452" s="389">
        <f t="shared" si="232"/>
        <v>0</v>
      </c>
      <c r="F452" s="389">
        <f t="shared" si="232"/>
        <v>0</v>
      </c>
      <c r="G452" s="389">
        <f t="shared" si="232"/>
        <v>0</v>
      </c>
      <c r="H452" s="389">
        <f t="shared" si="232"/>
        <v>0</v>
      </c>
      <c r="I452" s="389">
        <f t="shared" si="232"/>
        <v>0</v>
      </c>
      <c r="J452" s="389">
        <f t="shared" si="232"/>
        <v>0</v>
      </c>
      <c r="K452" s="389">
        <f t="shared" si="232"/>
        <v>0</v>
      </c>
      <c r="L452" s="389">
        <f t="shared" si="232"/>
        <v>0</v>
      </c>
      <c r="M452" s="389">
        <f t="shared" si="232"/>
        <v>0</v>
      </c>
      <c r="N452" s="389">
        <f t="shared" si="232"/>
        <v>0</v>
      </c>
      <c r="O452" s="389">
        <f t="shared" si="232"/>
        <v>0</v>
      </c>
      <c r="P452" s="389">
        <f t="shared" si="232"/>
        <v>0</v>
      </c>
      <c r="Q452" s="389">
        <f t="shared" si="232"/>
        <v>0</v>
      </c>
      <c r="R452" s="389">
        <f t="shared" si="232"/>
        <v>0</v>
      </c>
      <c r="S452" s="389">
        <f t="shared" si="232"/>
        <v>0</v>
      </c>
      <c r="T452" s="389">
        <f t="shared" si="232"/>
        <v>0</v>
      </c>
      <c r="U452" s="389">
        <f t="shared" si="232"/>
        <v>0</v>
      </c>
      <c r="V452" s="389">
        <f t="shared" si="232"/>
        <v>0</v>
      </c>
      <c r="W452" s="389">
        <f t="shared" si="232"/>
        <v>0</v>
      </c>
      <c r="X452" s="389">
        <f t="shared" si="232"/>
        <v>0</v>
      </c>
      <c r="Y452" s="389">
        <f t="shared" si="232"/>
        <v>0</v>
      </c>
      <c r="Z452" s="389">
        <f t="shared" si="232"/>
        <v>0</v>
      </c>
      <c r="AA452" s="389">
        <f t="shared" si="232"/>
        <v>0</v>
      </c>
      <c r="AB452" s="389">
        <f t="shared" si="232"/>
        <v>0</v>
      </c>
      <c r="AC452" s="389">
        <f t="shared" si="232"/>
        <v>0</v>
      </c>
      <c r="AD452" s="389">
        <f t="shared" si="232"/>
        <v>0</v>
      </c>
      <c r="AE452" s="389">
        <f t="shared" si="232"/>
        <v>0</v>
      </c>
      <c r="AF452" s="389">
        <f t="shared" si="232"/>
        <v>0</v>
      </c>
      <c r="AG452" s="389">
        <f t="shared" si="232"/>
        <v>0</v>
      </c>
      <c r="AH452" s="389">
        <f t="shared" si="232"/>
        <v>0</v>
      </c>
      <c r="AI452" s="389">
        <f t="shared" si="232"/>
        <v>0</v>
      </c>
      <c r="AJ452" s="389">
        <f t="shared" si="232"/>
        <v>0</v>
      </c>
      <c r="AK452" s="389">
        <f t="shared" si="232"/>
        <v>0</v>
      </c>
      <c r="AL452" s="389">
        <f t="shared" si="232"/>
        <v>0</v>
      </c>
      <c r="AM452" s="389">
        <f t="shared" si="232"/>
        <v>0</v>
      </c>
      <c r="AN452" s="389">
        <f t="shared" si="232"/>
        <v>0</v>
      </c>
      <c r="AO452" s="389">
        <f t="shared" si="232"/>
        <v>0</v>
      </c>
      <c r="AP452" s="389">
        <f t="shared" si="232"/>
        <v>0</v>
      </c>
    </row>
    <row r="453" spans="1:42" x14ac:dyDescent="0.2">
      <c r="A453" s="7">
        <f t="shared" si="234"/>
        <v>6</v>
      </c>
      <c r="C453" s="389">
        <f t="shared" si="233"/>
        <v>0</v>
      </c>
      <c r="D453" s="389">
        <f t="shared" si="232"/>
        <v>0</v>
      </c>
      <c r="E453" s="389">
        <f t="shared" si="232"/>
        <v>0</v>
      </c>
      <c r="F453" s="389">
        <f t="shared" si="232"/>
        <v>0</v>
      </c>
      <c r="G453" s="389">
        <f t="shared" si="232"/>
        <v>0</v>
      </c>
      <c r="H453" s="389">
        <f t="shared" si="232"/>
        <v>0</v>
      </c>
      <c r="I453" s="389">
        <f t="shared" si="232"/>
        <v>0</v>
      </c>
      <c r="J453" s="389">
        <f t="shared" si="232"/>
        <v>0</v>
      </c>
      <c r="K453" s="389">
        <f t="shared" si="232"/>
        <v>0</v>
      </c>
      <c r="L453" s="389">
        <f t="shared" si="232"/>
        <v>0</v>
      </c>
      <c r="M453" s="389">
        <f t="shared" si="232"/>
        <v>0</v>
      </c>
      <c r="N453" s="389">
        <f t="shared" si="232"/>
        <v>0</v>
      </c>
      <c r="O453" s="389">
        <f t="shared" si="232"/>
        <v>0</v>
      </c>
      <c r="P453" s="389">
        <f t="shared" si="232"/>
        <v>0</v>
      </c>
      <c r="Q453" s="389">
        <f t="shared" si="232"/>
        <v>0</v>
      </c>
      <c r="R453" s="389">
        <f t="shared" si="232"/>
        <v>0</v>
      </c>
      <c r="S453" s="389">
        <f t="shared" si="232"/>
        <v>0</v>
      </c>
      <c r="T453" s="389">
        <f t="shared" si="232"/>
        <v>0</v>
      </c>
      <c r="U453" s="389">
        <f t="shared" si="232"/>
        <v>0</v>
      </c>
      <c r="V453" s="389">
        <f t="shared" si="232"/>
        <v>0</v>
      </c>
      <c r="W453" s="389">
        <f t="shared" si="232"/>
        <v>0</v>
      </c>
      <c r="X453" s="389">
        <f t="shared" si="232"/>
        <v>0</v>
      </c>
      <c r="Y453" s="389">
        <f t="shared" si="232"/>
        <v>0</v>
      </c>
      <c r="Z453" s="389">
        <f t="shared" si="232"/>
        <v>0</v>
      </c>
      <c r="AA453" s="389">
        <f t="shared" si="232"/>
        <v>0</v>
      </c>
      <c r="AB453" s="389">
        <f t="shared" si="232"/>
        <v>0</v>
      </c>
      <c r="AC453" s="389">
        <f t="shared" si="232"/>
        <v>0</v>
      </c>
      <c r="AD453" s="389">
        <f t="shared" si="232"/>
        <v>0</v>
      </c>
      <c r="AE453" s="389">
        <f t="shared" si="232"/>
        <v>0</v>
      </c>
      <c r="AF453" s="389">
        <f t="shared" si="232"/>
        <v>0</v>
      </c>
      <c r="AG453" s="389">
        <f t="shared" si="232"/>
        <v>0</v>
      </c>
      <c r="AH453" s="389">
        <f t="shared" si="232"/>
        <v>0</v>
      </c>
      <c r="AI453" s="389">
        <f t="shared" si="232"/>
        <v>0</v>
      </c>
      <c r="AJ453" s="389">
        <f t="shared" si="232"/>
        <v>0</v>
      </c>
      <c r="AK453" s="389">
        <f t="shared" si="232"/>
        <v>0</v>
      </c>
      <c r="AL453" s="389">
        <f t="shared" si="232"/>
        <v>0</v>
      </c>
      <c r="AM453" s="389">
        <f t="shared" si="232"/>
        <v>0</v>
      </c>
      <c r="AN453" s="389">
        <f t="shared" si="232"/>
        <v>0</v>
      </c>
      <c r="AO453" s="389">
        <f t="shared" si="232"/>
        <v>0</v>
      </c>
      <c r="AP453" s="389">
        <f t="shared" si="232"/>
        <v>0</v>
      </c>
    </row>
    <row r="454" spans="1:42" x14ac:dyDescent="0.2">
      <c r="A454" s="7">
        <f t="shared" si="234"/>
        <v>7</v>
      </c>
      <c r="C454" s="389">
        <f t="shared" si="233"/>
        <v>0</v>
      </c>
      <c r="D454" s="389">
        <f t="shared" si="232"/>
        <v>0</v>
      </c>
      <c r="E454" s="389">
        <f t="shared" si="232"/>
        <v>0</v>
      </c>
      <c r="F454" s="389">
        <f t="shared" si="232"/>
        <v>0</v>
      </c>
      <c r="G454" s="389">
        <f t="shared" si="232"/>
        <v>0</v>
      </c>
      <c r="H454" s="389">
        <f t="shared" si="232"/>
        <v>0</v>
      </c>
      <c r="I454" s="389">
        <f t="shared" si="232"/>
        <v>0</v>
      </c>
      <c r="J454" s="389">
        <f t="shared" si="232"/>
        <v>0</v>
      </c>
      <c r="K454" s="389">
        <f t="shared" si="232"/>
        <v>0</v>
      </c>
      <c r="L454" s="389">
        <f t="shared" si="232"/>
        <v>0</v>
      </c>
      <c r="M454" s="389">
        <f t="shared" si="232"/>
        <v>0</v>
      </c>
      <c r="N454" s="389">
        <f t="shared" si="232"/>
        <v>0</v>
      </c>
      <c r="O454" s="389">
        <f t="shared" si="232"/>
        <v>0</v>
      </c>
      <c r="P454" s="389">
        <f t="shared" si="232"/>
        <v>0</v>
      </c>
      <c r="Q454" s="389">
        <f t="shared" si="232"/>
        <v>0</v>
      </c>
      <c r="R454" s="389">
        <f t="shared" si="232"/>
        <v>0</v>
      </c>
      <c r="S454" s="389">
        <f t="shared" si="232"/>
        <v>0</v>
      </c>
      <c r="T454" s="389">
        <f t="shared" si="232"/>
        <v>0</v>
      </c>
      <c r="U454" s="389">
        <f t="shared" si="232"/>
        <v>0</v>
      </c>
      <c r="V454" s="389">
        <f t="shared" si="232"/>
        <v>0</v>
      </c>
      <c r="W454" s="389">
        <f t="shared" si="232"/>
        <v>0</v>
      </c>
      <c r="X454" s="389">
        <f t="shared" si="232"/>
        <v>0</v>
      </c>
      <c r="Y454" s="389">
        <f t="shared" si="232"/>
        <v>0</v>
      </c>
      <c r="Z454" s="389">
        <f t="shared" si="232"/>
        <v>0</v>
      </c>
      <c r="AA454" s="389">
        <f t="shared" si="232"/>
        <v>0</v>
      </c>
      <c r="AB454" s="389">
        <f t="shared" si="232"/>
        <v>0</v>
      </c>
      <c r="AC454" s="389">
        <f t="shared" si="232"/>
        <v>0</v>
      </c>
      <c r="AD454" s="389">
        <f t="shared" si="232"/>
        <v>0</v>
      </c>
      <c r="AE454" s="389">
        <f t="shared" si="232"/>
        <v>0</v>
      </c>
      <c r="AF454" s="389">
        <f t="shared" si="232"/>
        <v>0</v>
      </c>
      <c r="AG454" s="389">
        <f t="shared" si="232"/>
        <v>0</v>
      </c>
      <c r="AH454" s="389">
        <f t="shared" si="232"/>
        <v>0</v>
      </c>
      <c r="AI454" s="389">
        <f t="shared" si="232"/>
        <v>0</v>
      </c>
      <c r="AJ454" s="389">
        <f t="shared" si="232"/>
        <v>0</v>
      </c>
      <c r="AK454" s="389">
        <f t="shared" si="232"/>
        <v>0</v>
      </c>
      <c r="AL454" s="389">
        <f t="shared" si="232"/>
        <v>0</v>
      </c>
      <c r="AM454" s="389">
        <f t="shared" si="232"/>
        <v>0</v>
      </c>
      <c r="AN454" s="389">
        <f t="shared" ref="AN454:AP454" si="235">AN319</f>
        <v>0</v>
      </c>
      <c r="AO454" s="389">
        <f t="shared" si="235"/>
        <v>0</v>
      </c>
      <c r="AP454" s="389">
        <f t="shared" si="235"/>
        <v>0</v>
      </c>
    </row>
    <row r="455" spans="1:42" x14ac:dyDescent="0.2">
      <c r="A455" s="7">
        <f t="shared" si="234"/>
        <v>8</v>
      </c>
      <c r="C455" s="389">
        <f t="shared" si="233"/>
        <v>0</v>
      </c>
      <c r="D455" s="389">
        <f t="shared" si="233"/>
        <v>0</v>
      </c>
      <c r="E455" s="389">
        <f t="shared" si="233"/>
        <v>0</v>
      </c>
      <c r="F455" s="389">
        <f t="shared" si="233"/>
        <v>0</v>
      </c>
      <c r="G455" s="389">
        <f t="shared" si="233"/>
        <v>0</v>
      </c>
      <c r="H455" s="389">
        <f t="shared" si="233"/>
        <v>0</v>
      </c>
      <c r="I455" s="389">
        <f t="shared" si="233"/>
        <v>0</v>
      </c>
      <c r="J455" s="389">
        <f t="shared" si="233"/>
        <v>0</v>
      </c>
      <c r="K455" s="389">
        <f t="shared" si="233"/>
        <v>0</v>
      </c>
      <c r="L455" s="389">
        <f t="shared" si="233"/>
        <v>0</v>
      </c>
      <c r="M455" s="389">
        <f t="shared" si="233"/>
        <v>0</v>
      </c>
      <c r="N455" s="389">
        <f t="shared" si="233"/>
        <v>0</v>
      </c>
      <c r="O455" s="389">
        <f t="shared" si="233"/>
        <v>0</v>
      </c>
      <c r="P455" s="389">
        <f t="shared" si="233"/>
        <v>0</v>
      </c>
      <c r="Q455" s="389">
        <f t="shared" si="233"/>
        <v>0</v>
      </c>
      <c r="R455" s="389">
        <f t="shared" si="233"/>
        <v>0</v>
      </c>
      <c r="S455" s="389">
        <f t="shared" ref="S455:AP457" si="236">S320</f>
        <v>0</v>
      </c>
      <c r="T455" s="389">
        <f t="shared" si="236"/>
        <v>0</v>
      </c>
      <c r="U455" s="389">
        <f t="shared" si="236"/>
        <v>0</v>
      </c>
      <c r="V455" s="389">
        <f t="shared" si="236"/>
        <v>0</v>
      </c>
      <c r="W455" s="389">
        <f t="shared" si="236"/>
        <v>0</v>
      </c>
      <c r="X455" s="389">
        <f t="shared" si="236"/>
        <v>0</v>
      </c>
      <c r="Y455" s="389">
        <f t="shared" si="236"/>
        <v>0</v>
      </c>
      <c r="Z455" s="389">
        <f t="shared" si="236"/>
        <v>0</v>
      </c>
      <c r="AA455" s="389">
        <f t="shared" si="236"/>
        <v>0</v>
      </c>
      <c r="AB455" s="389">
        <f t="shared" si="236"/>
        <v>0</v>
      </c>
      <c r="AC455" s="389">
        <f t="shared" si="236"/>
        <v>0</v>
      </c>
      <c r="AD455" s="389">
        <f t="shared" si="236"/>
        <v>0</v>
      </c>
      <c r="AE455" s="389">
        <f t="shared" si="236"/>
        <v>0</v>
      </c>
      <c r="AF455" s="389">
        <f t="shared" si="236"/>
        <v>0</v>
      </c>
      <c r="AG455" s="389">
        <f t="shared" si="236"/>
        <v>0</v>
      </c>
      <c r="AH455" s="389">
        <f t="shared" si="236"/>
        <v>0</v>
      </c>
      <c r="AI455" s="389">
        <f t="shared" si="236"/>
        <v>0</v>
      </c>
      <c r="AJ455" s="389">
        <f t="shared" si="236"/>
        <v>0</v>
      </c>
      <c r="AK455" s="389">
        <f t="shared" si="236"/>
        <v>0</v>
      </c>
      <c r="AL455" s="389">
        <f t="shared" si="236"/>
        <v>0</v>
      </c>
      <c r="AM455" s="389">
        <f t="shared" si="236"/>
        <v>0</v>
      </c>
      <c r="AN455" s="389">
        <f t="shared" si="236"/>
        <v>0</v>
      </c>
      <c r="AO455" s="389">
        <f t="shared" si="236"/>
        <v>0</v>
      </c>
      <c r="AP455" s="389">
        <f t="shared" si="236"/>
        <v>0</v>
      </c>
    </row>
    <row r="456" spans="1:42" x14ac:dyDescent="0.2">
      <c r="A456" s="7">
        <f>A455+1</f>
        <v>9</v>
      </c>
      <c r="C456" s="389">
        <f t="shared" si="233"/>
        <v>0</v>
      </c>
      <c r="D456" s="389">
        <f t="shared" si="233"/>
        <v>0</v>
      </c>
      <c r="E456" s="389">
        <f t="shared" si="233"/>
        <v>0</v>
      </c>
      <c r="F456" s="389">
        <f t="shared" si="233"/>
        <v>0</v>
      </c>
      <c r="G456" s="389">
        <f t="shared" si="233"/>
        <v>0</v>
      </c>
      <c r="H456" s="389">
        <f t="shared" si="233"/>
        <v>0</v>
      </c>
      <c r="I456" s="389">
        <f t="shared" si="233"/>
        <v>0</v>
      </c>
      <c r="J456" s="389">
        <f t="shared" si="233"/>
        <v>0</v>
      </c>
      <c r="K456" s="389">
        <f t="shared" si="233"/>
        <v>0</v>
      </c>
      <c r="L456" s="389">
        <f t="shared" si="233"/>
        <v>0</v>
      </c>
      <c r="M456" s="389">
        <f t="shared" si="233"/>
        <v>0</v>
      </c>
      <c r="N456" s="389">
        <f t="shared" si="233"/>
        <v>0</v>
      </c>
      <c r="O456" s="389">
        <f t="shared" si="233"/>
        <v>0</v>
      </c>
      <c r="P456" s="389">
        <f t="shared" si="233"/>
        <v>0</v>
      </c>
      <c r="Q456" s="389">
        <f t="shared" si="233"/>
        <v>0</v>
      </c>
      <c r="R456" s="389">
        <f t="shared" si="233"/>
        <v>0</v>
      </c>
      <c r="S456" s="389">
        <f t="shared" si="236"/>
        <v>0</v>
      </c>
      <c r="T456" s="389">
        <f t="shared" si="236"/>
        <v>0</v>
      </c>
      <c r="U456" s="389">
        <f t="shared" si="236"/>
        <v>0</v>
      </c>
      <c r="V456" s="389">
        <f t="shared" si="236"/>
        <v>0</v>
      </c>
      <c r="W456" s="389">
        <f t="shared" si="236"/>
        <v>0</v>
      </c>
      <c r="X456" s="389">
        <f t="shared" si="236"/>
        <v>0</v>
      </c>
      <c r="Y456" s="389">
        <f t="shared" si="236"/>
        <v>0</v>
      </c>
      <c r="Z456" s="389">
        <f t="shared" si="236"/>
        <v>0</v>
      </c>
      <c r="AA456" s="389">
        <f t="shared" si="236"/>
        <v>0</v>
      </c>
      <c r="AB456" s="389">
        <f t="shared" si="236"/>
        <v>0</v>
      </c>
      <c r="AC456" s="389">
        <f t="shared" si="236"/>
        <v>0</v>
      </c>
      <c r="AD456" s="389">
        <f t="shared" si="236"/>
        <v>0</v>
      </c>
      <c r="AE456" s="389">
        <f t="shared" si="236"/>
        <v>0</v>
      </c>
      <c r="AF456" s="389">
        <f t="shared" si="236"/>
        <v>0</v>
      </c>
      <c r="AG456" s="389">
        <f t="shared" si="236"/>
        <v>0</v>
      </c>
      <c r="AH456" s="389">
        <f t="shared" si="236"/>
        <v>0</v>
      </c>
      <c r="AI456" s="389">
        <f t="shared" si="236"/>
        <v>0</v>
      </c>
      <c r="AJ456" s="389">
        <f t="shared" si="236"/>
        <v>0</v>
      </c>
      <c r="AK456" s="389">
        <f t="shared" si="236"/>
        <v>0</v>
      </c>
      <c r="AL456" s="389">
        <f t="shared" si="236"/>
        <v>0</v>
      </c>
      <c r="AM456" s="389">
        <f t="shared" si="236"/>
        <v>0</v>
      </c>
      <c r="AN456" s="389">
        <f t="shared" si="236"/>
        <v>0</v>
      </c>
      <c r="AO456" s="389">
        <f t="shared" si="236"/>
        <v>0</v>
      </c>
      <c r="AP456" s="389">
        <f t="shared" si="236"/>
        <v>0</v>
      </c>
    </row>
    <row r="457" spans="1:42" x14ac:dyDescent="0.2">
      <c r="A457" s="7">
        <f t="shared" ref="A457" si="237">A456+1</f>
        <v>10</v>
      </c>
      <c r="C457" s="389">
        <f t="shared" si="233"/>
        <v>0</v>
      </c>
      <c r="D457" s="389">
        <f t="shared" si="233"/>
        <v>0</v>
      </c>
      <c r="E457" s="389">
        <f t="shared" si="233"/>
        <v>0</v>
      </c>
      <c r="F457" s="389">
        <f t="shared" si="233"/>
        <v>0</v>
      </c>
      <c r="G457" s="389">
        <f t="shared" si="233"/>
        <v>0</v>
      </c>
      <c r="H457" s="389">
        <f t="shared" si="233"/>
        <v>0</v>
      </c>
      <c r="I457" s="389">
        <f t="shared" si="233"/>
        <v>0</v>
      </c>
      <c r="J457" s="389">
        <f t="shared" si="233"/>
        <v>0</v>
      </c>
      <c r="K457" s="389">
        <f t="shared" si="233"/>
        <v>0</v>
      </c>
      <c r="L457" s="389">
        <f t="shared" si="233"/>
        <v>0</v>
      </c>
      <c r="M457" s="389">
        <f t="shared" si="233"/>
        <v>0</v>
      </c>
      <c r="N457" s="389">
        <f t="shared" si="233"/>
        <v>0</v>
      </c>
      <c r="O457" s="389">
        <f t="shared" si="233"/>
        <v>0</v>
      </c>
      <c r="P457" s="389">
        <f t="shared" si="233"/>
        <v>0</v>
      </c>
      <c r="Q457" s="389">
        <f t="shared" si="233"/>
        <v>0</v>
      </c>
      <c r="R457" s="389">
        <f t="shared" si="233"/>
        <v>0</v>
      </c>
      <c r="S457" s="389">
        <f t="shared" si="236"/>
        <v>0</v>
      </c>
      <c r="T457" s="389">
        <f t="shared" si="236"/>
        <v>0</v>
      </c>
      <c r="U457" s="389">
        <f t="shared" si="236"/>
        <v>0</v>
      </c>
      <c r="V457" s="389">
        <f t="shared" si="236"/>
        <v>0</v>
      </c>
      <c r="W457" s="389">
        <f t="shared" si="236"/>
        <v>0</v>
      </c>
      <c r="X457" s="389">
        <f t="shared" si="236"/>
        <v>0</v>
      </c>
      <c r="Y457" s="389">
        <f t="shared" si="236"/>
        <v>0</v>
      </c>
      <c r="Z457" s="389">
        <f t="shared" si="236"/>
        <v>0</v>
      </c>
      <c r="AA457" s="389">
        <f t="shared" si="236"/>
        <v>0</v>
      </c>
      <c r="AB457" s="389">
        <f t="shared" si="236"/>
        <v>0</v>
      </c>
      <c r="AC457" s="389">
        <f t="shared" si="236"/>
        <v>0</v>
      </c>
      <c r="AD457" s="389">
        <f t="shared" si="236"/>
        <v>0</v>
      </c>
      <c r="AE457" s="389">
        <f t="shared" si="236"/>
        <v>0</v>
      </c>
      <c r="AF457" s="389">
        <f t="shared" si="236"/>
        <v>0</v>
      </c>
      <c r="AG457" s="389">
        <f t="shared" si="236"/>
        <v>0</v>
      </c>
      <c r="AH457" s="389">
        <f t="shared" si="236"/>
        <v>0</v>
      </c>
      <c r="AI457" s="389">
        <f t="shared" si="236"/>
        <v>0</v>
      </c>
      <c r="AJ457" s="389">
        <f t="shared" si="236"/>
        <v>0</v>
      </c>
      <c r="AK457" s="389">
        <f t="shared" si="236"/>
        <v>0</v>
      </c>
      <c r="AL457" s="389">
        <f t="shared" si="236"/>
        <v>0</v>
      </c>
      <c r="AM457" s="389">
        <f t="shared" si="236"/>
        <v>0</v>
      </c>
      <c r="AN457" s="389">
        <f t="shared" si="236"/>
        <v>0</v>
      </c>
      <c r="AO457" s="389">
        <f t="shared" si="236"/>
        <v>0</v>
      </c>
      <c r="AP457" s="389">
        <f t="shared" si="236"/>
        <v>0</v>
      </c>
    </row>
    <row r="458" spans="1:42" x14ac:dyDescent="0.2">
      <c r="A458" s="40"/>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row>
    <row r="459" spans="1:42" x14ac:dyDescent="0.2">
      <c r="A459" s="40" t="s">
        <v>125</v>
      </c>
      <c r="C459" s="36"/>
      <c r="D459" s="36"/>
      <c r="E459" s="36"/>
      <c r="F459" s="36"/>
      <c r="G459" s="36"/>
      <c r="H459" s="36"/>
      <c r="I459" s="36"/>
      <c r="J459" s="36"/>
      <c r="K459" s="36"/>
      <c r="L459" s="36"/>
      <c r="M459" s="36"/>
      <c r="N459" s="36"/>
      <c r="O459" s="36"/>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row>
    <row r="460" spans="1:42" x14ac:dyDescent="0.2">
      <c r="A460" s="7">
        <v>1</v>
      </c>
      <c r="B460" s="409">
        <f t="shared" ref="B460:B469" si="238">SUM(C460:AP460)</f>
        <v>0</v>
      </c>
      <c r="C460" s="411">
        <f t="shared" ref="C460:AP460" si="239">LOOKUP(C448,$B$391:$AP$391,$B$392:$AP$392)*$B649</f>
        <v>0</v>
      </c>
      <c r="D460" s="389">
        <f t="shared" si="239"/>
        <v>0</v>
      </c>
      <c r="E460" s="389">
        <f t="shared" si="239"/>
        <v>0</v>
      </c>
      <c r="F460" s="389">
        <f t="shared" si="239"/>
        <v>0</v>
      </c>
      <c r="G460" s="389">
        <f t="shared" si="239"/>
        <v>0</v>
      </c>
      <c r="H460" s="389">
        <f t="shared" si="239"/>
        <v>0</v>
      </c>
      <c r="I460" s="389">
        <f t="shared" si="239"/>
        <v>0</v>
      </c>
      <c r="J460" s="389">
        <f t="shared" si="239"/>
        <v>0</v>
      </c>
      <c r="K460" s="389">
        <f t="shared" si="239"/>
        <v>0</v>
      </c>
      <c r="L460" s="389">
        <f t="shared" si="239"/>
        <v>0</v>
      </c>
      <c r="M460" s="389">
        <f t="shared" si="239"/>
        <v>0</v>
      </c>
      <c r="N460" s="389">
        <f t="shared" si="239"/>
        <v>0</v>
      </c>
      <c r="O460" s="389">
        <f t="shared" si="239"/>
        <v>0</v>
      </c>
      <c r="P460" s="389">
        <f t="shared" si="239"/>
        <v>0</v>
      </c>
      <c r="Q460" s="389">
        <f t="shared" si="239"/>
        <v>0</v>
      </c>
      <c r="R460" s="389">
        <f t="shared" si="239"/>
        <v>0</v>
      </c>
      <c r="S460" s="389">
        <f t="shared" si="239"/>
        <v>0</v>
      </c>
      <c r="T460" s="389">
        <f t="shared" si="239"/>
        <v>0</v>
      </c>
      <c r="U460" s="389">
        <f t="shared" si="239"/>
        <v>0</v>
      </c>
      <c r="V460" s="389">
        <f t="shared" si="239"/>
        <v>0</v>
      </c>
      <c r="W460" s="389">
        <f t="shared" si="239"/>
        <v>0</v>
      </c>
      <c r="X460" s="389">
        <f t="shared" si="239"/>
        <v>0</v>
      </c>
      <c r="Y460" s="389">
        <f t="shared" si="239"/>
        <v>0</v>
      </c>
      <c r="Z460" s="389">
        <f t="shared" si="239"/>
        <v>0</v>
      </c>
      <c r="AA460" s="389">
        <f t="shared" si="239"/>
        <v>0</v>
      </c>
      <c r="AB460" s="389">
        <f t="shared" si="239"/>
        <v>0</v>
      </c>
      <c r="AC460" s="389">
        <f t="shared" si="239"/>
        <v>0</v>
      </c>
      <c r="AD460" s="389">
        <f t="shared" si="239"/>
        <v>0</v>
      </c>
      <c r="AE460" s="389">
        <f t="shared" si="239"/>
        <v>0</v>
      </c>
      <c r="AF460" s="389">
        <f t="shared" si="239"/>
        <v>0</v>
      </c>
      <c r="AG460" s="389">
        <f t="shared" si="239"/>
        <v>0</v>
      </c>
      <c r="AH460" s="389">
        <f t="shared" si="239"/>
        <v>0</v>
      </c>
      <c r="AI460" s="389">
        <f t="shared" si="239"/>
        <v>0</v>
      </c>
      <c r="AJ460" s="389">
        <f t="shared" si="239"/>
        <v>0</v>
      </c>
      <c r="AK460" s="389">
        <f t="shared" si="239"/>
        <v>0</v>
      </c>
      <c r="AL460" s="389">
        <f t="shared" si="239"/>
        <v>0</v>
      </c>
      <c r="AM460" s="389">
        <f t="shared" si="239"/>
        <v>0</v>
      </c>
      <c r="AN460" s="389">
        <f t="shared" si="239"/>
        <v>0</v>
      </c>
      <c r="AO460" s="389">
        <f t="shared" si="239"/>
        <v>0</v>
      </c>
      <c r="AP460" s="389">
        <f t="shared" si="239"/>
        <v>0</v>
      </c>
    </row>
    <row r="461" spans="1:42" x14ac:dyDescent="0.2">
      <c r="A461" s="7">
        <f>A460+1</f>
        <v>2</v>
      </c>
      <c r="B461" s="409">
        <f t="shared" si="238"/>
        <v>0</v>
      </c>
      <c r="C461" s="411">
        <f t="shared" ref="C461:AP461" si="240">LOOKUP(C449,$B$391:$AP$391,$B$392:$AP$392)*$B650</f>
        <v>0</v>
      </c>
      <c r="D461" s="389">
        <f t="shared" si="240"/>
        <v>0</v>
      </c>
      <c r="E461" s="389">
        <f t="shared" si="240"/>
        <v>0</v>
      </c>
      <c r="F461" s="389">
        <f t="shared" si="240"/>
        <v>0</v>
      </c>
      <c r="G461" s="389">
        <f t="shared" si="240"/>
        <v>0</v>
      </c>
      <c r="H461" s="389">
        <f t="shared" si="240"/>
        <v>0</v>
      </c>
      <c r="I461" s="389">
        <f t="shared" si="240"/>
        <v>0</v>
      </c>
      <c r="J461" s="389">
        <f t="shared" si="240"/>
        <v>0</v>
      </c>
      <c r="K461" s="389">
        <f t="shared" si="240"/>
        <v>0</v>
      </c>
      <c r="L461" s="389">
        <f t="shared" si="240"/>
        <v>0</v>
      </c>
      <c r="M461" s="389">
        <f t="shared" si="240"/>
        <v>0</v>
      </c>
      <c r="N461" s="389">
        <f t="shared" si="240"/>
        <v>0</v>
      </c>
      <c r="O461" s="389">
        <f t="shared" si="240"/>
        <v>0</v>
      </c>
      <c r="P461" s="389">
        <f t="shared" si="240"/>
        <v>0</v>
      </c>
      <c r="Q461" s="389">
        <f t="shared" si="240"/>
        <v>0</v>
      </c>
      <c r="R461" s="389">
        <f t="shared" si="240"/>
        <v>0</v>
      </c>
      <c r="S461" s="389">
        <f t="shared" si="240"/>
        <v>0</v>
      </c>
      <c r="T461" s="389">
        <f t="shared" si="240"/>
        <v>0</v>
      </c>
      <c r="U461" s="389">
        <f t="shared" si="240"/>
        <v>0</v>
      </c>
      <c r="V461" s="389">
        <f t="shared" si="240"/>
        <v>0</v>
      </c>
      <c r="W461" s="389">
        <f t="shared" si="240"/>
        <v>0</v>
      </c>
      <c r="X461" s="389">
        <f t="shared" si="240"/>
        <v>0</v>
      </c>
      <c r="Y461" s="389">
        <f t="shared" si="240"/>
        <v>0</v>
      </c>
      <c r="Z461" s="389">
        <f t="shared" si="240"/>
        <v>0</v>
      </c>
      <c r="AA461" s="389">
        <f t="shared" si="240"/>
        <v>0</v>
      </c>
      <c r="AB461" s="389">
        <f t="shared" si="240"/>
        <v>0</v>
      </c>
      <c r="AC461" s="389">
        <f t="shared" si="240"/>
        <v>0</v>
      </c>
      <c r="AD461" s="389">
        <f t="shared" si="240"/>
        <v>0</v>
      </c>
      <c r="AE461" s="389">
        <f t="shared" si="240"/>
        <v>0</v>
      </c>
      <c r="AF461" s="389">
        <f t="shared" si="240"/>
        <v>0</v>
      </c>
      <c r="AG461" s="389">
        <f t="shared" si="240"/>
        <v>0</v>
      </c>
      <c r="AH461" s="389">
        <f t="shared" si="240"/>
        <v>0</v>
      </c>
      <c r="AI461" s="389">
        <f t="shared" si="240"/>
        <v>0</v>
      </c>
      <c r="AJ461" s="389">
        <f t="shared" si="240"/>
        <v>0</v>
      </c>
      <c r="AK461" s="389">
        <f t="shared" si="240"/>
        <v>0</v>
      </c>
      <c r="AL461" s="389">
        <f t="shared" si="240"/>
        <v>0</v>
      </c>
      <c r="AM461" s="389">
        <f t="shared" si="240"/>
        <v>0</v>
      </c>
      <c r="AN461" s="389">
        <f t="shared" si="240"/>
        <v>0</v>
      </c>
      <c r="AO461" s="389">
        <f t="shared" si="240"/>
        <v>0</v>
      </c>
      <c r="AP461" s="389">
        <f t="shared" si="240"/>
        <v>0</v>
      </c>
    </row>
    <row r="462" spans="1:42" x14ac:dyDescent="0.2">
      <c r="A462" s="7">
        <f t="shared" ref="A462:A467" si="241">A461+1</f>
        <v>3</v>
      </c>
      <c r="B462" s="409">
        <f t="shared" si="238"/>
        <v>0</v>
      </c>
      <c r="C462" s="411">
        <f t="shared" ref="C462:AP462" si="242">LOOKUP(C450,$B$391:$AP$391,$B$392:$AP$392)*$B651</f>
        <v>0</v>
      </c>
      <c r="D462" s="389">
        <f t="shared" si="242"/>
        <v>0</v>
      </c>
      <c r="E462" s="389">
        <f t="shared" si="242"/>
        <v>0</v>
      </c>
      <c r="F462" s="389">
        <f t="shared" si="242"/>
        <v>0</v>
      </c>
      <c r="G462" s="389">
        <f t="shared" si="242"/>
        <v>0</v>
      </c>
      <c r="H462" s="389">
        <f t="shared" si="242"/>
        <v>0</v>
      </c>
      <c r="I462" s="389">
        <f t="shared" si="242"/>
        <v>0</v>
      </c>
      <c r="J462" s="389">
        <f t="shared" si="242"/>
        <v>0</v>
      </c>
      <c r="K462" s="389">
        <f t="shared" si="242"/>
        <v>0</v>
      </c>
      <c r="L462" s="389">
        <f t="shared" si="242"/>
        <v>0</v>
      </c>
      <c r="M462" s="389">
        <f t="shared" si="242"/>
        <v>0</v>
      </c>
      <c r="N462" s="389">
        <f t="shared" si="242"/>
        <v>0</v>
      </c>
      <c r="O462" s="389">
        <f t="shared" si="242"/>
        <v>0</v>
      </c>
      <c r="P462" s="389">
        <f t="shared" si="242"/>
        <v>0</v>
      </c>
      <c r="Q462" s="389">
        <f t="shared" si="242"/>
        <v>0</v>
      </c>
      <c r="R462" s="389">
        <f t="shared" si="242"/>
        <v>0</v>
      </c>
      <c r="S462" s="389">
        <f t="shared" si="242"/>
        <v>0</v>
      </c>
      <c r="T462" s="389">
        <f t="shared" si="242"/>
        <v>0</v>
      </c>
      <c r="U462" s="389">
        <f t="shared" si="242"/>
        <v>0</v>
      </c>
      <c r="V462" s="389">
        <f t="shared" si="242"/>
        <v>0</v>
      </c>
      <c r="W462" s="389">
        <f t="shared" si="242"/>
        <v>0</v>
      </c>
      <c r="X462" s="389">
        <f t="shared" si="242"/>
        <v>0</v>
      </c>
      <c r="Y462" s="389">
        <f t="shared" si="242"/>
        <v>0</v>
      </c>
      <c r="Z462" s="389">
        <f t="shared" si="242"/>
        <v>0</v>
      </c>
      <c r="AA462" s="389">
        <f t="shared" si="242"/>
        <v>0</v>
      </c>
      <c r="AB462" s="389">
        <f t="shared" si="242"/>
        <v>0</v>
      </c>
      <c r="AC462" s="389">
        <f t="shared" si="242"/>
        <v>0</v>
      </c>
      <c r="AD462" s="389">
        <f t="shared" si="242"/>
        <v>0</v>
      </c>
      <c r="AE462" s="389">
        <f t="shared" si="242"/>
        <v>0</v>
      </c>
      <c r="AF462" s="389">
        <f t="shared" si="242"/>
        <v>0</v>
      </c>
      <c r="AG462" s="389">
        <f t="shared" si="242"/>
        <v>0</v>
      </c>
      <c r="AH462" s="389">
        <f t="shared" si="242"/>
        <v>0</v>
      </c>
      <c r="AI462" s="389">
        <f t="shared" si="242"/>
        <v>0</v>
      </c>
      <c r="AJ462" s="389">
        <f t="shared" si="242"/>
        <v>0</v>
      </c>
      <c r="AK462" s="389">
        <f t="shared" si="242"/>
        <v>0</v>
      </c>
      <c r="AL462" s="389">
        <f t="shared" si="242"/>
        <v>0</v>
      </c>
      <c r="AM462" s="389">
        <f t="shared" si="242"/>
        <v>0</v>
      </c>
      <c r="AN462" s="389">
        <f t="shared" si="242"/>
        <v>0</v>
      </c>
      <c r="AO462" s="389">
        <f t="shared" si="242"/>
        <v>0</v>
      </c>
      <c r="AP462" s="389">
        <f t="shared" si="242"/>
        <v>0</v>
      </c>
    </row>
    <row r="463" spans="1:42" x14ac:dyDescent="0.2">
      <c r="A463" s="7">
        <f t="shared" si="241"/>
        <v>4</v>
      </c>
      <c r="B463" s="409">
        <f t="shared" si="238"/>
        <v>0</v>
      </c>
      <c r="C463" s="411">
        <f t="shared" ref="C463:AP463" si="243">LOOKUP(C451,$B$391:$AP$391,$B$392:$AP$392)*$B652</f>
        <v>0</v>
      </c>
      <c r="D463" s="389">
        <f t="shared" si="243"/>
        <v>0</v>
      </c>
      <c r="E463" s="389">
        <f t="shared" si="243"/>
        <v>0</v>
      </c>
      <c r="F463" s="389">
        <f t="shared" si="243"/>
        <v>0</v>
      </c>
      <c r="G463" s="389">
        <f t="shared" si="243"/>
        <v>0</v>
      </c>
      <c r="H463" s="389">
        <f t="shared" si="243"/>
        <v>0</v>
      </c>
      <c r="I463" s="389">
        <f t="shared" si="243"/>
        <v>0</v>
      </c>
      <c r="J463" s="389">
        <f t="shared" si="243"/>
        <v>0</v>
      </c>
      <c r="K463" s="389">
        <f t="shared" si="243"/>
        <v>0</v>
      </c>
      <c r="L463" s="389">
        <f t="shared" si="243"/>
        <v>0</v>
      </c>
      <c r="M463" s="389">
        <f t="shared" si="243"/>
        <v>0</v>
      </c>
      <c r="N463" s="389">
        <f t="shared" si="243"/>
        <v>0</v>
      </c>
      <c r="O463" s="389">
        <f t="shared" si="243"/>
        <v>0</v>
      </c>
      <c r="P463" s="389">
        <f t="shared" si="243"/>
        <v>0</v>
      </c>
      <c r="Q463" s="389">
        <f t="shared" si="243"/>
        <v>0</v>
      </c>
      <c r="R463" s="389">
        <f t="shared" si="243"/>
        <v>0</v>
      </c>
      <c r="S463" s="389">
        <f t="shared" si="243"/>
        <v>0</v>
      </c>
      <c r="T463" s="389">
        <f t="shared" si="243"/>
        <v>0</v>
      </c>
      <c r="U463" s="389">
        <f t="shared" si="243"/>
        <v>0</v>
      </c>
      <c r="V463" s="389">
        <f t="shared" si="243"/>
        <v>0</v>
      </c>
      <c r="W463" s="389">
        <f t="shared" si="243"/>
        <v>0</v>
      </c>
      <c r="X463" s="389">
        <f t="shared" si="243"/>
        <v>0</v>
      </c>
      <c r="Y463" s="389">
        <f t="shared" si="243"/>
        <v>0</v>
      </c>
      <c r="Z463" s="389">
        <f t="shared" si="243"/>
        <v>0</v>
      </c>
      <c r="AA463" s="389">
        <f t="shared" si="243"/>
        <v>0</v>
      </c>
      <c r="AB463" s="389">
        <f t="shared" si="243"/>
        <v>0</v>
      </c>
      <c r="AC463" s="389">
        <f t="shared" si="243"/>
        <v>0</v>
      </c>
      <c r="AD463" s="389">
        <f t="shared" si="243"/>
        <v>0</v>
      </c>
      <c r="AE463" s="389">
        <f t="shared" si="243"/>
        <v>0</v>
      </c>
      <c r="AF463" s="389">
        <f t="shared" si="243"/>
        <v>0</v>
      </c>
      <c r="AG463" s="389">
        <f t="shared" si="243"/>
        <v>0</v>
      </c>
      <c r="AH463" s="389">
        <f t="shared" si="243"/>
        <v>0</v>
      </c>
      <c r="AI463" s="389">
        <f t="shared" si="243"/>
        <v>0</v>
      </c>
      <c r="AJ463" s="389">
        <f t="shared" si="243"/>
        <v>0</v>
      </c>
      <c r="AK463" s="389">
        <f t="shared" si="243"/>
        <v>0</v>
      </c>
      <c r="AL463" s="389">
        <f t="shared" si="243"/>
        <v>0</v>
      </c>
      <c r="AM463" s="389">
        <f t="shared" si="243"/>
        <v>0</v>
      </c>
      <c r="AN463" s="389">
        <f t="shared" si="243"/>
        <v>0</v>
      </c>
      <c r="AO463" s="389">
        <f t="shared" si="243"/>
        <v>0</v>
      </c>
      <c r="AP463" s="389">
        <f t="shared" si="243"/>
        <v>0</v>
      </c>
    </row>
    <row r="464" spans="1:42" x14ac:dyDescent="0.2">
      <c r="A464" s="7">
        <f t="shared" si="241"/>
        <v>5</v>
      </c>
      <c r="B464" s="409">
        <f t="shared" si="238"/>
        <v>0</v>
      </c>
      <c r="C464" s="411">
        <f t="shared" ref="C464:AP464" si="244">LOOKUP(C452,$B$391:$AP$391,$B$392:$AP$392)*$B653</f>
        <v>0</v>
      </c>
      <c r="D464" s="389">
        <f t="shared" si="244"/>
        <v>0</v>
      </c>
      <c r="E464" s="389">
        <f t="shared" si="244"/>
        <v>0</v>
      </c>
      <c r="F464" s="389">
        <f t="shared" si="244"/>
        <v>0</v>
      </c>
      <c r="G464" s="389">
        <f t="shared" si="244"/>
        <v>0</v>
      </c>
      <c r="H464" s="389">
        <f t="shared" si="244"/>
        <v>0</v>
      </c>
      <c r="I464" s="389">
        <f t="shared" si="244"/>
        <v>0</v>
      </c>
      <c r="J464" s="389">
        <f t="shared" si="244"/>
        <v>0</v>
      </c>
      <c r="K464" s="389">
        <f t="shared" si="244"/>
        <v>0</v>
      </c>
      <c r="L464" s="389">
        <f t="shared" si="244"/>
        <v>0</v>
      </c>
      <c r="M464" s="389">
        <f t="shared" si="244"/>
        <v>0</v>
      </c>
      <c r="N464" s="389">
        <f t="shared" si="244"/>
        <v>0</v>
      </c>
      <c r="O464" s="389">
        <f t="shared" si="244"/>
        <v>0</v>
      </c>
      <c r="P464" s="389">
        <f t="shared" si="244"/>
        <v>0</v>
      </c>
      <c r="Q464" s="389">
        <f t="shared" si="244"/>
        <v>0</v>
      </c>
      <c r="R464" s="389">
        <f t="shared" si="244"/>
        <v>0</v>
      </c>
      <c r="S464" s="389">
        <f t="shared" si="244"/>
        <v>0</v>
      </c>
      <c r="T464" s="389">
        <f t="shared" si="244"/>
        <v>0</v>
      </c>
      <c r="U464" s="389">
        <f t="shared" si="244"/>
        <v>0</v>
      </c>
      <c r="V464" s="389">
        <f t="shared" si="244"/>
        <v>0</v>
      </c>
      <c r="W464" s="389">
        <f t="shared" si="244"/>
        <v>0</v>
      </c>
      <c r="X464" s="389">
        <f t="shared" si="244"/>
        <v>0</v>
      </c>
      <c r="Y464" s="389">
        <f t="shared" si="244"/>
        <v>0</v>
      </c>
      <c r="Z464" s="389">
        <f t="shared" si="244"/>
        <v>0</v>
      </c>
      <c r="AA464" s="389">
        <f t="shared" si="244"/>
        <v>0</v>
      </c>
      <c r="AB464" s="389">
        <f t="shared" si="244"/>
        <v>0</v>
      </c>
      <c r="AC464" s="389">
        <f t="shared" si="244"/>
        <v>0</v>
      </c>
      <c r="AD464" s="389">
        <f t="shared" si="244"/>
        <v>0</v>
      </c>
      <c r="AE464" s="389">
        <f t="shared" si="244"/>
        <v>0</v>
      </c>
      <c r="AF464" s="389">
        <f t="shared" si="244"/>
        <v>0</v>
      </c>
      <c r="AG464" s="389">
        <f t="shared" si="244"/>
        <v>0</v>
      </c>
      <c r="AH464" s="389">
        <f t="shared" si="244"/>
        <v>0</v>
      </c>
      <c r="AI464" s="389">
        <f t="shared" si="244"/>
        <v>0</v>
      </c>
      <c r="AJ464" s="389">
        <f t="shared" si="244"/>
        <v>0</v>
      </c>
      <c r="AK464" s="389">
        <f t="shared" si="244"/>
        <v>0</v>
      </c>
      <c r="AL464" s="389">
        <f t="shared" si="244"/>
        <v>0</v>
      </c>
      <c r="AM464" s="389">
        <f t="shared" si="244"/>
        <v>0</v>
      </c>
      <c r="AN464" s="389">
        <f t="shared" si="244"/>
        <v>0</v>
      </c>
      <c r="AO464" s="389">
        <f t="shared" si="244"/>
        <v>0</v>
      </c>
      <c r="AP464" s="389">
        <f t="shared" si="244"/>
        <v>0</v>
      </c>
    </row>
    <row r="465" spans="1:42" x14ac:dyDescent="0.2">
      <c r="A465" s="7">
        <f t="shared" si="241"/>
        <v>6</v>
      </c>
      <c r="B465" s="409">
        <f t="shared" si="238"/>
        <v>0</v>
      </c>
      <c r="C465" s="411">
        <f t="shared" ref="C465:AP465" si="245">LOOKUP(C453,$B$391:$AP$391,$B$392:$AP$392)*$B654</f>
        <v>0</v>
      </c>
      <c r="D465" s="389">
        <f t="shared" si="245"/>
        <v>0</v>
      </c>
      <c r="E465" s="389">
        <f t="shared" si="245"/>
        <v>0</v>
      </c>
      <c r="F465" s="389">
        <f t="shared" si="245"/>
        <v>0</v>
      </c>
      <c r="G465" s="389">
        <f t="shared" si="245"/>
        <v>0</v>
      </c>
      <c r="H465" s="389">
        <f t="shared" si="245"/>
        <v>0</v>
      </c>
      <c r="I465" s="389">
        <f t="shared" si="245"/>
        <v>0</v>
      </c>
      <c r="J465" s="389">
        <f t="shared" si="245"/>
        <v>0</v>
      </c>
      <c r="K465" s="389">
        <f t="shared" si="245"/>
        <v>0</v>
      </c>
      <c r="L465" s="389">
        <f t="shared" si="245"/>
        <v>0</v>
      </c>
      <c r="M465" s="389">
        <f t="shared" si="245"/>
        <v>0</v>
      </c>
      <c r="N465" s="389">
        <f t="shared" si="245"/>
        <v>0</v>
      </c>
      <c r="O465" s="389">
        <f t="shared" si="245"/>
        <v>0</v>
      </c>
      <c r="P465" s="389">
        <f t="shared" si="245"/>
        <v>0</v>
      </c>
      <c r="Q465" s="389">
        <f t="shared" si="245"/>
        <v>0</v>
      </c>
      <c r="R465" s="389">
        <f t="shared" si="245"/>
        <v>0</v>
      </c>
      <c r="S465" s="389">
        <f t="shared" si="245"/>
        <v>0</v>
      </c>
      <c r="T465" s="389">
        <f t="shared" si="245"/>
        <v>0</v>
      </c>
      <c r="U465" s="389">
        <f t="shared" si="245"/>
        <v>0</v>
      </c>
      <c r="V465" s="389">
        <f t="shared" si="245"/>
        <v>0</v>
      </c>
      <c r="W465" s="389">
        <f t="shared" si="245"/>
        <v>0</v>
      </c>
      <c r="X465" s="389">
        <f t="shared" si="245"/>
        <v>0</v>
      </c>
      <c r="Y465" s="389">
        <f t="shared" si="245"/>
        <v>0</v>
      </c>
      <c r="Z465" s="389">
        <f t="shared" si="245"/>
        <v>0</v>
      </c>
      <c r="AA465" s="389">
        <f t="shared" si="245"/>
        <v>0</v>
      </c>
      <c r="AB465" s="389">
        <f t="shared" si="245"/>
        <v>0</v>
      </c>
      <c r="AC465" s="389">
        <f t="shared" si="245"/>
        <v>0</v>
      </c>
      <c r="AD465" s="389">
        <f t="shared" si="245"/>
        <v>0</v>
      </c>
      <c r="AE465" s="389">
        <f t="shared" si="245"/>
        <v>0</v>
      </c>
      <c r="AF465" s="389">
        <f t="shared" si="245"/>
        <v>0</v>
      </c>
      <c r="AG465" s="389">
        <f t="shared" si="245"/>
        <v>0</v>
      </c>
      <c r="AH465" s="389">
        <f t="shared" si="245"/>
        <v>0</v>
      </c>
      <c r="AI465" s="389">
        <f t="shared" si="245"/>
        <v>0</v>
      </c>
      <c r="AJ465" s="389">
        <f t="shared" si="245"/>
        <v>0</v>
      </c>
      <c r="AK465" s="389">
        <f t="shared" si="245"/>
        <v>0</v>
      </c>
      <c r="AL465" s="389">
        <f t="shared" si="245"/>
        <v>0</v>
      </c>
      <c r="AM465" s="389">
        <f t="shared" si="245"/>
        <v>0</v>
      </c>
      <c r="AN465" s="389">
        <f t="shared" si="245"/>
        <v>0</v>
      </c>
      <c r="AO465" s="389">
        <f t="shared" si="245"/>
        <v>0</v>
      </c>
      <c r="AP465" s="389">
        <f t="shared" si="245"/>
        <v>0</v>
      </c>
    </row>
    <row r="466" spans="1:42" x14ac:dyDescent="0.2">
      <c r="A466" s="7">
        <f t="shared" si="241"/>
        <v>7</v>
      </c>
      <c r="B466" s="409">
        <f t="shared" si="238"/>
        <v>0</v>
      </c>
      <c r="C466" s="411">
        <f t="shared" ref="C466:AP466" si="246">LOOKUP(C454,$B$391:$AP$391,$B$392:$AP$392)*$B655</f>
        <v>0</v>
      </c>
      <c r="D466" s="389">
        <f t="shared" si="246"/>
        <v>0</v>
      </c>
      <c r="E466" s="389">
        <f t="shared" si="246"/>
        <v>0</v>
      </c>
      <c r="F466" s="389">
        <f t="shared" si="246"/>
        <v>0</v>
      </c>
      <c r="G466" s="389">
        <f t="shared" si="246"/>
        <v>0</v>
      </c>
      <c r="H466" s="389">
        <f t="shared" si="246"/>
        <v>0</v>
      </c>
      <c r="I466" s="389">
        <f t="shared" si="246"/>
        <v>0</v>
      </c>
      <c r="J466" s="389">
        <f t="shared" si="246"/>
        <v>0</v>
      </c>
      <c r="K466" s="389">
        <f t="shared" si="246"/>
        <v>0</v>
      </c>
      <c r="L466" s="389">
        <f t="shared" si="246"/>
        <v>0</v>
      </c>
      <c r="M466" s="389">
        <f t="shared" si="246"/>
        <v>0</v>
      </c>
      <c r="N466" s="389">
        <f t="shared" si="246"/>
        <v>0</v>
      </c>
      <c r="O466" s="389">
        <f t="shared" si="246"/>
        <v>0</v>
      </c>
      <c r="P466" s="389">
        <f t="shared" si="246"/>
        <v>0</v>
      </c>
      <c r="Q466" s="389">
        <f t="shared" si="246"/>
        <v>0</v>
      </c>
      <c r="R466" s="389">
        <f t="shared" si="246"/>
        <v>0</v>
      </c>
      <c r="S466" s="389">
        <f t="shared" si="246"/>
        <v>0</v>
      </c>
      <c r="T466" s="389">
        <f t="shared" si="246"/>
        <v>0</v>
      </c>
      <c r="U466" s="389">
        <f t="shared" si="246"/>
        <v>0</v>
      </c>
      <c r="V466" s="389">
        <f t="shared" si="246"/>
        <v>0</v>
      </c>
      <c r="W466" s="389">
        <f t="shared" si="246"/>
        <v>0</v>
      </c>
      <c r="X466" s="389">
        <f t="shared" si="246"/>
        <v>0</v>
      </c>
      <c r="Y466" s="389">
        <f t="shared" si="246"/>
        <v>0</v>
      </c>
      <c r="Z466" s="389">
        <f t="shared" si="246"/>
        <v>0</v>
      </c>
      <c r="AA466" s="389">
        <f t="shared" si="246"/>
        <v>0</v>
      </c>
      <c r="AB466" s="389">
        <f t="shared" si="246"/>
        <v>0</v>
      </c>
      <c r="AC466" s="389">
        <f t="shared" si="246"/>
        <v>0</v>
      </c>
      <c r="AD466" s="389">
        <f t="shared" si="246"/>
        <v>0</v>
      </c>
      <c r="AE466" s="389">
        <f t="shared" si="246"/>
        <v>0</v>
      </c>
      <c r="AF466" s="389">
        <f t="shared" si="246"/>
        <v>0</v>
      </c>
      <c r="AG466" s="389">
        <f t="shared" si="246"/>
        <v>0</v>
      </c>
      <c r="AH466" s="389">
        <f t="shared" si="246"/>
        <v>0</v>
      </c>
      <c r="AI466" s="389">
        <f t="shared" si="246"/>
        <v>0</v>
      </c>
      <c r="AJ466" s="389">
        <f t="shared" si="246"/>
        <v>0</v>
      </c>
      <c r="AK466" s="389">
        <f t="shared" si="246"/>
        <v>0</v>
      </c>
      <c r="AL466" s="389">
        <f t="shared" si="246"/>
        <v>0</v>
      </c>
      <c r="AM466" s="389">
        <f t="shared" si="246"/>
        <v>0</v>
      </c>
      <c r="AN466" s="389">
        <f t="shared" si="246"/>
        <v>0</v>
      </c>
      <c r="AO466" s="389">
        <f t="shared" si="246"/>
        <v>0</v>
      </c>
      <c r="AP466" s="389">
        <f t="shared" si="246"/>
        <v>0</v>
      </c>
    </row>
    <row r="467" spans="1:42" x14ac:dyDescent="0.2">
      <c r="A467" s="7">
        <f t="shared" si="241"/>
        <v>8</v>
      </c>
      <c r="B467" s="409">
        <f t="shared" si="238"/>
        <v>0</v>
      </c>
      <c r="C467" s="411">
        <f t="shared" ref="C467:AP467" si="247">LOOKUP(C455,$B$391:$AP$391,$B$392:$AP$392)*$B656</f>
        <v>0</v>
      </c>
      <c r="D467" s="389">
        <f t="shared" si="247"/>
        <v>0</v>
      </c>
      <c r="E467" s="389">
        <f t="shared" si="247"/>
        <v>0</v>
      </c>
      <c r="F467" s="389">
        <f t="shared" si="247"/>
        <v>0</v>
      </c>
      <c r="G467" s="389">
        <f t="shared" si="247"/>
        <v>0</v>
      </c>
      <c r="H467" s="389">
        <f t="shared" si="247"/>
        <v>0</v>
      </c>
      <c r="I467" s="389">
        <f t="shared" si="247"/>
        <v>0</v>
      </c>
      <c r="J467" s="389">
        <f t="shared" si="247"/>
        <v>0</v>
      </c>
      <c r="K467" s="389">
        <f t="shared" si="247"/>
        <v>0</v>
      </c>
      <c r="L467" s="389">
        <f t="shared" si="247"/>
        <v>0</v>
      </c>
      <c r="M467" s="389">
        <f t="shared" si="247"/>
        <v>0</v>
      </c>
      <c r="N467" s="389">
        <f t="shared" si="247"/>
        <v>0</v>
      </c>
      <c r="O467" s="389">
        <f t="shared" si="247"/>
        <v>0</v>
      </c>
      <c r="P467" s="389">
        <f t="shared" si="247"/>
        <v>0</v>
      </c>
      <c r="Q467" s="389">
        <f t="shared" si="247"/>
        <v>0</v>
      </c>
      <c r="R467" s="389">
        <f t="shared" si="247"/>
        <v>0</v>
      </c>
      <c r="S467" s="389">
        <f t="shared" si="247"/>
        <v>0</v>
      </c>
      <c r="T467" s="389">
        <f t="shared" si="247"/>
        <v>0</v>
      </c>
      <c r="U467" s="389">
        <f t="shared" si="247"/>
        <v>0</v>
      </c>
      <c r="V467" s="389">
        <f t="shared" si="247"/>
        <v>0</v>
      </c>
      <c r="W467" s="389">
        <f t="shared" si="247"/>
        <v>0</v>
      </c>
      <c r="X467" s="389">
        <f t="shared" si="247"/>
        <v>0</v>
      </c>
      <c r="Y467" s="389">
        <f t="shared" si="247"/>
        <v>0</v>
      </c>
      <c r="Z467" s="389">
        <f t="shared" si="247"/>
        <v>0</v>
      </c>
      <c r="AA467" s="389">
        <f t="shared" si="247"/>
        <v>0</v>
      </c>
      <c r="AB467" s="389">
        <f t="shared" si="247"/>
        <v>0</v>
      </c>
      <c r="AC467" s="389">
        <f t="shared" si="247"/>
        <v>0</v>
      </c>
      <c r="AD467" s="389">
        <f t="shared" si="247"/>
        <v>0</v>
      </c>
      <c r="AE467" s="389">
        <f t="shared" si="247"/>
        <v>0</v>
      </c>
      <c r="AF467" s="389">
        <f t="shared" si="247"/>
        <v>0</v>
      </c>
      <c r="AG467" s="389">
        <f t="shared" si="247"/>
        <v>0</v>
      </c>
      <c r="AH467" s="389">
        <f t="shared" si="247"/>
        <v>0</v>
      </c>
      <c r="AI467" s="389">
        <f t="shared" si="247"/>
        <v>0</v>
      </c>
      <c r="AJ467" s="389">
        <f t="shared" si="247"/>
        <v>0</v>
      </c>
      <c r="AK467" s="389">
        <f t="shared" si="247"/>
        <v>0</v>
      </c>
      <c r="AL467" s="389">
        <f t="shared" si="247"/>
        <v>0</v>
      </c>
      <c r="AM467" s="389">
        <f t="shared" si="247"/>
        <v>0</v>
      </c>
      <c r="AN467" s="389">
        <f t="shared" si="247"/>
        <v>0</v>
      </c>
      <c r="AO467" s="389">
        <f t="shared" si="247"/>
        <v>0</v>
      </c>
      <c r="AP467" s="389">
        <f t="shared" si="247"/>
        <v>0</v>
      </c>
    </row>
    <row r="468" spans="1:42" x14ac:dyDescent="0.2">
      <c r="A468" s="7">
        <f>A467+1</f>
        <v>9</v>
      </c>
      <c r="B468" s="409">
        <f t="shared" si="238"/>
        <v>0</v>
      </c>
      <c r="C468" s="411">
        <f t="shared" ref="C468:AP468" si="248">LOOKUP(C456,$B$391:$AP$391,$B$392:$AP$392)*$B657</f>
        <v>0</v>
      </c>
      <c r="D468" s="389">
        <f t="shared" si="248"/>
        <v>0</v>
      </c>
      <c r="E468" s="389">
        <f t="shared" si="248"/>
        <v>0</v>
      </c>
      <c r="F468" s="389">
        <f t="shared" si="248"/>
        <v>0</v>
      </c>
      <c r="G468" s="389">
        <f t="shared" si="248"/>
        <v>0</v>
      </c>
      <c r="H468" s="389">
        <f t="shared" si="248"/>
        <v>0</v>
      </c>
      <c r="I468" s="389">
        <f t="shared" si="248"/>
        <v>0</v>
      </c>
      <c r="J468" s="389">
        <f t="shared" si="248"/>
        <v>0</v>
      </c>
      <c r="K468" s="389">
        <f t="shared" si="248"/>
        <v>0</v>
      </c>
      <c r="L468" s="389">
        <f t="shared" si="248"/>
        <v>0</v>
      </c>
      <c r="M468" s="389">
        <f t="shared" si="248"/>
        <v>0</v>
      </c>
      <c r="N468" s="389">
        <f t="shared" si="248"/>
        <v>0</v>
      </c>
      <c r="O468" s="389">
        <f t="shared" si="248"/>
        <v>0</v>
      </c>
      <c r="P468" s="389">
        <f t="shared" si="248"/>
        <v>0</v>
      </c>
      <c r="Q468" s="389">
        <f t="shared" si="248"/>
        <v>0</v>
      </c>
      <c r="R468" s="389">
        <f t="shared" si="248"/>
        <v>0</v>
      </c>
      <c r="S468" s="389">
        <f t="shared" si="248"/>
        <v>0</v>
      </c>
      <c r="T468" s="389">
        <f t="shared" si="248"/>
        <v>0</v>
      </c>
      <c r="U468" s="389">
        <f t="shared" si="248"/>
        <v>0</v>
      </c>
      <c r="V468" s="389">
        <f t="shared" si="248"/>
        <v>0</v>
      </c>
      <c r="W468" s="389">
        <f t="shared" si="248"/>
        <v>0</v>
      </c>
      <c r="X468" s="389">
        <f t="shared" si="248"/>
        <v>0</v>
      </c>
      <c r="Y468" s="389">
        <f t="shared" si="248"/>
        <v>0</v>
      </c>
      <c r="Z468" s="389">
        <f t="shared" si="248"/>
        <v>0</v>
      </c>
      <c r="AA468" s="389">
        <f t="shared" si="248"/>
        <v>0</v>
      </c>
      <c r="AB468" s="389">
        <f t="shared" si="248"/>
        <v>0</v>
      </c>
      <c r="AC468" s="389">
        <f t="shared" si="248"/>
        <v>0</v>
      </c>
      <c r="AD468" s="389">
        <f t="shared" si="248"/>
        <v>0</v>
      </c>
      <c r="AE468" s="389">
        <f t="shared" si="248"/>
        <v>0</v>
      </c>
      <c r="AF468" s="389">
        <f t="shared" si="248"/>
        <v>0</v>
      </c>
      <c r="AG468" s="389">
        <f t="shared" si="248"/>
        <v>0</v>
      </c>
      <c r="AH468" s="389">
        <f t="shared" si="248"/>
        <v>0</v>
      </c>
      <c r="AI468" s="389">
        <f t="shared" si="248"/>
        <v>0</v>
      </c>
      <c r="AJ468" s="389">
        <f t="shared" si="248"/>
        <v>0</v>
      </c>
      <c r="AK468" s="389">
        <f t="shared" si="248"/>
        <v>0</v>
      </c>
      <c r="AL468" s="389">
        <f t="shared" si="248"/>
        <v>0</v>
      </c>
      <c r="AM468" s="389">
        <f t="shared" si="248"/>
        <v>0</v>
      </c>
      <c r="AN468" s="389">
        <f t="shared" si="248"/>
        <v>0</v>
      </c>
      <c r="AO468" s="389">
        <f t="shared" si="248"/>
        <v>0</v>
      </c>
      <c r="AP468" s="389">
        <f t="shared" si="248"/>
        <v>0</v>
      </c>
    </row>
    <row r="469" spans="1:42" x14ac:dyDescent="0.2">
      <c r="A469" s="7">
        <f t="shared" ref="A469" si="249">A468+1</f>
        <v>10</v>
      </c>
      <c r="B469" s="409">
        <f t="shared" si="238"/>
        <v>0</v>
      </c>
      <c r="C469" s="410">
        <f t="shared" ref="C469:AP469" si="250">LOOKUP(C457,$B$391:$AP$391,$B$392:$AP$392)*$B658</f>
        <v>0</v>
      </c>
      <c r="D469" s="394">
        <f t="shared" si="250"/>
        <v>0</v>
      </c>
      <c r="E469" s="394">
        <f t="shared" si="250"/>
        <v>0</v>
      </c>
      <c r="F469" s="394">
        <f t="shared" si="250"/>
        <v>0</v>
      </c>
      <c r="G469" s="394">
        <f t="shared" si="250"/>
        <v>0</v>
      </c>
      <c r="H469" s="394">
        <f t="shared" si="250"/>
        <v>0</v>
      </c>
      <c r="I469" s="394">
        <f t="shared" si="250"/>
        <v>0</v>
      </c>
      <c r="J469" s="394">
        <f t="shared" si="250"/>
        <v>0</v>
      </c>
      <c r="K469" s="394">
        <f t="shared" si="250"/>
        <v>0</v>
      </c>
      <c r="L469" s="394">
        <f t="shared" si="250"/>
        <v>0</v>
      </c>
      <c r="M469" s="394">
        <f t="shared" si="250"/>
        <v>0</v>
      </c>
      <c r="N469" s="394">
        <f t="shared" si="250"/>
        <v>0</v>
      </c>
      <c r="O469" s="394">
        <f t="shared" si="250"/>
        <v>0</v>
      </c>
      <c r="P469" s="394">
        <f t="shared" si="250"/>
        <v>0</v>
      </c>
      <c r="Q469" s="394">
        <f t="shared" si="250"/>
        <v>0</v>
      </c>
      <c r="R469" s="394">
        <f t="shared" si="250"/>
        <v>0</v>
      </c>
      <c r="S469" s="394">
        <f t="shared" si="250"/>
        <v>0</v>
      </c>
      <c r="T469" s="394">
        <f t="shared" si="250"/>
        <v>0</v>
      </c>
      <c r="U469" s="394">
        <f t="shared" si="250"/>
        <v>0</v>
      </c>
      <c r="V469" s="394">
        <f t="shared" si="250"/>
        <v>0</v>
      </c>
      <c r="W469" s="394">
        <f t="shared" si="250"/>
        <v>0</v>
      </c>
      <c r="X469" s="394">
        <f t="shared" si="250"/>
        <v>0</v>
      </c>
      <c r="Y469" s="394">
        <f t="shared" si="250"/>
        <v>0</v>
      </c>
      <c r="Z469" s="394">
        <f t="shared" si="250"/>
        <v>0</v>
      </c>
      <c r="AA469" s="394">
        <f t="shared" si="250"/>
        <v>0</v>
      </c>
      <c r="AB469" s="394">
        <f t="shared" si="250"/>
        <v>0</v>
      </c>
      <c r="AC469" s="394">
        <f t="shared" si="250"/>
        <v>0</v>
      </c>
      <c r="AD469" s="394">
        <f t="shared" si="250"/>
        <v>0</v>
      </c>
      <c r="AE469" s="394">
        <f t="shared" si="250"/>
        <v>0</v>
      </c>
      <c r="AF469" s="394">
        <f t="shared" si="250"/>
        <v>0</v>
      </c>
      <c r="AG469" s="394">
        <f t="shared" si="250"/>
        <v>0</v>
      </c>
      <c r="AH469" s="394">
        <f t="shared" si="250"/>
        <v>0</v>
      </c>
      <c r="AI469" s="394">
        <f t="shared" si="250"/>
        <v>0</v>
      </c>
      <c r="AJ469" s="394">
        <f t="shared" si="250"/>
        <v>0</v>
      </c>
      <c r="AK469" s="394">
        <f t="shared" si="250"/>
        <v>0</v>
      </c>
      <c r="AL469" s="394">
        <f t="shared" si="250"/>
        <v>0</v>
      </c>
      <c r="AM469" s="394">
        <f t="shared" si="250"/>
        <v>0</v>
      </c>
      <c r="AN469" s="394">
        <f t="shared" si="250"/>
        <v>0</v>
      </c>
      <c r="AO469" s="394">
        <f t="shared" si="250"/>
        <v>0</v>
      </c>
      <c r="AP469" s="394">
        <f t="shared" si="250"/>
        <v>0</v>
      </c>
    </row>
    <row r="470" spans="1:42" s="21" customFormat="1" x14ac:dyDescent="0.2">
      <c r="A470" s="49" t="s">
        <v>21</v>
      </c>
      <c r="B470" s="24"/>
      <c r="C470" s="390">
        <f>SUM(C460:C469)</f>
        <v>0</v>
      </c>
      <c r="D470" s="390">
        <f t="shared" ref="D470:AP470" si="251">SUM(D460:D469)</f>
        <v>0</v>
      </c>
      <c r="E470" s="390">
        <f t="shared" si="251"/>
        <v>0</v>
      </c>
      <c r="F470" s="390">
        <f t="shared" si="251"/>
        <v>0</v>
      </c>
      <c r="G470" s="390">
        <f t="shared" si="251"/>
        <v>0</v>
      </c>
      <c r="H470" s="390">
        <f t="shared" si="251"/>
        <v>0</v>
      </c>
      <c r="I470" s="390">
        <f t="shared" si="251"/>
        <v>0</v>
      </c>
      <c r="J470" s="390">
        <f t="shared" si="251"/>
        <v>0</v>
      </c>
      <c r="K470" s="390">
        <f t="shared" si="251"/>
        <v>0</v>
      </c>
      <c r="L470" s="390">
        <f t="shared" si="251"/>
        <v>0</v>
      </c>
      <c r="M470" s="390">
        <f t="shared" si="251"/>
        <v>0</v>
      </c>
      <c r="N470" s="390">
        <f t="shared" si="251"/>
        <v>0</v>
      </c>
      <c r="O470" s="390">
        <f t="shared" si="251"/>
        <v>0</v>
      </c>
      <c r="P470" s="390">
        <f t="shared" si="251"/>
        <v>0</v>
      </c>
      <c r="Q470" s="390">
        <f t="shared" si="251"/>
        <v>0</v>
      </c>
      <c r="R470" s="390">
        <f t="shared" si="251"/>
        <v>0</v>
      </c>
      <c r="S470" s="390">
        <f t="shared" si="251"/>
        <v>0</v>
      </c>
      <c r="T470" s="390">
        <f t="shared" si="251"/>
        <v>0</v>
      </c>
      <c r="U470" s="390">
        <f t="shared" si="251"/>
        <v>0</v>
      </c>
      <c r="V470" s="390">
        <f t="shared" si="251"/>
        <v>0</v>
      </c>
      <c r="W470" s="390">
        <f t="shared" si="251"/>
        <v>0</v>
      </c>
      <c r="X470" s="390">
        <f t="shared" si="251"/>
        <v>0</v>
      </c>
      <c r="Y470" s="390">
        <f t="shared" si="251"/>
        <v>0</v>
      </c>
      <c r="Z470" s="390">
        <f t="shared" si="251"/>
        <v>0</v>
      </c>
      <c r="AA470" s="390">
        <f t="shared" si="251"/>
        <v>0</v>
      </c>
      <c r="AB470" s="390">
        <f t="shared" si="251"/>
        <v>0</v>
      </c>
      <c r="AC470" s="390">
        <f t="shared" si="251"/>
        <v>0</v>
      </c>
      <c r="AD470" s="390">
        <f t="shared" si="251"/>
        <v>0</v>
      </c>
      <c r="AE470" s="390">
        <f t="shared" si="251"/>
        <v>0</v>
      </c>
      <c r="AF470" s="390">
        <f t="shared" si="251"/>
        <v>0</v>
      </c>
      <c r="AG470" s="390">
        <f t="shared" si="251"/>
        <v>0</v>
      </c>
      <c r="AH470" s="390">
        <f t="shared" si="251"/>
        <v>0</v>
      </c>
      <c r="AI470" s="390">
        <f t="shared" si="251"/>
        <v>0</v>
      </c>
      <c r="AJ470" s="390">
        <f t="shared" si="251"/>
        <v>0</v>
      </c>
      <c r="AK470" s="390">
        <f t="shared" si="251"/>
        <v>0</v>
      </c>
      <c r="AL470" s="390">
        <f t="shared" si="251"/>
        <v>0</v>
      </c>
      <c r="AM470" s="390">
        <f t="shared" si="251"/>
        <v>0</v>
      </c>
      <c r="AN470" s="390">
        <f t="shared" si="251"/>
        <v>0</v>
      </c>
      <c r="AO470" s="390">
        <f t="shared" si="251"/>
        <v>0</v>
      </c>
      <c r="AP470" s="390">
        <f t="shared" si="251"/>
        <v>0</v>
      </c>
    </row>
    <row r="471" spans="1:42" s="21" customFormat="1" x14ac:dyDescent="0.2">
      <c r="A471" s="49"/>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row>
    <row r="472" spans="1:42" s="21" customFormat="1" x14ac:dyDescent="0.2">
      <c r="A472" s="30" t="s">
        <v>94</v>
      </c>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row>
    <row r="473" spans="1:42" s="21" customFormat="1" x14ac:dyDescent="0.2">
      <c r="A473" s="38" t="s">
        <v>8</v>
      </c>
      <c r="C473" s="313"/>
      <c r="D473" s="313"/>
      <c r="E473" s="313"/>
      <c r="F473" s="313"/>
      <c r="G473" s="313"/>
      <c r="H473" s="313"/>
      <c r="I473" s="313"/>
      <c r="J473" s="313"/>
      <c r="K473" s="313"/>
      <c r="L473" s="313"/>
      <c r="M473" s="313"/>
      <c r="N473" s="313"/>
      <c r="O473" s="313"/>
      <c r="P473" s="313"/>
      <c r="Q473" s="313"/>
      <c r="R473" s="313"/>
      <c r="S473" s="313"/>
      <c r="T473" s="313"/>
      <c r="U473" s="313"/>
      <c r="V473" s="313"/>
      <c r="W473" s="313"/>
      <c r="X473" s="313"/>
      <c r="Y473" s="313"/>
      <c r="Z473" s="313"/>
      <c r="AA473" s="313"/>
      <c r="AB473" s="313"/>
      <c r="AC473" s="313"/>
      <c r="AD473" s="313"/>
      <c r="AE473" s="313"/>
      <c r="AF473" s="313"/>
      <c r="AG473" s="313"/>
      <c r="AH473" s="313"/>
      <c r="AI473" s="313"/>
      <c r="AJ473" s="313"/>
      <c r="AK473" s="313"/>
      <c r="AL473" s="313"/>
      <c r="AM473" s="313"/>
      <c r="AN473" s="313"/>
      <c r="AO473" s="313"/>
      <c r="AP473" s="313"/>
    </row>
    <row r="474" spans="1:42" s="21" customFormat="1" x14ac:dyDescent="0.2">
      <c r="A474" s="40" t="s">
        <v>95</v>
      </c>
      <c r="C474" s="359">
        <f t="shared" ref="C474:AP474" si="252">IF(C$2&lt;=ptc_sta_term,ptc_sta_amount*(1+inflation_rate)^B$2,0)</f>
        <v>0</v>
      </c>
      <c r="D474" s="359">
        <f t="shared" si="252"/>
        <v>0</v>
      </c>
      <c r="E474" s="359">
        <f t="shared" si="252"/>
        <v>0</v>
      </c>
      <c r="F474" s="359">
        <f t="shared" si="252"/>
        <v>0</v>
      </c>
      <c r="G474" s="359">
        <f t="shared" si="252"/>
        <v>0</v>
      </c>
      <c r="H474" s="359">
        <f t="shared" si="252"/>
        <v>0</v>
      </c>
      <c r="I474" s="359">
        <f t="shared" si="252"/>
        <v>0</v>
      </c>
      <c r="J474" s="359">
        <f t="shared" si="252"/>
        <v>0</v>
      </c>
      <c r="K474" s="359">
        <f t="shared" si="252"/>
        <v>0</v>
      </c>
      <c r="L474" s="359">
        <f t="shared" si="252"/>
        <v>0</v>
      </c>
      <c r="M474" s="359">
        <f t="shared" si="252"/>
        <v>0</v>
      </c>
      <c r="N474" s="359">
        <f t="shared" si="252"/>
        <v>0</v>
      </c>
      <c r="O474" s="359">
        <f t="shared" si="252"/>
        <v>0</v>
      </c>
      <c r="P474" s="359">
        <f t="shared" si="252"/>
        <v>0</v>
      </c>
      <c r="Q474" s="359">
        <f t="shared" si="252"/>
        <v>0</v>
      </c>
      <c r="R474" s="359">
        <f t="shared" si="252"/>
        <v>0</v>
      </c>
      <c r="S474" s="359">
        <f t="shared" si="252"/>
        <v>0</v>
      </c>
      <c r="T474" s="359">
        <f t="shared" si="252"/>
        <v>0</v>
      </c>
      <c r="U474" s="359">
        <f t="shared" si="252"/>
        <v>0</v>
      </c>
      <c r="V474" s="359">
        <f t="shared" si="252"/>
        <v>0</v>
      </c>
      <c r="W474" s="359">
        <f t="shared" si="252"/>
        <v>0</v>
      </c>
      <c r="X474" s="359">
        <f t="shared" si="252"/>
        <v>0</v>
      </c>
      <c r="Y474" s="359">
        <f t="shared" si="252"/>
        <v>0</v>
      </c>
      <c r="Z474" s="359">
        <f t="shared" si="252"/>
        <v>0</v>
      </c>
      <c r="AA474" s="359">
        <f t="shared" si="252"/>
        <v>0</v>
      </c>
      <c r="AB474" s="359">
        <f t="shared" si="252"/>
        <v>0</v>
      </c>
      <c r="AC474" s="359">
        <f t="shared" si="252"/>
        <v>0</v>
      </c>
      <c r="AD474" s="359">
        <f t="shared" si="252"/>
        <v>0</v>
      </c>
      <c r="AE474" s="359">
        <f t="shared" si="252"/>
        <v>0</v>
      </c>
      <c r="AF474" s="359">
        <f t="shared" si="252"/>
        <v>0</v>
      </c>
      <c r="AG474" s="359">
        <f t="shared" si="252"/>
        <v>0</v>
      </c>
      <c r="AH474" s="359">
        <f t="shared" si="252"/>
        <v>0</v>
      </c>
      <c r="AI474" s="359">
        <f t="shared" si="252"/>
        <v>0</v>
      </c>
      <c r="AJ474" s="359">
        <f t="shared" si="252"/>
        <v>0</v>
      </c>
      <c r="AK474" s="359">
        <f t="shared" si="252"/>
        <v>0</v>
      </c>
      <c r="AL474" s="359">
        <f t="shared" si="252"/>
        <v>0</v>
      </c>
      <c r="AM474" s="359">
        <f t="shared" si="252"/>
        <v>0</v>
      </c>
      <c r="AN474" s="359">
        <f t="shared" si="252"/>
        <v>0</v>
      </c>
      <c r="AO474" s="359">
        <f t="shared" si="252"/>
        <v>0</v>
      </c>
      <c r="AP474" s="359">
        <f t="shared" si="252"/>
        <v>0</v>
      </c>
    </row>
    <row r="475" spans="1:42" s="21" customFormat="1" x14ac:dyDescent="0.2">
      <c r="A475" s="40" t="s">
        <v>96</v>
      </c>
      <c r="C475" s="359">
        <f>ROUND(C474*1000,0)</f>
        <v>0</v>
      </c>
      <c r="D475" s="359">
        <f>ROUND(D474*1000,0)</f>
        <v>0</v>
      </c>
      <c r="E475" s="359">
        <f t="shared" ref="E475:AP475" si="253">ROUND(E474*1000,0)</f>
        <v>0</v>
      </c>
      <c r="F475" s="359">
        <f t="shared" si="253"/>
        <v>0</v>
      </c>
      <c r="G475" s="359">
        <f t="shared" si="253"/>
        <v>0</v>
      </c>
      <c r="H475" s="359">
        <f t="shared" si="253"/>
        <v>0</v>
      </c>
      <c r="I475" s="359">
        <f t="shared" si="253"/>
        <v>0</v>
      </c>
      <c r="J475" s="359">
        <f t="shared" si="253"/>
        <v>0</v>
      </c>
      <c r="K475" s="359">
        <f t="shared" si="253"/>
        <v>0</v>
      </c>
      <c r="L475" s="359">
        <f t="shared" si="253"/>
        <v>0</v>
      </c>
      <c r="M475" s="359">
        <f t="shared" si="253"/>
        <v>0</v>
      </c>
      <c r="N475" s="359">
        <f t="shared" si="253"/>
        <v>0</v>
      </c>
      <c r="O475" s="359">
        <f t="shared" si="253"/>
        <v>0</v>
      </c>
      <c r="P475" s="359">
        <f t="shared" si="253"/>
        <v>0</v>
      </c>
      <c r="Q475" s="359">
        <f t="shared" si="253"/>
        <v>0</v>
      </c>
      <c r="R475" s="359">
        <f t="shared" si="253"/>
        <v>0</v>
      </c>
      <c r="S475" s="359">
        <f t="shared" si="253"/>
        <v>0</v>
      </c>
      <c r="T475" s="359">
        <f t="shared" si="253"/>
        <v>0</v>
      </c>
      <c r="U475" s="359">
        <f t="shared" si="253"/>
        <v>0</v>
      </c>
      <c r="V475" s="359">
        <f t="shared" si="253"/>
        <v>0</v>
      </c>
      <c r="W475" s="359">
        <f t="shared" si="253"/>
        <v>0</v>
      </c>
      <c r="X475" s="359">
        <f t="shared" si="253"/>
        <v>0</v>
      </c>
      <c r="Y475" s="359">
        <f t="shared" si="253"/>
        <v>0</v>
      </c>
      <c r="Z475" s="359">
        <f t="shared" si="253"/>
        <v>0</v>
      </c>
      <c r="AA475" s="359">
        <f t="shared" si="253"/>
        <v>0</v>
      </c>
      <c r="AB475" s="359">
        <f t="shared" si="253"/>
        <v>0</v>
      </c>
      <c r="AC475" s="359">
        <f t="shared" si="253"/>
        <v>0</v>
      </c>
      <c r="AD475" s="359">
        <f t="shared" si="253"/>
        <v>0</v>
      </c>
      <c r="AE475" s="359">
        <f t="shared" si="253"/>
        <v>0</v>
      </c>
      <c r="AF475" s="359">
        <f t="shared" si="253"/>
        <v>0</v>
      </c>
      <c r="AG475" s="359">
        <f t="shared" si="253"/>
        <v>0</v>
      </c>
      <c r="AH475" s="359">
        <f t="shared" si="253"/>
        <v>0</v>
      </c>
      <c r="AI475" s="359">
        <f t="shared" si="253"/>
        <v>0</v>
      </c>
      <c r="AJ475" s="359">
        <f t="shared" si="253"/>
        <v>0</v>
      </c>
      <c r="AK475" s="359">
        <f t="shared" si="253"/>
        <v>0</v>
      </c>
      <c r="AL475" s="359">
        <f t="shared" si="253"/>
        <v>0</v>
      </c>
      <c r="AM475" s="359">
        <f t="shared" si="253"/>
        <v>0</v>
      </c>
      <c r="AN475" s="359">
        <f t="shared" si="253"/>
        <v>0</v>
      </c>
      <c r="AO475" s="359">
        <f t="shared" si="253"/>
        <v>0</v>
      </c>
      <c r="AP475" s="359">
        <f t="shared" si="253"/>
        <v>0</v>
      </c>
    </row>
    <row r="476" spans="1:42" s="21" customFormat="1" x14ac:dyDescent="0.2">
      <c r="A476" s="40" t="s">
        <v>97</v>
      </c>
      <c r="C476" s="315">
        <f>C$6/1000</f>
        <v>32344.835999999999</v>
      </c>
      <c r="D476" s="315">
        <f>D$6/1000</f>
        <v>32183.111820000002</v>
      </c>
      <c r="E476" s="315">
        <f t="shared" ref="E476:AP476" si="254">E$6/1000</f>
        <v>32022.1962609</v>
      </c>
      <c r="F476" s="315">
        <f t="shared" si="254"/>
        <v>31862.085279595503</v>
      </c>
      <c r="G476" s="315">
        <f t="shared" si="254"/>
        <v>31702.774853197527</v>
      </c>
      <c r="H476" s="315">
        <f t="shared" si="254"/>
        <v>31544.260978931539</v>
      </c>
      <c r="I476" s="315">
        <f t="shared" si="254"/>
        <v>31386.539674036878</v>
      </c>
      <c r="J476" s="315">
        <f t="shared" si="254"/>
        <v>31229.606975666695</v>
      </c>
      <c r="K476" s="315">
        <f t="shared" si="254"/>
        <v>31073.458940788361</v>
      </c>
      <c r="L476" s="315">
        <f t="shared" si="254"/>
        <v>30918.09164608442</v>
      </c>
      <c r="M476" s="315">
        <f t="shared" si="254"/>
        <v>30763.501187853999</v>
      </c>
      <c r="N476" s="315">
        <f t="shared" si="254"/>
        <v>30609.683681914728</v>
      </c>
      <c r="O476" s="315">
        <f t="shared" si="254"/>
        <v>30456.635263505155</v>
      </c>
      <c r="P476" s="315">
        <f t="shared" si="254"/>
        <v>30304.352087187632</v>
      </c>
      <c r="Q476" s="315">
        <f t="shared" si="254"/>
        <v>30152.830326751693</v>
      </c>
      <c r="R476" s="315">
        <f t="shared" si="254"/>
        <v>30002.066175117936</v>
      </c>
      <c r="S476" s="315">
        <f t="shared" si="254"/>
        <v>29852.055844242346</v>
      </c>
      <c r="T476" s="315">
        <f t="shared" si="254"/>
        <v>29702.79556502113</v>
      </c>
      <c r="U476" s="315">
        <f t="shared" si="254"/>
        <v>29554.281587196027</v>
      </c>
      <c r="V476" s="315">
        <f t="shared" si="254"/>
        <v>29406.510179260044</v>
      </c>
      <c r="W476" s="315">
        <f t="shared" si="254"/>
        <v>29259.477628363747</v>
      </c>
      <c r="X476" s="315">
        <f t="shared" si="254"/>
        <v>29113.180240221929</v>
      </c>
      <c r="Y476" s="315">
        <f t="shared" si="254"/>
        <v>28967.61433902082</v>
      </c>
      <c r="Z476" s="315">
        <f t="shared" si="254"/>
        <v>28822.776267325713</v>
      </c>
      <c r="AA476" s="315">
        <f t="shared" si="254"/>
        <v>28678.662385989086</v>
      </c>
      <c r="AB476" s="315">
        <f t="shared" si="254"/>
        <v>0</v>
      </c>
      <c r="AC476" s="315">
        <f t="shared" si="254"/>
        <v>0</v>
      </c>
      <c r="AD476" s="315">
        <f t="shared" si="254"/>
        <v>0</v>
      </c>
      <c r="AE476" s="315">
        <f t="shared" si="254"/>
        <v>0</v>
      </c>
      <c r="AF476" s="315">
        <f t="shared" si="254"/>
        <v>0</v>
      </c>
      <c r="AG476" s="315">
        <f t="shared" si="254"/>
        <v>0</v>
      </c>
      <c r="AH476" s="315">
        <f t="shared" si="254"/>
        <v>0</v>
      </c>
      <c r="AI476" s="315">
        <f t="shared" si="254"/>
        <v>0</v>
      </c>
      <c r="AJ476" s="315">
        <f t="shared" si="254"/>
        <v>0</v>
      </c>
      <c r="AK476" s="315">
        <f t="shared" si="254"/>
        <v>0</v>
      </c>
      <c r="AL476" s="315">
        <f t="shared" si="254"/>
        <v>0</v>
      </c>
      <c r="AM476" s="315">
        <f t="shared" si="254"/>
        <v>0</v>
      </c>
      <c r="AN476" s="315">
        <f t="shared" si="254"/>
        <v>0</v>
      </c>
      <c r="AO476" s="315">
        <f t="shared" si="254"/>
        <v>0</v>
      </c>
      <c r="AP476" s="315">
        <f t="shared" si="254"/>
        <v>0</v>
      </c>
    </row>
    <row r="477" spans="1:42" s="21" customFormat="1" x14ac:dyDescent="0.2">
      <c r="A477" s="40" t="s">
        <v>21</v>
      </c>
      <c r="C477" s="313">
        <f>C475*C476</f>
        <v>0</v>
      </c>
      <c r="D477" s="313">
        <f>D475*D476</f>
        <v>0</v>
      </c>
      <c r="E477" s="313">
        <f t="shared" ref="E477:AP477" si="255">E475*E476</f>
        <v>0</v>
      </c>
      <c r="F477" s="313">
        <f t="shared" si="255"/>
        <v>0</v>
      </c>
      <c r="G477" s="313">
        <f t="shared" si="255"/>
        <v>0</v>
      </c>
      <c r="H477" s="313">
        <f t="shared" si="255"/>
        <v>0</v>
      </c>
      <c r="I477" s="313">
        <f t="shared" si="255"/>
        <v>0</v>
      </c>
      <c r="J477" s="313">
        <f t="shared" si="255"/>
        <v>0</v>
      </c>
      <c r="K477" s="313">
        <f t="shared" si="255"/>
        <v>0</v>
      </c>
      <c r="L477" s="313">
        <f t="shared" si="255"/>
        <v>0</v>
      </c>
      <c r="M477" s="313">
        <f t="shared" si="255"/>
        <v>0</v>
      </c>
      <c r="N477" s="313">
        <f t="shared" si="255"/>
        <v>0</v>
      </c>
      <c r="O477" s="313">
        <f t="shared" si="255"/>
        <v>0</v>
      </c>
      <c r="P477" s="313">
        <f t="shared" si="255"/>
        <v>0</v>
      </c>
      <c r="Q477" s="313">
        <f t="shared" si="255"/>
        <v>0</v>
      </c>
      <c r="R477" s="313">
        <f t="shared" si="255"/>
        <v>0</v>
      </c>
      <c r="S477" s="313">
        <f t="shared" si="255"/>
        <v>0</v>
      </c>
      <c r="T477" s="313">
        <f t="shared" si="255"/>
        <v>0</v>
      </c>
      <c r="U477" s="313">
        <f t="shared" si="255"/>
        <v>0</v>
      </c>
      <c r="V477" s="313">
        <f t="shared" si="255"/>
        <v>0</v>
      </c>
      <c r="W477" s="313">
        <f t="shared" si="255"/>
        <v>0</v>
      </c>
      <c r="X477" s="313">
        <f t="shared" si="255"/>
        <v>0</v>
      </c>
      <c r="Y477" s="313">
        <f t="shared" si="255"/>
        <v>0</v>
      </c>
      <c r="Z477" s="313">
        <f t="shared" si="255"/>
        <v>0</v>
      </c>
      <c r="AA477" s="313">
        <f t="shared" si="255"/>
        <v>0</v>
      </c>
      <c r="AB477" s="313">
        <f t="shared" si="255"/>
        <v>0</v>
      </c>
      <c r="AC477" s="313">
        <f t="shared" si="255"/>
        <v>0</v>
      </c>
      <c r="AD477" s="313">
        <f t="shared" si="255"/>
        <v>0</v>
      </c>
      <c r="AE477" s="313">
        <f t="shared" si="255"/>
        <v>0</v>
      </c>
      <c r="AF477" s="313">
        <f t="shared" si="255"/>
        <v>0</v>
      </c>
      <c r="AG477" s="313">
        <f t="shared" si="255"/>
        <v>0</v>
      </c>
      <c r="AH477" s="313">
        <f t="shared" si="255"/>
        <v>0</v>
      </c>
      <c r="AI477" s="313">
        <f t="shared" si="255"/>
        <v>0</v>
      </c>
      <c r="AJ477" s="313">
        <f t="shared" si="255"/>
        <v>0</v>
      </c>
      <c r="AK477" s="313">
        <f t="shared" si="255"/>
        <v>0</v>
      </c>
      <c r="AL477" s="313">
        <f t="shared" si="255"/>
        <v>0</v>
      </c>
      <c r="AM477" s="313">
        <f t="shared" si="255"/>
        <v>0</v>
      </c>
      <c r="AN477" s="313">
        <f t="shared" si="255"/>
        <v>0</v>
      </c>
      <c r="AO477" s="313">
        <f t="shared" si="255"/>
        <v>0</v>
      </c>
      <c r="AP477" s="313">
        <f t="shared" si="255"/>
        <v>0</v>
      </c>
    </row>
    <row r="478" spans="1:42" s="21" customFormat="1" x14ac:dyDescent="0.2">
      <c r="A478" s="38"/>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row>
    <row r="479" spans="1:42" s="21" customFormat="1" x14ac:dyDescent="0.2">
      <c r="A479" s="38" t="s">
        <v>7</v>
      </c>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row>
    <row r="480" spans="1:42" s="21" customFormat="1" x14ac:dyDescent="0.2">
      <c r="A480" s="40" t="s">
        <v>95</v>
      </c>
      <c r="C480" s="359">
        <f t="shared" ref="C480:AP480" si="256">IF(C$2&lt;=ptc_fed_term,ptc_fed_amount*(1+inflation_rate)^B$2,0)</f>
        <v>0</v>
      </c>
      <c r="D480" s="359">
        <f t="shared" si="256"/>
        <v>0</v>
      </c>
      <c r="E480" s="359">
        <f t="shared" si="256"/>
        <v>0</v>
      </c>
      <c r="F480" s="359">
        <f t="shared" si="256"/>
        <v>0</v>
      </c>
      <c r="G480" s="359">
        <f t="shared" si="256"/>
        <v>0</v>
      </c>
      <c r="H480" s="359">
        <f t="shared" si="256"/>
        <v>0</v>
      </c>
      <c r="I480" s="359">
        <f t="shared" si="256"/>
        <v>0</v>
      </c>
      <c r="J480" s="359">
        <f t="shared" si="256"/>
        <v>0</v>
      </c>
      <c r="K480" s="359">
        <f t="shared" si="256"/>
        <v>0</v>
      </c>
      <c r="L480" s="359">
        <f t="shared" si="256"/>
        <v>0</v>
      </c>
      <c r="M480" s="359">
        <f t="shared" si="256"/>
        <v>0</v>
      </c>
      <c r="N480" s="359">
        <f t="shared" si="256"/>
        <v>0</v>
      </c>
      <c r="O480" s="359">
        <f t="shared" si="256"/>
        <v>0</v>
      </c>
      <c r="P480" s="359">
        <f t="shared" si="256"/>
        <v>0</v>
      </c>
      <c r="Q480" s="359">
        <f t="shared" si="256"/>
        <v>0</v>
      </c>
      <c r="R480" s="359">
        <f t="shared" si="256"/>
        <v>0</v>
      </c>
      <c r="S480" s="359">
        <f t="shared" si="256"/>
        <v>0</v>
      </c>
      <c r="T480" s="359">
        <f t="shared" si="256"/>
        <v>0</v>
      </c>
      <c r="U480" s="359">
        <f t="shared" si="256"/>
        <v>0</v>
      </c>
      <c r="V480" s="359">
        <f t="shared" si="256"/>
        <v>0</v>
      </c>
      <c r="W480" s="359">
        <f t="shared" si="256"/>
        <v>0</v>
      </c>
      <c r="X480" s="359">
        <f t="shared" si="256"/>
        <v>0</v>
      </c>
      <c r="Y480" s="359">
        <f t="shared" si="256"/>
        <v>0</v>
      </c>
      <c r="Z480" s="359">
        <f t="shared" si="256"/>
        <v>0</v>
      </c>
      <c r="AA480" s="359">
        <f t="shared" si="256"/>
        <v>0</v>
      </c>
      <c r="AB480" s="359">
        <f t="shared" si="256"/>
        <v>0</v>
      </c>
      <c r="AC480" s="359">
        <f t="shared" si="256"/>
        <v>0</v>
      </c>
      <c r="AD480" s="359">
        <f t="shared" si="256"/>
        <v>0</v>
      </c>
      <c r="AE480" s="359">
        <f t="shared" si="256"/>
        <v>0</v>
      </c>
      <c r="AF480" s="359">
        <f t="shared" si="256"/>
        <v>0</v>
      </c>
      <c r="AG480" s="359">
        <f t="shared" si="256"/>
        <v>0</v>
      </c>
      <c r="AH480" s="359">
        <f t="shared" si="256"/>
        <v>0</v>
      </c>
      <c r="AI480" s="359">
        <f t="shared" si="256"/>
        <v>0</v>
      </c>
      <c r="AJ480" s="359">
        <f t="shared" si="256"/>
        <v>0</v>
      </c>
      <c r="AK480" s="359">
        <f t="shared" si="256"/>
        <v>0</v>
      </c>
      <c r="AL480" s="359">
        <f t="shared" si="256"/>
        <v>0</v>
      </c>
      <c r="AM480" s="359">
        <f t="shared" si="256"/>
        <v>0</v>
      </c>
      <c r="AN480" s="359">
        <f t="shared" si="256"/>
        <v>0</v>
      </c>
      <c r="AO480" s="359">
        <f t="shared" si="256"/>
        <v>0</v>
      </c>
      <c r="AP480" s="359">
        <f t="shared" si="256"/>
        <v>0</v>
      </c>
    </row>
    <row r="481" spans="1:42" s="21" customFormat="1" x14ac:dyDescent="0.2">
      <c r="A481" s="40" t="s">
        <v>96</v>
      </c>
      <c r="C481" s="359">
        <f>ROUND(C480*1000,0)</f>
        <v>0</v>
      </c>
      <c r="D481" s="359">
        <f>ROUND(D480*1000,0)</f>
        <v>0</v>
      </c>
      <c r="E481" s="359">
        <f t="shared" ref="E481:AP481" si="257">ROUND(E480*1000,0)</f>
        <v>0</v>
      </c>
      <c r="F481" s="359">
        <f t="shared" si="257"/>
        <v>0</v>
      </c>
      <c r="G481" s="359">
        <f t="shared" si="257"/>
        <v>0</v>
      </c>
      <c r="H481" s="359">
        <f t="shared" si="257"/>
        <v>0</v>
      </c>
      <c r="I481" s="359">
        <f t="shared" si="257"/>
        <v>0</v>
      </c>
      <c r="J481" s="359">
        <f t="shared" si="257"/>
        <v>0</v>
      </c>
      <c r="K481" s="359">
        <f t="shared" si="257"/>
        <v>0</v>
      </c>
      <c r="L481" s="359">
        <f t="shared" si="257"/>
        <v>0</v>
      </c>
      <c r="M481" s="359">
        <f t="shared" si="257"/>
        <v>0</v>
      </c>
      <c r="N481" s="359">
        <f t="shared" si="257"/>
        <v>0</v>
      </c>
      <c r="O481" s="359">
        <f t="shared" si="257"/>
        <v>0</v>
      </c>
      <c r="P481" s="359">
        <f t="shared" si="257"/>
        <v>0</v>
      </c>
      <c r="Q481" s="359">
        <f t="shared" si="257"/>
        <v>0</v>
      </c>
      <c r="R481" s="359">
        <f t="shared" si="257"/>
        <v>0</v>
      </c>
      <c r="S481" s="359">
        <f t="shared" si="257"/>
        <v>0</v>
      </c>
      <c r="T481" s="359">
        <f t="shared" si="257"/>
        <v>0</v>
      </c>
      <c r="U481" s="359">
        <f t="shared" si="257"/>
        <v>0</v>
      </c>
      <c r="V481" s="359">
        <f t="shared" si="257"/>
        <v>0</v>
      </c>
      <c r="W481" s="359">
        <f t="shared" si="257"/>
        <v>0</v>
      </c>
      <c r="X481" s="359">
        <f t="shared" si="257"/>
        <v>0</v>
      </c>
      <c r="Y481" s="359">
        <f t="shared" si="257"/>
        <v>0</v>
      </c>
      <c r="Z481" s="359">
        <f t="shared" si="257"/>
        <v>0</v>
      </c>
      <c r="AA481" s="359">
        <f t="shared" si="257"/>
        <v>0</v>
      </c>
      <c r="AB481" s="359">
        <f t="shared" si="257"/>
        <v>0</v>
      </c>
      <c r="AC481" s="359">
        <f t="shared" si="257"/>
        <v>0</v>
      </c>
      <c r="AD481" s="359">
        <f t="shared" si="257"/>
        <v>0</v>
      </c>
      <c r="AE481" s="359">
        <f t="shared" si="257"/>
        <v>0</v>
      </c>
      <c r="AF481" s="359">
        <f t="shared" si="257"/>
        <v>0</v>
      </c>
      <c r="AG481" s="359">
        <f t="shared" si="257"/>
        <v>0</v>
      </c>
      <c r="AH481" s="359">
        <f t="shared" si="257"/>
        <v>0</v>
      </c>
      <c r="AI481" s="359">
        <f t="shared" si="257"/>
        <v>0</v>
      </c>
      <c r="AJ481" s="359">
        <f t="shared" si="257"/>
        <v>0</v>
      </c>
      <c r="AK481" s="359">
        <f t="shared" si="257"/>
        <v>0</v>
      </c>
      <c r="AL481" s="359">
        <f t="shared" si="257"/>
        <v>0</v>
      </c>
      <c r="AM481" s="359">
        <f t="shared" si="257"/>
        <v>0</v>
      </c>
      <c r="AN481" s="359">
        <f t="shared" si="257"/>
        <v>0</v>
      </c>
      <c r="AO481" s="359">
        <f t="shared" si="257"/>
        <v>0</v>
      </c>
      <c r="AP481" s="359">
        <f t="shared" si="257"/>
        <v>0</v>
      </c>
    </row>
    <row r="482" spans="1:42" s="21" customFormat="1" x14ac:dyDescent="0.2">
      <c r="A482" s="40" t="s">
        <v>97</v>
      </c>
      <c r="C482" s="315">
        <f>C$6/1000</f>
        <v>32344.835999999999</v>
      </c>
      <c r="D482" s="315">
        <f>D$6/1000</f>
        <v>32183.111820000002</v>
      </c>
      <c r="E482" s="315">
        <f t="shared" ref="E482:AP482" si="258">E$6/1000</f>
        <v>32022.1962609</v>
      </c>
      <c r="F482" s="315">
        <f t="shared" si="258"/>
        <v>31862.085279595503</v>
      </c>
      <c r="G482" s="315">
        <f t="shared" si="258"/>
        <v>31702.774853197527</v>
      </c>
      <c r="H482" s="315">
        <f t="shared" si="258"/>
        <v>31544.260978931539</v>
      </c>
      <c r="I482" s="315">
        <f t="shared" si="258"/>
        <v>31386.539674036878</v>
      </c>
      <c r="J482" s="315">
        <f t="shared" si="258"/>
        <v>31229.606975666695</v>
      </c>
      <c r="K482" s="315">
        <f t="shared" si="258"/>
        <v>31073.458940788361</v>
      </c>
      <c r="L482" s="315">
        <f t="shared" si="258"/>
        <v>30918.09164608442</v>
      </c>
      <c r="M482" s="315">
        <f t="shared" si="258"/>
        <v>30763.501187853999</v>
      </c>
      <c r="N482" s="315">
        <f t="shared" si="258"/>
        <v>30609.683681914728</v>
      </c>
      <c r="O482" s="315">
        <f t="shared" si="258"/>
        <v>30456.635263505155</v>
      </c>
      <c r="P482" s="315">
        <f t="shared" si="258"/>
        <v>30304.352087187632</v>
      </c>
      <c r="Q482" s="315">
        <f t="shared" si="258"/>
        <v>30152.830326751693</v>
      </c>
      <c r="R482" s="315">
        <f t="shared" si="258"/>
        <v>30002.066175117936</v>
      </c>
      <c r="S482" s="315">
        <f t="shared" si="258"/>
        <v>29852.055844242346</v>
      </c>
      <c r="T482" s="315">
        <f t="shared" si="258"/>
        <v>29702.79556502113</v>
      </c>
      <c r="U482" s="315">
        <f t="shared" si="258"/>
        <v>29554.281587196027</v>
      </c>
      <c r="V482" s="315">
        <f t="shared" si="258"/>
        <v>29406.510179260044</v>
      </c>
      <c r="W482" s="315">
        <f t="shared" si="258"/>
        <v>29259.477628363747</v>
      </c>
      <c r="X482" s="315">
        <f t="shared" si="258"/>
        <v>29113.180240221929</v>
      </c>
      <c r="Y482" s="315">
        <f t="shared" si="258"/>
        <v>28967.61433902082</v>
      </c>
      <c r="Z482" s="315">
        <f t="shared" si="258"/>
        <v>28822.776267325713</v>
      </c>
      <c r="AA482" s="315">
        <f t="shared" si="258"/>
        <v>28678.662385989086</v>
      </c>
      <c r="AB482" s="315">
        <f t="shared" si="258"/>
        <v>0</v>
      </c>
      <c r="AC482" s="315">
        <f t="shared" si="258"/>
        <v>0</v>
      </c>
      <c r="AD482" s="315">
        <f t="shared" si="258"/>
        <v>0</v>
      </c>
      <c r="AE482" s="315">
        <f t="shared" si="258"/>
        <v>0</v>
      </c>
      <c r="AF482" s="315">
        <f t="shared" si="258"/>
        <v>0</v>
      </c>
      <c r="AG482" s="315">
        <f t="shared" si="258"/>
        <v>0</v>
      </c>
      <c r="AH482" s="315">
        <f t="shared" si="258"/>
        <v>0</v>
      </c>
      <c r="AI482" s="315">
        <f t="shared" si="258"/>
        <v>0</v>
      </c>
      <c r="AJ482" s="315">
        <f t="shared" si="258"/>
        <v>0</v>
      </c>
      <c r="AK482" s="315">
        <f t="shared" si="258"/>
        <v>0</v>
      </c>
      <c r="AL482" s="315">
        <f t="shared" si="258"/>
        <v>0</v>
      </c>
      <c r="AM482" s="315">
        <f t="shared" si="258"/>
        <v>0</v>
      </c>
      <c r="AN482" s="315">
        <f t="shared" si="258"/>
        <v>0</v>
      </c>
      <c r="AO482" s="315">
        <f t="shared" si="258"/>
        <v>0</v>
      </c>
      <c r="AP482" s="315">
        <f t="shared" si="258"/>
        <v>0</v>
      </c>
    </row>
    <row r="483" spans="1:42" s="21" customFormat="1" x14ac:dyDescent="0.2">
      <c r="A483" s="40" t="s">
        <v>21</v>
      </c>
      <c r="C483" s="313">
        <f>C481*C482</f>
        <v>0</v>
      </c>
      <c r="D483" s="313">
        <f>D481*D482</f>
        <v>0</v>
      </c>
      <c r="E483" s="313">
        <f t="shared" ref="E483:AP483" si="259">E481*E482</f>
        <v>0</v>
      </c>
      <c r="F483" s="313">
        <f t="shared" si="259"/>
        <v>0</v>
      </c>
      <c r="G483" s="313">
        <f t="shared" si="259"/>
        <v>0</v>
      </c>
      <c r="H483" s="313">
        <f t="shared" si="259"/>
        <v>0</v>
      </c>
      <c r="I483" s="313">
        <f t="shared" si="259"/>
        <v>0</v>
      </c>
      <c r="J483" s="313">
        <f t="shared" si="259"/>
        <v>0</v>
      </c>
      <c r="K483" s="313">
        <f t="shared" si="259"/>
        <v>0</v>
      </c>
      <c r="L483" s="313">
        <f t="shared" si="259"/>
        <v>0</v>
      </c>
      <c r="M483" s="313">
        <f t="shared" si="259"/>
        <v>0</v>
      </c>
      <c r="N483" s="313">
        <f t="shared" si="259"/>
        <v>0</v>
      </c>
      <c r="O483" s="313">
        <f t="shared" si="259"/>
        <v>0</v>
      </c>
      <c r="P483" s="313">
        <f t="shared" si="259"/>
        <v>0</v>
      </c>
      <c r="Q483" s="313">
        <f t="shared" si="259"/>
        <v>0</v>
      </c>
      <c r="R483" s="313">
        <f t="shared" si="259"/>
        <v>0</v>
      </c>
      <c r="S483" s="313">
        <f t="shared" si="259"/>
        <v>0</v>
      </c>
      <c r="T483" s="313">
        <f t="shared" si="259"/>
        <v>0</v>
      </c>
      <c r="U483" s="313">
        <f t="shared" si="259"/>
        <v>0</v>
      </c>
      <c r="V483" s="313">
        <f t="shared" si="259"/>
        <v>0</v>
      </c>
      <c r="W483" s="313">
        <f t="shared" si="259"/>
        <v>0</v>
      </c>
      <c r="X483" s="313">
        <f t="shared" si="259"/>
        <v>0</v>
      </c>
      <c r="Y483" s="313">
        <f t="shared" si="259"/>
        <v>0</v>
      </c>
      <c r="Z483" s="313">
        <f t="shared" si="259"/>
        <v>0</v>
      </c>
      <c r="AA483" s="313">
        <f t="shared" si="259"/>
        <v>0</v>
      </c>
      <c r="AB483" s="313">
        <f t="shared" si="259"/>
        <v>0</v>
      </c>
      <c r="AC483" s="313">
        <f t="shared" si="259"/>
        <v>0</v>
      </c>
      <c r="AD483" s="313">
        <f t="shared" si="259"/>
        <v>0</v>
      </c>
      <c r="AE483" s="313">
        <f t="shared" si="259"/>
        <v>0</v>
      </c>
      <c r="AF483" s="313">
        <f t="shared" si="259"/>
        <v>0</v>
      </c>
      <c r="AG483" s="313">
        <f t="shared" si="259"/>
        <v>0</v>
      </c>
      <c r="AH483" s="313">
        <f t="shared" si="259"/>
        <v>0</v>
      </c>
      <c r="AI483" s="313">
        <f t="shared" si="259"/>
        <v>0</v>
      </c>
      <c r="AJ483" s="313">
        <f t="shared" si="259"/>
        <v>0</v>
      </c>
      <c r="AK483" s="313">
        <f t="shared" si="259"/>
        <v>0</v>
      </c>
      <c r="AL483" s="313">
        <f t="shared" si="259"/>
        <v>0</v>
      </c>
      <c r="AM483" s="313">
        <f t="shared" si="259"/>
        <v>0</v>
      </c>
      <c r="AN483" s="313">
        <f t="shared" si="259"/>
        <v>0</v>
      </c>
      <c r="AO483" s="313">
        <f t="shared" si="259"/>
        <v>0</v>
      </c>
      <c r="AP483" s="313">
        <f t="shared" si="259"/>
        <v>0</v>
      </c>
    </row>
    <row r="484" spans="1:42" s="21" customFormat="1" x14ac:dyDescent="0.2">
      <c r="A484" s="40"/>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row>
    <row r="485" spans="1:42" x14ac:dyDescent="0.2">
      <c r="A485" s="30" t="s">
        <v>24</v>
      </c>
      <c r="C485" s="36"/>
      <c r="D485" s="36"/>
      <c r="E485" s="36"/>
      <c r="F485" s="36"/>
      <c r="G485" s="36"/>
      <c r="H485" s="36"/>
      <c r="I485" s="36"/>
      <c r="J485" s="36"/>
      <c r="K485" s="36"/>
      <c r="L485" s="36"/>
      <c r="M485" s="36"/>
      <c r="N485" s="36"/>
      <c r="O485" s="36"/>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row>
    <row r="486" spans="1:42" x14ac:dyDescent="0.2">
      <c r="A486" s="38" t="str">
        <f>Inputs!B104</f>
        <v>As fixed amount</v>
      </c>
      <c r="B486" s="21"/>
      <c r="C486" s="21"/>
      <c r="D486" s="36"/>
      <c r="E486" s="36"/>
      <c r="F486" s="36"/>
      <c r="G486" s="36"/>
      <c r="H486" s="36"/>
      <c r="I486" s="36"/>
      <c r="J486" s="36"/>
      <c r="K486" s="36"/>
      <c r="L486" s="36"/>
      <c r="M486" s="36"/>
      <c r="N486" s="36"/>
      <c r="O486" s="36"/>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row>
    <row r="487" spans="1:42" x14ac:dyDescent="0.2">
      <c r="A487" s="40" t="str">
        <f>Inputs!B105</f>
        <v>Federal ($)</v>
      </c>
      <c r="B487" s="21"/>
      <c r="C487" s="352">
        <f>ibi_fed_amount</f>
        <v>0</v>
      </c>
      <c r="D487" s="36"/>
      <c r="E487" s="36"/>
      <c r="F487" s="36"/>
      <c r="G487" s="36"/>
      <c r="H487" s="36"/>
      <c r="I487" s="36"/>
      <c r="J487" s="36"/>
      <c r="K487" s="36"/>
      <c r="L487" s="36"/>
      <c r="M487" s="36"/>
      <c r="N487" s="36"/>
      <c r="O487" s="36"/>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row>
    <row r="488" spans="1:42" x14ac:dyDescent="0.2">
      <c r="A488" s="40" t="str">
        <f>Inputs!B106</f>
        <v>State ($)</v>
      </c>
      <c r="B488" s="21"/>
      <c r="C488" s="352">
        <f>ibi_sta_amount</f>
        <v>0</v>
      </c>
      <c r="D488" s="36"/>
      <c r="E488" s="36"/>
      <c r="F488" s="36"/>
      <c r="G488" s="36"/>
      <c r="H488" s="36"/>
      <c r="I488" s="36"/>
      <c r="J488" s="36"/>
      <c r="K488" s="36"/>
      <c r="L488" s="36"/>
      <c r="M488" s="36"/>
      <c r="N488" s="36"/>
      <c r="O488" s="36"/>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row>
    <row r="489" spans="1:42" x14ac:dyDescent="0.2">
      <c r="A489" s="40" t="str">
        <f>Inputs!B107</f>
        <v>Utility ($)</v>
      </c>
      <c r="B489" s="21"/>
      <c r="C489" s="352">
        <f>ibi_uti_amount</f>
        <v>0</v>
      </c>
      <c r="D489" s="36"/>
      <c r="E489" s="36"/>
      <c r="F489" s="36"/>
      <c r="G489" s="36"/>
      <c r="H489" s="36"/>
      <c r="I489" s="36"/>
      <c r="J489" s="36"/>
      <c r="K489" s="36"/>
      <c r="L489" s="36"/>
      <c r="M489" s="36"/>
      <c r="N489" s="36"/>
      <c r="O489" s="36"/>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row>
    <row r="490" spans="1:42" x14ac:dyDescent="0.2">
      <c r="A490" s="40" t="str">
        <f>Inputs!B108</f>
        <v>Other ($)</v>
      </c>
      <c r="C490" s="315">
        <f>ibi_oth_amount</f>
        <v>0</v>
      </c>
      <c r="D490" s="36"/>
      <c r="E490" s="36"/>
      <c r="F490" s="36"/>
      <c r="G490" s="36"/>
      <c r="H490" s="36"/>
      <c r="I490" s="36"/>
      <c r="J490" s="36"/>
      <c r="K490" s="36"/>
      <c r="L490" s="36"/>
      <c r="M490" s="36"/>
      <c r="N490" s="36"/>
      <c r="O490" s="36"/>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row>
    <row r="491" spans="1:42" x14ac:dyDescent="0.2">
      <c r="A491" s="35" t="s">
        <v>21</v>
      </c>
      <c r="C491" s="353">
        <f>SUM(C487:C490)</f>
        <v>0</v>
      </c>
      <c r="D491" s="36"/>
      <c r="E491" s="36"/>
      <c r="F491" s="36"/>
      <c r="G491" s="36"/>
      <c r="H491" s="36"/>
      <c r="I491" s="36"/>
      <c r="J491" s="36"/>
      <c r="K491" s="36"/>
      <c r="L491" s="36"/>
      <c r="M491" s="36"/>
      <c r="N491" s="36"/>
      <c r="O491" s="36"/>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row>
    <row r="492" spans="1:42" x14ac:dyDescent="0.2">
      <c r="A492" s="38" t="str">
        <f>Inputs!B109</f>
        <v>As percentage</v>
      </c>
      <c r="C492" s="36"/>
      <c r="D492" s="36"/>
      <c r="E492" s="36"/>
      <c r="F492" s="36"/>
      <c r="G492" s="36"/>
      <c r="H492" s="36"/>
      <c r="I492" s="36"/>
      <c r="J492" s="36"/>
      <c r="K492" s="36"/>
      <c r="L492" s="36"/>
      <c r="M492" s="36"/>
      <c r="N492" s="36"/>
      <c r="O492" s="36"/>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row>
    <row r="493" spans="1:42" x14ac:dyDescent="0.2">
      <c r="A493" s="40" t="str">
        <f>Inputs!B110</f>
        <v>Federal (% of total installed cost)</v>
      </c>
      <c r="C493" s="385">
        <f>MIN(ibi_fed_percent/100*total_installed_cost,Inputs!D110)</f>
        <v>25000000</v>
      </c>
      <c r="D493" s="36"/>
      <c r="E493" s="36"/>
      <c r="F493" s="36"/>
      <c r="G493" s="36"/>
      <c r="H493" s="36"/>
      <c r="I493" s="36"/>
      <c r="J493" s="36"/>
      <c r="K493" s="36"/>
      <c r="L493" s="36"/>
      <c r="M493" s="36"/>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row>
    <row r="494" spans="1:42" x14ac:dyDescent="0.2">
      <c r="A494" s="40" t="str">
        <f>Inputs!B111</f>
        <v>State (% of total installed cost)</v>
      </c>
      <c r="C494" s="385">
        <f>MIN(ibi_sta_percent/100*total_installed_cost,Inputs!D111)</f>
        <v>0</v>
      </c>
      <c r="D494" s="36"/>
      <c r="E494" s="36"/>
      <c r="F494" s="36"/>
      <c r="G494" s="36"/>
      <c r="H494" s="36"/>
      <c r="I494" s="36"/>
      <c r="J494" s="36"/>
      <c r="K494" s="36"/>
      <c r="L494" s="36"/>
      <c r="M494" s="36"/>
      <c r="N494" s="36"/>
      <c r="O494" s="36"/>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row>
    <row r="495" spans="1:42" x14ac:dyDescent="0.2">
      <c r="A495" s="40" t="str">
        <f>Inputs!B112</f>
        <v>Utility (% of total installed cost)</v>
      </c>
      <c r="C495" s="385">
        <f>MIN(ibi_uti_percent/100*total_installed_cost,Inputs!D112)</f>
        <v>0</v>
      </c>
      <c r="D495" s="36"/>
      <c r="E495" s="36"/>
      <c r="F495" s="36"/>
      <c r="G495" s="36"/>
      <c r="H495" s="36"/>
      <c r="I495" s="36"/>
      <c r="J495" s="36"/>
      <c r="K495" s="36"/>
      <c r="L495" s="36"/>
      <c r="M495" s="36"/>
      <c r="N495" s="36"/>
      <c r="O495" s="36"/>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row>
    <row r="496" spans="1:42" x14ac:dyDescent="0.2">
      <c r="A496" s="40" t="str">
        <f>Inputs!B113</f>
        <v>Other (% of total installed cost)</v>
      </c>
      <c r="C496" s="385">
        <f>MIN(ibi_oth_percent/100*total_installed_cost,Inputs!D113)</f>
        <v>0</v>
      </c>
      <c r="D496" s="36"/>
      <c r="E496" s="36"/>
      <c r="F496" s="36"/>
      <c r="G496" s="36"/>
      <c r="H496" s="36"/>
      <c r="I496" s="36"/>
      <c r="J496" s="36"/>
      <c r="K496" s="36"/>
      <c r="L496" s="36"/>
      <c r="M496" s="36"/>
      <c r="N496" s="36"/>
      <c r="O496" s="36"/>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row>
    <row r="497" spans="1:42" x14ac:dyDescent="0.2">
      <c r="A497" s="40" t="s">
        <v>21</v>
      </c>
      <c r="C497" s="321">
        <f>SUM(C493:C496)</f>
        <v>25000000</v>
      </c>
      <c r="D497" s="36"/>
      <c r="E497" s="36"/>
      <c r="F497" s="36"/>
      <c r="G497" s="36"/>
      <c r="H497" s="36"/>
      <c r="I497" s="36"/>
      <c r="J497" s="36"/>
      <c r="K497" s="36"/>
      <c r="L497" s="36"/>
      <c r="M497" s="36"/>
      <c r="N497" s="36"/>
      <c r="O497" s="36"/>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row>
    <row r="498" spans="1:42" x14ac:dyDescent="0.2">
      <c r="A498" s="30" t="s">
        <v>61</v>
      </c>
      <c r="C498" s="36"/>
      <c r="D498" s="36"/>
      <c r="E498" s="36"/>
      <c r="F498" s="36"/>
      <c r="G498" s="36"/>
      <c r="H498" s="36"/>
      <c r="I498" s="36"/>
      <c r="J498" s="36"/>
      <c r="K498" s="36"/>
      <c r="L498" s="36"/>
      <c r="M498" s="36"/>
      <c r="N498" s="36"/>
      <c r="O498" s="36"/>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row>
    <row r="499" spans="1:42" x14ac:dyDescent="0.2">
      <c r="A499" s="38" t="str">
        <f>Inputs!B115</f>
        <v>Federal ($/W)</v>
      </c>
      <c r="B499" s="21"/>
      <c r="C499" s="385">
        <f>MIN(cbi_fed_amount*system_capacity*1000,cbi_fed_maxvalue)</f>
        <v>0</v>
      </c>
      <c r="D499" s="36"/>
      <c r="E499" s="36"/>
      <c r="F499" s="36"/>
      <c r="G499" s="36"/>
      <c r="H499" s="36"/>
      <c r="I499" s="36"/>
      <c r="J499" s="36"/>
      <c r="K499" s="36"/>
      <c r="L499" s="36"/>
      <c r="M499" s="36"/>
      <c r="N499" s="36"/>
      <c r="O499" s="36"/>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row>
    <row r="500" spans="1:42" x14ac:dyDescent="0.2">
      <c r="A500" s="38" t="str">
        <f>Inputs!B116</f>
        <v>State ($/W)</v>
      </c>
      <c r="B500" s="21"/>
      <c r="C500" s="385">
        <f>MIN(cbi_sta_amount*system_capacity*1000,cbi_sta_maxvalue)</f>
        <v>0</v>
      </c>
      <c r="D500" s="36"/>
      <c r="E500" s="36"/>
      <c r="F500" s="36"/>
      <c r="G500" s="36"/>
      <c r="H500" s="36"/>
      <c r="I500" s="36"/>
      <c r="J500" s="36"/>
      <c r="K500" s="36"/>
      <c r="L500" s="36"/>
      <c r="M500" s="36"/>
      <c r="N500" s="36"/>
      <c r="O500" s="36"/>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row>
    <row r="501" spans="1:42" x14ac:dyDescent="0.2">
      <c r="A501" s="38" t="str">
        <f>Inputs!B117</f>
        <v>Utility ($/W)</v>
      </c>
      <c r="B501" s="21"/>
      <c r="C501" s="385">
        <f>MIN(cbi_uti_amount*system_capacity*1000,cbi_uti_maxvalue)</f>
        <v>0</v>
      </c>
      <c r="D501" s="36"/>
      <c r="E501" s="36"/>
      <c r="F501" s="36"/>
      <c r="G501" s="36"/>
      <c r="H501" s="36"/>
      <c r="I501" s="36"/>
      <c r="J501" s="36"/>
      <c r="K501" s="36"/>
      <c r="L501" s="36"/>
      <c r="M501" s="36"/>
      <c r="N501" s="36"/>
      <c r="O501" s="36"/>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row>
    <row r="502" spans="1:42" x14ac:dyDescent="0.2">
      <c r="A502" s="38" t="str">
        <f>Inputs!B118</f>
        <v>Other ($/W)</v>
      </c>
      <c r="C502" s="385">
        <f>MIN(cbi_oth_amount*system_capacity*1000,cbi_oth_maxvalue)</f>
        <v>0</v>
      </c>
      <c r="D502" s="36"/>
      <c r="E502" s="36"/>
      <c r="F502" s="36"/>
      <c r="G502" s="36"/>
      <c r="H502" s="36"/>
      <c r="I502" s="36"/>
      <c r="J502" s="36"/>
      <c r="K502" s="36"/>
      <c r="L502" s="36"/>
      <c r="M502" s="36"/>
      <c r="N502" s="36"/>
      <c r="O502" s="36"/>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row>
    <row r="503" spans="1:42" x14ac:dyDescent="0.2">
      <c r="A503" s="31" t="s">
        <v>21</v>
      </c>
      <c r="C503" s="321">
        <f>SUM(C499:C502)</f>
        <v>0</v>
      </c>
      <c r="D503" s="36"/>
      <c r="E503" s="36"/>
      <c r="F503" s="36"/>
      <c r="G503" s="36"/>
      <c r="H503" s="36"/>
      <c r="I503" s="36"/>
      <c r="J503" s="36"/>
      <c r="K503" s="36"/>
      <c r="L503" s="36"/>
      <c r="M503" s="36"/>
      <c r="N503" s="36"/>
      <c r="O503" s="36"/>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row>
    <row r="504" spans="1:42" x14ac:dyDescent="0.2">
      <c r="C504" s="36"/>
      <c r="D504" s="36"/>
      <c r="E504" s="36"/>
      <c r="F504" s="36"/>
      <c r="G504" s="36"/>
      <c r="H504" s="36"/>
      <c r="I504" s="36"/>
      <c r="J504" s="36"/>
      <c r="K504" s="36"/>
      <c r="L504" s="36"/>
      <c r="M504" s="36"/>
      <c r="N504" s="36"/>
      <c r="O504" s="36"/>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row>
    <row r="505" spans="1:42" x14ac:dyDescent="0.2">
      <c r="A505" s="30" t="s">
        <v>58</v>
      </c>
    </row>
    <row r="506" spans="1:42" x14ac:dyDescent="0.2">
      <c r="A506" s="31" t="str">
        <f>Inputs!B120</f>
        <v>Federal ($/kWh)</v>
      </c>
    </row>
    <row r="507" spans="1:42" x14ac:dyDescent="0.2">
      <c r="A507" s="35" t="s">
        <v>59</v>
      </c>
      <c r="C507" s="297">
        <f t="shared" ref="C507:AP507" si="260">IF(AND(C$2&lt;=pbi_fed_term,C$2&lt;=analysis_period),pbi_fed_amount*(1+pbi_fed_escal/100)^B$2,0)</f>
        <v>0</v>
      </c>
      <c r="D507" s="297">
        <f t="shared" si="260"/>
        <v>0</v>
      </c>
      <c r="E507" s="297">
        <f t="shared" si="260"/>
        <v>0</v>
      </c>
      <c r="F507" s="297">
        <f t="shared" si="260"/>
        <v>0</v>
      </c>
      <c r="G507" s="297">
        <f t="shared" si="260"/>
        <v>0</v>
      </c>
      <c r="H507" s="297">
        <f t="shared" si="260"/>
        <v>0</v>
      </c>
      <c r="I507" s="297">
        <f t="shared" si="260"/>
        <v>0</v>
      </c>
      <c r="J507" s="297">
        <f t="shared" si="260"/>
        <v>0</v>
      </c>
      <c r="K507" s="297">
        <f t="shared" si="260"/>
        <v>0</v>
      </c>
      <c r="L507" s="297">
        <f t="shared" si="260"/>
        <v>0</v>
      </c>
      <c r="M507" s="297">
        <f t="shared" si="260"/>
        <v>0</v>
      </c>
      <c r="N507" s="297">
        <f t="shared" si="260"/>
        <v>0</v>
      </c>
      <c r="O507" s="297">
        <f t="shared" si="260"/>
        <v>0</v>
      </c>
      <c r="P507" s="297">
        <f t="shared" si="260"/>
        <v>0</v>
      </c>
      <c r="Q507" s="297">
        <f t="shared" si="260"/>
        <v>0</v>
      </c>
      <c r="R507" s="297">
        <f t="shared" si="260"/>
        <v>0</v>
      </c>
      <c r="S507" s="297">
        <f t="shared" si="260"/>
        <v>0</v>
      </c>
      <c r="T507" s="297">
        <f t="shared" si="260"/>
        <v>0</v>
      </c>
      <c r="U507" s="297">
        <f t="shared" si="260"/>
        <v>0</v>
      </c>
      <c r="V507" s="297">
        <f t="shared" si="260"/>
        <v>0</v>
      </c>
      <c r="W507" s="297">
        <f t="shared" si="260"/>
        <v>0</v>
      </c>
      <c r="X507" s="297">
        <f t="shared" si="260"/>
        <v>0</v>
      </c>
      <c r="Y507" s="297">
        <f t="shared" si="260"/>
        <v>0</v>
      </c>
      <c r="Z507" s="297">
        <f t="shared" si="260"/>
        <v>0</v>
      </c>
      <c r="AA507" s="297">
        <f t="shared" si="260"/>
        <v>0</v>
      </c>
      <c r="AB507" s="297">
        <f t="shared" si="260"/>
        <v>0</v>
      </c>
      <c r="AC507" s="297">
        <f t="shared" si="260"/>
        <v>0</v>
      </c>
      <c r="AD507" s="297">
        <f t="shared" si="260"/>
        <v>0</v>
      </c>
      <c r="AE507" s="297">
        <f t="shared" si="260"/>
        <v>0</v>
      </c>
      <c r="AF507" s="297">
        <f t="shared" si="260"/>
        <v>0</v>
      </c>
      <c r="AG507" s="297">
        <f t="shared" si="260"/>
        <v>0</v>
      </c>
      <c r="AH507" s="297">
        <f t="shared" si="260"/>
        <v>0</v>
      </c>
      <c r="AI507" s="297">
        <f t="shared" si="260"/>
        <v>0</v>
      </c>
      <c r="AJ507" s="297">
        <f t="shared" si="260"/>
        <v>0</v>
      </c>
      <c r="AK507" s="297">
        <f t="shared" si="260"/>
        <v>0</v>
      </c>
      <c r="AL507" s="297">
        <f t="shared" si="260"/>
        <v>0</v>
      </c>
      <c r="AM507" s="297">
        <f t="shared" si="260"/>
        <v>0</v>
      </c>
      <c r="AN507" s="297">
        <f t="shared" si="260"/>
        <v>0</v>
      </c>
      <c r="AO507" s="297">
        <f t="shared" si="260"/>
        <v>0</v>
      </c>
      <c r="AP507" s="297">
        <f t="shared" si="260"/>
        <v>0</v>
      </c>
    </row>
    <row r="508" spans="1:42" x14ac:dyDescent="0.2">
      <c r="A508" s="35" t="s">
        <v>60</v>
      </c>
      <c r="C508" s="315">
        <f>C$6</f>
        <v>32344836</v>
      </c>
      <c r="D508" s="315">
        <f t="shared" ref="D508:AP508" si="261">D$6</f>
        <v>32183111.82</v>
      </c>
      <c r="E508" s="315">
        <f t="shared" si="261"/>
        <v>32022196.260900002</v>
      </c>
      <c r="F508" s="315">
        <f t="shared" si="261"/>
        <v>31862085.279595502</v>
      </c>
      <c r="G508" s="315">
        <f t="shared" si="261"/>
        <v>31702774.853197526</v>
      </c>
      <c r="H508" s="315">
        <f t="shared" si="261"/>
        <v>31544260.978931539</v>
      </c>
      <c r="I508" s="315">
        <f t="shared" si="261"/>
        <v>31386539.674036879</v>
      </c>
      <c r="J508" s="315">
        <f t="shared" si="261"/>
        <v>31229606.975666694</v>
      </c>
      <c r="K508" s="315">
        <f t="shared" si="261"/>
        <v>31073458.940788362</v>
      </c>
      <c r="L508" s="315">
        <f t="shared" si="261"/>
        <v>30918091.64608442</v>
      </c>
      <c r="M508" s="315">
        <f t="shared" si="261"/>
        <v>30763501.187853999</v>
      </c>
      <c r="N508" s="315">
        <f t="shared" si="261"/>
        <v>30609683.681914728</v>
      </c>
      <c r="O508" s="315">
        <f t="shared" si="261"/>
        <v>30456635.263505157</v>
      </c>
      <c r="P508" s="315">
        <f t="shared" si="261"/>
        <v>30304352.087187633</v>
      </c>
      <c r="Q508" s="315">
        <f t="shared" si="261"/>
        <v>30152830.326751694</v>
      </c>
      <c r="R508" s="315">
        <f t="shared" si="261"/>
        <v>30002066.175117936</v>
      </c>
      <c r="S508" s="315">
        <f t="shared" si="261"/>
        <v>29852055.844242346</v>
      </c>
      <c r="T508" s="315">
        <f t="shared" si="261"/>
        <v>29702795.565021131</v>
      </c>
      <c r="U508" s="315">
        <f t="shared" si="261"/>
        <v>29554281.587196026</v>
      </c>
      <c r="V508" s="315">
        <f t="shared" si="261"/>
        <v>29406510.179260045</v>
      </c>
      <c r="W508" s="315">
        <f t="shared" si="261"/>
        <v>29259477.628363747</v>
      </c>
      <c r="X508" s="315">
        <f t="shared" si="261"/>
        <v>29113180.240221929</v>
      </c>
      <c r="Y508" s="315">
        <f t="shared" si="261"/>
        <v>28967614.339020818</v>
      </c>
      <c r="Z508" s="315">
        <f t="shared" si="261"/>
        <v>28822776.267325714</v>
      </c>
      <c r="AA508" s="315">
        <f t="shared" si="261"/>
        <v>28678662.385989085</v>
      </c>
      <c r="AB508" s="315">
        <f t="shared" si="261"/>
        <v>0</v>
      </c>
      <c r="AC508" s="315">
        <f t="shared" si="261"/>
        <v>0</v>
      </c>
      <c r="AD508" s="315">
        <f t="shared" si="261"/>
        <v>0</v>
      </c>
      <c r="AE508" s="315">
        <f t="shared" si="261"/>
        <v>0</v>
      </c>
      <c r="AF508" s="315">
        <f t="shared" si="261"/>
        <v>0</v>
      </c>
      <c r="AG508" s="315">
        <f t="shared" si="261"/>
        <v>0</v>
      </c>
      <c r="AH508" s="315">
        <f t="shared" si="261"/>
        <v>0</v>
      </c>
      <c r="AI508" s="315">
        <f t="shared" si="261"/>
        <v>0</v>
      </c>
      <c r="AJ508" s="315">
        <f t="shared" si="261"/>
        <v>0</v>
      </c>
      <c r="AK508" s="315">
        <f t="shared" si="261"/>
        <v>0</v>
      </c>
      <c r="AL508" s="315">
        <f t="shared" si="261"/>
        <v>0</v>
      </c>
      <c r="AM508" s="315">
        <f t="shared" si="261"/>
        <v>0</v>
      </c>
      <c r="AN508" s="315">
        <f t="shared" si="261"/>
        <v>0</v>
      </c>
      <c r="AO508" s="315">
        <f t="shared" si="261"/>
        <v>0</v>
      </c>
      <c r="AP508" s="315">
        <f t="shared" si="261"/>
        <v>0</v>
      </c>
    </row>
    <row r="509" spans="1:42" x14ac:dyDescent="0.2">
      <c r="A509" s="35" t="s">
        <v>21</v>
      </c>
      <c r="C509" s="352">
        <f>C507*C508</f>
        <v>0</v>
      </c>
      <c r="D509" s="352">
        <f t="shared" ref="D509:AP509" si="262">D507*D508</f>
        <v>0</v>
      </c>
      <c r="E509" s="352">
        <f t="shared" si="262"/>
        <v>0</v>
      </c>
      <c r="F509" s="352">
        <f t="shared" si="262"/>
        <v>0</v>
      </c>
      <c r="G509" s="352">
        <f t="shared" si="262"/>
        <v>0</v>
      </c>
      <c r="H509" s="352">
        <f t="shared" si="262"/>
        <v>0</v>
      </c>
      <c r="I509" s="352">
        <f t="shared" si="262"/>
        <v>0</v>
      </c>
      <c r="J509" s="352">
        <f t="shared" si="262"/>
        <v>0</v>
      </c>
      <c r="K509" s="352">
        <f t="shared" si="262"/>
        <v>0</v>
      </c>
      <c r="L509" s="352">
        <f t="shared" si="262"/>
        <v>0</v>
      </c>
      <c r="M509" s="352">
        <f t="shared" si="262"/>
        <v>0</v>
      </c>
      <c r="N509" s="352">
        <f t="shared" si="262"/>
        <v>0</v>
      </c>
      <c r="O509" s="352">
        <f t="shared" si="262"/>
        <v>0</v>
      </c>
      <c r="P509" s="352">
        <f t="shared" si="262"/>
        <v>0</v>
      </c>
      <c r="Q509" s="352">
        <f t="shared" si="262"/>
        <v>0</v>
      </c>
      <c r="R509" s="352">
        <f t="shared" si="262"/>
        <v>0</v>
      </c>
      <c r="S509" s="352">
        <f t="shared" si="262"/>
        <v>0</v>
      </c>
      <c r="T509" s="352">
        <f t="shared" si="262"/>
        <v>0</v>
      </c>
      <c r="U509" s="352">
        <f t="shared" si="262"/>
        <v>0</v>
      </c>
      <c r="V509" s="352">
        <f t="shared" si="262"/>
        <v>0</v>
      </c>
      <c r="W509" s="352">
        <f t="shared" si="262"/>
        <v>0</v>
      </c>
      <c r="X509" s="352">
        <f t="shared" si="262"/>
        <v>0</v>
      </c>
      <c r="Y509" s="352">
        <f t="shared" si="262"/>
        <v>0</v>
      </c>
      <c r="Z509" s="352">
        <f t="shared" si="262"/>
        <v>0</v>
      </c>
      <c r="AA509" s="352">
        <f t="shared" si="262"/>
        <v>0</v>
      </c>
      <c r="AB509" s="352">
        <f t="shared" si="262"/>
        <v>0</v>
      </c>
      <c r="AC509" s="352">
        <f t="shared" si="262"/>
        <v>0</v>
      </c>
      <c r="AD509" s="352">
        <f t="shared" si="262"/>
        <v>0</v>
      </c>
      <c r="AE509" s="352">
        <f t="shared" si="262"/>
        <v>0</v>
      </c>
      <c r="AF509" s="352">
        <f t="shared" si="262"/>
        <v>0</v>
      </c>
      <c r="AG509" s="352">
        <f t="shared" si="262"/>
        <v>0</v>
      </c>
      <c r="AH509" s="352">
        <f t="shared" si="262"/>
        <v>0</v>
      </c>
      <c r="AI509" s="352">
        <f t="shared" si="262"/>
        <v>0</v>
      </c>
      <c r="AJ509" s="352">
        <f t="shared" si="262"/>
        <v>0</v>
      </c>
      <c r="AK509" s="352">
        <f t="shared" si="262"/>
        <v>0</v>
      </c>
      <c r="AL509" s="352">
        <f t="shared" si="262"/>
        <v>0</v>
      </c>
      <c r="AM509" s="352">
        <f t="shared" si="262"/>
        <v>0</v>
      </c>
      <c r="AN509" s="352">
        <f t="shared" si="262"/>
        <v>0</v>
      </c>
      <c r="AO509" s="352">
        <f t="shared" si="262"/>
        <v>0</v>
      </c>
      <c r="AP509" s="352">
        <f t="shared" si="262"/>
        <v>0</v>
      </c>
    </row>
    <row r="510" spans="1:42" x14ac:dyDescent="0.2">
      <c r="A510" s="31" t="str">
        <f>Inputs!B121</f>
        <v>State ($/kWh)</v>
      </c>
    </row>
    <row r="511" spans="1:42" x14ac:dyDescent="0.2">
      <c r="A511" s="35" t="s">
        <v>59</v>
      </c>
      <c r="C511" s="272">
        <f t="shared" ref="C511:AP511" si="263">IF(AND(C$2&lt;=pbi_sta_term,C$2&lt;=analysis_period),pbi_sta_amount*(1+pbi_sta_escal/100)^B$2,0)</f>
        <v>0</v>
      </c>
      <c r="D511" s="272">
        <f t="shared" si="263"/>
        <v>0</v>
      </c>
      <c r="E511" s="272">
        <f t="shared" si="263"/>
        <v>0</v>
      </c>
      <c r="F511" s="272">
        <f t="shared" si="263"/>
        <v>0</v>
      </c>
      <c r="G511" s="272">
        <f t="shared" si="263"/>
        <v>0</v>
      </c>
      <c r="H511" s="272">
        <f t="shared" si="263"/>
        <v>0</v>
      </c>
      <c r="I511" s="272">
        <f t="shared" si="263"/>
        <v>0</v>
      </c>
      <c r="J511" s="272">
        <f t="shared" si="263"/>
        <v>0</v>
      </c>
      <c r="K511" s="272">
        <f t="shared" si="263"/>
        <v>0</v>
      </c>
      <c r="L511" s="272">
        <f t="shared" si="263"/>
        <v>0</v>
      </c>
      <c r="M511" s="272">
        <f t="shared" si="263"/>
        <v>0</v>
      </c>
      <c r="N511" s="272">
        <f t="shared" si="263"/>
        <v>0</v>
      </c>
      <c r="O511" s="272">
        <f t="shared" si="263"/>
        <v>0</v>
      </c>
      <c r="P511" s="272">
        <f t="shared" si="263"/>
        <v>0</v>
      </c>
      <c r="Q511" s="272">
        <f t="shared" si="263"/>
        <v>0</v>
      </c>
      <c r="R511" s="272">
        <f t="shared" si="263"/>
        <v>0</v>
      </c>
      <c r="S511" s="272">
        <f t="shared" si="263"/>
        <v>0</v>
      </c>
      <c r="T511" s="272">
        <f t="shared" si="263"/>
        <v>0</v>
      </c>
      <c r="U511" s="272">
        <f t="shared" si="263"/>
        <v>0</v>
      </c>
      <c r="V511" s="272">
        <f t="shared" si="263"/>
        <v>0</v>
      </c>
      <c r="W511" s="272">
        <f t="shared" si="263"/>
        <v>0</v>
      </c>
      <c r="X511" s="272">
        <f t="shared" si="263"/>
        <v>0</v>
      </c>
      <c r="Y511" s="272">
        <f t="shared" si="263"/>
        <v>0</v>
      </c>
      <c r="Z511" s="272">
        <f t="shared" si="263"/>
        <v>0</v>
      </c>
      <c r="AA511" s="272">
        <f t="shared" si="263"/>
        <v>0</v>
      </c>
      <c r="AB511" s="272">
        <f t="shared" si="263"/>
        <v>0</v>
      </c>
      <c r="AC511" s="272">
        <f t="shared" si="263"/>
        <v>0</v>
      </c>
      <c r="AD511" s="272">
        <f t="shared" si="263"/>
        <v>0</v>
      </c>
      <c r="AE511" s="272">
        <f t="shared" si="263"/>
        <v>0</v>
      </c>
      <c r="AF511" s="272">
        <f t="shared" si="263"/>
        <v>0</v>
      </c>
      <c r="AG511" s="272">
        <f t="shared" si="263"/>
        <v>0</v>
      </c>
      <c r="AH511" s="272">
        <f t="shared" si="263"/>
        <v>0</v>
      </c>
      <c r="AI511" s="272">
        <f t="shared" si="263"/>
        <v>0</v>
      </c>
      <c r="AJ511" s="272">
        <f t="shared" si="263"/>
        <v>0</v>
      </c>
      <c r="AK511" s="272">
        <f t="shared" si="263"/>
        <v>0</v>
      </c>
      <c r="AL511" s="272">
        <f t="shared" si="263"/>
        <v>0</v>
      </c>
      <c r="AM511" s="272">
        <f t="shared" si="263"/>
        <v>0</v>
      </c>
      <c r="AN511" s="272">
        <f t="shared" si="263"/>
        <v>0</v>
      </c>
      <c r="AO511" s="272">
        <f t="shared" si="263"/>
        <v>0</v>
      </c>
      <c r="AP511" s="272">
        <f t="shared" si="263"/>
        <v>0</v>
      </c>
    </row>
    <row r="512" spans="1:42" x14ac:dyDescent="0.2">
      <c r="A512" s="35" t="s">
        <v>60</v>
      </c>
      <c r="C512" s="315">
        <f>C$6</f>
        <v>32344836</v>
      </c>
      <c r="D512" s="315">
        <f t="shared" ref="D512:AP512" si="264">D$6</f>
        <v>32183111.82</v>
      </c>
      <c r="E512" s="315">
        <f t="shared" si="264"/>
        <v>32022196.260900002</v>
      </c>
      <c r="F512" s="315">
        <f t="shared" si="264"/>
        <v>31862085.279595502</v>
      </c>
      <c r="G512" s="315">
        <f t="shared" si="264"/>
        <v>31702774.853197526</v>
      </c>
      <c r="H512" s="315">
        <f t="shared" si="264"/>
        <v>31544260.978931539</v>
      </c>
      <c r="I512" s="315">
        <f t="shared" si="264"/>
        <v>31386539.674036879</v>
      </c>
      <c r="J512" s="315">
        <f t="shared" si="264"/>
        <v>31229606.975666694</v>
      </c>
      <c r="K512" s="315">
        <f t="shared" si="264"/>
        <v>31073458.940788362</v>
      </c>
      <c r="L512" s="315">
        <f t="shared" si="264"/>
        <v>30918091.64608442</v>
      </c>
      <c r="M512" s="315">
        <f t="shared" si="264"/>
        <v>30763501.187853999</v>
      </c>
      <c r="N512" s="315">
        <f t="shared" si="264"/>
        <v>30609683.681914728</v>
      </c>
      <c r="O512" s="315">
        <f t="shared" si="264"/>
        <v>30456635.263505157</v>
      </c>
      <c r="P512" s="315">
        <f t="shared" si="264"/>
        <v>30304352.087187633</v>
      </c>
      <c r="Q512" s="315">
        <f t="shared" si="264"/>
        <v>30152830.326751694</v>
      </c>
      <c r="R512" s="315">
        <f t="shared" si="264"/>
        <v>30002066.175117936</v>
      </c>
      <c r="S512" s="315">
        <f t="shared" si="264"/>
        <v>29852055.844242346</v>
      </c>
      <c r="T512" s="315">
        <f t="shared" si="264"/>
        <v>29702795.565021131</v>
      </c>
      <c r="U512" s="315">
        <f t="shared" si="264"/>
        <v>29554281.587196026</v>
      </c>
      <c r="V512" s="315">
        <f t="shared" si="264"/>
        <v>29406510.179260045</v>
      </c>
      <c r="W512" s="315">
        <f t="shared" si="264"/>
        <v>29259477.628363747</v>
      </c>
      <c r="X512" s="315">
        <f t="shared" si="264"/>
        <v>29113180.240221929</v>
      </c>
      <c r="Y512" s="315">
        <f t="shared" si="264"/>
        <v>28967614.339020818</v>
      </c>
      <c r="Z512" s="315">
        <f t="shared" si="264"/>
        <v>28822776.267325714</v>
      </c>
      <c r="AA512" s="315">
        <f t="shared" si="264"/>
        <v>28678662.385989085</v>
      </c>
      <c r="AB512" s="315">
        <f t="shared" si="264"/>
        <v>0</v>
      </c>
      <c r="AC512" s="315">
        <f t="shared" si="264"/>
        <v>0</v>
      </c>
      <c r="AD512" s="315">
        <f t="shared" si="264"/>
        <v>0</v>
      </c>
      <c r="AE512" s="315">
        <f t="shared" si="264"/>
        <v>0</v>
      </c>
      <c r="AF512" s="315">
        <f t="shared" si="264"/>
        <v>0</v>
      </c>
      <c r="AG512" s="315">
        <f t="shared" si="264"/>
        <v>0</v>
      </c>
      <c r="AH512" s="315">
        <f t="shared" si="264"/>
        <v>0</v>
      </c>
      <c r="AI512" s="315">
        <f t="shared" si="264"/>
        <v>0</v>
      </c>
      <c r="AJ512" s="315">
        <f t="shared" si="264"/>
        <v>0</v>
      </c>
      <c r="AK512" s="315">
        <f t="shared" si="264"/>
        <v>0</v>
      </c>
      <c r="AL512" s="315">
        <f t="shared" si="264"/>
        <v>0</v>
      </c>
      <c r="AM512" s="315">
        <f t="shared" si="264"/>
        <v>0</v>
      </c>
      <c r="AN512" s="315">
        <f t="shared" si="264"/>
        <v>0</v>
      </c>
      <c r="AO512" s="315">
        <f t="shared" si="264"/>
        <v>0</v>
      </c>
      <c r="AP512" s="315">
        <f t="shared" si="264"/>
        <v>0</v>
      </c>
    </row>
    <row r="513" spans="1:42" x14ac:dyDescent="0.2">
      <c r="A513" s="35" t="s">
        <v>21</v>
      </c>
      <c r="C513" s="352">
        <f>C511*C512</f>
        <v>0</v>
      </c>
      <c r="D513" s="352">
        <f t="shared" ref="D513:AP513" si="265">D511*D512</f>
        <v>0</v>
      </c>
      <c r="E513" s="352">
        <f t="shared" si="265"/>
        <v>0</v>
      </c>
      <c r="F513" s="352">
        <f t="shared" si="265"/>
        <v>0</v>
      </c>
      <c r="G513" s="352">
        <f t="shared" si="265"/>
        <v>0</v>
      </c>
      <c r="H513" s="352">
        <f t="shared" si="265"/>
        <v>0</v>
      </c>
      <c r="I513" s="352">
        <f t="shared" si="265"/>
        <v>0</v>
      </c>
      <c r="J513" s="352">
        <f t="shared" si="265"/>
        <v>0</v>
      </c>
      <c r="K513" s="352">
        <f t="shared" si="265"/>
        <v>0</v>
      </c>
      <c r="L513" s="352">
        <f t="shared" si="265"/>
        <v>0</v>
      </c>
      <c r="M513" s="352">
        <f t="shared" si="265"/>
        <v>0</v>
      </c>
      <c r="N513" s="352">
        <f t="shared" si="265"/>
        <v>0</v>
      </c>
      <c r="O513" s="352">
        <f t="shared" si="265"/>
        <v>0</v>
      </c>
      <c r="P513" s="352">
        <f t="shared" si="265"/>
        <v>0</v>
      </c>
      <c r="Q513" s="352">
        <f t="shared" si="265"/>
        <v>0</v>
      </c>
      <c r="R513" s="352">
        <f t="shared" si="265"/>
        <v>0</v>
      </c>
      <c r="S513" s="352">
        <f t="shared" si="265"/>
        <v>0</v>
      </c>
      <c r="T513" s="352">
        <f t="shared" si="265"/>
        <v>0</v>
      </c>
      <c r="U513" s="352">
        <f t="shared" si="265"/>
        <v>0</v>
      </c>
      <c r="V513" s="352">
        <f t="shared" si="265"/>
        <v>0</v>
      </c>
      <c r="W513" s="352">
        <f t="shared" si="265"/>
        <v>0</v>
      </c>
      <c r="X513" s="352">
        <f t="shared" si="265"/>
        <v>0</v>
      </c>
      <c r="Y513" s="352">
        <f t="shared" si="265"/>
        <v>0</v>
      </c>
      <c r="Z513" s="352">
        <f t="shared" si="265"/>
        <v>0</v>
      </c>
      <c r="AA513" s="352">
        <f t="shared" si="265"/>
        <v>0</v>
      </c>
      <c r="AB513" s="352">
        <f t="shared" si="265"/>
        <v>0</v>
      </c>
      <c r="AC513" s="352">
        <f t="shared" si="265"/>
        <v>0</v>
      </c>
      <c r="AD513" s="352">
        <f t="shared" si="265"/>
        <v>0</v>
      </c>
      <c r="AE513" s="352">
        <f t="shared" si="265"/>
        <v>0</v>
      </c>
      <c r="AF513" s="352">
        <f t="shared" si="265"/>
        <v>0</v>
      </c>
      <c r="AG513" s="352">
        <f t="shared" si="265"/>
        <v>0</v>
      </c>
      <c r="AH513" s="352">
        <f t="shared" si="265"/>
        <v>0</v>
      </c>
      <c r="AI513" s="352">
        <f t="shared" si="265"/>
        <v>0</v>
      </c>
      <c r="AJ513" s="352">
        <f t="shared" si="265"/>
        <v>0</v>
      </c>
      <c r="AK513" s="352">
        <f t="shared" si="265"/>
        <v>0</v>
      </c>
      <c r="AL513" s="352">
        <f t="shared" si="265"/>
        <v>0</v>
      </c>
      <c r="AM513" s="352">
        <f t="shared" si="265"/>
        <v>0</v>
      </c>
      <c r="AN513" s="352">
        <f t="shared" si="265"/>
        <v>0</v>
      </c>
      <c r="AO513" s="352">
        <f t="shared" si="265"/>
        <v>0</v>
      </c>
      <c r="AP513" s="352">
        <f t="shared" si="265"/>
        <v>0</v>
      </c>
    </row>
    <row r="514" spans="1:42" x14ac:dyDescent="0.2">
      <c r="A514" s="31" t="str">
        <f>Inputs!B122</f>
        <v>Utility ($/kWh)</v>
      </c>
    </row>
    <row r="515" spans="1:42" x14ac:dyDescent="0.2">
      <c r="A515" s="35" t="s">
        <v>59</v>
      </c>
      <c r="C515" s="272">
        <f t="shared" ref="C515:AP515" si="266">IF(AND(C$2&lt;=pbi_uti_term,C$2&lt;=analysis_period),pbi_uti_amount*(1+pbi_uti_escal/100)^B$2,0)</f>
        <v>0</v>
      </c>
      <c r="D515" s="272">
        <f t="shared" si="266"/>
        <v>0</v>
      </c>
      <c r="E515" s="272">
        <f t="shared" si="266"/>
        <v>0</v>
      </c>
      <c r="F515" s="272">
        <f t="shared" si="266"/>
        <v>0</v>
      </c>
      <c r="G515" s="272">
        <f t="shared" si="266"/>
        <v>0</v>
      </c>
      <c r="H515" s="272">
        <f t="shared" si="266"/>
        <v>0</v>
      </c>
      <c r="I515" s="272">
        <f t="shared" si="266"/>
        <v>0</v>
      </c>
      <c r="J515" s="272">
        <f t="shared" si="266"/>
        <v>0</v>
      </c>
      <c r="K515" s="272">
        <f t="shared" si="266"/>
        <v>0</v>
      </c>
      <c r="L515" s="272">
        <f t="shared" si="266"/>
        <v>0</v>
      </c>
      <c r="M515" s="272">
        <f t="shared" si="266"/>
        <v>0</v>
      </c>
      <c r="N515" s="272">
        <f t="shared" si="266"/>
        <v>0</v>
      </c>
      <c r="O515" s="272">
        <f t="shared" si="266"/>
        <v>0</v>
      </c>
      <c r="P515" s="272">
        <f t="shared" si="266"/>
        <v>0</v>
      </c>
      <c r="Q515" s="272">
        <f t="shared" si="266"/>
        <v>0</v>
      </c>
      <c r="R515" s="272">
        <f t="shared" si="266"/>
        <v>0</v>
      </c>
      <c r="S515" s="272">
        <f t="shared" si="266"/>
        <v>0</v>
      </c>
      <c r="T515" s="272">
        <f t="shared" si="266"/>
        <v>0</v>
      </c>
      <c r="U515" s="272">
        <f t="shared" si="266"/>
        <v>0</v>
      </c>
      <c r="V515" s="272">
        <f t="shared" si="266"/>
        <v>0</v>
      </c>
      <c r="W515" s="272">
        <f t="shared" si="266"/>
        <v>0</v>
      </c>
      <c r="X515" s="272">
        <f t="shared" si="266"/>
        <v>0</v>
      </c>
      <c r="Y515" s="272">
        <f t="shared" si="266"/>
        <v>0</v>
      </c>
      <c r="Z515" s="272">
        <f t="shared" si="266"/>
        <v>0</v>
      </c>
      <c r="AA515" s="272">
        <f t="shared" si="266"/>
        <v>0</v>
      </c>
      <c r="AB515" s="272">
        <f t="shared" si="266"/>
        <v>0</v>
      </c>
      <c r="AC515" s="272">
        <f t="shared" si="266"/>
        <v>0</v>
      </c>
      <c r="AD515" s="272">
        <f t="shared" si="266"/>
        <v>0</v>
      </c>
      <c r="AE515" s="272">
        <f t="shared" si="266"/>
        <v>0</v>
      </c>
      <c r="AF515" s="272">
        <f t="shared" si="266"/>
        <v>0</v>
      </c>
      <c r="AG515" s="272">
        <f t="shared" si="266"/>
        <v>0</v>
      </c>
      <c r="AH515" s="272">
        <f t="shared" si="266"/>
        <v>0</v>
      </c>
      <c r="AI515" s="272">
        <f t="shared" si="266"/>
        <v>0</v>
      </c>
      <c r="AJ515" s="272">
        <f t="shared" si="266"/>
        <v>0</v>
      </c>
      <c r="AK515" s="272">
        <f t="shared" si="266"/>
        <v>0</v>
      </c>
      <c r="AL515" s="272">
        <f t="shared" si="266"/>
        <v>0</v>
      </c>
      <c r="AM515" s="272">
        <f t="shared" si="266"/>
        <v>0</v>
      </c>
      <c r="AN515" s="272">
        <f t="shared" si="266"/>
        <v>0</v>
      </c>
      <c r="AO515" s="272">
        <f t="shared" si="266"/>
        <v>0</v>
      </c>
      <c r="AP515" s="272">
        <f t="shared" si="266"/>
        <v>0</v>
      </c>
    </row>
    <row r="516" spans="1:42" x14ac:dyDescent="0.2">
      <c r="A516" s="35" t="s">
        <v>60</v>
      </c>
      <c r="C516" s="315">
        <f>C$6</f>
        <v>32344836</v>
      </c>
      <c r="D516" s="315">
        <f t="shared" ref="D516:AP516" si="267">D$6</f>
        <v>32183111.82</v>
      </c>
      <c r="E516" s="315">
        <f t="shared" si="267"/>
        <v>32022196.260900002</v>
      </c>
      <c r="F516" s="315">
        <f t="shared" si="267"/>
        <v>31862085.279595502</v>
      </c>
      <c r="G516" s="315">
        <f t="shared" si="267"/>
        <v>31702774.853197526</v>
      </c>
      <c r="H516" s="315">
        <f t="shared" si="267"/>
        <v>31544260.978931539</v>
      </c>
      <c r="I516" s="315">
        <f t="shared" si="267"/>
        <v>31386539.674036879</v>
      </c>
      <c r="J516" s="315">
        <f t="shared" si="267"/>
        <v>31229606.975666694</v>
      </c>
      <c r="K516" s="315">
        <f t="shared" si="267"/>
        <v>31073458.940788362</v>
      </c>
      <c r="L516" s="315">
        <f t="shared" si="267"/>
        <v>30918091.64608442</v>
      </c>
      <c r="M516" s="315">
        <f t="shared" si="267"/>
        <v>30763501.187853999</v>
      </c>
      <c r="N516" s="315">
        <f t="shared" si="267"/>
        <v>30609683.681914728</v>
      </c>
      <c r="O516" s="315">
        <f t="shared" si="267"/>
        <v>30456635.263505157</v>
      </c>
      <c r="P516" s="315">
        <f t="shared" si="267"/>
        <v>30304352.087187633</v>
      </c>
      <c r="Q516" s="315">
        <f t="shared" si="267"/>
        <v>30152830.326751694</v>
      </c>
      <c r="R516" s="315">
        <f t="shared" si="267"/>
        <v>30002066.175117936</v>
      </c>
      <c r="S516" s="315">
        <f t="shared" si="267"/>
        <v>29852055.844242346</v>
      </c>
      <c r="T516" s="315">
        <f t="shared" si="267"/>
        <v>29702795.565021131</v>
      </c>
      <c r="U516" s="315">
        <f t="shared" si="267"/>
        <v>29554281.587196026</v>
      </c>
      <c r="V516" s="315">
        <f t="shared" si="267"/>
        <v>29406510.179260045</v>
      </c>
      <c r="W516" s="315">
        <f t="shared" si="267"/>
        <v>29259477.628363747</v>
      </c>
      <c r="X516" s="315">
        <f t="shared" si="267"/>
        <v>29113180.240221929</v>
      </c>
      <c r="Y516" s="315">
        <f t="shared" si="267"/>
        <v>28967614.339020818</v>
      </c>
      <c r="Z516" s="315">
        <f t="shared" si="267"/>
        <v>28822776.267325714</v>
      </c>
      <c r="AA516" s="315">
        <f t="shared" si="267"/>
        <v>28678662.385989085</v>
      </c>
      <c r="AB516" s="315">
        <f t="shared" si="267"/>
        <v>0</v>
      </c>
      <c r="AC516" s="315">
        <f t="shared" si="267"/>
        <v>0</v>
      </c>
      <c r="AD516" s="315">
        <f t="shared" si="267"/>
        <v>0</v>
      </c>
      <c r="AE516" s="315">
        <f t="shared" si="267"/>
        <v>0</v>
      </c>
      <c r="AF516" s="315">
        <f t="shared" si="267"/>
        <v>0</v>
      </c>
      <c r="AG516" s="315">
        <f t="shared" si="267"/>
        <v>0</v>
      </c>
      <c r="AH516" s="315">
        <f t="shared" si="267"/>
        <v>0</v>
      </c>
      <c r="AI516" s="315">
        <f t="shared" si="267"/>
        <v>0</v>
      </c>
      <c r="AJ516" s="315">
        <f t="shared" si="267"/>
        <v>0</v>
      </c>
      <c r="AK516" s="315">
        <f t="shared" si="267"/>
        <v>0</v>
      </c>
      <c r="AL516" s="315">
        <f t="shared" si="267"/>
        <v>0</v>
      </c>
      <c r="AM516" s="315">
        <f t="shared" si="267"/>
        <v>0</v>
      </c>
      <c r="AN516" s="315">
        <f t="shared" si="267"/>
        <v>0</v>
      </c>
      <c r="AO516" s="315">
        <f t="shared" si="267"/>
        <v>0</v>
      </c>
      <c r="AP516" s="315">
        <f t="shared" si="267"/>
        <v>0</v>
      </c>
    </row>
    <row r="517" spans="1:42" x14ac:dyDescent="0.2">
      <c r="A517" s="35" t="s">
        <v>21</v>
      </c>
      <c r="C517" s="352">
        <f>C515*C516</f>
        <v>0</v>
      </c>
      <c r="D517" s="352">
        <f t="shared" ref="D517:AP517" si="268">D515*D516</f>
        <v>0</v>
      </c>
      <c r="E517" s="352">
        <f t="shared" si="268"/>
        <v>0</v>
      </c>
      <c r="F517" s="352">
        <f t="shared" si="268"/>
        <v>0</v>
      </c>
      <c r="G517" s="352">
        <f t="shared" si="268"/>
        <v>0</v>
      </c>
      <c r="H517" s="352">
        <f t="shared" si="268"/>
        <v>0</v>
      </c>
      <c r="I517" s="352">
        <f t="shared" si="268"/>
        <v>0</v>
      </c>
      <c r="J517" s="352">
        <f t="shared" si="268"/>
        <v>0</v>
      </c>
      <c r="K517" s="352">
        <f t="shared" si="268"/>
        <v>0</v>
      </c>
      <c r="L517" s="352">
        <f t="shared" si="268"/>
        <v>0</v>
      </c>
      <c r="M517" s="352">
        <f t="shared" si="268"/>
        <v>0</v>
      </c>
      <c r="N517" s="352">
        <f t="shared" si="268"/>
        <v>0</v>
      </c>
      <c r="O517" s="352">
        <f t="shared" si="268"/>
        <v>0</v>
      </c>
      <c r="P517" s="352">
        <f t="shared" si="268"/>
        <v>0</v>
      </c>
      <c r="Q517" s="352">
        <f t="shared" si="268"/>
        <v>0</v>
      </c>
      <c r="R517" s="352">
        <f t="shared" si="268"/>
        <v>0</v>
      </c>
      <c r="S517" s="352">
        <f t="shared" si="268"/>
        <v>0</v>
      </c>
      <c r="T517" s="352">
        <f t="shared" si="268"/>
        <v>0</v>
      </c>
      <c r="U517" s="352">
        <f t="shared" si="268"/>
        <v>0</v>
      </c>
      <c r="V517" s="352">
        <f t="shared" si="268"/>
        <v>0</v>
      </c>
      <c r="W517" s="352">
        <f t="shared" si="268"/>
        <v>0</v>
      </c>
      <c r="X517" s="352">
        <f t="shared" si="268"/>
        <v>0</v>
      </c>
      <c r="Y517" s="352">
        <f t="shared" si="268"/>
        <v>0</v>
      </c>
      <c r="Z517" s="352">
        <f t="shared" si="268"/>
        <v>0</v>
      </c>
      <c r="AA517" s="352">
        <f t="shared" si="268"/>
        <v>0</v>
      </c>
      <c r="AB517" s="352">
        <f t="shared" si="268"/>
        <v>0</v>
      </c>
      <c r="AC517" s="352">
        <f t="shared" si="268"/>
        <v>0</v>
      </c>
      <c r="AD517" s="352">
        <f t="shared" si="268"/>
        <v>0</v>
      </c>
      <c r="AE517" s="352">
        <f t="shared" si="268"/>
        <v>0</v>
      </c>
      <c r="AF517" s="352">
        <f t="shared" si="268"/>
        <v>0</v>
      </c>
      <c r="AG517" s="352">
        <f t="shared" si="268"/>
        <v>0</v>
      </c>
      <c r="AH517" s="352">
        <f t="shared" si="268"/>
        <v>0</v>
      </c>
      <c r="AI517" s="352">
        <f t="shared" si="268"/>
        <v>0</v>
      </c>
      <c r="AJ517" s="352">
        <f t="shared" si="268"/>
        <v>0</v>
      </c>
      <c r="AK517" s="352">
        <f t="shared" si="268"/>
        <v>0</v>
      </c>
      <c r="AL517" s="352">
        <f t="shared" si="268"/>
        <v>0</v>
      </c>
      <c r="AM517" s="352">
        <f t="shared" si="268"/>
        <v>0</v>
      </c>
      <c r="AN517" s="352">
        <f t="shared" si="268"/>
        <v>0</v>
      </c>
      <c r="AO517" s="352">
        <f t="shared" si="268"/>
        <v>0</v>
      </c>
      <c r="AP517" s="352">
        <f t="shared" si="268"/>
        <v>0</v>
      </c>
    </row>
    <row r="518" spans="1:42" x14ac:dyDescent="0.2">
      <c r="A518" s="31" t="str">
        <f>Inputs!B123</f>
        <v>Other ($/kWh)</v>
      </c>
    </row>
    <row r="519" spans="1:42" x14ac:dyDescent="0.2">
      <c r="A519" s="35" t="s">
        <v>59</v>
      </c>
      <c r="C519" s="285">
        <f t="shared" ref="C519:AP519" si="269">IF(AND(C$2&lt;=pbi_oth_term,C$2&lt;=analysis_period),pbi_oth_amount*(1+pbi_oth_escal/100)^B$2,0)</f>
        <v>0</v>
      </c>
      <c r="D519" s="285">
        <f t="shared" si="269"/>
        <v>0</v>
      </c>
      <c r="E519" s="285">
        <f t="shared" si="269"/>
        <v>0</v>
      </c>
      <c r="F519" s="285">
        <f t="shared" si="269"/>
        <v>0</v>
      </c>
      <c r="G519" s="285">
        <f t="shared" si="269"/>
        <v>0</v>
      </c>
      <c r="H519" s="285">
        <f t="shared" si="269"/>
        <v>0</v>
      </c>
      <c r="I519" s="285">
        <f t="shared" si="269"/>
        <v>0</v>
      </c>
      <c r="J519" s="285">
        <f t="shared" si="269"/>
        <v>0</v>
      </c>
      <c r="K519" s="285">
        <f t="shared" si="269"/>
        <v>0</v>
      </c>
      <c r="L519" s="285">
        <f t="shared" si="269"/>
        <v>0</v>
      </c>
      <c r="M519" s="285">
        <f t="shared" si="269"/>
        <v>0</v>
      </c>
      <c r="N519" s="285">
        <f t="shared" si="269"/>
        <v>0</v>
      </c>
      <c r="O519" s="285">
        <f t="shared" si="269"/>
        <v>0</v>
      </c>
      <c r="P519" s="285">
        <f t="shared" si="269"/>
        <v>0</v>
      </c>
      <c r="Q519" s="285">
        <f t="shared" si="269"/>
        <v>0</v>
      </c>
      <c r="R519" s="285">
        <f t="shared" si="269"/>
        <v>0</v>
      </c>
      <c r="S519" s="285">
        <f t="shared" si="269"/>
        <v>0</v>
      </c>
      <c r="T519" s="285">
        <f t="shared" si="269"/>
        <v>0</v>
      </c>
      <c r="U519" s="285">
        <f t="shared" si="269"/>
        <v>0</v>
      </c>
      <c r="V519" s="285">
        <f t="shared" si="269"/>
        <v>0</v>
      </c>
      <c r="W519" s="285">
        <f t="shared" si="269"/>
        <v>0</v>
      </c>
      <c r="X519" s="285">
        <f t="shared" si="269"/>
        <v>0</v>
      </c>
      <c r="Y519" s="285">
        <f t="shared" si="269"/>
        <v>0</v>
      </c>
      <c r="Z519" s="285">
        <f t="shared" si="269"/>
        <v>0</v>
      </c>
      <c r="AA519" s="285">
        <f t="shared" si="269"/>
        <v>0</v>
      </c>
      <c r="AB519" s="285">
        <f t="shared" si="269"/>
        <v>0</v>
      </c>
      <c r="AC519" s="285">
        <f t="shared" si="269"/>
        <v>0</v>
      </c>
      <c r="AD519" s="285">
        <f t="shared" si="269"/>
        <v>0</v>
      </c>
      <c r="AE519" s="285">
        <f t="shared" si="269"/>
        <v>0</v>
      </c>
      <c r="AF519" s="285">
        <f t="shared" si="269"/>
        <v>0</v>
      </c>
      <c r="AG519" s="285">
        <f t="shared" si="269"/>
        <v>0</v>
      </c>
      <c r="AH519" s="285">
        <f t="shared" si="269"/>
        <v>0</v>
      </c>
      <c r="AI519" s="285">
        <f t="shared" si="269"/>
        <v>0</v>
      </c>
      <c r="AJ519" s="285">
        <f t="shared" si="269"/>
        <v>0</v>
      </c>
      <c r="AK519" s="285">
        <f t="shared" si="269"/>
        <v>0</v>
      </c>
      <c r="AL519" s="285">
        <f t="shared" si="269"/>
        <v>0</v>
      </c>
      <c r="AM519" s="285">
        <f t="shared" si="269"/>
        <v>0</v>
      </c>
      <c r="AN519" s="285">
        <f t="shared" si="269"/>
        <v>0</v>
      </c>
      <c r="AO519" s="285">
        <f t="shared" si="269"/>
        <v>0</v>
      </c>
      <c r="AP519" s="285">
        <f t="shared" si="269"/>
        <v>0</v>
      </c>
    </row>
    <row r="520" spans="1:42" x14ac:dyDescent="0.2">
      <c r="A520" s="35" t="s">
        <v>60</v>
      </c>
      <c r="C520" s="315">
        <f>C$6</f>
        <v>32344836</v>
      </c>
      <c r="D520" s="315">
        <f t="shared" ref="D520:AP520" si="270">D$6</f>
        <v>32183111.82</v>
      </c>
      <c r="E520" s="315">
        <f t="shared" si="270"/>
        <v>32022196.260900002</v>
      </c>
      <c r="F520" s="315">
        <f t="shared" si="270"/>
        <v>31862085.279595502</v>
      </c>
      <c r="G520" s="315">
        <f t="shared" si="270"/>
        <v>31702774.853197526</v>
      </c>
      <c r="H520" s="315">
        <f t="shared" si="270"/>
        <v>31544260.978931539</v>
      </c>
      <c r="I520" s="315">
        <f t="shared" si="270"/>
        <v>31386539.674036879</v>
      </c>
      <c r="J520" s="315">
        <f t="shared" si="270"/>
        <v>31229606.975666694</v>
      </c>
      <c r="K520" s="315">
        <f t="shared" si="270"/>
        <v>31073458.940788362</v>
      </c>
      <c r="L520" s="315">
        <f t="shared" si="270"/>
        <v>30918091.64608442</v>
      </c>
      <c r="M520" s="315">
        <f t="shared" si="270"/>
        <v>30763501.187853999</v>
      </c>
      <c r="N520" s="315">
        <f t="shared" si="270"/>
        <v>30609683.681914728</v>
      </c>
      <c r="O520" s="315">
        <f t="shared" si="270"/>
        <v>30456635.263505157</v>
      </c>
      <c r="P520" s="315">
        <f t="shared" si="270"/>
        <v>30304352.087187633</v>
      </c>
      <c r="Q520" s="315">
        <f t="shared" si="270"/>
        <v>30152830.326751694</v>
      </c>
      <c r="R520" s="315">
        <f t="shared" si="270"/>
        <v>30002066.175117936</v>
      </c>
      <c r="S520" s="315">
        <f t="shared" si="270"/>
        <v>29852055.844242346</v>
      </c>
      <c r="T520" s="315">
        <f t="shared" si="270"/>
        <v>29702795.565021131</v>
      </c>
      <c r="U520" s="315">
        <f t="shared" si="270"/>
        <v>29554281.587196026</v>
      </c>
      <c r="V520" s="315">
        <f t="shared" si="270"/>
        <v>29406510.179260045</v>
      </c>
      <c r="W520" s="315">
        <f t="shared" si="270"/>
        <v>29259477.628363747</v>
      </c>
      <c r="X520" s="315">
        <f t="shared" si="270"/>
        <v>29113180.240221929</v>
      </c>
      <c r="Y520" s="315">
        <f t="shared" si="270"/>
        <v>28967614.339020818</v>
      </c>
      <c r="Z520" s="315">
        <f t="shared" si="270"/>
        <v>28822776.267325714</v>
      </c>
      <c r="AA520" s="315">
        <f t="shared" si="270"/>
        <v>28678662.385989085</v>
      </c>
      <c r="AB520" s="315">
        <f t="shared" si="270"/>
        <v>0</v>
      </c>
      <c r="AC520" s="315">
        <f t="shared" si="270"/>
        <v>0</v>
      </c>
      <c r="AD520" s="315">
        <f t="shared" si="270"/>
        <v>0</v>
      </c>
      <c r="AE520" s="315">
        <f t="shared" si="270"/>
        <v>0</v>
      </c>
      <c r="AF520" s="315">
        <f t="shared" si="270"/>
        <v>0</v>
      </c>
      <c r="AG520" s="315">
        <f t="shared" si="270"/>
        <v>0</v>
      </c>
      <c r="AH520" s="315">
        <f t="shared" si="270"/>
        <v>0</v>
      </c>
      <c r="AI520" s="315">
        <f t="shared" si="270"/>
        <v>0</v>
      </c>
      <c r="AJ520" s="315">
        <f t="shared" si="270"/>
        <v>0</v>
      </c>
      <c r="AK520" s="315">
        <f t="shared" si="270"/>
        <v>0</v>
      </c>
      <c r="AL520" s="315">
        <f t="shared" si="270"/>
        <v>0</v>
      </c>
      <c r="AM520" s="315">
        <f t="shared" si="270"/>
        <v>0</v>
      </c>
      <c r="AN520" s="315">
        <f t="shared" si="270"/>
        <v>0</v>
      </c>
      <c r="AO520" s="315">
        <f t="shared" si="270"/>
        <v>0</v>
      </c>
      <c r="AP520" s="315">
        <f t="shared" si="270"/>
        <v>0</v>
      </c>
    </row>
    <row r="521" spans="1:42" x14ac:dyDescent="0.2">
      <c r="A521" s="35" t="s">
        <v>21</v>
      </c>
      <c r="C521" s="352">
        <f>C519*C520</f>
        <v>0</v>
      </c>
      <c r="D521" s="352">
        <f t="shared" ref="D521:AP521" si="271">D519*D520</f>
        <v>0</v>
      </c>
      <c r="E521" s="352">
        <f t="shared" si="271"/>
        <v>0</v>
      </c>
      <c r="F521" s="352">
        <f t="shared" si="271"/>
        <v>0</v>
      </c>
      <c r="G521" s="352">
        <f t="shared" si="271"/>
        <v>0</v>
      </c>
      <c r="H521" s="352">
        <f t="shared" si="271"/>
        <v>0</v>
      </c>
      <c r="I521" s="352">
        <f t="shared" si="271"/>
        <v>0</v>
      </c>
      <c r="J521" s="352">
        <f t="shared" si="271"/>
        <v>0</v>
      </c>
      <c r="K521" s="352">
        <f t="shared" si="271"/>
        <v>0</v>
      </c>
      <c r="L521" s="352">
        <f t="shared" si="271"/>
        <v>0</v>
      </c>
      <c r="M521" s="352">
        <f t="shared" si="271"/>
        <v>0</v>
      </c>
      <c r="N521" s="352">
        <f t="shared" si="271"/>
        <v>0</v>
      </c>
      <c r="O521" s="352">
        <f t="shared" si="271"/>
        <v>0</v>
      </c>
      <c r="P521" s="352">
        <f t="shared" si="271"/>
        <v>0</v>
      </c>
      <c r="Q521" s="352">
        <f t="shared" si="271"/>
        <v>0</v>
      </c>
      <c r="R521" s="352">
        <f t="shared" si="271"/>
        <v>0</v>
      </c>
      <c r="S521" s="352">
        <f t="shared" si="271"/>
        <v>0</v>
      </c>
      <c r="T521" s="352">
        <f t="shared" si="271"/>
        <v>0</v>
      </c>
      <c r="U521" s="352">
        <f t="shared" si="271"/>
        <v>0</v>
      </c>
      <c r="V521" s="352">
        <f t="shared" si="271"/>
        <v>0</v>
      </c>
      <c r="W521" s="352">
        <f t="shared" si="271"/>
        <v>0</v>
      </c>
      <c r="X521" s="352">
        <f t="shared" si="271"/>
        <v>0</v>
      </c>
      <c r="Y521" s="352">
        <f t="shared" si="271"/>
        <v>0</v>
      </c>
      <c r="Z521" s="352">
        <f t="shared" si="271"/>
        <v>0</v>
      </c>
      <c r="AA521" s="352">
        <f t="shared" si="271"/>
        <v>0</v>
      </c>
      <c r="AB521" s="352">
        <f t="shared" si="271"/>
        <v>0</v>
      </c>
      <c r="AC521" s="352">
        <f t="shared" si="271"/>
        <v>0</v>
      </c>
      <c r="AD521" s="352">
        <f t="shared" si="271"/>
        <v>0</v>
      </c>
      <c r="AE521" s="352">
        <f t="shared" si="271"/>
        <v>0</v>
      </c>
      <c r="AF521" s="352">
        <f t="shared" si="271"/>
        <v>0</v>
      </c>
      <c r="AG521" s="352">
        <f t="shared" si="271"/>
        <v>0</v>
      </c>
      <c r="AH521" s="352">
        <f t="shared" si="271"/>
        <v>0</v>
      </c>
      <c r="AI521" s="352">
        <f t="shared" si="271"/>
        <v>0</v>
      </c>
      <c r="AJ521" s="352">
        <f t="shared" si="271"/>
        <v>0</v>
      </c>
      <c r="AK521" s="352">
        <f t="shared" si="271"/>
        <v>0</v>
      </c>
      <c r="AL521" s="352">
        <f t="shared" si="271"/>
        <v>0</v>
      </c>
      <c r="AM521" s="352">
        <f t="shared" si="271"/>
        <v>0</v>
      </c>
      <c r="AN521" s="352">
        <f t="shared" si="271"/>
        <v>0</v>
      </c>
      <c r="AO521" s="352">
        <f t="shared" si="271"/>
        <v>0</v>
      </c>
      <c r="AP521" s="352">
        <f t="shared" si="271"/>
        <v>0</v>
      </c>
    </row>
    <row r="522" spans="1:42" x14ac:dyDescent="0.2">
      <c r="C522" s="36"/>
      <c r="D522" s="36"/>
      <c r="E522" s="36"/>
      <c r="F522" s="36"/>
      <c r="G522" s="36"/>
      <c r="H522" s="36"/>
      <c r="I522" s="36"/>
      <c r="J522" s="36"/>
      <c r="K522" s="36"/>
      <c r="L522" s="36"/>
      <c r="M522" s="36"/>
      <c r="N522" s="36"/>
      <c r="O522" s="36"/>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row>
    <row r="523" spans="1:42" x14ac:dyDescent="0.2">
      <c r="A523" s="7" t="s">
        <v>21</v>
      </c>
      <c r="C523" s="358">
        <f>C509+C513+C517+C521</f>
        <v>0</v>
      </c>
      <c r="D523" s="358">
        <f t="shared" ref="D523:AP523" si="272">D509+D513+D517+D521</f>
        <v>0</v>
      </c>
      <c r="E523" s="358">
        <f t="shared" si="272"/>
        <v>0</v>
      </c>
      <c r="F523" s="358">
        <f t="shared" si="272"/>
        <v>0</v>
      </c>
      <c r="G523" s="358">
        <f t="shared" si="272"/>
        <v>0</v>
      </c>
      <c r="H523" s="358">
        <f t="shared" si="272"/>
        <v>0</v>
      </c>
      <c r="I523" s="358">
        <f t="shared" si="272"/>
        <v>0</v>
      </c>
      <c r="J523" s="358">
        <f t="shared" si="272"/>
        <v>0</v>
      </c>
      <c r="K523" s="358">
        <f t="shared" si="272"/>
        <v>0</v>
      </c>
      <c r="L523" s="358">
        <f t="shared" si="272"/>
        <v>0</v>
      </c>
      <c r="M523" s="358">
        <f t="shared" si="272"/>
        <v>0</v>
      </c>
      <c r="N523" s="358">
        <f t="shared" si="272"/>
        <v>0</v>
      </c>
      <c r="O523" s="358">
        <f t="shared" si="272"/>
        <v>0</v>
      </c>
      <c r="P523" s="358">
        <f t="shared" si="272"/>
        <v>0</v>
      </c>
      <c r="Q523" s="358">
        <f t="shared" si="272"/>
        <v>0</v>
      </c>
      <c r="R523" s="358">
        <f t="shared" si="272"/>
        <v>0</v>
      </c>
      <c r="S523" s="358">
        <f t="shared" si="272"/>
        <v>0</v>
      </c>
      <c r="T523" s="358">
        <f t="shared" si="272"/>
        <v>0</v>
      </c>
      <c r="U523" s="358">
        <f t="shared" si="272"/>
        <v>0</v>
      </c>
      <c r="V523" s="358">
        <f t="shared" si="272"/>
        <v>0</v>
      </c>
      <c r="W523" s="358">
        <f t="shared" si="272"/>
        <v>0</v>
      </c>
      <c r="X523" s="358">
        <f t="shared" si="272"/>
        <v>0</v>
      </c>
      <c r="Y523" s="358">
        <f t="shared" si="272"/>
        <v>0</v>
      </c>
      <c r="Z523" s="358">
        <f t="shared" si="272"/>
        <v>0</v>
      </c>
      <c r="AA523" s="358">
        <f t="shared" si="272"/>
        <v>0</v>
      </c>
      <c r="AB523" s="358">
        <f t="shared" si="272"/>
        <v>0</v>
      </c>
      <c r="AC523" s="358">
        <f t="shared" si="272"/>
        <v>0</v>
      </c>
      <c r="AD523" s="358">
        <f t="shared" si="272"/>
        <v>0</v>
      </c>
      <c r="AE523" s="358">
        <f t="shared" si="272"/>
        <v>0</v>
      </c>
      <c r="AF523" s="358">
        <f t="shared" si="272"/>
        <v>0</v>
      </c>
      <c r="AG523" s="358">
        <f t="shared" si="272"/>
        <v>0</v>
      </c>
      <c r="AH523" s="358">
        <f t="shared" si="272"/>
        <v>0</v>
      </c>
      <c r="AI523" s="358">
        <f t="shared" si="272"/>
        <v>0</v>
      </c>
      <c r="AJ523" s="358">
        <f t="shared" si="272"/>
        <v>0</v>
      </c>
      <c r="AK523" s="358">
        <f t="shared" si="272"/>
        <v>0</v>
      </c>
      <c r="AL523" s="358">
        <f t="shared" si="272"/>
        <v>0</v>
      </c>
      <c r="AM523" s="358">
        <f t="shared" si="272"/>
        <v>0</v>
      </c>
      <c r="AN523" s="358">
        <f t="shared" si="272"/>
        <v>0</v>
      </c>
      <c r="AO523" s="358">
        <f t="shared" si="272"/>
        <v>0</v>
      </c>
      <c r="AP523" s="358">
        <f t="shared" si="272"/>
        <v>0</v>
      </c>
    </row>
    <row r="525" spans="1:42" x14ac:dyDescent="0.2">
      <c r="A525" s="30" t="s">
        <v>38</v>
      </c>
    </row>
    <row r="526" spans="1:42" s="21" customFormat="1" x14ac:dyDescent="0.2">
      <c r="A526" s="31" t="s">
        <v>41</v>
      </c>
    </row>
    <row r="527" spans="1:42" s="21" customFormat="1" x14ac:dyDescent="0.2">
      <c r="A527" s="35" t="s">
        <v>39</v>
      </c>
      <c r="B527" s="359">
        <v>0</v>
      </c>
      <c r="C527" s="359">
        <f>B530</f>
        <v>39209469.661949515</v>
      </c>
      <c r="D527" s="359">
        <f t="shared" ref="D527:AP527" si="273">C530</f>
        <v>39375005.096579619</v>
      </c>
      <c r="E527" s="359">
        <f t="shared" si="273"/>
        <v>39533106.826975688</v>
      </c>
      <c r="F527" s="359">
        <f t="shared" si="273"/>
        <v>39684032.979771264</v>
      </c>
      <c r="G527" s="359">
        <f t="shared" si="273"/>
        <v>39828039.605922498</v>
      </c>
      <c r="H527" s="359">
        <f t="shared" si="273"/>
        <v>39965382.429486245</v>
      </c>
      <c r="I527" s="359">
        <f t="shared" si="273"/>
        <v>40096318.670933329</v>
      </c>
      <c r="J527" s="359">
        <f t="shared" si="273"/>
        <v>40221108.955711745</v>
      </c>
      <c r="K527" s="359">
        <f t="shared" si="273"/>
        <v>40340019.319487095</v>
      </c>
      <c r="L527" s="359">
        <f t="shared" si="273"/>
        <v>40453323.322271131</v>
      </c>
      <c r="M527" s="359">
        <f t="shared" si="273"/>
        <v>40561304.284509718</v>
      </c>
      <c r="N527" s="359">
        <f t="shared" si="273"/>
        <v>40664257.659144476</v>
      </c>
      <c r="O527" s="359">
        <f t="shared" si="273"/>
        <v>40762493.554694653</v>
      </c>
      <c r="P527" s="359">
        <f t="shared" si="273"/>
        <v>40926173.37996643</v>
      </c>
      <c r="Q527" s="359">
        <f t="shared" si="273"/>
        <v>40926173.37996643</v>
      </c>
      <c r="R527" s="359">
        <f t="shared" si="273"/>
        <v>40926173.37996643</v>
      </c>
      <c r="S527" s="359">
        <f t="shared" si="273"/>
        <v>40926173.37996643</v>
      </c>
      <c r="T527" s="359">
        <f t="shared" si="273"/>
        <v>40926173.37996643</v>
      </c>
      <c r="U527" s="359">
        <f t="shared" si="273"/>
        <v>40926173.37996643</v>
      </c>
      <c r="V527" s="359">
        <f t="shared" si="273"/>
        <v>40926173.37996643</v>
      </c>
      <c r="W527" s="359">
        <f t="shared" si="273"/>
        <v>40926173.37996643</v>
      </c>
      <c r="X527" s="359">
        <f t="shared" si="273"/>
        <v>40926173.37996643</v>
      </c>
      <c r="Y527" s="359">
        <f t="shared" si="273"/>
        <v>40926173.37996643</v>
      </c>
      <c r="Z527" s="359">
        <f t="shared" si="273"/>
        <v>40926173.37996643</v>
      </c>
      <c r="AA527" s="359">
        <f t="shared" si="273"/>
        <v>40926173.37996643</v>
      </c>
      <c r="AB527" s="359">
        <f t="shared" si="273"/>
        <v>40926173.37996643</v>
      </c>
      <c r="AC527" s="359">
        <f t="shared" si="273"/>
        <v>40926173.37996643</v>
      </c>
      <c r="AD527" s="359">
        <f t="shared" si="273"/>
        <v>40926173.37996643</v>
      </c>
      <c r="AE527" s="359">
        <f t="shared" si="273"/>
        <v>40926173.37996643</v>
      </c>
      <c r="AF527" s="359">
        <f t="shared" si="273"/>
        <v>40926173.37996643</v>
      </c>
      <c r="AG527" s="359">
        <f t="shared" si="273"/>
        <v>40926173.37996643</v>
      </c>
      <c r="AH527" s="359">
        <f t="shared" si="273"/>
        <v>40926173.37996643</v>
      </c>
      <c r="AI527" s="359">
        <f t="shared" si="273"/>
        <v>40926173.37996643</v>
      </c>
      <c r="AJ527" s="359">
        <f t="shared" si="273"/>
        <v>40926173.37996643</v>
      </c>
      <c r="AK527" s="359">
        <f t="shared" si="273"/>
        <v>40926173.37996643</v>
      </c>
      <c r="AL527" s="359">
        <f t="shared" si="273"/>
        <v>40926173.37996643</v>
      </c>
      <c r="AM527" s="359">
        <f t="shared" si="273"/>
        <v>40926173.37996643</v>
      </c>
      <c r="AN527" s="359">
        <f t="shared" si="273"/>
        <v>40926173.37996643</v>
      </c>
      <c r="AO527" s="359">
        <f t="shared" si="273"/>
        <v>40926173.37996643</v>
      </c>
      <c r="AP527" s="359">
        <f t="shared" si="273"/>
        <v>40926173.37996643</v>
      </c>
    </row>
    <row r="528" spans="1:42" s="21" customFormat="1" x14ac:dyDescent="0.2">
      <c r="A528" s="35" t="s">
        <v>40</v>
      </c>
      <c r="B528" s="359">
        <f>B549</f>
        <v>39209469.661949515</v>
      </c>
      <c r="C528" s="359">
        <v>0</v>
      </c>
      <c r="D528" s="359">
        <v>0</v>
      </c>
      <c r="E528" s="359">
        <v>0</v>
      </c>
      <c r="F528" s="359">
        <v>0</v>
      </c>
      <c r="G528" s="359">
        <v>0</v>
      </c>
      <c r="H528" s="359">
        <v>0</v>
      </c>
      <c r="I528" s="359">
        <v>0</v>
      </c>
      <c r="J528" s="359">
        <v>0</v>
      </c>
      <c r="K528" s="359">
        <v>0</v>
      </c>
      <c r="L528" s="359">
        <v>0</v>
      </c>
      <c r="M528" s="359">
        <v>0</v>
      </c>
      <c r="N528" s="359">
        <v>0</v>
      </c>
      <c r="O528" s="359">
        <v>0</v>
      </c>
      <c r="P528" s="359">
        <v>0</v>
      </c>
      <c r="Q528" s="359">
        <v>0</v>
      </c>
      <c r="R528" s="359">
        <v>0</v>
      </c>
      <c r="S528" s="359">
        <v>0</v>
      </c>
      <c r="T528" s="359">
        <v>0</v>
      </c>
      <c r="U528" s="359">
        <v>0</v>
      </c>
      <c r="V528" s="359">
        <v>0</v>
      </c>
      <c r="W528" s="359">
        <v>0</v>
      </c>
      <c r="X528" s="359">
        <v>0</v>
      </c>
      <c r="Y528" s="359">
        <v>0</v>
      </c>
      <c r="Z528" s="359">
        <v>0</v>
      </c>
      <c r="AA528" s="359">
        <v>0</v>
      </c>
      <c r="AB528" s="359">
        <v>0</v>
      </c>
      <c r="AC528" s="359">
        <v>0</v>
      </c>
      <c r="AD528" s="359">
        <v>0</v>
      </c>
      <c r="AE528" s="359">
        <v>0</v>
      </c>
      <c r="AF528" s="359">
        <v>0</v>
      </c>
      <c r="AG528" s="359">
        <v>0</v>
      </c>
      <c r="AH528" s="359">
        <v>0</v>
      </c>
      <c r="AI528" s="359">
        <v>0</v>
      </c>
      <c r="AJ528" s="359">
        <v>0</v>
      </c>
      <c r="AK528" s="359">
        <v>0</v>
      </c>
      <c r="AL528" s="359">
        <v>0</v>
      </c>
      <c r="AM528" s="359">
        <v>0</v>
      </c>
      <c r="AN528" s="359">
        <v>0</v>
      </c>
      <c r="AO528" s="359">
        <v>0</v>
      </c>
      <c r="AP528" s="359">
        <v>0</v>
      </c>
    </row>
    <row r="529" spans="1:42" s="21" customFormat="1" x14ac:dyDescent="0.2">
      <c r="A529" s="35" t="s">
        <v>41</v>
      </c>
      <c r="B529" s="360">
        <v>0</v>
      </c>
      <c r="C529" s="360">
        <f>-C532</f>
        <v>165535.43463010155</v>
      </c>
      <c r="D529" s="360">
        <f t="shared" ref="D529:AP529" si="274">-D532</f>
        <v>158101.73039606726</v>
      </c>
      <c r="E529" s="360">
        <f t="shared" si="274"/>
        <v>150926.15279557323</v>
      </c>
      <c r="F529" s="360">
        <f t="shared" si="274"/>
        <v>144006.62615123577</v>
      </c>
      <c r="G529" s="360">
        <f t="shared" si="274"/>
        <v>137342.82356374757</v>
      </c>
      <c r="H529" s="360">
        <f t="shared" si="274"/>
        <v>130936.24144708226</v>
      </c>
      <c r="I529" s="360">
        <f t="shared" si="274"/>
        <v>124790.28477841662</v>
      </c>
      <c r="J529" s="360">
        <f t="shared" si="274"/>
        <v>118910.36377535295</v>
      </c>
      <c r="K529" s="360">
        <f t="shared" si="274"/>
        <v>113304.00278403936</v>
      </c>
      <c r="L529" s="360">
        <f t="shared" si="274"/>
        <v>107980.96223859116</v>
      </c>
      <c r="M529" s="360">
        <f t="shared" si="274"/>
        <v>102953.37463475624</v>
      </c>
      <c r="N529" s="360">
        <f t="shared" si="274"/>
        <v>98235.895550179295</v>
      </c>
      <c r="O529" s="360">
        <f t="shared" si="274"/>
        <v>163679.82527177734</v>
      </c>
      <c r="P529" s="360">
        <f t="shared" si="274"/>
        <v>0</v>
      </c>
      <c r="Q529" s="360">
        <f t="shared" si="274"/>
        <v>0</v>
      </c>
      <c r="R529" s="360">
        <f t="shared" si="274"/>
        <v>0</v>
      </c>
      <c r="S529" s="360">
        <f t="shared" si="274"/>
        <v>0</v>
      </c>
      <c r="T529" s="360">
        <f t="shared" si="274"/>
        <v>0</v>
      </c>
      <c r="U529" s="360">
        <f t="shared" si="274"/>
        <v>0</v>
      </c>
      <c r="V529" s="360">
        <f t="shared" si="274"/>
        <v>0</v>
      </c>
      <c r="W529" s="360">
        <f t="shared" si="274"/>
        <v>0</v>
      </c>
      <c r="X529" s="360">
        <f t="shared" si="274"/>
        <v>0</v>
      </c>
      <c r="Y529" s="360">
        <f t="shared" si="274"/>
        <v>0</v>
      </c>
      <c r="Z529" s="360">
        <f t="shared" si="274"/>
        <v>0</v>
      </c>
      <c r="AA529" s="360">
        <f t="shared" si="274"/>
        <v>0</v>
      </c>
      <c r="AB529" s="360">
        <f t="shared" si="274"/>
        <v>0</v>
      </c>
      <c r="AC529" s="360">
        <f t="shared" si="274"/>
        <v>0</v>
      </c>
      <c r="AD529" s="360">
        <f t="shared" si="274"/>
        <v>0</v>
      </c>
      <c r="AE529" s="360">
        <f t="shared" si="274"/>
        <v>0</v>
      </c>
      <c r="AF529" s="360">
        <f t="shared" si="274"/>
        <v>0</v>
      </c>
      <c r="AG529" s="360">
        <f t="shared" si="274"/>
        <v>0</v>
      </c>
      <c r="AH529" s="360">
        <f t="shared" si="274"/>
        <v>0</v>
      </c>
      <c r="AI529" s="360">
        <f t="shared" si="274"/>
        <v>0</v>
      </c>
      <c r="AJ529" s="360">
        <f t="shared" si="274"/>
        <v>0</v>
      </c>
      <c r="AK529" s="360">
        <f t="shared" si="274"/>
        <v>0</v>
      </c>
      <c r="AL529" s="360">
        <f t="shared" si="274"/>
        <v>0</v>
      </c>
      <c r="AM529" s="360">
        <f t="shared" si="274"/>
        <v>0</v>
      </c>
      <c r="AN529" s="360">
        <f t="shared" si="274"/>
        <v>0</v>
      </c>
      <c r="AO529" s="360">
        <f t="shared" si="274"/>
        <v>0</v>
      </c>
      <c r="AP529" s="360">
        <f t="shared" si="274"/>
        <v>0</v>
      </c>
    </row>
    <row r="530" spans="1:42" s="21" customFormat="1" x14ac:dyDescent="0.2">
      <c r="A530" s="35" t="s">
        <v>42</v>
      </c>
      <c r="B530" s="359">
        <f>SUM(B527:B529)</f>
        <v>39209469.661949515</v>
      </c>
      <c r="C530" s="359">
        <f>SUM(C527:C529)</f>
        <v>39375005.096579619</v>
      </c>
      <c r="D530" s="359">
        <f t="shared" ref="D530:AP530" si="275">SUM(D527:D529)</f>
        <v>39533106.826975688</v>
      </c>
      <c r="E530" s="359">
        <f t="shared" si="275"/>
        <v>39684032.979771264</v>
      </c>
      <c r="F530" s="359">
        <f t="shared" si="275"/>
        <v>39828039.605922498</v>
      </c>
      <c r="G530" s="359">
        <f t="shared" si="275"/>
        <v>39965382.429486245</v>
      </c>
      <c r="H530" s="359">
        <f t="shared" si="275"/>
        <v>40096318.670933329</v>
      </c>
      <c r="I530" s="359">
        <f t="shared" si="275"/>
        <v>40221108.955711745</v>
      </c>
      <c r="J530" s="359">
        <f t="shared" si="275"/>
        <v>40340019.319487095</v>
      </c>
      <c r="K530" s="359">
        <f t="shared" si="275"/>
        <v>40453323.322271131</v>
      </c>
      <c r="L530" s="359">
        <f t="shared" si="275"/>
        <v>40561304.284509718</v>
      </c>
      <c r="M530" s="359">
        <f t="shared" si="275"/>
        <v>40664257.659144476</v>
      </c>
      <c r="N530" s="359">
        <f t="shared" si="275"/>
        <v>40762493.554694653</v>
      </c>
      <c r="O530" s="359">
        <f t="shared" si="275"/>
        <v>40926173.37996643</v>
      </c>
      <c r="P530" s="359">
        <f t="shared" si="275"/>
        <v>40926173.37996643</v>
      </c>
      <c r="Q530" s="359">
        <f t="shared" si="275"/>
        <v>40926173.37996643</v>
      </c>
      <c r="R530" s="359">
        <f t="shared" si="275"/>
        <v>40926173.37996643</v>
      </c>
      <c r="S530" s="359">
        <f t="shared" si="275"/>
        <v>40926173.37996643</v>
      </c>
      <c r="T530" s="359">
        <f t="shared" si="275"/>
        <v>40926173.37996643</v>
      </c>
      <c r="U530" s="359">
        <f t="shared" si="275"/>
        <v>40926173.37996643</v>
      </c>
      <c r="V530" s="359">
        <f t="shared" si="275"/>
        <v>40926173.37996643</v>
      </c>
      <c r="W530" s="359">
        <f t="shared" si="275"/>
        <v>40926173.37996643</v>
      </c>
      <c r="X530" s="359">
        <f t="shared" si="275"/>
        <v>40926173.37996643</v>
      </c>
      <c r="Y530" s="359">
        <f t="shared" si="275"/>
        <v>40926173.37996643</v>
      </c>
      <c r="Z530" s="359">
        <f t="shared" si="275"/>
        <v>40926173.37996643</v>
      </c>
      <c r="AA530" s="359">
        <f t="shared" si="275"/>
        <v>40926173.37996643</v>
      </c>
      <c r="AB530" s="359">
        <f t="shared" si="275"/>
        <v>40926173.37996643</v>
      </c>
      <c r="AC530" s="359">
        <f t="shared" si="275"/>
        <v>40926173.37996643</v>
      </c>
      <c r="AD530" s="359">
        <f t="shared" si="275"/>
        <v>40926173.37996643</v>
      </c>
      <c r="AE530" s="359">
        <f t="shared" si="275"/>
        <v>40926173.37996643</v>
      </c>
      <c r="AF530" s="359">
        <f t="shared" si="275"/>
        <v>40926173.37996643</v>
      </c>
      <c r="AG530" s="359">
        <f t="shared" si="275"/>
        <v>40926173.37996643</v>
      </c>
      <c r="AH530" s="359">
        <f t="shared" si="275"/>
        <v>40926173.37996643</v>
      </c>
      <c r="AI530" s="359">
        <f t="shared" si="275"/>
        <v>40926173.37996643</v>
      </c>
      <c r="AJ530" s="359">
        <f t="shared" si="275"/>
        <v>40926173.37996643</v>
      </c>
      <c r="AK530" s="359">
        <f t="shared" si="275"/>
        <v>40926173.37996643</v>
      </c>
      <c r="AL530" s="359">
        <f t="shared" si="275"/>
        <v>40926173.37996643</v>
      </c>
      <c r="AM530" s="359">
        <f t="shared" si="275"/>
        <v>40926173.37996643</v>
      </c>
      <c r="AN530" s="359">
        <f t="shared" si="275"/>
        <v>40926173.37996643</v>
      </c>
      <c r="AO530" s="359">
        <f t="shared" si="275"/>
        <v>40926173.37996643</v>
      </c>
      <c r="AP530" s="359">
        <f t="shared" si="275"/>
        <v>40926173.37996643</v>
      </c>
    </row>
    <row r="531" spans="1:42" s="21" customFormat="1" x14ac:dyDescent="0.2">
      <c r="A531" s="31"/>
      <c r="B531" s="352"/>
      <c r="C531" s="353"/>
      <c r="D531" s="353"/>
      <c r="E531" s="352"/>
      <c r="F531" s="352"/>
      <c r="G531" s="352"/>
      <c r="H531" s="352"/>
      <c r="I531" s="352"/>
      <c r="J531" s="352"/>
      <c r="K531" s="352"/>
      <c r="L531" s="352"/>
      <c r="M531" s="352"/>
      <c r="N531" s="352"/>
      <c r="O531" s="352"/>
      <c r="P531" s="352"/>
      <c r="Q531" s="352"/>
      <c r="R531" s="352"/>
      <c r="S531" s="352"/>
      <c r="T531" s="352"/>
      <c r="U531" s="352"/>
      <c r="V531" s="352"/>
      <c r="W531" s="352"/>
      <c r="X531" s="352"/>
      <c r="Y531" s="352"/>
      <c r="Z531" s="352"/>
      <c r="AA531" s="352"/>
      <c r="AB531" s="352"/>
      <c r="AC531" s="352"/>
      <c r="AD531" s="352"/>
      <c r="AE531" s="352"/>
      <c r="AF531" s="352"/>
      <c r="AG531" s="352"/>
      <c r="AH531" s="352"/>
      <c r="AI531" s="352"/>
      <c r="AJ531" s="352"/>
      <c r="AK531" s="352"/>
      <c r="AL531" s="352"/>
      <c r="AM531" s="352"/>
      <c r="AN531" s="352"/>
      <c r="AO531" s="352"/>
      <c r="AP531" s="352"/>
    </row>
    <row r="532" spans="1:42" s="21" customFormat="1" x14ac:dyDescent="0.2">
      <c r="A532" s="35" t="s">
        <v>43</v>
      </c>
      <c r="B532" s="361">
        <f>SUM(C532:AP532)</f>
        <v>-1716703.7180169206</v>
      </c>
      <c r="C532" s="353">
        <f>C553</f>
        <v>-165535.43463010155</v>
      </c>
      <c r="D532" s="353">
        <f t="shared" ref="D532:AP532" si="276">D553</f>
        <v>-158101.73039606726</v>
      </c>
      <c r="E532" s="353">
        <f t="shared" si="276"/>
        <v>-150926.15279557323</v>
      </c>
      <c r="F532" s="353">
        <f t="shared" si="276"/>
        <v>-144006.62615123577</v>
      </c>
      <c r="G532" s="353">
        <f t="shared" si="276"/>
        <v>-137342.82356374757</v>
      </c>
      <c r="H532" s="353">
        <f t="shared" si="276"/>
        <v>-130936.24144708226</v>
      </c>
      <c r="I532" s="353">
        <f t="shared" si="276"/>
        <v>-124790.28477841662</v>
      </c>
      <c r="J532" s="353">
        <f t="shared" si="276"/>
        <v>-118910.36377535295</v>
      </c>
      <c r="K532" s="353">
        <f t="shared" si="276"/>
        <v>-113304.00278403936</v>
      </c>
      <c r="L532" s="353">
        <f t="shared" si="276"/>
        <v>-107980.96223859116</v>
      </c>
      <c r="M532" s="353">
        <f t="shared" si="276"/>
        <v>-102953.37463475624</v>
      </c>
      <c r="N532" s="353">
        <f t="shared" si="276"/>
        <v>-98235.895550179295</v>
      </c>
      <c r="O532" s="353">
        <f t="shared" si="276"/>
        <v>-163679.82527177734</v>
      </c>
      <c r="P532" s="353">
        <f t="shared" si="276"/>
        <v>0</v>
      </c>
      <c r="Q532" s="353">
        <f t="shared" si="276"/>
        <v>0</v>
      </c>
      <c r="R532" s="353">
        <f t="shared" si="276"/>
        <v>0</v>
      </c>
      <c r="S532" s="353">
        <f t="shared" si="276"/>
        <v>0</v>
      </c>
      <c r="T532" s="353">
        <f t="shared" si="276"/>
        <v>0</v>
      </c>
      <c r="U532" s="353">
        <f t="shared" si="276"/>
        <v>0</v>
      </c>
      <c r="V532" s="353">
        <f t="shared" si="276"/>
        <v>0</v>
      </c>
      <c r="W532" s="353">
        <f t="shared" si="276"/>
        <v>0</v>
      </c>
      <c r="X532" s="353">
        <f t="shared" si="276"/>
        <v>0</v>
      </c>
      <c r="Y532" s="353">
        <f t="shared" si="276"/>
        <v>0</v>
      </c>
      <c r="Z532" s="353">
        <f t="shared" si="276"/>
        <v>0</v>
      </c>
      <c r="AA532" s="353">
        <f t="shared" si="276"/>
        <v>0</v>
      </c>
      <c r="AB532" s="353">
        <f t="shared" si="276"/>
        <v>0</v>
      </c>
      <c r="AC532" s="353">
        <f t="shared" si="276"/>
        <v>0</v>
      </c>
      <c r="AD532" s="353">
        <f t="shared" si="276"/>
        <v>0</v>
      </c>
      <c r="AE532" s="353">
        <f t="shared" si="276"/>
        <v>0</v>
      </c>
      <c r="AF532" s="353">
        <f t="shared" si="276"/>
        <v>0</v>
      </c>
      <c r="AG532" s="353">
        <f t="shared" si="276"/>
        <v>0</v>
      </c>
      <c r="AH532" s="353">
        <f t="shared" si="276"/>
        <v>0</v>
      </c>
      <c r="AI532" s="353">
        <f t="shared" si="276"/>
        <v>0</v>
      </c>
      <c r="AJ532" s="353">
        <f t="shared" si="276"/>
        <v>0</v>
      </c>
      <c r="AK532" s="353">
        <f t="shared" si="276"/>
        <v>0</v>
      </c>
      <c r="AL532" s="353">
        <f t="shared" si="276"/>
        <v>0</v>
      </c>
      <c r="AM532" s="353">
        <f t="shared" si="276"/>
        <v>0</v>
      </c>
      <c r="AN532" s="353">
        <f t="shared" si="276"/>
        <v>0</v>
      </c>
      <c r="AO532" s="353">
        <f t="shared" si="276"/>
        <v>0</v>
      </c>
      <c r="AP532" s="353">
        <f t="shared" si="276"/>
        <v>0</v>
      </c>
    </row>
    <row r="533" spans="1:42" s="21" customFormat="1" x14ac:dyDescent="0.2">
      <c r="A533" s="35" t="s">
        <v>44</v>
      </c>
      <c r="B533" s="361">
        <f>SUM(C533:AP533)</f>
        <v>44258978.301232159</v>
      </c>
      <c r="C533" s="360">
        <f>C554</f>
        <v>3332804.9212657087</v>
      </c>
      <c r="D533" s="360">
        <f t="shared" ref="D533:AP533" si="277">D554</f>
        <v>3346875.4332092679</v>
      </c>
      <c r="E533" s="360">
        <f t="shared" si="277"/>
        <v>3360314.0802929336</v>
      </c>
      <c r="F533" s="360">
        <f t="shared" si="277"/>
        <v>3373142.8032805575</v>
      </c>
      <c r="G533" s="360">
        <f t="shared" si="277"/>
        <v>3385383.3665034119</v>
      </c>
      <c r="H533" s="360">
        <f t="shared" si="277"/>
        <v>3397057.5065063308</v>
      </c>
      <c r="I533" s="360">
        <f t="shared" si="277"/>
        <v>3408187.0870293332</v>
      </c>
      <c r="J533" s="360">
        <f t="shared" si="277"/>
        <v>3418794.2612354984</v>
      </c>
      <c r="K533" s="360">
        <f t="shared" si="277"/>
        <v>3428901.642156403</v>
      </c>
      <c r="L533" s="360">
        <f t="shared" si="277"/>
        <v>3438532.4823930459</v>
      </c>
      <c r="M533" s="360">
        <f t="shared" si="277"/>
        <v>3447710.8641833258</v>
      </c>
      <c r="N533" s="360">
        <f t="shared" si="277"/>
        <v>3456461.9010272808</v>
      </c>
      <c r="O533" s="360">
        <f t="shared" si="277"/>
        <v>3464811.9521490457</v>
      </c>
      <c r="P533" s="360">
        <f t="shared" si="277"/>
        <v>0</v>
      </c>
      <c r="Q533" s="360">
        <f t="shared" si="277"/>
        <v>0</v>
      </c>
      <c r="R533" s="360">
        <f t="shared" si="277"/>
        <v>0</v>
      </c>
      <c r="S533" s="360">
        <f t="shared" si="277"/>
        <v>0</v>
      </c>
      <c r="T533" s="360">
        <f t="shared" si="277"/>
        <v>0</v>
      </c>
      <c r="U533" s="360">
        <f t="shared" si="277"/>
        <v>0</v>
      </c>
      <c r="V533" s="360">
        <f t="shared" si="277"/>
        <v>0</v>
      </c>
      <c r="W533" s="360">
        <f t="shared" si="277"/>
        <v>0</v>
      </c>
      <c r="X533" s="360">
        <f t="shared" si="277"/>
        <v>0</v>
      </c>
      <c r="Y533" s="360">
        <f t="shared" si="277"/>
        <v>0</v>
      </c>
      <c r="Z533" s="360">
        <f t="shared" si="277"/>
        <v>0</v>
      </c>
      <c r="AA533" s="360">
        <f t="shared" si="277"/>
        <v>0</v>
      </c>
      <c r="AB533" s="360">
        <f t="shared" si="277"/>
        <v>0</v>
      </c>
      <c r="AC533" s="360">
        <f t="shared" si="277"/>
        <v>0</v>
      </c>
      <c r="AD533" s="360">
        <f t="shared" si="277"/>
        <v>0</v>
      </c>
      <c r="AE533" s="360">
        <f t="shared" si="277"/>
        <v>0</v>
      </c>
      <c r="AF533" s="360">
        <f t="shared" si="277"/>
        <v>0</v>
      </c>
      <c r="AG533" s="360">
        <f t="shared" si="277"/>
        <v>0</v>
      </c>
      <c r="AH533" s="360">
        <f t="shared" si="277"/>
        <v>0</v>
      </c>
      <c r="AI533" s="360">
        <f t="shared" si="277"/>
        <v>0</v>
      </c>
      <c r="AJ533" s="360">
        <f t="shared" si="277"/>
        <v>0</v>
      </c>
      <c r="AK533" s="360">
        <f t="shared" si="277"/>
        <v>0</v>
      </c>
      <c r="AL533" s="360">
        <f t="shared" si="277"/>
        <v>0</v>
      </c>
      <c r="AM533" s="360">
        <f t="shared" si="277"/>
        <v>0</v>
      </c>
      <c r="AN533" s="360">
        <f t="shared" si="277"/>
        <v>0</v>
      </c>
      <c r="AO533" s="360">
        <f t="shared" si="277"/>
        <v>0</v>
      </c>
      <c r="AP533" s="360">
        <f t="shared" si="277"/>
        <v>0</v>
      </c>
    </row>
    <row r="534" spans="1:42" s="21" customFormat="1" x14ac:dyDescent="0.2">
      <c r="A534" s="35" t="s">
        <v>45</v>
      </c>
      <c r="B534" s="361">
        <f>SUM(C534:AP534)</f>
        <v>42542274.583215222</v>
      </c>
      <c r="C534" s="353">
        <f>SUM(C532:C533)</f>
        <v>3167269.4866356072</v>
      </c>
      <c r="D534" s="353">
        <f t="shared" ref="D534:AP534" si="278">SUM(D532:D533)</f>
        <v>3188773.7028132007</v>
      </c>
      <c r="E534" s="353">
        <f t="shared" si="278"/>
        <v>3209387.9274973604</v>
      </c>
      <c r="F534" s="353">
        <f t="shared" si="278"/>
        <v>3229136.1771293217</v>
      </c>
      <c r="G534" s="353">
        <f t="shared" si="278"/>
        <v>3248040.5429396643</v>
      </c>
      <c r="H534" s="353">
        <f t="shared" si="278"/>
        <v>3266121.2650592485</v>
      </c>
      <c r="I534" s="353">
        <f t="shared" si="278"/>
        <v>3283396.8022509166</v>
      </c>
      <c r="J534" s="353">
        <f t="shared" si="278"/>
        <v>3299883.8974601454</v>
      </c>
      <c r="K534" s="353">
        <f t="shared" si="278"/>
        <v>3315597.6393723637</v>
      </c>
      <c r="L534" s="353">
        <f t="shared" si="278"/>
        <v>3330551.5201544547</v>
      </c>
      <c r="M534" s="353">
        <f t="shared" si="278"/>
        <v>3344757.4895485695</v>
      </c>
      <c r="N534" s="353">
        <f t="shared" si="278"/>
        <v>3358226.0054771015</v>
      </c>
      <c r="O534" s="353">
        <f t="shared" si="278"/>
        <v>3301132.1268772683</v>
      </c>
      <c r="P534" s="353">
        <f t="shared" si="278"/>
        <v>0</v>
      </c>
      <c r="Q534" s="353">
        <f t="shared" si="278"/>
        <v>0</v>
      </c>
      <c r="R534" s="353">
        <f t="shared" si="278"/>
        <v>0</v>
      </c>
      <c r="S534" s="353">
        <f t="shared" si="278"/>
        <v>0</v>
      </c>
      <c r="T534" s="353">
        <f t="shared" si="278"/>
        <v>0</v>
      </c>
      <c r="U534" s="353">
        <f t="shared" si="278"/>
        <v>0</v>
      </c>
      <c r="V534" s="353">
        <f t="shared" si="278"/>
        <v>0</v>
      </c>
      <c r="W534" s="353">
        <f t="shared" si="278"/>
        <v>0</v>
      </c>
      <c r="X534" s="353">
        <f t="shared" si="278"/>
        <v>0</v>
      </c>
      <c r="Y534" s="353">
        <f t="shared" si="278"/>
        <v>0</v>
      </c>
      <c r="Z534" s="353">
        <f t="shared" si="278"/>
        <v>0</v>
      </c>
      <c r="AA534" s="353">
        <f t="shared" si="278"/>
        <v>0</v>
      </c>
      <c r="AB534" s="353">
        <f t="shared" si="278"/>
        <v>0</v>
      </c>
      <c r="AC534" s="353">
        <f t="shared" si="278"/>
        <v>0</v>
      </c>
      <c r="AD534" s="353">
        <f t="shared" si="278"/>
        <v>0</v>
      </c>
      <c r="AE534" s="353">
        <f t="shared" si="278"/>
        <v>0</v>
      </c>
      <c r="AF534" s="353">
        <f t="shared" si="278"/>
        <v>0</v>
      </c>
      <c r="AG534" s="353">
        <f t="shared" si="278"/>
        <v>0</v>
      </c>
      <c r="AH534" s="353">
        <f t="shared" si="278"/>
        <v>0</v>
      </c>
      <c r="AI534" s="353">
        <f t="shared" si="278"/>
        <v>0</v>
      </c>
      <c r="AJ534" s="353">
        <f t="shared" si="278"/>
        <v>0</v>
      </c>
      <c r="AK534" s="353">
        <f t="shared" si="278"/>
        <v>0</v>
      </c>
      <c r="AL534" s="353">
        <f t="shared" si="278"/>
        <v>0</v>
      </c>
      <c r="AM534" s="353">
        <f t="shared" si="278"/>
        <v>0</v>
      </c>
      <c r="AN534" s="353">
        <f t="shared" si="278"/>
        <v>0</v>
      </c>
      <c r="AO534" s="353">
        <f t="shared" si="278"/>
        <v>0</v>
      </c>
      <c r="AP534" s="353">
        <f t="shared" si="278"/>
        <v>0</v>
      </c>
    </row>
    <row r="535" spans="1:42" s="21" customFormat="1" x14ac:dyDescent="0.2">
      <c r="A535" s="12"/>
    </row>
    <row r="536" spans="1:42" s="21" customFormat="1" x14ac:dyDescent="0.2">
      <c r="A536" s="31" t="s">
        <v>143</v>
      </c>
    </row>
    <row r="537" spans="1:42" s="21" customFormat="1" x14ac:dyDescent="0.2">
      <c r="A537" s="35" t="s">
        <v>314</v>
      </c>
      <c r="C537" s="271">
        <f t="shared" ref="C537:AP537" si="279">IF(AND(C$2&lt;=term_tenor,C$2&lt;=analysis_period),term_int_rate,0)</f>
        <v>8.5</v>
      </c>
      <c r="D537" s="271">
        <f t="shared" si="279"/>
        <v>8.5</v>
      </c>
      <c r="E537" s="271">
        <f t="shared" si="279"/>
        <v>8.5</v>
      </c>
      <c r="F537" s="271">
        <f t="shared" si="279"/>
        <v>8.5</v>
      </c>
      <c r="G537" s="271">
        <f t="shared" si="279"/>
        <v>8.5</v>
      </c>
      <c r="H537" s="271">
        <f t="shared" si="279"/>
        <v>8.5</v>
      </c>
      <c r="I537" s="271">
        <f t="shared" si="279"/>
        <v>8.5</v>
      </c>
      <c r="J537" s="271">
        <f t="shared" si="279"/>
        <v>8.5</v>
      </c>
      <c r="K537" s="271">
        <f t="shared" si="279"/>
        <v>8.5</v>
      </c>
      <c r="L537" s="271">
        <f t="shared" si="279"/>
        <v>8.5</v>
      </c>
      <c r="M537" s="271">
        <f t="shared" si="279"/>
        <v>8.5</v>
      </c>
      <c r="N537" s="271">
        <f t="shared" si="279"/>
        <v>8.5</v>
      </c>
      <c r="O537" s="271">
        <f t="shared" si="279"/>
        <v>8.5</v>
      </c>
      <c r="P537" s="271">
        <f t="shared" si="279"/>
        <v>0</v>
      </c>
      <c r="Q537" s="271">
        <f t="shared" si="279"/>
        <v>0</v>
      </c>
      <c r="R537" s="271">
        <f t="shared" si="279"/>
        <v>0</v>
      </c>
      <c r="S537" s="271">
        <f t="shared" si="279"/>
        <v>0</v>
      </c>
      <c r="T537" s="271">
        <f t="shared" si="279"/>
        <v>0</v>
      </c>
      <c r="U537" s="271">
        <f t="shared" si="279"/>
        <v>0</v>
      </c>
      <c r="V537" s="271">
        <f t="shared" si="279"/>
        <v>0</v>
      </c>
      <c r="W537" s="271">
        <f t="shared" si="279"/>
        <v>0</v>
      </c>
      <c r="X537" s="271">
        <f t="shared" si="279"/>
        <v>0</v>
      </c>
      <c r="Y537" s="271">
        <f t="shared" si="279"/>
        <v>0</v>
      </c>
      <c r="Z537" s="271">
        <f t="shared" si="279"/>
        <v>0</v>
      </c>
      <c r="AA537" s="271">
        <f t="shared" si="279"/>
        <v>0</v>
      </c>
      <c r="AB537" s="271">
        <f t="shared" si="279"/>
        <v>0</v>
      </c>
      <c r="AC537" s="271">
        <f t="shared" si="279"/>
        <v>0</v>
      </c>
      <c r="AD537" s="271">
        <f t="shared" si="279"/>
        <v>0</v>
      </c>
      <c r="AE537" s="271">
        <f t="shared" si="279"/>
        <v>0</v>
      </c>
      <c r="AF537" s="271">
        <f t="shared" si="279"/>
        <v>0</v>
      </c>
      <c r="AG537" s="271">
        <f t="shared" si="279"/>
        <v>0</v>
      </c>
      <c r="AH537" s="271">
        <f t="shared" si="279"/>
        <v>0</v>
      </c>
      <c r="AI537" s="271">
        <f t="shared" si="279"/>
        <v>0</v>
      </c>
      <c r="AJ537" s="271">
        <f t="shared" si="279"/>
        <v>0</v>
      </c>
      <c r="AK537" s="271">
        <f t="shared" si="279"/>
        <v>0</v>
      </c>
      <c r="AL537" s="271">
        <f t="shared" si="279"/>
        <v>0</v>
      </c>
      <c r="AM537" s="271">
        <f t="shared" si="279"/>
        <v>0</v>
      </c>
      <c r="AN537" s="271">
        <f t="shared" si="279"/>
        <v>0</v>
      </c>
      <c r="AO537" s="271">
        <f t="shared" si="279"/>
        <v>0</v>
      </c>
      <c r="AP537" s="271">
        <f t="shared" si="279"/>
        <v>0</v>
      </c>
    </row>
    <row r="538" spans="1:42" s="21" customFormat="1" x14ac:dyDescent="0.2">
      <c r="A538" s="35" t="s">
        <v>144</v>
      </c>
      <c r="C538" s="271">
        <f t="shared" ref="C538:AP538" si="280">IF(AND(C$2&lt;=term_tenor,C$2&lt;=analysis_period),1/(1+C537/100),0)</f>
        <v>0.92165898617511521</v>
      </c>
      <c r="D538" s="271">
        <f t="shared" si="280"/>
        <v>0.92165898617511521</v>
      </c>
      <c r="E538" s="271">
        <f t="shared" si="280"/>
        <v>0.92165898617511521</v>
      </c>
      <c r="F538" s="271">
        <f t="shared" si="280"/>
        <v>0.92165898617511521</v>
      </c>
      <c r="G538" s="271">
        <f t="shared" si="280"/>
        <v>0.92165898617511521</v>
      </c>
      <c r="H538" s="271">
        <f t="shared" si="280"/>
        <v>0.92165898617511521</v>
      </c>
      <c r="I538" s="271">
        <f t="shared" si="280"/>
        <v>0.92165898617511521</v>
      </c>
      <c r="J538" s="271">
        <f t="shared" si="280"/>
        <v>0.92165898617511521</v>
      </c>
      <c r="K538" s="271">
        <f t="shared" si="280"/>
        <v>0.92165898617511521</v>
      </c>
      <c r="L538" s="271">
        <f t="shared" si="280"/>
        <v>0.92165898617511521</v>
      </c>
      <c r="M538" s="271">
        <f t="shared" si="280"/>
        <v>0.92165898617511521</v>
      </c>
      <c r="N538" s="271">
        <f t="shared" si="280"/>
        <v>0.92165898617511521</v>
      </c>
      <c r="O538" s="271">
        <f t="shared" si="280"/>
        <v>0.92165898617511521</v>
      </c>
      <c r="P538" s="271">
        <f t="shared" si="280"/>
        <v>0</v>
      </c>
      <c r="Q538" s="271">
        <f t="shared" si="280"/>
        <v>0</v>
      </c>
      <c r="R538" s="271">
        <f t="shared" si="280"/>
        <v>0</v>
      </c>
      <c r="S538" s="271">
        <f t="shared" si="280"/>
        <v>0</v>
      </c>
      <c r="T538" s="271">
        <f t="shared" si="280"/>
        <v>0</v>
      </c>
      <c r="U538" s="271">
        <f t="shared" si="280"/>
        <v>0</v>
      </c>
      <c r="V538" s="271">
        <f t="shared" si="280"/>
        <v>0</v>
      </c>
      <c r="W538" s="271">
        <f t="shared" si="280"/>
        <v>0</v>
      </c>
      <c r="X538" s="271">
        <f t="shared" si="280"/>
        <v>0</v>
      </c>
      <c r="Y538" s="271">
        <f t="shared" si="280"/>
        <v>0</v>
      </c>
      <c r="Z538" s="271">
        <f t="shared" si="280"/>
        <v>0</v>
      </c>
      <c r="AA538" s="271">
        <f t="shared" si="280"/>
        <v>0</v>
      </c>
      <c r="AB538" s="271">
        <f t="shared" si="280"/>
        <v>0</v>
      </c>
      <c r="AC538" s="271">
        <f t="shared" si="280"/>
        <v>0</v>
      </c>
      <c r="AD538" s="271">
        <f t="shared" si="280"/>
        <v>0</v>
      </c>
      <c r="AE538" s="271">
        <f t="shared" si="280"/>
        <v>0</v>
      </c>
      <c r="AF538" s="271">
        <f t="shared" si="280"/>
        <v>0</v>
      </c>
      <c r="AG538" s="271">
        <f t="shared" si="280"/>
        <v>0</v>
      </c>
      <c r="AH538" s="271">
        <f t="shared" si="280"/>
        <v>0</v>
      </c>
      <c r="AI538" s="271">
        <f t="shared" si="280"/>
        <v>0</v>
      </c>
      <c r="AJ538" s="271">
        <f t="shared" si="280"/>
        <v>0</v>
      </c>
      <c r="AK538" s="271">
        <f t="shared" si="280"/>
        <v>0</v>
      </c>
      <c r="AL538" s="271">
        <f t="shared" si="280"/>
        <v>0</v>
      </c>
      <c r="AM538" s="271">
        <f t="shared" si="280"/>
        <v>0</v>
      </c>
      <c r="AN538" s="271">
        <f t="shared" si="280"/>
        <v>0</v>
      </c>
      <c r="AO538" s="271">
        <f t="shared" si="280"/>
        <v>0</v>
      </c>
      <c r="AP538" s="271">
        <f t="shared" si="280"/>
        <v>0</v>
      </c>
    </row>
    <row r="539" spans="1:42" s="21" customFormat="1" x14ac:dyDescent="0.2">
      <c r="A539" s="35" t="s">
        <v>48</v>
      </c>
      <c r="C539" s="53"/>
      <c r="D539" s="54"/>
      <c r="E539" s="54"/>
      <c r="F539" s="54"/>
      <c r="G539" s="54"/>
      <c r="H539" s="54"/>
      <c r="I539" s="54"/>
      <c r="J539" s="54"/>
      <c r="K539" s="54"/>
      <c r="L539" s="54"/>
      <c r="M539" s="54"/>
      <c r="N539" s="54"/>
      <c r="O539" s="54"/>
      <c r="P539" s="54"/>
      <c r="Q539" s="54"/>
      <c r="R539" s="54"/>
      <c r="S539" s="54"/>
      <c r="T539" s="54"/>
      <c r="U539" s="54"/>
      <c r="V539" s="54"/>
      <c r="W539" s="54"/>
      <c r="X539" s="54"/>
      <c r="Y539" s="54"/>
      <c r="Z539" s="54"/>
      <c r="AA539" s="54"/>
      <c r="AB539" s="54"/>
      <c r="AC539" s="54"/>
      <c r="AD539" s="54"/>
      <c r="AE539" s="54"/>
      <c r="AF539" s="54"/>
      <c r="AG539" s="54"/>
      <c r="AH539" s="54"/>
      <c r="AI539" s="54"/>
      <c r="AJ539" s="54"/>
      <c r="AK539" s="54"/>
      <c r="AL539" s="54"/>
      <c r="AM539" s="54"/>
      <c r="AN539" s="54"/>
      <c r="AO539" s="54"/>
      <c r="AP539" s="54"/>
    </row>
    <row r="540" spans="1:42" s="21" customFormat="1" x14ac:dyDescent="0.2">
      <c r="A540" s="39" t="s">
        <v>53</v>
      </c>
      <c r="B540" s="361">
        <f>SUM(C540:AP540)</f>
        <v>61079914.557368636</v>
      </c>
      <c r="C540" s="353">
        <f t="shared" ref="C540:AP540" si="281">IF(AND(C$2&lt;=term_tenor,C$2&lt;=analysis_period),C39,0)</f>
        <v>4549165.1940000001</v>
      </c>
      <c r="D540" s="353">
        <f t="shared" si="281"/>
        <v>4578195.885839751</v>
      </c>
      <c r="E540" s="353">
        <f t="shared" si="281"/>
        <v>4606025.0891633667</v>
      </c>
      <c r="F540" s="353">
        <f t="shared" si="281"/>
        <v>4632685.2261665147</v>
      </c>
      <c r="G540" s="353">
        <f t="shared" si="281"/>
        <v>4658206.1200104775</v>
      </c>
      <c r="H540" s="353">
        <f t="shared" si="281"/>
        <v>4682615.0948719159</v>
      </c>
      <c r="I540" s="353">
        <f t="shared" si="281"/>
        <v>4705937.0700806677</v>
      </c>
      <c r="J540" s="353">
        <f t="shared" si="281"/>
        <v>4728194.6486131269</v>
      </c>
      <c r="K540" s="353">
        <f t="shared" si="281"/>
        <v>4749408.2001946215</v>
      </c>
      <c r="L540" s="353">
        <f t="shared" si="281"/>
        <v>4769595.9392504441</v>
      </c>
      <c r="M540" s="353">
        <f t="shared" si="281"/>
        <v>4788773.9979324993</v>
      </c>
      <c r="N540" s="353">
        <f t="shared" si="281"/>
        <v>4806956.4944360172</v>
      </c>
      <c r="O540" s="353">
        <f t="shared" si="281"/>
        <v>4824155.5968092289</v>
      </c>
      <c r="P540" s="353">
        <f t="shared" si="281"/>
        <v>0</v>
      </c>
      <c r="Q540" s="353">
        <f t="shared" si="281"/>
        <v>0</v>
      </c>
      <c r="R540" s="353">
        <f t="shared" si="281"/>
        <v>0</v>
      </c>
      <c r="S540" s="353">
        <f t="shared" si="281"/>
        <v>0</v>
      </c>
      <c r="T540" s="353">
        <f t="shared" si="281"/>
        <v>0</v>
      </c>
      <c r="U540" s="353">
        <f t="shared" si="281"/>
        <v>0</v>
      </c>
      <c r="V540" s="353">
        <f t="shared" si="281"/>
        <v>0</v>
      </c>
      <c r="W540" s="353">
        <f t="shared" si="281"/>
        <v>0</v>
      </c>
      <c r="X540" s="353">
        <f t="shared" si="281"/>
        <v>0</v>
      </c>
      <c r="Y540" s="353">
        <f t="shared" si="281"/>
        <v>0</v>
      </c>
      <c r="Z540" s="353">
        <f t="shared" si="281"/>
        <v>0</v>
      </c>
      <c r="AA540" s="353">
        <f t="shared" si="281"/>
        <v>0</v>
      </c>
      <c r="AB540" s="353">
        <f t="shared" si="281"/>
        <v>0</v>
      </c>
      <c r="AC540" s="353">
        <f t="shared" si="281"/>
        <v>0</v>
      </c>
      <c r="AD540" s="353">
        <f t="shared" si="281"/>
        <v>0</v>
      </c>
      <c r="AE540" s="353">
        <f t="shared" si="281"/>
        <v>0</v>
      </c>
      <c r="AF540" s="353">
        <f t="shared" si="281"/>
        <v>0</v>
      </c>
      <c r="AG540" s="353">
        <f t="shared" si="281"/>
        <v>0</v>
      </c>
      <c r="AH540" s="353">
        <f t="shared" si="281"/>
        <v>0</v>
      </c>
      <c r="AI540" s="353">
        <f t="shared" si="281"/>
        <v>0</v>
      </c>
      <c r="AJ540" s="353">
        <f t="shared" si="281"/>
        <v>0</v>
      </c>
      <c r="AK540" s="353">
        <f t="shared" si="281"/>
        <v>0</v>
      </c>
      <c r="AL540" s="353">
        <f t="shared" si="281"/>
        <v>0</v>
      </c>
      <c r="AM540" s="353">
        <f t="shared" si="281"/>
        <v>0</v>
      </c>
      <c r="AN540" s="353">
        <f t="shared" si="281"/>
        <v>0</v>
      </c>
      <c r="AO540" s="353">
        <f t="shared" si="281"/>
        <v>0</v>
      </c>
      <c r="AP540" s="353">
        <f t="shared" si="281"/>
        <v>0</v>
      </c>
    </row>
    <row r="541" spans="1:42" s="21" customFormat="1" x14ac:dyDescent="0.2">
      <c r="A541" s="56" t="s">
        <v>175</v>
      </c>
      <c r="B541" s="361">
        <f>SUM(C541:AP541)</f>
        <v>-3647843.8700280818</v>
      </c>
      <c r="C541" s="313">
        <f t="shared" ref="C541:AP541" si="282">IF(AND(C$2&lt;=term_tenor,C$2&lt;=analysis_period),-C579-C611-C643,0)</f>
        <v>-273351.3870419304</v>
      </c>
      <c r="D541" s="313">
        <f t="shared" si="282"/>
        <v>-273351.3870419304</v>
      </c>
      <c r="E541" s="313">
        <f t="shared" si="282"/>
        <v>-273351.3870419304</v>
      </c>
      <c r="F541" s="313">
        <f t="shared" si="282"/>
        <v>-273351.3870419304</v>
      </c>
      <c r="G541" s="313">
        <f t="shared" si="282"/>
        <v>-273351.3870419304</v>
      </c>
      <c r="H541" s="313">
        <f t="shared" si="282"/>
        <v>-273351.3870419304</v>
      </c>
      <c r="I541" s="313">
        <f t="shared" si="282"/>
        <v>-273351.3870419304</v>
      </c>
      <c r="J541" s="313">
        <f t="shared" si="282"/>
        <v>-273351.3870419304</v>
      </c>
      <c r="K541" s="313">
        <f t="shared" si="282"/>
        <v>-273351.3870419304</v>
      </c>
      <c r="L541" s="313">
        <f t="shared" si="282"/>
        <v>-273351.3870419304</v>
      </c>
      <c r="M541" s="313">
        <f t="shared" si="282"/>
        <v>-273351.3870419304</v>
      </c>
      <c r="N541" s="313">
        <f t="shared" si="282"/>
        <v>-273351.3870419304</v>
      </c>
      <c r="O541" s="313">
        <f t="shared" si="282"/>
        <v>-367627.22552491649</v>
      </c>
      <c r="P541" s="313">
        <f t="shared" si="282"/>
        <v>0</v>
      </c>
      <c r="Q541" s="313">
        <f t="shared" si="282"/>
        <v>0</v>
      </c>
      <c r="R541" s="313">
        <f t="shared" si="282"/>
        <v>0</v>
      </c>
      <c r="S541" s="313">
        <f t="shared" si="282"/>
        <v>0</v>
      </c>
      <c r="T541" s="313">
        <f t="shared" si="282"/>
        <v>0</v>
      </c>
      <c r="U541" s="313">
        <f t="shared" si="282"/>
        <v>0</v>
      </c>
      <c r="V541" s="313">
        <f t="shared" si="282"/>
        <v>0</v>
      </c>
      <c r="W541" s="313">
        <f t="shared" si="282"/>
        <v>0</v>
      </c>
      <c r="X541" s="313">
        <f t="shared" si="282"/>
        <v>0</v>
      </c>
      <c r="Y541" s="313">
        <f t="shared" si="282"/>
        <v>0</v>
      </c>
      <c r="Z541" s="313">
        <f t="shared" si="282"/>
        <v>0</v>
      </c>
      <c r="AA541" s="313">
        <f t="shared" si="282"/>
        <v>0</v>
      </c>
      <c r="AB541" s="313">
        <f t="shared" si="282"/>
        <v>0</v>
      </c>
      <c r="AC541" s="313">
        <f t="shared" si="282"/>
        <v>0</v>
      </c>
      <c r="AD541" s="313">
        <f t="shared" si="282"/>
        <v>0</v>
      </c>
      <c r="AE541" s="313">
        <f t="shared" si="282"/>
        <v>0</v>
      </c>
      <c r="AF541" s="313">
        <f t="shared" si="282"/>
        <v>0</v>
      </c>
      <c r="AG541" s="313">
        <f t="shared" si="282"/>
        <v>0</v>
      </c>
      <c r="AH541" s="313">
        <f t="shared" si="282"/>
        <v>0</v>
      </c>
      <c r="AI541" s="313">
        <f t="shared" si="282"/>
        <v>0</v>
      </c>
      <c r="AJ541" s="313">
        <f t="shared" si="282"/>
        <v>0</v>
      </c>
      <c r="AK541" s="313">
        <f t="shared" si="282"/>
        <v>0</v>
      </c>
      <c r="AL541" s="313">
        <f t="shared" si="282"/>
        <v>0</v>
      </c>
      <c r="AM541" s="313">
        <f t="shared" si="282"/>
        <v>0</v>
      </c>
      <c r="AN541" s="313">
        <f t="shared" si="282"/>
        <v>0</v>
      </c>
      <c r="AO541" s="313">
        <f t="shared" si="282"/>
        <v>0</v>
      </c>
      <c r="AP541" s="313">
        <f t="shared" si="282"/>
        <v>0</v>
      </c>
    </row>
    <row r="542" spans="1:42" s="21" customFormat="1" x14ac:dyDescent="0.2">
      <c r="A542" s="39" t="s">
        <v>48</v>
      </c>
      <c r="B542" s="362">
        <f>SUM(C542:AP542)</f>
        <v>57432070.68734055</v>
      </c>
      <c r="C542" s="360">
        <f>SUM(C540:C541)</f>
        <v>4275813.80695807</v>
      </c>
      <c r="D542" s="360">
        <f t="shared" ref="D542:AP542" si="283">SUM(D540:D541)</f>
        <v>4304844.4987978209</v>
      </c>
      <c r="E542" s="360">
        <f t="shared" si="283"/>
        <v>4332673.7021214366</v>
      </c>
      <c r="F542" s="360">
        <f t="shared" si="283"/>
        <v>4359333.8391245846</v>
      </c>
      <c r="G542" s="360">
        <f t="shared" si="283"/>
        <v>4384854.7329685474</v>
      </c>
      <c r="H542" s="360">
        <f t="shared" si="283"/>
        <v>4409263.7078299858</v>
      </c>
      <c r="I542" s="360">
        <f t="shared" si="283"/>
        <v>4432585.6830387376</v>
      </c>
      <c r="J542" s="360">
        <f t="shared" si="283"/>
        <v>4454843.2615711968</v>
      </c>
      <c r="K542" s="360">
        <f t="shared" si="283"/>
        <v>4476056.8131526913</v>
      </c>
      <c r="L542" s="360">
        <f t="shared" si="283"/>
        <v>4496244.552208514</v>
      </c>
      <c r="M542" s="360">
        <f t="shared" si="283"/>
        <v>4515422.6108905692</v>
      </c>
      <c r="N542" s="360">
        <f t="shared" si="283"/>
        <v>4533605.1073940871</v>
      </c>
      <c r="O542" s="360">
        <f t="shared" si="283"/>
        <v>4456528.3712843126</v>
      </c>
      <c r="P542" s="360">
        <f t="shared" si="283"/>
        <v>0</v>
      </c>
      <c r="Q542" s="360">
        <f t="shared" si="283"/>
        <v>0</v>
      </c>
      <c r="R542" s="360">
        <f t="shared" si="283"/>
        <v>0</v>
      </c>
      <c r="S542" s="360">
        <f t="shared" si="283"/>
        <v>0</v>
      </c>
      <c r="T542" s="360">
        <f t="shared" si="283"/>
        <v>0</v>
      </c>
      <c r="U542" s="360">
        <f t="shared" si="283"/>
        <v>0</v>
      </c>
      <c r="V542" s="360">
        <f t="shared" si="283"/>
        <v>0</v>
      </c>
      <c r="W542" s="360">
        <f t="shared" si="283"/>
        <v>0</v>
      </c>
      <c r="X542" s="360">
        <f t="shared" si="283"/>
        <v>0</v>
      </c>
      <c r="Y542" s="360">
        <f t="shared" si="283"/>
        <v>0</v>
      </c>
      <c r="Z542" s="360">
        <f t="shared" si="283"/>
        <v>0</v>
      </c>
      <c r="AA542" s="360">
        <f t="shared" si="283"/>
        <v>0</v>
      </c>
      <c r="AB542" s="360">
        <f t="shared" si="283"/>
        <v>0</v>
      </c>
      <c r="AC542" s="360">
        <f t="shared" si="283"/>
        <v>0</v>
      </c>
      <c r="AD542" s="360">
        <f t="shared" si="283"/>
        <v>0</v>
      </c>
      <c r="AE542" s="360">
        <f t="shared" si="283"/>
        <v>0</v>
      </c>
      <c r="AF542" s="360">
        <f t="shared" si="283"/>
        <v>0</v>
      </c>
      <c r="AG542" s="360">
        <f t="shared" si="283"/>
        <v>0</v>
      </c>
      <c r="AH542" s="360">
        <f t="shared" si="283"/>
        <v>0</v>
      </c>
      <c r="AI542" s="360">
        <f t="shared" si="283"/>
        <v>0</v>
      </c>
      <c r="AJ542" s="360">
        <f t="shared" si="283"/>
        <v>0</v>
      </c>
      <c r="AK542" s="360">
        <f t="shared" si="283"/>
        <v>0</v>
      </c>
      <c r="AL542" s="360">
        <f t="shared" si="283"/>
        <v>0</v>
      </c>
      <c r="AM542" s="360">
        <f t="shared" si="283"/>
        <v>0</v>
      </c>
      <c r="AN542" s="360">
        <f t="shared" si="283"/>
        <v>0</v>
      </c>
      <c r="AO542" s="360">
        <f t="shared" si="283"/>
        <v>0</v>
      </c>
      <c r="AP542" s="360">
        <f t="shared" si="283"/>
        <v>0</v>
      </c>
    </row>
    <row r="543" spans="1:42" s="21" customFormat="1" x14ac:dyDescent="0.2">
      <c r="A543" s="35" t="s">
        <v>145</v>
      </c>
      <c r="B543" s="363">
        <f>SUM(C543:AP543)</f>
        <v>52932784.043631852</v>
      </c>
      <c r="C543" s="359">
        <f>C538*C542</f>
        <v>3940842.2183945347</v>
      </c>
      <c r="D543" s="359">
        <f t="shared" ref="D543:AP543" si="284">D538*D542</f>
        <v>3967598.6164035215</v>
      </c>
      <c r="E543" s="359">
        <f t="shared" si="284"/>
        <v>3993247.6517248265</v>
      </c>
      <c r="F543" s="359">
        <f t="shared" si="284"/>
        <v>4017819.2065664376</v>
      </c>
      <c r="G543" s="359">
        <f t="shared" si="284"/>
        <v>4041340.767712947</v>
      </c>
      <c r="H543" s="359">
        <f t="shared" si="284"/>
        <v>4063837.5187373143</v>
      </c>
      <c r="I543" s="359">
        <f t="shared" si="284"/>
        <v>4085332.4267638135</v>
      </c>
      <c r="J543" s="359">
        <f t="shared" si="284"/>
        <v>4105846.3240287527</v>
      </c>
      <c r="K543" s="359">
        <f t="shared" si="284"/>
        <v>4125397.9844725267</v>
      </c>
      <c r="L543" s="359">
        <f t="shared" si="284"/>
        <v>4144004.1955838837</v>
      </c>
      <c r="M543" s="359">
        <f t="shared" si="284"/>
        <v>4161679.8257055939</v>
      </c>
      <c r="N543" s="359">
        <f t="shared" si="284"/>
        <v>4178437.8869991587</v>
      </c>
      <c r="O543" s="359">
        <f t="shared" si="284"/>
        <v>4107399.4205385367</v>
      </c>
      <c r="P543" s="359">
        <f t="shared" si="284"/>
        <v>0</v>
      </c>
      <c r="Q543" s="359">
        <f t="shared" si="284"/>
        <v>0</v>
      </c>
      <c r="R543" s="359">
        <f t="shared" si="284"/>
        <v>0</v>
      </c>
      <c r="S543" s="359">
        <f t="shared" si="284"/>
        <v>0</v>
      </c>
      <c r="T543" s="359">
        <f t="shared" si="284"/>
        <v>0</v>
      </c>
      <c r="U543" s="359">
        <f t="shared" si="284"/>
        <v>0</v>
      </c>
      <c r="V543" s="359">
        <f t="shared" si="284"/>
        <v>0</v>
      </c>
      <c r="W543" s="359">
        <f t="shared" si="284"/>
        <v>0</v>
      </c>
      <c r="X543" s="359">
        <f t="shared" si="284"/>
        <v>0</v>
      </c>
      <c r="Y543" s="359">
        <f t="shared" si="284"/>
        <v>0</v>
      </c>
      <c r="Z543" s="359">
        <f t="shared" si="284"/>
        <v>0</v>
      </c>
      <c r="AA543" s="359">
        <f t="shared" si="284"/>
        <v>0</v>
      </c>
      <c r="AB543" s="359">
        <f t="shared" si="284"/>
        <v>0</v>
      </c>
      <c r="AC543" s="359">
        <f t="shared" si="284"/>
        <v>0</v>
      </c>
      <c r="AD543" s="359">
        <f t="shared" si="284"/>
        <v>0</v>
      </c>
      <c r="AE543" s="359">
        <f t="shared" si="284"/>
        <v>0</v>
      </c>
      <c r="AF543" s="359">
        <f t="shared" si="284"/>
        <v>0</v>
      </c>
      <c r="AG543" s="359">
        <f t="shared" si="284"/>
        <v>0</v>
      </c>
      <c r="AH543" s="359">
        <f t="shared" si="284"/>
        <v>0</v>
      </c>
      <c r="AI543" s="359">
        <f t="shared" si="284"/>
        <v>0</v>
      </c>
      <c r="AJ543" s="359">
        <f t="shared" si="284"/>
        <v>0</v>
      </c>
      <c r="AK543" s="359">
        <f t="shared" si="284"/>
        <v>0</v>
      </c>
      <c r="AL543" s="359">
        <f t="shared" si="284"/>
        <v>0</v>
      </c>
      <c r="AM543" s="359">
        <f t="shared" si="284"/>
        <v>0</v>
      </c>
      <c r="AN543" s="359">
        <f t="shared" si="284"/>
        <v>0</v>
      </c>
      <c r="AO543" s="359">
        <f t="shared" si="284"/>
        <v>0</v>
      </c>
      <c r="AP543" s="359">
        <f t="shared" si="284"/>
        <v>0</v>
      </c>
    </row>
    <row r="544" spans="1:42" s="21" customFormat="1" x14ac:dyDescent="0.2">
      <c r="A544" s="35" t="s">
        <v>47</v>
      </c>
      <c r="C544" s="271">
        <f t="shared" ref="C544:AP544" si="285">IF(AND(C$2&lt;=term_tenor,C$2&lt;=analysis_period),dscr,0)</f>
        <v>1.35</v>
      </c>
      <c r="D544" s="271">
        <f t="shared" si="285"/>
        <v>1.35</v>
      </c>
      <c r="E544" s="271">
        <f t="shared" si="285"/>
        <v>1.35</v>
      </c>
      <c r="F544" s="271">
        <f t="shared" si="285"/>
        <v>1.35</v>
      </c>
      <c r="G544" s="271">
        <f t="shared" si="285"/>
        <v>1.35</v>
      </c>
      <c r="H544" s="271">
        <f t="shared" si="285"/>
        <v>1.35</v>
      </c>
      <c r="I544" s="271">
        <f t="shared" si="285"/>
        <v>1.35</v>
      </c>
      <c r="J544" s="271">
        <f t="shared" si="285"/>
        <v>1.35</v>
      </c>
      <c r="K544" s="271">
        <f t="shared" si="285"/>
        <v>1.35</v>
      </c>
      <c r="L544" s="271">
        <f t="shared" si="285"/>
        <v>1.35</v>
      </c>
      <c r="M544" s="271">
        <f t="shared" si="285"/>
        <v>1.35</v>
      </c>
      <c r="N544" s="271">
        <f t="shared" si="285"/>
        <v>1.35</v>
      </c>
      <c r="O544" s="271">
        <f t="shared" si="285"/>
        <v>1.35</v>
      </c>
      <c r="P544" s="271">
        <f t="shared" si="285"/>
        <v>0</v>
      </c>
      <c r="Q544" s="271">
        <f t="shared" si="285"/>
        <v>0</v>
      </c>
      <c r="R544" s="271">
        <f t="shared" si="285"/>
        <v>0</v>
      </c>
      <c r="S544" s="271">
        <f t="shared" si="285"/>
        <v>0</v>
      </c>
      <c r="T544" s="271">
        <f t="shared" si="285"/>
        <v>0</v>
      </c>
      <c r="U544" s="271">
        <f t="shared" si="285"/>
        <v>0</v>
      </c>
      <c r="V544" s="271">
        <f t="shared" si="285"/>
        <v>0</v>
      </c>
      <c r="W544" s="271">
        <f t="shared" si="285"/>
        <v>0</v>
      </c>
      <c r="X544" s="271">
        <f t="shared" si="285"/>
        <v>0</v>
      </c>
      <c r="Y544" s="271">
        <f t="shared" si="285"/>
        <v>0</v>
      </c>
      <c r="Z544" s="271">
        <f t="shared" si="285"/>
        <v>0</v>
      </c>
      <c r="AA544" s="271">
        <f t="shared" si="285"/>
        <v>0</v>
      </c>
      <c r="AB544" s="271">
        <f t="shared" si="285"/>
        <v>0</v>
      </c>
      <c r="AC544" s="271">
        <f t="shared" si="285"/>
        <v>0</v>
      </c>
      <c r="AD544" s="271">
        <f t="shared" si="285"/>
        <v>0</v>
      </c>
      <c r="AE544" s="271">
        <f t="shared" si="285"/>
        <v>0</v>
      </c>
      <c r="AF544" s="271">
        <f t="shared" si="285"/>
        <v>0</v>
      </c>
      <c r="AG544" s="271">
        <f t="shared" si="285"/>
        <v>0</v>
      </c>
      <c r="AH544" s="271">
        <f t="shared" si="285"/>
        <v>0</v>
      </c>
      <c r="AI544" s="271">
        <f t="shared" si="285"/>
        <v>0</v>
      </c>
      <c r="AJ544" s="271">
        <f t="shared" si="285"/>
        <v>0</v>
      </c>
      <c r="AK544" s="271">
        <f t="shared" si="285"/>
        <v>0</v>
      </c>
      <c r="AL544" s="271">
        <f t="shared" si="285"/>
        <v>0</v>
      </c>
      <c r="AM544" s="271">
        <f t="shared" si="285"/>
        <v>0</v>
      </c>
      <c r="AN544" s="271">
        <f t="shared" si="285"/>
        <v>0</v>
      </c>
      <c r="AO544" s="271">
        <f t="shared" si="285"/>
        <v>0</v>
      </c>
      <c r="AP544" s="271">
        <f t="shared" si="285"/>
        <v>0</v>
      </c>
    </row>
    <row r="545" spans="1:42" s="21" customFormat="1" x14ac:dyDescent="0.2">
      <c r="A545" s="35" t="s">
        <v>146</v>
      </c>
      <c r="B545" s="363">
        <f>SUM(C545:AP545)</f>
        <v>39209469.661949515</v>
      </c>
      <c r="C545" s="359">
        <f t="shared" ref="C545:AP545" si="286">IF(AND(C$2&lt;=term_tenor,C$2&lt;=analysis_period),C543/C544,0)</f>
        <v>2919142.3839959516</v>
      </c>
      <c r="D545" s="359">
        <f t="shared" si="286"/>
        <v>2938961.9380766824</v>
      </c>
      <c r="E545" s="359">
        <f t="shared" si="286"/>
        <v>2957961.2234998713</v>
      </c>
      <c r="F545" s="359">
        <f t="shared" si="286"/>
        <v>2976162.3752343981</v>
      </c>
      <c r="G545" s="359">
        <f t="shared" si="286"/>
        <v>2993585.7538614422</v>
      </c>
      <c r="H545" s="359">
        <f t="shared" si="286"/>
        <v>3010250.0138794919</v>
      </c>
      <c r="I545" s="359">
        <f t="shared" si="286"/>
        <v>3026172.1679731947</v>
      </c>
      <c r="J545" s="359">
        <f t="shared" si="286"/>
        <v>3041367.6474287054</v>
      </c>
      <c r="K545" s="359">
        <f t="shared" si="286"/>
        <v>3055850.3588685379</v>
      </c>
      <c r="L545" s="359">
        <f t="shared" si="286"/>
        <v>3069632.7374695432</v>
      </c>
      <c r="M545" s="359">
        <f t="shared" si="286"/>
        <v>3082725.7968189581</v>
      </c>
      <c r="N545" s="359">
        <f t="shared" si="286"/>
        <v>3095139.1755549321</v>
      </c>
      <c r="O545" s="359">
        <f t="shared" si="286"/>
        <v>3042518.0892878049</v>
      </c>
      <c r="P545" s="359">
        <f t="shared" si="286"/>
        <v>0</v>
      </c>
      <c r="Q545" s="359">
        <f t="shared" si="286"/>
        <v>0</v>
      </c>
      <c r="R545" s="359">
        <f t="shared" si="286"/>
        <v>0</v>
      </c>
      <c r="S545" s="359">
        <f t="shared" si="286"/>
        <v>0</v>
      </c>
      <c r="T545" s="359">
        <f t="shared" si="286"/>
        <v>0</v>
      </c>
      <c r="U545" s="359">
        <f t="shared" si="286"/>
        <v>0</v>
      </c>
      <c r="V545" s="359">
        <f t="shared" si="286"/>
        <v>0</v>
      </c>
      <c r="W545" s="359">
        <f t="shared" si="286"/>
        <v>0</v>
      </c>
      <c r="X545" s="359">
        <f t="shared" si="286"/>
        <v>0</v>
      </c>
      <c r="Y545" s="359">
        <f t="shared" si="286"/>
        <v>0</v>
      </c>
      <c r="Z545" s="359">
        <f t="shared" si="286"/>
        <v>0</v>
      </c>
      <c r="AA545" s="359">
        <f t="shared" si="286"/>
        <v>0</v>
      </c>
      <c r="AB545" s="359">
        <f t="shared" si="286"/>
        <v>0</v>
      </c>
      <c r="AC545" s="359">
        <f t="shared" si="286"/>
        <v>0</v>
      </c>
      <c r="AD545" s="359">
        <f t="shared" si="286"/>
        <v>0</v>
      </c>
      <c r="AE545" s="359">
        <f t="shared" si="286"/>
        <v>0</v>
      </c>
      <c r="AF545" s="359">
        <f t="shared" si="286"/>
        <v>0</v>
      </c>
      <c r="AG545" s="359">
        <f t="shared" si="286"/>
        <v>0</v>
      </c>
      <c r="AH545" s="359">
        <f t="shared" si="286"/>
        <v>0</v>
      </c>
      <c r="AI545" s="359">
        <f t="shared" si="286"/>
        <v>0</v>
      </c>
      <c r="AJ545" s="359">
        <f t="shared" si="286"/>
        <v>0</v>
      </c>
      <c r="AK545" s="359">
        <f t="shared" si="286"/>
        <v>0</v>
      </c>
      <c r="AL545" s="359">
        <f t="shared" si="286"/>
        <v>0</v>
      </c>
      <c r="AM545" s="359">
        <f t="shared" si="286"/>
        <v>0</v>
      </c>
      <c r="AN545" s="359">
        <f t="shared" si="286"/>
        <v>0</v>
      </c>
      <c r="AO545" s="359">
        <f t="shared" si="286"/>
        <v>0</v>
      </c>
      <c r="AP545" s="359">
        <f t="shared" si="286"/>
        <v>0</v>
      </c>
    </row>
    <row r="546" spans="1:42" s="21" customFormat="1" x14ac:dyDescent="0.2">
      <c r="A546" s="68"/>
    </row>
    <row r="547" spans="1:42" x14ac:dyDescent="0.2">
      <c r="A547" s="31" t="s">
        <v>41</v>
      </c>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row>
    <row r="548" spans="1:42" x14ac:dyDescent="0.2">
      <c r="A548" s="35" t="s">
        <v>39</v>
      </c>
      <c r="B548" s="359">
        <v>0</v>
      </c>
      <c r="C548" s="359">
        <f>B551</f>
        <v>39209469.661949515</v>
      </c>
      <c r="D548" s="359">
        <f t="shared" ref="D548:AP548" si="287">C551</f>
        <v>39375005.096579619</v>
      </c>
      <c r="E548" s="359">
        <f t="shared" si="287"/>
        <v>39533106.826975688</v>
      </c>
      <c r="F548" s="359">
        <f t="shared" si="287"/>
        <v>39684032.979771264</v>
      </c>
      <c r="G548" s="359">
        <f t="shared" si="287"/>
        <v>39828039.605922498</v>
      </c>
      <c r="H548" s="359">
        <f t="shared" si="287"/>
        <v>39965382.429486245</v>
      </c>
      <c r="I548" s="359">
        <f t="shared" si="287"/>
        <v>40096318.670933329</v>
      </c>
      <c r="J548" s="359">
        <f t="shared" si="287"/>
        <v>40221108.955711745</v>
      </c>
      <c r="K548" s="359">
        <f t="shared" si="287"/>
        <v>40340019.319487095</v>
      </c>
      <c r="L548" s="359">
        <f t="shared" si="287"/>
        <v>40453323.322271131</v>
      </c>
      <c r="M548" s="359">
        <f t="shared" si="287"/>
        <v>40561304.284509718</v>
      </c>
      <c r="N548" s="359">
        <f t="shared" si="287"/>
        <v>40664257.659144476</v>
      </c>
      <c r="O548" s="359">
        <f t="shared" si="287"/>
        <v>40762493.554694653</v>
      </c>
      <c r="P548" s="359">
        <f t="shared" si="287"/>
        <v>40926173.37996643</v>
      </c>
      <c r="Q548" s="359">
        <f t="shared" si="287"/>
        <v>40926173.37996643</v>
      </c>
      <c r="R548" s="359">
        <f t="shared" si="287"/>
        <v>40926173.37996643</v>
      </c>
      <c r="S548" s="359">
        <f t="shared" si="287"/>
        <v>40926173.37996643</v>
      </c>
      <c r="T548" s="359">
        <f t="shared" si="287"/>
        <v>40926173.37996643</v>
      </c>
      <c r="U548" s="359">
        <f t="shared" si="287"/>
        <v>40926173.37996643</v>
      </c>
      <c r="V548" s="359">
        <f t="shared" si="287"/>
        <v>40926173.37996643</v>
      </c>
      <c r="W548" s="359">
        <f t="shared" si="287"/>
        <v>40926173.37996643</v>
      </c>
      <c r="X548" s="359">
        <f t="shared" si="287"/>
        <v>40926173.37996643</v>
      </c>
      <c r="Y548" s="359">
        <f t="shared" si="287"/>
        <v>40926173.37996643</v>
      </c>
      <c r="Z548" s="359">
        <f t="shared" si="287"/>
        <v>40926173.37996643</v>
      </c>
      <c r="AA548" s="359">
        <f t="shared" si="287"/>
        <v>40926173.37996643</v>
      </c>
      <c r="AB548" s="359">
        <f t="shared" si="287"/>
        <v>40926173.37996643</v>
      </c>
      <c r="AC548" s="359">
        <f t="shared" si="287"/>
        <v>40926173.37996643</v>
      </c>
      <c r="AD548" s="359">
        <f t="shared" si="287"/>
        <v>40926173.37996643</v>
      </c>
      <c r="AE548" s="359">
        <f t="shared" si="287"/>
        <v>40926173.37996643</v>
      </c>
      <c r="AF548" s="359">
        <f t="shared" si="287"/>
        <v>40926173.37996643</v>
      </c>
      <c r="AG548" s="359">
        <f t="shared" si="287"/>
        <v>40926173.37996643</v>
      </c>
      <c r="AH548" s="359">
        <f t="shared" si="287"/>
        <v>40926173.37996643</v>
      </c>
      <c r="AI548" s="359">
        <f t="shared" si="287"/>
        <v>40926173.37996643</v>
      </c>
      <c r="AJ548" s="359">
        <f t="shared" si="287"/>
        <v>40926173.37996643</v>
      </c>
      <c r="AK548" s="359">
        <f t="shared" si="287"/>
        <v>40926173.37996643</v>
      </c>
      <c r="AL548" s="359">
        <f t="shared" si="287"/>
        <v>40926173.37996643</v>
      </c>
      <c r="AM548" s="359">
        <f t="shared" si="287"/>
        <v>40926173.37996643</v>
      </c>
      <c r="AN548" s="359">
        <f t="shared" si="287"/>
        <v>40926173.37996643</v>
      </c>
      <c r="AO548" s="359">
        <f t="shared" si="287"/>
        <v>40926173.37996643</v>
      </c>
      <c r="AP548" s="359">
        <f t="shared" si="287"/>
        <v>40926173.37996643</v>
      </c>
    </row>
    <row r="549" spans="1:42" x14ac:dyDescent="0.2">
      <c r="A549" s="35" t="s">
        <v>40</v>
      </c>
      <c r="B549" s="359">
        <f>B545</f>
        <v>39209469.661949515</v>
      </c>
      <c r="C549" s="359">
        <v>0</v>
      </c>
      <c r="D549" s="359">
        <v>0</v>
      </c>
      <c r="E549" s="359">
        <v>0</v>
      </c>
      <c r="F549" s="359">
        <v>0</v>
      </c>
      <c r="G549" s="359">
        <v>0</v>
      </c>
      <c r="H549" s="359">
        <v>0</v>
      </c>
      <c r="I549" s="359">
        <v>0</v>
      </c>
      <c r="J549" s="359">
        <v>0</v>
      </c>
      <c r="K549" s="359">
        <v>0</v>
      </c>
      <c r="L549" s="359">
        <v>0</v>
      </c>
      <c r="M549" s="359">
        <v>0</v>
      </c>
      <c r="N549" s="359">
        <v>0</v>
      </c>
      <c r="O549" s="359">
        <v>0</v>
      </c>
      <c r="P549" s="359">
        <v>0</v>
      </c>
      <c r="Q549" s="359">
        <v>0</v>
      </c>
      <c r="R549" s="359">
        <v>0</v>
      </c>
      <c r="S549" s="359">
        <v>0</v>
      </c>
      <c r="T549" s="359">
        <v>0</v>
      </c>
      <c r="U549" s="359">
        <v>0</v>
      </c>
      <c r="V549" s="359">
        <v>0</v>
      </c>
      <c r="W549" s="359">
        <v>0</v>
      </c>
      <c r="X549" s="359">
        <v>0</v>
      </c>
      <c r="Y549" s="359">
        <v>0</v>
      </c>
      <c r="Z549" s="359">
        <v>0</v>
      </c>
      <c r="AA549" s="359">
        <v>0</v>
      </c>
      <c r="AB549" s="359">
        <v>0</v>
      </c>
      <c r="AC549" s="359">
        <v>0</v>
      </c>
      <c r="AD549" s="359">
        <v>0</v>
      </c>
      <c r="AE549" s="359">
        <v>0</v>
      </c>
      <c r="AF549" s="359">
        <v>0</v>
      </c>
      <c r="AG549" s="359">
        <v>0</v>
      </c>
      <c r="AH549" s="359">
        <v>0</v>
      </c>
      <c r="AI549" s="359">
        <v>0</v>
      </c>
      <c r="AJ549" s="359">
        <v>0</v>
      </c>
      <c r="AK549" s="359">
        <v>0</v>
      </c>
      <c r="AL549" s="359">
        <v>0</v>
      </c>
      <c r="AM549" s="359">
        <v>0</v>
      </c>
      <c r="AN549" s="359">
        <v>0</v>
      </c>
      <c r="AO549" s="359">
        <v>0</v>
      </c>
      <c r="AP549" s="359">
        <v>0</v>
      </c>
    </row>
    <row r="550" spans="1:42" x14ac:dyDescent="0.2">
      <c r="A550" s="35" t="s">
        <v>41</v>
      </c>
      <c r="B550" s="360">
        <v>0</v>
      </c>
      <c r="C550" s="360">
        <f>-C553</f>
        <v>165535.43463010155</v>
      </c>
      <c r="D550" s="360">
        <f t="shared" ref="D550:AP550" si="288">-D553</f>
        <v>158101.73039606726</v>
      </c>
      <c r="E550" s="360">
        <f t="shared" si="288"/>
        <v>150926.15279557323</v>
      </c>
      <c r="F550" s="360">
        <f t="shared" si="288"/>
        <v>144006.62615123577</v>
      </c>
      <c r="G550" s="360">
        <f t="shared" si="288"/>
        <v>137342.82356374757</v>
      </c>
      <c r="H550" s="360">
        <f t="shared" si="288"/>
        <v>130936.24144708226</v>
      </c>
      <c r="I550" s="360">
        <f t="shared" si="288"/>
        <v>124790.28477841662</v>
      </c>
      <c r="J550" s="360">
        <f t="shared" si="288"/>
        <v>118910.36377535295</v>
      </c>
      <c r="K550" s="360">
        <f t="shared" si="288"/>
        <v>113304.00278403936</v>
      </c>
      <c r="L550" s="360">
        <f t="shared" si="288"/>
        <v>107980.96223859116</v>
      </c>
      <c r="M550" s="360">
        <f t="shared" si="288"/>
        <v>102953.37463475624</v>
      </c>
      <c r="N550" s="360">
        <f t="shared" si="288"/>
        <v>98235.895550179295</v>
      </c>
      <c r="O550" s="360">
        <f t="shared" si="288"/>
        <v>163679.82527177734</v>
      </c>
      <c r="P550" s="360">
        <f t="shared" si="288"/>
        <v>0</v>
      </c>
      <c r="Q550" s="360">
        <f t="shared" si="288"/>
        <v>0</v>
      </c>
      <c r="R550" s="360">
        <f t="shared" si="288"/>
        <v>0</v>
      </c>
      <c r="S550" s="360">
        <f t="shared" si="288"/>
        <v>0</v>
      </c>
      <c r="T550" s="360">
        <f t="shared" si="288"/>
        <v>0</v>
      </c>
      <c r="U550" s="360">
        <f t="shared" si="288"/>
        <v>0</v>
      </c>
      <c r="V550" s="360">
        <f t="shared" si="288"/>
        <v>0</v>
      </c>
      <c r="W550" s="360">
        <f t="shared" si="288"/>
        <v>0</v>
      </c>
      <c r="X550" s="360">
        <f t="shared" si="288"/>
        <v>0</v>
      </c>
      <c r="Y550" s="360">
        <f t="shared" si="288"/>
        <v>0</v>
      </c>
      <c r="Z550" s="360">
        <f t="shared" si="288"/>
        <v>0</v>
      </c>
      <c r="AA550" s="360">
        <f t="shared" si="288"/>
        <v>0</v>
      </c>
      <c r="AB550" s="360">
        <f t="shared" si="288"/>
        <v>0</v>
      </c>
      <c r="AC550" s="360">
        <f t="shared" si="288"/>
        <v>0</v>
      </c>
      <c r="AD550" s="360">
        <f t="shared" si="288"/>
        <v>0</v>
      </c>
      <c r="AE550" s="360">
        <f t="shared" si="288"/>
        <v>0</v>
      </c>
      <c r="AF550" s="360">
        <f t="shared" si="288"/>
        <v>0</v>
      </c>
      <c r="AG550" s="360">
        <f t="shared" si="288"/>
        <v>0</v>
      </c>
      <c r="AH550" s="360">
        <f t="shared" si="288"/>
        <v>0</v>
      </c>
      <c r="AI550" s="360">
        <f t="shared" si="288"/>
        <v>0</v>
      </c>
      <c r="AJ550" s="360">
        <f t="shared" si="288"/>
        <v>0</v>
      </c>
      <c r="AK550" s="360">
        <f t="shared" si="288"/>
        <v>0</v>
      </c>
      <c r="AL550" s="360">
        <f t="shared" si="288"/>
        <v>0</v>
      </c>
      <c r="AM550" s="360">
        <f t="shared" si="288"/>
        <v>0</v>
      </c>
      <c r="AN550" s="360">
        <f t="shared" si="288"/>
        <v>0</v>
      </c>
      <c r="AO550" s="360">
        <f t="shared" si="288"/>
        <v>0</v>
      </c>
      <c r="AP550" s="360">
        <f t="shared" si="288"/>
        <v>0</v>
      </c>
    </row>
    <row r="551" spans="1:42" x14ac:dyDescent="0.2">
      <c r="A551" s="35" t="s">
        <v>42</v>
      </c>
      <c r="B551" s="359">
        <f>SUM(B548:B550)</f>
        <v>39209469.661949515</v>
      </c>
      <c r="C551" s="359">
        <f>SUM(C548:C550)</f>
        <v>39375005.096579619</v>
      </c>
      <c r="D551" s="359">
        <f t="shared" ref="D551:AP551" si="289">SUM(D548:D550)</f>
        <v>39533106.826975688</v>
      </c>
      <c r="E551" s="359">
        <f t="shared" si="289"/>
        <v>39684032.979771264</v>
      </c>
      <c r="F551" s="359">
        <f t="shared" si="289"/>
        <v>39828039.605922498</v>
      </c>
      <c r="G551" s="359">
        <f t="shared" si="289"/>
        <v>39965382.429486245</v>
      </c>
      <c r="H551" s="359">
        <f t="shared" si="289"/>
        <v>40096318.670933329</v>
      </c>
      <c r="I551" s="359">
        <f t="shared" si="289"/>
        <v>40221108.955711745</v>
      </c>
      <c r="J551" s="359">
        <f t="shared" si="289"/>
        <v>40340019.319487095</v>
      </c>
      <c r="K551" s="359">
        <f t="shared" si="289"/>
        <v>40453323.322271131</v>
      </c>
      <c r="L551" s="359">
        <f t="shared" si="289"/>
        <v>40561304.284509718</v>
      </c>
      <c r="M551" s="359">
        <f t="shared" si="289"/>
        <v>40664257.659144476</v>
      </c>
      <c r="N551" s="359">
        <f t="shared" si="289"/>
        <v>40762493.554694653</v>
      </c>
      <c r="O551" s="359">
        <f t="shared" si="289"/>
        <v>40926173.37996643</v>
      </c>
      <c r="P551" s="359">
        <f t="shared" si="289"/>
        <v>40926173.37996643</v>
      </c>
      <c r="Q551" s="359">
        <f t="shared" si="289"/>
        <v>40926173.37996643</v>
      </c>
      <c r="R551" s="359">
        <f t="shared" si="289"/>
        <v>40926173.37996643</v>
      </c>
      <c r="S551" s="359">
        <f t="shared" si="289"/>
        <v>40926173.37996643</v>
      </c>
      <c r="T551" s="359">
        <f t="shared" si="289"/>
        <v>40926173.37996643</v>
      </c>
      <c r="U551" s="359">
        <f t="shared" si="289"/>
        <v>40926173.37996643</v>
      </c>
      <c r="V551" s="359">
        <f t="shared" si="289"/>
        <v>40926173.37996643</v>
      </c>
      <c r="W551" s="359">
        <f t="shared" si="289"/>
        <v>40926173.37996643</v>
      </c>
      <c r="X551" s="359">
        <f t="shared" si="289"/>
        <v>40926173.37996643</v>
      </c>
      <c r="Y551" s="359">
        <f t="shared" si="289"/>
        <v>40926173.37996643</v>
      </c>
      <c r="Z551" s="359">
        <f t="shared" si="289"/>
        <v>40926173.37996643</v>
      </c>
      <c r="AA551" s="359">
        <f t="shared" si="289"/>
        <v>40926173.37996643</v>
      </c>
      <c r="AB551" s="359">
        <f t="shared" si="289"/>
        <v>40926173.37996643</v>
      </c>
      <c r="AC551" s="359">
        <f t="shared" si="289"/>
        <v>40926173.37996643</v>
      </c>
      <c r="AD551" s="359">
        <f t="shared" si="289"/>
        <v>40926173.37996643</v>
      </c>
      <c r="AE551" s="359">
        <f t="shared" si="289"/>
        <v>40926173.37996643</v>
      </c>
      <c r="AF551" s="359">
        <f t="shared" si="289"/>
        <v>40926173.37996643</v>
      </c>
      <c r="AG551" s="359">
        <f t="shared" si="289"/>
        <v>40926173.37996643</v>
      </c>
      <c r="AH551" s="359">
        <f t="shared" si="289"/>
        <v>40926173.37996643</v>
      </c>
      <c r="AI551" s="359">
        <f t="shared" si="289"/>
        <v>40926173.37996643</v>
      </c>
      <c r="AJ551" s="359">
        <f t="shared" si="289"/>
        <v>40926173.37996643</v>
      </c>
      <c r="AK551" s="359">
        <f t="shared" si="289"/>
        <v>40926173.37996643</v>
      </c>
      <c r="AL551" s="359">
        <f t="shared" si="289"/>
        <v>40926173.37996643</v>
      </c>
      <c r="AM551" s="359">
        <f t="shared" si="289"/>
        <v>40926173.37996643</v>
      </c>
      <c r="AN551" s="359">
        <f t="shared" si="289"/>
        <v>40926173.37996643</v>
      </c>
      <c r="AO551" s="359">
        <f t="shared" si="289"/>
        <v>40926173.37996643</v>
      </c>
      <c r="AP551" s="359">
        <f t="shared" si="289"/>
        <v>40926173.37996643</v>
      </c>
    </row>
    <row r="552" spans="1:42" x14ac:dyDescent="0.2">
      <c r="A552" s="31"/>
      <c r="B552" s="359"/>
      <c r="C552" s="359"/>
      <c r="D552" s="359"/>
      <c r="E552" s="359"/>
      <c r="F552" s="359"/>
      <c r="G552" s="359"/>
      <c r="H552" s="359"/>
      <c r="I552" s="359"/>
      <c r="J552" s="359"/>
      <c r="K552" s="359"/>
      <c r="L552" s="359"/>
      <c r="M552" s="359"/>
      <c r="N552" s="359"/>
      <c r="O552" s="359"/>
      <c r="P552" s="359"/>
      <c r="Q552" s="359"/>
      <c r="R552" s="359"/>
      <c r="S552" s="359"/>
      <c r="T552" s="359"/>
      <c r="U552" s="359"/>
      <c r="V552" s="359"/>
      <c r="W552" s="359"/>
      <c r="X552" s="359"/>
      <c r="Y552" s="359"/>
      <c r="Z552" s="359"/>
      <c r="AA552" s="359"/>
      <c r="AB552" s="359"/>
      <c r="AC552" s="359"/>
      <c r="AD552" s="359"/>
      <c r="AE552" s="359"/>
      <c r="AF552" s="359"/>
      <c r="AG552" s="359"/>
      <c r="AH552" s="359"/>
      <c r="AI552" s="359"/>
      <c r="AJ552" s="359"/>
      <c r="AK552" s="359"/>
      <c r="AL552" s="359"/>
      <c r="AM552" s="359"/>
      <c r="AN552" s="359"/>
      <c r="AO552" s="359"/>
      <c r="AP552" s="359"/>
    </row>
    <row r="553" spans="1:42" x14ac:dyDescent="0.2">
      <c r="A553" s="35" t="s">
        <v>43</v>
      </c>
      <c r="B553" s="365">
        <f>SUM(C553:AP553)</f>
        <v>-1716703.7180169206</v>
      </c>
      <c r="C553" s="359">
        <f>C555-C554</f>
        <v>-165535.43463010155</v>
      </c>
      <c r="D553" s="359">
        <f t="shared" ref="D553:AP553" si="290">D555-D554</f>
        <v>-158101.73039606726</v>
      </c>
      <c r="E553" s="359">
        <f t="shared" si="290"/>
        <v>-150926.15279557323</v>
      </c>
      <c r="F553" s="359">
        <f t="shared" si="290"/>
        <v>-144006.62615123577</v>
      </c>
      <c r="G553" s="359">
        <f t="shared" si="290"/>
        <v>-137342.82356374757</v>
      </c>
      <c r="H553" s="359">
        <f t="shared" si="290"/>
        <v>-130936.24144708226</v>
      </c>
      <c r="I553" s="359">
        <f t="shared" si="290"/>
        <v>-124790.28477841662</v>
      </c>
      <c r="J553" s="359">
        <f t="shared" si="290"/>
        <v>-118910.36377535295</v>
      </c>
      <c r="K553" s="359">
        <f t="shared" si="290"/>
        <v>-113304.00278403936</v>
      </c>
      <c r="L553" s="359">
        <f t="shared" si="290"/>
        <v>-107980.96223859116</v>
      </c>
      <c r="M553" s="359">
        <f t="shared" si="290"/>
        <v>-102953.37463475624</v>
      </c>
      <c r="N553" s="359">
        <f t="shared" si="290"/>
        <v>-98235.895550179295</v>
      </c>
      <c r="O553" s="359">
        <f t="shared" si="290"/>
        <v>-163679.82527177734</v>
      </c>
      <c r="P553" s="359">
        <f t="shared" si="290"/>
        <v>0</v>
      </c>
      <c r="Q553" s="359">
        <f t="shared" si="290"/>
        <v>0</v>
      </c>
      <c r="R553" s="359">
        <f t="shared" si="290"/>
        <v>0</v>
      </c>
      <c r="S553" s="359">
        <f t="shared" si="290"/>
        <v>0</v>
      </c>
      <c r="T553" s="359">
        <f t="shared" si="290"/>
        <v>0</v>
      </c>
      <c r="U553" s="359">
        <f t="shared" si="290"/>
        <v>0</v>
      </c>
      <c r="V553" s="359">
        <f t="shared" si="290"/>
        <v>0</v>
      </c>
      <c r="W553" s="359">
        <f t="shared" si="290"/>
        <v>0</v>
      </c>
      <c r="X553" s="359">
        <f t="shared" si="290"/>
        <v>0</v>
      </c>
      <c r="Y553" s="359">
        <f t="shared" si="290"/>
        <v>0</v>
      </c>
      <c r="Z553" s="359">
        <f t="shared" si="290"/>
        <v>0</v>
      </c>
      <c r="AA553" s="359">
        <f t="shared" si="290"/>
        <v>0</v>
      </c>
      <c r="AB553" s="359">
        <f t="shared" si="290"/>
        <v>0</v>
      </c>
      <c r="AC553" s="359">
        <f t="shared" si="290"/>
        <v>0</v>
      </c>
      <c r="AD553" s="359">
        <f t="shared" si="290"/>
        <v>0</v>
      </c>
      <c r="AE553" s="359">
        <f t="shared" si="290"/>
        <v>0</v>
      </c>
      <c r="AF553" s="359">
        <f t="shared" si="290"/>
        <v>0</v>
      </c>
      <c r="AG553" s="359">
        <f t="shared" si="290"/>
        <v>0</v>
      </c>
      <c r="AH553" s="359">
        <f t="shared" si="290"/>
        <v>0</v>
      </c>
      <c r="AI553" s="359">
        <f t="shared" si="290"/>
        <v>0</v>
      </c>
      <c r="AJ553" s="359">
        <f t="shared" si="290"/>
        <v>0</v>
      </c>
      <c r="AK553" s="359">
        <f t="shared" si="290"/>
        <v>0</v>
      </c>
      <c r="AL553" s="359">
        <f t="shared" si="290"/>
        <v>0</v>
      </c>
      <c r="AM553" s="359">
        <f t="shared" si="290"/>
        <v>0</v>
      </c>
      <c r="AN553" s="359">
        <f t="shared" si="290"/>
        <v>0</v>
      </c>
      <c r="AO553" s="359">
        <f t="shared" si="290"/>
        <v>0</v>
      </c>
      <c r="AP553" s="359">
        <f t="shared" si="290"/>
        <v>0</v>
      </c>
    </row>
    <row r="554" spans="1:42" x14ac:dyDescent="0.2">
      <c r="A554" s="35" t="s">
        <v>44</v>
      </c>
      <c r="B554" s="365">
        <f>SUM(C554:AP554)</f>
        <v>44258978.301232159</v>
      </c>
      <c r="C554" s="360">
        <f t="shared" ref="C554:AP554" si="291">IF(AND(C$2&lt;=term_tenor,C$2&lt;=analysis_period),B551*C537/100,0)</f>
        <v>3332804.9212657087</v>
      </c>
      <c r="D554" s="360">
        <f t="shared" si="291"/>
        <v>3346875.4332092679</v>
      </c>
      <c r="E554" s="360">
        <f t="shared" si="291"/>
        <v>3360314.0802929336</v>
      </c>
      <c r="F554" s="360">
        <f t="shared" si="291"/>
        <v>3373142.8032805575</v>
      </c>
      <c r="G554" s="360">
        <f t="shared" si="291"/>
        <v>3385383.3665034119</v>
      </c>
      <c r="H554" s="360">
        <f t="shared" si="291"/>
        <v>3397057.5065063308</v>
      </c>
      <c r="I554" s="360">
        <f t="shared" si="291"/>
        <v>3408187.0870293332</v>
      </c>
      <c r="J554" s="360">
        <f t="shared" si="291"/>
        <v>3418794.2612354984</v>
      </c>
      <c r="K554" s="360">
        <f t="shared" si="291"/>
        <v>3428901.642156403</v>
      </c>
      <c r="L554" s="360">
        <f t="shared" si="291"/>
        <v>3438532.4823930459</v>
      </c>
      <c r="M554" s="360">
        <f t="shared" si="291"/>
        <v>3447710.8641833258</v>
      </c>
      <c r="N554" s="360">
        <f t="shared" si="291"/>
        <v>3456461.9010272808</v>
      </c>
      <c r="O554" s="360">
        <f t="shared" si="291"/>
        <v>3464811.9521490457</v>
      </c>
      <c r="P554" s="360">
        <f t="shared" si="291"/>
        <v>0</v>
      </c>
      <c r="Q554" s="360">
        <f t="shared" si="291"/>
        <v>0</v>
      </c>
      <c r="R554" s="360">
        <f t="shared" si="291"/>
        <v>0</v>
      </c>
      <c r="S554" s="360">
        <f t="shared" si="291"/>
        <v>0</v>
      </c>
      <c r="T554" s="360">
        <f t="shared" si="291"/>
        <v>0</v>
      </c>
      <c r="U554" s="360">
        <f t="shared" si="291"/>
        <v>0</v>
      </c>
      <c r="V554" s="360">
        <f t="shared" si="291"/>
        <v>0</v>
      </c>
      <c r="W554" s="360">
        <f t="shared" si="291"/>
        <v>0</v>
      </c>
      <c r="X554" s="360">
        <f t="shared" si="291"/>
        <v>0</v>
      </c>
      <c r="Y554" s="360">
        <f t="shared" si="291"/>
        <v>0</v>
      </c>
      <c r="Z554" s="360">
        <f t="shared" si="291"/>
        <v>0</v>
      </c>
      <c r="AA554" s="360">
        <f t="shared" si="291"/>
        <v>0</v>
      </c>
      <c r="AB554" s="360">
        <f t="shared" si="291"/>
        <v>0</v>
      </c>
      <c r="AC554" s="360">
        <f t="shared" si="291"/>
        <v>0</v>
      </c>
      <c r="AD554" s="360">
        <f t="shared" si="291"/>
        <v>0</v>
      </c>
      <c r="AE554" s="360">
        <f t="shared" si="291"/>
        <v>0</v>
      </c>
      <c r="AF554" s="360">
        <f t="shared" si="291"/>
        <v>0</v>
      </c>
      <c r="AG554" s="360">
        <f t="shared" si="291"/>
        <v>0</v>
      </c>
      <c r="AH554" s="360">
        <f t="shared" si="291"/>
        <v>0</v>
      </c>
      <c r="AI554" s="360">
        <f t="shared" si="291"/>
        <v>0</v>
      </c>
      <c r="AJ554" s="360">
        <f t="shared" si="291"/>
        <v>0</v>
      </c>
      <c r="AK554" s="360">
        <f t="shared" si="291"/>
        <v>0</v>
      </c>
      <c r="AL554" s="360">
        <f t="shared" si="291"/>
        <v>0</v>
      </c>
      <c r="AM554" s="360">
        <f t="shared" si="291"/>
        <v>0</v>
      </c>
      <c r="AN554" s="360">
        <f t="shared" si="291"/>
        <v>0</v>
      </c>
      <c r="AO554" s="360">
        <f t="shared" si="291"/>
        <v>0</v>
      </c>
      <c r="AP554" s="360">
        <f t="shared" si="291"/>
        <v>0</v>
      </c>
    </row>
    <row r="555" spans="1:42" x14ac:dyDescent="0.2">
      <c r="A555" s="35" t="s">
        <v>45</v>
      </c>
      <c r="B555" s="365">
        <f>SUM(C555:AP555)</f>
        <v>42542274.583215222</v>
      </c>
      <c r="C555" s="359">
        <f>IF(C544&gt;0,C542/C544,0)</f>
        <v>3167269.4866356072</v>
      </c>
      <c r="D555" s="359">
        <f>IF(D544&gt;0,D542/D544,0)</f>
        <v>3188773.7028132007</v>
      </c>
      <c r="E555" s="359">
        <f t="shared" ref="E555:AP555" si="292">IF(E544&gt;0,E542/E544,0)</f>
        <v>3209387.9274973604</v>
      </c>
      <c r="F555" s="359">
        <f t="shared" si="292"/>
        <v>3229136.1771293217</v>
      </c>
      <c r="G555" s="359">
        <f t="shared" si="292"/>
        <v>3248040.5429396643</v>
      </c>
      <c r="H555" s="359">
        <f t="shared" si="292"/>
        <v>3266121.2650592485</v>
      </c>
      <c r="I555" s="359">
        <f t="shared" si="292"/>
        <v>3283396.8022509166</v>
      </c>
      <c r="J555" s="359">
        <f t="shared" si="292"/>
        <v>3299883.8974601454</v>
      </c>
      <c r="K555" s="359">
        <f t="shared" si="292"/>
        <v>3315597.6393723637</v>
      </c>
      <c r="L555" s="359">
        <f t="shared" si="292"/>
        <v>3330551.5201544547</v>
      </c>
      <c r="M555" s="359">
        <f t="shared" si="292"/>
        <v>3344757.4895485695</v>
      </c>
      <c r="N555" s="359">
        <f t="shared" si="292"/>
        <v>3358226.0054771015</v>
      </c>
      <c r="O555" s="359">
        <f t="shared" si="292"/>
        <v>3301132.1268772683</v>
      </c>
      <c r="P555" s="359">
        <f t="shared" si="292"/>
        <v>0</v>
      </c>
      <c r="Q555" s="359">
        <f t="shared" si="292"/>
        <v>0</v>
      </c>
      <c r="R555" s="359">
        <f t="shared" si="292"/>
        <v>0</v>
      </c>
      <c r="S555" s="359">
        <f t="shared" si="292"/>
        <v>0</v>
      </c>
      <c r="T555" s="359">
        <f t="shared" si="292"/>
        <v>0</v>
      </c>
      <c r="U555" s="359">
        <f t="shared" si="292"/>
        <v>0</v>
      </c>
      <c r="V555" s="359">
        <f t="shared" si="292"/>
        <v>0</v>
      </c>
      <c r="W555" s="359">
        <f t="shared" si="292"/>
        <v>0</v>
      </c>
      <c r="X555" s="359">
        <f t="shared" si="292"/>
        <v>0</v>
      </c>
      <c r="Y555" s="359">
        <f t="shared" si="292"/>
        <v>0</v>
      </c>
      <c r="Z555" s="359">
        <f t="shared" si="292"/>
        <v>0</v>
      </c>
      <c r="AA555" s="359">
        <f t="shared" si="292"/>
        <v>0</v>
      </c>
      <c r="AB555" s="359">
        <f t="shared" si="292"/>
        <v>0</v>
      </c>
      <c r="AC555" s="359">
        <f t="shared" si="292"/>
        <v>0</v>
      </c>
      <c r="AD555" s="359">
        <f t="shared" si="292"/>
        <v>0</v>
      </c>
      <c r="AE555" s="359">
        <f t="shared" si="292"/>
        <v>0</v>
      </c>
      <c r="AF555" s="359">
        <f t="shared" si="292"/>
        <v>0</v>
      </c>
      <c r="AG555" s="359">
        <f t="shared" si="292"/>
        <v>0</v>
      </c>
      <c r="AH555" s="359">
        <f t="shared" si="292"/>
        <v>0</v>
      </c>
      <c r="AI555" s="359">
        <f t="shared" si="292"/>
        <v>0</v>
      </c>
      <c r="AJ555" s="359">
        <f t="shared" si="292"/>
        <v>0</v>
      </c>
      <c r="AK555" s="359">
        <f t="shared" si="292"/>
        <v>0</v>
      </c>
      <c r="AL555" s="359">
        <f t="shared" si="292"/>
        <v>0</v>
      </c>
      <c r="AM555" s="359">
        <f t="shared" si="292"/>
        <v>0</v>
      </c>
      <c r="AN555" s="359">
        <f t="shared" si="292"/>
        <v>0</v>
      </c>
      <c r="AO555" s="359">
        <f t="shared" si="292"/>
        <v>0</v>
      </c>
      <c r="AP555" s="359">
        <f t="shared" si="292"/>
        <v>0</v>
      </c>
    </row>
    <row r="556" spans="1:42" x14ac:dyDescent="0.2">
      <c r="A556" s="39"/>
    </row>
    <row r="557" spans="1:42" x14ac:dyDescent="0.2">
      <c r="A557" s="31" t="s">
        <v>47</v>
      </c>
    </row>
    <row r="558" spans="1:42" x14ac:dyDescent="0.2">
      <c r="A558" s="35" t="s">
        <v>48</v>
      </c>
      <c r="B558" s="365">
        <f>SUM(C558:AP558)</f>
        <v>57432070.68734055</v>
      </c>
      <c r="C558" s="359">
        <f t="shared" ref="C558:AP558" si="293">IF(C$2&lt;=term_tenor,C39-C579-C611-C643,0)</f>
        <v>4275813.80695807</v>
      </c>
      <c r="D558" s="359">
        <f t="shared" si="293"/>
        <v>4304844.4987978209</v>
      </c>
      <c r="E558" s="359">
        <f t="shared" si="293"/>
        <v>4332673.7021214366</v>
      </c>
      <c r="F558" s="359">
        <f t="shared" si="293"/>
        <v>4359333.8391245846</v>
      </c>
      <c r="G558" s="359">
        <f t="shared" si="293"/>
        <v>4384854.7329685474</v>
      </c>
      <c r="H558" s="359">
        <f t="shared" si="293"/>
        <v>4409263.7078299858</v>
      </c>
      <c r="I558" s="359">
        <f t="shared" si="293"/>
        <v>4432585.6830387376</v>
      </c>
      <c r="J558" s="359">
        <f t="shared" si="293"/>
        <v>4454843.2615711968</v>
      </c>
      <c r="K558" s="359">
        <f t="shared" si="293"/>
        <v>4476056.8131526913</v>
      </c>
      <c r="L558" s="359">
        <f t="shared" si="293"/>
        <v>4496244.552208514</v>
      </c>
      <c r="M558" s="359">
        <f t="shared" si="293"/>
        <v>4515422.6108905692</v>
      </c>
      <c r="N558" s="359">
        <f t="shared" si="293"/>
        <v>4533605.1073940871</v>
      </c>
      <c r="O558" s="359">
        <f t="shared" si="293"/>
        <v>4456528.3712843126</v>
      </c>
      <c r="P558" s="359">
        <f t="shared" si="293"/>
        <v>0</v>
      </c>
      <c r="Q558" s="359">
        <f t="shared" si="293"/>
        <v>0</v>
      </c>
      <c r="R558" s="359">
        <f t="shared" si="293"/>
        <v>0</v>
      </c>
      <c r="S558" s="359">
        <f t="shared" si="293"/>
        <v>0</v>
      </c>
      <c r="T558" s="359">
        <f t="shared" si="293"/>
        <v>0</v>
      </c>
      <c r="U558" s="359">
        <f t="shared" si="293"/>
        <v>0</v>
      </c>
      <c r="V558" s="359">
        <f t="shared" si="293"/>
        <v>0</v>
      </c>
      <c r="W558" s="359">
        <f t="shared" si="293"/>
        <v>0</v>
      </c>
      <c r="X558" s="359">
        <f t="shared" si="293"/>
        <v>0</v>
      </c>
      <c r="Y558" s="359">
        <f t="shared" si="293"/>
        <v>0</v>
      </c>
      <c r="Z558" s="359">
        <f t="shared" si="293"/>
        <v>0</v>
      </c>
      <c r="AA558" s="359">
        <f t="shared" si="293"/>
        <v>0</v>
      </c>
      <c r="AB558" s="359">
        <f t="shared" si="293"/>
        <v>0</v>
      </c>
      <c r="AC558" s="359">
        <f t="shared" si="293"/>
        <v>0</v>
      </c>
      <c r="AD558" s="359">
        <f t="shared" si="293"/>
        <v>0</v>
      </c>
      <c r="AE558" s="359">
        <f t="shared" si="293"/>
        <v>0</v>
      </c>
      <c r="AF558" s="359">
        <f t="shared" si="293"/>
        <v>0</v>
      </c>
      <c r="AG558" s="359">
        <f t="shared" si="293"/>
        <v>0</v>
      </c>
      <c r="AH558" s="359">
        <f t="shared" si="293"/>
        <v>0</v>
      </c>
      <c r="AI558" s="359">
        <f t="shared" si="293"/>
        <v>0</v>
      </c>
      <c r="AJ558" s="359">
        <f t="shared" si="293"/>
        <v>0</v>
      </c>
      <c r="AK558" s="359">
        <f t="shared" si="293"/>
        <v>0</v>
      </c>
      <c r="AL558" s="359">
        <f t="shared" si="293"/>
        <v>0</v>
      </c>
      <c r="AM558" s="359">
        <f t="shared" si="293"/>
        <v>0</v>
      </c>
      <c r="AN558" s="359">
        <f t="shared" si="293"/>
        <v>0</v>
      </c>
      <c r="AO558" s="359">
        <f t="shared" si="293"/>
        <v>0</v>
      </c>
      <c r="AP558" s="359">
        <f t="shared" si="293"/>
        <v>0</v>
      </c>
    </row>
    <row r="559" spans="1:42" x14ac:dyDescent="0.2">
      <c r="A559" s="35" t="s">
        <v>49</v>
      </c>
      <c r="B559" s="365">
        <f>SUM(C559:AP559)</f>
        <v>42542274.583215222</v>
      </c>
      <c r="C559" s="359">
        <f>C555</f>
        <v>3167269.4866356072</v>
      </c>
      <c r="D559" s="359">
        <f t="shared" ref="D559:AP559" si="294">D555</f>
        <v>3188773.7028132007</v>
      </c>
      <c r="E559" s="359">
        <f t="shared" si="294"/>
        <v>3209387.9274973604</v>
      </c>
      <c r="F559" s="359">
        <f t="shared" si="294"/>
        <v>3229136.1771293217</v>
      </c>
      <c r="G559" s="359">
        <f t="shared" si="294"/>
        <v>3248040.5429396643</v>
      </c>
      <c r="H559" s="359">
        <f t="shared" si="294"/>
        <v>3266121.2650592485</v>
      </c>
      <c r="I559" s="359">
        <f t="shared" si="294"/>
        <v>3283396.8022509166</v>
      </c>
      <c r="J559" s="359">
        <f t="shared" si="294"/>
        <v>3299883.8974601454</v>
      </c>
      <c r="K559" s="359">
        <f t="shared" si="294"/>
        <v>3315597.6393723637</v>
      </c>
      <c r="L559" s="359">
        <f t="shared" si="294"/>
        <v>3330551.5201544547</v>
      </c>
      <c r="M559" s="359">
        <f t="shared" si="294"/>
        <v>3344757.4895485695</v>
      </c>
      <c r="N559" s="359">
        <f t="shared" si="294"/>
        <v>3358226.0054771015</v>
      </c>
      <c r="O559" s="359">
        <f t="shared" si="294"/>
        <v>3301132.1268772683</v>
      </c>
      <c r="P559" s="359">
        <f t="shared" si="294"/>
        <v>0</v>
      </c>
      <c r="Q559" s="359">
        <f t="shared" si="294"/>
        <v>0</v>
      </c>
      <c r="R559" s="359">
        <f t="shared" si="294"/>
        <v>0</v>
      </c>
      <c r="S559" s="359">
        <f t="shared" si="294"/>
        <v>0</v>
      </c>
      <c r="T559" s="359">
        <f t="shared" si="294"/>
        <v>0</v>
      </c>
      <c r="U559" s="359">
        <f t="shared" si="294"/>
        <v>0</v>
      </c>
      <c r="V559" s="359">
        <f t="shared" si="294"/>
        <v>0</v>
      </c>
      <c r="W559" s="359">
        <f t="shared" si="294"/>
        <v>0</v>
      </c>
      <c r="X559" s="359">
        <f t="shared" si="294"/>
        <v>0</v>
      </c>
      <c r="Y559" s="359">
        <f t="shared" si="294"/>
        <v>0</v>
      </c>
      <c r="Z559" s="359">
        <f t="shared" si="294"/>
        <v>0</v>
      </c>
      <c r="AA559" s="359">
        <f t="shared" si="294"/>
        <v>0</v>
      </c>
      <c r="AB559" s="359">
        <f t="shared" si="294"/>
        <v>0</v>
      </c>
      <c r="AC559" s="359">
        <f t="shared" si="294"/>
        <v>0</v>
      </c>
      <c r="AD559" s="359">
        <f t="shared" si="294"/>
        <v>0</v>
      </c>
      <c r="AE559" s="359">
        <f t="shared" si="294"/>
        <v>0</v>
      </c>
      <c r="AF559" s="359">
        <f t="shared" si="294"/>
        <v>0</v>
      </c>
      <c r="AG559" s="359">
        <f t="shared" si="294"/>
        <v>0</v>
      </c>
      <c r="AH559" s="359">
        <f t="shared" si="294"/>
        <v>0</v>
      </c>
      <c r="AI559" s="359">
        <f t="shared" si="294"/>
        <v>0</v>
      </c>
      <c r="AJ559" s="359">
        <f t="shared" si="294"/>
        <v>0</v>
      </c>
      <c r="AK559" s="359">
        <f t="shared" si="294"/>
        <v>0</v>
      </c>
      <c r="AL559" s="359">
        <f t="shared" si="294"/>
        <v>0</v>
      </c>
      <c r="AM559" s="359">
        <f t="shared" si="294"/>
        <v>0</v>
      </c>
      <c r="AN559" s="359">
        <f t="shared" si="294"/>
        <v>0</v>
      </c>
      <c r="AO559" s="359">
        <f t="shared" si="294"/>
        <v>0</v>
      </c>
      <c r="AP559" s="359">
        <f t="shared" si="294"/>
        <v>0</v>
      </c>
    </row>
    <row r="560" spans="1:42" x14ac:dyDescent="0.2">
      <c r="A560" s="35" t="s">
        <v>47</v>
      </c>
      <c r="C560" s="357">
        <f t="shared" ref="C560:AP560" si="295">IF(ISERROR(IF(C$2&lt;=term_tenor,C558/C559,"")),0,IF(C$2&lt;=term_tenor,C558/C559,""))</f>
        <v>1.35</v>
      </c>
      <c r="D560" s="357">
        <f t="shared" si="295"/>
        <v>1.35</v>
      </c>
      <c r="E560" s="357">
        <f t="shared" si="295"/>
        <v>1.35</v>
      </c>
      <c r="F560" s="357">
        <f t="shared" si="295"/>
        <v>1.35</v>
      </c>
      <c r="G560" s="357">
        <f t="shared" si="295"/>
        <v>1.35</v>
      </c>
      <c r="H560" s="357">
        <f t="shared" si="295"/>
        <v>1.35</v>
      </c>
      <c r="I560" s="357">
        <f t="shared" si="295"/>
        <v>1.35</v>
      </c>
      <c r="J560" s="357">
        <f t="shared" si="295"/>
        <v>1.35</v>
      </c>
      <c r="K560" s="357">
        <f t="shared" si="295"/>
        <v>1.35</v>
      </c>
      <c r="L560" s="357">
        <f t="shared" si="295"/>
        <v>1.35</v>
      </c>
      <c r="M560" s="357">
        <f t="shared" si="295"/>
        <v>1.35</v>
      </c>
      <c r="N560" s="357">
        <f t="shared" si="295"/>
        <v>1.35</v>
      </c>
      <c r="O560" s="357">
        <f t="shared" si="295"/>
        <v>1.35</v>
      </c>
      <c r="P560" s="357" t="str">
        <f t="shared" si="295"/>
        <v/>
      </c>
      <c r="Q560" s="357" t="str">
        <f t="shared" si="295"/>
        <v/>
      </c>
      <c r="R560" s="357" t="str">
        <f t="shared" si="295"/>
        <v/>
      </c>
      <c r="S560" s="357" t="str">
        <f t="shared" si="295"/>
        <v/>
      </c>
      <c r="T560" s="357" t="str">
        <f t="shared" si="295"/>
        <v/>
      </c>
      <c r="U560" s="357" t="str">
        <f t="shared" si="295"/>
        <v/>
      </c>
      <c r="V560" s="357" t="str">
        <f t="shared" si="295"/>
        <v/>
      </c>
      <c r="W560" s="357" t="str">
        <f t="shared" si="295"/>
        <v/>
      </c>
      <c r="X560" s="357" t="str">
        <f t="shared" si="295"/>
        <v/>
      </c>
      <c r="Y560" s="357" t="str">
        <f t="shared" si="295"/>
        <v/>
      </c>
      <c r="Z560" s="357" t="str">
        <f t="shared" si="295"/>
        <v/>
      </c>
      <c r="AA560" s="357" t="str">
        <f t="shared" si="295"/>
        <v/>
      </c>
      <c r="AB560" s="357" t="str">
        <f t="shared" si="295"/>
        <v/>
      </c>
      <c r="AC560" s="357" t="str">
        <f t="shared" si="295"/>
        <v/>
      </c>
      <c r="AD560" s="357" t="str">
        <f t="shared" si="295"/>
        <v/>
      </c>
      <c r="AE560" s="357" t="str">
        <f t="shared" si="295"/>
        <v/>
      </c>
      <c r="AF560" s="357" t="str">
        <f t="shared" si="295"/>
        <v/>
      </c>
      <c r="AG560" s="357" t="str">
        <f t="shared" si="295"/>
        <v/>
      </c>
      <c r="AH560" s="357" t="str">
        <f t="shared" si="295"/>
        <v/>
      </c>
      <c r="AI560" s="357" t="str">
        <f t="shared" si="295"/>
        <v/>
      </c>
      <c r="AJ560" s="357" t="str">
        <f t="shared" si="295"/>
        <v/>
      </c>
      <c r="AK560" s="357" t="str">
        <f t="shared" si="295"/>
        <v/>
      </c>
      <c r="AL560" s="357" t="str">
        <f t="shared" si="295"/>
        <v/>
      </c>
      <c r="AM560" s="357" t="str">
        <f t="shared" si="295"/>
        <v/>
      </c>
      <c r="AN560" s="357" t="str">
        <f t="shared" si="295"/>
        <v/>
      </c>
      <c r="AO560" s="357" t="str">
        <f t="shared" si="295"/>
        <v/>
      </c>
      <c r="AP560" s="357" t="str">
        <f t="shared" si="295"/>
        <v/>
      </c>
    </row>
    <row r="561" spans="1:42" x14ac:dyDescent="0.2">
      <c r="A561" s="35" t="s">
        <v>50</v>
      </c>
      <c r="B561" s="364">
        <f>IF(ISERROR(B558/B559),0,B558/B559)</f>
        <v>1.35</v>
      </c>
    </row>
    <row r="562" spans="1:42" x14ac:dyDescent="0.2">
      <c r="A562" s="35" t="s">
        <v>51</v>
      </c>
      <c r="B562" s="364">
        <f>MIN(C560:AP560)</f>
        <v>1.35</v>
      </c>
    </row>
    <row r="563" spans="1:42" x14ac:dyDescent="0.2">
      <c r="A563" s="39"/>
      <c r="B563" s="62"/>
    </row>
    <row r="564" spans="1:42" x14ac:dyDescent="0.2">
      <c r="A564" s="30" t="s">
        <v>110</v>
      </c>
      <c r="B564" s="25"/>
      <c r="C564" s="25"/>
      <c r="D564" s="25"/>
      <c r="E564" s="25"/>
      <c r="F564" s="25"/>
      <c r="G564" s="36"/>
      <c r="H564" s="36"/>
      <c r="I564" s="36"/>
      <c r="J564" s="36"/>
      <c r="K564" s="36"/>
      <c r="L564" s="36"/>
      <c r="M564" s="36"/>
      <c r="N564" s="36"/>
      <c r="O564" s="36"/>
      <c r="P564" s="36"/>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row>
    <row r="565" spans="1:42" x14ac:dyDescent="0.2">
      <c r="A565" s="33" t="s">
        <v>37</v>
      </c>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row>
    <row r="566" spans="1:42" x14ac:dyDescent="0.2">
      <c r="A566" s="7" t="s">
        <v>39</v>
      </c>
      <c r="B566" s="393">
        <v>0</v>
      </c>
      <c r="C566" s="393">
        <f>B569</f>
        <v>1583634.7433178036</v>
      </c>
      <c r="D566" s="393">
        <f t="shared" ref="D566:AP566" si="296">C569</f>
        <v>1594386.8514066003</v>
      </c>
      <c r="E566" s="393">
        <f t="shared" si="296"/>
        <v>1604693.9637486802</v>
      </c>
      <c r="F566" s="393">
        <f t="shared" si="296"/>
        <v>1614568.0885646609</v>
      </c>
      <c r="G566" s="393">
        <f t="shared" si="296"/>
        <v>1624020.2714698322</v>
      </c>
      <c r="H566" s="393">
        <f t="shared" si="296"/>
        <v>1633060.6325296243</v>
      </c>
      <c r="I566" s="393">
        <f t="shared" si="296"/>
        <v>1641698.4011254583</v>
      </c>
      <c r="J566" s="393">
        <f t="shared" si="296"/>
        <v>1649941.9487300727</v>
      </c>
      <c r="K566" s="393">
        <f t="shared" si="296"/>
        <v>1657798.8196861818</v>
      </c>
      <c r="L566" s="393">
        <f t="shared" si="296"/>
        <v>1665275.7600772274</v>
      </c>
      <c r="M566" s="393">
        <f t="shared" si="296"/>
        <v>1672378.7447742848</v>
      </c>
      <c r="N566" s="393">
        <f t="shared" si="296"/>
        <v>1679113.0027385508</v>
      </c>
      <c r="O566" s="393">
        <f t="shared" si="296"/>
        <v>1650566.0634386342</v>
      </c>
      <c r="P566" s="393">
        <f t="shared" si="296"/>
        <v>0</v>
      </c>
      <c r="Q566" s="393">
        <f t="shared" si="296"/>
        <v>0</v>
      </c>
      <c r="R566" s="393">
        <f t="shared" si="296"/>
        <v>0</v>
      </c>
      <c r="S566" s="393">
        <f t="shared" si="296"/>
        <v>0</v>
      </c>
      <c r="T566" s="393">
        <f t="shared" si="296"/>
        <v>0</v>
      </c>
      <c r="U566" s="393">
        <f t="shared" si="296"/>
        <v>0</v>
      </c>
      <c r="V566" s="393">
        <f t="shared" si="296"/>
        <v>0</v>
      </c>
      <c r="W566" s="393">
        <f t="shared" si="296"/>
        <v>0</v>
      </c>
      <c r="X566" s="393">
        <f t="shared" si="296"/>
        <v>0</v>
      </c>
      <c r="Y566" s="393">
        <f t="shared" si="296"/>
        <v>0</v>
      </c>
      <c r="Z566" s="393">
        <f t="shared" si="296"/>
        <v>0</v>
      </c>
      <c r="AA566" s="393">
        <f t="shared" si="296"/>
        <v>0</v>
      </c>
      <c r="AB566" s="393">
        <f t="shared" si="296"/>
        <v>0</v>
      </c>
      <c r="AC566" s="393">
        <f t="shared" si="296"/>
        <v>0</v>
      </c>
      <c r="AD566" s="393">
        <f t="shared" si="296"/>
        <v>0</v>
      </c>
      <c r="AE566" s="393">
        <f t="shared" si="296"/>
        <v>0</v>
      </c>
      <c r="AF566" s="393">
        <f t="shared" si="296"/>
        <v>0</v>
      </c>
      <c r="AG566" s="393">
        <f t="shared" si="296"/>
        <v>0</v>
      </c>
      <c r="AH566" s="393">
        <f t="shared" si="296"/>
        <v>0</v>
      </c>
      <c r="AI566" s="393">
        <f t="shared" si="296"/>
        <v>0</v>
      </c>
      <c r="AJ566" s="393">
        <f t="shared" si="296"/>
        <v>0</v>
      </c>
      <c r="AK566" s="393">
        <f t="shared" si="296"/>
        <v>0</v>
      </c>
      <c r="AL566" s="393">
        <f t="shared" si="296"/>
        <v>0</v>
      </c>
      <c r="AM566" s="393">
        <f t="shared" si="296"/>
        <v>0</v>
      </c>
      <c r="AN566" s="393">
        <f t="shared" si="296"/>
        <v>0</v>
      </c>
      <c r="AO566" s="393">
        <f t="shared" si="296"/>
        <v>0</v>
      </c>
      <c r="AP566" s="393">
        <f t="shared" si="296"/>
        <v>0</v>
      </c>
    </row>
    <row r="567" spans="1:42" x14ac:dyDescent="0.2">
      <c r="A567" s="7" t="s">
        <v>40</v>
      </c>
      <c r="B567" s="393">
        <f t="shared" ref="B567:AP567" si="297">IF(B2&lt;MIN(term_tenor,analysis_period),B569-B566,0)</f>
        <v>1583634.7433178036</v>
      </c>
      <c r="C567" s="393">
        <f t="shared" si="297"/>
        <v>10752.108088796725</v>
      </c>
      <c r="D567" s="393">
        <f t="shared" si="297"/>
        <v>10307.112342079869</v>
      </c>
      <c r="E567" s="393">
        <f t="shared" si="297"/>
        <v>9874.124815980671</v>
      </c>
      <c r="F567" s="393">
        <f t="shared" si="297"/>
        <v>9452.1829051712994</v>
      </c>
      <c r="G567" s="393">
        <f t="shared" si="297"/>
        <v>9040.361059792107</v>
      </c>
      <c r="H567" s="393">
        <f t="shared" si="297"/>
        <v>8637.7685958340298</v>
      </c>
      <c r="I567" s="393">
        <f t="shared" si="297"/>
        <v>8243.5476046144031</v>
      </c>
      <c r="J567" s="393">
        <f t="shared" si="297"/>
        <v>7856.8709561091382</v>
      </c>
      <c r="K567" s="393">
        <f t="shared" si="297"/>
        <v>7476.9403910455294</v>
      </c>
      <c r="L567" s="393">
        <f t="shared" si="297"/>
        <v>7102.9846970573999</v>
      </c>
      <c r="M567" s="393">
        <f t="shared" si="297"/>
        <v>6734.2579642659985</v>
      </c>
      <c r="N567" s="393">
        <f t="shared" si="297"/>
        <v>-28546.939299916616</v>
      </c>
      <c r="O567" s="393">
        <f t="shared" si="297"/>
        <v>0</v>
      </c>
      <c r="P567" s="393">
        <f t="shared" si="297"/>
        <v>0</v>
      </c>
      <c r="Q567" s="393">
        <f t="shared" si="297"/>
        <v>0</v>
      </c>
      <c r="R567" s="393">
        <f t="shared" si="297"/>
        <v>0</v>
      </c>
      <c r="S567" s="393">
        <f t="shared" si="297"/>
        <v>0</v>
      </c>
      <c r="T567" s="393">
        <f t="shared" si="297"/>
        <v>0</v>
      </c>
      <c r="U567" s="393">
        <f t="shared" si="297"/>
        <v>0</v>
      </c>
      <c r="V567" s="393">
        <f t="shared" si="297"/>
        <v>0</v>
      </c>
      <c r="W567" s="393">
        <f t="shared" si="297"/>
        <v>0</v>
      </c>
      <c r="X567" s="393">
        <f t="shared" si="297"/>
        <v>0</v>
      </c>
      <c r="Y567" s="393">
        <f t="shared" si="297"/>
        <v>0</v>
      </c>
      <c r="Z567" s="393">
        <f t="shared" si="297"/>
        <v>0</v>
      </c>
      <c r="AA567" s="393">
        <f t="shared" si="297"/>
        <v>0</v>
      </c>
      <c r="AB567" s="393">
        <f t="shared" si="297"/>
        <v>0</v>
      </c>
      <c r="AC567" s="393">
        <f t="shared" si="297"/>
        <v>0</v>
      </c>
      <c r="AD567" s="393">
        <f t="shared" si="297"/>
        <v>0</v>
      </c>
      <c r="AE567" s="393">
        <f t="shared" si="297"/>
        <v>0</v>
      </c>
      <c r="AF567" s="393">
        <f t="shared" si="297"/>
        <v>0</v>
      </c>
      <c r="AG567" s="393">
        <f t="shared" si="297"/>
        <v>0</v>
      </c>
      <c r="AH567" s="393">
        <f t="shared" si="297"/>
        <v>0</v>
      </c>
      <c r="AI567" s="393">
        <f t="shared" si="297"/>
        <v>0</v>
      </c>
      <c r="AJ567" s="393">
        <f t="shared" si="297"/>
        <v>0</v>
      </c>
      <c r="AK567" s="393">
        <f t="shared" si="297"/>
        <v>0</v>
      </c>
      <c r="AL567" s="393">
        <f t="shared" si="297"/>
        <v>0</v>
      </c>
      <c r="AM567" s="393">
        <f t="shared" si="297"/>
        <v>0</v>
      </c>
      <c r="AN567" s="393">
        <f t="shared" si="297"/>
        <v>0</v>
      </c>
      <c r="AO567" s="393">
        <f t="shared" si="297"/>
        <v>0</v>
      </c>
      <c r="AP567" s="393">
        <f t="shared" si="297"/>
        <v>0</v>
      </c>
    </row>
    <row r="568" spans="1:42" x14ac:dyDescent="0.2">
      <c r="A568" s="7" t="s">
        <v>46</v>
      </c>
      <c r="B568" s="394">
        <v>0</v>
      </c>
      <c r="C568" s="394">
        <f t="shared" ref="C568:AP568" si="298">IF(C$2=term_tenor,-C566,0)</f>
        <v>0</v>
      </c>
      <c r="D568" s="394">
        <f t="shared" si="298"/>
        <v>0</v>
      </c>
      <c r="E568" s="394">
        <f t="shared" si="298"/>
        <v>0</v>
      </c>
      <c r="F568" s="394">
        <f t="shared" si="298"/>
        <v>0</v>
      </c>
      <c r="G568" s="394">
        <f t="shared" si="298"/>
        <v>0</v>
      </c>
      <c r="H568" s="394">
        <f t="shared" si="298"/>
        <v>0</v>
      </c>
      <c r="I568" s="394">
        <f t="shared" si="298"/>
        <v>0</v>
      </c>
      <c r="J568" s="394">
        <f t="shared" si="298"/>
        <v>0</v>
      </c>
      <c r="K568" s="394">
        <f t="shared" si="298"/>
        <v>0</v>
      </c>
      <c r="L568" s="394">
        <f t="shared" si="298"/>
        <v>0</v>
      </c>
      <c r="M568" s="394">
        <f t="shared" si="298"/>
        <v>0</v>
      </c>
      <c r="N568" s="394">
        <f t="shared" si="298"/>
        <v>0</v>
      </c>
      <c r="O568" s="394">
        <f t="shared" si="298"/>
        <v>-1650566.0634386342</v>
      </c>
      <c r="P568" s="394">
        <f t="shared" si="298"/>
        <v>0</v>
      </c>
      <c r="Q568" s="394">
        <f t="shared" si="298"/>
        <v>0</v>
      </c>
      <c r="R568" s="394">
        <f t="shared" si="298"/>
        <v>0</v>
      </c>
      <c r="S568" s="394">
        <f t="shared" si="298"/>
        <v>0</v>
      </c>
      <c r="T568" s="394">
        <f t="shared" si="298"/>
        <v>0</v>
      </c>
      <c r="U568" s="394">
        <f t="shared" si="298"/>
        <v>0</v>
      </c>
      <c r="V568" s="394">
        <f t="shared" si="298"/>
        <v>0</v>
      </c>
      <c r="W568" s="394">
        <f t="shared" si="298"/>
        <v>0</v>
      </c>
      <c r="X568" s="394">
        <f t="shared" si="298"/>
        <v>0</v>
      </c>
      <c r="Y568" s="394">
        <f t="shared" si="298"/>
        <v>0</v>
      </c>
      <c r="Z568" s="394">
        <f t="shared" si="298"/>
        <v>0</v>
      </c>
      <c r="AA568" s="394">
        <f t="shared" si="298"/>
        <v>0</v>
      </c>
      <c r="AB568" s="394">
        <f t="shared" si="298"/>
        <v>0</v>
      </c>
      <c r="AC568" s="394">
        <f t="shared" si="298"/>
        <v>0</v>
      </c>
      <c r="AD568" s="394">
        <f t="shared" si="298"/>
        <v>0</v>
      </c>
      <c r="AE568" s="394">
        <f t="shared" si="298"/>
        <v>0</v>
      </c>
      <c r="AF568" s="394">
        <f t="shared" si="298"/>
        <v>0</v>
      </c>
      <c r="AG568" s="394">
        <f t="shared" si="298"/>
        <v>0</v>
      </c>
      <c r="AH568" s="394">
        <f t="shared" si="298"/>
        <v>0</v>
      </c>
      <c r="AI568" s="394">
        <f t="shared" si="298"/>
        <v>0</v>
      </c>
      <c r="AJ568" s="394">
        <f t="shared" si="298"/>
        <v>0</v>
      </c>
      <c r="AK568" s="394">
        <f t="shared" si="298"/>
        <v>0</v>
      </c>
      <c r="AL568" s="394">
        <f t="shared" si="298"/>
        <v>0</v>
      </c>
      <c r="AM568" s="394">
        <f t="shared" si="298"/>
        <v>0</v>
      </c>
      <c r="AN568" s="394">
        <f t="shared" si="298"/>
        <v>0</v>
      </c>
      <c r="AO568" s="394">
        <f t="shared" si="298"/>
        <v>0</v>
      </c>
      <c r="AP568" s="394">
        <f t="shared" si="298"/>
        <v>0</v>
      </c>
    </row>
    <row r="569" spans="1:42" x14ac:dyDescent="0.2">
      <c r="A569" s="7" t="s">
        <v>42</v>
      </c>
      <c r="B569" s="393">
        <f>IF(B2&lt;=MIN(term_tenor,analysis_period),(dscr_reserve_months/12)*C534,0)</f>
        <v>1583634.7433178036</v>
      </c>
      <c r="C569" s="393">
        <f t="shared" ref="C569:AP569" si="299">IF(C2&lt;=MIN(term_tenor,analysis_period),(dscr_reserve_months/12)*D534,0)</f>
        <v>1594386.8514066003</v>
      </c>
      <c r="D569" s="393">
        <f t="shared" si="299"/>
        <v>1604693.9637486802</v>
      </c>
      <c r="E569" s="393">
        <f t="shared" si="299"/>
        <v>1614568.0885646609</v>
      </c>
      <c r="F569" s="393">
        <f t="shared" si="299"/>
        <v>1624020.2714698322</v>
      </c>
      <c r="G569" s="393">
        <f t="shared" si="299"/>
        <v>1633060.6325296243</v>
      </c>
      <c r="H569" s="393">
        <f t="shared" si="299"/>
        <v>1641698.4011254583</v>
      </c>
      <c r="I569" s="393">
        <f t="shared" si="299"/>
        <v>1649941.9487300727</v>
      </c>
      <c r="J569" s="393">
        <f t="shared" si="299"/>
        <v>1657798.8196861818</v>
      </c>
      <c r="K569" s="393">
        <f t="shared" si="299"/>
        <v>1665275.7600772274</v>
      </c>
      <c r="L569" s="393">
        <f t="shared" si="299"/>
        <v>1672378.7447742848</v>
      </c>
      <c r="M569" s="393">
        <f t="shared" si="299"/>
        <v>1679113.0027385508</v>
      </c>
      <c r="N569" s="393">
        <f t="shared" si="299"/>
        <v>1650566.0634386342</v>
      </c>
      <c r="O569" s="393">
        <f t="shared" si="299"/>
        <v>0</v>
      </c>
      <c r="P569" s="393">
        <f t="shared" si="299"/>
        <v>0</v>
      </c>
      <c r="Q569" s="393">
        <f t="shared" si="299"/>
        <v>0</v>
      </c>
      <c r="R569" s="393">
        <f t="shared" si="299"/>
        <v>0</v>
      </c>
      <c r="S569" s="393">
        <f t="shared" si="299"/>
        <v>0</v>
      </c>
      <c r="T569" s="393">
        <f t="shared" si="299"/>
        <v>0</v>
      </c>
      <c r="U569" s="393">
        <f t="shared" si="299"/>
        <v>0</v>
      </c>
      <c r="V569" s="393">
        <f t="shared" si="299"/>
        <v>0</v>
      </c>
      <c r="W569" s="393">
        <f t="shared" si="299"/>
        <v>0</v>
      </c>
      <c r="X569" s="393">
        <f t="shared" si="299"/>
        <v>0</v>
      </c>
      <c r="Y569" s="393">
        <f t="shared" si="299"/>
        <v>0</v>
      </c>
      <c r="Z569" s="393">
        <f t="shared" si="299"/>
        <v>0</v>
      </c>
      <c r="AA569" s="393">
        <f t="shared" si="299"/>
        <v>0</v>
      </c>
      <c r="AB569" s="393">
        <f t="shared" si="299"/>
        <v>0</v>
      </c>
      <c r="AC569" s="393">
        <f t="shared" si="299"/>
        <v>0</v>
      </c>
      <c r="AD569" s="393">
        <f t="shared" si="299"/>
        <v>0</v>
      </c>
      <c r="AE569" s="393">
        <f t="shared" si="299"/>
        <v>0</v>
      </c>
      <c r="AF569" s="393">
        <f t="shared" si="299"/>
        <v>0</v>
      </c>
      <c r="AG569" s="393">
        <f t="shared" si="299"/>
        <v>0</v>
      </c>
      <c r="AH569" s="393">
        <f t="shared" si="299"/>
        <v>0</v>
      </c>
      <c r="AI569" s="393">
        <f t="shared" si="299"/>
        <v>0</v>
      </c>
      <c r="AJ569" s="393">
        <f t="shared" si="299"/>
        <v>0</v>
      </c>
      <c r="AK569" s="393">
        <f t="shared" si="299"/>
        <v>0</v>
      </c>
      <c r="AL569" s="393">
        <f t="shared" si="299"/>
        <v>0</v>
      </c>
      <c r="AM569" s="393">
        <f t="shared" si="299"/>
        <v>0</v>
      </c>
      <c r="AN569" s="393">
        <f t="shared" si="299"/>
        <v>0</v>
      </c>
      <c r="AO569" s="393">
        <f t="shared" si="299"/>
        <v>0</v>
      </c>
      <c r="AP569" s="393">
        <f t="shared" si="299"/>
        <v>0</v>
      </c>
    </row>
    <row r="570" spans="1:42" x14ac:dyDescent="0.2">
      <c r="B570" s="25"/>
      <c r="C570" s="25"/>
      <c r="D570" s="25"/>
      <c r="E570" s="25"/>
      <c r="F570" s="25"/>
      <c r="G570" s="36"/>
      <c r="H570" s="36"/>
      <c r="I570" s="36"/>
      <c r="J570" s="36"/>
      <c r="K570" s="36"/>
      <c r="L570" s="36"/>
      <c r="M570" s="36"/>
      <c r="N570" s="36"/>
      <c r="O570" s="36"/>
      <c r="P570" s="36"/>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row>
    <row r="571" spans="1:42" x14ac:dyDescent="0.2">
      <c r="A571" s="33"/>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row>
    <row r="572" spans="1:42" x14ac:dyDescent="0.2">
      <c r="A572" s="7" t="s">
        <v>39</v>
      </c>
      <c r="B572" s="393">
        <v>0</v>
      </c>
      <c r="C572" s="393">
        <f>B575</f>
        <v>474728.46299999999</v>
      </c>
      <c r="D572" s="393">
        <f t="shared" ref="D572:AP572" si="300">C575</f>
        <v>473822.20682712499</v>
      </c>
      <c r="E572" s="393">
        <f t="shared" si="300"/>
        <v>473584.05990656407</v>
      </c>
      <c r="F572" s="393">
        <f t="shared" si="300"/>
        <v>473998.14459720696</v>
      </c>
      <c r="G572" s="393">
        <f t="shared" si="300"/>
        <v>475049.88442574453</v>
      </c>
      <c r="H572" s="393">
        <f t="shared" si="300"/>
        <v>476725.95406995807</v>
      </c>
      <c r="I572" s="393">
        <f t="shared" si="300"/>
        <v>479014.23229803744</v>
      </c>
      <c r="J572" s="393">
        <f t="shared" si="300"/>
        <v>481903.75773013185</v>
      </c>
      <c r="K572" s="393">
        <f t="shared" si="300"/>
        <v>485384.68729546736</v>
      </c>
      <c r="L572" s="393">
        <f t="shared" si="300"/>
        <v>489448.25726515014</v>
      </c>
      <c r="M572" s="393">
        <f t="shared" si="300"/>
        <v>494086.74674722995</v>
      </c>
      <c r="N572" s="393">
        <f t="shared" si="300"/>
        <v>499293.44353675179</v>
      </c>
      <c r="O572" s="393">
        <f t="shared" si="300"/>
        <v>505062.61221938231</v>
      </c>
      <c r="P572" s="393">
        <f t="shared" si="300"/>
        <v>511389.46443277597</v>
      </c>
      <c r="Q572" s="393">
        <f t="shared" si="300"/>
        <v>518270.13119516813</v>
      </c>
      <c r="R572" s="393">
        <f t="shared" si="300"/>
        <v>525701.6372157475</v>
      </c>
      <c r="S572" s="393">
        <f t="shared" si="300"/>
        <v>533681.87710619369</v>
      </c>
      <c r="T572" s="393">
        <f t="shared" si="300"/>
        <v>542209.59341737814</v>
      </c>
      <c r="U572" s="393">
        <f t="shared" si="300"/>
        <v>551284.35642961657</v>
      </c>
      <c r="V572" s="393">
        <f t="shared" si="300"/>
        <v>560906.54562906222</v>
      </c>
      <c r="W572" s="393">
        <f t="shared" si="300"/>
        <v>571077.33280683111</v>
      </c>
      <c r="X572" s="393">
        <f t="shared" si="300"/>
        <v>581798.66672127869</v>
      </c>
      <c r="Y572" s="393">
        <f t="shared" si="300"/>
        <v>593073.25926749781</v>
      </c>
      <c r="Z572" s="393">
        <f t="shared" si="300"/>
        <v>604904.57310160296</v>
      </c>
      <c r="AA572" s="393">
        <f t="shared" si="300"/>
        <v>617296.81067070924</v>
      </c>
      <c r="AB572" s="393" t="e">
        <f t="shared" si="300"/>
        <v>#VALUE!</v>
      </c>
      <c r="AC572" s="393" t="e">
        <f t="shared" si="300"/>
        <v>#VALUE!</v>
      </c>
      <c r="AD572" s="393" t="e">
        <f t="shared" si="300"/>
        <v>#VALUE!</v>
      </c>
      <c r="AE572" s="393" t="e">
        <f t="shared" si="300"/>
        <v>#VALUE!</v>
      </c>
      <c r="AF572" s="393" t="e">
        <f t="shared" si="300"/>
        <v>#VALUE!</v>
      </c>
      <c r="AG572" s="393" t="e">
        <f t="shared" si="300"/>
        <v>#VALUE!</v>
      </c>
      <c r="AH572" s="393" t="e">
        <f t="shared" si="300"/>
        <v>#VALUE!</v>
      </c>
      <c r="AI572" s="393" t="e">
        <f t="shared" si="300"/>
        <v>#VALUE!</v>
      </c>
      <c r="AJ572" s="393" t="e">
        <f t="shared" si="300"/>
        <v>#VALUE!</v>
      </c>
      <c r="AK572" s="393" t="e">
        <f t="shared" si="300"/>
        <v>#VALUE!</v>
      </c>
      <c r="AL572" s="393" t="e">
        <f t="shared" si="300"/>
        <v>#VALUE!</v>
      </c>
      <c r="AM572" s="393" t="e">
        <f t="shared" si="300"/>
        <v>#VALUE!</v>
      </c>
      <c r="AN572" s="393" t="e">
        <f t="shared" si="300"/>
        <v>#VALUE!</v>
      </c>
      <c r="AO572" s="393" t="e">
        <f t="shared" si="300"/>
        <v>#VALUE!</v>
      </c>
      <c r="AP572" s="393" t="e">
        <f t="shared" si="300"/>
        <v>#VALUE!</v>
      </c>
    </row>
    <row r="573" spans="1:42" x14ac:dyDescent="0.2">
      <c r="A573" s="7" t="s">
        <v>40</v>
      </c>
      <c r="B573" s="393">
        <f t="shared" ref="B573:AP573" si="301">IF(B$2&lt;analysis_period,B575-B572,0)</f>
        <v>474728.46299999999</v>
      </c>
      <c r="C573" s="393">
        <f t="shared" si="301"/>
        <v>-906.25617287500063</v>
      </c>
      <c r="D573" s="393">
        <f t="shared" si="301"/>
        <v>-238.14692056091735</v>
      </c>
      <c r="E573" s="393">
        <f t="shared" si="301"/>
        <v>414.08469064289238</v>
      </c>
      <c r="F573" s="393">
        <f t="shared" si="301"/>
        <v>1051.7398285375675</v>
      </c>
      <c r="G573" s="393">
        <f t="shared" si="301"/>
        <v>1676.0696442135377</v>
      </c>
      <c r="H573" s="393">
        <f t="shared" si="301"/>
        <v>2288.2782280793763</v>
      </c>
      <c r="I573" s="393">
        <f t="shared" si="301"/>
        <v>2889.5254320944077</v>
      </c>
      <c r="J573" s="393">
        <f t="shared" si="301"/>
        <v>3480.9295653355075</v>
      </c>
      <c r="K573" s="393">
        <f t="shared" si="301"/>
        <v>4063.5699696827796</v>
      </c>
      <c r="L573" s="393">
        <f t="shared" si="301"/>
        <v>4638.4894820798072</v>
      </c>
      <c r="M573" s="393">
        <f t="shared" si="301"/>
        <v>5206.6967895218404</v>
      </c>
      <c r="N573" s="393">
        <f t="shared" si="301"/>
        <v>5769.1686826305231</v>
      </c>
      <c r="O573" s="393">
        <f t="shared" si="301"/>
        <v>6326.852213393664</v>
      </c>
      <c r="P573" s="393">
        <f t="shared" si="301"/>
        <v>6880.666762392153</v>
      </c>
      <c r="Q573" s="393">
        <f t="shared" si="301"/>
        <v>7431.5060205793707</v>
      </c>
      <c r="R573" s="393">
        <f t="shared" si="301"/>
        <v>7980.2398904461879</v>
      </c>
      <c r="S573" s="393">
        <f t="shared" si="301"/>
        <v>8527.7163111844566</v>
      </c>
      <c r="T573" s="393">
        <f t="shared" si="301"/>
        <v>9074.7630122384289</v>
      </c>
      <c r="U573" s="393">
        <f t="shared" si="301"/>
        <v>9622.1891994456528</v>
      </c>
      <c r="V573" s="393">
        <f t="shared" si="301"/>
        <v>10170.787177768885</v>
      </c>
      <c r="W573" s="393">
        <f t="shared" si="301"/>
        <v>10721.333914447576</v>
      </c>
      <c r="X573" s="393">
        <f t="shared" si="301"/>
        <v>11274.592546219123</v>
      </c>
      <c r="Y573" s="393">
        <f t="shared" si="301"/>
        <v>11831.313834105153</v>
      </c>
      <c r="Z573" s="393">
        <f t="shared" si="301"/>
        <v>12392.237569106277</v>
      </c>
      <c r="AA573" s="393">
        <f t="shared" si="301"/>
        <v>0</v>
      </c>
      <c r="AB573" s="393">
        <f t="shared" si="301"/>
        <v>0</v>
      </c>
      <c r="AC573" s="393">
        <f t="shared" si="301"/>
        <v>0</v>
      </c>
      <c r="AD573" s="393">
        <f t="shared" si="301"/>
        <v>0</v>
      </c>
      <c r="AE573" s="393">
        <f t="shared" si="301"/>
        <v>0</v>
      </c>
      <c r="AF573" s="393">
        <f t="shared" si="301"/>
        <v>0</v>
      </c>
      <c r="AG573" s="393">
        <f t="shared" si="301"/>
        <v>0</v>
      </c>
      <c r="AH573" s="393">
        <f t="shared" si="301"/>
        <v>0</v>
      </c>
      <c r="AI573" s="393">
        <f t="shared" si="301"/>
        <v>0</v>
      </c>
      <c r="AJ573" s="393">
        <f t="shared" si="301"/>
        <v>0</v>
      </c>
      <c r="AK573" s="393">
        <f t="shared" si="301"/>
        <v>0</v>
      </c>
      <c r="AL573" s="393">
        <f t="shared" si="301"/>
        <v>0</v>
      </c>
      <c r="AM573" s="393">
        <f t="shared" si="301"/>
        <v>0</v>
      </c>
      <c r="AN573" s="393">
        <f t="shared" si="301"/>
        <v>0</v>
      </c>
      <c r="AO573" s="393">
        <f t="shared" si="301"/>
        <v>0</v>
      </c>
      <c r="AP573" s="393">
        <f t="shared" si="301"/>
        <v>0</v>
      </c>
    </row>
    <row r="574" spans="1:42" x14ac:dyDescent="0.2">
      <c r="A574" s="7" t="s">
        <v>46</v>
      </c>
      <c r="B574" s="394">
        <v>0</v>
      </c>
      <c r="C574" s="394">
        <f t="shared" ref="C574:AP574" si="302">IF(C$2=analysis_period,-C572,0)</f>
        <v>0</v>
      </c>
      <c r="D574" s="394">
        <f t="shared" si="302"/>
        <v>0</v>
      </c>
      <c r="E574" s="394">
        <f t="shared" si="302"/>
        <v>0</v>
      </c>
      <c r="F574" s="394">
        <f t="shared" si="302"/>
        <v>0</v>
      </c>
      <c r="G574" s="394">
        <f t="shared" si="302"/>
        <v>0</v>
      </c>
      <c r="H574" s="394">
        <f t="shared" si="302"/>
        <v>0</v>
      </c>
      <c r="I574" s="394">
        <f t="shared" si="302"/>
        <v>0</v>
      </c>
      <c r="J574" s="394">
        <f t="shared" si="302"/>
        <v>0</v>
      </c>
      <c r="K574" s="394">
        <f t="shared" si="302"/>
        <v>0</v>
      </c>
      <c r="L574" s="394">
        <f t="shared" si="302"/>
        <v>0</v>
      </c>
      <c r="M574" s="394">
        <f t="shared" si="302"/>
        <v>0</v>
      </c>
      <c r="N574" s="394">
        <f t="shared" si="302"/>
        <v>0</v>
      </c>
      <c r="O574" s="394">
        <f t="shared" si="302"/>
        <v>0</v>
      </c>
      <c r="P574" s="394">
        <f t="shared" si="302"/>
        <v>0</v>
      </c>
      <c r="Q574" s="394">
        <f t="shared" si="302"/>
        <v>0</v>
      </c>
      <c r="R574" s="394">
        <f t="shared" si="302"/>
        <v>0</v>
      </c>
      <c r="S574" s="394">
        <f t="shared" si="302"/>
        <v>0</v>
      </c>
      <c r="T574" s="394">
        <f t="shared" si="302"/>
        <v>0</v>
      </c>
      <c r="U574" s="394">
        <f t="shared" si="302"/>
        <v>0</v>
      </c>
      <c r="V574" s="394">
        <f t="shared" si="302"/>
        <v>0</v>
      </c>
      <c r="W574" s="394">
        <f t="shared" si="302"/>
        <v>0</v>
      </c>
      <c r="X574" s="394">
        <f t="shared" si="302"/>
        <v>0</v>
      </c>
      <c r="Y574" s="394">
        <f t="shared" si="302"/>
        <v>0</v>
      </c>
      <c r="Z574" s="394">
        <f t="shared" si="302"/>
        <v>0</v>
      </c>
      <c r="AA574" s="394">
        <f t="shared" si="302"/>
        <v>-617296.81067070924</v>
      </c>
      <c r="AB574" s="394">
        <f t="shared" si="302"/>
        <v>0</v>
      </c>
      <c r="AC574" s="394">
        <f t="shared" si="302"/>
        <v>0</v>
      </c>
      <c r="AD574" s="394">
        <f t="shared" si="302"/>
        <v>0</v>
      </c>
      <c r="AE574" s="394">
        <f t="shared" si="302"/>
        <v>0</v>
      </c>
      <c r="AF574" s="394">
        <f t="shared" si="302"/>
        <v>0</v>
      </c>
      <c r="AG574" s="394">
        <f t="shared" si="302"/>
        <v>0</v>
      </c>
      <c r="AH574" s="394">
        <f t="shared" si="302"/>
        <v>0</v>
      </c>
      <c r="AI574" s="394">
        <f t="shared" si="302"/>
        <v>0</v>
      </c>
      <c r="AJ574" s="394">
        <f t="shared" si="302"/>
        <v>0</v>
      </c>
      <c r="AK574" s="394">
        <f t="shared" si="302"/>
        <v>0</v>
      </c>
      <c r="AL574" s="394">
        <f t="shared" si="302"/>
        <v>0</v>
      </c>
      <c r="AM574" s="394">
        <f t="shared" si="302"/>
        <v>0</v>
      </c>
      <c r="AN574" s="394">
        <f t="shared" si="302"/>
        <v>0</v>
      </c>
      <c r="AO574" s="394">
        <f t="shared" si="302"/>
        <v>0</v>
      </c>
      <c r="AP574" s="394">
        <f t="shared" si="302"/>
        <v>0</v>
      </c>
    </row>
    <row r="575" spans="1:42" s="21" customFormat="1" x14ac:dyDescent="0.2">
      <c r="A575" s="21" t="s">
        <v>42</v>
      </c>
      <c r="B575" s="387">
        <f t="shared" ref="B575:AP575" si="303">C$37*(months_working_reserve/12)</f>
        <v>474728.46299999999</v>
      </c>
      <c r="C575" s="387">
        <f t="shared" si="303"/>
        <v>473822.20682712499</v>
      </c>
      <c r="D575" s="387">
        <f t="shared" si="303"/>
        <v>473584.05990656407</v>
      </c>
      <c r="E575" s="387">
        <f t="shared" si="303"/>
        <v>473998.14459720696</v>
      </c>
      <c r="F575" s="387">
        <f t="shared" si="303"/>
        <v>475049.88442574453</v>
      </c>
      <c r="G575" s="387">
        <f t="shared" si="303"/>
        <v>476725.95406995807</v>
      </c>
      <c r="H575" s="387">
        <f t="shared" si="303"/>
        <v>479014.23229803744</v>
      </c>
      <c r="I575" s="387">
        <f t="shared" si="303"/>
        <v>481903.75773013185</v>
      </c>
      <c r="J575" s="387">
        <f t="shared" si="303"/>
        <v>485384.68729546736</v>
      </c>
      <c r="K575" s="387">
        <f t="shared" si="303"/>
        <v>489448.25726515014</v>
      </c>
      <c r="L575" s="387">
        <f t="shared" si="303"/>
        <v>494086.74674722995</v>
      </c>
      <c r="M575" s="387">
        <f t="shared" si="303"/>
        <v>499293.44353675179</v>
      </c>
      <c r="N575" s="387">
        <f t="shared" si="303"/>
        <v>505062.61221938231</v>
      </c>
      <c r="O575" s="387">
        <f t="shared" si="303"/>
        <v>511389.46443277597</v>
      </c>
      <c r="P575" s="387">
        <f t="shared" si="303"/>
        <v>518270.13119516813</v>
      </c>
      <c r="Q575" s="387">
        <f t="shared" si="303"/>
        <v>525701.6372157475</v>
      </c>
      <c r="R575" s="387">
        <f t="shared" si="303"/>
        <v>533681.87710619369</v>
      </c>
      <c r="S575" s="387">
        <f t="shared" si="303"/>
        <v>542209.59341737814</v>
      </c>
      <c r="T575" s="387">
        <f t="shared" si="303"/>
        <v>551284.35642961657</v>
      </c>
      <c r="U575" s="387">
        <f t="shared" si="303"/>
        <v>560906.54562906222</v>
      </c>
      <c r="V575" s="387">
        <f t="shared" si="303"/>
        <v>571077.33280683111</v>
      </c>
      <c r="W575" s="387">
        <f t="shared" si="303"/>
        <v>581798.66672127869</v>
      </c>
      <c r="X575" s="387">
        <f t="shared" si="303"/>
        <v>593073.25926749781</v>
      </c>
      <c r="Y575" s="387">
        <f t="shared" si="303"/>
        <v>604904.57310160296</v>
      </c>
      <c r="Z575" s="387">
        <f t="shared" si="303"/>
        <v>617296.81067070924</v>
      </c>
      <c r="AA575" s="387" t="e">
        <f t="shared" si="303"/>
        <v>#VALUE!</v>
      </c>
      <c r="AB575" s="387" t="e">
        <f t="shared" si="303"/>
        <v>#VALUE!</v>
      </c>
      <c r="AC575" s="387" t="e">
        <f t="shared" si="303"/>
        <v>#VALUE!</v>
      </c>
      <c r="AD575" s="387" t="e">
        <f t="shared" si="303"/>
        <v>#VALUE!</v>
      </c>
      <c r="AE575" s="387" t="e">
        <f t="shared" si="303"/>
        <v>#VALUE!</v>
      </c>
      <c r="AF575" s="387" t="e">
        <f t="shared" si="303"/>
        <v>#VALUE!</v>
      </c>
      <c r="AG575" s="387" t="e">
        <f t="shared" si="303"/>
        <v>#VALUE!</v>
      </c>
      <c r="AH575" s="387" t="e">
        <f t="shared" si="303"/>
        <v>#VALUE!</v>
      </c>
      <c r="AI575" s="387" t="e">
        <f t="shared" si="303"/>
        <v>#VALUE!</v>
      </c>
      <c r="AJ575" s="387" t="e">
        <f t="shared" si="303"/>
        <v>#VALUE!</v>
      </c>
      <c r="AK575" s="387" t="e">
        <f t="shared" si="303"/>
        <v>#VALUE!</v>
      </c>
      <c r="AL575" s="387" t="e">
        <f t="shared" si="303"/>
        <v>#VALUE!</v>
      </c>
      <c r="AM575" s="387" t="e">
        <f t="shared" si="303"/>
        <v>#VALUE!</v>
      </c>
      <c r="AN575" s="387" t="e">
        <f t="shared" si="303"/>
        <v>#VALUE!</v>
      </c>
      <c r="AO575" s="387" t="e">
        <f t="shared" si="303"/>
        <v>#VALUE!</v>
      </c>
      <c r="AP575" s="387">
        <f t="shared" si="303"/>
        <v>0</v>
      </c>
    </row>
    <row r="576" spans="1:42" x14ac:dyDescent="0.2">
      <c r="B576" s="25"/>
      <c r="C576" s="25"/>
      <c r="D576" s="25"/>
      <c r="E576" s="25"/>
      <c r="F576" s="25"/>
      <c r="G576" s="36"/>
      <c r="H576" s="36"/>
      <c r="I576" s="36"/>
      <c r="J576" s="36"/>
      <c r="K576" s="36"/>
      <c r="L576" s="36"/>
      <c r="M576" s="36"/>
      <c r="N576" s="36"/>
      <c r="O576" s="36"/>
      <c r="P576" s="36"/>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row>
    <row r="577" spans="1:42" x14ac:dyDescent="0.2">
      <c r="A577" s="33" t="s">
        <v>153</v>
      </c>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row>
    <row r="578" spans="1:42" x14ac:dyDescent="0.2">
      <c r="A578" s="7" t="s">
        <v>39</v>
      </c>
      <c r="B578" s="393">
        <v>0</v>
      </c>
      <c r="C578" s="393">
        <f>B581</f>
        <v>0</v>
      </c>
      <c r="D578" s="393">
        <f t="shared" ref="D578:AP578" si="304">C581</f>
        <v>273351.3870419304</v>
      </c>
      <c r="E578" s="393">
        <f t="shared" si="304"/>
        <v>546702.7740838608</v>
      </c>
      <c r="F578" s="393">
        <f t="shared" si="304"/>
        <v>820054.16112579126</v>
      </c>
      <c r="G578" s="393">
        <f t="shared" si="304"/>
        <v>1093405.5481677216</v>
      </c>
      <c r="H578" s="393">
        <f t="shared" si="304"/>
        <v>1366756.9352096519</v>
      </c>
      <c r="I578" s="393">
        <f t="shared" si="304"/>
        <v>1640108.3222515823</v>
      </c>
      <c r="J578" s="393">
        <f t="shared" si="304"/>
        <v>1913459.7092935126</v>
      </c>
      <c r="K578" s="393">
        <f t="shared" si="304"/>
        <v>2186811.0963354432</v>
      </c>
      <c r="L578" s="393">
        <f t="shared" si="304"/>
        <v>2460162.4833773738</v>
      </c>
      <c r="M578" s="393">
        <f t="shared" si="304"/>
        <v>2733513.8704193044</v>
      </c>
      <c r="N578" s="393">
        <f t="shared" si="304"/>
        <v>3006865.2574612349</v>
      </c>
      <c r="O578" s="393">
        <f t="shared" si="304"/>
        <v>0</v>
      </c>
      <c r="P578" s="393">
        <f t="shared" si="304"/>
        <v>367627.22552491649</v>
      </c>
      <c r="Q578" s="393">
        <f t="shared" si="304"/>
        <v>735254.45104983298</v>
      </c>
      <c r="R578" s="393">
        <f t="shared" si="304"/>
        <v>1102881.6765747494</v>
      </c>
      <c r="S578" s="393">
        <f t="shared" si="304"/>
        <v>1470508.902099666</v>
      </c>
      <c r="T578" s="393">
        <f t="shared" si="304"/>
        <v>1838136.1276245825</v>
      </c>
      <c r="U578" s="393">
        <f t="shared" si="304"/>
        <v>2205763.3531494988</v>
      </c>
      <c r="V578" s="393">
        <f t="shared" si="304"/>
        <v>2573390.5786744151</v>
      </c>
      <c r="W578" s="393">
        <f t="shared" si="304"/>
        <v>2941017.8041993314</v>
      </c>
      <c r="X578" s="393">
        <f t="shared" si="304"/>
        <v>3308645.0297242478</v>
      </c>
      <c r="Y578" s="393">
        <f t="shared" si="304"/>
        <v>3676272.2552491641</v>
      </c>
      <c r="Z578" s="393">
        <f t="shared" si="304"/>
        <v>4043899.4807740804</v>
      </c>
      <c r="AA578" s="393">
        <f t="shared" si="304"/>
        <v>0</v>
      </c>
      <c r="AB578" s="393">
        <f t="shared" si="304"/>
        <v>0</v>
      </c>
      <c r="AC578" s="393">
        <f t="shared" si="304"/>
        <v>0</v>
      </c>
      <c r="AD578" s="393">
        <f t="shared" si="304"/>
        <v>0</v>
      </c>
      <c r="AE578" s="393">
        <f t="shared" si="304"/>
        <v>0</v>
      </c>
      <c r="AF578" s="393">
        <f t="shared" si="304"/>
        <v>0</v>
      </c>
      <c r="AG578" s="393">
        <f t="shared" si="304"/>
        <v>0</v>
      </c>
      <c r="AH578" s="393">
        <f t="shared" si="304"/>
        <v>0</v>
      </c>
      <c r="AI578" s="393">
        <f t="shared" si="304"/>
        <v>0</v>
      </c>
      <c r="AJ578" s="393">
        <f t="shared" si="304"/>
        <v>0</v>
      </c>
      <c r="AK578" s="393">
        <f t="shared" si="304"/>
        <v>0</v>
      </c>
      <c r="AL578" s="393">
        <f t="shared" si="304"/>
        <v>0</v>
      </c>
      <c r="AM578" s="393">
        <f t="shared" si="304"/>
        <v>0</v>
      </c>
      <c r="AN578" s="393">
        <f t="shared" si="304"/>
        <v>0</v>
      </c>
      <c r="AO578" s="393">
        <f t="shared" si="304"/>
        <v>0</v>
      </c>
      <c r="AP578" s="393">
        <f t="shared" si="304"/>
        <v>0</v>
      </c>
    </row>
    <row r="579" spans="1:42" x14ac:dyDescent="0.2">
      <c r="A579" s="7" t="s">
        <v>113</v>
      </c>
      <c r="B579" s="393">
        <v>0</v>
      </c>
      <c r="C579" s="393">
        <f>C607</f>
        <v>273351.3870419304</v>
      </c>
      <c r="D579" s="393">
        <f t="shared" ref="D579:AP579" si="305">D607</f>
        <v>273351.3870419304</v>
      </c>
      <c r="E579" s="393">
        <f t="shared" si="305"/>
        <v>273351.3870419304</v>
      </c>
      <c r="F579" s="393">
        <f t="shared" si="305"/>
        <v>273351.3870419304</v>
      </c>
      <c r="G579" s="393">
        <f t="shared" si="305"/>
        <v>273351.3870419304</v>
      </c>
      <c r="H579" s="393">
        <f t="shared" si="305"/>
        <v>273351.3870419304</v>
      </c>
      <c r="I579" s="393">
        <f t="shared" si="305"/>
        <v>273351.3870419304</v>
      </c>
      <c r="J579" s="393">
        <f t="shared" si="305"/>
        <v>273351.3870419304</v>
      </c>
      <c r="K579" s="393">
        <f t="shared" si="305"/>
        <v>273351.3870419304</v>
      </c>
      <c r="L579" s="393">
        <f t="shared" si="305"/>
        <v>273351.3870419304</v>
      </c>
      <c r="M579" s="393">
        <f t="shared" si="305"/>
        <v>273351.3870419304</v>
      </c>
      <c r="N579" s="393">
        <f t="shared" si="305"/>
        <v>273351.3870419304</v>
      </c>
      <c r="O579" s="393">
        <f t="shared" si="305"/>
        <v>367627.22552491649</v>
      </c>
      <c r="P579" s="393">
        <f t="shared" si="305"/>
        <v>367627.22552491649</v>
      </c>
      <c r="Q579" s="393">
        <f t="shared" si="305"/>
        <v>367627.22552491649</v>
      </c>
      <c r="R579" s="393">
        <f t="shared" si="305"/>
        <v>367627.22552491649</v>
      </c>
      <c r="S579" s="393">
        <f t="shared" si="305"/>
        <v>367627.22552491649</v>
      </c>
      <c r="T579" s="393">
        <f t="shared" si="305"/>
        <v>367627.22552491649</v>
      </c>
      <c r="U579" s="393">
        <f t="shared" si="305"/>
        <v>367627.22552491649</v>
      </c>
      <c r="V579" s="393">
        <f t="shared" si="305"/>
        <v>367627.22552491649</v>
      </c>
      <c r="W579" s="393">
        <f t="shared" si="305"/>
        <v>367627.22552491649</v>
      </c>
      <c r="X579" s="393">
        <f t="shared" si="305"/>
        <v>367627.22552491649</v>
      </c>
      <c r="Y579" s="393">
        <f t="shared" si="305"/>
        <v>367627.22552491649</v>
      </c>
      <c r="Z579" s="393">
        <f t="shared" si="305"/>
        <v>367627.22552491649</v>
      </c>
      <c r="AA579" s="393">
        <f t="shared" si="305"/>
        <v>0</v>
      </c>
      <c r="AB579" s="393">
        <f t="shared" si="305"/>
        <v>0</v>
      </c>
      <c r="AC579" s="393">
        <f t="shared" si="305"/>
        <v>0</v>
      </c>
      <c r="AD579" s="393">
        <f t="shared" si="305"/>
        <v>0</v>
      </c>
      <c r="AE579" s="393">
        <f t="shared" si="305"/>
        <v>0</v>
      </c>
      <c r="AF579" s="393">
        <f t="shared" si="305"/>
        <v>0</v>
      </c>
      <c r="AG579" s="393">
        <f t="shared" si="305"/>
        <v>0</v>
      </c>
      <c r="AH579" s="393">
        <f t="shared" si="305"/>
        <v>0</v>
      </c>
      <c r="AI579" s="393">
        <f t="shared" si="305"/>
        <v>0</v>
      </c>
      <c r="AJ579" s="393">
        <f t="shared" si="305"/>
        <v>0</v>
      </c>
      <c r="AK579" s="393">
        <f t="shared" si="305"/>
        <v>0</v>
      </c>
      <c r="AL579" s="393">
        <f t="shared" si="305"/>
        <v>0</v>
      </c>
      <c r="AM579" s="393">
        <f t="shared" si="305"/>
        <v>0</v>
      </c>
      <c r="AN579" s="393">
        <f t="shared" si="305"/>
        <v>0</v>
      </c>
      <c r="AO579" s="393">
        <f t="shared" si="305"/>
        <v>0</v>
      </c>
      <c r="AP579" s="393">
        <f t="shared" si="305"/>
        <v>0</v>
      </c>
    </row>
    <row r="580" spans="1:42" x14ac:dyDescent="0.2">
      <c r="A580" s="7" t="s">
        <v>46</v>
      </c>
      <c r="B580" s="394">
        <v>0</v>
      </c>
      <c r="C580" s="394">
        <f>-C595</f>
        <v>0</v>
      </c>
      <c r="D580" s="394">
        <f t="shared" ref="D580:AP580" si="306">-D595</f>
        <v>0</v>
      </c>
      <c r="E580" s="394">
        <f t="shared" si="306"/>
        <v>0</v>
      </c>
      <c r="F580" s="394">
        <f t="shared" si="306"/>
        <v>0</v>
      </c>
      <c r="G580" s="394">
        <f t="shared" si="306"/>
        <v>0</v>
      </c>
      <c r="H580" s="394">
        <f t="shared" si="306"/>
        <v>0</v>
      </c>
      <c r="I580" s="394">
        <f t="shared" si="306"/>
        <v>0</v>
      </c>
      <c r="J580" s="394">
        <f t="shared" si="306"/>
        <v>0</v>
      </c>
      <c r="K580" s="394">
        <f t="shared" si="306"/>
        <v>0</v>
      </c>
      <c r="L580" s="394">
        <f t="shared" si="306"/>
        <v>0</v>
      </c>
      <c r="M580" s="394">
        <f t="shared" si="306"/>
        <v>0</v>
      </c>
      <c r="N580" s="394">
        <f t="shared" si="306"/>
        <v>-3280216.644503165</v>
      </c>
      <c r="O580" s="394">
        <f t="shared" si="306"/>
        <v>0</v>
      </c>
      <c r="P580" s="394">
        <f t="shared" si="306"/>
        <v>0</v>
      </c>
      <c r="Q580" s="394">
        <f t="shared" si="306"/>
        <v>0</v>
      </c>
      <c r="R580" s="394">
        <f t="shared" si="306"/>
        <v>0</v>
      </c>
      <c r="S580" s="394">
        <f t="shared" si="306"/>
        <v>0</v>
      </c>
      <c r="T580" s="394">
        <f t="shared" si="306"/>
        <v>0</v>
      </c>
      <c r="U580" s="394">
        <f t="shared" si="306"/>
        <v>0</v>
      </c>
      <c r="V580" s="394">
        <f t="shared" si="306"/>
        <v>0</v>
      </c>
      <c r="W580" s="394">
        <f t="shared" si="306"/>
        <v>0</v>
      </c>
      <c r="X580" s="394">
        <f t="shared" si="306"/>
        <v>0</v>
      </c>
      <c r="Y580" s="394">
        <f t="shared" si="306"/>
        <v>0</v>
      </c>
      <c r="Z580" s="394">
        <f t="shared" si="306"/>
        <v>-4411526.7062989976</v>
      </c>
      <c r="AA580" s="394">
        <f t="shared" si="306"/>
        <v>0</v>
      </c>
      <c r="AB580" s="394">
        <f t="shared" si="306"/>
        <v>0</v>
      </c>
      <c r="AC580" s="394">
        <f t="shared" si="306"/>
        <v>0</v>
      </c>
      <c r="AD580" s="394">
        <f t="shared" si="306"/>
        <v>0</v>
      </c>
      <c r="AE580" s="394">
        <f t="shared" si="306"/>
        <v>0</v>
      </c>
      <c r="AF580" s="394">
        <f t="shared" si="306"/>
        <v>0</v>
      </c>
      <c r="AG580" s="394">
        <f t="shared" si="306"/>
        <v>0</v>
      </c>
      <c r="AH580" s="394">
        <f t="shared" si="306"/>
        <v>0</v>
      </c>
      <c r="AI580" s="394">
        <f t="shared" si="306"/>
        <v>0</v>
      </c>
      <c r="AJ580" s="394">
        <f t="shared" si="306"/>
        <v>0</v>
      </c>
      <c r="AK580" s="394">
        <f t="shared" si="306"/>
        <v>0</v>
      </c>
      <c r="AL580" s="394">
        <f t="shared" si="306"/>
        <v>0</v>
      </c>
      <c r="AM580" s="394">
        <f t="shared" si="306"/>
        <v>0</v>
      </c>
      <c r="AN580" s="394">
        <f t="shared" si="306"/>
        <v>0</v>
      </c>
      <c r="AO580" s="394">
        <f t="shared" si="306"/>
        <v>0</v>
      </c>
      <c r="AP580" s="394">
        <f t="shared" si="306"/>
        <v>0</v>
      </c>
    </row>
    <row r="581" spans="1:42" x14ac:dyDescent="0.2">
      <c r="A581" s="7" t="s">
        <v>42</v>
      </c>
      <c r="B581" s="393">
        <f>SUM(B578:B580)</f>
        <v>0</v>
      </c>
      <c r="C581" s="393">
        <f>SUM(C578:C580)</f>
        <v>273351.3870419304</v>
      </c>
      <c r="D581" s="393">
        <f t="shared" ref="D581:AP581" si="307">SUM(D578:D580)</f>
        <v>546702.7740838608</v>
      </c>
      <c r="E581" s="393">
        <f t="shared" si="307"/>
        <v>820054.16112579126</v>
      </c>
      <c r="F581" s="393">
        <f t="shared" si="307"/>
        <v>1093405.5481677216</v>
      </c>
      <c r="G581" s="393">
        <f t="shared" si="307"/>
        <v>1366756.9352096519</v>
      </c>
      <c r="H581" s="393">
        <f t="shared" si="307"/>
        <v>1640108.3222515823</v>
      </c>
      <c r="I581" s="393">
        <f t="shared" si="307"/>
        <v>1913459.7092935126</v>
      </c>
      <c r="J581" s="393">
        <f t="shared" si="307"/>
        <v>2186811.0963354432</v>
      </c>
      <c r="K581" s="393">
        <f t="shared" si="307"/>
        <v>2460162.4833773738</v>
      </c>
      <c r="L581" s="393">
        <f t="shared" si="307"/>
        <v>2733513.8704193044</v>
      </c>
      <c r="M581" s="393">
        <f t="shared" si="307"/>
        <v>3006865.2574612349</v>
      </c>
      <c r="N581" s="393">
        <f t="shared" si="307"/>
        <v>0</v>
      </c>
      <c r="O581" s="393">
        <f t="shared" si="307"/>
        <v>367627.22552491649</v>
      </c>
      <c r="P581" s="393">
        <f t="shared" si="307"/>
        <v>735254.45104983298</v>
      </c>
      <c r="Q581" s="393">
        <f t="shared" si="307"/>
        <v>1102881.6765747494</v>
      </c>
      <c r="R581" s="393">
        <f t="shared" si="307"/>
        <v>1470508.902099666</v>
      </c>
      <c r="S581" s="393">
        <f t="shared" si="307"/>
        <v>1838136.1276245825</v>
      </c>
      <c r="T581" s="393">
        <f t="shared" si="307"/>
        <v>2205763.3531494988</v>
      </c>
      <c r="U581" s="393">
        <f t="shared" si="307"/>
        <v>2573390.5786744151</v>
      </c>
      <c r="V581" s="393">
        <f t="shared" si="307"/>
        <v>2941017.8041993314</v>
      </c>
      <c r="W581" s="393">
        <f t="shared" si="307"/>
        <v>3308645.0297242478</v>
      </c>
      <c r="X581" s="393">
        <f t="shared" si="307"/>
        <v>3676272.2552491641</v>
      </c>
      <c r="Y581" s="393">
        <f t="shared" si="307"/>
        <v>4043899.4807740804</v>
      </c>
      <c r="Z581" s="393">
        <f t="shared" si="307"/>
        <v>0</v>
      </c>
      <c r="AA581" s="393">
        <f t="shared" si="307"/>
        <v>0</v>
      </c>
      <c r="AB581" s="393">
        <f t="shared" si="307"/>
        <v>0</v>
      </c>
      <c r="AC581" s="393">
        <f t="shared" si="307"/>
        <v>0</v>
      </c>
      <c r="AD581" s="393">
        <f t="shared" si="307"/>
        <v>0</v>
      </c>
      <c r="AE581" s="393">
        <f t="shared" si="307"/>
        <v>0</v>
      </c>
      <c r="AF581" s="393">
        <f t="shared" si="307"/>
        <v>0</v>
      </c>
      <c r="AG581" s="393">
        <f t="shared" si="307"/>
        <v>0</v>
      </c>
      <c r="AH581" s="393">
        <f t="shared" si="307"/>
        <v>0</v>
      </c>
      <c r="AI581" s="393">
        <f t="shared" si="307"/>
        <v>0</v>
      </c>
      <c r="AJ581" s="393">
        <f t="shared" si="307"/>
        <v>0</v>
      </c>
      <c r="AK581" s="393">
        <f t="shared" si="307"/>
        <v>0</v>
      </c>
      <c r="AL581" s="393">
        <f t="shared" si="307"/>
        <v>0</v>
      </c>
      <c r="AM581" s="393">
        <f t="shared" si="307"/>
        <v>0</v>
      </c>
      <c r="AN581" s="393">
        <f t="shared" si="307"/>
        <v>0</v>
      </c>
      <c r="AO581" s="393">
        <f t="shared" si="307"/>
        <v>0</v>
      </c>
      <c r="AP581" s="393">
        <f t="shared" si="307"/>
        <v>0</v>
      </c>
    </row>
    <row r="582" spans="1:42" x14ac:dyDescent="0.2">
      <c r="B582" s="25"/>
      <c r="C582" s="25"/>
      <c r="D582" s="25"/>
      <c r="E582" s="25"/>
      <c r="F582" s="25"/>
      <c r="G582" s="36"/>
      <c r="H582" s="36"/>
      <c r="I582" s="36"/>
      <c r="J582" s="36"/>
      <c r="K582" s="36"/>
      <c r="L582" s="36"/>
      <c r="M582" s="36"/>
      <c r="N582" s="36"/>
      <c r="O582" s="36"/>
      <c r="P582" s="36"/>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row>
    <row r="583" spans="1:42" x14ac:dyDescent="0.2">
      <c r="A583" s="7" t="s">
        <v>111</v>
      </c>
      <c r="B583" s="25"/>
      <c r="C583" s="25"/>
      <c r="D583" s="25"/>
      <c r="E583" s="25"/>
      <c r="F583" s="25"/>
      <c r="G583" s="36"/>
      <c r="H583" s="36"/>
      <c r="I583" s="36"/>
      <c r="J583" s="36"/>
      <c r="K583" s="36"/>
      <c r="L583" s="36"/>
      <c r="M583" s="36"/>
      <c r="N583" s="36"/>
      <c r="O583" s="36"/>
      <c r="P583" s="36"/>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row>
    <row r="584" spans="1:42" x14ac:dyDescent="0.2">
      <c r="A584" s="7" t="s">
        <v>112</v>
      </c>
      <c r="B584" s="25"/>
      <c r="C584" s="25"/>
      <c r="D584" s="25"/>
      <c r="E584" s="25"/>
      <c r="F584" s="25"/>
      <c r="G584" s="36"/>
      <c r="H584" s="36"/>
      <c r="I584" s="36"/>
      <c r="J584" s="36"/>
      <c r="K584" s="36"/>
      <c r="L584" s="36"/>
      <c r="M584" s="36"/>
      <c r="N584" s="36"/>
      <c r="O584" s="36"/>
      <c r="P584" s="36"/>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row>
    <row r="585" spans="1:42" x14ac:dyDescent="0.2">
      <c r="A585" s="7">
        <v>1</v>
      </c>
      <c r="B585" s="409">
        <f t="shared" ref="B585:B594" si="308">SUM(C585:AP585)</f>
        <v>3280216.644503165</v>
      </c>
      <c r="C585" s="389">
        <f t="shared" ref="C585:AP585" si="309">IF(C$2&gt;analysis_period,0,IF(C$2=equip1_reserve_freq*$A585,equip1_reserve_cost*system_capacity*1000*(1+inflation_rate/100)^B$2,0))</f>
        <v>0</v>
      </c>
      <c r="D585" s="389">
        <f t="shared" si="309"/>
        <v>0</v>
      </c>
      <c r="E585" s="389">
        <f t="shared" si="309"/>
        <v>0</v>
      </c>
      <c r="F585" s="389">
        <f t="shared" si="309"/>
        <v>0</v>
      </c>
      <c r="G585" s="389">
        <f t="shared" si="309"/>
        <v>0</v>
      </c>
      <c r="H585" s="389">
        <f t="shared" si="309"/>
        <v>0</v>
      </c>
      <c r="I585" s="389">
        <f t="shared" si="309"/>
        <v>0</v>
      </c>
      <c r="J585" s="389">
        <f t="shared" si="309"/>
        <v>0</v>
      </c>
      <c r="K585" s="389">
        <f t="shared" si="309"/>
        <v>0</v>
      </c>
      <c r="L585" s="389">
        <f t="shared" si="309"/>
        <v>0</v>
      </c>
      <c r="M585" s="389">
        <f t="shared" si="309"/>
        <v>0</v>
      </c>
      <c r="N585" s="389">
        <f t="shared" si="309"/>
        <v>3280216.644503165</v>
      </c>
      <c r="O585" s="389">
        <f t="shared" si="309"/>
        <v>0</v>
      </c>
      <c r="P585" s="389">
        <f t="shared" si="309"/>
        <v>0</v>
      </c>
      <c r="Q585" s="389">
        <f t="shared" si="309"/>
        <v>0</v>
      </c>
      <c r="R585" s="389">
        <f t="shared" si="309"/>
        <v>0</v>
      </c>
      <c r="S585" s="389">
        <f t="shared" si="309"/>
        <v>0</v>
      </c>
      <c r="T585" s="389">
        <f t="shared" si="309"/>
        <v>0</v>
      </c>
      <c r="U585" s="389">
        <f t="shared" si="309"/>
        <v>0</v>
      </c>
      <c r="V585" s="389">
        <f t="shared" si="309"/>
        <v>0</v>
      </c>
      <c r="W585" s="389">
        <f t="shared" si="309"/>
        <v>0</v>
      </c>
      <c r="X585" s="389">
        <f t="shared" si="309"/>
        <v>0</v>
      </c>
      <c r="Y585" s="389">
        <f t="shared" si="309"/>
        <v>0</v>
      </c>
      <c r="Z585" s="389">
        <f t="shared" si="309"/>
        <v>0</v>
      </c>
      <c r="AA585" s="389">
        <f t="shared" si="309"/>
        <v>0</v>
      </c>
      <c r="AB585" s="389">
        <f t="shared" si="309"/>
        <v>0</v>
      </c>
      <c r="AC585" s="389">
        <f t="shared" si="309"/>
        <v>0</v>
      </c>
      <c r="AD585" s="389">
        <f t="shared" si="309"/>
        <v>0</v>
      </c>
      <c r="AE585" s="389">
        <f t="shared" si="309"/>
        <v>0</v>
      </c>
      <c r="AF585" s="389">
        <f t="shared" si="309"/>
        <v>0</v>
      </c>
      <c r="AG585" s="389">
        <f t="shared" si="309"/>
        <v>0</v>
      </c>
      <c r="AH585" s="389">
        <f t="shared" si="309"/>
        <v>0</v>
      </c>
      <c r="AI585" s="389">
        <f t="shared" si="309"/>
        <v>0</v>
      </c>
      <c r="AJ585" s="389">
        <f t="shared" si="309"/>
        <v>0</v>
      </c>
      <c r="AK585" s="389">
        <f t="shared" si="309"/>
        <v>0</v>
      </c>
      <c r="AL585" s="389">
        <f t="shared" si="309"/>
        <v>0</v>
      </c>
      <c r="AM585" s="389">
        <f t="shared" si="309"/>
        <v>0</v>
      </c>
      <c r="AN585" s="389">
        <f t="shared" si="309"/>
        <v>0</v>
      </c>
      <c r="AO585" s="389">
        <f t="shared" si="309"/>
        <v>0</v>
      </c>
      <c r="AP585" s="389">
        <f t="shared" si="309"/>
        <v>0</v>
      </c>
    </row>
    <row r="586" spans="1:42" x14ac:dyDescent="0.2">
      <c r="A586" s="7">
        <f>A585+1</f>
        <v>2</v>
      </c>
      <c r="B586" s="409">
        <f t="shared" si="308"/>
        <v>4411526.7062989976</v>
      </c>
      <c r="C586" s="389">
        <f t="shared" ref="C586:AP586" si="310">IF(C$2&gt;analysis_period,0,IF(C$2=equip1_reserve_freq*$A586,equip1_reserve_cost*system_capacity*1000*(1+inflation_rate/100)^B$2,0))</f>
        <v>0</v>
      </c>
      <c r="D586" s="389">
        <f t="shared" si="310"/>
        <v>0</v>
      </c>
      <c r="E586" s="389">
        <f t="shared" si="310"/>
        <v>0</v>
      </c>
      <c r="F586" s="389">
        <f t="shared" si="310"/>
        <v>0</v>
      </c>
      <c r="G586" s="389">
        <f t="shared" si="310"/>
        <v>0</v>
      </c>
      <c r="H586" s="389">
        <f t="shared" si="310"/>
        <v>0</v>
      </c>
      <c r="I586" s="389">
        <f t="shared" si="310"/>
        <v>0</v>
      </c>
      <c r="J586" s="389">
        <f t="shared" si="310"/>
        <v>0</v>
      </c>
      <c r="K586" s="389">
        <f t="shared" si="310"/>
        <v>0</v>
      </c>
      <c r="L586" s="389">
        <f t="shared" si="310"/>
        <v>0</v>
      </c>
      <c r="M586" s="389">
        <f t="shared" si="310"/>
        <v>0</v>
      </c>
      <c r="N586" s="389">
        <f t="shared" si="310"/>
        <v>0</v>
      </c>
      <c r="O586" s="389">
        <f t="shared" si="310"/>
        <v>0</v>
      </c>
      <c r="P586" s="389">
        <f t="shared" si="310"/>
        <v>0</v>
      </c>
      <c r="Q586" s="389">
        <f t="shared" si="310"/>
        <v>0</v>
      </c>
      <c r="R586" s="389">
        <f t="shared" si="310"/>
        <v>0</v>
      </c>
      <c r="S586" s="389">
        <f t="shared" si="310"/>
        <v>0</v>
      </c>
      <c r="T586" s="389">
        <f t="shared" si="310"/>
        <v>0</v>
      </c>
      <c r="U586" s="389">
        <f t="shared" si="310"/>
        <v>0</v>
      </c>
      <c r="V586" s="389">
        <f t="shared" si="310"/>
        <v>0</v>
      </c>
      <c r="W586" s="389">
        <f t="shared" si="310"/>
        <v>0</v>
      </c>
      <c r="X586" s="389">
        <f t="shared" si="310"/>
        <v>0</v>
      </c>
      <c r="Y586" s="389">
        <f t="shared" si="310"/>
        <v>0</v>
      </c>
      <c r="Z586" s="389">
        <f t="shared" si="310"/>
        <v>4411526.7062989976</v>
      </c>
      <c r="AA586" s="389">
        <f t="shared" si="310"/>
        <v>0</v>
      </c>
      <c r="AB586" s="389">
        <f t="shared" si="310"/>
        <v>0</v>
      </c>
      <c r="AC586" s="389">
        <f t="shared" si="310"/>
        <v>0</v>
      </c>
      <c r="AD586" s="389">
        <f t="shared" si="310"/>
        <v>0</v>
      </c>
      <c r="AE586" s="389">
        <f t="shared" si="310"/>
        <v>0</v>
      </c>
      <c r="AF586" s="389">
        <f t="shared" si="310"/>
        <v>0</v>
      </c>
      <c r="AG586" s="389">
        <f t="shared" si="310"/>
        <v>0</v>
      </c>
      <c r="AH586" s="389">
        <f t="shared" si="310"/>
        <v>0</v>
      </c>
      <c r="AI586" s="389">
        <f t="shared" si="310"/>
        <v>0</v>
      </c>
      <c r="AJ586" s="389">
        <f t="shared" si="310"/>
        <v>0</v>
      </c>
      <c r="AK586" s="389">
        <f t="shared" si="310"/>
        <v>0</v>
      </c>
      <c r="AL586" s="389">
        <f t="shared" si="310"/>
        <v>0</v>
      </c>
      <c r="AM586" s="389">
        <f t="shared" si="310"/>
        <v>0</v>
      </c>
      <c r="AN586" s="389">
        <f t="shared" si="310"/>
        <v>0</v>
      </c>
      <c r="AO586" s="389">
        <f t="shared" si="310"/>
        <v>0</v>
      </c>
      <c r="AP586" s="389">
        <f t="shared" si="310"/>
        <v>0</v>
      </c>
    </row>
    <row r="587" spans="1:42" x14ac:dyDescent="0.2">
      <c r="A587" s="7">
        <f t="shared" ref="A587:A594" si="311">A586+1</f>
        <v>3</v>
      </c>
      <c r="B587" s="409">
        <f t="shared" si="308"/>
        <v>0</v>
      </c>
      <c r="C587" s="389">
        <f t="shared" ref="C587:AP587" si="312">IF(C$2&gt;analysis_period,0,IF(C$2=equip1_reserve_freq*$A587,equip1_reserve_cost*system_capacity*1000*(1+inflation_rate/100)^B$2,0))</f>
        <v>0</v>
      </c>
      <c r="D587" s="389">
        <f t="shared" si="312"/>
        <v>0</v>
      </c>
      <c r="E587" s="389">
        <f t="shared" si="312"/>
        <v>0</v>
      </c>
      <c r="F587" s="389">
        <f t="shared" si="312"/>
        <v>0</v>
      </c>
      <c r="G587" s="389">
        <f t="shared" si="312"/>
        <v>0</v>
      </c>
      <c r="H587" s="389">
        <f t="shared" si="312"/>
        <v>0</v>
      </c>
      <c r="I587" s="389">
        <f t="shared" si="312"/>
        <v>0</v>
      </c>
      <c r="J587" s="389">
        <f t="shared" si="312"/>
        <v>0</v>
      </c>
      <c r="K587" s="389">
        <f t="shared" si="312"/>
        <v>0</v>
      </c>
      <c r="L587" s="389">
        <f t="shared" si="312"/>
        <v>0</v>
      </c>
      <c r="M587" s="389">
        <f t="shared" si="312"/>
        <v>0</v>
      </c>
      <c r="N587" s="389">
        <f t="shared" si="312"/>
        <v>0</v>
      </c>
      <c r="O587" s="389">
        <f t="shared" si="312"/>
        <v>0</v>
      </c>
      <c r="P587" s="389">
        <f t="shared" si="312"/>
        <v>0</v>
      </c>
      <c r="Q587" s="389">
        <f t="shared" si="312"/>
        <v>0</v>
      </c>
      <c r="R587" s="389">
        <f t="shared" si="312"/>
        <v>0</v>
      </c>
      <c r="S587" s="389">
        <f t="shared" si="312"/>
        <v>0</v>
      </c>
      <c r="T587" s="389">
        <f t="shared" si="312"/>
        <v>0</v>
      </c>
      <c r="U587" s="389">
        <f t="shared" si="312"/>
        <v>0</v>
      </c>
      <c r="V587" s="389">
        <f t="shared" si="312"/>
        <v>0</v>
      </c>
      <c r="W587" s="389">
        <f t="shared" si="312"/>
        <v>0</v>
      </c>
      <c r="X587" s="389">
        <f t="shared" si="312"/>
        <v>0</v>
      </c>
      <c r="Y587" s="389">
        <f t="shared" si="312"/>
        <v>0</v>
      </c>
      <c r="Z587" s="389">
        <f t="shared" si="312"/>
        <v>0</v>
      </c>
      <c r="AA587" s="389">
        <f t="shared" si="312"/>
        <v>0</v>
      </c>
      <c r="AB587" s="389">
        <f t="shared" si="312"/>
        <v>0</v>
      </c>
      <c r="AC587" s="389">
        <f t="shared" si="312"/>
        <v>0</v>
      </c>
      <c r="AD587" s="389">
        <f t="shared" si="312"/>
        <v>0</v>
      </c>
      <c r="AE587" s="389">
        <f t="shared" si="312"/>
        <v>0</v>
      </c>
      <c r="AF587" s="389">
        <f t="shared" si="312"/>
        <v>0</v>
      </c>
      <c r="AG587" s="389">
        <f t="shared" si="312"/>
        <v>0</v>
      </c>
      <c r="AH587" s="389">
        <f t="shared" si="312"/>
        <v>0</v>
      </c>
      <c r="AI587" s="389">
        <f t="shared" si="312"/>
        <v>0</v>
      </c>
      <c r="AJ587" s="389">
        <f t="shared" si="312"/>
        <v>0</v>
      </c>
      <c r="AK587" s="389">
        <f t="shared" si="312"/>
        <v>0</v>
      </c>
      <c r="AL587" s="389">
        <f t="shared" si="312"/>
        <v>0</v>
      </c>
      <c r="AM587" s="389">
        <f t="shared" si="312"/>
        <v>0</v>
      </c>
      <c r="AN587" s="389">
        <f t="shared" si="312"/>
        <v>0</v>
      </c>
      <c r="AO587" s="389">
        <f t="shared" si="312"/>
        <v>0</v>
      </c>
      <c r="AP587" s="389">
        <f t="shared" si="312"/>
        <v>0</v>
      </c>
    </row>
    <row r="588" spans="1:42" x14ac:dyDescent="0.2">
      <c r="A588" s="7">
        <f t="shared" si="311"/>
        <v>4</v>
      </c>
      <c r="B588" s="409">
        <f t="shared" si="308"/>
        <v>0</v>
      </c>
      <c r="C588" s="389">
        <f t="shared" ref="C588:AP588" si="313">IF(C$2&gt;analysis_period,0,IF(C$2=equip1_reserve_freq*$A588,equip1_reserve_cost*system_capacity*1000*(1+inflation_rate/100)^B$2,0))</f>
        <v>0</v>
      </c>
      <c r="D588" s="389">
        <f t="shared" si="313"/>
        <v>0</v>
      </c>
      <c r="E588" s="389">
        <f t="shared" si="313"/>
        <v>0</v>
      </c>
      <c r="F588" s="389">
        <f t="shared" si="313"/>
        <v>0</v>
      </c>
      <c r="G588" s="389">
        <f t="shared" si="313"/>
        <v>0</v>
      </c>
      <c r="H588" s="389">
        <f t="shared" si="313"/>
        <v>0</v>
      </c>
      <c r="I588" s="389">
        <f t="shared" si="313"/>
        <v>0</v>
      </c>
      <c r="J588" s="389">
        <f t="shared" si="313"/>
        <v>0</v>
      </c>
      <c r="K588" s="389">
        <f t="shared" si="313"/>
        <v>0</v>
      </c>
      <c r="L588" s="389">
        <f t="shared" si="313"/>
        <v>0</v>
      </c>
      <c r="M588" s="389">
        <f t="shared" si="313"/>
        <v>0</v>
      </c>
      <c r="N588" s="389">
        <f t="shared" si="313"/>
        <v>0</v>
      </c>
      <c r="O588" s="389">
        <f t="shared" si="313"/>
        <v>0</v>
      </c>
      <c r="P588" s="389">
        <f t="shared" si="313"/>
        <v>0</v>
      </c>
      <c r="Q588" s="389">
        <f t="shared" si="313"/>
        <v>0</v>
      </c>
      <c r="R588" s="389">
        <f t="shared" si="313"/>
        <v>0</v>
      </c>
      <c r="S588" s="389">
        <f t="shared" si="313"/>
        <v>0</v>
      </c>
      <c r="T588" s="389">
        <f t="shared" si="313"/>
        <v>0</v>
      </c>
      <c r="U588" s="389">
        <f t="shared" si="313"/>
        <v>0</v>
      </c>
      <c r="V588" s="389">
        <f t="shared" si="313"/>
        <v>0</v>
      </c>
      <c r="W588" s="389">
        <f t="shared" si="313"/>
        <v>0</v>
      </c>
      <c r="X588" s="389">
        <f t="shared" si="313"/>
        <v>0</v>
      </c>
      <c r="Y588" s="389">
        <f t="shared" si="313"/>
        <v>0</v>
      </c>
      <c r="Z588" s="389">
        <f t="shared" si="313"/>
        <v>0</v>
      </c>
      <c r="AA588" s="389">
        <f t="shared" si="313"/>
        <v>0</v>
      </c>
      <c r="AB588" s="389">
        <f t="shared" si="313"/>
        <v>0</v>
      </c>
      <c r="AC588" s="389">
        <f t="shared" si="313"/>
        <v>0</v>
      </c>
      <c r="AD588" s="389">
        <f t="shared" si="313"/>
        <v>0</v>
      </c>
      <c r="AE588" s="389">
        <f t="shared" si="313"/>
        <v>0</v>
      </c>
      <c r="AF588" s="389">
        <f t="shared" si="313"/>
        <v>0</v>
      </c>
      <c r="AG588" s="389">
        <f t="shared" si="313"/>
        <v>0</v>
      </c>
      <c r="AH588" s="389">
        <f t="shared" si="313"/>
        <v>0</v>
      </c>
      <c r="AI588" s="389">
        <f t="shared" si="313"/>
        <v>0</v>
      </c>
      <c r="AJ588" s="389">
        <f t="shared" si="313"/>
        <v>0</v>
      </c>
      <c r="AK588" s="389">
        <f t="shared" si="313"/>
        <v>0</v>
      </c>
      <c r="AL588" s="389">
        <f t="shared" si="313"/>
        <v>0</v>
      </c>
      <c r="AM588" s="389">
        <f t="shared" si="313"/>
        <v>0</v>
      </c>
      <c r="AN588" s="389">
        <f t="shared" si="313"/>
        <v>0</v>
      </c>
      <c r="AO588" s="389">
        <f t="shared" si="313"/>
        <v>0</v>
      </c>
      <c r="AP588" s="389">
        <f t="shared" si="313"/>
        <v>0</v>
      </c>
    </row>
    <row r="589" spans="1:42" x14ac:dyDescent="0.2">
      <c r="A589" s="7">
        <f t="shared" si="311"/>
        <v>5</v>
      </c>
      <c r="B589" s="409">
        <f t="shared" si="308"/>
        <v>0</v>
      </c>
      <c r="C589" s="389">
        <f t="shared" ref="C589:AP589" si="314">IF(C$2&gt;analysis_period,0,IF(C$2=equip1_reserve_freq*$A589,equip1_reserve_cost*system_capacity*1000*(1+inflation_rate/100)^B$2,0))</f>
        <v>0</v>
      </c>
      <c r="D589" s="389">
        <f t="shared" si="314"/>
        <v>0</v>
      </c>
      <c r="E589" s="389">
        <f t="shared" si="314"/>
        <v>0</v>
      </c>
      <c r="F589" s="389">
        <f t="shared" si="314"/>
        <v>0</v>
      </c>
      <c r="G589" s="389">
        <f t="shared" si="314"/>
        <v>0</v>
      </c>
      <c r="H589" s="389">
        <f t="shared" si="314"/>
        <v>0</v>
      </c>
      <c r="I589" s="389">
        <f t="shared" si="314"/>
        <v>0</v>
      </c>
      <c r="J589" s="389">
        <f t="shared" si="314"/>
        <v>0</v>
      </c>
      <c r="K589" s="389">
        <f t="shared" si="314"/>
        <v>0</v>
      </c>
      <c r="L589" s="389">
        <f t="shared" si="314"/>
        <v>0</v>
      </c>
      <c r="M589" s="389">
        <f t="shared" si="314"/>
        <v>0</v>
      </c>
      <c r="N589" s="389">
        <f t="shared" si="314"/>
        <v>0</v>
      </c>
      <c r="O589" s="389">
        <f t="shared" si="314"/>
        <v>0</v>
      </c>
      <c r="P589" s="389">
        <f t="shared" si="314"/>
        <v>0</v>
      </c>
      <c r="Q589" s="389">
        <f t="shared" si="314"/>
        <v>0</v>
      </c>
      <c r="R589" s="389">
        <f t="shared" si="314"/>
        <v>0</v>
      </c>
      <c r="S589" s="389">
        <f t="shared" si="314"/>
        <v>0</v>
      </c>
      <c r="T589" s="389">
        <f t="shared" si="314"/>
        <v>0</v>
      </c>
      <c r="U589" s="389">
        <f t="shared" si="314"/>
        <v>0</v>
      </c>
      <c r="V589" s="389">
        <f t="shared" si="314"/>
        <v>0</v>
      </c>
      <c r="W589" s="389">
        <f t="shared" si="314"/>
        <v>0</v>
      </c>
      <c r="X589" s="389">
        <f t="shared" si="314"/>
        <v>0</v>
      </c>
      <c r="Y589" s="389">
        <f t="shared" si="314"/>
        <v>0</v>
      </c>
      <c r="Z589" s="389">
        <f t="shared" si="314"/>
        <v>0</v>
      </c>
      <c r="AA589" s="389">
        <f t="shared" si="314"/>
        <v>0</v>
      </c>
      <c r="AB589" s="389">
        <f t="shared" si="314"/>
        <v>0</v>
      </c>
      <c r="AC589" s="389">
        <f t="shared" si="314"/>
        <v>0</v>
      </c>
      <c r="AD589" s="389">
        <f t="shared" si="314"/>
        <v>0</v>
      </c>
      <c r="AE589" s="389">
        <f t="shared" si="314"/>
        <v>0</v>
      </c>
      <c r="AF589" s="389">
        <f t="shared" si="314"/>
        <v>0</v>
      </c>
      <c r="AG589" s="389">
        <f t="shared" si="314"/>
        <v>0</v>
      </c>
      <c r="AH589" s="389">
        <f t="shared" si="314"/>
        <v>0</v>
      </c>
      <c r="AI589" s="389">
        <f t="shared" si="314"/>
        <v>0</v>
      </c>
      <c r="AJ589" s="389">
        <f t="shared" si="314"/>
        <v>0</v>
      </c>
      <c r="AK589" s="389">
        <f t="shared" si="314"/>
        <v>0</v>
      </c>
      <c r="AL589" s="389">
        <f t="shared" si="314"/>
        <v>0</v>
      </c>
      <c r="AM589" s="389">
        <f t="shared" si="314"/>
        <v>0</v>
      </c>
      <c r="AN589" s="389">
        <f t="shared" si="314"/>
        <v>0</v>
      </c>
      <c r="AO589" s="389">
        <f t="shared" si="314"/>
        <v>0</v>
      </c>
      <c r="AP589" s="389">
        <f t="shared" si="314"/>
        <v>0</v>
      </c>
    </row>
    <row r="590" spans="1:42" x14ac:dyDescent="0.2">
      <c r="A590" s="7">
        <f t="shared" si="311"/>
        <v>6</v>
      </c>
      <c r="B590" s="409">
        <f t="shared" si="308"/>
        <v>0</v>
      </c>
      <c r="C590" s="389">
        <f t="shared" ref="C590:AP590" si="315">IF(C$2&gt;analysis_period,0,IF(C$2=equip1_reserve_freq*$A590,equip1_reserve_cost*system_capacity*1000*(1+inflation_rate/100)^B$2,0))</f>
        <v>0</v>
      </c>
      <c r="D590" s="389">
        <f t="shared" si="315"/>
        <v>0</v>
      </c>
      <c r="E590" s="389">
        <f t="shared" si="315"/>
        <v>0</v>
      </c>
      <c r="F590" s="389">
        <f t="shared" si="315"/>
        <v>0</v>
      </c>
      <c r="G590" s="389">
        <f t="shared" si="315"/>
        <v>0</v>
      </c>
      <c r="H590" s="389">
        <f t="shared" si="315"/>
        <v>0</v>
      </c>
      <c r="I590" s="389">
        <f t="shared" si="315"/>
        <v>0</v>
      </c>
      <c r="J590" s="389">
        <f t="shared" si="315"/>
        <v>0</v>
      </c>
      <c r="K590" s="389">
        <f t="shared" si="315"/>
        <v>0</v>
      </c>
      <c r="L590" s="389">
        <f t="shared" si="315"/>
        <v>0</v>
      </c>
      <c r="M590" s="389">
        <f t="shared" si="315"/>
        <v>0</v>
      </c>
      <c r="N590" s="389">
        <f t="shared" si="315"/>
        <v>0</v>
      </c>
      <c r="O590" s="389">
        <f t="shared" si="315"/>
        <v>0</v>
      </c>
      <c r="P590" s="389">
        <f t="shared" si="315"/>
        <v>0</v>
      </c>
      <c r="Q590" s="389">
        <f t="shared" si="315"/>
        <v>0</v>
      </c>
      <c r="R590" s="389">
        <f t="shared" si="315"/>
        <v>0</v>
      </c>
      <c r="S590" s="389">
        <f t="shared" si="315"/>
        <v>0</v>
      </c>
      <c r="T590" s="389">
        <f t="shared" si="315"/>
        <v>0</v>
      </c>
      <c r="U590" s="389">
        <f t="shared" si="315"/>
        <v>0</v>
      </c>
      <c r="V590" s="389">
        <f t="shared" si="315"/>
        <v>0</v>
      </c>
      <c r="W590" s="389">
        <f t="shared" si="315"/>
        <v>0</v>
      </c>
      <c r="X590" s="389">
        <f t="shared" si="315"/>
        <v>0</v>
      </c>
      <c r="Y590" s="389">
        <f t="shared" si="315"/>
        <v>0</v>
      </c>
      <c r="Z590" s="389">
        <f t="shared" si="315"/>
        <v>0</v>
      </c>
      <c r="AA590" s="389">
        <f t="shared" si="315"/>
        <v>0</v>
      </c>
      <c r="AB590" s="389">
        <f t="shared" si="315"/>
        <v>0</v>
      </c>
      <c r="AC590" s="389">
        <f t="shared" si="315"/>
        <v>0</v>
      </c>
      <c r="AD590" s="389">
        <f t="shared" si="315"/>
        <v>0</v>
      </c>
      <c r="AE590" s="389">
        <f t="shared" si="315"/>
        <v>0</v>
      </c>
      <c r="AF590" s="389">
        <f t="shared" si="315"/>
        <v>0</v>
      </c>
      <c r="AG590" s="389">
        <f t="shared" si="315"/>
        <v>0</v>
      </c>
      <c r="AH590" s="389">
        <f t="shared" si="315"/>
        <v>0</v>
      </c>
      <c r="AI590" s="389">
        <f t="shared" si="315"/>
        <v>0</v>
      </c>
      <c r="AJ590" s="389">
        <f t="shared" si="315"/>
        <v>0</v>
      </c>
      <c r="AK590" s="389">
        <f t="shared" si="315"/>
        <v>0</v>
      </c>
      <c r="AL590" s="389">
        <f t="shared" si="315"/>
        <v>0</v>
      </c>
      <c r="AM590" s="389">
        <f t="shared" si="315"/>
        <v>0</v>
      </c>
      <c r="AN590" s="389">
        <f t="shared" si="315"/>
        <v>0</v>
      </c>
      <c r="AO590" s="389">
        <f t="shared" si="315"/>
        <v>0</v>
      </c>
      <c r="AP590" s="389">
        <f t="shared" si="315"/>
        <v>0</v>
      </c>
    </row>
    <row r="591" spans="1:42" x14ac:dyDescent="0.2">
      <c r="A591" s="7">
        <f t="shared" si="311"/>
        <v>7</v>
      </c>
      <c r="B591" s="409">
        <f t="shared" si="308"/>
        <v>0</v>
      </c>
      <c r="C591" s="389">
        <f t="shared" ref="C591:AP591" si="316">IF(C$2&gt;analysis_period,0,IF(C$2=equip1_reserve_freq*$A591,equip1_reserve_cost*system_capacity*1000*(1+inflation_rate/100)^B$2,0))</f>
        <v>0</v>
      </c>
      <c r="D591" s="389">
        <f t="shared" si="316"/>
        <v>0</v>
      </c>
      <c r="E591" s="389">
        <f t="shared" si="316"/>
        <v>0</v>
      </c>
      <c r="F591" s="389">
        <f t="shared" si="316"/>
        <v>0</v>
      </c>
      <c r="G591" s="389">
        <f t="shared" si="316"/>
        <v>0</v>
      </c>
      <c r="H591" s="389">
        <f t="shared" si="316"/>
        <v>0</v>
      </c>
      <c r="I591" s="389">
        <f t="shared" si="316"/>
        <v>0</v>
      </c>
      <c r="J591" s="389">
        <f t="shared" si="316"/>
        <v>0</v>
      </c>
      <c r="K591" s="389">
        <f t="shared" si="316"/>
        <v>0</v>
      </c>
      <c r="L591" s="389">
        <f t="shared" si="316"/>
        <v>0</v>
      </c>
      <c r="M591" s="389">
        <f t="shared" si="316"/>
        <v>0</v>
      </c>
      <c r="N591" s="389">
        <f t="shared" si="316"/>
        <v>0</v>
      </c>
      <c r="O591" s="389">
        <f t="shared" si="316"/>
        <v>0</v>
      </c>
      <c r="P591" s="389">
        <f t="shared" si="316"/>
        <v>0</v>
      </c>
      <c r="Q591" s="389">
        <f t="shared" si="316"/>
        <v>0</v>
      </c>
      <c r="R591" s="389">
        <f t="shared" si="316"/>
        <v>0</v>
      </c>
      <c r="S591" s="389">
        <f t="shared" si="316"/>
        <v>0</v>
      </c>
      <c r="T591" s="389">
        <f t="shared" si="316"/>
        <v>0</v>
      </c>
      <c r="U591" s="389">
        <f t="shared" si="316"/>
        <v>0</v>
      </c>
      <c r="V591" s="389">
        <f t="shared" si="316"/>
        <v>0</v>
      </c>
      <c r="W591" s="389">
        <f t="shared" si="316"/>
        <v>0</v>
      </c>
      <c r="X591" s="389">
        <f t="shared" si="316"/>
        <v>0</v>
      </c>
      <c r="Y591" s="389">
        <f t="shared" si="316"/>
        <v>0</v>
      </c>
      <c r="Z591" s="389">
        <f t="shared" si="316"/>
        <v>0</v>
      </c>
      <c r="AA591" s="389">
        <f t="shared" si="316"/>
        <v>0</v>
      </c>
      <c r="AB591" s="389">
        <f t="shared" si="316"/>
        <v>0</v>
      </c>
      <c r="AC591" s="389">
        <f t="shared" si="316"/>
        <v>0</v>
      </c>
      <c r="AD591" s="389">
        <f t="shared" si="316"/>
        <v>0</v>
      </c>
      <c r="AE591" s="389">
        <f t="shared" si="316"/>
        <v>0</v>
      </c>
      <c r="AF591" s="389">
        <f t="shared" si="316"/>
        <v>0</v>
      </c>
      <c r="AG591" s="389">
        <f t="shared" si="316"/>
        <v>0</v>
      </c>
      <c r="AH591" s="389">
        <f t="shared" si="316"/>
        <v>0</v>
      </c>
      <c r="AI591" s="389">
        <f t="shared" si="316"/>
        <v>0</v>
      </c>
      <c r="AJ591" s="389">
        <f t="shared" si="316"/>
        <v>0</v>
      </c>
      <c r="AK591" s="389">
        <f t="shared" si="316"/>
        <v>0</v>
      </c>
      <c r="AL591" s="389">
        <f t="shared" si="316"/>
        <v>0</v>
      </c>
      <c r="AM591" s="389">
        <f t="shared" si="316"/>
        <v>0</v>
      </c>
      <c r="AN591" s="389">
        <f t="shared" si="316"/>
        <v>0</v>
      </c>
      <c r="AO591" s="389">
        <f t="shared" si="316"/>
        <v>0</v>
      </c>
      <c r="AP591" s="389">
        <f t="shared" si="316"/>
        <v>0</v>
      </c>
    </row>
    <row r="592" spans="1:42" x14ac:dyDescent="0.2">
      <c r="A592" s="7">
        <f t="shared" si="311"/>
        <v>8</v>
      </c>
      <c r="B592" s="409">
        <f t="shared" si="308"/>
        <v>0</v>
      </c>
      <c r="C592" s="389">
        <f t="shared" ref="C592:AP592" si="317">IF(C$2&gt;analysis_period,0,IF(C$2=equip1_reserve_freq*$A592,equip1_reserve_cost*system_capacity*1000*(1+inflation_rate/100)^B$2,0))</f>
        <v>0</v>
      </c>
      <c r="D592" s="389">
        <f t="shared" si="317"/>
        <v>0</v>
      </c>
      <c r="E592" s="389">
        <f t="shared" si="317"/>
        <v>0</v>
      </c>
      <c r="F592" s="389">
        <f t="shared" si="317"/>
        <v>0</v>
      </c>
      <c r="G592" s="389">
        <f t="shared" si="317"/>
        <v>0</v>
      </c>
      <c r="H592" s="389">
        <f t="shared" si="317"/>
        <v>0</v>
      </c>
      <c r="I592" s="389">
        <f t="shared" si="317"/>
        <v>0</v>
      </c>
      <c r="J592" s="389">
        <f t="shared" si="317"/>
        <v>0</v>
      </c>
      <c r="K592" s="389">
        <f t="shared" si="317"/>
        <v>0</v>
      </c>
      <c r="L592" s="389">
        <f t="shared" si="317"/>
        <v>0</v>
      </c>
      <c r="M592" s="389">
        <f t="shared" si="317"/>
        <v>0</v>
      </c>
      <c r="N592" s="389">
        <f t="shared" si="317"/>
        <v>0</v>
      </c>
      <c r="O592" s="389">
        <f t="shared" si="317"/>
        <v>0</v>
      </c>
      <c r="P592" s="389">
        <f t="shared" si="317"/>
        <v>0</v>
      </c>
      <c r="Q592" s="389">
        <f t="shared" si="317"/>
        <v>0</v>
      </c>
      <c r="R592" s="389">
        <f t="shared" si="317"/>
        <v>0</v>
      </c>
      <c r="S592" s="389">
        <f t="shared" si="317"/>
        <v>0</v>
      </c>
      <c r="T592" s="389">
        <f t="shared" si="317"/>
        <v>0</v>
      </c>
      <c r="U592" s="389">
        <f t="shared" si="317"/>
        <v>0</v>
      </c>
      <c r="V592" s="389">
        <f t="shared" si="317"/>
        <v>0</v>
      </c>
      <c r="W592" s="389">
        <f t="shared" si="317"/>
        <v>0</v>
      </c>
      <c r="X592" s="389">
        <f t="shared" si="317"/>
        <v>0</v>
      </c>
      <c r="Y592" s="389">
        <f t="shared" si="317"/>
        <v>0</v>
      </c>
      <c r="Z592" s="389">
        <f t="shared" si="317"/>
        <v>0</v>
      </c>
      <c r="AA592" s="389">
        <f t="shared" si="317"/>
        <v>0</v>
      </c>
      <c r="AB592" s="389">
        <f t="shared" si="317"/>
        <v>0</v>
      </c>
      <c r="AC592" s="389">
        <f t="shared" si="317"/>
        <v>0</v>
      </c>
      <c r="AD592" s="389">
        <f t="shared" si="317"/>
        <v>0</v>
      </c>
      <c r="AE592" s="389">
        <f t="shared" si="317"/>
        <v>0</v>
      </c>
      <c r="AF592" s="389">
        <f t="shared" si="317"/>
        <v>0</v>
      </c>
      <c r="AG592" s="389">
        <f t="shared" si="317"/>
        <v>0</v>
      </c>
      <c r="AH592" s="389">
        <f t="shared" si="317"/>
        <v>0</v>
      </c>
      <c r="AI592" s="389">
        <f t="shared" si="317"/>
        <v>0</v>
      </c>
      <c r="AJ592" s="389">
        <f t="shared" si="317"/>
        <v>0</v>
      </c>
      <c r="AK592" s="389">
        <f t="shared" si="317"/>
        <v>0</v>
      </c>
      <c r="AL592" s="389">
        <f t="shared" si="317"/>
        <v>0</v>
      </c>
      <c r="AM592" s="389">
        <f t="shared" si="317"/>
        <v>0</v>
      </c>
      <c r="AN592" s="389">
        <f t="shared" si="317"/>
        <v>0</v>
      </c>
      <c r="AO592" s="389">
        <f t="shared" si="317"/>
        <v>0</v>
      </c>
      <c r="AP592" s="389">
        <f t="shared" si="317"/>
        <v>0</v>
      </c>
    </row>
    <row r="593" spans="1:42" x14ac:dyDescent="0.2">
      <c r="A593" s="7">
        <f>A592+1</f>
        <v>9</v>
      </c>
      <c r="B593" s="409">
        <f t="shared" si="308"/>
        <v>0</v>
      </c>
      <c r="C593" s="389">
        <f t="shared" ref="C593:AP593" si="318">IF(C$2&gt;analysis_period,0,IF(C$2=equip1_reserve_freq*$A593,equip1_reserve_cost*system_capacity*1000*(1+inflation_rate/100)^B$2,0))</f>
        <v>0</v>
      </c>
      <c r="D593" s="389">
        <f t="shared" si="318"/>
        <v>0</v>
      </c>
      <c r="E593" s="389">
        <f t="shared" si="318"/>
        <v>0</v>
      </c>
      <c r="F593" s="389">
        <f t="shared" si="318"/>
        <v>0</v>
      </c>
      <c r="G593" s="389">
        <f t="shared" si="318"/>
        <v>0</v>
      </c>
      <c r="H593" s="389">
        <f t="shared" si="318"/>
        <v>0</v>
      </c>
      <c r="I593" s="389">
        <f t="shared" si="318"/>
        <v>0</v>
      </c>
      <c r="J593" s="389">
        <f t="shared" si="318"/>
        <v>0</v>
      </c>
      <c r="K593" s="389">
        <f t="shared" si="318"/>
        <v>0</v>
      </c>
      <c r="L593" s="389">
        <f t="shared" si="318"/>
        <v>0</v>
      </c>
      <c r="M593" s="389">
        <f t="shared" si="318"/>
        <v>0</v>
      </c>
      <c r="N593" s="389">
        <f t="shared" si="318"/>
        <v>0</v>
      </c>
      <c r="O593" s="389">
        <f t="shared" si="318"/>
        <v>0</v>
      </c>
      <c r="P593" s="389">
        <f t="shared" si="318"/>
        <v>0</v>
      </c>
      <c r="Q593" s="389">
        <f t="shared" si="318"/>
        <v>0</v>
      </c>
      <c r="R593" s="389">
        <f t="shared" si="318"/>
        <v>0</v>
      </c>
      <c r="S593" s="389">
        <f t="shared" si="318"/>
        <v>0</v>
      </c>
      <c r="T593" s="389">
        <f t="shared" si="318"/>
        <v>0</v>
      </c>
      <c r="U593" s="389">
        <f t="shared" si="318"/>
        <v>0</v>
      </c>
      <c r="V593" s="389">
        <f t="shared" si="318"/>
        <v>0</v>
      </c>
      <c r="W593" s="389">
        <f t="shared" si="318"/>
        <v>0</v>
      </c>
      <c r="X593" s="389">
        <f t="shared" si="318"/>
        <v>0</v>
      </c>
      <c r="Y593" s="389">
        <f t="shared" si="318"/>
        <v>0</v>
      </c>
      <c r="Z593" s="389">
        <f t="shared" si="318"/>
        <v>0</v>
      </c>
      <c r="AA593" s="389">
        <f t="shared" si="318"/>
        <v>0</v>
      </c>
      <c r="AB593" s="389">
        <f t="shared" si="318"/>
        <v>0</v>
      </c>
      <c r="AC593" s="389">
        <f t="shared" si="318"/>
        <v>0</v>
      </c>
      <c r="AD593" s="389">
        <f t="shared" si="318"/>
        <v>0</v>
      </c>
      <c r="AE593" s="389">
        <f t="shared" si="318"/>
        <v>0</v>
      </c>
      <c r="AF593" s="389">
        <f t="shared" si="318"/>
        <v>0</v>
      </c>
      <c r="AG593" s="389">
        <f t="shared" si="318"/>
        <v>0</v>
      </c>
      <c r="AH593" s="389">
        <f t="shared" si="318"/>
        <v>0</v>
      </c>
      <c r="AI593" s="389">
        <f t="shared" si="318"/>
        <v>0</v>
      </c>
      <c r="AJ593" s="389">
        <f t="shared" si="318"/>
        <v>0</v>
      </c>
      <c r="AK593" s="389">
        <f t="shared" si="318"/>
        <v>0</v>
      </c>
      <c r="AL593" s="389">
        <f t="shared" si="318"/>
        <v>0</v>
      </c>
      <c r="AM593" s="389">
        <f t="shared" si="318"/>
        <v>0</v>
      </c>
      <c r="AN593" s="389">
        <f t="shared" si="318"/>
        <v>0</v>
      </c>
      <c r="AO593" s="389">
        <f t="shared" si="318"/>
        <v>0</v>
      </c>
      <c r="AP593" s="389">
        <f t="shared" si="318"/>
        <v>0</v>
      </c>
    </row>
    <row r="594" spans="1:42" x14ac:dyDescent="0.2">
      <c r="A594" s="7">
        <f t="shared" si="311"/>
        <v>10</v>
      </c>
      <c r="B594" s="409">
        <f t="shared" si="308"/>
        <v>0</v>
      </c>
      <c r="C594" s="389">
        <f t="shared" ref="C594:AP594" si="319">IF(C$2&gt;analysis_period,0,IF(C$2=equip1_reserve_freq*$A594,equip1_reserve_cost*system_capacity*1000*(1+inflation_rate/100)^B$2,0))</f>
        <v>0</v>
      </c>
      <c r="D594" s="389">
        <f t="shared" si="319"/>
        <v>0</v>
      </c>
      <c r="E594" s="389">
        <f t="shared" si="319"/>
        <v>0</v>
      </c>
      <c r="F594" s="389">
        <f t="shared" si="319"/>
        <v>0</v>
      </c>
      <c r="G594" s="389">
        <f t="shared" si="319"/>
        <v>0</v>
      </c>
      <c r="H594" s="389">
        <f t="shared" si="319"/>
        <v>0</v>
      </c>
      <c r="I594" s="389">
        <f t="shared" si="319"/>
        <v>0</v>
      </c>
      <c r="J594" s="389">
        <f t="shared" si="319"/>
        <v>0</v>
      </c>
      <c r="K594" s="389">
        <f t="shared" si="319"/>
        <v>0</v>
      </c>
      <c r="L594" s="389">
        <f t="shared" si="319"/>
        <v>0</v>
      </c>
      <c r="M594" s="389">
        <f t="shared" si="319"/>
        <v>0</v>
      </c>
      <c r="N594" s="389">
        <f t="shared" si="319"/>
        <v>0</v>
      </c>
      <c r="O594" s="389">
        <f t="shared" si="319"/>
        <v>0</v>
      </c>
      <c r="P594" s="389">
        <f t="shared" si="319"/>
        <v>0</v>
      </c>
      <c r="Q594" s="389">
        <f t="shared" si="319"/>
        <v>0</v>
      </c>
      <c r="R594" s="389">
        <f t="shared" si="319"/>
        <v>0</v>
      </c>
      <c r="S594" s="389">
        <f t="shared" si="319"/>
        <v>0</v>
      </c>
      <c r="T594" s="389">
        <f t="shared" si="319"/>
        <v>0</v>
      </c>
      <c r="U594" s="389">
        <f t="shared" si="319"/>
        <v>0</v>
      </c>
      <c r="V594" s="389">
        <f t="shared" si="319"/>
        <v>0</v>
      </c>
      <c r="W594" s="389">
        <f t="shared" si="319"/>
        <v>0</v>
      </c>
      <c r="X594" s="389">
        <f t="shared" si="319"/>
        <v>0</v>
      </c>
      <c r="Y594" s="389">
        <f t="shared" si="319"/>
        <v>0</v>
      </c>
      <c r="Z594" s="389">
        <f t="shared" si="319"/>
        <v>0</v>
      </c>
      <c r="AA594" s="389">
        <f t="shared" si="319"/>
        <v>0</v>
      </c>
      <c r="AB594" s="389">
        <f t="shared" si="319"/>
        <v>0</v>
      </c>
      <c r="AC594" s="389">
        <f t="shared" si="319"/>
        <v>0</v>
      </c>
      <c r="AD594" s="389">
        <f t="shared" si="319"/>
        <v>0</v>
      </c>
      <c r="AE594" s="389">
        <f t="shared" si="319"/>
        <v>0</v>
      </c>
      <c r="AF594" s="389">
        <f t="shared" si="319"/>
        <v>0</v>
      </c>
      <c r="AG594" s="389">
        <f t="shared" si="319"/>
        <v>0</v>
      </c>
      <c r="AH594" s="389">
        <f t="shared" si="319"/>
        <v>0</v>
      </c>
      <c r="AI594" s="389">
        <f t="shared" si="319"/>
        <v>0</v>
      </c>
      <c r="AJ594" s="389">
        <f t="shared" si="319"/>
        <v>0</v>
      </c>
      <c r="AK594" s="389">
        <f t="shared" si="319"/>
        <v>0</v>
      </c>
      <c r="AL594" s="389">
        <f t="shared" si="319"/>
        <v>0</v>
      </c>
      <c r="AM594" s="389">
        <f t="shared" si="319"/>
        <v>0</v>
      </c>
      <c r="AN594" s="389">
        <f t="shared" si="319"/>
        <v>0</v>
      </c>
      <c r="AO594" s="389">
        <f t="shared" si="319"/>
        <v>0</v>
      </c>
      <c r="AP594" s="389">
        <f t="shared" si="319"/>
        <v>0</v>
      </c>
    </row>
    <row r="595" spans="1:42" x14ac:dyDescent="0.2">
      <c r="A595" s="47" t="s">
        <v>21</v>
      </c>
      <c r="B595" s="36"/>
      <c r="C595" s="393">
        <f>SUM(C585:C594)</f>
        <v>0</v>
      </c>
      <c r="D595" s="393">
        <f t="shared" ref="D595:AD595" si="320">SUM(D585:D594)</f>
        <v>0</v>
      </c>
      <c r="E595" s="393">
        <f t="shared" si="320"/>
        <v>0</v>
      </c>
      <c r="F595" s="393">
        <f t="shared" si="320"/>
        <v>0</v>
      </c>
      <c r="G595" s="393">
        <f t="shared" si="320"/>
        <v>0</v>
      </c>
      <c r="H595" s="393">
        <f t="shared" si="320"/>
        <v>0</v>
      </c>
      <c r="I595" s="393">
        <f t="shared" si="320"/>
        <v>0</v>
      </c>
      <c r="J595" s="393">
        <f t="shared" si="320"/>
        <v>0</v>
      </c>
      <c r="K595" s="393">
        <f t="shared" si="320"/>
        <v>0</v>
      </c>
      <c r="L595" s="393">
        <f t="shared" si="320"/>
        <v>0</v>
      </c>
      <c r="M595" s="393">
        <f t="shared" si="320"/>
        <v>0</v>
      </c>
      <c r="N595" s="393">
        <f t="shared" si="320"/>
        <v>3280216.644503165</v>
      </c>
      <c r="O595" s="393">
        <f t="shared" si="320"/>
        <v>0</v>
      </c>
      <c r="P595" s="393">
        <f t="shared" si="320"/>
        <v>0</v>
      </c>
      <c r="Q595" s="393">
        <f t="shared" si="320"/>
        <v>0</v>
      </c>
      <c r="R595" s="393">
        <f t="shared" si="320"/>
        <v>0</v>
      </c>
      <c r="S595" s="393">
        <f t="shared" si="320"/>
        <v>0</v>
      </c>
      <c r="T595" s="393">
        <f t="shared" si="320"/>
        <v>0</v>
      </c>
      <c r="U595" s="393">
        <f t="shared" si="320"/>
        <v>0</v>
      </c>
      <c r="V595" s="393">
        <f t="shared" si="320"/>
        <v>0</v>
      </c>
      <c r="W595" s="393">
        <f t="shared" si="320"/>
        <v>0</v>
      </c>
      <c r="X595" s="393">
        <f t="shared" si="320"/>
        <v>0</v>
      </c>
      <c r="Y595" s="393">
        <f t="shared" si="320"/>
        <v>0</v>
      </c>
      <c r="Z595" s="393">
        <f t="shared" si="320"/>
        <v>4411526.7062989976</v>
      </c>
      <c r="AA595" s="393">
        <f t="shared" si="320"/>
        <v>0</v>
      </c>
      <c r="AB595" s="393">
        <f t="shared" si="320"/>
        <v>0</v>
      </c>
      <c r="AC595" s="393">
        <f t="shared" si="320"/>
        <v>0</v>
      </c>
      <c r="AD595" s="393">
        <f t="shared" si="320"/>
        <v>0</v>
      </c>
      <c r="AE595" s="393">
        <f t="shared" ref="AE595" si="321">SUM(AE585:AE594)</f>
        <v>0</v>
      </c>
      <c r="AF595" s="393">
        <f t="shared" ref="AF595:AP595" si="322">SUM(AF585:AF594)</f>
        <v>0</v>
      </c>
      <c r="AG595" s="393">
        <f t="shared" si="322"/>
        <v>0</v>
      </c>
      <c r="AH595" s="393">
        <f t="shared" si="322"/>
        <v>0</v>
      </c>
      <c r="AI595" s="393">
        <f t="shared" si="322"/>
        <v>0</v>
      </c>
      <c r="AJ595" s="393">
        <f t="shared" si="322"/>
        <v>0</v>
      </c>
      <c r="AK595" s="393">
        <f t="shared" si="322"/>
        <v>0</v>
      </c>
      <c r="AL595" s="393">
        <f t="shared" si="322"/>
        <v>0</v>
      </c>
      <c r="AM595" s="393">
        <f t="shared" si="322"/>
        <v>0</v>
      </c>
      <c r="AN595" s="393">
        <f t="shared" si="322"/>
        <v>0</v>
      </c>
      <c r="AO595" s="393">
        <f t="shared" si="322"/>
        <v>0</v>
      </c>
      <c r="AP595" s="393">
        <f t="shared" si="322"/>
        <v>0</v>
      </c>
    </row>
    <row r="596" spans="1:42" x14ac:dyDescent="0.2">
      <c r="A596" s="7" t="s">
        <v>114</v>
      </c>
      <c r="B596" s="25"/>
      <c r="C596" s="25"/>
      <c r="D596" s="25"/>
      <c r="E596" s="25"/>
      <c r="F596" s="25"/>
      <c r="G596" s="36"/>
      <c r="H596" s="36"/>
      <c r="I596" s="36"/>
      <c r="J596" s="36"/>
      <c r="K596" s="36"/>
      <c r="L596" s="36"/>
      <c r="M596" s="36"/>
      <c r="N596" s="36"/>
      <c r="O596" s="36"/>
      <c r="P596" s="36"/>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row>
    <row r="597" spans="1:42" x14ac:dyDescent="0.2">
      <c r="A597" s="7">
        <v>1</v>
      </c>
      <c r="B597" s="409">
        <f t="shared" ref="B597:B606" si="323">SUM(C597:AP597)</f>
        <v>3280216.6445031655</v>
      </c>
      <c r="C597" s="393">
        <f t="shared" ref="C597:AP597" si="324">IF(C$2&lt;=equip1_reserve_freq*$A$585,$B$585/(equip1_reserve_freq),0)</f>
        <v>273351.3870419304</v>
      </c>
      <c r="D597" s="393">
        <f t="shared" si="324"/>
        <v>273351.3870419304</v>
      </c>
      <c r="E597" s="393">
        <f t="shared" si="324"/>
        <v>273351.3870419304</v>
      </c>
      <c r="F597" s="393">
        <f t="shared" si="324"/>
        <v>273351.3870419304</v>
      </c>
      <c r="G597" s="393">
        <f t="shared" si="324"/>
        <v>273351.3870419304</v>
      </c>
      <c r="H597" s="393">
        <f t="shared" si="324"/>
        <v>273351.3870419304</v>
      </c>
      <c r="I597" s="393">
        <f t="shared" si="324"/>
        <v>273351.3870419304</v>
      </c>
      <c r="J597" s="393">
        <f t="shared" si="324"/>
        <v>273351.3870419304</v>
      </c>
      <c r="K597" s="393">
        <f t="shared" si="324"/>
        <v>273351.3870419304</v>
      </c>
      <c r="L597" s="393">
        <f t="shared" si="324"/>
        <v>273351.3870419304</v>
      </c>
      <c r="M597" s="393">
        <f t="shared" si="324"/>
        <v>273351.3870419304</v>
      </c>
      <c r="N597" s="393">
        <f t="shared" si="324"/>
        <v>273351.3870419304</v>
      </c>
      <c r="O597" s="393">
        <f t="shared" si="324"/>
        <v>0</v>
      </c>
      <c r="P597" s="393">
        <f t="shared" si="324"/>
        <v>0</v>
      </c>
      <c r="Q597" s="393">
        <f t="shared" si="324"/>
        <v>0</v>
      </c>
      <c r="R597" s="393">
        <f t="shared" si="324"/>
        <v>0</v>
      </c>
      <c r="S597" s="393">
        <f t="shared" si="324"/>
        <v>0</v>
      </c>
      <c r="T597" s="393">
        <f t="shared" si="324"/>
        <v>0</v>
      </c>
      <c r="U597" s="393">
        <f t="shared" si="324"/>
        <v>0</v>
      </c>
      <c r="V597" s="393">
        <f t="shared" si="324"/>
        <v>0</v>
      </c>
      <c r="W597" s="393">
        <f t="shared" si="324"/>
        <v>0</v>
      </c>
      <c r="X597" s="393">
        <f t="shared" si="324"/>
        <v>0</v>
      </c>
      <c r="Y597" s="393">
        <f t="shared" si="324"/>
        <v>0</v>
      </c>
      <c r="Z597" s="393">
        <f t="shared" si="324"/>
        <v>0</v>
      </c>
      <c r="AA597" s="393">
        <f t="shared" si="324"/>
        <v>0</v>
      </c>
      <c r="AB597" s="393">
        <f t="shared" si="324"/>
        <v>0</v>
      </c>
      <c r="AC597" s="393">
        <f t="shared" si="324"/>
        <v>0</v>
      </c>
      <c r="AD597" s="393">
        <f t="shared" si="324"/>
        <v>0</v>
      </c>
      <c r="AE597" s="393">
        <f t="shared" si="324"/>
        <v>0</v>
      </c>
      <c r="AF597" s="393">
        <f t="shared" si="324"/>
        <v>0</v>
      </c>
      <c r="AG597" s="393">
        <f t="shared" si="324"/>
        <v>0</v>
      </c>
      <c r="AH597" s="393">
        <f t="shared" si="324"/>
        <v>0</v>
      </c>
      <c r="AI597" s="393">
        <f t="shared" si="324"/>
        <v>0</v>
      </c>
      <c r="AJ597" s="393">
        <f t="shared" si="324"/>
        <v>0</v>
      </c>
      <c r="AK597" s="393">
        <f t="shared" si="324"/>
        <v>0</v>
      </c>
      <c r="AL597" s="393">
        <f t="shared" si="324"/>
        <v>0</v>
      </c>
      <c r="AM597" s="393">
        <f t="shared" si="324"/>
        <v>0</v>
      </c>
      <c r="AN597" s="393">
        <f t="shared" si="324"/>
        <v>0</v>
      </c>
      <c r="AO597" s="393">
        <f t="shared" si="324"/>
        <v>0</v>
      </c>
      <c r="AP597" s="393">
        <f t="shared" si="324"/>
        <v>0</v>
      </c>
    </row>
    <row r="598" spans="1:42" x14ac:dyDescent="0.2">
      <c r="A598" s="7">
        <f>A597+1</f>
        <v>2</v>
      </c>
      <c r="B598" s="409">
        <f t="shared" si="323"/>
        <v>4411526.7062989967</v>
      </c>
      <c r="C598" s="411">
        <f t="shared" ref="C598:AP604" si="325">IF(AND(C$2&gt;equip1_reserve_freq*$A585,C$2&lt;=equip1_reserve_freq*$A586),$B586/(equip1_reserve_freq),0)</f>
        <v>0</v>
      </c>
      <c r="D598" s="389">
        <f t="shared" si="325"/>
        <v>0</v>
      </c>
      <c r="E598" s="389">
        <f t="shared" si="325"/>
        <v>0</v>
      </c>
      <c r="F598" s="389">
        <f t="shared" si="325"/>
        <v>0</v>
      </c>
      <c r="G598" s="389">
        <f t="shared" si="325"/>
        <v>0</v>
      </c>
      <c r="H598" s="389">
        <f t="shared" si="325"/>
        <v>0</v>
      </c>
      <c r="I598" s="389">
        <f t="shared" si="325"/>
        <v>0</v>
      </c>
      <c r="J598" s="389">
        <f t="shared" si="325"/>
        <v>0</v>
      </c>
      <c r="K598" s="389">
        <f t="shared" si="325"/>
        <v>0</v>
      </c>
      <c r="L598" s="389">
        <f t="shared" si="325"/>
        <v>0</v>
      </c>
      <c r="M598" s="389">
        <f t="shared" si="325"/>
        <v>0</v>
      </c>
      <c r="N598" s="389">
        <f t="shared" si="325"/>
        <v>0</v>
      </c>
      <c r="O598" s="389">
        <f t="shared" si="325"/>
        <v>367627.22552491649</v>
      </c>
      <c r="P598" s="389">
        <f t="shared" si="325"/>
        <v>367627.22552491649</v>
      </c>
      <c r="Q598" s="389">
        <f t="shared" si="325"/>
        <v>367627.22552491649</v>
      </c>
      <c r="R598" s="389">
        <f t="shared" si="325"/>
        <v>367627.22552491649</v>
      </c>
      <c r="S598" s="389">
        <f t="shared" si="325"/>
        <v>367627.22552491649</v>
      </c>
      <c r="T598" s="389">
        <f t="shared" si="325"/>
        <v>367627.22552491649</v>
      </c>
      <c r="U598" s="389">
        <f t="shared" si="325"/>
        <v>367627.22552491649</v>
      </c>
      <c r="V598" s="389">
        <f t="shared" si="325"/>
        <v>367627.22552491649</v>
      </c>
      <c r="W598" s="389">
        <f t="shared" si="325"/>
        <v>367627.22552491649</v>
      </c>
      <c r="X598" s="389">
        <f t="shared" si="325"/>
        <v>367627.22552491649</v>
      </c>
      <c r="Y598" s="389">
        <f t="shared" si="325"/>
        <v>367627.22552491649</v>
      </c>
      <c r="Z598" s="389">
        <f t="shared" si="325"/>
        <v>367627.22552491649</v>
      </c>
      <c r="AA598" s="389">
        <f t="shared" si="325"/>
        <v>0</v>
      </c>
      <c r="AB598" s="389">
        <f t="shared" si="325"/>
        <v>0</v>
      </c>
      <c r="AC598" s="389">
        <f t="shared" si="325"/>
        <v>0</v>
      </c>
      <c r="AD598" s="389">
        <f t="shared" si="325"/>
        <v>0</v>
      </c>
      <c r="AE598" s="389">
        <f t="shared" si="325"/>
        <v>0</v>
      </c>
      <c r="AF598" s="389">
        <f t="shared" si="325"/>
        <v>0</v>
      </c>
      <c r="AG598" s="389">
        <f t="shared" si="325"/>
        <v>0</v>
      </c>
      <c r="AH598" s="389">
        <f t="shared" si="325"/>
        <v>0</v>
      </c>
      <c r="AI598" s="389">
        <f t="shared" si="325"/>
        <v>0</v>
      </c>
      <c r="AJ598" s="389">
        <f t="shared" si="325"/>
        <v>0</v>
      </c>
      <c r="AK598" s="389">
        <f t="shared" si="325"/>
        <v>0</v>
      </c>
      <c r="AL598" s="389">
        <f t="shared" si="325"/>
        <v>0</v>
      </c>
      <c r="AM598" s="389">
        <f t="shared" si="325"/>
        <v>0</v>
      </c>
      <c r="AN598" s="389">
        <f t="shared" si="325"/>
        <v>0</v>
      </c>
      <c r="AO598" s="389">
        <f t="shared" si="325"/>
        <v>0</v>
      </c>
      <c r="AP598" s="389">
        <f t="shared" si="325"/>
        <v>0</v>
      </c>
    </row>
    <row r="599" spans="1:42" x14ac:dyDescent="0.2">
      <c r="A599" s="7">
        <f t="shared" ref="A599:A604" si="326">A598+1</f>
        <v>3</v>
      </c>
      <c r="B599" s="409">
        <f t="shared" si="323"/>
        <v>0</v>
      </c>
      <c r="C599" s="411">
        <f t="shared" si="325"/>
        <v>0</v>
      </c>
      <c r="D599" s="389">
        <f t="shared" si="325"/>
        <v>0</v>
      </c>
      <c r="E599" s="389">
        <f t="shared" si="325"/>
        <v>0</v>
      </c>
      <c r="F599" s="389">
        <f t="shared" si="325"/>
        <v>0</v>
      </c>
      <c r="G599" s="389">
        <f t="shared" si="325"/>
        <v>0</v>
      </c>
      <c r="H599" s="389">
        <f t="shared" si="325"/>
        <v>0</v>
      </c>
      <c r="I599" s="389">
        <f t="shared" si="325"/>
        <v>0</v>
      </c>
      <c r="J599" s="389">
        <f t="shared" si="325"/>
        <v>0</v>
      </c>
      <c r="K599" s="389">
        <f t="shared" si="325"/>
        <v>0</v>
      </c>
      <c r="L599" s="389">
        <f t="shared" si="325"/>
        <v>0</v>
      </c>
      <c r="M599" s="389">
        <f t="shared" si="325"/>
        <v>0</v>
      </c>
      <c r="N599" s="389">
        <f t="shared" si="325"/>
        <v>0</v>
      </c>
      <c r="O599" s="389">
        <f t="shared" si="325"/>
        <v>0</v>
      </c>
      <c r="P599" s="389">
        <f t="shared" si="325"/>
        <v>0</v>
      </c>
      <c r="Q599" s="389">
        <f t="shared" si="325"/>
        <v>0</v>
      </c>
      <c r="R599" s="389">
        <f t="shared" si="325"/>
        <v>0</v>
      </c>
      <c r="S599" s="389">
        <f t="shared" si="325"/>
        <v>0</v>
      </c>
      <c r="T599" s="389">
        <f t="shared" si="325"/>
        <v>0</v>
      </c>
      <c r="U599" s="389">
        <f t="shared" si="325"/>
        <v>0</v>
      </c>
      <c r="V599" s="389">
        <f t="shared" si="325"/>
        <v>0</v>
      </c>
      <c r="W599" s="389">
        <f t="shared" si="325"/>
        <v>0</v>
      </c>
      <c r="X599" s="389">
        <f t="shared" si="325"/>
        <v>0</v>
      </c>
      <c r="Y599" s="389">
        <f t="shared" si="325"/>
        <v>0</v>
      </c>
      <c r="Z599" s="389">
        <f t="shared" si="325"/>
        <v>0</v>
      </c>
      <c r="AA599" s="389">
        <f t="shared" si="325"/>
        <v>0</v>
      </c>
      <c r="AB599" s="389">
        <f t="shared" si="325"/>
        <v>0</v>
      </c>
      <c r="AC599" s="389">
        <f t="shared" si="325"/>
        <v>0</v>
      </c>
      <c r="AD599" s="389">
        <f t="shared" si="325"/>
        <v>0</v>
      </c>
      <c r="AE599" s="389">
        <f t="shared" si="325"/>
        <v>0</v>
      </c>
      <c r="AF599" s="389">
        <f t="shared" si="325"/>
        <v>0</v>
      </c>
      <c r="AG599" s="389">
        <f t="shared" si="325"/>
        <v>0</v>
      </c>
      <c r="AH599" s="389">
        <f t="shared" si="325"/>
        <v>0</v>
      </c>
      <c r="AI599" s="389">
        <f t="shared" si="325"/>
        <v>0</v>
      </c>
      <c r="AJ599" s="389">
        <f t="shared" si="325"/>
        <v>0</v>
      </c>
      <c r="AK599" s="389">
        <f t="shared" si="325"/>
        <v>0</v>
      </c>
      <c r="AL599" s="389">
        <f t="shared" si="325"/>
        <v>0</v>
      </c>
      <c r="AM599" s="389">
        <f t="shared" si="325"/>
        <v>0</v>
      </c>
      <c r="AN599" s="389">
        <f t="shared" si="325"/>
        <v>0</v>
      </c>
      <c r="AO599" s="389">
        <f t="shared" si="325"/>
        <v>0</v>
      </c>
      <c r="AP599" s="389">
        <f t="shared" si="325"/>
        <v>0</v>
      </c>
    </row>
    <row r="600" spans="1:42" x14ac:dyDescent="0.2">
      <c r="A600" s="7">
        <f t="shared" si="326"/>
        <v>4</v>
      </c>
      <c r="B600" s="409">
        <f t="shared" si="323"/>
        <v>0</v>
      </c>
      <c r="C600" s="411">
        <f t="shared" si="325"/>
        <v>0</v>
      </c>
      <c r="D600" s="389">
        <f t="shared" si="325"/>
        <v>0</v>
      </c>
      <c r="E600" s="389">
        <f t="shared" si="325"/>
        <v>0</v>
      </c>
      <c r="F600" s="389">
        <f t="shared" si="325"/>
        <v>0</v>
      </c>
      <c r="G600" s="389">
        <f t="shared" si="325"/>
        <v>0</v>
      </c>
      <c r="H600" s="389">
        <f t="shared" si="325"/>
        <v>0</v>
      </c>
      <c r="I600" s="389">
        <f t="shared" si="325"/>
        <v>0</v>
      </c>
      <c r="J600" s="389">
        <f t="shared" si="325"/>
        <v>0</v>
      </c>
      <c r="K600" s="389">
        <f t="shared" si="325"/>
        <v>0</v>
      </c>
      <c r="L600" s="389">
        <f t="shared" si="325"/>
        <v>0</v>
      </c>
      <c r="M600" s="389">
        <f t="shared" si="325"/>
        <v>0</v>
      </c>
      <c r="N600" s="389">
        <f t="shared" si="325"/>
        <v>0</v>
      </c>
      <c r="O600" s="389">
        <f t="shared" si="325"/>
        <v>0</v>
      </c>
      <c r="P600" s="389">
        <f t="shared" si="325"/>
        <v>0</v>
      </c>
      <c r="Q600" s="389">
        <f t="shared" si="325"/>
        <v>0</v>
      </c>
      <c r="R600" s="389">
        <f t="shared" si="325"/>
        <v>0</v>
      </c>
      <c r="S600" s="389">
        <f t="shared" si="325"/>
        <v>0</v>
      </c>
      <c r="T600" s="389">
        <f t="shared" si="325"/>
        <v>0</v>
      </c>
      <c r="U600" s="389">
        <f t="shared" si="325"/>
        <v>0</v>
      </c>
      <c r="V600" s="389">
        <f t="shared" si="325"/>
        <v>0</v>
      </c>
      <c r="W600" s="389">
        <f t="shared" si="325"/>
        <v>0</v>
      </c>
      <c r="X600" s="389">
        <f t="shared" si="325"/>
        <v>0</v>
      </c>
      <c r="Y600" s="389">
        <f t="shared" si="325"/>
        <v>0</v>
      </c>
      <c r="Z600" s="389">
        <f t="shared" si="325"/>
        <v>0</v>
      </c>
      <c r="AA600" s="389">
        <f t="shared" si="325"/>
        <v>0</v>
      </c>
      <c r="AB600" s="389">
        <f t="shared" si="325"/>
        <v>0</v>
      </c>
      <c r="AC600" s="389">
        <f t="shared" si="325"/>
        <v>0</v>
      </c>
      <c r="AD600" s="389">
        <f t="shared" si="325"/>
        <v>0</v>
      </c>
      <c r="AE600" s="389">
        <f t="shared" si="325"/>
        <v>0</v>
      </c>
      <c r="AF600" s="389">
        <f t="shared" si="325"/>
        <v>0</v>
      </c>
      <c r="AG600" s="389">
        <f t="shared" si="325"/>
        <v>0</v>
      </c>
      <c r="AH600" s="389">
        <f t="shared" si="325"/>
        <v>0</v>
      </c>
      <c r="AI600" s="389">
        <f t="shared" si="325"/>
        <v>0</v>
      </c>
      <c r="AJ600" s="389">
        <f t="shared" si="325"/>
        <v>0</v>
      </c>
      <c r="AK600" s="389">
        <f t="shared" si="325"/>
        <v>0</v>
      </c>
      <c r="AL600" s="389">
        <f t="shared" si="325"/>
        <v>0</v>
      </c>
      <c r="AM600" s="389">
        <f t="shared" si="325"/>
        <v>0</v>
      </c>
      <c r="AN600" s="389">
        <f t="shared" si="325"/>
        <v>0</v>
      </c>
      <c r="AO600" s="389">
        <f t="shared" si="325"/>
        <v>0</v>
      </c>
      <c r="AP600" s="389">
        <f t="shared" si="325"/>
        <v>0</v>
      </c>
    </row>
    <row r="601" spans="1:42" x14ac:dyDescent="0.2">
      <c r="A601" s="7">
        <f t="shared" si="326"/>
        <v>5</v>
      </c>
      <c r="B601" s="409">
        <f t="shared" si="323"/>
        <v>0</v>
      </c>
      <c r="C601" s="411">
        <f t="shared" si="325"/>
        <v>0</v>
      </c>
      <c r="D601" s="389">
        <f t="shared" si="325"/>
        <v>0</v>
      </c>
      <c r="E601" s="389">
        <f t="shared" si="325"/>
        <v>0</v>
      </c>
      <c r="F601" s="389">
        <f t="shared" si="325"/>
        <v>0</v>
      </c>
      <c r="G601" s="389">
        <f t="shared" si="325"/>
        <v>0</v>
      </c>
      <c r="H601" s="389">
        <f t="shared" si="325"/>
        <v>0</v>
      </c>
      <c r="I601" s="389">
        <f t="shared" si="325"/>
        <v>0</v>
      </c>
      <c r="J601" s="389">
        <f t="shared" si="325"/>
        <v>0</v>
      </c>
      <c r="K601" s="389">
        <f t="shared" si="325"/>
        <v>0</v>
      </c>
      <c r="L601" s="389">
        <f t="shared" si="325"/>
        <v>0</v>
      </c>
      <c r="M601" s="389">
        <f t="shared" si="325"/>
        <v>0</v>
      </c>
      <c r="N601" s="389">
        <f t="shared" si="325"/>
        <v>0</v>
      </c>
      <c r="O601" s="389">
        <f t="shared" si="325"/>
        <v>0</v>
      </c>
      <c r="P601" s="389">
        <f t="shared" si="325"/>
        <v>0</v>
      </c>
      <c r="Q601" s="389">
        <f t="shared" si="325"/>
        <v>0</v>
      </c>
      <c r="R601" s="389">
        <f t="shared" si="325"/>
        <v>0</v>
      </c>
      <c r="S601" s="389">
        <f t="shared" si="325"/>
        <v>0</v>
      </c>
      <c r="T601" s="389">
        <f t="shared" si="325"/>
        <v>0</v>
      </c>
      <c r="U601" s="389">
        <f t="shared" si="325"/>
        <v>0</v>
      </c>
      <c r="V601" s="389">
        <f t="shared" si="325"/>
        <v>0</v>
      </c>
      <c r="W601" s="389">
        <f t="shared" si="325"/>
        <v>0</v>
      </c>
      <c r="X601" s="389">
        <f t="shared" si="325"/>
        <v>0</v>
      </c>
      <c r="Y601" s="389">
        <f t="shared" si="325"/>
        <v>0</v>
      </c>
      <c r="Z601" s="389">
        <f t="shared" si="325"/>
        <v>0</v>
      </c>
      <c r="AA601" s="389">
        <f t="shared" si="325"/>
        <v>0</v>
      </c>
      <c r="AB601" s="389">
        <f t="shared" si="325"/>
        <v>0</v>
      </c>
      <c r="AC601" s="389">
        <f t="shared" si="325"/>
        <v>0</v>
      </c>
      <c r="AD601" s="389">
        <f t="shared" si="325"/>
        <v>0</v>
      </c>
      <c r="AE601" s="389">
        <f t="shared" si="325"/>
        <v>0</v>
      </c>
      <c r="AF601" s="389">
        <f t="shared" si="325"/>
        <v>0</v>
      </c>
      <c r="AG601" s="389">
        <f t="shared" si="325"/>
        <v>0</v>
      </c>
      <c r="AH601" s="389">
        <f t="shared" si="325"/>
        <v>0</v>
      </c>
      <c r="AI601" s="389">
        <f t="shared" si="325"/>
        <v>0</v>
      </c>
      <c r="AJ601" s="389">
        <f t="shared" si="325"/>
        <v>0</v>
      </c>
      <c r="AK601" s="389">
        <f t="shared" si="325"/>
        <v>0</v>
      </c>
      <c r="AL601" s="389">
        <f t="shared" si="325"/>
        <v>0</v>
      </c>
      <c r="AM601" s="389">
        <f t="shared" si="325"/>
        <v>0</v>
      </c>
      <c r="AN601" s="389">
        <f t="shared" si="325"/>
        <v>0</v>
      </c>
      <c r="AO601" s="389">
        <f t="shared" si="325"/>
        <v>0</v>
      </c>
      <c r="AP601" s="389">
        <f t="shared" si="325"/>
        <v>0</v>
      </c>
    </row>
    <row r="602" spans="1:42" x14ac:dyDescent="0.2">
      <c r="A602" s="7">
        <f t="shared" si="326"/>
        <v>6</v>
      </c>
      <c r="B602" s="409">
        <f t="shared" si="323"/>
        <v>0</v>
      </c>
      <c r="C602" s="411">
        <f t="shared" si="325"/>
        <v>0</v>
      </c>
      <c r="D602" s="389">
        <f t="shared" si="325"/>
        <v>0</v>
      </c>
      <c r="E602" s="389">
        <f t="shared" si="325"/>
        <v>0</v>
      </c>
      <c r="F602" s="389">
        <f t="shared" si="325"/>
        <v>0</v>
      </c>
      <c r="G602" s="389">
        <f t="shared" si="325"/>
        <v>0</v>
      </c>
      <c r="H602" s="389">
        <f t="shared" si="325"/>
        <v>0</v>
      </c>
      <c r="I602" s="389">
        <f t="shared" si="325"/>
        <v>0</v>
      </c>
      <c r="J602" s="389">
        <f t="shared" si="325"/>
        <v>0</v>
      </c>
      <c r="K602" s="389">
        <f t="shared" si="325"/>
        <v>0</v>
      </c>
      <c r="L602" s="389">
        <f t="shared" si="325"/>
        <v>0</v>
      </c>
      <c r="M602" s="389">
        <f t="shared" si="325"/>
        <v>0</v>
      </c>
      <c r="N602" s="389">
        <f t="shared" si="325"/>
        <v>0</v>
      </c>
      <c r="O602" s="389">
        <f t="shared" si="325"/>
        <v>0</v>
      </c>
      <c r="P602" s="389">
        <f t="shared" si="325"/>
        <v>0</v>
      </c>
      <c r="Q602" s="389">
        <f t="shared" si="325"/>
        <v>0</v>
      </c>
      <c r="R602" s="389">
        <f t="shared" si="325"/>
        <v>0</v>
      </c>
      <c r="S602" s="389">
        <f t="shared" si="325"/>
        <v>0</v>
      </c>
      <c r="T602" s="389">
        <f t="shared" si="325"/>
        <v>0</v>
      </c>
      <c r="U602" s="389">
        <f t="shared" si="325"/>
        <v>0</v>
      </c>
      <c r="V602" s="389">
        <f t="shared" si="325"/>
        <v>0</v>
      </c>
      <c r="W602" s="389">
        <f t="shared" si="325"/>
        <v>0</v>
      </c>
      <c r="X602" s="389">
        <f t="shared" si="325"/>
        <v>0</v>
      </c>
      <c r="Y602" s="389">
        <f t="shared" si="325"/>
        <v>0</v>
      </c>
      <c r="Z602" s="389">
        <f t="shared" si="325"/>
        <v>0</v>
      </c>
      <c r="AA602" s="389">
        <f t="shared" si="325"/>
        <v>0</v>
      </c>
      <c r="AB602" s="389">
        <f t="shared" si="325"/>
        <v>0</v>
      </c>
      <c r="AC602" s="389">
        <f t="shared" si="325"/>
        <v>0</v>
      </c>
      <c r="AD602" s="389">
        <f t="shared" si="325"/>
        <v>0</v>
      </c>
      <c r="AE602" s="389">
        <f t="shared" si="325"/>
        <v>0</v>
      </c>
      <c r="AF602" s="389">
        <f t="shared" si="325"/>
        <v>0</v>
      </c>
      <c r="AG602" s="389">
        <f t="shared" si="325"/>
        <v>0</v>
      </c>
      <c r="AH602" s="389">
        <f t="shared" si="325"/>
        <v>0</v>
      </c>
      <c r="AI602" s="389">
        <f t="shared" si="325"/>
        <v>0</v>
      </c>
      <c r="AJ602" s="389">
        <f t="shared" si="325"/>
        <v>0</v>
      </c>
      <c r="AK602" s="389">
        <f t="shared" si="325"/>
        <v>0</v>
      </c>
      <c r="AL602" s="389">
        <f t="shared" si="325"/>
        <v>0</v>
      </c>
      <c r="AM602" s="389">
        <f t="shared" si="325"/>
        <v>0</v>
      </c>
      <c r="AN602" s="389">
        <f t="shared" si="325"/>
        <v>0</v>
      </c>
      <c r="AO602" s="389">
        <f t="shared" si="325"/>
        <v>0</v>
      </c>
      <c r="AP602" s="389">
        <f t="shared" si="325"/>
        <v>0</v>
      </c>
    </row>
    <row r="603" spans="1:42" x14ac:dyDescent="0.2">
      <c r="A603" s="7">
        <f t="shared" si="326"/>
        <v>7</v>
      </c>
      <c r="B603" s="409">
        <f t="shared" si="323"/>
        <v>0</v>
      </c>
      <c r="C603" s="411">
        <f t="shared" si="325"/>
        <v>0</v>
      </c>
      <c r="D603" s="389">
        <f t="shared" si="325"/>
        <v>0</v>
      </c>
      <c r="E603" s="389">
        <f t="shared" si="325"/>
        <v>0</v>
      </c>
      <c r="F603" s="389">
        <f t="shared" si="325"/>
        <v>0</v>
      </c>
      <c r="G603" s="389">
        <f t="shared" si="325"/>
        <v>0</v>
      </c>
      <c r="H603" s="389">
        <f t="shared" si="325"/>
        <v>0</v>
      </c>
      <c r="I603" s="389">
        <f t="shared" si="325"/>
        <v>0</v>
      </c>
      <c r="J603" s="389">
        <f t="shared" si="325"/>
        <v>0</v>
      </c>
      <c r="K603" s="389">
        <f t="shared" si="325"/>
        <v>0</v>
      </c>
      <c r="L603" s="389">
        <f t="shared" si="325"/>
        <v>0</v>
      </c>
      <c r="M603" s="389">
        <f t="shared" si="325"/>
        <v>0</v>
      </c>
      <c r="N603" s="389">
        <f t="shared" si="325"/>
        <v>0</v>
      </c>
      <c r="O603" s="389">
        <f t="shared" si="325"/>
        <v>0</v>
      </c>
      <c r="P603" s="389">
        <f t="shared" si="325"/>
        <v>0</v>
      </c>
      <c r="Q603" s="389">
        <f t="shared" si="325"/>
        <v>0</v>
      </c>
      <c r="R603" s="389">
        <f t="shared" si="325"/>
        <v>0</v>
      </c>
      <c r="S603" s="389">
        <f t="shared" si="325"/>
        <v>0</v>
      </c>
      <c r="T603" s="389">
        <f t="shared" si="325"/>
        <v>0</v>
      </c>
      <c r="U603" s="389">
        <f t="shared" si="325"/>
        <v>0</v>
      </c>
      <c r="V603" s="389">
        <f t="shared" si="325"/>
        <v>0</v>
      </c>
      <c r="W603" s="389">
        <f t="shared" si="325"/>
        <v>0</v>
      </c>
      <c r="X603" s="389">
        <f t="shared" si="325"/>
        <v>0</v>
      </c>
      <c r="Y603" s="389">
        <f t="shared" si="325"/>
        <v>0</v>
      </c>
      <c r="Z603" s="389">
        <f t="shared" si="325"/>
        <v>0</v>
      </c>
      <c r="AA603" s="389">
        <f t="shared" si="325"/>
        <v>0</v>
      </c>
      <c r="AB603" s="389">
        <f t="shared" si="325"/>
        <v>0</v>
      </c>
      <c r="AC603" s="389">
        <f t="shared" si="325"/>
        <v>0</v>
      </c>
      <c r="AD603" s="389">
        <f t="shared" si="325"/>
        <v>0</v>
      </c>
      <c r="AE603" s="389">
        <f t="shared" si="325"/>
        <v>0</v>
      </c>
      <c r="AF603" s="389">
        <f t="shared" si="325"/>
        <v>0</v>
      </c>
      <c r="AG603" s="389">
        <f t="shared" si="325"/>
        <v>0</v>
      </c>
      <c r="AH603" s="389">
        <f t="shared" si="325"/>
        <v>0</v>
      </c>
      <c r="AI603" s="389">
        <f t="shared" si="325"/>
        <v>0</v>
      </c>
      <c r="AJ603" s="389">
        <f t="shared" si="325"/>
        <v>0</v>
      </c>
      <c r="AK603" s="389">
        <f t="shared" si="325"/>
        <v>0</v>
      </c>
      <c r="AL603" s="389">
        <f t="shared" si="325"/>
        <v>0</v>
      </c>
      <c r="AM603" s="389">
        <f t="shared" si="325"/>
        <v>0</v>
      </c>
      <c r="AN603" s="389">
        <f t="shared" si="325"/>
        <v>0</v>
      </c>
      <c r="AO603" s="389">
        <f t="shared" si="325"/>
        <v>0</v>
      </c>
      <c r="AP603" s="389">
        <f t="shared" si="325"/>
        <v>0</v>
      </c>
    </row>
    <row r="604" spans="1:42" x14ac:dyDescent="0.2">
      <c r="A604" s="7">
        <f t="shared" si="326"/>
        <v>8</v>
      </c>
      <c r="B604" s="409">
        <f t="shared" si="323"/>
        <v>0</v>
      </c>
      <c r="C604" s="411">
        <f t="shared" si="325"/>
        <v>0</v>
      </c>
      <c r="D604" s="389">
        <f t="shared" si="325"/>
        <v>0</v>
      </c>
      <c r="E604" s="389">
        <f t="shared" si="325"/>
        <v>0</v>
      </c>
      <c r="F604" s="389">
        <f t="shared" si="325"/>
        <v>0</v>
      </c>
      <c r="G604" s="389">
        <f t="shared" si="325"/>
        <v>0</v>
      </c>
      <c r="H604" s="389">
        <f t="shared" si="325"/>
        <v>0</v>
      </c>
      <c r="I604" s="389">
        <f t="shared" si="325"/>
        <v>0</v>
      </c>
      <c r="J604" s="389">
        <f t="shared" si="325"/>
        <v>0</v>
      </c>
      <c r="K604" s="389">
        <f t="shared" si="325"/>
        <v>0</v>
      </c>
      <c r="L604" s="389">
        <f t="shared" si="325"/>
        <v>0</v>
      </c>
      <c r="M604" s="389">
        <f t="shared" si="325"/>
        <v>0</v>
      </c>
      <c r="N604" s="389">
        <f t="shared" si="325"/>
        <v>0</v>
      </c>
      <c r="O604" s="389">
        <f t="shared" si="325"/>
        <v>0</v>
      </c>
      <c r="P604" s="389">
        <f t="shared" si="325"/>
        <v>0</v>
      </c>
      <c r="Q604" s="389">
        <f t="shared" si="325"/>
        <v>0</v>
      </c>
      <c r="R604" s="389">
        <f t="shared" ref="R604:AP604" si="327">IF(AND(R$2&gt;equip1_reserve_freq*$A591,R$2&lt;=equip1_reserve_freq*$A592),$B592/(equip1_reserve_freq),0)</f>
        <v>0</v>
      </c>
      <c r="S604" s="389">
        <f t="shared" si="327"/>
        <v>0</v>
      </c>
      <c r="T604" s="389">
        <f t="shared" si="327"/>
        <v>0</v>
      </c>
      <c r="U604" s="389">
        <f t="shared" si="327"/>
        <v>0</v>
      </c>
      <c r="V604" s="389">
        <f t="shared" si="327"/>
        <v>0</v>
      </c>
      <c r="W604" s="389">
        <f t="shared" si="327"/>
        <v>0</v>
      </c>
      <c r="X604" s="389">
        <f t="shared" si="327"/>
        <v>0</v>
      </c>
      <c r="Y604" s="389">
        <f t="shared" si="327"/>
        <v>0</v>
      </c>
      <c r="Z604" s="389">
        <f t="shared" si="327"/>
        <v>0</v>
      </c>
      <c r="AA604" s="389">
        <f t="shared" si="327"/>
        <v>0</v>
      </c>
      <c r="AB604" s="389">
        <f t="shared" si="327"/>
        <v>0</v>
      </c>
      <c r="AC604" s="389">
        <f t="shared" si="327"/>
        <v>0</v>
      </c>
      <c r="AD604" s="389">
        <f t="shared" si="327"/>
        <v>0</v>
      </c>
      <c r="AE604" s="389">
        <f t="shared" si="327"/>
        <v>0</v>
      </c>
      <c r="AF604" s="389">
        <f t="shared" si="327"/>
        <v>0</v>
      </c>
      <c r="AG604" s="389">
        <f t="shared" si="327"/>
        <v>0</v>
      </c>
      <c r="AH604" s="389">
        <f t="shared" si="327"/>
        <v>0</v>
      </c>
      <c r="AI604" s="389">
        <f t="shared" si="327"/>
        <v>0</v>
      </c>
      <c r="AJ604" s="389">
        <f t="shared" si="327"/>
        <v>0</v>
      </c>
      <c r="AK604" s="389">
        <f t="shared" si="327"/>
        <v>0</v>
      </c>
      <c r="AL604" s="389">
        <f t="shared" si="327"/>
        <v>0</v>
      </c>
      <c r="AM604" s="389">
        <f t="shared" si="327"/>
        <v>0</v>
      </c>
      <c r="AN604" s="389">
        <f t="shared" si="327"/>
        <v>0</v>
      </c>
      <c r="AO604" s="389">
        <f t="shared" si="327"/>
        <v>0</v>
      </c>
      <c r="AP604" s="389">
        <f t="shared" si="327"/>
        <v>0</v>
      </c>
    </row>
    <row r="605" spans="1:42" x14ac:dyDescent="0.2">
      <c r="A605" s="7">
        <f>A604+1</f>
        <v>9</v>
      </c>
      <c r="B605" s="409">
        <f t="shared" si="323"/>
        <v>0</v>
      </c>
      <c r="C605" s="411">
        <f t="shared" ref="C605:AP606" si="328">IF(AND(C$2&gt;equip1_reserve_freq*$A592,C$2&lt;=equip1_reserve_freq*$A593),$B593/(equip1_reserve_freq),0)</f>
        <v>0</v>
      </c>
      <c r="D605" s="389">
        <f t="shared" si="328"/>
        <v>0</v>
      </c>
      <c r="E605" s="389">
        <f t="shared" si="328"/>
        <v>0</v>
      </c>
      <c r="F605" s="389">
        <f t="shared" si="328"/>
        <v>0</v>
      </c>
      <c r="G605" s="389">
        <f t="shared" si="328"/>
        <v>0</v>
      </c>
      <c r="H605" s="389">
        <f t="shared" si="328"/>
        <v>0</v>
      </c>
      <c r="I605" s="389">
        <f t="shared" si="328"/>
        <v>0</v>
      </c>
      <c r="J605" s="389">
        <f t="shared" si="328"/>
        <v>0</v>
      </c>
      <c r="K605" s="389">
        <f t="shared" si="328"/>
        <v>0</v>
      </c>
      <c r="L605" s="389">
        <f t="shared" si="328"/>
        <v>0</v>
      </c>
      <c r="M605" s="389">
        <f t="shared" si="328"/>
        <v>0</v>
      </c>
      <c r="N605" s="389">
        <f t="shared" si="328"/>
        <v>0</v>
      </c>
      <c r="O605" s="389">
        <f t="shared" si="328"/>
        <v>0</v>
      </c>
      <c r="P605" s="389">
        <f t="shared" si="328"/>
        <v>0</v>
      </c>
      <c r="Q605" s="389">
        <f t="shared" si="328"/>
        <v>0</v>
      </c>
      <c r="R605" s="389">
        <f t="shared" si="328"/>
        <v>0</v>
      </c>
      <c r="S605" s="389">
        <f t="shared" si="328"/>
        <v>0</v>
      </c>
      <c r="T605" s="389">
        <f t="shared" si="328"/>
        <v>0</v>
      </c>
      <c r="U605" s="389">
        <f t="shared" si="328"/>
        <v>0</v>
      </c>
      <c r="V605" s="389">
        <f t="shared" si="328"/>
        <v>0</v>
      </c>
      <c r="W605" s="389">
        <f t="shared" si="328"/>
        <v>0</v>
      </c>
      <c r="X605" s="389">
        <f t="shared" si="328"/>
        <v>0</v>
      </c>
      <c r="Y605" s="389">
        <f t="shared" si="328"/>
        <v>0</v>
      </c>
      <c r="Z605" s="389">
        <f t="shared" si="328"/>
        <v>0</v>
      </c>
      <c r="AA605" s="389">
        <f t="shared" si="328"/>
        <v>0</v>
      </c>
      <c r="AB605" s="389">
        <f t="shared" si="328"/>
        <v>0</v>
      </c>
      <c r="AC605" s="389">
        <f t="shared" si="328"/>
        <v>0</v>
      </c>
      <c r="AD605" s="389">
        <f t="shared" si="328"/>
        <v>0</v>
      </c>
      <c r="AE605" s="389">
        <f t="shared" si="328"/>
        <v>0</v>
      </c>
      <c r="AF605" s="389">
        <f t="shared" si="328"/>
        <v>0</v>
      </c>
      <c r="AG605" s="389">
        <f t="shared" si="328"/>
        <v>0</v>
      </c>
      <c r="AH605" s="389">
        <f t="shared" si="328"/>
        <v>0</v>
      </c>
      <c r="AI605" s="389">
        <f t="shared" si="328"/>
        <v>0</v>
      </c>
      <c r="AJ605" s="389">
        <f t="shared" si="328"/>
        <v>0</v>
      </c>
      <c r="AK605" s="389">
        <f t="shared" si="328"/>
        <v>0</v>
      </c>
      <c r="AL605" s="389">
        <f t="shared" si="328"/>
        <v>0</v>
      </c>
      <c r="AM605" s="389">
        <f t="shared" si="328"/>
        <v>0</v>
      </c>
      <c r="AN605" s="389">
        <f t="shared" si="328"/>
        <v>0</v>
      </c>
      <c r="AO605" s="389">
        <f t="shared" si="328"/>
        <v>0</v>
      </c>
      <c r="AP605" s="389">
        <f t="shared" si="328"/>
        <v>0</v>
      </c>
    </row>
    <row r="606" spans="1:42" x14ac:dyDescent="0.2">
      <c r="A606" s="7">
        <f t="shared" ref="A606" si="329">A605+1</f>
        <v>10</v>
      </c>
      <c r="B606" s="409">
        <f t="shared" si="323"/>
        <v>0</v>
      </c>
      <c r="C606" s="410">
        <f t="shared" si="328"/>
        <v>0</v>
      </c>
      <c r="D606" s="394">
        <f t="shared" si="328"/>
        <v>0</v>
      </c>
      <c r="E606" s="394">
        <f t="shared" si="328"/>
        <v>0</v>
      </c>
      <c r="F606" s="394">
        <f t="shared" si="328"/>
        <v>0</v>
      </c>
      <c r="G606" s="394">
        <f t="shared" si="328"/>
        <v>0</v>
      </c>
      <c r="H606" s="394">
        <f t="shared" si="328"/>
        <v>0</v>
      </c>
      <c r="I606" s="394">
        <f t="shared" si="328"/>
        <v>0</v>
      </c>
      <c r="J606" s="394">
        <f t="shared" si="328"/>
        <v>0</v>
      </c>
      <c r="K606" s="394">
        <f t="shared" si="328"/>
        <v>0</v>
      </c>
      <c r="L606" s="394">
        <f t="shared" si="328"/>
        <v>0</v>
      </c>
      <c r="M606" s="394">
        <f t="shared" si="328"/>
        <v>0</v>
      </c>
      <c r="N606" s="394">
        <f t="shared" si="328"/>
        <v>0</v>
      </c>
      <c r="O606" s="394">
        <f t="shared" si="328"/>
        <v>0</v>
      </c>
      <c r="P606" s="394">
        <f t="shared" si="328"/>
        <v>0</v>
      </c>
      <c r="Q606" s="394">
        <f t="shared" si="328"/>
        <v>0</v>
      </c>
      <c r="R606" s="394">
        <f t="shared" si="328"/>
        <v>0</v>
      </c>
      <c r="S606" s="394">
        <f t="shared" si="328"/>
        <v>0</v>
      </c>
      <c r="T606" s="394">
        <f t="shared" si="328"/>
        <v>0</v>
      </c>
      <c r="U606" s="394">
        <f t="shared" si="328"/>
        <v>0</v>
      </c>
      <c r="V606" s="394">
        <f t="shared" si="328"/>
        <v>0</v>
      </c>
      <c r="W606" s="394">
        <f t="shared" si="328"/>
        <v>0</v>
      </c>
      <c r="X606" s="394">
        <f t="shared" si="328"/>
        <v>0</v>
      </c>
      <c r="Y606" s="394">
        <f t="shared" si="328"/>
        <v>0</v>
      </c>
      <c r="Z606" s="394">
        <f t="shared" si="328"/>
        <v>0</v>
      </c>
      <c r="AA606" s="394">
        <f t="shared" si="328"/>
        <v>0</v>
      </c>
      <c r="AB606" s="394">
        <f t="shared" si="328"/>
        <v>0</v>
      </c>
      <c r="AC606" s="394">
        <f t="shared" si="328"/>
        <v>0</v>
      </c>
      <c r="AD606" s="394">
        <f t="shared" si="328"/>
        <v>0</v>
      </c>
      <c r="AE606" s="394">
        <f t="shared" si="328"/>
        <v>0</v>
      </c>
      <c r="AF606" s="394">
        <f t="shared" si="328"/>
        <v>0</v>
      </c>
      <c r="AG606" s="394">
        <f t="shared" si="328"/>
        <v>0</v>
      </c>
      <c r="AH606" s="394">
        <f t="shared" si="328"/>
        <v>0</v>
      </c>
      <c r="AI606" s="394">
        <f t="shared" si="328"/>
        <v>0</v>
      </c>
      <c r="AJ606" s="394">
        <f t="shared" si="328"/>
        <v>0</v>
      </c>
      <c r="AK606" s="394">
        <f t="shared" si="328"/>
        <v>0</v>
      </c>
      <c r="AL606" s="394">
        <f t="shared" si="328"/>
        <v>0</v>
      </c>
      <c r="AM606" s="394">
        <f t="shared" si="328"/>
        <v>0</v>
      </c>
      <c r="AN606" s="394">
        <f t="shared" si="328"/>
        <v>0</v>
      </c>
      <c r="AO606" s="394">
        <f t="shared" si="328"/>
        <v>0</v>
      </c>
      <c r="AP606" s="394">
        <f t="shared" si="328"/>
        <v>0</v>
      </c>
    </row>
    <row r="607" spans="1:42" x14ac:dyDescent="0.2">
      <c r="A607" s="47" t="s">
        <v>21</v>
      </c>
      <c r="B607" s="36"/>
      <c r="C607" s="25">
        <f>SUM(C597:C606)</f>
        <v>273351.3870419304</v>
      </c>
      <c r="D607" s="25">
        <f t="shared" ref="D607:AP607" si="330">SUM(D597:D606)</f>
        <v>273351.3870419304</v>
      </c>
      <c r="E607" s="25">
        <f t="shared" si="330"/>
        <v>273351.3870419304</v>
      </c>
      <c r="F607" s="25">
        <f t="shared" si="330"/>
        <v>273351.3870419304</v>
      </c>
      <c r="G607" s="25">
        <f t="shared" si="330"/>
        <v>273351.3870419304</v>
      </c>
      <c r="H607" s="25">
        <f t="shared" si="330"/>
        <v>273351.3870419304</v>
      </c>
      <c r="I607" s="25">
        <f t="shared" si="330"/>
        <v>273351.3870419304</v>
      </c>
      <c r="J607" s="25">
        <f t="shared" si="330"/>
        <v>273351.3870419304</v>
      </c>
      <c r="K607" s="25">
        <f t="shared" si="330"/>
        <v>273351.3870419304</v>
      </c>
      <c r="L607" s="25">
        <f t="shared" si="330"/>
        <v>273351.3870419304</v>
      </c>
      <c r="M607" s="25">
        <f t="shared" si="330"/>
        <v>273351.3870419304</v>
      </c>
      <c r="N607" s="25">
        <f t="shared" si="330"/>
        <v>273351.3870419304</v>
      </c>
      <c r="O607" s="25">
        <f t="shared" si="330"/>
        <v>367627.22552491649</v>
      </c>
      <c r="P607" s="25">
        <f t="shared" si="330"/>
        <v>367627.22552491649</v>
      </c>
      <c r="Q607" s="25">
        <f t="shared" si="330"/>
        <v>367627.22552491649</v>
      </c>
      <c r="R607" s="25">
        <f t="shared" si="330"/>
        <v>367627.22552491649</v>
      </c>
      <c r="S607" s="25">
        <f t="shared" si="330"/>
        <v>367627.22552491649</v>
      </c>
      <c r="T607" s="25">
        <f t="shared" si="330"/>
        <v>367627.22552491649</v>
      </c>
      <c r="U607" s="25">
        <f t="shared" si="330"/>
        <v>367627.22552491649</v>
      </c>
      <c r="V607" s="25">
        <f t="shared" si="330"/>
        <v>367627.22552491649</v>
      </c>
      <c r="W607" s="25">
        <f t="shared" si="330"/>
        <v>367627.22552491649</v>
      </c>
      <c r="X607" s="25">
        <f t="shared" si="330"/>
        <v>367627.22552491649</v>
      </c>
      <c r="Y607" s="25">
        <f t="shared" si="330"/>
        <v>367627.22552491649</v>
      </c>
      <c r="Z607" s="25">
        <f t="shared" si="330"/>
        <v>367627.22552491649</v>
      </c>
      <c r="AA607" s="25">
        <f t="shared" si="330"/>
        <v>0</v>
      </c>
      <c r="AB607" s="25">
        <f t="shared" si="330"/>
        <v>0</v>
      </c>
      <c r="AC607" s="25">
        <f t="shared" si="330"/>
        <v>0</v>
      </c>
      <c r="AD607" s="25">
        <f t="shared" si="330"/>
        <v>0</v>
      </c>
      <c r="AE607" s="25">
        <f t="shared" si="330"/>
        <v>0</v>
      </c>
      <c r="AF607" s="25">
        <f t="shared" si="330"/>
        <v>0</v>
      </c>
      <c r="AG607" s="25">
        <f t="shared" si="330"/>
        <v>0</v>
      </c>
      <c r="AH607" s="25">
        <f t="shared" si="330"/>
        <v>0</v>
      </c>
      <c r="AI607" s="25">
        <f t="shared" si="330"/>
        <v>0</v>
      </c>
      <c r="AJ607" s="25">
        <f t="shared" si="330"/>
        <v>0</v>
      </c>
      <c r="AK607" s="25">
        <f t="shared" si="330"/>
        <v>0</v>
      </c>
      <c r="AL607" s="25">
        <f t="shared" si="330"/>
        <v>0</v>
      </c>
      <c r="AM607" s="25">
        <f t="shared" si="330"/>
        <v>0</v>
      </c>
      <c r="AN607" s="25">
        <f t="shared" si="330"/>
        <v>0</v>
      </c>
      <c r="AO607" s="25">
        <f t="shared" si="330"/>
        <v>0</v>
      </c>
      <c r="AP607" s="25">
        <f t="shared" si="330"/>
        <v>0</v>
      </c>
    </row>
    <row r="608" spans="1:42" x14ac:dyDescent="0.2">
      <c r="B608" s="36"/>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row>
    <row r="609" spans="1:42" x14ac:dyDescent="0.2">
      <c r="A609" s="33" t="s">
        <v>154</v>
      </c>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row>
    <row r="610" spans="1:42" x14ac:dyDescent="0.2">
      <c r="A610" s="7" t="s">
        <v>39</v>
      </c>
      <c r="B610" s="393">
        <v>0</v>
      </c>
      <c r="C610" s="393">
        <f>B613</f>
        <v>0</v>
      </c>
      <c r="D610" s="393">
        <f t="shared" ref="D610:AP610" si="331">C613</f>
        <v>0</v>
      </c>
      <c r="E610" s="393">
        <f t="shared" si="331"/>
        <v>0</v>
      </c>
      <c r="F610" s="393">
        <f t="shared" si="331"/>
        <v>0</v>
      </c>
      <c r="G610" s="393">
        <f t="shared" si="331"/>
        <v>0</v>
      </c>
      <c r="H610" s="393">
        <f t="shared" si="331"/>
        <v>0</v>
      </c>
      <c r="I610" s="393">
        <f t="shared" si="331"/>
        <v>0</v>
      </c>
      <c r="J610" s="393">
        <f t="shared" si="331"/>
        <v>0</v>
      </c>
      <c r="K610" s="393">
        <f t="shared" si="331"/>
        <v>0</v>
      </c>
      <c r="L610" s="393">
        <f t="shared" si="331"/>
        <v>0</v>
      </c>
      <c r="M610" s="393">
        <f t="shared" si="331"/>
        <v>0</v>
      </c>
      <c r="N610" s="393">
        <f t="shared" si="331"/>
        <v>0</v>
      </c>
      <c r="O610" s="393">
        <f t="shared" si="331"/>
        <v>0</v>
      </c>
      <c r="P610" s="393">
        <f t="shared" si="331"/>
        <v>0</v>
      </c>
      <c r="Q610" s="393">
        <f t="shared" si="331"/>
        <v>0</v>
      </c>
      <c r="R610" s="393">
        <f t="shared" si="331"/>
        <v>0</v>
      </c>
      <c r="S610" s="393">
        <f t="shared" si="331"/>
        <v>0</v>
      </c>
      <c r="T610" s="393">
        <f t="shared" si="331"/>
        <v>0</v>
      </c>
      <c r="U610" s="393">
        <f t="shared" si="331"/>
        <v>0</v>
      </c>
      <c r="V610" s="393">
        <f t="shared" si="331"/>
        <v>0</v>
      </c>
      <c r="W610" s="393">
        <f t="shared" si="331"/>
        <v>0</v>
      </c>
      <c r="X610" s="393">
        <f t="shared" si="331"/>
        <v>0</v>
      </c>
      <c r="Y610" s="393">
        <f t="shared" si="331"/>
        <v>0</v>
      </c>
      <c r="Z610" s="393">
        <f t="shared" si="331"/>
        <v>0</v>
      </c>
      <c r="AA610" s="393">
        <f t="shared" si="331"/>
        <v>0</v>
      </c>
      <c r="AB610" s="393">
        <f t="shared" si="331"/>
        <v>0</v>
      </c>
      <c r="AC610" s="393">
        <f t="shared" si="331"/>
        <v>0</v>
      </c>
      <c r="AD610" s="393">
        <f t="shared" si="331"/>
        <v>0</v>
      </c>
      <c r="AE610" s="393">
        <f t="shared" si="331"/>
        <v>0</v>
      </c>
      <c r="AF610" s="393">
        <f t="shared" si="331"/>
        <v>0</v>
      </c>
      <c r="AG610" s="393">
        <f t="shared" si="331"/>
        <v>0</v>
      </c>
      <c r="AH610" s="393">
        <f t="shared" si="331"/>
        <v>0</v>
      </c>
      <c r="AI610" s="393">
        <f t="shared" si="331"/>
        <v>0</v>
      </c>
      <c r="AJ610" s="393">
        <f t="shared" si="331"/>
        <v>0</v>
      </c>
      <c r="AK610" s="393">
        <f t="shared" si="331"/>
        <v>0</v>
      </c>
      <c r="AL610" s="393">
        <f t="shared" si="331"/>
        <v>0</v>
      </c>
      <c r="AM610" s="393">
        <f t="shared" si="331"/>
        <v>0</v>
      </c>
      <c r="AN610" s="393">
        <f t="shared" si="331"/>
        <v>0</v>
      </c>
      <c r="AO610" s="393">
        <f t="shared" si="331"/>
        <v>0</v>
      </c>
      <c r="AP610" s="393">
        <f t="shared" si="331"/>
        <v>0</v>
      </c>
    </row>
    <row r="611" spans="1:42" x14ac:dyDescent="0.2">
      <c r="A611" s="7" t="s">
        <v>113</v>
      </c>
      <c r="B611" s="393">
        <v>0</v>
      </c>
      <c r="C611" s="393">
        <f>C639</f>
        <v>0</v>
      </c>
      <c r="D611" s="393">
        <f t="shared" ref="D611:AP611" si="332">D639</f>
        <v>0</v>
      </c>
      <c r="E611" s="393">
        <f t="shared" si="332"/>
        <v>0</v>
      </c>
      <c r="F611" s="393">
        <f t="shared" si="332"/>
        <v>0</v>
      </c>
      <c r="G611" s="393">
        <f t="shared" si="332"/>
        <v>0</v>
      </c>
      <c r="H611" s="393">
        <f t="shared" si="332"/>
        <v>0</v>
      </c>
      <c r="I611" s="393">
        <f t="shared" si="332"/>
        <v>0</v>
      </c>
      <c r="J611" s="393">
        <f t="shared" si="332"/>
        <v>0</v>
      </c>
      <c r="K611" s="393">
        <f t="shared" si="332"/>
        <v>0</v>
      </c>
      <c r="L611" s="393">
        <f t="shared" si="332"/>
        <v>0</v>
      </c>
      <c r="M611" s="393">
        <f t="shared" si="332"/>
        <v>0</v>
      </c>
      <c r="N611" s="393">
        <f t="shared" si="332"/>
        <v>0</v>
      </c>
      <c r="O611" s="393">
        <f t="shared" si="332"/>
        <v>0</v>
      </c>
      <c r="P611" s="393">
        <f t="shared" si="332"/>
        <v>0</v>
      </c>
      <c r="Q611" s="393">
        <f t="shared" si="332"/>
        <v>0</v>
      </c>
      <c r="R611" s="393">
        <f t="shared" si="332"/>
        <v>0</v>
      </c>
      <c r="S611" s="393">
        <f t="shared" si="332"/>
        <v>0</v>
      </c>
      <c r="T611" s="393">
        <f t="shared" si="332"/>
        <v>0</v>
      </c>
      <c r="U611" s="393">
        <f t="shared" si="332"/>
        <v>0</v>
      </c>
      <c r="V611" s="393">
        <f t="shared" si="332"/>
        <v>0</v>
      </c>
      <c r="W611" s="393">
        <f t="shared" si="332"/>
        <v>0</v>
      </c>
      <c r="X611" s="393">
        <f t="shared" si="332"/>
        <v>0</v>
      </c>
      <c r="Y611" s="393">
        <f t="shared" si="332"/>
        <v>0</v>
      </c>
      <c r="Z611" s="393">
        <f t="shared" si="332"/>
        <v>0</v>
      </c>
      <c r="AA611" s="393">
        <f t="shared" si="332"/>
        <v>0</v>
      </c>
      <c r="AB611" s="393">
        <f t="shared" si="332"/>
        <v>0</v>
      </c>
      <c r="AC611" s="393">
        <f t="shared" si="332"/>
        <v>0</v>
      </c>
      <c r="AD611" s="393">
        <f t="shared" si="332"/>
        <v>0</v>
      </c>
      <c r="AE611" s="393">
        <f t="shared" si="332"/>
        <v>0</v>
      </c>
      <c r="AF611" s="393">
        <f t="shared" si="332"/>
        <v>0</v>
      </c>
      <c r="AG611" s="393">
        <f t="shared" si="332"/>
        <v>0</v>
      </c>
      <c r="AH611" s="393">
        <f t="shared" si="332"/>
        <v>0</v>
      </c>
      <c r="AI611" s="393">
        <f t="shared" si="332"/>
        <v>0</v>
      </c>
      <c r="AJ611" s="393">
        <f t="shared" si="332"/>
        <v>0</v>
      </c>
      <c r="AK611" s="393">
        <f t="shared" si="332"/>
        <v>0</v>
      </c>
      <c r="AL611" s="393">
        <f t="shared" si="332"/>
        <v>0</v>
      </c>
      <c r="AM611" s="393">
        <f t="shared" si="332"/>
        <v>0</v>
      </c>
      <c r="AN611" s="393">
        <f t="shared" si="332"/>
        <v>0</v>
      </c>
      <c r="AO611" s="393">
        <f t="shared" si="332"/>
        <v>0</v>
      </c>
      <c r="AP611" s="393">
        <f t="shared" si="332"/>
        <v>0</v>
      </c>
    </row>
    <row r="612" spans="1:42" x14ac:dyDescent="0.2">
      <c r="A612" s="7" t="s">
        <v>46</v>
      </c>
      <c r="B612" s="394">
        <v>0</v>
      </c>
      <c r="C612" s="394">
        <f>-C627</f>
        <v>0</v>
      </c>
      <c r="D612" s="394">
        <f t="shared" ref="D612:AP612" si="333">-D627</f>
        <v>0</v>
      </c>
      <c r="E612" s="394">
        <f t="shared" si="333"/>
        <v>0</v>
      </c>
      <c r="F612" s="394">
        <f t="shared" si="333"/>
        <v>0</v>
      </c>
      <c r="G612" s="394">
        <f t="shared" si="333"/>
        <v>0</v>
      </c>
      <c r="H612" s="394">
        <f t="shared" si="333"/>
        <v>0</v>
      </c>
      <c r="I612" s="394">
        <f t="shared" si="333"/>
        <v>0</v>
      </c>
      <c r="J612" s="394">
        <f t="shared" si="333"/>
        <v>0</v>
      </c>
      <c r="K612" s="394">
        <f t="shared" si="333"/>
        <v>0</v>
      </c>
      <c r="L612" s="394">
        <f t="shared" si="333"/>
        <v>0</v>
      </c>
      <c r="M612" s="394">
        <f t="shared" si="333"/>
        <v>0</v>
      </c>
      <c r="N612" s="394">
        <f t="shared" si="333"/>
        <v>0</v>
      </c>
      <c r="O612" s="394">
        <f t="shared" si="333"/>
        <v>0</v>
      </c>
      <c r="P612" s="394">
        <f t="shared" si="333"/>
        <v>0</v>
      </c>
      <c r="Q612" s="394">
        <f t="shared" si="333"/>
        <v>0</v>
      </c>
      <c r="R612" s="394">
        <f t="shared" si="333"/>
        <v>0</v>
      </c>
      <c r="S612" s="394">
        <f t="shared" si="333"/>
        <v>0</v>
      </c>
      <c r="T612" s="394">
        <f t="shared" si="333"/>
        <v>0</v>
      </c>
      <c r="U612" s="394">
        <f t="shared" si="333"/>
        <v>0</v>
      </c>
      <c r="V612" s="394">
        <f t="shared" si="333"/>
        <v>0</v>
      </c>
      <c r="W612" s="394">
        <f t="shared" si="333"/>
        <v>0</v>
      </c>
      <c r="X612" s="394">
        <f t="shared" si="333"/>
        <v>0</v>
      </c>
      <c r="Y612" s="394">
        <f t="shared" si="333"/>
        <v>0</v>
      </c>
      <c r="Z612" s="394">
        <f t="shared" si="333"/>
        <v>0</v>
      </c>
      <c r="AA612" s="394">
        <f t="shared" si="333"/>
        <v>0</v>
      </c>
      <c r="AB612" s="394">
        <f t="shared" si="333"/>
        <v>0</v>
      </c>
      <c r="AC612" s="394">
        <f t="shared" si="333"/>
        <v>0</v>
      </c>
      <c r="AD612" s="394">
        <f t="shared" si="333"/>
        <v>0</v>
      </c>
      <c r="AE612" s="394">
        <f t="shared" si="333"/>
        <v>0</v>
      </c>
      <c r="AF612" s="394">
        <f t="shared" si="333"/>
        <v>0</v>
      </c>
      <c r="AG612" s="394">
        <f t="shared" si="333"/>
        <v>0</v>
      </c>
      <c r="AH612" s="394">
        <f t="shared" si="333"/>
        <v>0</v>
      </c>
      <c r="AI612" s="394">
        <f t="shared" si="333"/>
        <v>0</v>
      </c>
      <c r="AJ612" s="394">
        <f t="shared" si="333"/>
        <v>0</v>
      </c>
      <c r="AK612" s="394">
        <f t="shared" si="333"/>
        <v>0</v>
      </c>
      <c r="AL612" s="394">
        <f t="shared" si="333"/>
        <v>0</v>
      </c>
      <c r="AM612" s="394">
        <f t="shared" si="333"/>
        <v>0</v>
      </c>
      <c r="AN612" s="394">
        <f t="shared" si="333"/>
        <v>0</v>
      </c>
      <c r="AO612" s="394">
        <f t="shared" si="333"/>
        <v>0</v>
      </c>
      <c r="AP612" s="394">
        <f t="shared" si="333"/>
        <v>0</v>
      </c>
    </row>
    <row r="613" spans="1:42" x14ac:dyDescent="0.2">
      <c r="A613" s="7" t="s">
        <v>42</v>
      </c>
      <c r="B613" s="393">
        <f>SUM(B610:B612)</f>
        <v>0</v>
      </c>
      <c r="C613" s="393">
        <f>SUM(C610:C612)</f>
        <v>0</v>
      </c>
      <c r="D613" s="393">
        <f t="shared" ref="D613:AP613" si="334">SUM(D610:D612)</f>
        <v>0</v>
      </c>
      <c r="E613" s="393">
        <f t="shared" si="334"/>
        <v>0</v>
      </c>
      <c r="F613" s="393">
        <f t="shared" si="334"/>
        <v>0</v>
      </c>
      <c r="G613" s="393">
        <f t="shared" si="334"/>
        <v>0</v>
      </c>
      <c r="H613" s="393">
        <f t="shared" si="334"/>
        <v>0</v>
      </c>
      <c r="I613" s="393">
        <f t="shared" si="334"/>
        <v>0</v>
      </c>
      <c r="J613" s="393">
        <f t="shared" si="334"/>
        <v>0</v>
      </c>
      <c r="K613" s="393">
        <f t="shared" si="334"/>
        <v>0</v>
      </c>
      <c r="L613" s="393">
        <f t="shared" si="334"/>
        <v>0</v>
      </c>
      <c r="M613" s="393">
        <f t="shared" si="334"/>
        <v>0</v>
      </c>
      <c r="N613" s="393">
        <f t="shared" si="334"/>
        <v>0</v>
      </c>
      <c r="O613" s="393">
        <f t="shared" si="334"/>
        <v>0</v>
      </c>
      <c r="P613" s="393">
        <f t="shared" si="334"/>
        <v>0</v>
      </c>
      <c r="Q613" s="393">
        <f t="shared" si="334"/>
        <v>0</v>
      </c>
      <c r="R613" s="393">
        <f t="shared" si="334"/>
        <v>0</v>
      </c>
      <c r="S613" s="393">
        <f t="shared" si="334"/>
        <v>0</v>
      </c>
      <c r="T613" s="393">
        <f t="shared" si="334"/>
        <v>0</v>
      </c>
      <c r="U613" s="393">
        <f t="shared" si="334"/>
        <v>0</v>
      </c>
      <c r="V613" s="393">
        <f t="shared" si="334"/>
        <v>0</v>
      </c>
      <c r="W613" s="393">
        <f t="shared" si="334"/>
        <v>0</v>
      </c>
      <c r="X613" s="393">
        <f t="shared" si="334"/>
        <v>0</v>
      </c>
      <c r="Y613" s="393">
        <f t="shared" si="334"/>
        <v>0</v>
      </c>
      <c r="Z613" s="393">
        <f t="shared" si="334"/>
        <v>0</v>
      </c>
      <c r="AA613" s="393">
        <f t="shared" si="334"/>
        <v>0</v>
      </c>
      <c r="AB613" s="393">
        <f t="shared" si="334"/>
        <v>0</v>
      </c>
      <c r="AC613" s="393">
        <f t="shared" si="334"/>
        <v>0</v>
      </c>
      <c r="AD613" s="393">
        <f t="shared" si="334"/>
        <v>0</v>
      </c>
      <c r="AE613" s="393">
        <f t="shared" si="334"/>
        <v>0</v>
      </c>
      <c r="AF613" s="393">
        <f t="shared" si="334"/>
        <v>0</v>
      </c>
      <c r="AG613" s="393">
        <f t="shared" si="334"/>
        <v>0</v>
      </c>
      <c r="AH613" s="393">
        <f t="shared" si="334"/>
        <v>0</v>
      </c>
      <c r="AI613" s="393">
        <f t="shared" si="334"/>
        <v>0</v>
      </c>
      <c r="AJ613" s="393">
        <f t="shared" si="334"/>
        <v>0</v>
      </c>
      <c r="AK613" s="393">
        <f t="shared" si="334"/>
        <v>0</v>
      </c>
      <c r="AL613" s="393">
        <f t="shared" si="334"/>
        <v>0</v>
      </c>
      <c r="AM613" s="393">
        <f t="shared" si="334"/>
        <v>0</v>
      </c>
      <c r="AN613" s="393">
        <f t="shared" si="334"/>
        <v>0</v>
      </c>
      <c r="AO613" s="393">
        <f t="shared" si="334"/>
        <v>0</v>
      </c>
      <c r="AP613" s="393">
        <f t="shared" si="334"/>
        <v>0</v>
      </c>
    </row>
    <row r="614" spans="1:42" s="194" customFormat="1" x14ac:dyDescent="0.2">
      <c r="A614" s="7"/>
      <c r="G614" s="378"/>
      <c r="H614" s="378"/>
      <c r="I614" s="378"/>
      <c r="J614" s="378"/>
      <c r="K614" s="378"/>
      <c r="L614" s="378"/>
      <c r="M614" s="378"/>
      <c r="N614" s="378"/>
      <c r="O614" s="378"/>
      <c r="P614" s="378"/>
      <c r="Q614" s="378"/>
      <c r="R614" s="378"/>
      <c r="S614" s="378"/>
      <c r="T614" s="378"/>
      <c r="U614" s="378"/>
      <c r="V614" s="378"/>
      <c r="W614" s="378"/>
      <c r="X614" s="378"/>
      <c r="Y614" s="378"/>
      <c r="Z614" s="378"/>
      <c r="AA614" s="378"/>
      <c r="AB614" s="378"/>
      <c r="AC614" s="378"/>
      <c r="AD614" s="378"/>
      <c r="AE614" s="378"/>
      <c r="AF614" s="378"/>
      <c r="AG614" s="378"/>
      <c r="AH614" s="378"/>
      <c r="AI614" s="378"/>
      <c r="AJ614" s="378"/>
      <c r="AK614" s="378"/>
      <c r="AL614" s="378"/>
      <c r="AM614" s="378"/>
      <c r="AN614" s="378"/>
      <c r="AO614" s="378"/>
      <c r="AP614" s="378"/>
    </row>
    <row r="615" spans="1:42" s="194" customFormat="1" x14ac:dyDescent="0.2">
      <c r="A615" s="7" t="s">
        <v>111</v>
      </c>
      <c r="G615" s="378"/>
      <c r="H615" s="378"/>
      <c r="I615" s="378"/>
      <c r="J615" s="378"/>
      <c r="K615" s="378"/>
      <c r="L615" s="378"/>
      <c r="M615" s="378"/>
      <c r="N615" s="378"/>
      <c r="O615" s="378"/>
      <c r="P615" s="378"/>
      <c r="Q615" s="378"/>
      <c r="R615" s="378"/>
      <c r="S615" s="378"/>
      <c r="T615" s="378"/>
      <c r="U615" s="378"/>
      <c r="V615" s="378"/>
      <c r="W615" s="378"/>
      <c r="X615" s="378"/>
      <c r="Y615" s="378"/>
      <c r="Z615" s="378"/>
      <c r="AA615" s="378"/>
      <c r="AB615" s="378"/>
      <c r="AC615" s="378"/>
      <c r="AD615" s="378"/>
      <c r="AE615" s="378"/>
      <c r="AF615" s="378"/>
      <c r="AG615" s="378"/>
      <c r="AH615" s="378"/>
      <c r="AI615" s="378"/>
      <c r="AJ615" s="378"/>
      <c r="AK615" s="378"/>
      <c r="AL615" s="378"/>
      <c r="AM615" s="378"/>
      <c r="AN615" s="378"/>
      <c r="AO615" s="378"/>
      <c r="AP615" s="378"/>
    </row>
    <row r="616" spans="1:42" s="194" customFormat="1" x14ac:dyDescent="0.2">
      <c r="A616" s="7" t="s">
        <v>112</v>
      </c>
      <c r="G616" s="378"/>
      <c r="H616" s="378"/>
      <c r="I616" s="378"/>
      <c r="J616" s="378"/>
      <c r="K616" s="378"/>
      <c r="L616" s="378"/>
      <c r="M616" s="378"/>
      <c r="N616" s="378"/>
      <c r="O616" s="378"/>
      <c r="P616" s="378"/>
      <c r="Q616" s="378"/>
      <c r="R616" s="378"/>
      <c r="S616" s="378"/>
      <c r="T616" s="378"/>
      <c r="U616" s="378"/>
      <c r="V616" s="378"/>
      <c r="W616" s="378"/>
      <c r="X616" s="378"/>
      <c r="Y616" s="378"/>
      <c r="Z616" s="378"/>
      <c r="AA616" s="378"/>
      <c r="AB616" s="378"/>
      <c r="AC616" s="378"/>
      <c r="AD616" s="378"/>
      <c r="AE616" s="378"/>
      <c r="AF616" s="378"/>
      <c r="AG616" s="378"/>
      <c r="AH616" s="378"/>
      <c r="AI616" s="378"/>
      <c r="AJ616" s="378"/>
      <c r="AK616" s="378"/>
      <c r="AL616" s="378"/>
      <c r="AM616" s="378"/>
      <c r="AN616" s="378"/>
      <c r="AO616" s="378"/>
      <c r="AP616" s="378"/>
    </row>
    <row r="617" spans="1:42" x14ac:dyDescent="0.2">
      <c r="A617" s="7">
        <v>1</v>
      </c>
      <c r="B617" s="409">
        <f t="shared" ref="B617:B626" si="335">SUM(C617:AP617)</f>
        <v>0</v>
      </c>
      <c r="C617" s="389">
        <f t="shared" ref="C617:AP617" si="336">IF(C$2&gt;analysis_period,0,IF(C$2=equip2_reserve_freq*$A617,equip2_reserve_cost*system_capacity*1000*(1+inflation_rate/100)^B$2,0))</f>
        <v>0</v>
      </c>
      <c r="D617" s="389">
        <f t="shared" si="336"/>
        <v>0</v>
      </c>
      <c r="E617" s="389">
        <f t="shared" si="336"/>
        <v>0</v>
      </c>
      <c r="F617" s="389">
        <f t="shared" si="336"/>
        <v>0</v>
      </c>
      <c r="G617" s="389">
        <f t="shared" si="336"/>
        <v>0</v>
      </c>
      <c r="H617" s="389">
        <f t="shared" si="336"/>
        <v>0</v>
      </c>
      <c r="I617" s="389">
        <f t="shared" si="336"/>
        <v>0</v>
      </c>
      <c r="J617" s="389">
        <f t="shared" si="336"/>
        <v>0</v>
      </c>
      <c r="K617" s="389">
        <f t="shared" si="336"/>
        <v>0</v>
      </c>
      <c r="L617" s="389">
        <f t="shared" si="336"/>
        <v>0</v>
      </c>
      <c r="M617" s="389">
        <f t="shared" si="336"/>
        <v>0</v>
      </c>
      <c r="N617" s="389">
        <f t="shared" si="336"/>
        <v>0</v>
      </c>
      <c r="O617" s="389">
        <f t="shared" si="336"/>
        <v>0</v>
      </c>
      <c r="P617" s="389">
        <f t="shared" si="336"/>
        <v>0</v>
      </c>
      <c r="Q617" s="389">
        <f t="shared" si="336"/>
        <v>0</v>
      </c>
      <c r="R617" s="389">
        <f t="shared" si="336"/>
        <v>0</v>
      </c>
      <c r="S617" s="389">
        <f t="shared" si="336"/>
        <v>0</v>
      </c>
      <c r="T617" s="389">
        <f t="shared" si="336"/>
        <v>0</v>
      </c>
      <c r="U617" s="389">
        <f t="shared" si="336"/>
        <v>0</v>
      </c>
      <c r="V617" s="389">
        <f t="shared" si="336"/>
        <v>0</v>
      </c>
      <c r="W617" s="389">
        <f t="shared" si="336"/>
        <v>0</v>
      </c>
      <c r="X617" s="389">
        <f t="shared" si="336"/>
        <v>0</v>
      </c>
      <c r="Y617" s="389">
        <f t="shared" si="336"/>
        <v>0</v>
      </c>
      <c r="Z617" s="389">
        <f t="shared" si="336"/>
        <v>0</v>
      </c>
      <c r="AA617" s="389">
        <f t="shared" si="336"/>
        <v>0</v>
      </c>
      <c r="AB617" s="389">
        <f t="shared" si="336"/>
        <v>0</v>
      </c>
      <c r="AC617" s="389">
        <f t="shared" si="336"/>
        <v>0</v>
      </c>
      <c r="AD617" s="389">
        <f t="shared" si="336"/>
        <v>0</v>
      </c>
      <c r="AE617" s="389">
        <f t="shared" si="336"/>
        <v>0</v>
      </c>
      <c r="AF617" s="389">
        <f t="shared" si="336"/>
        <v>0</v>
      </c>
      <c r="AG617" s="389">
        <f t="shared" si="336"/>
        <v>0</v>
      </c>
      <c r="AH617" s="389">
        <f t="shared" si="336"/>
        <v>0</v>
      </c>
      <c r="AI617" s="389">
        <f t="shared" si="336"/>
        <v>0</v>
      </c>
      <c r="AJ617" s="389">
        <f t="shared" si="336"/>
        <v>0</v>
      </c>
      <c r="AK617" s="389">
        <f t="shared" si="336"/>
        <v>0</v>
      </c>
      <c r="AL617" s="389">
        <f t="shared" si="336"/>
        <v>0</v>
      </c>
      <c r="AM617" s="389">
        <f t="shared" si="336"/>
        <v>0</v>
      </c>
      <c r="AN617" s="389">
        <f t="shared" si="336"/>
        <v>0</v>
      </c>
      <c r="AO617" s="389">
        <f t="shared" si="336"/>
        <v>0</v>
      </c>
      <c r="AP617" s="389">
        <f t="shared" si="336"/>
        <v>0</v>
      </c>
    </row>
    <row r="618" spans="1:42" x14ac:dyDescent="0.2">
      <c r="A618" s="7">
        <f>A617+1</f>
        <v>2</v>
      </c>
      <c r="B618" s="409">
        <f t="shared" si="335"/>
        <v>0</v>
      </c>
      <c r="C618" s="389">
        <f t="shared" ref="C618:AP618" si="337">IF(C$2&gt;analysis_period,0,IF(C$2=equip2_reserve_freq*$A618,equip2_reserve_cost*system_capacity*1000*(1+inflation_rate/100)^B$2,0))</f>
        <v>0</v>
      </c>
      <c r="D618" s="389">
        <f t="shared" si="337"/>
        <v>0</v>
      </c>
      <c r="E618" s="389">
        <f t="shared" si="337"/>
        <v>0</v>
      </c>
      <c r="F618" s="389">
        <f t="shared" si="337"/>
        <v>0</v>
      </c>
      <c r="G618" s="389">
        <f t="shared" si="337"/>
        <v>0</v>
      </c>
      <c r="H618" s="389">
        <f t="shared" si="337"/>
        <v>0</v>
      </c>
      <c r="I618" s="389">
        <f t="shared" si="337"/>
        <v>0</v>
      </c>
      <c r="J618" s="389">
        <f t="shared" si="337"/>
        <v>0</v>
      </c>
      <c r="K618" s="389">
        <f t="shared" si="337"/>
        <v>0</v>
      </c>
      <c r="L618" s="389">
        <f t="shared" si="337"/>
        <v>0</v>
      </c>
      <c r="M618" s="389">
        <f t="shared" si="337"/>
        <v>0</v>
      </c>
      <c r="N618" s="389">
        <f t="shared" si="337"/>
        <v>0</v>
      </c>
      <c r="O618" s="389">
        <f t="shared" si="337"/>
        <v>0</v>
      </c>
      <c r="P618" s="389">
        <f t="shared" si="337"/>
        <v>0</v>
      </c>
      <c r="Q618" s="389">
        <f t="shared" si="337"/>
        <v>0</v>
      </c>
      <c r="R618" s="389">
        <f t="shared" si="337"/>
        <v>0</v>
      </c>
      <c r="S618" s="389">
        <f t="shared" si="337"/>
        <v>0</v>
      </c>
      <c r="T618" s="389">
        <f t="shared" si="337"/>
        <v>0</v>
      </c>
      <c r="U618" s="389">
        <f t="shared" si="337"/>
        <v>0</v>
      </c>
      <c r="V618" s="389">
        <f t="shared" si="337"/>
        <v>0</v>
      </c>
      <c r="W618" s="389">
        <f t="shared" si="337"/>
        <v>0</v>
      </c>
      <c r="X618" s="389">
        <f t="shared" si="337"/>
        <v>0</v>
      </c>
      <c r="Y618" s="389">
        <f t="shared" si="337"/>
        <v>0</v>
      </c>
      <c r="Z618" s="389">
        <f t="shared" si="337"/>
        <v>0</v>
      </c>
      <c r="AA618" s="389">
        <f t="shared" si="337"/>
        <v>0</v>
      </c>
      <c r="AB618" s="389">
        <f t="shared" si="337"/>
        <v>0</v>
      </c>
      <c r="AC618" s="389">
        <f t="shared" si="337"/>
        <v>0</v>
      </c>
      <c r="AD618" s="389">
        <f t="shared" si="337"/>
        <v>0</v>
      </c>
      <c r="AE618" s="389">
        <f t="shared" si="337"/>
        <v>0</v>
      </c>
      <c r="AF618" s="389">
        <f t="shared" si="337"/>
        <v>0</v>
      </c>
      <c r="AG618" s="389">
        <f t="shared" si="337"/>
        <v>0</v>
      </c>
      <c r="AH618" s="389">
        <f t="shared" si="337"/>
        <v>0</v>
      </c>
      <c r="AI618" s="389">
        <f t="shared" si="337"/>
        <v>0</v>
      </c>
      <c r="AJ618" s="389">
        <f t="shared" si="337"/>
        <v>0</v>
      </c>
      <c r="AK618" s="389">
        <f t="shared" si="337"/>
        <v>0</v>
      </c>
      <c r="AL618" s="389">
        <f t="shared" si="337"/>
        <v>0</v>
      </c>
      <c r="AM618" s="389">
        <f t="shared" si="337"/>
        <v>0</v>
      </c>
      <c r="AN618" s="389">
        <f t="shared" si="337"/>
        <v>0</v>
      </c>
      <c r="AO618" s="389">
        <f t="shared" si="337"/>
        <v>0</v>
      </c>
      <c r="AP618" s="389">
        <f t="shared" si="337"/>
        <v>0</v>
      </c>
    </row>
    <row r="619" spans="1:42" x14ac:dyDescent="0.2">
      <c r="A619" s="7">
        <f t="shared" ref="A619:A626" si="338">A618+1</f>
        <v>3</v>
      </c>
      <c r="B619" s="409">
        <f t="shared" si="335"/>
        <v>0</v>
      </c>
      <c r="C619" s="389">
        <f t="shared" ref="C619:AP619" si="339">IF(C$2&gt;analysis_period,0,IF(C$2=equip2_reserve_freq*$A619,equip2_reserve_cost*system_capacity*1000*(1+inflation_rate/100)^B$2,0))</f>
        <v>0</v>
      </c>
      <c r="D619" s="389">
        <f t="shared" si="339"/>
        <v>0</v>
      </c>
      <c r="E619" s="389">
        <f t="shared" si="339"/>
        <v>0</v>
      </c>
      <c r="F619" s="389">
        <f t="shared" si="339"/>
        <v>0</v>
      </c>
      <c r="G619" s="389">
        <f t="shared" si="339"/>
        <v>0</v>
      </c>
      <c r="H619" s="389">
        <f t="shared" si="339"/>
        <v>0</v>
      </c>
      <c r="I619" s="389">
        <f t="shared" si="339"/>
        <v>0</v>
      </c>
      <c r="J619" s="389">
        <f t="shared" si="339"/>
        <v>0</v>
      </c>
      <c r="K619" s="389">
        <f t="shared" si="339"/>
        <v>0</v>
      </c>
      <c r="L619" s="389">
        <f t="shared" si="339"/>
        <v>0</v>
      </c>
      <c r="M619" s="389">
        <f t="shared" si="339"/>
        <v>0</v>
      </c>
      <c r="N619" s="389">
        <f t="shared" si="339"/>
        <v>0</v>
      </c>
      <c r="O619" s="389">
        <f t="shared" si="339"/>
        <v>0</v>
      </c>
      <c r="P619" s="389">
        <f t="shared" si="339"/>
        <v>0</v>
      </c>
      <c r="Q619" s="389">
        <f t="shared" si="339"/>
        <v>0</v>
      </c>
      <c r="R619" s="389">
        <f t="shared" si="339"/>
        <v>0</v>
      </c>
      <c r="S619" s="389">
        <f t="shared" si="339"/>
        <v>0</v>
      </c>
      <c r="T619" s="389">
        <f t="shared" si="339"/>
        <v>0</v>
      </c>
      <c r="U619" s="389">
        <f t="shared" si="339"/>
        <v>0</v>
      </c>
      <c r="V619" s="389">
        <f t="shared" si="339"/>
        <v>0</v>
      </c>
      <c r="W619" s="389">
        <f t="shared" si="339"/>
        <v>0</v>
      </c>
      <c r="X619" s="389">
        <f t="shared" si="339"/>
        <v>0</v>
      </c>
      <c r="Y619" s="389">
        <f t="shared" si="339"/>
        <v>0</v>
      </c>
      <c r="Z619" s="389">
        <f t="shared" si="339"/>
        <v>0</v>
      </c>
      <c r="AA619" s="389">
        <f t="shared" si="339"/>
        <v>0</v>
      </c>
      <c r="AB619" s="389">
        <f t="shared" si="339"/>
        <v>0</v>
      </c>
      <c r="AC619" s="389">
        <f t="shared" si="339"/>
        <v>0</v>
      </c>
      <c r="AD619" s="389">
        <f t="shared" si="339"/>
        <v>0</v>
      </c>
      <c r="AE619" s="389">
        <f t="shared" si="339"/>
        <v>0</v>
      </c>
      <c r="AF619" s="389">
        <f t="shared" si="339"/>
        <v>0</v>
      </c>
      <c r="AG619" s="389">
        <f t="shared" si="339"/>
        <v>0</v>
      </c>
      <c r="AH619" s="389">
        <f t="shared" si="339"/>
        <v>0</v>
      </c>
      <c r="AI619" s="389">
        <f t="shared" si="339"/>
        <v>0</v>
      </c>
      <c r="AJ619" s="389">
        <f t="shared" si="339"/>
        <v>0</v>
      </c>
      <c r="AK619" s="389">
        <f t="shared" si="339"/>
        <v>0</v>
      </c>
      <c r="AL619" s="389">
        <f t="shared" si="339"/>
        <v>0</v>
      </c>
      <c r="AM619" s="389">
        <f t="shared" si="339"/>
        <v>0</v>
      </c>
      <c r="AN619" s="389">
        <f t="shared" si="339"/>
        <v>0</v>
      </c>
      <c r="AO619" s="389">
        <f t="shared" si="339"/>
        <v>0</v>
      </c>
      <c r="AP619" s="389">
        <f t="shared" si="339"/>
        <v>0</v>
      </c>
    </row>
    <row r="620" spans="1:42" x14ac:dyDescent="0.2">
      <c r="A620" s="7">
        <f t="shared" si="338"/>
        <v>4</v>
      </c>
      <c r="B620" s="409">
        <f t="shared" si="335"/>
        <v>0</v>
      </c>
      <c r="C620" s="389">
        <f t="shared" ref="C620:AP620" si="340">IF(C$2&gt;analysis_period,0,IF(C$2=equip2_reserve_freq*$A620,equip2_reserve_cost*system_capacity*1000*(1+inflation_rate/100)^B$2,0))</f>
        <v>0</v>
      </c>
      <c r="D620" s="389">
        <f t="shared" si="340"/>
        <v>0</v>
      </c>
      <c r="E620" s="389">
        <f t="shared" si="340"/>
        <v>0</v>
      </c>
      <c r="F620" s="389">
        <f t="shared" si="340"/>
        <v>0</v>
      </c>
      <c r="G620" s="389">
        <f t="shared" si="340"/>
        <v>0</v>
      </c>
      <c r="H620" s="389">
        <f t="shared" si="340"/>
        <v>0</v>
      </c>
      <c r="I620" s="389">
        <f t="shared" si="340"/>
        <v>0</v>
      </c>
      <c r="J620" s="389">
        <f t="shared" si="340"/>
        <v>0</v>
      </c>
      <c r="K620" s="389">
        <f t="shared" si="340"/>
        <v>0</v>
      </c>
      <c r="L620" s="389">
        <f t="shared" si="340"/>
        <v>0</v>
      </c>
      <c r="M620" s="389">
        <f t="shared" si="340"/>
        <v>0</v>
      </c>
      <c r="N620" s="389">
        <f t="shared" si="340"/>
        <v>0</v>
      </c>
      <c r="O620" s="389">
        <f t="shared" si="340"/>
        <v>0</v>
      </c>
      <c r="P620" s="389">
        <f t="shared" si="340"/>
        <v>0</v>
      </c>
      <c r="Q620" s="389">
        <f t="shared" si="340"/>
        <v>0</v>
      </c>
      <c r="R620" s="389">
        <f t="shared" si="340"/>
        <v>0</v>
      </c>
      <c r="S620" s="389">
        <f t="shared" si="340"/>
        <v>0</v>
      </c>
      <c r="T620" s="389">
        <f t="shared" si="340"/>
        <v>0</v>
      </c>
      <c r="U620" s="389">
        <f t="shared" si="340"/>
        <v>0</v>
      </c>
      <c r="V620" s="389">
        <f t="shared" si="340"/>
        <v>0</v>
      </c>
      <c r="W620" s="389">
        <f t="shared" si="340"/>
        <v>0</v>
      </c>
      <c r="X620" s="389">
        <f t="shared" si="340"/>
        <v>0</v>
      </c>
      <c r="Y620" s="389">
        <f t="shared" si="340"/>
        <v>0</v>
      </c>
      <c r="Z620" s="389">
        <f t="shared" si="340"/>
        <v>0</v>
      </c>
      <c r="AA620" s="389">
        <f t="shared" si="340"/>
        <v>0</v>
      </c>
      <c r="AB620" s="389">
        <f t="shared" si="340"/>
        <v>0</v>
      </c>
      <c r="AC620" s="389">
        <f t="shared" si="340"/>
        <v>0</v>
      </c>
      <c r="AD620" s="389">
        <f t="shared" si="340"/>
        <v>0</v>
      </c>
      <c r="AE620" s="389">
        <f t="shared" si="340"/>
        <v>0</v>
      </c>
      <c r="AF620" s="389">
        <f t="shared" si="340"/>
        <v>0</v>
      </c>
      <c r="AG620" s="389">
        <f t="shared" si="340"/>
        <v>0</v>
      </c>
      <c r="AH620" s="389">
        <f t="shared" si="340"/>
        <v>0</v>
      </c>
      <c r="AI620" s="389">
        <f t="shared" si="340"/>
        <v>0</v>
      </c>
      <c r="AJ620" s="389">
        <f t="shared" si="340"/>
        <v>0</v>
      </c>
      <c r="AK620" s="389">
        <f t="shared" si="340"/>
        <v>0</v>
      </c>
      <c r="AL620" s="389">
        <f t="shared" si="340"/>
        <v>0</v>
      </c>
      <c r="AM620" s="389">
        <f t="shared" si="340"/>
        <v>0</v>
      </c>
      <c r="AN620" s="389">
        <f t="shared" si="340"/>
        <v>0</v>
      </c>
      <c r="AO620" s="389">
        <f t="shared" si="340"/>
        <v>0</v>
      </c>
      <c r="AP620" s="389">
        <f t="shared" si="340"/>
        <v>0</v>
      </c>
    </row>
    <row r="621" spans="1:42" x14ac:dyDescent="0.2">
      <c r="A621" s="7">
        <f t="shared" si="338"/>
        <v>5</v>
      </c>
      <c r="B621" s="409">
        <f t="shared" si="335"/>
        <v>0</v>
      </c>
      <c r="C621" s="389">
        <f t="shared" ref="C621:AP621" si="341">IF(C$2&gt;analysis_period,0,IF(C$2=equip2_reserve_freq*$A621,equip2_reserve_cost*system_capacity*1000*(1+inflation_rate/100)^B$2,0))</f>
        <v>0</v>
      </c>
      <c r="D621" s="389">
        <f t="shared" si="341"/>
        <v>0</v>
      </c>
      <c r="E621" s="389">
        <f t="shared" si="341"/>
        <v>0</v>
      </c>
      <c r="F621" s="389">
        <f t="shared" si="341"/>
        <v>0</v>
      </c>
      <c r="G621" s="389">
        <f t="shared" si="341"/>
        <v>0</v>
      </c>
      <c r="H621" s="389">
        <f t="shared" si="341"/>
        <v>0</v>
      </c>
      <c r="I621" s="389">
        <f t="shared" si="341"/>
        <v>0</v>
      </c>
      <c r="J621" s="389">
        <f t="shared" si="341"/>
        <v>0</v>
      </c>
      <c r="K621" s="389">
        <f t="shared" si="341"/>
        <v>0</v>
      </c>
      <c r="L621" s="389">
        <f t="shared" si="341"/>
        <v>0</v>
      </c>
      <c r="M621" s="389">
        <f t="shared" si="341"/>
        <v>0</v>
      </c>
      <c r="N621" s="389">
        <f t="shared" si="341"/>
        <v>0</v>
      </c>
      <c r="O621" s="389">
        <f t="shared" si="341"/>
        <v>0</v>
      </c>
      <c r="P621" s="389">
        <f t="shared" si="341"/>
        <v>0</v>
      </c>
      <c r="Q621" s="389">
        <f t="shared" si="341"/>
        <v>0</v>
      </c>
      <c r="R621" s="389">
        <f t="shared" si="341"/>
        <v>0</v>
      </c>
      <c r="S621" s="389">
        <f t="shared" si="341"/>
        <v>0</v>
      </c>
      <c r="T621" s="389">
        <f t="shared" si="341"/>
        <v>0</v>
      </c>
      <c r="U621" s="389">
        <f t="shared" si="341"/>
        <v>0</v>
      </c>
      <c r="V621" s="389">
        <f t="shared" si="341"/>
        <v>0</v>
      </c>
      <c r="W621" s="389">
        <f t="shared" si="341"/>
        <v>0</v>
      </c>
      <c r="X621" s="389">
        <f t="shared" si="341"/>
        <v>0</v>
      </c>
      <c r="Y621" s="389">
        <f t="shared" si="341"/>
        <v>0</v>
      </c>
      <c r="Z621" s="389">
        <f t="shared" si="341"/>
        <v>0</v>
      </c>
      <c r="AA621" s="389">
        <f t="shared" si="341"/>
        <v>0</v>
      </c>
      <c r="AB621" s="389">
        <f t="shared" si="341"/>
        <v>0</v>
      </c>
      <c r="AC621" s="389">
        <f t="shared" si="341"/>
        <v>0</v>
      </c>
      <c r="AD621" s="389">
        <f t="shared" si="341"/>
        <v>0</v>
      </c>
      <c r="AE621" s="389">
        <f t="shared" si="341"/>
        <v>0</v>
      </c>
      <c r="AF621" s="389">
        <f t="shared" si="341"/>
        <v>0</v>
      </c>
      <c r="AG621" s="389">
        <f t="shared" si="341"/>
        <v>0</v>
      </c>
      <c r="AH621" s="389">
        <f t="shared" si="341"/>
        <v>0</v>
      </c>
      <c r="AI621" s="389">
        <f t="shared" si="341"/>
        <v>0</v>
      </c>
      <c r="AJ621" s="389">
        <f t="shared" si="341"/>
        <v>0</v>
      </c>
      <c r="AK621" s="389">
        <f t="shared" si="341"/>
        <v>0</v>
      </c>
      <c r="AL621" s="389">
        <f t="shared" si="341"/>
        <v>0</v>
      </c>
      <c r="AM621" s="389">
        <f t="shared" si="341"/>
        <v>0</v>
      </c>
      <c r="AN621" s="389">
        <f t="shared" si="341"/>
        <v>0</v>
      </c>
      <c r="AO621" s="389">
        <f t="shared" si="341"/>
        <v>0</v>
      </c>
      <c r="AP621" s="389">
        <f t="shared" si="341"/>
        <v>0</v>
      </c>
    </row>
    <row r="622" spans="1:42" x14ac:dyDescent="0.2">
      <c r="A622" s="7">
        <f t="shared" si="338"/>
        <v>6</v>
      </c>
      <c r="B622" s="409">
        <f t="shared" si="335"/>
        <v>0</v>
      </c>
      <c r="C622" s="389">
        <f t="shared" ref="C622:AP622" si="342">IF(C$2&gt;analysis_period,0,IF(C$2=equip2_reserve_freq*$A622,equip2_reserve_cost*system_capacity*1000*(1+inflation_rate/100)^B$2,0))</f>
        <v>0</v>
      </c>
      <c r="D622" s="389">
        <f t="shared" si="342"/>
        <v>0</v>
      </c>
      <c r="E622" s="389">
        <f t="shared" si="342"/>
        <v>0</v>
      </c>
      <c r="F622" s="389">
        <f t="shared" si="342"/>
        <v>0</v>
      </c>
      <c r="G622" s="389">
        <f t="shared" si="342"/>
        <v>0</v>
      </c>
      <c r="H622" s="389">
        <f t="shared" si="342"/>
        <v>0</v>
      </c>
      <c r="I622" s="389">
        <f t="shared" si="342"/>
        <v>0</v>
      </c>
      <c r="J622" s="389">
        <f t="shared" si="342"/>
        <v>0</v>
      </c>
      <c r="K622" s="389">
        <f t="shared" si="342"/>
        <v>0</v>
      </c>
      <c r="L622" s="389">
        <f t="shared" si="342"/>
        <v>0</v>
      </c>
      <c r="M622" s="389">
        <f t="shared" si="342"/>
        <v>0</v>
      </c>
      <c r="N622" s="389">
        <f t="shared" si="342"/>
        <v>0</v>
      </c>
      <c r="O622" s="389">
        <f t="shared" si="342"/>
        <v>0</v>
      </c>
      <c r="P622" s="389">
        <f t="shared" si="342"/>
        <v>0</v>
      </c>
      <c r="Q622" s="389">
        <f t="shared" si="342"/>
        <v>0</v>
      </c>
      <c r="R622" s="389">
        <f t="shared" si="342"/>
        <v>0</v>
      </c>
      <c r="S622" s="389">
        <f t="shared" si="342"/>
        <v>0</v>
      </c>
      <c r="T622" s="389">
        <f t="shared" si="342"/>
        <v>0</v>
      </c>
      <c r="U622" s="389">
        <f t="shared" si="342"/>
        <v>0</v>
      </c>
      <c r="V622" s="389">
        <f t="shared" si="342"/>
        <v>0</v>
      </c>
      <c r="W622" s="389">
        <f t="shared" si="342"/>
        <v>0</v>
      </c>
      <c r="X622" s="389">
        <f t="shared" si="342"/>
        <v>0</v>
      </c>
      <c r="Y622" s="389">
        <f t="shared" si="342"/>
        <v>0</v>
      </c>
      <c r="Z622" s="389">
        <f t="shared" si="342"/>
        <v>0</v>
      </c>
      <c r="AA622" s="389">
        <f t="shared" si="342"/>
        <v>0</v>
      </c>
      <c r="AB622" s="389">
        <f t="shared" si="342"/>
        <v>0</v>
      </c>
      <c r="AC622" s="389">
        <f t="shared" si="342"/>
        <v>0</v>
      </c>
      <c r="AD622" s="389">
        <f t="shared" si="342"/>
        <v>0</v>
      </c>
      <c r="AE622" s="389">
        <f t="shared" si="342"/>
        <v>0</v>
      </c>
      <c r="AF622" s="389">
        <f t="shared" si="342"/>
        <v>0</v>
      </c>
      <c r="AG622" s="389">
        <f t="shared" si="342"/>
        <v>0</v>
      </c>
      <c r="AH622" s="389">
        <f t="shared" si="342"/>
        <v>0</v>
      </c>
      <c r="AI622" s="389">
        <f t="shared" si="342"/>
        <v>0</v>
      </c>
      <c r="AJ622" s="389">
        <f t="shared" si="342"/>
        <v>0</v>
      </c>
      <c r="AK622" s="389">
        <f t="shared" si="342"/>
        <v>0</v>
      </c>
      <c r="AL622" s="389">
        <f t="shared" si="342"/>
        <v>0</v>
      </c>
      <c r="AM622" s="389">
        <f t="shared" si="342"/>
        <v>0</v>
      </c>
      <c r="AN622" s="389">
        <f t="shared" si="342"/>
        <v>0</v>
      </c>
      <c r="AO622" s="389">
        <f t="shared" si="342"/>
        <v>0</v>
      </c>
      <c r="AP622" s="389">
        <f t="shared" si="342"/>
        <v>0</v>
      </c>
    </row>
    <row r="623" spans="1:42" x14ac:dyDescent="0.2">
      <c r="A623" s="7">
        <f t="shared" si="338"/>
        <v>7</v>
      </c>
      <c r="B623" s="409">
        <f t="shared" si="335"/>
        <v>0</v>
      </c>
      <c r="C623" s="389">
        <f t="shared" ref="C623:AP623" si="343">IF(C$2&gt;analysis_period,0,IF(C$2=equip2_reserve_freq*$A623,equip2_reserve_cost*system_capacity*1000*(1+inflation_rate/100)^B$2,0))</f>
        <v>0</v>
      </c>
      <c r="D623" s="389">
        <f t="shared" si="343"/>
        <v>0</v>
      </c>
      <c r="E623" s="389">
        <f t="shared" si="343"/>
        <v>0</v>
      </c>
      <c r="F623" s="389">
        <f t="shared" si="343"/>
        <v>0</v>
      </c>
      <c r="G623" s="389">
        <f t="shared" si="343"/>
        <v>0</v>
      </c>
      <c r="H623" s="389">
        <f t="shared" si="343"/>
        <v>0</v>
      </c>
      <c r="I623" s="389">
        <f t="shared" si="343"/>
        <v>0</v>
      </c>
      <c r="J623" s="389">
        <f t="shared" si="343"/>
        <v>0</v>
      </c>
      <c r="K623" s="389">
        <f t="shared" si="343"/>
        <v>0</v>
      </c>
      <c r="L623" s="389">
        <f t="shared" si="343"/>
        <v>0</v>
      </c>
      <c r="M623" s="389">
        <f t="shared" si="343"/>
        <v>0</v>
      </c>
      <c r="N623" s="389">
        <f t="shared" si="343"/>
        <v>0</v>
      </c>
      <c r="O623" s="389">
        <f t="shared" si="343"/>
        <v>0</v>
      </c>
      <c r="P623" s="389">
        <f t="shared" si="343"/>
        <v>0</v>
      </c>
      <c r="Q623" s="389">
        <f t="shared" si="343"/>
        <v>0</v>
      </c>
      <c r="R623" s="389">
        <f t="shared" si="343"/>
        <v>0</v>
      </c>
      <c r="S623" s="389">
        <f t="shared" si="343"/>
        <v>0</v>
      </c>
      <c r="T623" s="389">
        <f t="shared" si="343"/>
        <v>0</v>
      </c>
      <c r="U623" s="389">
        <f t="shared" si="343"/>
        <v>0</v>
      </c>
      <c r="V623" s="389">
        <f t="shared" si="343"/>
        <v>0</v>
      </c>
      <c r="W623" s="389">
        <f t="shared" si="343"/>
        <v>0</v>
      </c>
      <c r="X623" s="389">
        <f t="shared" si="343"/>
        <v>0</v>
      </c>
      <c r="Y623" s="389">
        <f t="shared" si="343"/>
        <v>0</v>
      </c>
      <c r="Z623" s="389">
        <f t="shared" si="343"/>
        <v>0</v>
      </c>
      <c r="AA623" s="389">
        <f t="shared" si="343"/>
        <v>0</v>
      </c>
      <c r="AB623" s="389">
        <f t="shared" si="343"/>
        <v>0</v>
      </c>
      <c r="AC623" s="389">
        <f t="shared" si="343"/>
        <v>0</v>
      </c>
      <c r="AD623" s="389">
        <f t="shared" si="343"/>
        <v>0</v>
      </c>
      <c r="AE623" s="389">
        <f t="shared" si="343"/>
        <v>0</v>
      </c>
      <c r="AF623" s="389">
        <f t="shared" si="343"/>
        <v>0</v>
      </c>
      <c r="AG623" s="389">
        <f t="shared" si="343"/>
        <v>0</v>
      </c>
      <c r="AH623" s="389">
        <f t="shared" si="343"/>
        <v>0</v>
      </c>
      <c r="AI623" s="389">
        <f t="shared" si="343"/>
        <v>0</v>
      </c>
      <c r="AJ623" s="389">
        <f t="shared" si="343"/>
        <v>0</v>
      </c>
      <c r="AK623" s="389">
        <f t="shared" si="343"/>
        <v>0</v>
      </c>
      <c r="AL623" s="389">
        <f t="shared" si="343"/>
        <v>0</v>
      </c>
      <c r="AM623" s="389">
        <f t="shared" si="343"/>
        <v>0</v>
      </c>
      <c r="AN623" s="389">
        <f t="shared" si="343"/>
        <v>0</v>
      </c>
      <c r="AO623" s="389">
        <f t="shared" si="343"/>
        <v>0</v>
      </c>
      <c r="AP623" s="389">
        <f t="shared" si="343"/>
        <v>0</v>
      </c>
    </row>
    <row r="624" spans="1:42" x14ac:dyDescent="0.2">
      <c r="A624" s="7">
        <f t="shared" si="338"/>
        <v>8</v>
      </c>
      <c r="B624" s="409">
        <f t="shared" si="335"/>
        <v>0</v>
      </c>
      <c r="C624" s="389">
        <f t="shared" ref="C624:AP624" si="344">IF(C$2&gt;analysis_period,0,IF(C$2=equip2_reserve_freq*$A624,equip2_reserve_cost*system_capacity*1000*(1+inflation_rate/100)^B$2,0))</f>
        <v>0</v>
      </c>
      <c r="D624" s="389">
        <f t="shared" si="344"/>
        <v>0</v>
      </c>
      <c r="E624" s="389">
        <f t="shared" si="344"/>
        <v>0</v>
      </c>
      <c r="F624" s="389">
        <f t="shared" si="344"/>
        <v>0</v>
      </c>
      <c r="G624" s="389">
        <f t="shared" si="344"/>
        <v>0</v>
      </c>
      <c r="H624" s="389">
        <f t="shared" si="344"/>
        <v>0</v>
      </c>
      <c r="I624" s="389">
        <f t="shared" si="344"/>
        <v>0</v>
      </c>
      <c r="J624" s="389">
        <f t="shared" si="344"/>
        <v>0</v>
      </c>
      <c r="K624" s="389">
        <f t="shared" si="344"/>
        <v>0</v>
      </c>
      <c r="L624" s="389">
        <f t="shared" si="344"/>
        <v>0</v>
      </c>
      <c r="M624" s="389">
        <f t="shared" si="344"/>
        <v>0</v>
      </c>
      <c r="N624" s="389">
        <f t="shared" si="344"/>
        <v>0</v>
      </c>
      <c r="O624" s="389">
        <f t="shared" si="344"/>
        <v>0</v>
      </c>
      <c r="P624" s="389">
        <f t="shared" si="344"/>
        <v>0</v>
      </c>
      <c r="Q624" s="389">
        <f t="shared" si="344"/>
        <v>0</v>
      </c>
      <c r="R624" s="389">
        <f t="shared" si="344"/>
        <v>0</v>
      </c>
      <c r="S624" s="389">
        <f t="shared" si="344"/>
        <v>0</v>
      </c>
      <c r="T624" s="389">
        <f t="shared" si="344"/>
        <v>0</v>
      </c>
      <c r="U624" s="389">
        <f t="shared" si="344"/>
        <v>0</v>
      </c>
      <c r="V624" s="389">
        <f t="shared" si="344"/>
        <v>0</v>
      </c>
      <c r="W624" s="389">
        <f t="shared" si="344"/>
        <v>0</v>
      </c>
      <c r="X624" s="389">
        <f t="shared" si="344"/>
        <v>0</v>
      </c>
      <c r="Y624" s="389">
        <f t="shared" si="344"/>
        <v>0</v>
      </c>
      <c r="Z624" s="389">
        <f t="shared" si="344"/>
        <v>0</v>
      </c>
      <c r="AA624" s="389">
        <f t="shared" si="344"/>
        <v>0</v>
      </c>
      <c r="AB624" s="389">
        <f t="shared" si="344"/>
        <v>0</v>
      </c>
      <c r="AC624" s="389">
        <f t="shared" si="344"/>
        <v>0</v>
      </c>
      <c r="AD624" s="389">
        <f t="shared" si="344"/>
        <v>0</v>
      </c>
      <c r="AE624" s="389">
        <f t="shared" si="344"/>
        <v>0</v>
      </c>
      <c r="AF624" s="389">
        <f t="shared" si="344"/>
        <v>0</v>
      </c>
      <c r="AG624" s="389">
        <f t="shared" si="344"/>
        <v>0</v>
      </c>
      <c r="AH624" s="389">
        <f t="shared" si="344"/>
        <v>0</v>
      </c>
      <c r="AI624" s="389">
        <f t="shared" si="344"/>
        <v>0</v>
      </c>
      <c r="AJ624" s="389">
        <f t="shared" si="344"/>
        <v>0</v>
      </c>
      <c r="AK624" s="389">
        <f t="shared" si="344"/>
        <v>0</v>
      </c>
      <c r="AL624" s="389">
        <f t="shared" si="344"/>
        <v>0</v>
      </c>
      <c r="AM624" s="389">
        <f t="shared" si="344"/>
        <v>0</v>
      </c>
      <c r="AN624" s="389">
        <f t="shared" si="344"/>
        <v>0</v>
      </c>
      <c r="AO624" s="389">
        <f t="shared" si="344"/>
        <v>0</v>
      </c>
      <c r="AP624" s="389">
        <f t="shared" si="344"/>
        <v>0</v>
      </c>
    </row>
    <row r="625" spans="1:42" x14ac:dyDescent="0.2">
      <c r="A625" s="7">
        <f>A624+1</f>
        <v>9</v>
      </c>
      <c r="B625" s="409">
        <f t="shared" si="335"/>
        <v>0</v>
      </c>
      <c r="C625" s="389">
        <f t="shared" ref="C625:AP625" si="345">IF(C$2&gt;analysis_period,0,IF(C$2=equip2_reserve_freq*$A625,equip2_reserve_cost*system_capacity*1000*(1+inflation_rate/100)^B$2,0))</f>
        <v>0</v>
      </c>
      <c r="D625" s="389">
        <f t="shared" si="345"/>
        <v>0</v>
      </c>
      <c r="E625" s="389">
        <f t="shared" si="345"/>
        <v>0</v>
      </c>
      <c r="F625" s="389">
        <f t="shared" si="345"/>
        <v>0</v>
      </c>
      <c r="G625" s="389">
        <f t="shared" si="345"/>
        <v>0</v>
      </c>
      <c r="H625" s="389">
        <f t="shared" si="345"/>
        <v>0</v>
      </c>
      <c r="I625" s="389">
        <f t="shared" si="345"/>
        <v>0</v>
      </c>
      <c r="J625" s="389">
        <f t="shared" si="345"/>
        <v>0</v>
      </c>
      <c r="K625" s="389">
        <f t="shared" si="345"/>
        <v>0</v>
      </c>
      <c r="L625" s="389">
        <f t="shared" si="345"/>
        <v>0</v>
      </c>
      <c r="M625" s="389">
        <f t="shared" si="345"/>
        <v>0</v>
      </c>
      <c r="N625" s="389">
        <f t="shared" si="345"/>
        <v>0</v>
      </c>
      <c r="O625" s="389">
        <f t="shared" si="345"/>
        <v>0</v>
      </c>
      <c r="P625" s="389">
        <f t="shared" si="345"/>
        <v>0</v>
      </c>
      <c r="Q625" s="389">
        <f t="shared" si="345"/>
        <v>0</v>
      </c>
      <c r="R625" s="389">
        <f t="shared" si="345"/>
        <v>0</v>
      </c>
      <c r="S625" s="389">
        <f t="shared" si="345"/>
        <v>0</v>
      </c>
      <c r="T625" s="389">
        <f t="shared" si="345"/>
        <v>0</v>
      </c>
      <c r="U625" s="389">
        <f t="shared" si="345"/>
        <v>0</v>
      </c>
      <c r="V625" s="389">
        <f t="shared" si="345"/>
        <v>0</v>
      </c>
      <c r="W625" s="389">
        <f t="shared" si="345"/>
        <v>0</v>
      </c>
      <c r="X625" s="389">
        <f t="shared" si="345"/>
        <v>0</v>
      </c>
      <c r="Y625" s="389">
        <f t="shared" si="345"/>
        <v>0</v>
      </c>
      <c r="Z625" s="389">
        <f t="shared" si="345"/>
        <v>0</v>
      </c>
      <c r="AA625" s="389">
        <f t="shared" si="345"/>
        <v>0</v>
      </c>
      <c r="AB625" s="389">
        <f t="shared" si="345"/>
        <v>0</v>
      </c>
      <c r="AC625" s="389">
        <f t="shared" si="345"/>
        <v>0</v>
      </c>
      <c r="AD625" s="389">
        <f t="shared" si="345"/>
        <v>0</v>
      </c>
      <c r="AE625" s="389">
        <f t="shared" si="345"/>
        <v>0</v>
      </c>
      <c r="AF625" s="389">
        <f t="shared" si="345"/>
        <v>0</v>
      </c>
      <c r="AG625" s="389">
        <f t="shared" si="345"/>
        <v>0</v>
      </c>
      <c r="AH625" s="389">
        <f t="shared" si="345"/>
        <v>0</v>
      </c>
      <c r="AI625" s="389">
        <f t="shared" si="345"/>
        <v>0</v>
      </c>
      <c r="AJ625" s="389">
        <f t="shared" si="345"/>
        <v>0</v>
      </c>
      <c r="AK625" s="389">
        <f t="shared" si="345"/>
        <v>0</v>
      </c>
      <c r="AL625" s="389">
        <f t="shared" si="345"/>
        <v>0</v>
      </c>
      <c r="AM625" s="389">
        <f t="shared" si="345"/>
        <v>0</v>
      </c>
      <c r="AN625" s="389">
        <f t="shared" si="345"/>
        <v>0</v>
      </c>
      <c r="AO625" s="389">
        <f t="shared" si="345"/>
        <v>0</v>
      </c>
      <c r="AP625" s="389">
        <f t="shared" si="345"/>
        <v>0</v>
      </c>
    </row>
    <row r="626" spans="1:42" x14ac:dyDescent="0.2">
      <c r="A626" s="7">
        <f t="shared" si="338"/>
        <v>10</v>
      </c>
      <c r="B626" s="409">
        <f t="shared" si="335"/>
        <v>0</v>
      </c>
      <c r="C626" s="389">
        <f t="shared" ref="C626:AP626" si="346">IF(C$2&gt;analysis_period,0,IF(C$2=equip2_reserve_freq*$A626,equip2_reserve_cost*system_capacity*1000*(1+inflation_rate/100)^B$2,0))</f>
        <v>0</v>
      </c>
      <c r="D626" s="389">
        <f t="shared" si="346"/>
        <v>0</v>
      </c>
      <c r="E626" s="389">
        <f t="shared" si="346"/>
        <v>0</v>
      </c>
      <c r="F626" s="389">
        <f t="shared" si="346"/>
        <v>0</v>
      </c>
      <c r="G626" s="389">
        <f t="shared" si="346"/>
        <v>0</v>
      </c>
      <c r="H626" s="389">
        <f t="shared" si="346"/>
        <v>0</v>
      </c>
      <c r="I626" s="389">
        <f t="shared" si="346"/>
        <v>0</v>
      </c>
      <c r="J626" s="389">
        <f t="shared" si="346"/>
        <v>0</v>
      </c>
      <c r="K626" s="389">
        <f t="shared" si="346"/>
        <v>0</v>
      </c>
      <c r="L626" s="389">
        <f t="shared" si="346"/>
        <v>0</v>
      </c>
      <c r="M626" s="389">
        <f t="shared" si="346"/>
        <v>0</v>
      </c>
      <c r="N626" s="389">
        <f t="shared" si="346"/>
        <v>0</v>
      </c>
      <c r="O626" s="389">
        <f t="shared" si="346"/>
        <v>0</v>
      </c>
      <c r="P626" s="389">
        <f t="shared" si="346"/>
        <v>0</v>
      </c>
      <c r="Q626" s="389">
        <f t="shared" si="346"/>
        <v>0</v>
      </c>
      <c r="R626" s="389">
        <f t="shared" si="346"/>
        <v>0</v>
      </c>
      <c r="S626" s="389">
        <f t="shared" si="346"/>
        <v>0</v>
      </c>
      <c r="T626" s="389">
        <f t="shared" si="346"/>
        <v>0</v>
      </c>
      <c r="U626" s="389">
        <f t="shared" si="346"/>
        <v>0</v>
      </c>
      <c r="V626" s="389">
        <f t="shared" si="346"/>
        <v>0</v>
      </c>
      <c r="W626" s="389">
        <f t="shared" si="346"/>
        <v>0</v>
      </c>
      <c r="X626" s="389">
        <f t="shared" si="346"/>
        <v>0</v>
      </c>
      <c r="Y626" s="389">
        <f t="shared" si="346"/>
        <v>0</v>
      </c>
      <c r="Z626" s="389">
        <f t="shared" si="346"/>
        <v>0</v>
      </c>
      <c r="AA626" s="389">
        <f t="shared" si="346"/>
        <v>0</v>
      </c>
      <c r="AB626" s="389">
        <f t="shared" si="346"/>
        <v>0</v>
      </c>
      <c r="AC626" s="389">
        <f t="shared" si="346"/>
        <v>0</v>
      </c>
      <c r="AD626" s="389">
        <f t="shared" si="346"/>
        <v>0</v>
      </c>
      <c r="AE626" s="389">
        <f t="shared" si="346"/>
        <v>0</v>
      </c>
      <c r="AF626" s="389">
        <f t="shared" si="346"/>
        <v>0</v>
      </c>
      <c r="AG626" s="389">
        <f t="shared" si="346"/>
        <v>0</v>
      </c>
      <c r="AH626" s="389">
        <f t="shared" si="346"/>
        <v>0</v>
      </c>
      <c r="AI626" s="389">
        <f t="shared" si="346"/>
        <v>0</v>
      </c>
      <c r="AJ626" s="389">
        <f t="shared" si="346"/>
        <v>0</v>
      </c>
      <c r="AK626" s="389">
        <f t="shared" si="346"/>
        <v>0</v>
      </c>
      <c r="AL626" s="389">
        <f t="shared" si="346"/>
        <v>0</v>
      </c>
      <c r="AM626" s="389">
        <f t="shared" si="346"/>
        <v>0</v>
      </c>
      <c r="AN626" s="389">
        <f t="shared" si="346"/>
        <v>0</v>
      </c>
      <c r="AO626" s="389">
        <f t="shared" si="346"/>
        <v>0</v>
      </c>
      <c r="AP626" s="389">
        <f t="shared" si="346"/>
        <v>0</v>
      </c>
    </row>
    <row r="627" spans="1:42" x14ac:dyDescent="0.2">
      <c r="A627" s="47" t="s">
        <v>21</v>
      </c>
      <c r="B627" s="36"/>
      <c r="C627" s="393">
        <f>SUM(C617:C626)</f>
        <v>0</v>
      </c>
      <c r="D627" s="393">
        <f t="shared" ref="D627:AP627" si="347">SUM(D617:D626)</f>
        <v>0</v>
      </c>
      <c r="E627" s="393">
        <f t="shared" si="347"/>
        <v>0</v>
      </c>
      <c r="F627" s="393">
        <f t="shared" si="347"/>
        <v>0</v>
      </c>
      <c r="G627" s="393">
        <f t="shared" si="347"/>
        <v>0</v>
      </c>
      <c r="H627" s="393">
        <f t="shared" si="347"/>
        <v>0</v>
      </c>
      <c r="I627" s="393">
        <f t="shared" si="347"/>
        <v>0</v>
      </c>
      <c r="J627" s="393">
        <f t="shared" si="347"/>
        <v>0</v>
      </c>
      <c r="K627" s="393">
        <f t="shared" si="347"/>
        <v>0</v>
      </c>
      <c r="L627" s="393">
        <f t="shared" si="347"/>
        <v>0</v>
      </c>
      <c r="M627" s="393">
        <f t="shared" si="347"/>
        <v>0</v>
      </c>
      <c r="N627" s="393">
        <f t="shared" si="347"/>
        <v>0</v>
      </c>
      <c r="O627" s="393">
        <f t="shared" si="347"/>
        <v>0</v>
      </c>
      <c r="P627" s="393">
        <f t="shared" si="347"/>
        <v>0</v>
      </c>
      <c r="Q627" s="393">
        <f t="shared" si="347"/>
        <v>0</v>
      </c>
      <c r="R627" s="393">
        <f t="shared" si="347"/>
        <v>0</v>
      </c>
      <c r="S627" s="393">
        <f t="shared" si="347"/>
        <v>0</v>
      </c>
      <c r="T627" s="393">
        <f t="shared" si="347"/>
        <v>0</v>
      </c>
      <c r="U627" s="393">
        <f t="shared" si="347"/>
        <v>0</v>
      </c>
      <c r="V627" s="393">
        <f t="shared" si="347"/>
        <v>0</v>
      </c>
      <c r="W627" s="393">
        <f t="shared" si="347"/>
        <v>0</v>
      </c>
      <c r="X627" s="393">
        <f t="shared" si="347"/>
        <v>0</v>
      </c>
      <c r="Y627" s="393">
        <f t="shared" si="347"/>
        <v>0</v>
      </c>
      <c r="Z627" s="393">
        <f t="shared" si="347"/>
        <v>0</v>
      </c>
      <c r="AA627" s="393">
        <f t="shared" si="347"/>
        <v>0</v>
      </c>
      <c r="AB627" s="393">
        <f t="shared" si="347"/>
        <v>0</v>
      </c>
      <c r="AC627" s="393">
        <f t="shared" si="347"/>
        <v>0</v>
      </c>
      <c r="AD627" s="393">
        <f t="shared" si="347"/>
        <v>0</v>
      </c>
      <c r="AE627" s="393">
        <f t="shared" si="347"/>
        <v>0</v>
      </c>
      <c r="AF627" s="393">
        <f t="shared" si="347"/>
        <v>0</v>
      </c>
      <c r="AG627" s="393">
        <f t="shared" si="347"/>
        <v>0</v>
      </c>
      <c r="AH627" s="393">
        <f t="shared" si="347"/>
        <v>0</v>
      </c>
      <c r="AI627" s="393">
        <f t="shared" si="347"/>
        <v>0</v>
      </c>
      <c r="AJ627" s="393">
        <f t="shared" si="347"/>
        <v>0</v>
      </c>
      <c r="AK627" s="393">
        <f t="shared" si="347"/>
        <v>0</v>
      </c>
      <c r="AL627" s="393">
        <f t="shared" si="347"/>
        <v>0</v>
      </c>
      <c r="AM627" s="393">
        <f t="shared" si="347"/>
        <v>0</v>
      </c>
      <c r="AN627" s="393">
        <f t="shared" si="347"/>
        <v>0</v>
      </c>
      <c r="AO627" s="393">
        <f t="shared" si="347"/>
        <v>0</v>
      </c>
      <c r="AP627" s="393">
        <f t="shared" si="347"/>
        <v>0</v>
      </c>
    </row>
    <row r="628" spans="1:42" s="194" customFormat="1" x14ac:dyDescent="0.2">
      <c r="A628" s="7" t="s">
        <v>114</v>
      </c>
      <c r="G628" s="378"/>
      <c r="H628" s="378"/>
      <c r="I628" s="378"/>
      <c r="J628" s="378"/>
      <c r="K628" s="378"/>
      <c r="L628" s="378"/>
      <c r="M628" s="378"/>
      <c r="N628" s="378"/>
      <c r="O628" s="378"/>
      <c r="P628" s="378"/>
      <c r="Q628" s="378"/>
      <c r="R628" s="378"/>
      <c r="S628" s="378"/>
      <c r="T628" s="378"/>
      <c r="U628" s="378"/>
      <c r="V628" s="378"/>
      <c r="W628" s="378"/>
      <c r="X628" s="378"/>
      <c r="Y628" s="378"/>
      <c r="Z628" s="378"/>
      <c r="AA628" s="378"/>
      <c r="AB628" s="378"/>
      <c r="AC628" s="378"/>
      <c r="AD628" s="378"/>
      <c r="AE628" s="378"/>
      <c r="AF628" s="378"/>
      <c r="AG628" s="378"/>
      <c r="AH628" s="378"/>
      <c r="AI628" s="378"/>
      <c r="AJ628" s="378"/>
      <c r="AK628" s="378"/>
      <c r="AL628" s="378"/>
      <c r="AM628" s="378"/>
      <c r="AN628" s="378"/>
      <c r="AO628" s="378"/>
      <c r="AP628" s="378"/>
    </row>
    <row r="629" spans="1:42" x14ac:dyDescent="0.2">
      <c r="A629" s="7">
        <v>1</v>
      </c>
      <c r="B629" s="415">
        <f t="shared" ref="B629:B638" si="348">SUM(C629:AP629)</f>
        <v>0</v>
      </c>
      <c r="C629" s="389">
        <f t="shared" ref="C629:AP629" si="349">IF(C$2&lt;=equip2_reserve_freq*$A$617,$B$617/(equip2_reserve_freq),0)</f>
        <v>0</v>
      </c>
      <c r="D629" s="389">
        <f t="shared" si="349"/>
        <v>0</v>
      </c>
      <c r="E629" s="389">
        <f t="shared" si="349"/>
        <v>0</v>
      </c>
      <c r="F629" s="389">
        <f t="shared" si="349"/>
        <v>0</v>
      </c>
      <c r="G629" s="389">
        <f t="shared" si="349"/>
        <v>0</v>
      </c>
      <c r="H629" s="389">
        <f t="shared" si="349"/>
        <v>0</v>
      </c>
      <c r="I629" s="389">
        <f t="shared" si="349"/>
        <v>0</v>
      </c>
      <c r="J629" s="389">
        <f t="shared" si="349"/>
        <v>0</v>
      </c>
      <c r="K629" s="389">
        <f t="shared" si="349"/>
        <v>0</v>
      </c>
      <c r="L629" s="389">
        <f t="shared" si="349"/>
        <v>0</v>
      </c>
      <c r="M629" s="389">
        <f t="shared" si="349"/>
        <v>0</v>
      </c>
      <c r="N629" s="389">
        <f t="shared" si="349"/>
        <v>0</v>
      </c>
      <c r="O629" s="389">
        <f t="shared" si="349"/>
        <v>0</v>
      </c>
      <c r="P629" s="389">
        <f t="shared" si="349"/>
        <v>0</v>
      </c>
      <c r="Q629" s="389">
        <f t="shared" si="349"/>
        <v>0</v>
      </c>
      <c r="R629" s="389">
        <f t="shared" si="349"/>
        <v>0</v>
      </c>
      <c r="S629" s="389">
        <f t="shared" si="349"/>
        <v>0</v>
      </c>
      <c r="T629" s="389">
        <f t="shared" si="349"/>
        <v>0</v>
      </c>
      <c r="U629" s="389">
        <f t="shared" si="349"/>
        <v>0</v>
      </c>
      <c r="V629" s="389">
        <f t="shared" si="349"/>
        <v>0</v>
      </c>
      <c r="W629" s="389">
        <f t="shared" si="349"/>
        <v>0</v>
      </c>
      <c r="X629" s="389">
        <f t="shared" si="349"/>
        <v>0</v>
      </c>
      <c r="Y629" s="389">
        <f t="shared" si="349"/>
        <v>0</v>
      </c>
      <c r="Z629" s="389">
        <f t="shared" si="349"/>
        <v>0</v>
      </c>
      <c r="AA629" s="389">
        <f t="shared" si="349"/>
        <v>0</v>
      </c>
      <c r="AB629" s="389">
        <f t="shared" si="349"/>
        <v>0</v>
      </c>
      <c r="AC629" s="389">
        <f t="shared" si="349"/>
        <v>0</v>
      </c>
      <c r="AD629" s="389">
        <f t="shared" si="349"/>
        <v>0</v>
      </c>
      <c r="AE629" s="389">
        <f t="shared" si="349"/>
        <v>0</v>
      </c>
      <c r="AF629" s="389">
        <f t="shared" si="349"/>
        <v>0</v>
      </c>
      <c r="AG629" s="389">
        <f t="shared" si="349"/>
        <v>0</v>
      </c>
      <c r="AH629" s="389">
        <f t="shared" si="349"/>
        <v>0</v>
      </c>
      <c r="AI629" s="389">
        <f t="shared" si="349"/>
        <v>0</v>
      </c>
      <c r="AJ629" s="389">
        <f t="shared" si="349"/>
        <v>0</v>
      </c>
      <c r="AK629" s="389">
        <f t="shared" si="349"/>
        <v>0</v>
      </c>
      <c r="AL629" s="389">
        <f t="shared" si="349"/>
        <v>0</v>
      </c>
      <c r="AM629" s="389">
        <f t="shared" si="349"/>
        <v>0</v>
      </c>
      <c r="AN629" s="389">
        <f t="shared" si="349"/>
        <v>0</v>
      </c>
      <c r="AO629" s="389">
        <f t="shared" si="349"/>
        <v>0</v>
      </c>
      <c r="AP629" s="389">
        <f t="shared" si="349"/>
        <v>0</v>
      </c>
    </row>
    <row r="630" spans="1:42" x14ac:dyDescent="0.2">
      <c r="A630" s="7">
        <f>A629+1</f>
        <v>2</v>
      </c>
      <c r="B630" s="415">
        <f t="shared" si="348"/>
        <v>0</v>
      </c>
      <c r="C630" s="389">
        <f t="shared" ref="C630:AP636" si="350">IF(AND(C$2&gt;equip2_reserve_freq*$A617,C$2&lt;=equip2_reserve_freq*$A618),$B618/(equip2_reserve_freq),0)</f>
        <v>0</v>
      </c>
      <c r="D630" s="389">
        <f t="shared" si="350"/>
        <v>0</v>
      </c>
      <c r="E630" s="389">
        <f t="shared" si="350"/>
        <v>0</v>
      </c>
      <c r="F630" s="389">
        <f t="shared" si="350"/>
        <v>0</v>
      </c>
      <c r="G630" s="389">
        <f t="shared" si="350"/>
        <v>0</v>
      </c>
      <c r="H630" s="389">
        <f t="shared" si="350"/>
        <v>0</v>
      </c>
      <c r="I630" s="389">
        <f t="shared" si="350"/>
        <v>0</v>
      </c>
      <c r="J630" s="389">
        <f t="shared" si="350"/>
        <v>0</v>
      </c>
      <c r="K630" s="389">
        <f t="shared" si="350"/>
        <v>0</v>
      </c>
      <c r="L630" s="389">
        <f t="shared" si="350"/>
        <v>0</v>
      </c>
      <c r="M630" s="389">
        <f t="shared" si="350"/>
        <v>0</v>
      </c>
      <c r="N630" s="389">
        <f t="shared" si="350"/>
        <v>0</v>
      </c>
      <c r="O630" s="389">
        <f t="shared" si="350"/>
        <v>0</v>
      </c>
      <c r="P630" s="389">
        <f t="shared" si="350"/>
        <v>0</v>
      </c>
      <c r="Q630" s="389">
        <f t="shared" si="350"/>
        <v>0</v>
      </c>
      <c r="R630" s="389">
        <f t="shared" si="350"/>
        <v>0</v>
      </c>
      <c r="S630" s="389">
        <f t="shared" si="350"/>
        <v>0</v>
      </c>
      <c r="T630" s="389">
        <f t="shared" si="350"/>
        <v>0</v>
      </c>
      <c r="U630" s="389">
        <f t="shared" si="350"/>
        <v>0</v>
      </c>
      <c r="V630" s="389">
        <f t="shared" si="350"/>
        <v>0</v>
      </c>
      <c r="W630" s="389">
        <f t="shared" si="350"/>
        <v>0</v>
      </c>
      <c r="X630" s="389">
        <f t="shared" si="350"/>
        <v>0</v>
      </c>
      <c r="Y630" s="389">
        <f t="shared" si="350"/>
        <v>0</v>
      </c>
      <c r="Z630" s="389">
        <f t="shared" si="350"/>
        <v>0</v>
      </c>
      <c r="AA630" s="389">
        <f t="shared" si="350"/>
        <v>0</v>
      </c>
      <c r="AB630" s="389">
        <f t="shared" si="350"/>
        <v>0</v>
      </c>
      <c r="AC630" s="389">
        <f t="shared" si="350"/>
        <v>0</v>
      </c>
      <c r="AD630" s="389">
        <f t="shared" si="350"/>
        <v>0</v>
      </c>
      <c r="AE630" s="389">
        <f t="shared" si="350"/>
        <v>0</v>
      </c>
      <c r="AF630" s="389">
        <f t="shared" si="350"/>
        <v>0</v>
      </c>
      <c r="AG630" s="389">
        <f t="shared" si="350"/>
        <v>0</v>
      </c>
      <c r="AH630" s="389">
        <f t="shared" si="350"/>
        <v>0</v>
      </c>
      <c r="AI630" s="389">
        <f t="shared" si="350"/>
        <v>0</v>
      </c>
      <c r="AJ630" s="389">
        <f t="shared" si="350"/>
        <v>0</v>
      </c>
      <c r="AK630" s="389">
        <f t="shared" si="350"/>
        <v>0</v>
      </c>
      <c r="AL630" s="389">
        <f t="shared" si="350"/>
        <v>0</v>
      </c>
      <c r="AM630" s="389">
        <f t="shared" si="350"/>
        <v>0</v>
      </c>
      <c r="AN630" s="389">
        <f t="shared" si="350"/>
        <v>0</v>
      </c>
      <c r="AO630" s="389">
        <f t="shared" si="350"/>
        <v>0</v>
      </c>
      <c r="AP630" s="389">
        <f t="shared" si="350"/>
        <v>0</v>
      </c>
    </row>
    <row r="631" spans="1:42" x14ac:dyDescent="0.2">
      <c r="A631" s="7">
        <f t="shared" ref="A631:A636" si="351">A630+1</f>
        <v>3</v>
      </c>
      <c r="B631" s="415">
        <f t="shared" si="348"/>
        <v>0</v>
      </c>
      <c r="C631" s="389">
        <f t="shared" si="350"/>
        <v>0</v>
      </c>
      <c r="D631" s="389">
        <f t="shared" si="350"/>
        <v>0</v>
      </c>
      <c r="E631" s="389">
        <f t="shared" si="350"/>
        <v>0</v>
      </c>
      <c r="F631" s="389">
        <f t="shared" si="350"/>
        <v>0</v>
      </c>
      <c r="G631" s="389">
        <f t="shared" si="350"/>
        <v>0</v>
      </c>
      <c r="H631" s="389">
        <f t="shared" si="350"/>
        <v>0</v>
      </c>
      <c r="I631" s="389">
        <f t="shared" si="350"/>
        <v>0</v>
      </c>
      <c r="J631" s="389">
        <f t="shared" si="350"/>
        <v>0</v>
      </c>
      <c r="K631" s="389">
        <f t="shared" si="350"/>
        <v>0</v>
      </c>
      <c r="L631" s="389">
        <f t="shared" si="350"/>
        <v>0</v>
      </c>
      <c r="M631" s="389">
        <f t="shared" si="350"/>
        <v>0</v>
      </c>
      <c r="N631" s="389">
        <f t="shared" si="350"/>
        <v>0</v>
      </c>
      <c r="O631" s="389">
        <f t="shared" si="350"/>
        <v>0</v>
      </c>
      <c r="P631" s="389">
        <f t="shared" si="350"/>
        <v>0</v>
      </c>
      <c r="Q631" s="389">
        <f t="shared" si="350"/>
        <v>0</v>
      </c>
      <c r="R631" s="389">
        <f t="shared" si="350"/>
        <v>0</v>
      </c>
      <c r="S631" s="389">
        <f t="shared" si="350"/>
        <v>0</v>
      </c>
      <c r="T631" s="389">
        <f t="shared" si="350"/>
        <v>0</v>
      </c>
      <c r="U631" s="389">
        <f t="shared" si="350"/>
        <v>0</v>
      </c>
      <c r="V631" s="389">
        <f t="shared" si="350"/>
        <v>0</v>
      </c>
      <c r="W631" s="389">
        <f t="shared" si="350"/>
        <v>0</v>
      </c>
      <c r="X631" s="389">
        <f t="shared" si="350"/>
        <v>0</v>
      </c>
      <c r="Y631" s="389">
        <f t="shared" si="350"/>
        <v>0</v>
      </c>
      <c r="Z631" s="389">
        <f t="shared" si="350"/>
        <v>0</v>
      </c>
      <c r="AA631" s="389">
        <f t="shared" si="350"/>
        <v>0</v>
      </c>
      <c r="AB631" s="389">
        <f t="shared" si="350"/>
        <v>0</v>
      </c>
      <c r="AC631" s="389">
        <f t="shared" si="350"/>
        <v>0</v>
      </c>
      <c r="AD631" s="389">
        <f t="shared" si="350"/>
        <v>0</v>
      </c>
      <c r="AE631" s="389">
        <f t="shared" si="350"/>
        <v>0</v>
      </c>
      <c r="AF631" s="389">
        <f t="shared" si="350"/>
        <v>0</v>
      </c>
      <c r="AG631" s="389">
        <f t="shared" si="350"/>
        <v>0</v>
      </c>
      <c r="AH631" s="389">
        <f t="shared" si="350"/>
        <v>0</v>
      </c>
      <c r="AI631" s="389">
        <f t="shared" si="350"/>
        <v>0</v>
      </c>
      <c r="AJ631" s="389">
        <f t="shared" si="350"/>
        <v>0</v>
      </c>
      <c r="AK631" s="389">
        <f t="shared" si="350"/>
        <v>0</v>
      </c>
      <c r="AL631" s="389">
        <f t="shared" si="350"/>
        <v>0</v>
      </c>
      <c r="AM631" s="389">
        <f t="shared" si="350"/>
        <v>0</v>
      </c>
      <c r="AN631" s="389">
        <f t="shared" si="350"/>
        <v>0</v>
      </c>
      <c r="AO631" s="389">
        <f t="shared" si="350"/>
        <v>0</v>
      </c>
      <c r="AP631" s="389">
        <f t="shared" si="350"/>
        <v>0</v>
      </c>
    </row>
    <row r="632" spans="1:42" x14ac:dyDescent="0.2">
      <c r="A632" s="7">
        <f t="shared" si="351"/>
        <v>4</v>
      </c>
      <c r="B632" s="415">
        <f t="shared" si="348"/>
        <v>0</v>
      </c>
      <c r="C632" s="389">
        <f t="shared" si="350"/>
        <v>0</v>
      </c>
      <c r="D632" s="389">
        <f t="shared" si="350"/>
        <v>0</v>
      </c>
      <c r="E632" s="389">
        <f t="shared" si="350"/>
        <v>0</v>
      </c>
      <c r="F632" s="389">
        <f t="shared" si="350"/>
        <v>0</v>
      </c>
      <c r="G632" s="389">
        <f t="shared" si="350"/>
        <v>0</v>
      </c>
      <c r="H632" s="389">
        <f t="shared" si="350"/>
        <v>0</v>
      </c>
      <c r="I632" s="389">
        <f t="shared" si="350"/>
        <v>0</v>
      </c>
      <c r="J632" s="389">
        <f t="shared" si="350"/>
        <v>0</v>
      </c>
      <c r="K632" s="389">
        <f t="shared" si="350"/>
        <v>0</v>
      </c>
      <c r="L632" s="389">
        <f t="shared" si="350"/>
        <v>0</v>
      </c>
      <c r="M632" s="389">
        <f t="shared" si="350"/>
        <v>0</v>
      </c>
      <c r="N632" s="389">
        <f t="shared" si="350"/>
        <v>0</v>
      </c>
      <c r="O632" s="389">
        <f t="shared" si="350"/>
        <v>0</v>
      </c>
      <c r="P632" s="389">
        <f t="shared" si="350"/>
        <v>0</v>
      </c>
      <c r="Q632" s="389">
        <f t="shared" si="350"/>
        <v>0</v>
      </c>
      <c r="R632" s="389">
        <f t="shared" si="350"/>
        <v>0</v>
      </c>
      <c r="S632" s="389">
        <f t="shared" si="350"/>
        <v>0</v>
      </c>
      <c r="T632" s="389">
        <f t="shared" si="350"/>
        <v>0</v>
      </c>
      <c r="U632" s="389">
        <f t="shared" si="350"/>
        <v>0</v>
      </c>
      <c r="V632" s="389">
        <f t="shared" si="350"/>
        <v>0</v>
      </c>
      <c r="W632" s="389">
        <f t="shared" si="350"/>
        <v>0</v>
      </c>
      <c r="X632" s="389">
        <f t="shared" si="350"/>
        <v>0</v>
      </c>
      <c r="Y632" s="389">
        <f t="shared" si="350"/>
        <v>0</v>
      </c>
      <c r="Z632" s="389">
        <f t="shared" si="350"/>
        <v>0</v>
      </c>
      <c r="AA632" s="389">
        <f t="shared" si="350"/>
        <v>0</v>
      </c>
      <c r="AB632" s="389">
        <f t="shared" si="350"/>
        <v>0</v>
      </c>
      <c r="AC632" s="389">
        <f t="shared" si="350"/>
        <v>0</v>
      </c>
      <c r="AD632" s="389">
        <f t="shared" si="350"/>
        <v>0</v>
      </c>
      <c r="AE632" s="389">
        <f t="shared" si="350"/>
        <v>0</v>
      </c>
      <c r="AF632" s="389">
        <f t="shared" si="350"/>
        <v>0</v>
      </c>
      <c r="AG632" s="389">
        <f t="shared" si="350"/>
        <v>0</v>
      </c>
      <c r="AH632" s="389">
        <f t="shared" si="350"/>
        <v>0</v>
      </c>
      <c r="AI632" s="389">
        <f t="shared" si="350"/>
        <v>0</v>
      </c>
      <c r="AJ632" s="389">
        <f t="shared" si="350"/>
        <v>0</v>
      </c>
      <c r="AK632" s="389">
        <f t="shared" si="350"/>
        <v>0</v>
      </c>
      <c r="AL632" s="389">
        <f t="shared" si="350"/>
        <v>0</v>
      </c>
      <c r="AM632" s="389">
        <f t="shared" si="350"/>
        <v>0</v>
      </c>
      <c r="AN632" s="389">
        <f t="shared" si="350"/>
        <v>0</v>
      </c>
      <c r="AO632" s="389">
        <f t="shared" si="350"/>
        <v>0</v>
      </c>
      <c r="AP632" s="389">
        <f t="shared" si="350"/>
        <v>0</v>
      </c>
    </row>
    <row r="633" spans="1:42" x14ac:dyDescent="0.2">
      <c r="A633" s="7">
        <f t="shared" si="351"/>
        <v>5</v>
      </c>
      <c r="B633" s="415">
        <f t="shared" si="348"/>
        <v>0</v>
      </c>
      <c r="C633" s="389">
        <f t="shared" si="350"/>
        <v>0</v>
      </c>
      <c r="D633" s="389">
        <f t="shared" si="350"/>
        <v>0</v>
      </c>
      <c r="E633" s="389">
        <f t="shared" si="350"/>
        <v>0</v>
      </c>
      <c r="F633" s="389">
        <f t="shared" si="350"/>
        <v>0</v>
      </c>
      <c r="G633" s="389">
        <f t="shared" si="350"/>
        <v>0</v>
      </c>
      <c r="H633" s="389">
        <f t="shared" si="350"/>
        <v>0</v>
      </c>
      <c r="I633" s="389">
        <f t="shared" si="350"/>
        <v>0</v>
      </c>
      <c r="J633" s="389">
        <f t="shared" si="350"/>
        <v>0</v>
      </c>
      <c r="K633" s="389">
        <f t="shared" si="350"/>
        <v>0</v>
      </c>
      <c r="L633" s="389">
        <f t="shared" si="350"/>
        <v>0</v>
      </c>
      <c r="M633" s="389">
        <f t="shared" si="350"/>
        <v>0</v>
      </c>
      <c r="N633" s="389">
        <f t="shared" si="350"/>
        <v>0</v>
      </c>
      <c r="O633" s="389">
        <f t="shared" si="350"/>
        <v>0</v>
      </c>
      <c r="P633" s="389">
        <f t="shared" si="350"/>
        <v>0</v>
      </c>
      <c r="Q633" s="389">
        <f t="shared" si="350"/>
        <v>0</v>
      </c>
      <c r="R633" s="389">
        <f t="shared" si="350"/>
        <v>0</v>
      </c>
      <c r="S633" s="389">
        <f t="shared" si="350"/>
        <v>0</v>
      </c>
      <c r="T633" s="389">
        <f t="shared" si="350"/>
        <v>0</v>
      </c>
      <c r="U633" s="389">
        <f t="shared" si="350"/>
        <v>0</v>
      </c>
      <c r="V633" s="389">
        <f t="shared" si="350"/>
        <v>0</v>
      </c>
      <c r="W633" s="389">
        <f t="shared" si="350"/>
        <v>0</v>
      </c>
      <c r="X633" s="389">
        <f t="shared" si="350"/>
        <v>0</v>
      </c>
      <c r="Y633" s="389">
        <f t="shared" si="350"/>
        <v>0</v>
      </c>
      <c r="Z633" s="389">
        <f t="shared" si="350"/>
        <v>0</v>
      </c>
      <c r="AA633" s="389">
        <f t="shared" si="350"/>
        <v>0</v>
      </c>
      <c r="AB633" s="389">
        <f t="shared" si="350"/>
        <v>0</v>
      </c>
      <c r="AC633" s="389">
        <f t="shared" si="350"/>
        <v>0</v>
      </c>
      <c r="AD633" s="389">
        <f t="shared" si="350"/>
        <v>0</v>
      </c>
      <c r="AE633" s="389">
        <f t="shared" si="350"/>
        <v>0</v>
      </c>
      <c r="AF633" s="389">
        <f t="shared" si="350"/>
        <v>0</v>
      </c>
      <c r="AG633" s="389">
        <f t="shared" si="350"/>
        <v>0</v>
      </c>
      <c r="AH633" s="389">
        <f t="shared" si="350"/>
        <v>0</v>
      </c>
      <c r="AI633" s="389">
        <f t="shared" si="350"/>
        <v>0</v>
      </c>
      <c r="AJ633" s="389">
        <f t="shared" si="350"/>
        <v>0</v>
      </c>
      <c r="AK633" s="389">
        <f t="shared" si="350"/>
        <v>0</v>
      </c>
      <c r="AL633" s="389">
        <f t="shared" si="350"/>
        <v>0</v>
      </c>
      <c r="AM633" s="389">
        <f t="shared" si="350"/>
        <v>0</v>
      </c>
      <c r="AN633" s="389">
        <f t="shared" si="350"/>
        <v>0</v>
      </c>
      <c r="AO633" s="389">
        <f t="shared" si="350"/>
        <v>0</v>
      </c>
      <c r="AP633" s="389">
        <f t="shared" si="350"/>
        <v>0</v>
      </c>
    </row>
    <row r="634" spans="1:42" x14ac:dyDescent="0.2">
      <c r="A634" s="7">
        <f t="shared" si="351"/>
        <v>6</v>
      </c>
      <c r="B634" s="415">
        <f t="shared" si="348"/>
        <v>0</v>
      </c>
      <c r="C634" s="389">
        <f t="shared" si="350"/>
        <v>0</v>
      </c>
      <c r="D634" s="389">
        <f t="shared" si="350"/>
        <v>0</v>
      </c>
      <c r="E634" s="389">
        <f t="shared" si="350"/>
        <v>0</v>
      </c>
      <c r="F634" s="389">
        <f t="shared" si="350"/>
        <v>0</v>
      </c>
      <c r="G634" s="389">
        <f t="shared" si="350"/>
        <v>0</v>
      </c>
      <c r="H634" s="389">
        <f t="shared" si="350"/>
        <v>0</v>
      </c>
      <c r="I634" s="389">
        <f t="shared" si="350"/>
        <v>0</v>
      </c>
      <c r="J634" s="389">
        <f t="shared" si="350"/>
        <v>0</v>
      </c>
      <c r="K634" s="389">
        <f t="shared" si="350"/>
        <v>0</v>
      </c>
      <c r="L634" s="389">
        <f t="shared" si="350"/>
        <v>0</v>
      </c>
      <c r="M634" s="389">
        <f t="shared" si="350"/>
        <v>0</v>
      </c>
      <c r="N634" s="389">
        <f t="shared" si="350"/>
        <v>0</v>
      </c>
      <c r="O634" s="389">
        <f t="shared" si="350"/>
        <v>0</v>
      </c>
      <c r="P634" s="389">
        <f t="shared" si="350"/>
        <v>0</v>
      </c>
      <c r="Q634" s="389">
        <f t="shared" si="350"/>
        <v>0</v>
      </c>
      <c r="R634" s="389">
        <f t="shared" si="350"/>
        <v>0</v>
      </c>
      <c r="S634" s="389">
        <f t="shared" si="350"/>
        <v>0</v>
      </c>
      <c r="T634" s="389">
        <f t="shared" si="350"/>
        <v>0</v>
      </c>
      <c r="U634" s="389">
        <f t="shared" si="350"/>
        <v>0</v>
      </c>
      <c r="V634" s="389">
        <f t="shared" si="350"/>
        <v>0</v>
      </c>
      <c r="W634" s="389">
        <f t="shared" si="350"/>
        <v>0</v>
      </c>
      <c r="X634" s="389">
        <f t="shared" si="350"/>
        <v>0</v>
      </c>
      <c r="Y634" s="389">
        <f t="shared" si="350"/>
        <v>0</v>
      </c>
      <c r="Z634" s="389">
        <f t="shared" si="350"/>
        <v>0</v>
      </c>
      <c r="AA634" s="389">
        <f t="shared" si="350"/>
        <v>0</v>
      </c>
      <c r="AB634" s="389">
        <f t="shared" si="350"/>
        <v>0</v>
      </c>
      <c r="AC634" s="389">
        <f t="shared" si="350"/>
        <v>0</v>
      </c>
      <c r="AD634" s="389">
        <f t="shared" si="350"/>
        <v>0</v>
      </c>
      <c r="AE634" s="389">
        <f t="shared" si="350"/>
        <v>0</v>
      </c>
      <c r="AF634" s="389">
        <f t="shared" si="350"/>
        <v>0</v>
      </c>
      <c r="AG634" s="389">
        <f t="shared" si="350"/>
        <v>0</v>
      </c>
      <c r="AH634" s="389">
        <f t="shared" si="350"/>
        <v>0</v>
      </c>
      <c r="AI634" s="389">
        <f t="shared" si="350"/>
        <v>0</v>
      </c>
      <c r="AJ634" s="389">
        <f t="shared" si="350"/>
        <v>0</v>
      </c>
      <c r="AK634" s="389">
        <f t="shared" si="350"/>
        <v>0</v>
      </c>
      <c r="AL634" s="389">
        <f t="shared" si="350"/>
        <v>0</v>
      </c>
      <c r="AM634" s="389">
        <f t="shared" si="350"/>
        <v>0</v>
      </c>
      <c r="AN634" s="389">
        <f t="shared" si="350"/>
        <v>0</v>
      </c>
      <c r="AO634" s="389">
        <f t="shared" si="350"/>
        <v>0</v>
      </c>
      <c r="AP634" s="389">
        <f t="shared" si="350"/>
        <v>0</v>
      </c>
    </row>
    <row r="635" spans="1:42" x14ac:dyDescent="0.2">
      <c r="A635" s="7">
        <f t="shared" si="351"/>
        <v>7</v>
      </c>
      <c r="B635" s="415">
        <f t="shared" si="348"/>
        <v>0</v>
      </c>
      <c r="C635" s="389">
        <f t="shared" si="350"/>
        <v>0</v>
      </c>
      <c r="D635" s="389">
        <f t="shared" si="350"/>
        <v>0</v>
      </c>
      <c r="E635" s="389">
        <f t="shared" si="350"/>
        <v>0</v>
      </c>
      <c r="F635" s="389">
        <f t="shared" si="350"/>
        <v>0</v>
      </c>
      <c r="G635" s="389">
        <f t="shared" si="350"/>
        <v>0</v>
      </c>
      <c r="H635" s="389">
        <f t="shared" si="350"/>
        <v>0</v>
      </c>
      <c r="I635" s="389">
        <f t="shared" si="350"/>
        <v>0</v>
      </c>
      <c r="J635" s="389">
        <f t="shared" si="350"/>
        <v>0</v>
      </c>
      <c r="K635" s="389">
        <f t="shared" si="350"/>
        <v>0</v>
      </c>
      <c r="L635" s="389">
        <f t="shared" si="350"/>
        <v>0</v>
      </c>
      <c r="M635" s="389">
        <f t="shared" si="350"/>
        <v>0</v>
      </c>
      <c r="N635" s="389">
        <f t="shared" si="350"/>
        <v>0</v>
      </c>
      <c r="O635" s="389">
        <f t="shared" si="350"/>
        <v>0</v>
      </c>
      <c r="P635" s="389">
        <f t="shared" si="350"/>
        <v>0</v>
      </c>
      <c r="Q635" s="389">
        <f t="shared" si="350"/>
        <v>0</v>
      </c>
      <c r="R635" s="389">
        <f t="shared" si="350"/>
        <v>0</v>
      </c>
      <c r="S635" s="389">
        <f t="shared" si="350"/>
        <v>0</v>
      </c>
      <c r="T635" s="389">
        <f t="shared" si="350"/>
        <v>0</v>
      </c>
      <c r="U635" s="389">
        <f t="shared" si="350"/>
        <v>0</v>
      </c>
      <c r="V635" s="389">
        <f t="shared" si="350"/>
        <v>0</v>
      </c>
      <c r="W635" s="389">
        <f t="shared" si="350"/>
        <v>0</v>
      </c>
      <c r="X635" s="389">
        <f t="shared" si="350"/>
        <v>0</v>
      </c>
      <c r="Y635" s="389">
        <f t="shared" si="350"/>
        <v>0</v>
      </c>
      <c r="Z635" s="389">
        <f t="shared" si="350"/>
        <v>0</v>
      </c>
      <c r="AA635" s="389">
        <f t="shared" si="350"/>
        <v>0</v>
      </c>
      <c r="AB635" s="389">
        <f t="shared" si="350"/>
        <v>0</v>
      </c>
      <c r="AC635" s="389">
        <f t="shared" si="350"/>
        <v>0</v>
      </c>
      <c r="AD635" s="389">
        <f t="shared" si="350"/>
        <v>0</v>
      </c>
      <c r="AE635" s="389">
        <f t="shared" si="350"/>
        <v>0</v>
      </c>
      <c r="AF635" s="389">
        <f t="shared" si="350"/>
        <v>0</v>
      </c>
      <c r="AG635" s="389">
        <f t="shared" si="350"/>
        <v>0</v>
      </c>
      <c r="AH635" s="389">
        <f t="shared" si="350"/>
        <v>0</v>
      </c>
      <c r="AI635" s="389">
        <f t="shared" si="350"/>
        <v>0</v>
      </c>
      <c r="AJ635" s="389">
        <f t="shared" si="350"/>
        <v>0</v>
      </c>
      <c r="AK635" s="389">
        <f t="shared" si="350"/>
        <v>0</v>
      </c>
      <c r="AL635" s="389">
        <f t="shared" si="350"/>
        <v>0</v>
      </c>
      <c r="AM635" s="389">
        <f t="shared" si="350"/>
        <v>0</v>
      </c>
      <c r="AN635" s="389">
        <f t="shared" si="350"/>
        <v>0</v>
      </c>
      <c r="AO635" s="389">
        <f t="shared" si="350"/>
        <v>0</v>
      </c>
      <c r="AP635" s="389">
        <f t="shared" si="350"/>
        <v>0</v>
      </c>
    </row>
    <row r="636" spans="1:42" x14ac:dyDescent="0.2">
      <c r="A636" s="7">
        <f t="shared" si="351"/>
        <v>8</v>
      </c>
      <c r="B636" s="415">
        <f t="shared" si="348"/>
        <v>0</v>
      </c>
      <c r="C636" s="389">
        <f t="shared" si="350"/>
        <v>0</v>
      </c>
      <c r="D636" s="389">
        <f t="shared" si="350"/>
        <v>0</v>
      </c>
      <c r="E636" s="389">
        <f t="shared" si="350"/>
        <v>0</v>
      </c>
      <c r="F636" s="389">
        <f t="shared" si="350"/>
        <v>0</v>
      </c>
      <c r="G636" s="389">
        <f t="shared" si="350"/>
        <v>0</v>
      </c>
      <c r="H636" s="389">
        <f t="shared" si="350"/>
        <v>0</v>
      </c>
      <c r="I636" s="389">
        <f t="shared" si="350"/>
        <v>0</v>
      </c>
      <c r="J636" s="389">
        <f t="shared" si="350"/>
        <v>0</v>
      </c>
      <c r="K636" s="389">
        <f t="shared" si="350"/>
        <v>0</v>
      </c>
      <c r="L636" s="389">
        <f t="shared" si="350"/>
        <v>0</v>
      </c>
      <c r="M636" s="389">
        <f t="shared" si="350"/>
        <v>0</v>
      </c>
      <c r="N636" s="389">
        <f t="shared" si="350"/>
        <v>0</v>
      </c>
      <c r="O636" s="389">
        <f t="shared" si="350"/>
        <v>0</v>
      </c>
      <c r="P636" s="389">
        <f t="shared" si="350"/>
        <v>0</v>
      </c>
      <c r="Q636" s="389">
        <f t="shared" si="350"/>
        <v>0</v>
      </c>
      <c r="R636" s="389">
        <f t="shared" ref="R636:AP636" si="352">IF(AND(R$2&gt;equip2_reserve_freq*$A623,R$2&lt;=equip2_reserve_freq*$A624),$B624/(equip2_reserve_freq),0)</f>
        <v>0</v>
      </c>
      <c r="S636" s="389">
        <f t="shared" si="352"/>
        <v>0</v>
      </c>
      <c r="T636" s="389">
        <f t="shared" si="352"/>
        <v>0</v>
      </c>
      <c r="U636" s="389">
        <f t="shared" si="352"/>
        <v>0</v>
      </c>
      <c r="V636" s="389">
        <f t="shared" si="352"/>
        <v>0</v>
      </c>
      <c r="W636" s="389">
        <f t="shared" si="352"/>
        <v>0</v>
      </c>
      <c r="X636" s="389">
        <f t="shared" si="352"/>
        <v>0</v>
      </c>
      <c r="Y636" s="389">
        <f t="shared" si="352"/>
        <v>0</v>
      </c>
      <c r="Z636" s="389">
        <f t="shared" si="352"/>
        <v>0</v>
      </c>
      <c r="AA636" s="389">
        <f t="shared" si="352"/>
        <v>0</v>
      </c>
      <c r="AB636" s="389">
        <f t="shared" si="352"/>
        <v>0</v>
      </c>
      <c r="AC636" s="389">
        <f t="shared" si="352"/>
        <v>0</v>
      </c>
      <c r="AD636" s="389">
        <f t="shared" si="352"/>
        <v>0</v>
      </c>
      <c r="AE636" s="389">
        <f t="shared" si="352"/>
        <v>0</v>
      </c>
      <c r="AF636" s="389">
        <f t="shared" si="352"/>
        <v>0</v>
      </c>
      <c r="AG636" s="389">
        <f t="shared" si="352"/>
        <v>0</v>
      </c>
      <c r="AH636" s="389">
        <f t="shared" si="352"/>
        <v>0</v>
      </c>
      <c r="AI636" s="389">
        <f t="shared" si="352"/>
        <v>0</v>
      </c>
      <c r="AJ636" s="389">
        <f t="shared" si="352"/>
        <v>0</v>
      </c>
      <c r="AK636" s="389">
        <f t="shared" si="352"/>
        <v>0</v>
      </c>
      <c r="AL636" s="389">
        <f t="shared" si="352"/>
        <v>0</v>
      </c>
      <c r="AM636" s="389">
        <f t="shared" si="352"/>
        <v>0</v>
      </c>
      <c r="AN636" s="389">
        <f t="shared" si="352"/>
        <v>0</v>
      </c>
      <c r="AO636" s="389">
        <f t="shared" si="352"/>
        <v>0</v>
      </c>
      <c r="AP636" s="389">
        <f t="shared" si="352"/>
        <v>0</v>
      </c>
    </row>
    <row r="637" spans="1:42" x14ac:dyDescent="0.2">
      <c r="A637" s="7">
        <f>A636+1</f>
        <v>9</v>
      </c>
      <c r="B637" s="415">
        <f t="shared" si="348"/>
        <v>0</v>
      </c>
      <c r="C637" s="389">
        <f t="shared" ref="C637:AP638" si="353">IF(AND(C$2&gt;equip2_reserve_freq*$A624,C$2&lt;=equip2_reserve_freq*$A625),$B625/(equip2_reserve_freq),0)</f>
        <v>0</v>
      </c>
      <c r="D637" s="389">
        <f t="shared" si="353"/>
        <v>0</v>
      </c>
      <c r="E637" s="389">
        <f t="shared" si="353"/>
        <v>0</v>
      </c>
      <c r="F637" s="389">
        <f t="shared" si="353"/>
        <v>0</v>
      </c>
      <c r="G637" s="389">
        <f t="shared" si="353"/>
        <v>0</v>
      </c>
      <c r="H637" s="389">
        <f t="shared" si="353"/>
        <v>0</v>
      </c>
      <c r="I637" s="389">
        <f t="shared" si="353"/>
        <v>0</v>
      </c>
      <c r="J637" s="389">
        <f t="shared" si="353"/>
        <v>0</v>
      </c>
      <c r="K637" s="389">
        <f t="shared" si="353"/>
        <v>0</v>
      </c>
      <c r="L637" s="389">
        <f t="shared" si="353"/>
        <v>0</v>
      </c>
      <c r="M637" s="389">
        <f t="shared" si="353"/>
        <v>0</v>
      </c>
      <c r="N637" s="389">
        <f t="shared" si="353"/>
        <v>0</v>
      </c>
      <c r="O637" s="389">
        <f t="shared" si="353"/>
        <v>0</v>
      </c>
      <c r="P637" s="389">
        <f t="shared" si="353"/>
        <v>0</v>
      </c>
      <c r="Q637" s="389">
        <f t="shared" si="353"/>
        <v>0</v>
      </c>
      <c r="R637" s="389">
        <f t="shared" si="353"/>
        <v>0</v>
      </c>
      <c r="S637" s="389">
        <f t="shared" si="353"/>
        <v>0</v>
      </c>
      <c r="T637" s="389">
        <f t="shared" si="353"/>
        <v>0</v>
      </c>
      <c r="U637" s="389">
        <f t="shared" si="353"/>
        <v>0</v>
      </c>
      <c r="V637" s="389">
        <f t="shared" si="353"/>
        <v>0</v>
      </c>
      <c r="W637" s="389">
        <f t="shared" si="353"/>
        <v>0</v>
      </c>
      <c r="X637" s="389">
        <f t="shared" si="353"/>
        <v>0</v>
      </c>
      <c r="Y637" s="389">
        <f t="shared" si="353"/>
        <v>0</v>
      </c>
      <c r="Z637" s="389">
        <f t="shared" si="353"/>
        <v>0</v>
      </c>
      <c r="AA637" s="389">
        <f t="shared" si="353"/>
        <v>0</v>
      </c>
      <c r="AB637" s="389">
        <f t="shared" si="353"/>
        <v>0</v>
      </c>
      <c r="AC637" s="389">
        <f t="shared" si="353"/>
        <v>0</v>
      </c>
      <c r="AD637" s="389">
        <f t="shared" si="353"/>
        <v>0</v>
      </c>
      <c r="AE637" s="389">
        <f t="shared" si="353"/>
        <v>0</v>
      </c>
      <c r="AF637" s="389">
        <f t="shared" si="353"/>
        <v>0</v>
      </c>
      <c r="AG637" s="389">
        <f t="shared" si="353"/>
        <v>0</v>
      </c>
      <c r="AH637" s="389">
        <f t="shared" si="353"/>
        <v>0</v>
      </c>
      <c r="AI637" s="389">
        <f t="shared" si="353"/>
        <v>0</v>
      </c>
      <c r="AJ637" s="389">
        <f t="shared" si="353"/>
        <v>0</v>
      </c>
      <c r="AK637" s="389">
        <f t="shared" si="353"/>
        <v>0</v>
      </c>
      <c r="AL637" s="389">
        <f t="shared" si="353"/>
        <v>0</v>
      </c>
      <c r="AM637" s="389">
        <f t="shared" si="353"/>
        <v>0</v>
      </c>
      <c r="AN637" s="389">
        <f t="shared" si="353"/>
        <v>0</v>
      </c>
      <c r="AO637" s="389">
        <f t="shared" si="353"/>
        <v>0</v>
      </c>
      <c r="AP637" s="389">
        <f t="shared" si="353"/>
        <v>0</v>
      </c>
    </row>
    <row r="638" spans="1:42" x14ac:dyDescent="0.2">
      <c r="A638" s="7">
        <f t="shared" ref="A638" si="354">A637+1</f>
        <v>10</v>
      </c>
      <c r="B638" s="415">
        <f t="shared" si="348"/>
        <v>0</v>
      </c>
      <c r="C638" s="394">
        <f t="shared" si="353"/>
        <v>0</v>
      </c>
      <c r="D638" s="394">
        <f t="shared" si="353"/>
        <v>0</v>
      </c>
      <c r="E638" s="394">
        <f t="shared" si="353"/>
        <v>0</v>
      </c>
      <c r="F638" s="394">
        <f t="shared" si="353"/>
        <v>0</v>
      </c>
      <c r="G638" s="394">
        <f t="shared" si="353"/>
        <v>0</v>
      </c>
      <c r="H638" s="394">
        <f t="shared" si="353"/>
        <v>0</v>
      </c>
      <c r="I638" s="394">
        <f t="shared" si="353"/>
        <v>0</v>
      </c>
      <c r="J638" s="394">
        <f t="shared" si="353"/>
        <v>0</v>
      </c>
      <c r="K638" s="394">
        <f t="shared" si="353"/>
        <v>0</v>
      </c>
      <c r="L638" s="394">
        <f t="shared" si="353"/>
        <v>0</v>
      </c>
      <c r="M638" s="394">
        <f t="shared" si="353"/>
        <v>0</v>
      </c>
      <c r="N638" s="394">
        <f t="shared" si="353"/>
        <v>0</v>
      </c>
      <c r="O638" s="394">
        <f t="shared" si="353"/>
        <v>0</v>
      </c>
      <c r="P638" s="394">
        <f t="shared" si="353"/>
        <v>0</v>
      </c>
      <c r="Q638" s="394">
        <f t="shared" si="353"/>
        <v>0</v>
      </c>
      <c r="R638" s="394">
        <f t="shared" si="353"/>
        <v>0</v>
      </c>
      <c r="S638" s="394">
        <f t="shared" si="353"/>
        <v>0</v>
      </c>
      <c r="T638" s="394">
        <f t="shared" si="353"/>
        <v>0</v>
      </c>
      <c r="U638" s="394">
        <f t="shared" si="353"/>
        <v>0</v>
      </c>
      <c r="V638" s="394">
        <f t="shared" si="353"/>
        <v>0</v>
      </c>
      <c r="W638" s="394">
        <f t="shared" si="353"/>
        <v>0</v>
      </c>
      <c r="X638" s="394">
        <f t="shared" si="353"/>
        <v>0</v>
      </c>
      <c r="Y638" s="394">
        <f t="shared" si="353"/>
        <v>0</v>
      </c>
      <c r="Z638" s="394">
        <f t="shared" si="353"/>
        <v>0</v>
      </c>
      <c r="AA638" s="394">
        <f t="shared" si="353"/>
        <v>0</v>
      </c>
      <c r="AB638" s="394">
        <f t="shared" si="353"/>
        <v>0</v>
      </c>
      <c r="AC638" s="394">
        <f t="shared" si="353"/>
        <v>0</v>
      </c>
      <c r="AD638" s="394">
        <f t="shared" si="353"/>
        <v>0</v>
      </c>
      <c r="AE638" s="394">
        <f t="shared" si="353"/>
        <v>0</v>
      </c>
      <c r="AF638" s="394">
        <f t="shared" si="353"/>
        <v>0</v>
      </c>
      <c r="AG638" s="394">
        <f t="shared" si="353"/>
        <v>0</v>
      </c>
      <c r="AH638" s="394">
        <f t="shared" si="353"/>
        <v>0</v>
      </c>
      <c r="AI638" s="394">
        <f t="shared" si="353"/>
        <v>0</v>
      </c>
      <c r="AJ638" s="394">
        <f t="shared" si="353"/>
        <v>0</v>
      </c>
      <c r="AK638" s="394">
        <f t="shared" si="353"/>
        <v>0</v>
      </c>
      <c r="AL638" s="394">
        <f t="shared" si="353"/>
        <v>0</v>
      </c>
      <c r="AM638" s="394">
        <f t="shared" si="353"/>
        <v>0</v>
      </c>
      <c r="AN638" s="394">
        <f t="shared" si="353"/>
        <v>0</v>
      </c>
      <c r="AO638" s="394">
        <f t="shared" si="353"/>
        <v>0</v>
      </c>
      <c r="AP638" s="394">
        <f t="shared" si="353"/>
        <v>0</v>
      </c>
    </row>
    <row r="639" spans="1:42" x14ac:dyDescent="0.2">
      <c r="A639" s="47" t="s">
        <v>21</v>
      </c>
      <c r="B639" s="36"/>
      <c r="C639" s="393">
        <f>SUM(C629:C638)</f>
        <v>0</v>
      </c>
      <c r="D639" s="393">
        <f t="shared" ref="D639:AP639" si="355">SUM(D629:D638)</f>
        <v>0</v>
      </c>
      <c r="E639" s="393">
        <f t="shared" si="355"/>
        <v>0</v>
      </c>
      <c r="F639" s="393">
        <f t="shared" si="355"/>
        <v>0</v>
      </c>
      <c r="G639" s="393">
        <f t="shared" si="355"/>
        <v>0</v>
      </c>
      <c r="H639" s="393">
        <f t="shared" si="355"/>
        <v>0</v>
      </c>
      <c r="I639" s="393">
        <f t="shared" si="355"/>
        <v>0</v>
      </c>
      <c r="J639" s="393">
        <f t="shared" si="355"/>
        <v>0</v>
      </c>
      <c r="K639" s="393">
        <f t="shared" si="355"/>
        <v>0</v>
      </c>
      <c r="L639" s="393">
        <f t="shared" si="355"/>
        <v>0</v>
      </c>
      <c r="M639" s="393">
        <f t="shared" si="355"/>
        <v>0</v>
      </c>
      <c r="N639" s="393">
        <f t="shared" si="355"/>
        <v>0</v>
      </c>
      <c r="O639" s="393">
        <f t="shared" si="355"/>
        <v>0</v>
      </c>
      <c r="P639" s="393">
        <f t="shared" si="355"/>
        <v>0</v>
      </c>
      <c r="Q639" s="393">
        <f t="shared" si="355"/>
        <v>0</v>
      </c>
      <c r="R639" s="393">
        <f t="shared" si="355"/>
        <v>0</v>
      </c>
      <c r="S639" s="393">
        <f t="shared" si="355"/>
        <v>0</v>
      </c>
      <c r="T639" s="393">
        <f t="shared" si="355"/>
        <v>0</v>
      </c>
      <c r="U639" s="393">
        <f t="shared" si="355"/>
        <v>0</v>
      </c>
      <c r="V639" s="393">
        <f t="shared" si="355"/>
        <v>0</v>
      </c>
      <c r="W639" s="393">
        <f t="shared" si="355"/>
        <v>0</v>
      </c>
      <c r="X639" s="393">
        <f t="shared" si="355"/>
        <v>0</v>
      </c>
      <c r="Y639" s="393">
        <f t="shared" si="355"/>
        <v>0</v>
      </c>
      <c r="Z639" s="393">
        <f t="shared" si="355"/>
        <v>0</v>
      </c>
      <c r="AA639" s="393">
        <f t="shared" si="355"/>
        <v>0</v>
      </c>
      <c r="AB639" s="393">
        <f t="shared" si="355"/>
        <v>0</v>
      </c>
      <c r="AC639" s="393">
        <f t="shared" si="355"/>
        <v>0</v>
      </c>
      <c r="AD639" s="393">
        <f t="shared" si="355"/>
        <v>0</v>
      </c>
      <c r="AE639" s="393">
        <f t="shared" si="355"/>
        <v>0</v>
      </c>
      <c r="AF639" s="393">
        <f t="shared" si="355"/>
        <v>0</v>
      </c>
      <c r="AG639" s="393">
        <f t="shared" si="355"/>
        <v>0</v>
      </c>
      <c r="AH639" s="393">
        <f t="shared" si="355"/>
        <v>0</v>
      </c>
      <c r="AI639" s="393">
        <f t="shared" si="355"/>
        <v>0</v>
      </c>
      <c r="AJ639" s="393">
        <f t="shared" si="355"/>
        <v>0</v>
      </c>
      <c r="AK639" s="393">
        <f t="shared" si="355"/>
        <v>0</v>
      </c>
      <c r="AL639" s="393">
        <f t="shared" si="355"/>
        <v>0</v>
      </c>
      <c r="AM639" s="393">
        <f t="shared" si="355"/>
        <v>0</v>
      </c>
      <c r="AN639" s="393">
        <f t="shared" si="355"/>
        <v>0</v>
      </c>
      <c r="AO639" s="393">
        <f t="shared" si="355"/>
        <v>0</v>
      </c>
      <c r="AP639" s="393">
        <f t="shared" si="355"/>
        <v>0</v>
      </c>
    </row>
    <row r="640" spans="1:42" s="194" customFormat="1" x14ac:dyDescent="0.2">
      <c r="A640" s="7"/>
      <c r="B640" s="378"/>
    </row>
    <row r="641" spans="1:42" s="194" customFormat="1" x14ac:dyDescent="0.2">
      <c r="A641" s="33" t="s">
        <v>155</v>
      </c>
    </row>
    <row r="642" spans="1:42" x14ac:dyDescent="0.2">
      <c r="A642" s="7" t="s">
        <v>39</v>
      </c>
      <c r="B642" s="393">
        <v>0</v>
      </c>
      <c r="C642" s="393">
        <f>B645</f>
        <v>0</v>
      </c>
      <c r="D642" s="393">
        <f t="shared" ref="D642:AP642" si="356">C645</f>
        <v>0</v>
      </c>
      <c r="E642" s="393">
        <f t="shared" si="356"/>
        <v>0</v>
      </c>
      <c r="F642" s="393">
        <f t="shared" si="356"/>
        <v>0</v>
      </c>
      <c r="G642" s="393">
        <f t="shared" si="356"/>
        <v>0</v>
      </c>
      <c r="H642" s="393">
        <f t="shared" si="356"/>
        <v>0</v>
      </c>
      <c r="I642" s="393">
        <f t="shared" si="356"/>
        <v>0</v>
      </c>
      <c r="J642" s="393">
        <f t="shared" si="356"/>
        <v>0</v>
      </c>
      <c r="K642" s="393">
        <f t="shared" si="356"/>
        <v>0</v>
      </c>
      <c r="L642" s="393">
        <f t="shared" si="356"/>
        <v>0</v>
      </c>
      <c r="M642" s="393">
        <f t="shared" si="356"/>
        <v>0</v>
      </c>
      <c r="N642" s="393">
        <f t="shared" si="356"/>
        <v>0</v>
      </c>
      <c r="O642" s="393">
        <f t="shared" si="356"/>
        <v>0</v>
      </c>
      <c r="P642" s="393">
        <f t="shared" si="356"/>
        <v>0</v>
      </c>
      <c r="Q642" s="393">
        <f t="shared" si="356"/>
        <v>0</v>
      </c>
      <c r="R642" s="393">
        <f t="shared" si="356"/>
        <v>0</v>
      </c>
      <c r="S642" s="393">
        <f t="shared" si="356"/>
        <v>0</v>
      </c>
      <c r="T642" s="393">
        <f t="shared" si="356"/>
        <v>0</v>
      </c>
      <c r="U642" s="393">
        <f t="shared" si="356"/>
        <v>0</v>
      </c>
      <c r="V642" s="393">
        <f t="shared" si="356"/>
        <v>0</v>
      </c>
      <c r="W642" s="393">
        <f t="shared" si="356"/>
        <v>0</v>
      </c>
      <c r="X642" s="393">
        <f t="shared" si="356"/>
        <v>0</v>
      </c>
      <c r="Y642" s="393">
        <f t="shared" si="356"/>
        <v>0</v>
      </c>
      <c r="Z642" s="393">
        <f t="shared" si="356"/>
        <v>0</v>
      </c>
      <c r="AA642" s="393">
        <f t="shared" si="356"/>
        <v>0</v>
      </c>
      <c r="AB642" s="393">
        <f t="shared" si="356"/>
        <v>0</v>
      </c>
      <c r="AC642" s="393">
        <f t="shared" si="356"/>
        <v>0</v>
      </c>
      <c r="AD642" s="393">
        <f t="shared" si="356"/>
        <v>0</v>
      </c>
      <c r="AE642" s="393">
        <f t="shared" si="356"/>
        <v>0</v>
      </c>
      <c r="AF642" s="393">
        <f t="shared" si="356"/>
        <v>0</v>
      </c>
      <c r="AG642" s="393">
        <f t="shared" si="356"/>
        <v>0</v>
      </c>
      <c r="AH642" s="393">
        <f t="shared" si="356"/>
        <v>0</v>
      </c>
      <c r="AI642" s="393">
        <f t="shared" si="356"/>
        <v>0</v>
      </c>
      <c r="AJ642" s="393">
        <f t="shared" si="356"/>
        <v>0</v>
      </c>
      <c r="AK642" s="393">
        <f t="shared" si="356"/>
        <v>0</v>
      </c>
      <c r="AL642" s="393">
        <f t="shared" si="356"/>
        <v>0</v>
      </c>
      <c r="AM642" s="393">
        <f t="shared" si="356"/>
        <v>0</v>
      </c>
      <c r="AN642" s="393">
        <f t="shared" si="356"/>
        <v>0</v>
      </c>
      <c r="AO642" s="393">
        <f t="shared" si="356"/>
        <v>0</v>
      </c>
      <c r="AP642" s="393">
        <f t="shared" si="356"/>
        <v>0</v>
      </c>
    </row>
    <row r="643" spans="1:42" x14ac:dyDescent="0.2">
      <c r="A643" s="7" t="s">
        <v>113</v>
      </c>
      <c r="B643" s="393">
        <v>0</v>
      </c>
      <c r="C643" s="393">
        <f>C671</f>
        <v>0</v>
      </c>
      <c r="D643" s="393">
        <f t="shared" ref="D643:AP643" si="357">D671</f>
        <v>0</v>
      </c>
      <c r="E643" s="393">
        <f t="shared" si="357"/>
        <v>0</v>
      </c>
      <c r="F643" s="393">
        <f t="shared" si="357"/>
        <v>0</v>
      </c>
      <c r="G643" s="393">
        <f t="shared" si="357"/>
        <v>0</v>
      </c>
      <c r="H643" s="393">
        <f t="shared" si="357"/>
        <v>0</v>
      </c>
      <c r="I643" s="393">
        <f t="shared" si="357"/>
        <v>0</v>
      </c>
      <c r="J643" s="393">
        <f t="shared" si="357"/>
        <v>0</v>
      </c>
      <c r="K643" s="393">
        <f t="shared" si="357"/>
        <v>0</v>
      </c>
      <c r="L643" s="393">
        <f t="shared" si="357"/>
        <v>0</v>
      </c>
      <c r="M643" s="393">
        <f t="shared" si="357"/>
        <v>0</v>
      </c>
      <c r="N643" s="393">
        <f t="shared" si="357"/>
        <v>0</v>
      </c>
      <c r="O643" s="393">
        <f t="shared" si="357"/>
        <v>0</v>
      </c>
      <c r="P643" s="393">
        <f t="shared" si="357"/>
        <v>0</v>
      </c>
      <c r="Q643" s="393">
        <f t="shared" si="357"/>
        <v>0</v>
      </c>
      <c r="R643" s="393">
        <f t="shared" si="357"/>
        <v>0</v>
      </c>
      <c r="S643" s="393">
        <f t="shared" si="357"/>
        <v>0</v>
      </c>
      <c r="T643" s="393">
        <f t="shared" si="357"/>
        <v>0</v>
      </c>
      <c r="U643" s="393">
        <f t="shared" si="357"/>
        <v>0</v>
      </c>
      <c r="V643" s="393">
        <f t="shared" si="357"/>
        <v>0</v>
      </c>
      <c r="W643" s="393">
        <f t="shared" si="357"/>
        <v>0</v>
      </c>
      <c r="X643" s="393">
        <f t="shared" si="357"/>
        <v>0</v>
      </c>
      <c r="Y643" s="393">
        <f t="shared" si="357"/>
        <v>0</v>
      </c>
      <c r="Z643" s="393">
        <f t="shared" si="357"/>
        <v>0</v>
      </c>
      <c r="AA643" s="393">
        <f t="shared" si="357"/>
        <v>0</v>
      </c>
      <c r="AB643" s="393">
        <f t="shared" si="357"/>
        <v>0</v>
      </c>
      <c r="AC643" s="393">
        <f t="shared" si="357"/>
        <v>0</v>
      </c>
      <c r="AD643" s="393">
        <f t="shared" si="357"/>
        <v>0</v>
      </c>
      <c r="AE643" s="393">
        <f t="shared" si="357"/>
        <v>0</v>
      </c>
      <c r="AF643" s="393">
        <f t="shared" si="357"/>
        <v>0</v>
      </c>
      <c r="AG643" s="393">
        <f t="shared" si="357"/>
        <v>0</v>
      </c>
      <c r="AH643" s="393">
        <f t="shared" si="357"/>
        <v>0</v>
      </c>
      <c r="AI643" s="393">
        <f t="shared" si="357"/>
        <v>0</v>
      </c>
      <c r="AJ643" s="393">
        <f t="shared" si="357"/>
        <v>0</v>
      </c>
      <c r="AK643" s="393">
        <f t="shared" si="357"/>
        <v>0</v>
      </c>
      <c r="AL643" s="393">
        <f t="shared" si="357"/>
        <v>0</v>
      </c>
      <c r="AM643" s="393">
        <f t="shared" si="357"/>
        <v>0</v>
      </c>
      <c r="AN643" s="393">
        <f t="shared" si="357"/>
        <v>0</v>
      </c>
      <c r="AO643" s="393">
        <f t="shared" si="357"/>
        <v>0</v>
      </c>
      <c r="AP643" s="393">
        <f t="shared" si="357"/>
        <v>0</v>
      </c>
    </row>
    <row r="644" spans="1:42" x14ac:dyDescent="0.2">
      <c r="A644" s="7" t="s">
        <v>46</v>
      </c>
      <c r="B644" s="394">
        <v>0</v>
      </c>
      <c r="C644" s="394">
        <f>-C659</f>
        <v>0</v>
      </c>
      <c r="D644" s="394">
        <f t="shared" ref="D644:AP644" si="358">-D659</f>
        <v>0</v>
      </c>
      <c r="E644" s="394">
        <f t="shared" si="358"/>
        <v>0</v>
      </c>
      <c r="F644" s="394">
        <f t="shared" si="358"/>
        <v>0</v>
      </c>
      <c r="G644" s="394">
        <f t="shared" si="358"/>
        <v>0</v>
      </c>
      <c r="H644" s="394">
        <f t="shared" si="358"/>
        <v>0</v>
      </c>
      <c r="I644" s="394">
        <f t="shared" si="358"/>
        <v>0</v>
      </c>
      <c r="J644" s="394">
        <f t="shared" si="358"/>
        <v>0</v>
      </c>
      <c r="K644" s="394">
        <f t="shared" si="358"/>
        <v>0</v>
      </c>
      <c r="L644" s="394">
        <f t="shared" si="358"/>
        <v>0</v>
      </c>
      <c r="M644" s="394">
        <f t="shared" si="358"/>
        <v>0</v>
      </c>
      <c r="N644" s="394">
        <f t="shared" si="358"/>
        <v>0</v>
      </c>
      <c r="O644" s="394">
        <f t="shared" si="358"/>
        <v>0</v>
      </c>
      <c r="P644" s="394">
        <f t="shared" si="358"/>
        <v>0</v>
      </c>
      <c r="Q644" s="394">
        <f t="shared" si="358"/>
        <v>0</v>
      </c>
      <c r="R644" s="394">
        <f t="shared" si="358"/>
        <v>0</v>
      </c>
      <c r="S644" s="394">
        <f t="shared" si="358"/>
        <v>0</v>
      </c>
      <c r="T644" s="394">
        <f t="shared" si="358"/>
        <v>0</v>
      </c>
      <c r="U644" s="394">
        <f t="shared" si="358"/>
        <v>0</v>
      </c>
      <c r="V644" s="394">
        <f t="shared" si="358"/>
        <v>0</v>
      </c>
      <c r="W644" s="394">
        <f t="shared" si="358"/>
        <v>0</v>
      </c>
      <c r="X644" s="394">
        <f t="shared" si="358"/>
        <v>0</v>
      </c>
      <c r="Y644" s="394">
        <f t="shared" si="358"/>
        <v>0</v>
      </c>
      <c r="Z644" s="394">
        <f t="shared" si="358"/>
        <v>0</v>
      </c>
      <c r="AA644" s="394">
        <f t="shared" si="358"/>
        <v>0</v>
      </c>
      <c r="AB644" s="394">
        <f t="shared" si="358"/>
        <v>0</v>
      </c>
      <c r="AC644" s="394">
        <f t="shared" si="358"/>
        <v>0</v>
      </c>
      <c r="AD644" s="394">
        <f t="shared" si="358"/>
        <v>0</v>
      </c>
      <c r="AE644" s="394">
        <f t="shared" si="358"/>
        <v>0</v>
      </c>
      <c r="AF644" s="394">
        <f t="shared" si="358"/>
        <v>0</v>
      </c>
      <c r="AG644" s="394">
        <f t="shared" si="358"/>
        <v>0</v>
      </c>
      <c r="AH644" s="394">
        <f t="shared" si="358"/>
        <v>0</v>
      </c>
      <c r="AI644" s="394">
        <f t="shared" si="358"/>
        <v>0</v>
      </c>
      <c r="AJ644" s="394">
        <f t="shared" si="358"/>
        <v>0</v>
      </c>
      <c r="AK644" s="394">
        <f t="shared" si="358"/>
        <v>0</v>
      </c>
      <c r="AL644" s="394">
        <f t="shared" si="358"/>
        <v>0</v>
      </c>
      <c r="AM644" s="394">
        <f t="shared" si="358"/>
        <v>0</v>
      </c>
      <c r="AN644" s="394">
        <f t="shared" si="358"/>
        <v>0</v>
      </c>
      <c r="AO644" s="394">
        <f t="shared" si="358"/>
        <v>0</v>
      </c>
      <c r="AP644" s="394">
        <f t="shared" si="358"/>
        <v>0</v>
      </c>
    </row>
    <row r="645" spans="1:42" x14ac:dyDescent="0.2">
      <c r="A645" s="7" t="s">
        <v>42</v>
      </c>
      <c r="B645" s="393">
        <f>SUM(B642:B644)</f>
        <v>0</v>
      </c>
      <c r="C645" s="393">
        <f>SUM(C642:C644)</f>
        <v>0</v>
      </c>
      <c r="D645" s="393">
        <f t="shared" ref="D645:AP645" si="359">SUM(D642:D644)</f>
        <v>0</v>
      </c>
      <c r="E645" s="393">
        <f t="shared" si="359"/>
        <v>0</v>
      </c>
      <c r="F645" s="393">
        <f t="shared" si="359"/>
        <v>0</v>
      </c>
      <c r="G645" s="393">
        <f t="shared" si="359"/>
        <v>0</v>
      </c>
      <c r="H645" s="393">
        <f t="shared" si="359"/>
        <v>0</v>
      </c>
      <c r="I645" s="393">
        <f t="shared" si="359"/>
        <v>0</v>
      </c>
      <c r="J645" s="393">
        <f t="shared" si="359"/>
        <v>0</v>
      </c>
      <c r="K645" s="393">
        <f t="shared" si="359"/>
        <v>0</v>
      </c>
      <c r="L645" s="393">
        <f t="shared" si="359"/>
        <v>0</v>
      </c>
      <c r="M645" s="393">
        <f t="shared" si="359"/>
        <v>0</v>
      </c>
      <c r="N645" s="393">
        <f t="shared" si="359"/>
        <v>0</v>
      </c>
      <c r="O645" s="393">
        <f t="shared" si="359"/>
        <v>0</v>
      </c>
      <c r="P645" s="393">
        <f t="shared" si="359"/>
        <v>0</v>
      </c>
      <c r="Q645" s="393">
        <f t="shared" si="359"/>
        <v>0</v>
      </c>
      <c r="R645" s="393">
        <f t="shared" si="359"/>
        <v>0</v>
      </c>
      <c r="S645" s="393">
        <f t="shared" si="359"/>
        <v>0</v>
      </c>
      <c r="T645" s="393">
        <f t="shared" si="359"/>
        <v>0</v>
      </c>
      <c r="U645" s="393">
        <f t="shared" si="359"/>
        <v>0</v>
      </c>
      <c r="V645" s="393">
        <f t="shared" si="359"/>
        <v>0</v>
      </c>
      <c r="W645" s="393">
        <f t="shared" si="359"/>
        <v>0</v>
      </c>
      <c r="X645" s="393">
        <f t="shared" si="359"/>
        <v>0</v>
      </c>
      <c r="Y645" s="393">
        <f t="shared" si="359"/>
        <v>0</v>
      </c>
      <c r="Z645" s="393">
        <f t="shared" si="359"/>
        <v>0</v>
      </c>
      <c r="AA645" s="393">
        <f t="shared" si="359"/>
        <v>0</v>
      </c>
      <c r="AB645" s="393">
        <f t="shared" si="359"/>
        <v>0</v>
      </c>
      <c r="AC645" s="393">
        <f t="shared" si="359"/>
        <v>0</v>
      </c>
      <c r="AD645" s="393">
        <f t="shared" si="359"/>
        <v>0</v>
      </c>
      <c r="AE645" s="393">
        <f t="shared" si="359"/>
        <v>0</v>
      </c>
      <c r="AF645" s="393">
        <f t="shared" si="359"/>
        <v>0</v>
      </c>
      <c r="AG645" s="393">
        <f t="shared" si="359"/>
        <v>0</v>
      </c>
      <c r="AH645" s="393">
        <f t="shared" si="359"/>
        <v>0</v>
      </c>
      <c r="AI645" s="393">
        <f t="shared" si="359"/>
        <v>0</v>
      </c>
      <c r="AJ645" s="393">
        <f t="shared" si="359"/>
        <v>0</v>
      </c>
      <c r="AK645" s="393">
        <f t="shared" si="359"/>
        <v>0</v>
      </c>
      <c r="AL645" s="393">
        <f t="shared" si="359"/>
        <v>0</v>
      </c>
      <c r="AM645" s="393">
        <f t="shared" si="359"/>
        <v>0</v>
      </c>
      <c r="AN645" s="393">
        <f t="shared" si="359"/>
        <v>0</v>
      </c>
      <c r="AO645" s="393">
        <f t="shared" si="359"/>
        <v>0</v>
      </c>
      <c r="AP645" s="393">
        <f t="shared" si="359"/>
        <v>0</v>
      </c>
    </row>
    <row r="646" spans="1:42" s="194" customFormat="1" x14ac:dyDescent="0.2">
      <c r="A646" s="7"/>
      <c r="G646" s="378"/>
      <c r="H646" s="378"/>
      <c r="I646" s="378"/>
      <c r="J646" s="378"/>
      <c r="K646" s="378"/>
      <c r="L646" s="378"/>
      <c r="M646" s="378"/>
      <c r="N646" s="378"/>
      <c r="O646" s="378"/>
      <c r="P646" s="378"/>
      <c r="Q646" s="378"/>
      <c r="R646" s="378"/>
      <c r="S646" s="378"/>
      <c r="T646" s="378"/>
      <c r="U646" s="378"/>
      <c r="V646" s="378"/>
      <c r="W646" s="378"/>
      <c r="X646" s="378"/>
      <c r="Y646" s="378"/>
      <c r="Z646" s="378"/>
      <c r="AA646" s="378"/>
      <c r="AB646" s="378"/>
      <c r="AC646" s="378"/>
      <c r="AD646" s="378"/>
      <c r="AE646" s="378"/>
      <c r="AF646" s="378"/>
      <c r="AG646" s="378"/>
      <c r="AH646" s="378"/>
      <c r="AI646" s="378"/>
      <c r="AJ646" s="378"/>
      <c r="AK646" s="378"/>
      <c r="AL646" s="378"/>
      <c r="AM646" s="378"/>
      <c r="AN646" s="378"/>
      <c r="AO646" s="378"/>
      <c r="AP646" s="378"/>
    </row>
    <row r="647" spans="1:42" s="194" customFormat="1" x14ac:dyDescent="0.2">
      <c r="A647" s="7" t="s">
        <v>111</v>
      </c>
      <c r="G647" s="378"/>
      <c r="H647" s="378"/>
      <c r="I647" s="378"/>
      <c r="J647" s="378"/>
      <c r="K647" s="378"/>
      <c r="L647" s="378"/>
      <c r="M647" s="378"/>
      <c r="N647" s="378"/>
      <c r="O647" s="378"/>
      <c r="P647" s="378"/>
      <c r="Q647" s="378"/>
      <c r="R647" s="378"/>
      <c r="S647" s="378"/>
      <c r="T647" s="378"/>
      <c r="U647" s="378"/>
      <c r="V647" s="378"/>
      <c r="W647" s="378"/>
      <c r="X647" s="378"/>
      <c r="Y647" s="378"/>
      <c r="Z647" s="378"/>
      <c r="AA647" s="378"/>
      <c r="AB647" s="378"/>
      <c r="AC647" s="378"/>
      <c r="AD647" s="378"/>
      <c r="AE647" s="378"/>
      <c r="AF647" s="378"/>
      <c r="AG647" s="378"/>
      <c r="AH647" s="378"/>
      <c r="AI647" s="378"/>
      <c r="AJ647" s="378"/>
      <c r="AK647" s="378"/>
      <c r="AL647" s="378"/>
      <c r="AM647" s="378"/>
      <c r="AN647" s="378"/>
      <c r="AO647" s="378"/>
      <c r="AP647" s="378"/>
    </row>
    <row r="648" spans="1:42" s="194" customFormat="1" x14ac:dyDescent="0.2">
      <c r="A648" s="7" t="s">
        <v>112</v>
      </c>
      <c r="G648" s="378"/>
      <c r="H648" s="378"/>
      <c r="I648" s="378"/>
      <c r="J648" s="378"/>
      <c r="K648" s="378"/>
      <c r="L648" s="378"/>
      <c r="M648" s="378"/>
      <c r="N648" s="378"/>
      <c r="O648" s="378"/>
      <c r="P648" s="378"/>
      <c r="Q648" s="378"/>
      <c r="R648" s="378"/>
      <c r="S648" s="378"/>
      <c r="T648" s="378"/>
      <c r="U648" s="378"/>
      <c r="V648" s="378"/>
      <c r="W648" s="378"/>
      <c r="X648" s="378"/>
      <c r="Y648" s="378"/>
      <c r="Z648" s="378"/>
      <c r="AA648" s="378"/>
      <c r="AB648" s="378"/>
      <c r="AC648" s="378"/>
      <c r="AD648" s="378"/>
      <c r="AE648" s="378"/>
      <c r="AF648" s="378"/>
      <c r="AG648" s="378"/>
      <c r="AH648" s="378"/>
      <c r="AI648" s="378"/>
      <c r="AJ648" s="378"/>
      <c r="AK648" s="378"/>
      <c r="AL648" s="378"/>
      <c r="AM648" s="378"/>
      <c r="AN648" s="378"/>
      <c r="AO648" s="378"/>
      <c r="AP648" s="378"/>
    </row>
    <row r="649" spans="1:42" x14ac:dyDescent="0.2">
      <c r="A649" s="7">
        <v>1</v>
      </c>
      <c r="B649" s="415">
        <f t="shared" ref="B649:B658" si="360">SUM(C649:AP649)</f>
        <v>0</v>
      </c>
      <c r="C649" s="389">
        <f t="shared" ref="C649:AP649" si="361">IF(C$2&gt;analysis_period,0,IF(C$2=equip3_reserve_freq*$A649,equip3_reserve_cost*system_capacity*1000*(1+inflation_rate/100)^B$2,0))</f>
        <v>0</v>
      </c>
      <c r="D649" s="389">
        <f t="shared" si="361"/>
        <v>0</v>
      </c>
      <c r="E649" s="389">
        <f t="shared" si="361"/>
        <v>0</v>
      </c>
      <c r="F649" s="389">
        <f t="shared" si="361"/>
        <v>0</v>
      </c>
      <c r="G649" s="389">
        <f t="shared" si="361"/>
        <v>0</v>
      </c>
      <c r="H649" s="389">
        <f t="shared" si="361"/>
        <v>0</v>
      </c>
      <c r="I649" s="389">
        <f t="shared" si="361"/>
        <v>0</v>
      </c>
      <c r="J649" s="389">
        <f t="shared" si="361"/>
        <v>0</v>
      </c>
      <c r="K649" s="389">
        <f t="shared" si="361"/>
        <v>0</v>
      </c>
      <c r="L649" s="389">
        <f t="shared" si="361"/>
        <v>0</v>
      </c>
      <c r="M649" s="389">
        <f t="shared" si="361"/>
        <v>0</v>
      </c>
      <c r="N649" s="389">
        <f t="shared" si="361"/>
        <v>0</v>
      </c>
      <c r="O649" s="389">
        <f t="shared" si="361"/>
        <v>0</v>
      </c>
      <c r="P649" s="389">
        <f t="shared" si="361"/>
        <v>0</v>
      </c>
      <c r="Q649" s="389">
        <f t="shared" si="361"/>
        <v>0</v>
      </c>
      <c r="R649" s="389">
        <f t="shared" si="361"/>
        <v>0</v>
      </c>
      <c r="S649" s="389">
        <f t="shared" si="361"/>
        <v>0</v>
      </c>
      <c r="T649" s="389">
        <f t="shared" si="361"/>
        <v>0</v>
      </c>
      <c r="U649" s="389">
        <f t="shared" si="361"/>
        <v>0</v>
      </c>
      <c r="V649" s="389">
        <f t="shared" si="361"/>
        <v>0</v>
      </c>
      <c r="W649" s="389">
        <f t="shared" si="361"/>
        <v>0</v>
      </c>
      <c r="X649" s="389">
        <f t="shared" si="361"/>
        <v>0</v>
      </c>
      <c r="Y649" s="389">
        <f t="shared" si="361"/>
        <v>0</v>
      </c>
      <c r="Z649" s="389">
        <f t="shared" si="361"/>
        <v>0</v>
      </c>
      <c r="AA649" s="389">
        <f t="shared" si="361"/>
        <v>0</v>
      </c>
      <c r="AB649" s="389">
        <f t="shared" si="361"/>
        <v>0</v>
      </c>
      <c r="AC649" s="389">
        <f t="shared" si="361"/>
        <v>0</v>
      </c>
      <c r="AD649" s="389">
        <f t="shared" si="361"/>
        <v>0</v>
      </c>
      <c r="AE649" s="389">
        <f t="shared" si="361"/>
        <v>0</v>
      </c>
      <c r="AF649" s="389">
        <f t="shared" si="361"/>
        <v>0</v>
      </c>
      <c r="AG649" s="389">
        <f t="shared" si="361"/>
        <v>0</v>
      </c>
      <c r="AH649" s="389">
        <f t="shared" si="361"/>
        <v>0</v>
      </c>
      <c r="AI649" s="389">
        <f t="shared" si="361"/>
        <v>0</v>
      </c>
      <c r="AJ649" s="389">
        <f t="shared" si="361"/>
        <v>0</v>
      </c>
      <c r="AK649" s="389">
        <f t="shared" si="361"/>
        <v>0</v>
      </c>
      <c r="AL649" s="389">
        <f t="shared" si="361"/>
        <v>0</v>
      </c>
      <c r="AM649" s="389">
        <f t="shared" si="361"/>
        <v>0</v>
      </c>
      <c r="AN649" s="389">
        <f t="shared" si="361"/>
        <v>0</v>
      </c>
      <c r="AO649" s="389">
        <f t="shared" si="361"/>
        <v>0</v>
      </c>
      <c r="AP649" s="389">
        <f t="shared" si="361"/>
        <v>0</v>
      </c>
    </row>
    <row r="650" spans="1:42" x14ac:dyDescent="0.2">
      <c r="A650" s="7">
        <f>A649+1</f>
        <v>2</v>
      </c>
      <c r="B650" s="415">
        <f t="shared" si="360"/>
        <v>0</v>
      </c>
      <c r="C650" s="389">
        <f t="shared" ref="C650:AP650" si="362">IF(C$2&gt;analysis_period,0,IF(C$2=equip3_reserve_freq*$A650,equip3_reserve_cost*system_capacity*1000*(1+inflation_rate/100)^B$2,0))</f>
        <v>0</v>
      </c>
      <c r="D650" s="389">
        <f t="shared" si="362"/>
        <v>0</v>
      </c>
      <c r="E650" s="389">
        <f t="shared" si="362"/>
        <v>0</v>
      </c>
      <c r="F650" s="389">
        <f t="shared" si="362"/>
        <v>0</v>
      </c>
      <c r="G650" s="389">
        <f t="shared" si="362"/>
        <v>0</v>
      </c>
      <c r="H650" s="389">
        <f t="shared" si="362"/>
        <v>0</v>
      </c>
      <c r="I650" s="389">
        <f t="shared" si="362"/>
        <v>0</v>
      </c>
      <c r="J650" s="389">
        <f t="shared" si="362"/>
        <v>0</v>
      </c>
      <c r="K650" s="389">
        <f t="shared" si="362"/>
        <v>0</v>
      </c>
      <c r="L650" s="389">
        <f t="shared" si="362"/>
        <v>0</v>
      </c>
      <c r="M650" s="389">
        <f t="shared" si="362"/>
        <v>0</v>
      </c>
      <c r="N650" s="389">
        <f t="shared" si="362"/>
        <v>0</v>
      </c>
      <c r="O650" s="389">
        <f t="shared" si="362"/>
        <v>0</v>
      </c>
      <c r="P650" s="389">
        <f t="shared" si="362"/>
        <v>0</v>
      </c>
      <c r="Q650" s="389">
        <f t="shared" si="362"/>
        <v>0</v>
      </c>
      <c r="R650" s="389">
        <f t="shared" si="362"/>
        <v>0</v>
      </c>
      <c r="S650" s="389">
        <f t="shared" si="362"/>
        <v>0</v>
      </c>
      <c r="T650" s="389">
        <f t="shared" si="362"/>
        <v>0</v>
      </c>
      <c r="U650" s="389">
        <f t="shared" si="362"/>
        <v>0</v>
      </c>
      <c r="V650" s="389">
        <f t="shared" si="362"/>
        <v>0</v>
      </c>
      <c r="W650" s="389">
        <f t="shared" si="362"/>
        <v>0</v>
      </c>
      <c r="X650" s="389">
        <f t="shared" si="362"/>
        <v>0</v>
      </c>
      <c r="Y650" s="389">
        <f t="shared" si="362"/>
        <v>0</v>
      </c>
      <c r="Z650" s="389">
        <f t="shared" si="362"/>
        <v>0</v>
      </c>
      <c r="AA650" s="389">
        <f t="shared" si="362"/>
        <v>0</v>
      </c>
      <c r="AB650" s="389">
        <f t="shared" si="362"/>
        <v>0</v>
      </c>
      <c r="AC650" s="389">
        <f t="shared" si="362"/>
        <v>0</v>
      </c>
      <c r="AD650" s="389">
        <f t="shared" si="362"/>
        <v>0</v>
      </c>
      <c r="AE650" s="389">
        <f t="shared" si="362"/>
        <v>0</v>
      </c>
      <c r="AF650" s="389">
        <f t="shared" si="362"/>
        <v>0</v>
      </c>
      <c r="AG650" s="389">
        <f t="shared" si="362"/>
        <v>0</v>
      </c>
      <c r="AH650" s="389">
        <f t="shared" si="362"/>
        <v>0</v>
      </c>
      <c r="AI650" s="389">
        <f t="shared" si="362"/>
        <v>0</v>
      </c>
      <c r="AJ650" s="389">
        <f t="shared" si="362"/>
        <v>0</v>
      </c>
      <c r="AK650" s="389">
        <f t="shared" si="362"/>
        <v>0</v>
      </c>
      <c r="AL650" s="389">
        <f t="shared" si="362"/>
        <v>0</v>
      </c>
      <c r="AM650" s="389">
        <f t="shared" si="362"/>
        <v>0</v>
      </c>
      <c r="AN650" s="389">
        <f t="shared" si="362"/>
        <v>0</v>
      </c>
      <c r="AO650" s="389">
        <f t="shared" si="362"/>
        <v>0</v>
      </c>
      <c r="AP650" s="389">
        <f t="shared" si="362"/>
        <v>0</v>
      </c>
    </row>
    <row r="651" spans="1:42" x14ac:dyDescent="0.2">
      <c r="A651" s="7">
        <f t="shared" ref="A651:A658" si="363">A650+1</f>
        <v>3</v>
      </c>
      <c r="B651" s="415">
        <f t="shared" si="360"/>
        <v>0</v>
      </c>
      <c r="C651" s="389">
        <f t="shared" ref="C651:AP651" si="364">IF(C$2&gt;analysis_period,0,IF(C$2=equip3_reserve_freq*$A651,equip3_reserve_cost*system_capacity*1000*(1+inflation_rate/100)^B$2,0))</f>
        <v>0</v>
      </c>
      <c r="D651" s="389">
        <f t="shared" si="364"/>
        <v>0</v>
      </c>
      <c r="E651" s="389">
        <f t="shared" si="364"/>
        <v>0</v>
      </c>
      <c r="F651" s="389">
        <f t="shared" si="364"/>
        <v>0</v>
      </c>
      <c r="G651" s="389">
        <f t="shared" si="364"/>
        <v>0</v>
      </c>
      <c r="H651" s="389">
        <f t="shared" si="364"/>
        <v>0</v>
      </c>
      <c r="I651" s="389">
        <f t="shared" si="364"/>
        <v>0</v>
      </c>
      <c r="J651" s="389">
        <f t="shared" si="364"/>
        <v>0</v>
      </c>
      <c r="K651" s="389">
        <f t="shared" si="364"/>
        <v>0</v>
      </c>
      <c r="L651" s="389">
        <f t="shared" si="364"/>
        <v>0</v>
      </c>
      <c r="M651" s="389">
        <f t="shared" si="364"/>
        <v>0</v>
      </c>
      <c r="N651" s="389">
        <f t="shared" si="364"/>
        <v>0</v>
      </c>
      <c r="O651" s="389">
        <f t="shared" si="364"/>
        <v>0</v>
      </c>
      <c r="P651" s="389">
        <f t="shared" si="364"/>
        <v>0</v>
      </c>
      <c r="Q651" s="389">
        <f t="shared" si="364"/>
        <v>0</v>
      </c>
      <c r="R651" s="389">
        <f t="shared" si="364"/>
        <v>0</v>
      </c>
      <c r="S651" s="389">
        <f t="shared" si="364"/>
        <v>0</v>
      </c>
      <c r="T651" s="389">
        <f t="shared" si="364"/>
        <v>0</v>
      </c>
      <c r="U651" s="389">
        <f t="shared" si="364"/>
        <v>0</v>
      </c>
      <c r="V651" s="389">
        <f t="shared" si="364"/>
        <v>0</v>
      </c>
      <c r="W651" s="389">
        <f t="shared" si="364"/>
        <v>0</v>
      </c>
      <c r="X651" s="389">
        <f t="shared" si="364"/>
        <v>0</v>
      </c>
      <c r="Y651" s="389">
        <f t="shared" si="364"/>
        <v>0</v>
      </c>
      <c r="Z651" s="389">
        <f t="shared" si="364"/>
        <v>0</v>
      </c>
      <c r="AA651" s="389">
        <f t="shared" si="364"/>
        <v>0</v>
      </c>
      <c r="AB651" s="389">
        <f t="shared" si="364"/>
        <v>0</v>
      </c>
      <c r="AC651" s="389">
        <f t="shared" si="364"/>
        <v>0</v>
      </c>
      <c r="AD651" s="389">
        <f t="shared" si="364"/>
        <v>0</v>
      </c>
      <c r="AE651" s="389">
        <f t="shared" si="364"/>
        <v>0</v>
      </c>
      <c r="AF651" s="389">
        <f t="shared" si="364"/>
        <v>0</v>
      </c>
      <c r="AG651" s="389">
        <f t="shared" si="364"/>
        <v>0</v>
      </c>
      <c r="AH651" s="389">
        <f t="shared" si="364"/>
        <v>0</v>
      </c>
      <c r="AI651" s="389">
        <f t="shared" si="364"/>
        <v>0</v>
      </c>
      <c r="AJ651" s="389">
        <f t="shared" si="364"/>
        <v>0</v>
      </c>
      <c r="AK651" s="389">
        <f t="shared" si="364"/>
        <v>0</v>
      </c>
      <c r="AL651" s="389">
        <f t="shared" si="364"/>
        <v>0</v>
      </c>
      <c r="AM651" s="389">
        <f t="shared" si="364"/>
        <v>0</v>
      </c>
      <c r="AN651" s="389">
        <f t="shared" si="364"/>
        <v>0</v>
      </c>
      <c r="AO651" s="389">
        <f t="shared" si="364"/>
        <v>0</v>
      </c>
      <c r="AP651" s="389">
        <f t="shared" si="364"/>
        <v>0</v>
      </c>
    </row>
    <row r="652" spans="1:42" x14ac:dyDescent="0.2">
      <c r="A652" s="7">
        <f t="shared" si="363"/>
        <v>4</v>
      </c>
      <c r="B652" s="415">
        <f t="shared" si="360"/>
        <v>0</v>
      </c>
      <c r="C652" s="389">
        <f t="shared" ref="C652:AP652" si="365">IF(C$2&gt;analysis_period,0,IF(C$2=equip3_reserve_freq*$A652,equip3_reserve_cost*system_capacity*1000*(1+inflation_rate/100)^B$2,0))</f>
        <v>0</v>
      </c>
      <c r="D652" s="389">
        <f t="shared" si="365"/>
        <v>0</v>
      </c>
      <c r="E652" s="389">
        <f t="shared" si="365"/>
        <v>0</v>
      </c>
      <c r="F652" s="389">
        <f t="shared" si="365"/>
        <v>0</v>
      </c>
      <c r="G652" s="389">
        <f t="shared" si="365"/>
        <v>0</v>
      </c>
      <c r="H652" s="389">
        <f t="shared" si="365"/>
        <v>0</v>
      </c>
      <c r="I652" s="389">
        <f t="shared" si="365"/>
        <v>0</v>
      </c>
      <c r="J652" s="389">
        <f t="shared" si="365"/>
        <v>0</v>
      </c>
      <c r="K652" s="389">
        <f t="shared" si="365"/>
        <v>0</v>
      </c>
      <c r="L652" s="389">
        <f t="shared" si="365"/>
        <v>0</v>
      </c>
      <c r="M652" s="389">
        <f t="shared" si="365"/>
        <v>0</v>
      </c>
      <c r="N652" s="389">
        <f t="shared" si="365"/>
        <v>0</v>
      </c>
      <c r="O652" s="389">
        <f t="shared" si="365"/>
        <v>0</v>
      </c>
      <c r="P652" s="389">
        <f t="shared" si="365"/>
        <v>0</v>
      </c>
      <c r="Q652" s="389">
        <f t="shared" si="365"/>
        <v>0</v>
      </c>
      <c r="R652" s="389">
        <f t="shared" si="365"/>
        <v>0</v>
      </c>
      <c r="S652" s="389">
        <f t="shared" si="365"/>
        <v>0</v>
      </c>
      <c r="T652" s="389">
        <f t="shared" si="365"/>
        <v>0</v>
      </c>
      <c r="U652" s="389">
        <f t="shared" si="365"/>
        <v>0</v>
      </c>
      <c r="V652" s="389">
        <f t="shared" si="365"/>
        <v>0</v>
      </c>
      <c r="W652" s="389">
        <f t="shared" si="365"/>
        <v>0</v>
      </c>
      <c r="X652" s="389">
        <f t="shared" si="365"/>
        <v>0</v>
      </c>
      <c r="Y652" s="389">
        <f t="shared" si="365"/>
        <v>0</v>
      </c>
      <c r="Z652" s="389">
        <f t="shared" si="365"/>
        <v>0</v>
      </c>
      <c r="AA652" s="389">
        <f t="shared" si="365"/>
        <v>0</v>
      </c>
      <c r="AB652" s="389">
        <f t="shared" si="365"/>
        <v>0</v>
      </c>
      <c r="AC652" s="389">
        <f t="shared" si="365"/>
        <v>0</v>
      </c>
      <c r="AD652" s="389">
        <f t="shared" si="365"/>
        <v>0</v>
      </c>
      <c r="AE652" s="389">
        <f t="shared" si="365"/>
        <v>0</v>
      </c>
      <c r="AF652" s="389">
        <f t="shared" si="365"/>
        <v>0</v>
      </c>
      <c r="AG652" s="389">
        <f t="shared" si="365"/>
        <v>0</v>
      </c>
      <c r="AH652" s="389">
        <f t="shared" si="365"/>
        <v>0</v>
      </c>
      <c r="AI652" s="389">
        <f t="shared" si="365"/>
        <v>0</v>
      </c>
      <c r="AJ652" s="389">
        <f t="shared" si="365"/>
        <v>0</v>
      </c>
      <c r="AK652" s="389">
        <f t="shared" si="365"/>
        <v>0</v>
      </c>
      <c r="AL652" s="389">
        <f t="shared" si="365"/>
        <v>0</v>
      </c>
      <c r="AM652" s="389">
        <f t="shared" si="365"/>
        <v>0</v>
      </c>
      <c r="AN652" s="389">
        <f t="shared" si="365"/>
        <v>0</v>
      </c>
      <c r="AO652" s="389">
        <f t="shared" si="365"/>
        <v>0</v>
      </c>
      <c r="AP652" s="389">
        <f t="shared" si="365"/>
        <v>0</v>
      </c>
    </row>
    <row r="653" spans="1:42" x14ac:dyDescent="0.2">
      <c r="A653" s="7">
        <f t="shared" si="363"/>
        <v>5</v>
      </c>
      <c r="B653" s="415">
        <f t="shared" si="360"/>
        <v>0</v>
      </c>
      <c r="C653" s="389">
        <f t="shared" ref="C653:AP653" si="366">IF(C$2&gt;analysis_period,0,IF(C$2=equip3_reserve_freq*$A653,equip3_reserve_cost*system_capacity*1000*(1+inflation_rate/100)^B$2,0))</f>
        <v>0</v>
      </c>
      <c r="D653" s="389">
        <f t="shared" si="366"/>
        <v>0</v>
      </c>
      <c r="E653" s="389">
        <f t="shared" si="366"/>
        <v>0</v>
      </c>
      <c r="F653" s="389">
        <f t="shared" si="366"/>
        <v>0</v>
      </c>
      <c r="G653" s="389">
        <f t="shared" si="366"/>
        <v>0</v>
      </c>
      <c r="H653" s="389">
        <f t="shared" si="366"/>
        <v>0</v>
      </c>
      <c r="I653" s="389">
        <f t="shared" si="366"/>
        <v>0</v>
      </c>
      <c r="J653" s="389">
        <f t="shared" si="366"/>
        <v>0</v>
      </c>
      <c r="K653" s="389">
        <f t="shared" si="366"/>
        <v>0</v>
      </c>
      <c r="L653" s="389">
        <f t="shared" si="366"/>
        <v>0</v>
      </c>
      <c r="M653" s="389">
        <f t="shared" si="366"/>
        <v>0</v>
      </c>
      <c r="N653" s="389">
        <f t="shared" si="366"/>
        <v>0</v>
      </c>
      <c r="O653" s="389">
        <f t="shared" si="366"/>
        <v>0</v>
      </c>
      <c r="P653" s="389">
        <f t="shared" si="366"/>
        <v>0</v>
      </c>
      <c r="Q653" s="389">
        <f t="shared" si="366"/>
        <v>0</v>
      </c>
      <c r="R653" s="389">
        <f t="shared" si="366"/>
        <v>0</v>
      </c>
      <c r="S653" s="389">
        <f t="shared" si="366"/>
        <v>0</v>
      </c>
      <c r="T653" s="389">
        <f t="shared" si="366"/>
        <v>0</v>
      </c>
      <c r="U653" s="389">
        <f t="shared" si="366"/>
        <v>0</v>
      </c>
      <c r="V653" s="389">
        <f t="shared" si="366"/>
        <v>0</v>
      </c>
      <c r="W653" s="389">
        <f t="shared" si="366"/>
        <v>0</v>
      </c>
      <c r="X653" s="389">
        <f t="shared" si="366"/>
        <v>0</v>
      </c>
      <c r="Y653" s="389">
        <f t="shared" si="366"/>
        <v>0</v>
      </c>
      <c r="Z653" s="389">
        <f t="shared" si="366"/>
        <v>0</v>
      </c>
      <c r="AA653" s="389">
        <f t="shared" si="366"/>
        <v>0</v>
      </c>
      <c r="AB653" s="389">
        <f t="shared" si="366"/>
        <v>0</v>
      </c>
      <c r="AC653" s="389">
        <f t="shared" si="366"/>
        <v>0</v>
      </c>
      <c r="AD653" s="389">
        <f t="shared" si="366"/>
        <v>0</v>
      </c>
      <c r="AE653" s="389">
        <f t="shared" si="366"/>
        <v>0</v>
      </c>
      <c r="AF653" s="389">
        <f t="shared" si="366"/>
        <v>0</v>
      </c>
      <c r="AG653" s="389">
        <f t="shared" si="366"/>
        <v>0</v>
      </c>
      <c r="AH653" s="389">
        <f t="shared" si="366"/>
        <v>0</v>
      </c>
      <c r="AI653" s="389">
        <f t="shared" si="366"/>
        <v>0</v>
      </c>
      <c r="AJ653" s="389">
        <f t="shared" si="366"/>
        <v>0</v>
      </c>
      <c r="AK653" s="389">
        <f t="shared" si="366"/>
        <v>0</v>
      </c>
      <c r="AL653" s="389">
        <f t="shared" si="366"/>
        <v>0</v>
      </c>
      <c r="AM653" s="389">
        <f t="shared" si="366"/>
        <v>0</v>
      </c>
      <c r="AN653" s="389">
        <f t="shared" si="366"/>
        <v>0</v>
      </c>
      <c r="AO653" s="389">
        <f t="shared" si="366"/>
        <v>0</v>
      </c>
      <c r="AP653" s="389">
        <f t="shared" si="366"/>
        <v>0</v>
      </c>
    </row>
    <row r="654" spans="1:42" x14ac:dyDescent="0.2">
      <c r="A654" s="7">
        <f t="shared" si="363"/>
        <v>6</v>
      </c>
      <c r="B654" s="415">
        <f t="shared" si="360"/>
        <v>0</v>
      </c>
      <c r="C654" s="389">
        <f t="shared" ref="C654:AP654" si="367">IF(C$2&gt;analysis_period,0,IF(C$2=equip3_reserve_freq*$A654,equip3_reserve_cost*system_capacity*1000*(1+inflation_rate/100)^B$2,0))</f>
        <v>0</v>
      </c>
      <c r="D654" s="389">
        <f t="shared" si="367"/>
        <v>0</v>
      </c>
      <c r="E654" s="389">
        <f t="shared" si="367"/>
        <v>0</v>
      </c>
      <c r="F654" s="389">
        <f t="shared" si="367"/>
        <v>0</v>
      </c>
      <c r="G654" s="389">
        <f t="shared" si="367"/>
        <v>0</v>
      </c>
      <c r="H654" s="389">
        <f t="shared" si="367"/>
        <v>0</v>
      </c>
      <c r="I654" s="389">
        <f t="shared" si="367"/>
        <v>0</v>
      </c>
      <c r="J654" s="389">
        <f t="shared" si="367"/>
        <v>0</v>
      </c>
      <c r="K654" s="389">
        <f t="shared" si="367"/>
        <v>0</v>
      </c>
      <c r="L654" s="389">
        <f t="shared" si="367"/>
        <v>0</v>
      </c>
      <c r="M654" s="389">
        <f t="shared" si="367"/>
        <v>0</v>
      </c>
      <c r="N654" s="389">
        <f t="shared" si="367"/>
        <v>0</v>
      </c>
      <c r="O654" s="389">
        <f t="shared" si="367"/>
        <v>0</v>
      </c>
      <c r="P654" s="389">
        <f t="shared" si="367"/>
        <v>0</v>
      </c>
      <c r="Q654" s="389">
        <f t="shared" si="367"/>
        <v>0</v>
      </c>
      <c r="R654" s="389">
        <f t="shared" si="367"/>
        <v>0</v>
      </c>
      <c r="S654" s="389">
        <f t="shared" si="367"/>
        <v>0</v>
      </c>
      <c r="T654" s="389">
        <f t="shared" si="367"/>
        <v>0</v>
      </c>
      <c r="U654" s="389">
        <f t="shared" si="367"/>
        <v>0</v>
      </c>
      <c r="V654" s="389">
        <f t="shared" si="367"/>
        <v>0</v>
      </c>
      <c r="W654" s="389">
        <f t="shared" si="367"/>
        <v>0</v>
      </c>
      <c r="X654" s="389">
        <f t="shared" si="367"/>
        <v>0</v>
      </c>
      <c r="Y654" s="389">
        <f t="shared" si="367"/>
        <v>0</v>
      </c>
      <c r="Z654" s="389">
        <f t="shared" si="367"/>
        <v>0</v>
      </c>
      <c r="AA654" s="389">
        <f t="shared" si="367"/>
        <v>0</v>
      </c>
      <c r="AB654" s="389">
        <f t="shared" si="367"/>
        <v>0</v>
      </c>
      <c r="AC654" s="389">
        <f t="shared" si="367"/>
        <v>0</v>
      </c>
      <c r="AD654" s="389">
        <f t="shared" si="367"/>
        <v>0</v>
      </c>
      <c r="AE654" s="389">
        <f t="shared" si="367"/>
        <v>0</v>
      </c>
      <c r="AF654" s="389">
        <f t="shared" si="367"/>
        <v>0</v>
      </c>
      <c r="AG654" s="389">
        <f t="shared" si="367"/>
        <v>0</v>
      </c>
      <c r="AH654" s="389">
        <f t="shared" si="367"/>
        <v>0</v>
      </c>
      <c r="AI654" s="389">
        <f t="shared" si="367"/>
        <v>0</v>
      </c>
      <c r="AJ654" s="389">
        <f t="shared" si="367"/>
        <v>0</v>
      </c>
      <c r="AK654" s="389">
        <f t="shared" si="367"/>
        <v>0</v>
      </c>
      <c r="AL654" s="389">
        <f t="shared" si="367"/>
        <v>0</v>
      </c>
      <c r="AM654" s="389">
        <f t="shared" si="367"/>
        <v>0</v>
      </c>
      <c r="AN654" s="389">
        <f t="shared" si="367"/>
        <v>0</v>
      </c>
      <c r="AO654" s="389">
        <f t="shared" si="367"/>
        <v>0</v>
      </c>
      <c r="AP654" s="389">
        <f t="shared" si="367"/>
        <v>0</v>
      </c>
    </row>
    <row r="655" spans="1:42" x14ac:dyDescent="0.2">
      <c r="A655" s="7">
        <f t="shared" si="363"/>
        <v>7</v>
      </c>
      <c r="B655" s="415">
        <f t="shared" si="360"/>
        <v>0</v>
      </c>
      <c r="C655" s="389">
        <f t="shared" ref="C655:AP655" si="368">IF(C$2&gt;analysis_period,0,IF(C$2=equip3_reserve_freq*$A655,equip3_reserve_cost*system_capacity*1000*(1+inflation_rate/100)^B$2,0))</f>
        <v>0</v>
      </c>
      <c r="D655" s="389">
        <f t="shared" si="368"/>
        <v>0</v>
      </c>
      <c r="E655" s="389">
        <f t="shared" si="368"/>
        <v>0</v>
      </c>
      <c r="F655" s="389">
        <f t="shared" si="368"/>
        <v>0</v>
      </c>
      <c r="G655" s="389">
        <f t="shared" si="368"/>
        <v>0</v>
      </c>
      <c r="H655" s="389">
        <f t="shared" si="368"/>
        <v>0</v>
      </c>
      <c r="I655" s="389">
        <f t="shared" si="368"/>
        <v>0</v>
      </c>
      <c r="J655" s="389">
        <f t="shared" si="368"/>
        <v>0</v>
      </c>
      <c r="K655" s="389">
        <f t="shared" si="368"/>
        <v>0</v>
      </c>
      <c r="L655" s="389">
        <f t="shared" si="368"/>
        <v>0</v>
      </c>
      <c r="M655" s="389">
        <f t="shared" si="368"/>
        <v>0</v>
      </c>
      <c r="N655" s="389">
        <f t="shared" si="368"/>
        <v>0</v>
      </c>
      <c r="O655" s="389">
        <f t="shared" si="368"/>
        <v>0</v>
      </c>
      <c r="P655" s="389">
        <f t="shared" si="368"/>
        <v>0</v>
      </c>
      <c r="Q655" s="389">
        <f t="shared" si="368"/>
        <v>0</v>
      </c>
      <c r="R655" s="389">
        <f t="shared" si="368"/>
        <v>0</v>
      </c>
      <c r="S655" s="389">
        <f t="shared" si="368"/>
        <v>0</v>
      </c>
      <c r="T655" s="389">
        <f t="shared" si="368"/>
        <v>0</v>
      </c>
      <c r="U655" s="389">
        <f t="shared" si="368"/>
        <v>0</v>
      </c>
      <c r="V655" s="389">
        <f t="shared" si="368"/>
        <v>0</v>
      </c>
      <c r="W655" s="389">
        <f t="shared" si="368"/>
        <v>0</v>
      </c>
      <c r="X655" s="389">
        <f t="shared" si="368"/>
        <v>0</v>
      </c>
      <c r="Y655" s="389">
        <f t="shared" si="368"/>
        <v>0</v>
      </c>
      <c r="Z655" s="389">
        <f t="shared" si="368"/>
        <v>0</v>
      </c>
      <c r="AA655" s="389">
        <f t="shared" si="368"/>
        <v>0</v>
      </c>
      <c r="AB655" s="389">
        <f t="shared" si="368"/>
        <v>0</v>
      </c>
      <c r="AC655" s="389">
        <f t="shared" si="368"/>
        <v>0</v>
      </c>
      <c r="AD655" s="389">
        <f t="shared" si="368"/>
        <v>0</v>
      </c>
      <c r="AE655" s="389">
        <f t="shared" si="368"/>
        <v>0</v>
      </c>
      <c r="AF655" s="389">
        <f t="shared" si="368"/>
        <v>0</v>
      </c>
      <c r="AG655" s="389">
        <f t="shared" si="368"/>
        <v>0</v>
      </c>
      <c r="AH655" s="389">
        <f t="shared" si="368"/>
        <v>0</v>
      </c>
      <c r="AI655" s="389">
        <f t="shared" si="368"/>
        <v>0</v>
      </c>
      <c r="AJ655" s="389">
        <f t="shared" si="368"/>
        <v>0</v>
      </c>
      <c r="AK655" s="389">
        <f t="shared" si="368"/>
        <v>0</v>
      </c>
      <c r="AL655" s="389">
        <f t="shared" si="368"/>
        <v>0</v>
      </c>
      <c r="AM655" s="389">
        <f t="shared" si="368"/>
        <v>0</v>
      </c>
      <c r="AN655" s="389">
        <f t="shared" si="368"/>
        <v>0</v>
      </c>
      <c r="AO655" s="389">
        <f t="shared" si="368"/>
        <v>0</v>
      </c>
      <c r="AP655" s="389">
        <f t="shared" si="368"/>
        <v>0</v>
      </c>
    </row>
    <row r="656" spans="1:42" x14ac:dyDescent="0.2">
      <c r="A656" s="7">
        <f t="shared" si="363"/>
        <v>8</v>
      </c>
      <c r="B656" s="415">
        <f t="shared" si="360"/>
        <v>0</v>
      </c>
      <c r="C656" s="389">
        <f t="shared" ref="C656:AP656" si="369">IF(C$2&gt;analysis_period,0,IF(C$2=equip3_reserve_freq*$A656,equip3_reserve_cost*system_capacity*1000*(1+inflation_rate/100)^B$2,0))</f>
        <v>0</v>
      </c>
      <c r="D656" s="389">
        <f t="shared" si="369"/>
        <v>0</v>
      </c>
      <c r="E656" s="389">
        <f t="shared" si="369"/>
        <v>0</v>
      </c>
      <c r="F656" s="389">
        <f t="shared" si="369"/>
        <v>0</v>
      </c>
      <c r="G656" s="389">
        <f t="shared" si="369"/>
        <v>0</v>
      </c>
      <c r="H656" s="389">
        <f t="shared" si="369"/>
        <v>0</v>
      </c>
      <c r="I656" s="389">
        <f t="shared" si="369"/>
        <v>0</v>
      </c>
      <c r="J656" s="389">
        <f t="shared" si="369"/>
        <v>0</v>
      </c>
      <c r="K656" s="389">
        <f t="shared" si="369"/>
        <v>0</v>
      </c>
      <c r="L656" s="389">
        <f t="shared" si="369"/>
        <v>0</v>
      </c>
      <c r="M656" s="389">
        <f t="shared" si="369"/>
        <v>0</v>
      </c>
      <c r="N656" s="389">
        <f t="shared" si="369"/>
        <v>0</v>
      </c>
      <c r="O656" s="389">
        <f t="shared" si="369"/>
        <v>0</v>
      </c>
      <c r="P656" s="389">
        <f t="shared" si="369"/>
        <v>0</v>
      </c>
      <c r="Q656" s="389">
        <f t="shared" si="369"/>
        <v>0</v>
      </c>
      <c r="R656" s="389">
        <f t="shared" si="369"/>
        <v>0</v>
      </c>
      <c r="S656" s="389">
        <f t="shared" si="369"/>
        <v>0</v>
      </c>
      <c r="T656" s="389">
        <f t="shared" si="369"/>
        <v>0</v>
      </c>
      <c r="U656" s="389">
        <f t="shared" si="369"/>
        <v>0</v>
      </c>
      <c r="V656" s="389">
        <f t="shared" si="369"/>
        <v>0</v>
      </c>
      <c r="W656" s="389">
        <f t="shared" si="369"/>
        <v>0</v>
      </c>
      <c r="X656" s="389">
        <f t="shared" si="369"/>
        <v>0</v>
      </c>
      <c r="Y656" s="389">
        <f t="shared" si="369"/>
        <v>0</v>
      </c>
      <c r="Z656" s="389">
        <f t="shared" si="369"/>
        <v>0</v>
      </c>
      <c r="AA656" s="389">
        <f t="shared" si="369"/>
        <v>0</v>
      </c>
      <c r="AB656" s="389">
        <f t="shared" si="369"/>
        <v>0</v>
      </c>
      <c r="AC656" s="389">
        <f t="shared" si="369"/>
        <v>0</v>
      </c>
      <c r="AD656" s="389">
        <f t="shared" si="369"/>
        <v>0</v>
      </c>
      <c r="AE656" s="389">
        <f t="shared" si="369"/>
        <v>0</v>
      </c>
      <c r="AF656" s="389">
        <f t="shared" si="369"/>
        <v>0</v>
      </c>
      <c r="AG656" s="389">
        <f t="shared" si="369"/>
        <v>0</v>
      </c>
      <c r="AH656" s="389">
        <f t="shared" si="369"/>
        <v>0</v>
      </c>
      <c r="AI656" s="389">
        <f t="shared" si="369"/>
        <v>0</v>
      </c>
      <c r="AJ656" s="389">
        <f t="shared" si="369"/>
        <v>0</v>
      </c>
      <c r="AK656" s="389">
        <f t="shared" si="369"/>
        <v>0</v>
      </c>
      <c r="AL656" s="389">
        <f t="shared" si="369"/>
        <v>0</v>
      </c>
      <c r="AM656" s="389">
        <f t="shared" si="369"/>
        <v>0</v>
      </c>
      <c r="AN656" s="389">
        <f t="shared" si="369"/>
        <v>0</v>
      </c>
      <c r="AO656" s="389">
        <f t="shared" si="369"/>
        <v>0</v>
      </c>
      <c r="AP656" s="389">
        <f t="shared" si="369"/>
        <v>0</v>
      </c>
    </row>
    <row r="657" spans="1:42" x14ac:dyDescent="0.2">
      <c r="A657" s="7">
        <f>A656+1</f>
        <v>9</v>
      </c>
      <c r="B657" s="415">
        <f t="shared" si="360"/>
        <v>0</v>
      </c>
      <c r="C657" s="389">
        <f t="shared" ref="C657:AP657" si="370">IF(C$2&gt;analysis_period,0,IF(C$2=equip3_reserve_freq*$A657,equip3_reserve_cost*system_capacity*1000*(1+inflation_rate/100)^B$2,0))</f>
        <v>0</v>
      </c>
      <c r="D657" s="389">
        <f t="shared" si="370"/>
        <v>0</v>
      </c>
      <c r="E657" s="389">
        <f t="shared" si="370"/>
        <v>0</v>
      </c>
      <c r="F657" s="389">
        <f t="shared" si="370"/>
        <v>0</v>
      </c>
      <c r="G657" s="389">
        <f t="shared" si="370"/>
        <v>0</v>
      </c>
      <c r="H657" s="389">
        <f t="shared" si="370"/>
        <v>0</v>
      </c>
      <c r="I657" s="389">
        <f t="shared" si="370"/>
        <v>0</v>
      </c>
      <c r="J657" s="389">
        <f t="shared" si="370"/>
        <v>0</v>
      </c>
      <c r="K657" s="389">
        <f t="shared" si="370"/>
        <v>0</v>
      </c>
      <c r="L657" s="389">
        <f t="shared" si="370"/>
        <v>0</v>
      </c>
      <c r="M657" s="389">
        <f t="shared" si="370"/>
        <v>0</v>
      </c>
      <c r="N657" s="389">
        <f t="shared" si="370"/>
        <v>0</v>
      </c>
      <c r="O657" s="389">
        <f t="shared" si="370"/>
        <v>0</v>
      </c>
      <c r="P657" s="389">
        <f t="shared" si="370"/>
        <v>0</v>
      </c>
      <c r="Q657" s="389">
        <f t="shared" si="370"/>
        <v>0</v>
      </c>
      <c r="R657" s="389">
        <f t="shared" si="370"/>
        <v>0</v>
      </c>
      <c r="S657" s="389">
        <f t="shared" si="370"/>
        <v>0</v>
      </c>
      <c r="T657" s="389">
        <f t="shared" si="370"/>
        <v>0</v>
      </c>
      <c r="U657" s="389">
        <f t="shared" si="370"/>
        <v>0</v>
      </c>
      <c r="V657" s="389">
        <f t="shared" si="370"/>
        <v>0</v>
      </c>
      <c r="W657" s="389">
        <f t="shared" si="370"/>
        <v>0</v>
      </c>
      <c r="X657" s="389">
        <f t="shared" si="370"/>
        <v>0</v>
      </c>
      <c r="Y657" s="389">
        <f t="shared" si="370"/>
        <v>0</v>
      </c>
      <c r="Z657" s="389">
        <f t="shared" si="370"/>
        <v>0</v>
      </c>
      <c r="AA657" s="389">
        <f t="shared" si="370"/>
        <v>0</v>
      </c>
      <c r="AB657" s="389">
        <f t="shared" si="370"/>
        <v>0</v>
      </c>
      <c r="AC657" s="389">
        <f t="shared" si="370"/>
        <v>0</v>
      </c>
      <c r="AD657" s="389">
        <f t="shared" si="370"/>
        <v>0</v>
      </c>
      <c r="AE657" s="389">
        <f t="shared" si="370"/>
        <v>0</v>
      </c>
      <c r="AF657" s="389">
        <f t="shared" si="370"/>
        <v>0</v>
      </c>
      <c r="AG657" s="389">
        <f t="shared" si="370"/>
        <v>0</v>
      </c>
      <c r="AH657" s="389">
        <f t="shared" si="370"/>
        <v>0</v>
      </c>
      <c r="AI657" s="389">
        <f t="shared" si="370"/>
        <v>0</v>
      </c>
      <c r="AJ657" s="389">
        <f t="shared" si="370"/>
        <v>0</v>
      </c>
      <c r="AK657" s="389">
        <f t="shared" si="370"/>
        <v>0</v>
      </c>
      <c r="AL657" s="389">
        <f t="shared" si="370"/>
        <v>0</v>
      </c>
      <c r="AM657" s="389">
        <f t="shared" si="370"/>
        <v>0</v>
      </c>
      <c r="AN657" s="389">
        <f t="shared" si="370"/>
        <v>0</v>
      </c>
      <c r="AO657" s="389">
        <f t="shared" si="370"/>
        <v>0</v>
      </c>
      <c r="AP657" s="389">
        <f t="shared" si="370"/>
        <v>0</v>
      </c>
    </row>
    <row r="658" spans="1:42" x14ac:dyDescent="0.2">
      <c r="A658" s="7">
        <f t="shared" si="363"/>
        <v>10</v>
      </c>
      <c r="B658" s="415">
        <f t="shared" si="360"/>
        <v>0</v>
      </c>
      <c r="C658" s="389">
        <f t="shared" ref="C658:AP658" si="371">IF(C$2&gt;analysis_period,0,IF(C$2=equip3_reserve_freq*$A658,equip3_reserve_cost*system_capacity*1000*(1+inflation_rate/100)^B$2,0))</f>
        <v>0</v>
      </c>
      <c r="D658" s="389">
        <f t="shared" si="371"/>
        <v>0</v>
      </c>
      <c r="E658" s="389">
        <f t="shared" si="371"/>
        <v>0</v>
      </c>
      <c r="F658" s="389">
        <f t="shared" si="371"/>
        <v>0</v>
      </c>
      <c r="G658" s="389">
        <f t="shared" si="371"/>
        <v>0</v>
      </c>
      <c r="H658" s="389">
        <f t="shared" si="371"/>
        <v>0</v>
      </c>
      <c r="I658" s="389">
        <f t="shared" si="371"/>
        <v>0</v>
      </c>
      <c r="J658" s="389">
        <f t="shared" si="371"/>
        <v>0</v>
      </c>
      <c r="K658" s="389">
        <f t="shared" si="371"/>
        <v>0</v>
      </c>
      <c r="L658" s="389">
        <f t="shared" si="371"/>
        <v>0</v>
      </c>
      <c r="M658" s="389">
        <f t="shared" si="371"/>
        <v>0</v>
      </c>
      <c r="N658" s="389">
        <f t="shared" si="371"/>
        <v>0</v>
      </c>
      <c r="O658" s="389">
        <f t="shared" si="371"/>
        <v>0</v>
      </c>
      <c r="P658" s="389">
        <f t="shared" si="371"/>
        <v>0</v>
      </c>
      <c r="Q658" s="389">
        <f t="shared" si="371"/>
        <v>0</v>
      </c>
      <c r="R658" s="389">
        <f t="shared" si="371"/>
        <v>0</v>
      </c>
      <c r="S658" s="389">
        <f t="shared" si="371"/>
        <v>0</v>
      </c>
      <c r="T658" s="389">
        <f t="shared" si="371"/>
        <v>0</v>
      </c>
      <c r="U658" s="389">
        <f t="shared" si="371"/>
        <v>0</v>
      </c>
      <c r="V658" s="389">
        <f t="shared" si="371"/>
        <v>0</v>
      </c>
      <c r="W658" s="389">
        <f t="shared" si="371"/>
        <v>0</v>
      </c>
      <c r="X658" s="389">
        <f t="shared" si="371"/>
        <v>0</v>
      </c>
      <c r="Y658" s="389">
        <f t="shared" si="371"/>
        <v>0</v>
      </c>
      <c r="Z658" s="389">
        <f t="shared" si="371"/>
        <v>0</v>
      </c>
      <c r="AA658" s="389">
        <f t="shared" si="371"/>
        <v>0</v>
      </c>
      <c r="AB658" s="389">
        <f t="shared" si="371"/>
        <v>0</v>
      </c>
      <c r="AC658" s="389">
        <f t="shared" si="371"/>
        <v>0</v>
      </c>
      <c r="AD658" s="389">
        <f t="shared" si="371"/>
        <v>0</v>
      </c>
      <c r="AE658" s="389">
        <f t="shared" si="371"/>
        <v>0</v>
      </c>
      <c r="AF658" s="389">
        <f t="shared" si="371"/>
        <v>0</v>
      </c>
      <c r="AG658" s="389">
        <f t="shared" si="371"/>
        <v>0</v>
      </c>
      <c r="AH658" s="389">
        <f t="shared" si="371"/>
        <v>0</v>
      </c>
      <c r="AI658" s="389">
        <f t="shared" si="371"/>
        <v>0</v>
      </c>
      <c r="AJ658" s="389">
        <f t="shared" si="371"/>
        <v>0</v>
      </c>
      <c r="AK658" s="389">
        <f t="shared" si="371"/>
        <v>0</v>
      </c>
      <c r="AL658" s="389">
        <f t="shared" si="371"/>
        <v>0</v>
      </c>
      <c r="AM658" s="389">
        <f t="shared" si="371"/>
        <v>0</v>
      </c>
      <c r="AN658" s="389">
        <f t="shared" si="371"/>
        <v>0</v>
      </c>
      <c r="AO658" s="389">
        <f t="shared" si="371"/>
        <v>0</v>
      </c>
      <c r="AP658" s="389">
        <f t="shared" si="371"/>
        <v>0</v>
      </c>
    </row>
    <row r="659" spans="1:42" x14ac:dyDescent="0.2">
      <c r="A659" s="47" t="s">
        <v>21</v>
      </c>
      <c r="B659" s="36"/>
      <c r="C659" s="393">
        <f>SUM(C649:C658)</f>
        <v>0</v>
      </c>
      <c r="D659" s="393">
        <f t="shared" ref="D659:AP659" si="372">SUM(D649:D658)</f>
        <v>0</v>
      </c>
      <c r="E659" s="393">
        <f t="shared" si="372"/>
        <v>0</v>
      </c>
      <c r="F659" s="393">
        <f t="shared" si="372"/>
        <v>0</v>
      </c>
      <c r="G659" s="393">
        <f t="shared" si="372"/>
        <v>0</v>
      </c>
      <c r="H659" s="393">
        <f t="shared" si="372"/>
        <v>0</v>
      </c>
      <c r="I659" s="393">
        <f t="shared" si="372"/>
        <v>0</v>
      </c>
      <c r="J659" s="393">
        <f t="shared" si="372"/>
        <v>0</v>
      </c>
      <c r="K659" s="393">
        <f t="shared" si="372"/>
        <v>0</v>
      </c>
      <c r="L659" s="393">
        <f t="shared" si="372"/>
        <v>0</v>
      </c>
      <c r="M659" s="393">
        <f t="shared" si="372"/>
        <v>0</v>
      </c>
      <c r="N659" s="393">
        <f t="shared" si="372"/>
        <v>0</v>
      </c>
      <c r="O659" s="393">
        <f t="shared" si="372"/>
        <v>0</v>
      </c>
      <c r="P659" s="393">
        <f t="shared" si="372"/>
        <v>0</v>
      </c>
      <c r="Q659" s="393">
        <f t="shared" si="372"/>
        <v>0</v>
      </c>
      <c r="R659" s="393">
        <f t="shared" si="372"/>
        <v>0</v>
      </c>
      <c r="S659" s="393">
        <f t="shared" si="372"/>
        <v>0</v>
      </c>
      <c r="T659" s="393">
        <f t="shared" si="372"/>
        <v>0</v>
      </c>
      <c r="U659" s="393">
        <f t="shared" si="372"/>
        <v>0</v>
      </c>
      <c r="V659" s="393">
        <f t="shared" si="372"/>
        <v>0</v>
      </c>
      <c r="W659" s="393">
        <f t="shared" si="372"/>
        <v>0</v>
      </c>
      <c r="X659" s="393">
        <f t="shared" si="372"/>
        <v>0</v>
      </c>
      <c r="Y659" s="393">
        <f t="shared" si="372"/>
        <v>0</v>
      </c>
      <c r="Z659" s="393">
        <f t="shared" si="372"/>
        <v>0</v>
      </c>
      <c r="AA659" s="393">
        <f t="shared" si="372"/>
        <v>0</v>
      </c>
      <c r="AB659" s="393">
        <f t="shared" si="372"/>
        <v>0</v>
      </c>
      <c r="AC659" s="393">
        <f t="shared" si="372"/>
        <v>0</v>
      </c>
      <c r="AD659" s="393">
        <f t="shared" si="372"/>
        <v>0</v>
      </c>
      <c r="AE659" s="393">
        <f t="shared" si="372"/>
        <v>0</v>
      </c>
      <c r="AF659" s="393">
        <f t="shared" si="372"/>
        <v>0</v>
      </c>
      <c r="AG659" s="393">
        <f t="shared" si="372"/>
        <v>0</v>
      </c>
      <c r="AH659" s="393">
        <f t="shared" si="372"/>
        <v>0</v>
      </c>
      <c r="AI659" s="393">
        <f t="shared" si="372"/>
        <v>0</v>
      </c>
      <c r="AJ659" s="393">
        <f t="shared" si="372"/>
        <v>0</v>
      </c>
      <c r="AK659" s="393">
        <f t="shared" si="372"/>
        <v>0</v>
      </c>
      <c r="AL659" s="393">
        <f t="shared" si="372"/>
        <v>0</v>
      </c>
      <c r="AM659" s="393">
        <f t="shared" si="372"/>
        <v>0</v>
      </c>
      <c r="AN659" s="393">
        <f t="shared" si="372"/>
        <v>0</v>
      </c>
      <c r="AO659" s="393">
        <f t="shared" si="372"/>
        <v>0</v>
      </c>
      <c r="AP659" s="393">
        <f t="shared" si="372"/>
        <v>0</v>
      </c>
    </row>
    <row r="660" spans="1:42" s="194" customFormat="1" x14ac:dyDescent="0.2">
      <c r="A660" s="7" t="s">
        <v>114</v>
      </c>
      <c r="G660" s="378"/>
      <c r="H660" s="378"/>
      <c r="I660" s="378"/>
      <c r="J660" s="378"/>
      <c r="K660" s="378"/>
      <c r="L660" s="378"/>
      <c r="M660" s="378"/>
      <c r="N660" s="378"/>
      <c r="O660" s="378"/>
      <c r="P660" s="378"/>
      <c r="Q660" s="378"/>
      <c r="R660" s="378"/>
      <c r="S660" s="378"/>
      <c r="T660" s="378"/>
      <c r="U660" s="378"/>
      <c r="V660" s="378"/>
      <c r="W660" s="378"/>
      <c r="X660" s="378"/>
      <c r="Y660" s="378"/>
      <c r="Z660" s="378"/>
      <c r="AA660" s="378"/>
      <c r="AB660" s="378"/>
      <c r="AC660" s="378"/>
      <c r="AD660" s="378"/>
      <c r="AE660" s="378"/>
      <c r="AF660" s="378"/>
      <c r="AG660" s="378"/>
      <c r="AH660" s="378"/>
      <c r="AI660" s="378"/>
      <c r="AJ660" s="378"/>
      <c r="AK660" s="378"/>
      <c r="AL660" s="378"/>
      <c r="AM660" s="378"/>
      <c r="AN660" s="378"/>
      <c r="AO660" s="378"/>
      <c r="AP660" s="378"/>
    </row>
    <row r="661" spans="1:42" x14ac:dyDescent="0.2">
      <c r="A661" s="7">
        <v>1</v>
      </c>
      <c r="B661" s="415">
        <f t="shared" ref="B661:B670" si="373">SUM(C661:AP661)</f>
        <v>0</v>
      </c>
      <c r="C661" s="389">
        <f t="shared" ref="C661:AP661" si="374">IF(C$2&lt;=equip3_reserve_freq*$A$649,$B$649/(equip3_reserve_freq),0)</f>
        <v>0</v>
      </c>
      <c r="D661" s="389">
        <f t="shared" si="374"/>
        <v>0</v>
      </c>
      <c r="E661" s="389">
        <f t="shared" si="374"/>
        <v>0</v>
      </c>
      <c r="F661" s="389">
        <f t="shared" si="374"/>
        <v>0</v>
      </c>
      <c r="G661" s="389">
        <f t="shared" si="374"/>
        <v>0</v>
      </c>
      <c r="H661" s="389">
        <f t="shared" si="374"/>
        <v>0</v>
      </c>
      <c r="I661" s="389">
        <f t="shared" si="374"/>
        <v>0</v>
      </c>
      <c r="J661" s="389">
        <f t="shared" si="374"/>
        <v>0</v>
      </c>
      <c r="K661" s="389">
        <f t="shared" si="374"/>
        <v>0</v>
      </c>
      <c r="L661" s="389">
        <f t="shared" si="374"/>
        <v>0</v>
      </c>
      <c r="M661" s="389">
        <f t="shared" si="374"/>
        <v>0</v>
      </c>
      <c r="N661" s="389">
        <f t="shared" si="374"/>
        <v>0</v>
      </c>
      <c r="O661" s="389">
        <f t="shared" si="374"/>
        <v>0</v>
      </c>
      <c r="P661" s="389">
        <f t="shared" si="374"/>
        <v>0</v>
      </c>
      <c r="Q661" s="389">
        <f t="shared" si="374"/>
        <v>0</v>
      </c>
      <c r="R661" s="389">
        <f t="shared" si="374"/>
        <v>0</v>
      </c>
      <c r="S661" s="389">
        <f t="shared" si="374"/>
        <v>0</v>
      </c>
      <c r="T661" s="389">
        <f t="shared" si="374"/>
        <v>0</v>
      </c>
      <c r="U661" s="389">
        <f t="shared" si="374"/>
        <v>0</v>
      </c>
      <c r="V661" s="389">
        <f t="shared" si="374"/>
        <v>0</v>
      </c>
      <c r="W661" s="389">
        <f t="shared" si="374"/>
        <v>0</v>
      </c>
      <c r="X661" s="389">
        <f t="shared" si="374"/>
        <v>0</v>
      </c>
      <c r="Y661" s="389">
        <f t="shared" si="374"/>
        <v>0</v>
      </c>
      <c r="Z661" s="389">
        <f t="shared" si="374"/>
        <v>0</v>
      </c>
      <c r="AA661" s="389">
        <f t="shared" si="374"/>
        <v>0</v>
      </c>
      <c r="AB661" s="389">
        <f t="shared" si="374"/>
        <v>0</v>
      </c>
      <c r="AC661" s="389">
        <f t="shared" si="374"/>
        <v>0</v>
      </c>
      <c r="AD661" s="389">
        <f t="shared" si="374"/>
        <v>0</v>
      </c>
      <c r="AE661" s="389">
        <f t="shared" si="374"/>
        <v>0</v>
      </c>
      <c r="AF661" s="389">
        <f t="shared" si="374"/>
        <v>0</v>
      </c>
      <c r="AG661" s="389">
        <f t="shared" si="374"/>
        <v>0</v>
      </c>
      <c r="AH661" s="389">
        <f t="shared" si="374"/>
        <v>0</v>
      </c>
      <c r="AI661" s="389">
        <f t="shared" si="374"/>
        <v>0</v>
      </c>
      <c r="AJ661" s="389">
        <f t="shared" si="374"/>
        <v>0</v>
      </c>
      <c r="AK661" s="389">
        <f t="shared" si="374"/>
        <v>0</v>
      </c>
      <c r="AL661" s="389">
        <f t="shared" si="374"/>
        <v>0</v>
      </c>
      <c r="AM661" s="389">
        <f t="shared" si="374"/>
        <v>0</v>
      </c>
      <c r="AN661" s="389">
        <f t="shared" si="374"/>
        <v>0</v>
      </c>
      <c r="AO661" s="389">
        <f t="shared" si="374"/>
        <v>0</v>
      </c>
      <c r="AP661" s="389">
        <f t="shared" si="374"/>
        <v>0</v>
      </c>
    </row>
    <row r="662" spans="1:42" x14ac:dyDescent="0.2">
      <c r="A662" s="7">
        <f>A661+1</f>
        <v>2</v>
      </c>
      <c r="B662" s="415">
        <f t="shared" si="373"/>
        <v>0</v>
      </c>
      <c r="C662" s="389">
        <f t="shared" ref="C662:AP668" si="375">IF(AND(C$2&gt;equip3_reserve_freq*$A649,C$2&lt;=equip3_reserve_freq*$A650),$B650/(equip3_reserve_freq),0)</f>
        <v>0</v>
      </c>
      <c r="D662" s="389">
        <f t="shared" si="375"/>
        <v>0</v>
      </c>
      <c r="E662" s="389">
        <f t="shared" si="375"/>
        <v>0</v>
      </c>
      <c r="F662" s="389">
        <f t="shared" si="375"/>
        <v>0</v>
      </c>
      <c r="G662" s="389">
        <f t="shared" si="375"/>
        <v>0</v>
      </c>
      <c r="H662" s="389">
        <f t="shared" si="375"/>
        <v>0</v>
      </c>
      <c r="I662" s="389">
        <f t="shared" si="375"/>
        <v>0</v>
      </c>
      <c r="J662" s="389">
        <f t="shared" si="375"/>
        <v>0</v>
      </c>
      <c r="K662" s="389">
        <f t="shared" si="375"/>
        <v>0</v>
      </c>
      <c r="L662" s="389">
        <f t="shared" si="375"/>
        <v>0</v>
      </c>
      <c r="M662" s="389">
        <f t="shared" si="375"/>
        <v>0</v>
      </c>
      <c r="N662" s="389">
        <f t="shared" si="375"/>
        <v>0</v>
      </c>
      <c r="O662" s="389">
        <f t="shared" si="375"/>
        <v>0</v>
      </c>
      <c r="P662" s="389">
        <f t="shared" si="375"/>
        <v>0</v>
      </c>
      <c r="Q662" s="389">
        <f t="shared" si="375"/>
        <v>0</v>
      </c>
      <c r="R662" s="389">
        <f t="shared" si="375"/>
        <v>0</v>
      </c>
      <c r="S662" s="389">
        <f t="shared" si="375"/>
        <v>0</v>
      </c>
      <c r="T662" s="389">
        <f t="shared" si="375"/>
        <v>0</v>
      </c>
      <c r="U662" s="389">
        <f t="shared" si="375"/>
        <v>0</v>
      </c>
      <c r="V662" s="389">
        <f t="shared" si="375"/>
        <v>0</v>
      </c>
      <c r="W662" s="389">
        <f t="shared" si="375"/>
        <v>0</v>
      </c>
      <c r="X662" s="389">
        <f t="shared" si="375"/>
        <v>0</v>
      </c>
      <c r="Y662" s="389">
        <f t="shared" si="375"/>
        <v>0</v>
      </c>
      <c r="Z662" s="389">
        <f t="shared" si="375"/>
        <v>0</v>
      </c>
      <c r="AA662" s="389">
        <f t="shared" si="375"/>
        <v>0</v>
      </c>
      <c r="AB662" s="389">
        <f t="shared" si="375"/>
        <v>0</v>
      </c>
      <c r="AC662" s="389">
        <f t="shared" si="375"/>
        <v>0</v>
      </c>
      <c r="AD662" s="389">
        <f t="shared" si="375"/>
        <v>0</v>
      </c>
      <c r="AE662" s="389">
        <f t="shared" si="375"/>
        <v>0</v>
      </c>
      <c r="AF662" s="389">
        <f t="shared" si="375"/>
        <v>0</v>
      </c>
      <c r="AG662" s="389">
        <f t="shared" si="375"/>
        <v>0</v>
      </c>
      <c r="AH662" s="389">
        <f t="shared" si="375"/>
        <v>0</v>
      </c>
      <c r="AI662" s="389">
        <f t="shared" si="375"/>
        <v>0</v>
      </c>
      <c r="AJ662" s="389">
        <f t="shared" si="375"/>
        <v>0</v>
      </c>
      <c r="AK662" s="389">
        <f t="shared" si="375"/>
        <v>0</v>
      </c>
      <c r="AL662" s="389">
        <f t="shared" si="375"/>
        <v>0</v>
      </c>
      <c r="AM662" s="389">
        <f t="shared" si="375"/>
        <v>0</v>
      </c>
      <c r="AN662" s="389">
        <f t="shared" si="375"/>
        <v>0</v>
      </c>
      <c r="AO662" s="389">
        <f t="shared" si="375"/>
        <v>0</v>
      </c>
      <c r="AP662" s="389">
        <f t="shared" si="375"/>
        <v>0</v>
      </c>
    </row>
    <row r="663" spans="1:42" x14ac:dyDescent="0.2">
      <c r="A663" s="7">
        <f t="shared" ref="A663:A668" si="376">A662+1</f>
        <v>3</v>
      </c>
      <c r="B663" s="415">
        <f t="shared" si="373"/>
        <v>0</v>
      </c>
      <c r="C663" s="389">
        <f t="shared" si="375"/>
        <v>0</v>
      </c>
      <c r="D663" s="389">
        <f t="shared" si="375"/>
        <v>0</v>
      </c>
      <c r="E663" s="389">
        <f t="shared" si="375"/>
        <v>0</v>
      </c>
      <c r="F663" s="389">
        <f t="shared" si="375"/>
        <v>0</v>
      </c>
      <c r="G663" s="389">
        <f t="shared" si="375"/>
        <v>0</v>
      </c>
      <c r="H663" s="389">
        <f t="shared" si="375"/>
        <v>0</v>
      </c>
      <c r="I663" s="389">
        <f t="shared" si="375"/>
        <v>0</v>
      </c>
      <c r="J663" s="389">
        <f t="shared" si="375"/>
        <v>0</v>
      </c>
      <c r="K663" s="389">
        <f t="shared" si="375"/>
        <v>0</v>
      </c>
      <c r="L663" s="389">
        <f t="shared" si="375"/>
        <v>0</v>
      </c>
      <c r="M663" s="389">
        <f t="shared" si="375"/>
        <v>0</v>
      </c>
      <c r="N663" s="389">
        <f t="shared" si="375"/>
        <v>0</v>
      </c>
      <c r="O663" s="389">
        <f t="shared" si="375"/>
        <v>0</v>
      </c>
      <c r="P663" s="389">
        <f t="shared" si="375"/>
        <v>0</v>
      </c>
      <c r="Q663" s="389">
        <f t="shared" si="375"/>
        <v>0</v>
      </c>
      <c r="R663" s="389">
        <f t="shared" si="375"/>
        <v>0</v>
      </c>
      <c r="S663" s="389">
        <f t="shared" si="375"/>
        <v>0</v>
      </c>
      <c r="T663" s="389">
        <f t="shared" si="375"/>
        <v>0</v>
      </c>
      <c r="U663" s="389">
        <f t="shared" si="375"/>
        <v>0</v>
      </c>
      <c r="V663" s="389">
        <f t="shared" si="375"/>
        <v>0</v>
      </c>
      <c r="W663" s="389">
        <f t="shared" si="375"/>
        <v>0</v>
      </c>
      <c r="X663" s="389">
        <f t="shared" si="375"/>
        <v>0</v>
      </c>
      <c r="Y663" s="389">
        <f t="shared" si="375"/>
        <v>0</v>
      </c>
      <c r="Z663" s="389">
        <f t="shared" si="375"/>
        <v>0</v>
      </c>
      <c r="AA663" s="389">
        <f t="shared" si="375"/>
        <v>0</v>
      </c>
      <c r="AB663" s="389">
        <f t="shared" si="375"/>
        <v>0</v>
      </c>
      <c r="AC663" s="389">
        <f t="shared" si="375"/>
        <v>0</v>
      </c>
      <c r="AD663" s="389">
        <f t="shared" si="375"/>
        <v>0</v>
      </c>
      <c r="AE663" s="389">
        <f t="shared" si="375"/>
        <v>0</v>
      </c>
      <c r="AF663" s="389">
        <f t="shared" si="375"/>
        <v>0</v>
      </c>
      <c r="AG663" s="389">
        <f t="shared" si="375"/>
        <v>0</v>
      </c>
      <c r="AH663" s="389">
        <f t="shared" si="375"/>
        <v>0</v>
      </c>
      <c r="AI663" s="389">
        <f t="shared" si="375"/>
        <v>0</v>
      </c>
      <c r="AJ663" s="389">
        <f t="shared" si="375"/>
        <v>0</v>
      </c>
      <c r="AK663" s="389">
        <f t="shared" si="375"/>
        <v>0</v>
      </c>
      <c r="AL663" s="389">
        <f t="shared" si="375"/>
        <v>0</v>
      </c>
      <c r="AM663" s="389">
        <f t="shared" si="375"/>
        <v>0</v>
      </c>
      <c r="AN663" s="389">
        <f t="shared" si="375"/>
        <v>0</v>
      </c>
      <c r="AO663" s="389">
        <f t="shared" si="375"/>
        <v>0</v>
      </c>
      <c r="AP663" s="389">
        <f t="shared" si="375"/>
        <v>0</v>
      </c>
    </row>
    <row r="664" spans="1:42" x14ac:dyDescent="0.2">
      <c r="A664" s="7">
        <f t="shared" si="376"/>
        <v>4</v>
      </c>
      <c r="B664" s="415">
        <f t="shared" si="373"/>
        <v>0</v>
      </c>
      <c r="C664" s="389">
        <f t="shared" si="375"/>
        <v>0</v>
      </c>
      <c r="D664" s="389">
        <f t="shared" si="375"/>
        <v>0</v>
      </c>
      <c r="E664" s="389">
        <f t="shared" si="375"/>
        <v>0</v>
      </c>
      <c r="F664" s="389">
        <f t="shared" si="375"/>
        <v>0</v>
      </c>
      <c r="G664" s="389">
        <f t="shared" si="375"/>
        <v>0</v>
      </c>
      <c r="H664" s="389">
        <f t="shared" si="375"/>
        <v>0</v>
      </c>
      <c r="I664" s="389">
        <f t="shared" si="375"/>
        <v>0</v>
      </c>
      <c r="J664" s="389">
        <f t="shared" si="375"/>
        <v>0</v>
      </c>
      <c r="K664" s="389">
        <f t="shared" si="375"/>
        <v>0</v>
      </c>
      <c r="L664" s="389">
        <f t="shared" si="375"/>
        <v>0</v>
      </c>
      <c r="M664" s="389">
        <f t="shared" si="375"/>
        <v>0</v>
      </c>
      <c r="N664" s="389">
        <f t="shared" si="375"/>
        <v>0</v>
      </c>
      <c r="O664" s="389">
        <f t="shared" si="375"/>
        <v>0</v>
      </c>
      <c r="P664" s="389">
        <f t="shared" si="375"/>
        <v>0</v>
      </c>
      <c r="Q664" s="389">
        <f t="shared" si="375"/>
        <v>0</v>
      </c>
      <c r="R664" s="389">
        <f t="shared" si="375"/>
        <v>0</v>
      </c>
      <c r="S664" s="389">
        <f t="shared" si="375"/>
        <v>0</v>
      </c>
      <c r="T664" s="389">
        <f t="shared" si="375"/>
        <v>0</v>
      </c>
      <c r="U664" s="389">
        <f t="shared" si="375"/>
        <v>0</v>
      </c>
      <c r="V664" s="389">
        <f t="shared" si="375"/>
        <v>0</v>
      </c>
      <c r="W664" s="389">
        <f t="shared" si="375"/>
        <v>0</v>
      </c>
      <c r="X664" s="389">
        <f t="shared" si="375"/>
        <v>0</v>
      </c>
      <c r="Y664" s="389">
        <f t="shared" si="375"/>
        <v>0</v>
      </c>
      <c r="Z664" s="389">
        <f t="shared" si="375"/>
        <v>0</v>
      </c>
      <c r="AA664" s="389">
        <f t="shared" si="375"/>
        <v>0</v>
      </c>
      <c r="AB664" s="389">
        <f t="shared" si="375"/>
        <v>0</v>
      </c>
      <c r="AC664" s="389">
        <f t="shared" si="375"/>
        <v>0</v>
      </c>
      <c r="AD664" s="389">
        <f t="shared" si="375"/>
        <v>0</v>
      </c>
      <c r="AE664" s="389">
        <f t="shared" si="375"/>
        <v>0</v>
      </c>
      <c r="AF664" s="389">
        <f t="shared" si="375"/>
        <v>0</v>
      </c>
      <c r="AG664" s="389">
        <f t="shared" si="375"/>
        <v>0</v>
      </c>
      <c r="AH664" s="389">
        <f t="shared" si="375"/>
        <v>0</v>
      </c>
      <c r="AI664" s="389">
        <f t="shared" si="375"/>
        <v>0</v>
      </c>
      <c r="AJ664" s="389">
        <f t="shared" si="375"/>
        <v>0</v>
      </c>
      <c r="AK664" s="389">
        <f t="shared" si="375"/>
        <v>0</v>
      </c>
      <c r="AL664" s="389">
        <f t="shared" si="375"/>
        <v>0</v>
      </c>
      <c r="AM664" s="389">
        <f t="shared" si="375"/>
        <v>0</v>
      </c>
      <c r="AN664" s="389">
        <f t="shared" si="375"/>
        <v>0</v>
      </c>
      <c r="AO664" s="389">
        <f t="shared" si="375"/>
        <v>0</v>
      </c>
      <c r="AP664" s="389">
        <f t="shared" si="375"/>
        <v>0</v>
      </c>
    </row>
    <row r="665" spans="1:42" x14ac:dyDescent="0.2">
      <c r="A665" s="7">
        <f t="shared" si="376"/>
        <v>5</v>
      </c>
      <c r="B665" s="415">
        <f t="shared" si="373"/>
        <v>0</v>
      </c>
      <c r="C665" s="389">
        <f t="shared" si="375"/>
        <v>0</v>
      </c>
      <c r="D665" s="389">
        <f t="shared" si="375"/>
        <v>0</v>
      </c>
      <c r="E665" s="389">
        <f t="shared" si="375"/>
        <v>0</v>
      </c>
      <c r="F665" s="389">
        <f t="shared" si="375"/>
        <v>0</v>
      </c>
      <c r="G665" s="389">
        <f t="shared" si="375"/>
        <v>0</v>
      </c>
      <c r="H665" s="389">
        <f t="shared" si="375"/>
        <v>0</v>
      </c>
      <c r="I665" s="389">
        <f t="shared" si="375"/>
        <v>0</v>
      </c>
      <c r="J665" s="389">
        <f t="shared" si="375"/>
        <v>0</v>
      </c>
      <c r="K665" s="389">
        <f t="shared" si="375"/>
        <v>0</v>
      </c>
      <c r="L665" s="389">
        <f t="shared" si="375"/>
        <v>0</v>
      </c>
      <c r="M665" s="389">
        <f t="shared" si="375"/>
        <v>0</v>
      </c>
      <c r="N665" s="389">
        <f t="shared" si="375"/>
        <v>0</v>
      </c>
      <c r="O665" s="389">
        <f t="shared" si="375"/>
        <v>0</v>
      </c>
      <c r="P665" s="389">
        <f t="shared" si="375"/>
        <v>0</v>
      </c>
      <c r="Q665" s="389">
        <f t="shared" si="375"/>
        <v>0</v>
      </c>
      <c r="R665" s="389">
        <f t="shared" si="375"/>
        <v>0</v>
      </c>
      <c r="S665" s="389">
        <f t="shared" si="375"/>
        <v>0</v>
      </c>
      <c r="T665" s="389">
        <f t="shared" si="375"/>
        <v>0</v>
      </c>
      <c r="U665" s="389">
        <f t="shared" si="375"/>
        <v>0</v>
      </c>
      <c r="V665" s="389">
        <f t="shared" si="375"/>
        <v>0</v>
      </c>
      <c r="W665" s="389">
        <f t="shared" si="375"/>
        <v>0</v>
      </c>
      <c r="X665" s="389">
        <f t="shared" si="375"/>
        <v>0</v>
      </c>
      <c r="Y665" s="389">
        <f t="shared" si="375"/>
        <v>0</v>
      </c>
      <c r="Z665" s="389">
        <f t="shared" si="375"/>
        <v>0</v>
      </c>
      <c r="AA665" s="389">
        <f t="shared" si="375"/>
        <v>0</v>
      </c>
      <c r="AB665" s="389">
        <f t="shared" si="375"/>
        <v>0</v>
      </c>
      <c r="AC665" s="389">
        <f t="shared" si="375"/>
        <v>0</v>
      </c>
      <c r="AD665" s="389">
        <f t="shared" si="375"/>
        <v>0</v>
      </c>
      <c r="AE665" s="389">
        <f t="shared" si="375"/>
        <v>0</v>
      </c>
      <c r="AF665" s="389">
        <f t="shared" si="375"/>
        <v>0</v>
      </c>
      <c r="AG665" s="389">
        <f t="shared" si="375"/>
        <v>0</v>
      </c>
      <c r="AH665" s="389">
        <f t="shared" si="375"/>
        <v>0</v>
      </c>
      <c r="AI665" s="389">
        <f t="shared" si="375"/>
        <v>0</v>
      </c>
      <c r="AJ665" s="389">
        <f t="shared" si="375"/>
        <v>0</v>
      </c>
      <c r="AK665" s="389">
        <f t="shared" si="375"/>
        <v>0</v>
      </c>
      <c r="AL665" s="389">
        <f t="shared" si="375"/>
        <v>0</v>
      </c>
      <c r="AM665" s="389">
        <f t="shared" si="375"/>
        <v>0</v>
      </c>
      <c r="AN665" s="389">
        <f t="shared" si="375"/>
        <v>0</v>
      </c>
      <c r="AO665" s="389">
        <f t="shared" si="375"/>
        <v>0</v>
      </c>
      <c r="AP665" s="389">
        <f t="shared" si="375"/>
        <v>0</v>
      </c>
    </row>
    <row r="666" spans="1:42" x14ac:dyDescent="0.2">
      <c r="A666" s="7">
        <f t="shared" si="376"/>
        <v>6</v>
      </c>
      <c r="B666" s="415">
        <f t="shared" si="373"/>
        <v>0</v>
      </c>
      <c r="C666" s="389">
        <f t="shared" si="375"/>
        <v>0</v>
      </c>
      <c r="D666" s="389">
        <f t="shared" si="375"/>
        <v>0</v>
      </c>
      <c r="E666" s="389">
        <f t="shared" si="375"/>
        <v>0</v>
      </c>
      <c r="F666" s="389">
        <f t="shared" si="375"/>
        <v>0</v>
      </c>
      <c r="G666" s="389">
        <f t="shared" si="375"/>
        <v>0</v>
      </c>
      <c r="H666" s="389">
        <f t="shared" si="375"/>
        <v>0</v>
      </c>
      <c r="I666" s="389">
        <f t="shared" si="375"/>
        <v>0</v>
      </c>
      <c r="J666" s="389">
        <f t="shared" si="375"/>
        <v>0</v>
      </c>
      <c r="K666" s="389">
        <f t="shared" si="375"/>
        <v>0</v>
      </c>
      <c r="L666" s="389">
        <f t="shared" si="375"/>
        <v>0</v>
      </c>
      <c r="M666" s="389">
        <f t="shared" si="375"/>
        <v>0</v>
      </c>
      <c r="N666" s="389">
        <f t="shared" si="375"/>
        <v>0</v>
      </c>
      <c r="O666" s="389">
        <f t="shared" si="375"/>
        <v>0</v>
      </c>
      <c r="P666" s="389">
        <f t="shared" si="375"/>
        <v>0</v>
      </c>
      <c r="Q666" s="389">
        <f t="shared" si="375"/>
        <v>0</v>
      </c>
      <c r="R666" s="389">
        <f t="shared" si="375"/>
        <v>0</v>
      </c>
      <c r="S666" s="389">
        <f t="shared" si="375"/>
        <v>0</v>
      </c>
      <c r="T666" s="389">
        <f t="shared" si="375"/>
        <v>0</v>
      </c>
      <c r="U666" s="389">
        <f t="shared" si="375"/>
        <v>0</v>
      </c>
      <c r="V666" s="389">
        <f t="shared" si="375"/>
        <v>0</v>
      </c>
      <c r="W666" s="389">
        <f t="shared" si="375"/>
        <v>0</v>
      </c>
      <c r="X666" s="389">
        <f t="shared" si="375"/>
        <v>0</v>
      </c>
      <c r="Y666" s="389">
        <f t="shared" si="375"/>
        <v>0</v>
      </c>
      <c r="Z666" s="389">
        <f t="shared" si="375"/>
        <v>0</v>
      </c>
      <c r="AA666" s="389">
        <f t="shared" si="375"/>
        <v>0</v>
      </c>
      <c r="AB666" s="389">
        <f t="shared" si="375"/>
        <v>0</v>
      </c>
      <c r="AC666" s="389">
        <f t="shared" si="375"/>
        <v>0</v>
      </c>
      <c r="AD666" s="389">
        <f t="shared" si="375"/>
        <v>0</v>
      </c>
      <c r="AE666" s="389">
        <f t="shared" si="375"/>
        <v>0</v>
      </c>
      <c r="AF666" s="389">
        <f t="shared" si="375"/>
        <v>0</v>
      </c>
      <c r="AG666" s="389">
        <f t="shared" si="375"/>
        <v>0</v>
      </c>
      <c r="AH666" s="389">
        <f t="shared" si="375"/>
        <v>0</v>
      </c>
      <c r="AI666" s="389">
        <f t="shared" si="375"/>
        <v>0</v>
      </c>
      <c r="AJ666" s="389">
        <f t="shared" si="375"/>
        <v>0</v>
      </c>
      <c r="AK666" s="389">
        <f t="shared" si="375"/>
        <v>0</v>
      </c>
      <c r="AL666" s="389">
        <f t="shared" si="375"/>
        <v>0</v>
      </c>
      <c r="AM666" s="389">
        <f t="shared" si="375"/>
        <v>0</v>
      </c>
      <c r="AN666" s="389">
        <f t="shared" si="375"/>
        <v>0</v>
      </c>
      <c r="AO666" s="389">
        <f t="shared" si="375"/>
        <v>0</v>
      </c>
      <c r="AP666" s="389">
        <f t="shared" si="375"/>
        <v>0</v>
      </c>
    </row>
    <row r="667" spans="1:42" x14ac:dyDescent="0.2">
      <c r="A667" s="7">
        <f t="shared" si="376"/>
        <v>7</v>
      </c>
      <c r="B667" s="415">
        <f t="shared" si="373"/>
        <v>0</v>
      </c>
      <c r="C667" s="389">
        <f t="shared" si="375"/>
        <v>0</v>
      </c>
      <c r="D667" s="389">
        <f t="shared" si="375"/>
        <v>0</v>
      </c>
      <c r="E667" s="389">
        <f t="shared" si="375"/>
        <v>0</v>
      </c>
      <c r="F667" s="389">
        <f t="shared" si="375"/>
        <v>0</v>
      </c>
      <c r="G667" s="389">
        <f t="shared" si="375"/>
        <v>0</v>
      </c>
      <c r="H667" s="389">
        <f t="shared" si="375"/>
        <v>0</v>
      </c>
      <c r="I667" s="389">
        <f t="shared" si="375"/>
        <v>0</v>
      </c>
      <c r="J667" s="389">
        <f t="shared" si="375"/>
        <v>0</v>
      </c>
      <c r="K667" s="389">
        <f t="shared" si="375"/>
        <v>0</v>
      </c>
      <c r="L667" s="389">
        <f t="shared" si="375"/>
        <v>0</v>
      </c>
      <c r="M667" s="389">
        <f t="shared" si="375"/>
        <v>0</v>
      </c>
      <c r="N667" s="389">
        <f t="shared" si="375"/>
        <v>0</v>
      </c>
      <c r="O667" s="389">
        <f t="shared" si="375"/>
        <v>0</v>
      </c>
      <c r="P667" s="389">
        <f t="shared" si="375"/>
        <v>0</v>
      </c>
      <c r="Q667" s="389">
        <f t="shared" si="375"/>
        <v>0</v>
      </c>
      <c r="R667" s="389">
        <f t="shared" si="375"/>
        <v>0</v>
      </c>
      <c r="S667" s="389">
        <f t="shared" si="375"/>
        <v>0</v>
      </c>
      <c r="T667" s="389">
        <f t="shared" si="375"/>
        <v>0</v>
      </c>
      <c r="U667" s="389">
        <f t="shared" si="375"/>
        <v>0</v>
      </c>
      <c r="V667" s="389">
        <f t="shared" si="375"/>
        <v>0</v>
      </c>
      <c r="W667" s="389">
        <f t="shared" si="375"/>
        <v>0</v>
      </c>
      <c r="X667" s="389">
        <f t="shared" si="375"/>
        <v>0</v>
      </c>
      <c r="Y667" s="389">
        <f t="shared" si="375"/>
        <v>0</v>
      </c>
      <c r="Z667" s="389">
        <f t="shared" si="375"/>
        <v>0</v>
      </c>
      <c r="AA667" s="389">
        <f t="shared" si="375"/>
        <v>0</v>
      </c>
      <c r="AB667" s="389">
        <f t="shared" si="375"/>
        <v>0</v>
      </c>
      <c r="AC667" s="389">
        <f t="shared" si="375"/>
        <v>0</v>
      </c>
      <c r="AD667" s="389">
        <f t="shared" si="375"/>
        <v>0</v>
      </c>
      <c r="AE667" s="389">
        <f t="shared" si="375"/>
        <v>0</v>
      </c>
      <c r="AF667" s="389">
        <f t="shared" si="375"/>
        <v>0</v>
      </c>
      <c r="AG667" s="389">
        <f t="shared" si="375"/>
        <v>0</v>
      </c>
      <c r="AH667" s="389">
        <f t="shared" si="375"/>
        <v>0</v>
      </c>
      <c r="AI667" s="389">
        <f t="shared" si="375"/>
        <v>0</v>
      </c>
      <c r="AJ667" s="389">
        <f t="shared" si="375"/>
        <v>0</v>
      </c>
      <c r="AK667" s="389">
        <f t="shared" si="375"/>
        <v>0</v>
      </c>
      <c r="AL667" s="389">
        <f t="shared" si="375"/>
        <v>0</v>
      </c>
      <c r="AM667" s="389">
        <f t="shared" si="375"/>
        <v>0</v>
      </c>
      <c r="AN667" s="389">
        <f t="shared" si="375"/>
        <v>0</v>
      </c>
      <c r="AO667" s="389">
        <f t="shared" si="375"/>
        <v>0</v>
      </c>
      <c r="AP667" s="389">
        <f t="shared" si="375"/>
        <v>0</v>
      </c>
    </row>
    <row r="668" spans="1:42" x14ac:dyDescent="0.2">
      <c r="A668" s="7">
        <f t="shared" si="376"/>
        <v>8</v>
      </c>
      <c r="B668" s="415">
        <f t="shared" si="373"/>
        <v>0</v>
      </c>
      <c r="C668" s="389">
        <f t="shared" si="375"/>
        <v>0</v>
      </c>
      <c r="D668" s="389">
        <f t="shared" si="375"/>
        <v>0</v>
      </c>
      <c r="E668" s="389">
        <f t="shared" si="375"/>
        <v>0</v>
      </c>
      <c r="F668" s="389">
        <f t="shared" si="375"/>
        <v>0</v>
      </c>
      <c r="G668" s="389">
        <f t="shared" si="375"/>
        <v>0</v>
      </c>
      <c r="H668" s="389">
        <f t="shared" si="375"/>
        <v>0</v>
      </c>
      <c r="I668" s="389">
        <f t="shared" si="375"/>
        <v>0</v>
      </c>
      <c r="J668" s="389">
        <f t="shared" si="375"/>
        <v>0</v>
      </c>
      <c r="K668" s="389">
        <f t="shared" si="375"/>
        <v>0</v>
      </c>
      <c r="L668" s="389">
        <f t="shared" si="375"/>
        <v>0</v>
      </c>
      <c r="M668" s="389">
        <f t="shared" si="375"/>
        <v>0</v>
      </c>
      <c r="N668" s="389">
        <f t="shared" si="375"/>
        <v>0</v>
      </c>
      <c r="O668" s="389">
        <f t="shared" si="375"/>
        <v>0</v>
      </c>
      <c r="P668" s="389">
        <f t="shared" si="375"/>
        <v>0</v>
      </c>
      <c r="Q668" s="389">
        <f t="shared" si="375"/>
        <v>0</v>
      </c>
      <c r="R668" s="389">
        <f t="shared" ref="R668:AP668" si="377">IF(AND(R$2&gt;equip3_reserve_freq*$A655,R$2&lt;=equip3_reserve_freq*$A656),$B656/(equip3_reserve_freq),0)</f>
        <v>0</v>
      </c>
      <c r="S668" s="389">
        <f t="shared" si="377"/>
        <v>0</v>
      </c>
      <c r="T668" s="389">
        <f t="shared" si="377"/>
        <v>0</v>
      </c>
      <c r="U668" s="389">
        <f t="shared" si="377"/>
        <v>0</v>
      </c>
      <c r="V668" s="389">
        <f t="shared" si="377"/>
        <v>0</v>
      </c>
      <c r="W668" s="389">
        <f t="shared" si="377"/>
        <v>0</v>
      </c>
      <c r="X668" s="389">
        <f t="shared" si="377"/>
        <v>0</v>
      </c>
      <c r="Y668" s="389">
        <f t="shared" si="377"/>
        <v>0</v>
      </c>
      <c r="Z668" s="389">
        <f t="shared" si="377"/>
        <v>0</v>
      </c>
      <c r="AA668" s="389">
        <f t="shared" si="377"/>
        <v>0</v>
      </c>
      <c r="AB668" s="389">
        <f t="shared" si="377"/>
        <v>0</v>
      </c>
      <c r="AC668" s="389">
        <f t="shared" si="377"/>
        <v>0</v>
      </c>
      <c r="AD668" s="389">
        <f t="shared" si="377"/>
        <v>0</v>
      </c>
      <c r="AE668" s="389">
        <f t="shared" si="377"/>
        <v>0</v>
      </c>
      <c r="AF668" s="389">
        <f t="shared" si="377"/>
        <v>0</v>
      </c>
      <c r="AG668" s="389">
        <f t="shared" si="377"/>
        <v>0</v>
      </c>
      <c r="AH668" s="389">
        <f t="shared" si="377"/>
        <v>0</v>
      </c>
      <c r="AI668" s="389">
        <f t="shared" si="377"/>
        <v>0</v>
      </c>
      <c r="AJ668" s="389">
        <f t="shared" si="377"/>
        <v>0</v>
      </c>
      <c r="AK668" s="389">
        <f t="shared" si="377"/>
        <v>0</v>
      </c>
      <c r="AL668" s="389">
        <f t="shared" si="377"/>
        <v>0</v>
      </c>
      <c r="AM668" s="389">
        <f t="shared" si="377"/>
        <v>0</v>
      </c>
      <c r="AN668" s="389">
        <f t="shared" si="377"/>
        <v>0</v>
      </c>
      <c r="AO668" s="389">
        <f t="shared" si="377"/>
        <v>0</v>
      </c>
      <c r="AP668" s="389">
        <f t="shared" si="377"/>
        <v>0</v>
      </c>
    </row>
    <row r="669" spans="1:42" x14ac:dyDescent="0.2">
      <c r="A669" s="7">
        <f>A668+1</f>
        <v>9</v>
      </c>
      <c r="B669" s="415">
        <f t="shared" si="373"/>
        <v>0</v>
      </c>
      <c r="C669" s="389">
        <f t="shared" ref="C669:AP670" si="378">IF(AND(C$2&gt;equip3_reserve_freq*$A656,C$2&lt;=equip3_reserve_freq*$A657),$B657/(equip3_reserve_freq),0)</f>
        <v>0</v>
      </c>
      <c r="D669" s="389">
        <f t="shared" si="378"/>
        <v>0</v>
      </c>
      <c r="E669" s="389">
        <f t="shared" si="378"/>
        <v>0</v>
      </c>
      <c r="F669" s="389">
        <f t="shared" si="378"/>
        <v>0</v>
      </c>
      <c r="G669" s="389">
        <f t="shared" si="378"/>
        <v>0</v>
      </c>
      <c r="H669" s="389">
        <f t="shared" si="378"/>
        <v>0</v>
      </c>
      <c r="I669" s="389">
        <f t="shared" si="378"/>
        <v>0</v>
      </c>
      <c r="J669" s="389">
        <f t="shared" si="378"/>
        <v>0</v>
      </c>
      <c r="K669" s="389">
        <f t="shared" si="378"/>
        <v>0</v>
      </c>
      <c r="L669" s="389">
        <f t="shared" si="378"/>
        <v>0</v>
      </c>
      <c r="M669" s="389">
        <f t="shared" si="378"/>
        <v>0</v>
      </c>
      <c r="N669" s="389">
        <f t="shared" si="378"/>
        <v>0</v>
      </c>
      <c r="O669" s="389">
        <f t="shared" si="378"/>
        <v>0</v>
      </c>
      <c r="P669" s="389">
        <f t="shared" si="378"/>
        <v>0</v>
      </c>
      <c r="Q669" s="389">
        <f t="shared" si="378"/>
        <v>0</v>
      </c>
      <c r="R669" s="389">
        <f t="shared" si="378"/>
        <v>0</v>
      </c>
      <c r="S669" s="389">
        <f t="shared" si="378"/>
        <v>0</v>
      </c>
      <c r="T669" s="389">
        <f t="shared" si="378"/>
        <v>0</v>
      </c>
      <c r="U669" s="389">
        <f t="shared" si="378"/>
        <v>0</v>
      </c>
      <c r="V669" s="389">
        <f t="shared" si="378"/>
        <v>0</v>
      </c>
      <c r="W669" s="389">
        <f t="shared" si="378"/>
        <v>0</v>
      </c>
      <c r="X669" s="389">
        <f t="shared" si="378"/>
        <v>0</v>
      </c>
      <c r="Y669" s="389">
        <f t="shared" si="378"/>
        <v>0</v>
      </c>
      <c r="Z669" s="389">
        <f t="shared" si="378"/>
        <v>0</v>
      </c>
      <c r="AA669" s="389">
        <f t="shared" si="378"/>
        <v>0</v>
      </c>
      <c r="AB669" s="389">
        <f t="shared" si="378"/>
        <v>0</v>
      </c>
      <c r="AC669" s="389">
        <f t="shared" si="378"/>
        <v>0</v>
      </c>
      <c r="AD669" s="389">
        <f t="shared" si="378"/>
        <v>0</v>
      </c>
      <c r="AE669" s="389">
        <f t="shared" si="378"/>
        <v>0</v>
      </c>
      <c r="AF669" s="389">
        <f t="shared" si="378"/>
        <v>0</v>
      </c>
      <c r="AG669" s="389">
        <f t="shared" si="378"/>
        <v>0</v>
      </c>
      <c r="AH669" s="389">
        <f t="shared" si="378"/>
        <v>0</v>
      </c>
      <c r="AI669" s="389">
        <f t="shared" si="378"/>
        <v>0</v>
      </c>
      <c r="AJ669" s="389">
        <f t="shared" si="378"/>
        <v>0</v>
      </c>
      <c r="AK669" s="389">
        <f t="shared" si="378"/>
        <v>0</v>
      </c>
      <c r="AL669" s="389">
        <f t="shared" si="378"/>
        <v>0</v>
      </c>
      <c r="AM669" s="389">
        <f t="shared" si="378"/>
        <v>0</v>
      </c>
      <c r="AN669" s="389">
        <f t="shared" si="378"/>
        <v>0</v>
      </c>
      <c r="AO669" s="389">
        <f t="shared" si="378"/>
        <v>0</v>
      </c>
      <c r="AP669" s="389">
        <f t="shared" si="378"/>
        <v>0</v>
      </c>
    </row>
    <row r="670" spans="1:42" x14ac:dyDescent="0.2">
      <c r="A670" s="7">
        <f t="shared" ref="A670" si="379">A669+1</f>
        <v>10</v>
      </c>
      <c r="B670" s="415">
        <f t="shared" si="373"/>
        <v>0</v>
      </c>
      <c r="C670" s="394">
        <f t="shared" si="378"/>
        <v>0</v>
      </c>
      <c r="D670" s="394">
        <f t="shared" si="378"/>
        <v>0</v>
      </c>
      <c r="E670" s="394">
        <f t="shared" si="378"/>
        <v>0</v>
      </c>
      <c r="F670" s="394">
        <f t="shared" si="378"/>
        <v>0</v>
      </c>
      <c r="G670" s="394">
        <f t="shared" si="378"/>
        <v>0</v>
      </c>
      <c r="H670" s="394">
        <f t="shared" si="378"/>
        <v>0</v>
      </c>
      <c r="I670" s="394">
        <f t="shared" si="378"/>
        <v>0</v>
      </c>
      <c r="J670" s="394">
        <f t="shared" si="378"/>
        <v>0</v>
      </c>
      <c r="K670" s="394">
        <f t="shared" si="378"/>
        <v>0</v>
      </c>
      <c r="L670" s="394">
        <f t="shared" si="378"/>
        <v>0</v>
      </c>
      <c r="M670" s="394">
        <f t="shared" si="378"/>
        <v>0</v>
      </c>
      <c r="N670" s="394">
        <f t="shared" si="378"/>
        <v>0</v>
      </c>
      <c r="O670" s="394">
        <f t="shared" si="378"/>
        <v>0</v>
      </c>
      <c r="P670" s="394">
        <f t="shared" si="378"/>
        <v>0</v>
      </c>
      <c r="Q670" s="394">
        <f t="shared" si="378"/>
        <v>0</v>
      </c>
      <c r="R670" s="394">
        <f t="shared" si="378"/>
        <v>0</v>
      </c>
      <c r="S670" s="394">
        <f t="shared" si="378"/>
        <v>0</v>
      </c>
      <c r="T670" s="394">
        <f t="shared" si="378"/>
        <v>0</v>
      </c>
      <c r="U670" s="394">
        <f t="shared" si="378"/>
        <v>0</v>
      </c>
      <c r="V670" s="394">
        <f t="shared" si="378"/>
        <v>0</v>
      </c>
      <c r="W670" s="394">
        <f t="shared" si="378"/>
        <v>0</v>
      </c>
      <c r="X670" s="394">
        <f t="shared" si="378"/>
        <v>0</v>
      </c>
      <c r="Y670" s="394">
        <f t="shared" si="378"/>
        <v>0</v>
      </c>
      <c r="Z670" s="394">
        <f t="shared" si="378"/>
        <v>0</v>
      </c>
      <c r="AA670" s="394">
        <f t="shared" si="378"/>
        <v>0</v>
      </c>
      <c r="AB670" s="394">
        <f t="shared" si="378"/>
        <v>0</v>
      </c>
      <c r="AC670" s="394">
        <f t="shared" si="378"/>
        <v>0</v>
      </c>
      <c r="AD670" s="394">
        <f t="shared" si="378"/>
        <v>0</v>
      </c>
      <c r="AE670" s="394">
        <f t="shared" si="378"/>
        <v>0</v>
      </c>
      <c r="AF670" s="394">
        <f t="shared" si="378"/>
        <v>0</v>
      </c>
      <c r="AG670" s="394">
        <f t="shared" si="378"/>
        <v>0</v>
      </c>
      <c r="AH670" s="394">
        <f t="shared" si="378"/>
        <v>0</v>
      </c>
      <c r="AI670" s="394">
        <f t="shared" si="378"/>
        <v>0</v>
      </c>
      <c r="AJ670" s="394">
        <f t="shared" si="378"/>
        <v>0</v>
      </c>
      <c r="AK670" s="394">
        <f t="shared" si="378"/>
        <v>0</v>
      </c>
      <c r="AL670" s="394">
        <f t="shared" si="378"/>
        <v>0</v>
      </c>
      <c r="AM670" s="394">
        <f t="shared" si="378"/>
        <v>0</v>
      </c>
      <c r="AN670" s="394">
        <f t="shared" si="378"/>
        <v>0</v>
      </c>
      <c r="AO670" s="394">
        <f t="shared" si="378"/>
        <v>0</v>
      </c>
      <c r="AP670" s="394">
        <f t="shared" si="378"/>
        <v>0</v>
      </c>
    </row>
    <row r="671" spans="1:42" x14ac:dyDescent="0.2">
      <c r="A671" s="47" t="s">
        <v>21</v>
      </c>
      <c r="B671" s="36"/>
      <c r="C671" s="393">
        <f>SUM(C661:C670)</f>
        <v>0</v>
      </c>
      <c r="D671" s="393">
        <f t="shared" ref="D671:AP671" si="380">SUM(D661:D670)</f>
        <v>0</v>
      </c>
      <c r="E671" s="393">
        <f t="shared" si="380"/>
        <v>0</v>
      </c>
      <c r="F671" s="393">
        <f t="shared" si="380"/>
        <v>0</v>
      </c>
      <c r="G671" s="393">
        <f t="shared" si="380"/>
        <v>0</v>
      </c>
      <c r="H671" s="393">
        <f t="shared" si="380"/>
        <v>0</v>
      </c>
      <c r="I671" s="393">
        <f t="shared" si="380"/>
        <v>0</v>
      </c>
      <c r="J671" s="393">
        <f t="shared" si="380"/>
        <v>0</v>
      </c>
      <c r="K671" s="393">
        <f t="shared" si="380"/>
        <v>0</v>
      </c>
      <c r="L671" s="393">
        <f t="shared" si="380"/>
        <v>0</v>
      </c>
      <c r="M671" s="393">
        <f t="shared" si="380"/>
        <v>0</v>
      </c>
      <c r="N671" s="393">
        <f t="shared" si="380"/>
        <v>0</v>
      </c>
      <c r="O671" s="393">
        <f t="shared" si="380"/>
        <v>0</v>
      </c>
      <c r="P671" s="393">
        <f t="shared" si="380"/>
        <v>0</v>
      </c>
      <c r="Q671" s="393">
        <f t="shared" si="380"/>
        <v>0</v>
      </c>
      <c r="R671" s="393">
        <f t="shared" si="380"/>
        <v>0</v>
      </c>
      <c r="S671" s="393">
        <f t="shared" si="380"/>
        <v>0</v>
      </c>
      <c r="T671" s="393">
        <f t="shared" si="380"/>
        <v>0</v>
      </c>
      <c r="U671" s="393">
        <f t="shared" si="380"/>
        <v>0</v>
      </c>
      <c r="V671" s="393">
        <f t="shared" si="380"/>
        <v>0</v>
      </c>
      <c r="W671" s="393">
        <f t="shared" si="380"/>
        <v>0</v>
      </c>
      <c r="X671" s="393">
        <f t="shared" si="380"/>
        <v>0</v>
      </c>
      <c r="Y671" s="393">
        <f t="shared" si="380"/>
        <v>0</v>
      </c>
      <c r="Z671" s="393">
        <f t="shared" si="380"/>
        <v>0</v>
      </c>
      <c r="AA671" s="393">
        <f t="shared" si="380"/>
        <v>0</v>
      </c>
      <c r="AB671" s="393">
        <f t="shared" si="380"/>
        <v>0</v>
      </c>
      <c r="AC671" s="393">
        <f t="shared" si="380"/>
        <v>0</v>
      </c>
      <c r="AD671" s="393">
        <f t="shared" si="380"/>
        <v>0</v>
      </c>
      <c r="AE671" s="393">
        <f t="shared" si="380"/>
        <v>0</v>
      </c>
      <c r="AF671" s="393">
        <f t="shared" si="380"/>
        <v>0</v>
      </c>
      <c r="AG671" s="393">
        <f t="shared" si="380"/>
        <v>0</v>
      </c>
      <c r="AH671" s="393">
        <f t="shared" si="380"/>
        <v>0</v>
      </c>
      <c r="AI671" s="393">
        <f t="shared" si="380"/>
        <v>0</v>
      </c>
      <c r="AJ671" s="393">
        <f t="shared" si="380"/>
        <v>0</v>
      </c>
      <c r="AK671" s="393">
        <f t="shared" si="380"/>
        <v>0</v>
      </c>
      <c r="AL671" s="393">
        <f t="shared" si="380"/>
        <v>0</v>
      </c>
      <c r="AM671" s="393">
        <f t="shared" si="380"/>
        <v>0</v>
      </c>
      <c r="AN671" s="393">
        <f t="shared" si="380"/>
        <v>0</v>
      </c>
      <c r="AO671" s="393">
        <f t="shared" si="380"/>
        <v>0</v>
      </c>
      <c r="AP671" s="393">
        <f t="shared" si="380"/>
        <v>0</v>
      </c>
    </row>
    <row r="672" spans="1:42" s="194" customFormat="1" x14ac:dyDescent="0.2">
      <c r="A672" s="7"/>
      <c r="B672" s="378"/>
    </row>
    <row r="673" spans="1:42" s="194" customFormat="1" x14ac:dyDescent="0.2">
      <c r="A673" s="7" t="s">
        <v>115</v>
      </c>
      <c r="B673" s="378"/>
    </row>
    <row r="674" spans="1:42" x14ac:dyDescent="0.2">
      <c r="A674" s="35" t="s">
        <v>116</v>
      </c>
      <c r="B674" s="393">
        <f>B569+B575+B581+B613+B645</f>
        <v>2058363.2063178036</v>
      </c>
      <c r="C674" s="393">
        <f t="shared" ref="C674:AP674" si="381">C569+C575+C581+C613+C645</f>
        <v>2341560.4452756559</v>
      </c>
      <c r="D674" s="393">
        <f t="shared" si="381"/>
        <v>2624980.7977391048</v>
      </c>
      <c r="E674" s="393">
        <f t="shared" si="381"/>
        <v>2908620.3942876589</v>
      </c>
      <c r="F674" s="393">
        <f t="shared" si="381"/>
        <v>3192475.7040632982</v>
      </c>
      <c r="G674" s="393">
        <f t="shared" si="381"/>
        <v>3476543.5218092343</v>
      </c>
      <c r="H674" s="393">
        <f t="shared" si="381"/>
        <v>3760820.9556750776</v>
      </c>
      <c r="I674" s="393">
        <f t="shared" si="381"/>
        <v>4045305.4157537171</v>
      </c>
      <c r="J674" s="393">
        <f t="shared" si="381"/>
        <v>4329994.6033170931</v>
      </c>
      <c r="K674" s="393">
        <f t="shared" si="381"/>
        <v>4614886.5007197512</v>
      </c>
      <c r="L674" s="393">
        <f t="shared" si="381"/>
        <v>4899979.3619408198</v>
      </c>
      <c r="M674" s="393">
        <f t="shared" si="381"/>
        <v>5185271.7037365381</v>
      </c>
      <c r="N674" s="393">
        <f t="shared" si="381"/>
        <v>2155628.6756580165</v>
      </c>
      <c r="O674" s="393">
        <f t="shared" si="381"/>
        <v>879016.68995769252</v>
      </c>
      <c r="P674" s="393">
        <f t="shared" si="381"/>
        <v>1253524.5822450011</v>
      </c>
      <c r="Q674" s="393">
        <f t="shared" si="381"/>
        <v>1628583.3137904969</v>
      </c>
      <c r="R674" s="393">
        <f t="shared" si="381"/>
        <v>2004190.7792058596</v>
      </c>
      <c r="S674" s="393">
        <f t="shared" si="381"/>
        <v>2380345.7210419606</v>
      </c>
      <c r="T674" s="393">
        <f t="shared" si="381"/>
        <v>2757047.7095791153</v>
      </c>
      <c r="U674" s="393">
        <f t="shared" si="381"/>
        <v>3134297.1243034774</v>
      </c>
      <c r="V674" s="393">
        <f t="shared" si="381"/>
        <v>3512095.1370061627</v>
      </c>
      <c r="W674" s="393">
        <f t="shared" si="381"/>
        <v>3890443.6964455266</v>
      </c>
      <c r="X674" s="393">
        <f t="shared" si="381"/>
        <v>4269345.5145166619</v>
      </c>
      <c r="Y674" s="393">
        <f t="shared" si="381"/>
        <v>4648804.0538756829</v>
      </c>
      <c r="Z674" s="393">
        <f t="shared" si="381"/>
        <v>617296.81067070924</v>
      </c>
      <c r="AA674" s="393" t="e">
        <f t="shared" si="381"/>
        <v>#VALUE!</v>
      </c>
      <c r="AB674" s="393" t="e">
        <f t="shared" si="381"/>
        <v>#VALUE!</v>
      </c>
      <c r="AC674" s="393" t="e">
        <f t="shared" si="381"/>
        <v>#VALUE!</v>
      </c>
      <c r="AD674" s="393" t="e">
        <f t="shared" si="381"/>
        <v>#VALUE!</v>
      </c>
      <c r="AE674" s="393" t="e">
        <f t="shared" si="381"/>
        <v>#VALUE!</v>
      </c>
      <c r="AF674" s="393" t="e">
        <f t="shared" si="381"/>
        <v>#VALUE!</v>
      </c>
      <c r="AG674" s="393" t="e">
        <f t="shared" si="381"/>
        <v>#VALUE!</v>
      </c>
      <c r="AH674" s="393" t="e">
        <f t="shared" si="381"/>
        <v>#VALUE!</v>
      </c>
      <c r="AI674" s="393" t="e">
        <f t="shared" si="381"/>
        <v>#VALUE!</v>
      </c>
      <c r="AJ674" s="393" t="e">
        <f t="shared" si="381"/>
        <v>#VALUE!</v>
      </c>
      <c r="AK674" s="393" t="e">
        <f t="shared" si="381"/>
        <v>#VALUE!</v>
      </c>
      <c r="AL674" s="393" t="e">
        <f t="shared" si="381"/>
        <v>#VALUE!</v>
      </c>
      <c r="AM674" s="393" t="e">
        <f t="shared" si="381"/>
        <v>#VALUE!</v>
      </c>
      <c r="AN674" s="393" t="e">
        <f t="shared" si="381"/>
        <v>#VALUE!</v>
      </c>
      <c r="AO674" s="393" t="e">
        <f t="shared" si="381"/>
        <v>#VALUE!</v>
      </c>
      <c r="AP674" s="393">
        <f t="shared" si="381"/>
        <v>0</v>
      </c>
    </row>
    <row r="675" spans="1:42" x14ac:dyDescent="0.2">
      <c r="A675" s="35" t="s">
        <v>115</v>
      </c>
      <c r="B675" s="389"/>
      <c r="C675" s="393">
        <f t="shared" ref="C675:AP675" si="382">IF(C$2&lt;=analysis_period,B674*reserves_interest/100,0)</f>
        <v>41167.264126356073</v>
      </c>
      <c r="D675" s="393">
        <f t="shared" si="382"/>
        <v>46831.208905513122</v>
      </c>
      <c r="E675" s="393">
        <f t="shared" si="382"/>
        <v>52499.615954782093</v>
      </c>
      <c r="F675" s="393">
        <f t="shared" si="382"/>
        <v>58172.407885753179</v>
      </c>
      <c r="G675" s="393">
        <f t="shared" si="382"/>
        <v>63849.514081265967</v>
      </c>
      <c r="H675" s="393">
        <f t="shared" si="382"/>
        <v>69530.87043618469</v>
      </c>
      <c r="I675" s="393">
        <f t="shared" si="382"/>
        <v>75216.419113501557</v>
      </c>
      <c r="J675" s="393">
        <f t="shared" si="382"/>
        <v>80906.108315074336</v>
      </c>
      <c r="K675" s="393">
        <f t="shared" si="382"/>
        <v>86599.892066341868</v>
      </c>
      <c r="L675" s="393">
        <f t="shared" si="382"/>
        <v>92297.730014395027</v>
      </c>
      <c r="M675" s="393">
        <f t="shared" si="382"/>
        <v>97999.587238816399</v>
      </c>
      <c r="N675" s="393">
        <f t="shared" si="382"/>
        <v>103705.43407473076</v>
      </c>
      <c r="O675" s="393">
        <f t="shared" si="382"/>
        <v>43112.573513160329</v>
      </c>
      <c r="P675" s="393">
        <f t="shared" si="382"/>
        <v>17580.33379915385</v>
      </c>
      <c r="Q675" s="393">
        <f t="shared" si="382"/>
        <v>25070.491644900023</v>
      </c>
      <c r="R675" s="393">
        <f t="shared" si="382"/>
        <v>32571.666275809937</v>
      </c>
      <c r="S675" s="393">
        <f t="shared" si="382"/>
        <v>40083.81558411719</v>
      </c>
      <c r="T675" s="393">
        <f t="shared" si="382"/>
        <v>47606.91442083921</v>
      </c>
      <c r="U675" s="393">
        <f t="shared" si="382"/>
        <v>55140.954191582307</v>
      </c>
      <c r="V675" s="393">
        <f t="shared" si="382"/>
        <v>62685.942486069544</v>
      </c>
      <c r="W675" s="393">
        <f t="shared" si="382"/>
        <v>70241.90274012326</v>
      </c>
      <c r="X675" s="393">
        <f t="shared" si="382"/>
        <v>77808.873928910529</v>
      </c>
      <c r="Y675" s="393">
        <f t="shared" si="382"/>
        <v>85386.910290333239</v>
      </c>
      <c r="Z675" s="393">
        <f t="shared" si="382"/>
        <v>92976.081077513663</v>
      </c>
      <c r="AA675" s="393">
        <f t="shared" si="382"/>
        <v>12345.936213414185</v>
      </c>
      <c r="AB675" s="393">
        <f t="shared" si="382"/>
        <v>0</v>
      </c>
      <c r="AC675" s="393">
        <f t="shared" si="382"/>
        <v>0</v>
      </c>
      <c r="AD675" s="393">
        <f t="shared" si="382"/>
        <v>0</v>
      </c>
      <c r="AE675" s="393">
        <f t="shared" si="382"/>
        <v>0</v>
      </c>
      <c r="AF675" s="393">
        <f t="shared" si="382"/>
        <v>0</v>
      </c>
      <c r="AG675" s="393">
        <f t="shared" si="382"/>
        <v>0</v>
      </c>
      <c r="AH675" s="393">
        <f t="shared" si="382"/>
        <v>0</v>
      </c>
      <c r="AI675" s="393">
        <f t="shared" si="382"/>
        <v>0</v>
      </c>
      <c r="AJ675" s="393">
        <f t="shared" si="382"/>
        <v>0</v>
      </c>
      <c r="AK675" s="393">
        <f t="shared" si="382"/>
        <v>0</v>
      </c>
      <c r="AL675" s="393">
        <f t="shared" si="382"/>
        <v>0</v>
      </c>
      <c r="AM675" s="393">
        <f t="shared" si="382"/>
        <v>0</v>
      </c>
      <c r="AN675" s="393">
        <f t="shared" si="382"/>
        <v>0</v>
      </c>
      <c r="AO675" s="393">
        <f t="shared" si="382"/>
        <v>0</v>
      </c>
      <c r="AP675" s="393">
        <f t="shared" si="382"/>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74</v>
      </c>
      <c r="B1" s="2"/>
      <c r="C1" s="213"/>
      <c r="D1" s="2"/>
      <c r="E1" s="2"/>
      <c r="F1" s="2"/>
      <c r="G1" s="3"/>
    </row>
    <row r="2" spans="1:7" s="4" customFormat="1" ht="12.75" x14ac:dyDescent="0.2">
      <c r="A2" s="5" t="s">
        <v>123</v>
      </c>
      <c r="B2" s="6" t="s">
        <v>68</v>
      </c>
      <c r="C2" s="6" t="s">
        <v>69</v>
      </c>
      <c r="D2" s="6" t="s">
        <v>70</v>
      </c>
      <c r="E2" s="6" t="s">
        <v>71</v>
      </c>
      <c r="F2" s="6" t="s">
        <v>72</v>
      </c>
      <c r="G2" s="6" t="s">
        <v>73</v>
      </c>
    </row>
    <row r="3" spans="1:7" s="4" customFormat="1" ht="12.75" x14ac:dyDescent="0.2">
      <c r="A3" s="215">
        <v>1</v>
      </c>
      <c r="B3" s="395">
        <v>20</v>
      </c>
      <c r="C3" s="401">
        <v>5</v>
      </c>
      <c r="D3" s="395">
        <v>10</v>
      </c>
      <c r="E3" s="395">
        <v>3.33</v>
      </c>
      <c r="F3" s="395">
        <v>2.5</v>
      </c>
      <c r="G3" s="395">
        <f>2.56410256410256*0.5</f>
        <v>1.2820512820512799</v>
      </c>
    </row>
    <row r="4" spans="1:7" s="4" customFormat="1" ht="12.75" x14ac:dyDescent="0.2">
      <c r="A4" s="216">
        <v>2</v>
      </c>
      <c r="B4" s="395">
        <v>32</v>
      </c>
      <c r="C4" s="402">
        <v>9.5</v>
      </c>
      <c r="D4" s="397">
        <v>20</v>
      </c>
      <c r="E4" s="397">
        <v>6.67</v>
      </c>
      <c r="F4" s="397">
        <v>5</v>
      </c>
      <c r="G4" s="397">
        <v>2.5641025641025599</v>
      </c>
    </row>
    <row r="5" spans="1:7" s="4" customFormat="1" ht="12.75" x14ac:dyDescent="0.2">
      <c r="A5" s="216">
        <v>3</v>
      </c>
      <c r="B5" s="395">
        <v>19.2</v>
      </c>
      <c r="C5" s="397">
        <v>8.5500000000000007</v>
      </c>
      <c r="D5" s="397">
        <v>20</v>
      </c>
      <c r="E5" s="397">
        <v>6.67</v>
      </c>
      <c r="F5" s="397">
        <v>5</v>
      </c>
      <c r="G5" s="397">
        <v>2.5641025641025599</v>
      </c>
    </row>
    <row r="6" spans="1:7" s="4" customFormat="1" ht="12.75" x14ac:dyDescent="0.2">
      <c r="A6" s="216">
        <v>4</v>
      </c>
      <c r="B6" s="395">
        <v>11.52</v>
      </c>
      <c r="C6" s="397">
        <v>7.7</v>
      </c>
      <c r="D6" s="397">
        <v>20</v>
      </c>
      <c r="E6" s="397">
        <v>6.67</v>
      </c>
      <c r="F6" s="397">
        <v>5</v>
      </c>
      <c r="G6" s="397">
        <v>2.5641025641025599</v>
      </c>
    </row>
    <row r="7" spans="1:7" s="4" customFormat="1" ht="12.75" x14ac:dyDescent="0.2">
      <c r="A7" s="216">
        <v>5</v>
      </c>
      <c r="B7" s="395">
        <v>11.52</v>
      </c>
      <c r="C7" s="397">
        <v>6.93</v>
      </c>
      <c r="D7" s="397">
        <v>20</v>
      </c>
      <c r="E7" s="397">
        <v>6.67</v>
      </c>
      <c r="F7" s="397">
        <v>5</v>
      </c>
      <c r="G7" s="397">
        <v>2.5641025641025599</v>
      </c>
    </row>
    <row r="8" spans="1:7" s="4" customFormat="1" ht="12.75" x14ac:dyDescent="0.2">
      <c r="A8" s="216">
        <v>6</v>
      </c>
      <c r="B8" s="395">
        <v>5.76</v>
      </c>
      <c r="C8" s="397">
        <v>6.23</v>
      </c>
      <c r="D8" s="397">
        <v>10</v>
      </c>
      <c r="E8" s="397">
        <v>6.67</v>
      </c>
      <c r="F8" s="397">
        <v>5</v>
      </c>
      <c r="G8" s="397">
        <v>2.5641025641025599</v>
      </c>
    </row>
    <row r="9" spans="1:7" s="4" customFormat="1" ht="12.75" x14ac:dyDescent="0.2">
      <c r="A9" s="216">
        <v>7</v>
      </c>
      <c r="B9" s="396">
        <v>0</v>
      </c>
      <c r="C9" s="397">
        <v>5.9</v>
      </c>
      <c r="D9" s="397">
        <v>0</v>
      </c>
      <c r="E9" s="397">
        <v>6.67</v>
      </c>
      <c r="F9" s="397">
        <v>5</v>
      </c>
      <c r="G9" s="397">
        <v>2.5641025641025599</v>
      </c>
    </row>
    <row r="10" spans="1:7" s="4" customFormat="1" ht="12.75" x14ac:dyDescent="0.2">
      <c r="A10" s="216">
        <v>8</v>
      </c>
      <c r="B10" s="397">
        <v>0</v>
      </c>
      <c r="C10" s="397">
        <v>5.9</v>
      </c>
      <c r="D10" s="397">
        <v>0</v>
      </c>
      <c r="E10" s="397">
        <v>6.67</v>
      </c>
      <c r="F10" s="397">
        <v>5</v>
      </c>
      <c r="G10" s="397">
        <v>2.5641025641025599</v>
      </c>
    </row>
    <row r="11" spans="1:7" s="4" customFormat="1" ht="12.75" x14ac:dyDescent="0.2">
      <c r="A11" s="216">
        <v>9</v>
      </c>
      <c r="B11" s="397">
        <v>0</v>
      </c>
      <c r="C11" s="397">
        <v>5.91</v>
      </c>
      <c r="D11" s="397">
        <v>0</v>
      </c>
      <c r="E11" s="397">
        <v>6.67</v>
      </c>
      <c r="F11" s="397">
        <v>5</v>
      </c>
      <c r="G11" s="397">
        <v>2.5641025641025599</v>
      </c>
    </row>
    <row r="12" spans="1:7" s="4" customFormat="1" ht="12.75" x14ac:dyDescent="0.2">
      <c r="A12" s="216">
        <v>10</v>
      </c>
      <c r="B12" s="397">
        <v>0</v>
      </c>
      <c r="C12" s="397">
        <v>5.9</v>
      </c>
      <c r="D12" s="397">
        <v>0</v>
      </c>
      <c r="E12" s="397">
        <v>6.67</v>
      </c>
      <c r="F12" s="397">
        <v>5</v>
      </c>
      <c r="G12" s="397">
        <v>2.5641025641025599</v>
      </c>
    </row>
    <row r="13" spans="1:7" s="4" customFormat="1" ht="12.75" x14ac:dyDescent="0.2">
      <c r="A13" s="216">
        <v>11</v>
      </c>
      <c r="B13" s="397">
        <v>0</v>
      </c>
      <c r="C13" s="397">
        <v>5.91</v>
      </c>
      <c r="D13" s="397">
        <v>0</v>
      </c>
      <c r="E13" s="397">
        <v>6.67</v>
      </c>
      <c r="F13" s="397">
        <v>5</v>
      </c>
      <c r="G13" s="397">
        <v>2.5641025641025599</v>
      </c>
    </row>
    <row r="14" spans="1:7" s="4" customFormat="1" ht="12.75" x14ac:dyDescent="0.2">
      <c r="A14" s="216">
        <v>12</v>
      </c>
      <c r="B14" s="397">
        <v>0</v>
      </c>
      <c r="C14" s="397">
        <v>5.9</v>
      </c>
      <c r="D14" s="397">
        <v>0</v>
      </c>
      <c r="E14" s="397">
        <v>6.66</v>
      </c>
      <c r="F14" s="397">
        <v>5</v>
      </c>
      <c r="G14" s="397">
        <v>2.5641025641025599</v>
      </c>
    </row>
    <row r="15" spans="1:7" s="4" customFormat="1" ht="12.75" x14ac:dyDescent="0.2">
      <c r="A15" s="216">
        <v>13</v>
      </c>
      <c r="B15" s="397">
        <v>0</v>
      </c>
      <c r="C15" s="397">
        <v>5.91</v>
      </c>
      <c r="D15" s="397">
        <v>0</v>
      </c>
      <c r="E15" s="397">
        <v>6.67</v>
      </c>
      <c r="F15" s="397">
        <v>5</v>
      </c>
      <c r="G15" s="397">
        <v>2.5641025641025599</v>
      </c>
    </row>
    <row r="16" spans="1:7" s="4" customFormat="1" ht="12.75" x14ac:dyDescent="0.2">
      <c r="A16" s="216">
        <v>14</v>
      </c>
      <c r="B16" s="397">
        <v>0</v>
      </c>
      <c r="C16" s="397">
        <v>5.9</v>
      </c>
      <c r="D16" s="397">
        <v>0</v>
      </c>
      <c r="E16" s="397">
        <v>6.66</v>
      </c>
      <c r="F16" s="397">
        <v>5</v>
      </c>
      <c r="G16" s="397">
        <v>2.5641025641025599</v>
      </c>
    </row>
    <row r="17" spans="1:7" s="4" customFormat="1" ht="12.75" x14ac:dyDescent="0.2">
      <c r="A17" s="216">
        <v>15</v>
      </c>
      <c r="B17" s="397">
        <v>0</v>
      </c>
      <c r="C17" s="397">
        <v>5.9</v>
      </c>
      <c r="D17" s="397">
        <v>0</v>
      </c>
      <c r="E17" s="397">
        <v>6.67</v>
      </c>
      <c r="F17" s="397">
        <v>5</v>
      </c>
      <c r="G17" s="397">
        <v>2.5641025641025599</v>
      </c>
    </row>
    <row r="18" spans="1:7" s="4" customFormat="1" ht="12.75" x14ac:dyDescent="0.2">
      <c r="A18" s="216">
        <v>16</v>
      </c>
      <c r="B18" s="397">
        <v>0</v>
      </c>
      <c r="C18" s="397">
        <v>2.95</v>
      </c>
      <c r="D18" s="397">
        <v>0</v>
      </c>
      <c r="E18" s="397">
        <v>3.33</v>
      </c>
      <c r="F18" s="397">
        <v>5</v>
      </c>
      <c r="G18" s="397">
        <v>2.5641025641025599</v>
      </c>
    </row>
    <row r="19" spans="1:7" s="4" customFormat="1" ht="12.75" x14ac:dyDescent="0.2">
      <c r="A19" s="216">
        <v>17</v>
      </c>
      <c r="B19" s="397">
        <v>0</v>
      </c>
      <c r="C19" s="397">
        <v>0</v>
      </c>
      <c r="D19" s="397">
        <v>0</v>
      </c>
      <c r="E19" s="397">
        <v>0</v>
      </c>
      <c r="F19" s="397">
        <v>5</v>
      </c>
      <c r="G19" s="397">
        <v>2.5641025641025599</v>
      </c>
    </row>
    <row r="20" spans="1:7" s="4" customFormat="1" ht="12.75" x14ac:dyDescent="0.2">
      <c r="A20" s="216">
        <v>18</v>
      </c>
      <c r="B20" s="397">
        <v>0</v>
      </c>
      <c r="C20" s="397">
        <v>0</v>
      </c>
      <c r="D20" s="397">
        <v>0</v>
      </c>
      <c r="E20" s="397">
        <v>0</v>
      </c>
      <c r="F20" s="397">
        <v>5</v>
      </c>
      <c r="G20" s="397">
        <v>2.5641025641025599</v>
      </c>
    </row>
    <row r="21" spans="1:7" s="4" customFormat="1" ht="12.75" x14ac:dyDescent="0.2">
      <c r="A21" s="216">
        <v>19</v>
      </c>
      <c r="B21" s="397">
        <v>0</v>
      </c>
      <c r="C21" s="397">
        <v>0</v>
      </c>
      <c r="D21" s="397">
        <v>0</v>
      </c>
      <c r="E21" s="397">
        <v>0</v>
      </c>
      <c r="F21" s="397">
        <v>5</v>
      </c>
      <c r="G21" s="397">
        <v>2.5641025641025599</v>
      </c>
    </row>
    <row r="22" spans="1:7" s="4" customFormat="1" ht="12.75" x14ac:dyDescent="0.2">
      <c r="A22" s="216">
        <v>20</v>
      </c>
      <c r="B22" s="397">
        <v>0</v>
      </c>
      <c r="C22" s="397">
        <v>0</v>
      </c>
      <c r="D22" s="397">
        <v>0</v>
      </c>
      <c r="E22" s="397">
        <v>0</v>
      </c>
      <c r="F22" s="397">
        <v>5</v>
      </c>
      <c r="G22" s="397">
        <v>2.5641025641025599</v>
      </c>
    </row>
    <row r="23" spans="1:7" s="4" customFormat="1" ht="12.75" x14ac:dyDescent="0.2">
      <c r="A23" s="216">
        <v>21</v>
      </c>
      <c r="B23" s="397">
        <v>0</v>
      </c>
      <c r="C23" s="397">
        <v>0</v>
      </c>
      <c r="D23" s="397">
        <v>0</v>
      </c>
      <c r="E23" s="397">
        <v>0</v>
      </c>
      <c r="F23" s="397">
        <v>2.5</v>
      </c>
      <c r="G23" s="397">
        <v>2.5641025641025599</v>
      </c>
    </row>
    <row r="24" spans="1:7" s="4" customFormat="1" ht="12.75" customHeight="1" x14ac:dyDescent="0.2">
      <c r="A24" s="216">
        <v>22</v>
      </c>
      <c r="B24" s="397">
        <v>0</v>
      </c>
      <c r="C24" s="397">
        <v>0</v>
      </c>
      <c r="D24" s="397">
        <v>0</v>
      </c>
      <c r="E24" s="397">
        <v>0</v>
      </c>
      <c r="F24" s="397">
        <v>0</v>
      </c>
      <c r="G24" s="397">
        <v>2.5641025641025599</v>
      </c>
    </row>
    <row r="25" spans="1:7" s="4" customFormat="1" ht="12.75" customHeight="1" x14ac:dyDescent="0.2">
      <c r="A25" s="216">
        <v>23</v>
      </c>
      <c r="B25" s="397">
        <v>0</v>
      </c>
      <c r="C25" s="397">
        <v>0</v>
      </c>
      <c r="D25" s="397">
        <v>0</v>
      </c>
      <c r="E25" s="397">
        <v>0</v>
      </c>
      <c r="F25" s="397">
        <v>0</v>
      </c>
      <c r="G25" s="397">
        <v>2.5641025641025599</v>
      </c>
    </row>
    <row r="26" spans="1:7" s="4" customFormat="1" ht="12.75" customHeight="1" x14ac:dyDescent="0.2">
      <c r="A26" s="216">
        <v>24</v>
      </c>
      <c r="B26" s="397">
        <v>0</v>
      </c>
      <c r="C26" s="397">
        <v>0</v>
      </c>
      <c r="D26" s="397">
        <v>0</v>
      </c>
      <c r="E26" s="397">
        <v>0</v>
      </c>
      <c r="F26" s="397">
        <v>0</v>
      </c>
      <c r="G26" s="397">
        <v>2.5641025641025599</v>
      </c>
    </row>
    <row r="27" spans="1:7" s="4" customFormat="1" ht="12.75" customHeight="1" x14ac:dyDescent="0.2">
      <c r="A27" s="216">
        <v>25</v>
      </c>
      <c r="B27" s="397">
        <v>0</v>
      </c>
      <c r="C27" s="397">
        <v>0</v>
      </c>
      <c r="D27" s="397">
        <v>0</v>
      </c>
      <c r="E27" s="397">
        <v>0</v>
      </c>
      <c r="F27" s="397">
        <v>0</v>
      </c>
      <c r="G27" s="397">
        <v>2.5641025641025599</v>
      </c>
    </row>
    <row r="28" spans="1:7" s="4" customFormat="1" ht="12.75" customHeight="1" x14ac:dyDescent="0.2">
      <c r="A28" s="216">
        <v>26</v>
      </c>
      <c r="B28" s="397">
        <v>0</v>
      </c>
      <c r="C28" s="397">
        <v>0</v>
      </c>
      <c r="D28" s="397">
        <v>0</v>
      </c>
      <c r="E28" s="397">
        <v>0</v>
      </c>
      <c r="F28" s="397">
        <v>0</v>
      </c>
      <c r="G28" s="397">
        <v>2.5641025641025599</v>
      </c>
    </row>
    <row r="29" spans="1:7" s="4" customFormat="1" ht="12.75" customHeight="1" x14ac:dyDescent="0.2">
      <c r="A29" s="216">
        <v>27</v>
      </c>
      <c r="B29" s="397">
        <v>0</v>
      </c>
      <c r="C29" s="397">
        <v>0</v>
      </c>
      <c r="D29" s="397">
        <v>0</v>
      </c>
      <c r="E29" s="397">
        <v>0</v>
      </c>
      <c r="F29" s="397">
        <v>0</v>
      </c>
      <c r="G29" s="397">
        <v>2.5641025641025599</v>
      </c>
    </row>
    <row r="30" spans="1:7" ht="12.75" customHeight="1" x14ac:dyDescent="0.25">
      <c r="A30" s="216">
        <v>28</v>
      </c>
      <c r="B30" s="397">
        <v>0</v>
      </c>
      <c r="C30" s="397">
        <v>0</v>
      </c>
      <c r="D30" s="397">
        <v>0</v>
      </c>
      <c r="E30" s="397">
        <v>0</v>
      </c>
      <c r="F30" s="397">
        <v>0</v>
      </c>
      <c r="G30" s="397">
        <v>2.5641025641025599</v>
      </c>
    </row>
    <row r="31" spans="1:7" ht="12.75" customHeight="1" x14ac:dyDescent="0.25">
      <c r="A31" s="216">
        <v>29</v>
      </c>
      <c r="B31" s="397">
        <v>0</v>
      </c>
      <c r="C31" s="397">
        <v>0</v>
      </c>
      <c r="D31" s="397">
        <v>0</v>
      </c>
      <c r="E31" s="397">
        <v>0</v>
      </c>
      <c r="F31" s="397">
        <v>0</v>
      </c>
      <c r="G31" s="397">
        <v>2.5641025641025599</v>
      </c>
    </row>
    <row r="32" spans="1:7" ht="12.75" customHeight="1" x14ac:dyDescent="0.25">
      <c r="A32" s="216">
        <v>30</v>
      </c>
      <c r="B32" s="397">
        <v>0</v>
      </c>
      <c r="C32" s="397">
        <v>0</v>
      </c>
      <c r="D32" s="397">
        <v>0</v>
      </c>
      <c r="E32" s="397">
        <v>0</v>
      </c>
      <c r="F32" s="397">
        <v>0</v>
      </c>
      <c r="G32" s="397">
        <v>2.5641025641025599</v>
      </c>
    </row>
    <row r="33" spans="1:7" ht="12.75" customHeight="1" x14ac:dyDescent="0.25">
      <c r="A33" s="216">
        <v>31</v>
      </c>
      <c r="B33" s="397">
        <v>0</v>
      </c>
      <c r="C33" s="397">
        <v>0</v>
      </c>
      <c r="D33" s="397">
        <v>0</v>
      </c>
      <c r="E33" s="397">
        <v>0</v>
      </c>
      <c r="F33" s="397">
        <v>0</v>
      </c>
      <c r="G33" s="397">
        <v>2.5641025641025599</v>
      </c>
    </row>
    <row r="34" spans="1:7" ht="12.75" customHeight="1" x14ac:dyDescent="0.25">
      <c r="A34" s="216">
        <v>32</v>
      </c>
      <c r="B34" s="397">
        <v>0</v>
      </c>
      <c r="C34" s="397">
        <v>0</v>
      </c>
      <c r="D34" s="397">
        <v>0</v>
      </c>
      <c r="E34" s="397">
        <v>0</v>
      </c>
      <c r="F34" s="397">
        <v>0</v>
      </c>
      <c r="G34" s="397">
        <v>2.5641025641025599</v>
      </c>
    </row>
    <row r="35" spans="1:7" ht="12.75" customHeight="1" x14ac:dyDescent="0.25">
      <c r="A35" s="216">
        <v>33</v>
      </c>
      <c r="B35" s="397">
        <v>0</v>
      </c>
      <c r="C35" s="397">
        <v>0</v>
      </c>
      <c r="D35" s="397">
        <v>0</v>
      </c>
      <c r="E35" s="397">
        <v>0</v>
      </c>
      <c r="F35" s="397">
        <v>0</v>
      </c>
      <c r="G35" s="397">
        <v>2.5641025641025599</v>
      </c>
    </row>
    <row r="36" spans="1:7" ht="12.75" customHeight="1" x14ac:dyDescent="0.25">
      <c r="A36" s="216">
        <v>34</v>
      </c>
      <c r="B36" s="397">
        <v>0</v>
      </c>
      <c r="C36" s="397">
        <v>0</v>
      </c>
      <c r="D36" s="397">
        <v>0</v>
      </c>
      <c r="E36" s="397">
        <v>0</v>
      </c>
      <c r="F36" s="397">
        <v>0</v>
      </c>
      <c r="G36" s="397">
        <v>2.5641025641025599</v>
      </c>
    </row>
    <row r="37" spans="1:7" ht="12.75" customHeight="1" x14ac:dyDescent="0.25">
      <c r="A37" s="216">
        <v>35</v>
      </c>
      <c r="B37" s="397">
        <v>0</v>
      </c>
      <c r="C37" s="397">
        <v>0</v>
      </c>
      <c r="D37" s="397">
        <v>0</v>
      </c>
      <c r="E37" s="397">
        <v>0</v>
      </c>
      <c r="F37" s="397">
        <v>0</v>
      </c>
      <c r="G37" s="397">
        <v>2.5641025641025599</v>
      </c>
    </row>
    <row r="38" spans="1:7" ht="12.75" customHeight="1" x14ac:dyDescent="0.25">
      <c r="A38" s="216">
        <v>36</v>
      </c>
      <c r="B38" s="397">
        <v>0</v>
      </c>
      <c r="C38" s="397">
        <v>0</v>
      </c>
      <c r="D38" s="397">
        <v>0</v>
      </c>
      <c r="E38" s="397">
        <v>0</v>
      </c>
      <c r="F38" s="397">
        <v>0</v>
      </c>
      <c r="G38" s="397">
        <v>2.5641025641025599</v>
      </c>
    </row>
    <row r="39" spans="1:7" ht="12.75" customHeight="1" x14ac:dyDescent="0.25">
      <c r="A39" s="216">
        <v>37</v>
      </c>
      <c r="B39" s="397">
        <v>0</v>
      </c>
      <c r="C39" s="397">
        <v>0</v>
      </c>
      <c r="D39" s="397">
        <v>0</v>
      </c>
      <c r="E39" s="397">
        <v>0</v>
      </c>
      <c r="F39" s="397">
        <v>0</v>
      </c>
      <c r="G39" s="397">
        <v>2.5641025641025599</v>
      </c>
    </row>
    <row r="40" spans="1:7" ht="12.75" customHeight="1" x14ac:dyDescent="0.25">
      <c r="A40" s="216">
        <v>38</v>
      </c>
      <c r="B40" s="397">
        <v>0</v>
      </c>
      <c r="C40" s="397">
        <v>0</v>
      </c>
      <c r="D40" s="397">
        <v>0</v>
      </c>
      <c r="E40" s="397">
        <v>0</v>
      </c>
      <c r="F40" s="397">
        <v>0</v>
      </c>
      <c r="G40" s="397">
        <v>2.5641025641025599</v>
      </c>
    </row>
    <row r="41" spans="1:7" ht="12.75" customHeight="1" x14ac:dyDescent="0.25">
      <c r="A41" s="216">
        <v>39</v>
      </c>
      <c r="B41" s="397">
        <v>0</v>
      </c>
      <c r="C41" s="397">
        <v>0</v>
      </c>
      <c r="D41" s="397">
        <v>0</v>
      </c>
      <c r="E41" s="397">
        <v>0</v>
      </c>
      <c r="F41" s="397">
        <v>0</v>
      </c>
      <c r="G41" s="397">
        <v>2.5641025641025599</v>
      </c>
    </row>
    <row r="42" spans="1:7" ht="12.75" customHeight="1" x14ac:dyDescent="0.25">
      <c r="A42" s="217">
        <v>40</v>
      </c>
      <c r="B42" s="398">
        <v>0</v>
      </c>
      <c r="C42" s="398">
        <v>0</v>
      </c>
      <c r="D42" s="398">
        <v>0</v>
      </c>
      <c r="E42" s="398">
        <v>0</v>
      </c>
      <c r="F42" s="398">
        <v>0</v>
      </c>
      <c r="G42" s="398">
        <f>2.56410256410256*0.5</f>
        <v>1.2820512820512799</v>
      </c>
    </row>
    <row r="43" spans="1:7" x14ac:dyDescent="0.25">
      <c r="A43" s="214" t="s">
        <v>321</v>
      </c>
      <c r="B43" s="214"/>
      <c r="C43" s="214"/>
      <c r="D43" s="214"/>
      <c r="E43" s="214"/>
      <c r="F43" s="214"/>
      <c r="G43" s="214"/>
    </row>
    <row r="44" spans="1:7" x14ac:dyDescent="0.25">
      <c r="A44" s="214" t="s">
        <v>171</v>
      </c>
      <c r="B44" s="214"/>
      <c r="C44" s="214"/>
      <c r="D44" s="214"/>
      <c r="E44" s="214"/>
      <c r="F44" s="214"/>
      <c r="G44" s="214"/>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19"/>
  <sheetViews>
    <sheetView workbookViewId="0"/>
  </sheetViews>
  <sheetFormatPr defaultRowHeight="15" x14ac:dyDescent="0.25"/>
  <cols>
    <col min="2" max="2" width="20.5703125" customWidth="1"/>
  </cols>
  <sheetData>
    <row r="2" spans="2:9" x14ac:dyDescent="0.25">
      <c r="B2" t="s">
        <v>311</v>
      </c>
    </row>
    <row r="5" spans="2:9" x14ac:dyDescent="0.25">
      <c r="B5" s="8" t="s">
        <v>233</v>
      </c>
      <c r="C5" s="11"/>
      <c r="D5" s="11"/>
      <c r="E5" s="11"/>
      <c r="F5" s="11"/>
      <c r="G5" s="11"/>
      <c r="H5" s="11"/>
      <c r="I5" s="9"/>
    </row>
    <row r="6" spans="2:9" ht="64.5" x14ac:dyDescent="0.25">
      <c r="B6" s="73"/>
      <c r="C6" s="78" t="s">
        <v>227</v>
      </c>
      <c r="D6" s="79" t="s">
        <v>228</v>
      </c>
      <c r="E6" s="79" t="s">
        <v>229</v>
      </c>
      <c r="F6" s="79" t="s">
        <v>230</v>
      </c>
      <c r="G6" s="79" t="s">
        <v>43</v>
      </c>
      <c r="H6" s="79" t="s">
        <v>44</v>
      </c>
      <c r="I6" s="80" t="s">
        <v>231</v>
      </c>
    </row>
    <row r="7" spans="2:9" x14ac:dyDescent="0.25">
      <c r="B7" s="73" t="s">
        <v>222</v>
      </c>
      <c r="C7" s="81">
        <v>1</v>
      </c>
      <c r="D7" s="73">
        <v>1</v>
      </c>
      <c r="E7" s="73">
        <v>6</v>
      </c>
      <c r="F7" s="82">
        <v>0.04</v>
      </c>
      <c r="G7" s="83">
        <f>C7*total_installed_cost</f>
        <v>50000000</v>
      </c>
      <c r="H7" s="84">
        <f>G7*F7/12*0.5</f>
        <v>83333.333333333328</v>
      </c>
      <c r="I7" s="85">
        <f>H7+D7*G7</f>
        <v>50083333.333333336</v>
      </c>
    </row>
    <row r="8" spans="2:9" x14ac:dyDescent="0.25">
      <c r="B8" s="73" t="s">
        <v>223</v>
      </c>
      <c r="C8" s="81">
        <v>0</v>
      </c>
      <c r="D8" s="73">
        <v>0</v>
      </c>
      <c r="E8" s="73">
        <v>0</v>
      </c>
      <c r="F8" s="82">
        <v>0</v>
      </c>
      <c r="G8" s="83">
        <f>C8*total_installed_cost</f>
        <v>0</v>
      </c>
      <c r="H8" s="84">
        <f>G8*F8/12*0.5</f>
        <v>0</v>
      </c>
      <c r="I8" s="85">
        <f>H8+D8*G8</f>
        <v>0</v>
      </c>
    </row>
    <row r="9" spans="2:9" x14ac:dyDescent="0.25">
      <c r="B9" s="73" t="s">
        <v>224</v>
      </c>
      <c r="C9" s="81">
        <v>0</v>
      </c>
      <c r="D9" s="73">
        <v>0</v>
      </c>
      <c r="E9" s="73">
        <v>0</v>
      </c>
      <c r="F9" s="82">
        <v>0</v>
      </c>
      <c r="G9" s="83">
        <f>C9*total_installed_cost</f>
        <v>0</v>
      </c>
      <c r="H9" s="84">
        <f>G9*F9/12*0.5</f>
        <v>0</v>
      </c>
      <c r="I9" s="85">
        <f>H9+D9*G9</f>
        <v>0</v>
      </c>
    </row>
    <row r="10" spans="2:9" x14ac:dyDescent="0.25">
      <c r="B10" s="73" t="s">
        <v>225</v>
      </c>
      <c r="C10" s="81">
        <v>0</v>
      </c>
      <c r="D10" s="73">
        <v>0</v>
      </c>
      <c r="E10" s="73">
        <v>0</v>
      </c>
      <c r="F10" s="82">
        <v>0</v>
      </c>
      <c r="G10" s="83">
        <f>C10*total_installed_cost</f>
        <v>0</v>
      </c>
      <c r="H10" s="84">
        <f>G10*F10/12*0.5</f>
        <v>0</v>
      </c>
      <c r="I10" s="85">
        <f>H10+D10*G10</f>
        <v>0</v>
      </c>
    </row>
    <row r="11" spans="2:9" x14ac:dyDescent="0.25">
      <c r="B11" s="73" t="s">
        <v>226</v>
      </c>
      <c r="C11" s="87">
        <v>0</v>
      </c>
      <c r="D11" s="15">
        <v>0</v>
      </c>
      <c r="E11" s="15">
        <v>0</v>
      </c>
      <c r="F11" s="88">
        <v>0</v>
      </c>
      <c r="G11" s="83">
        <f>C11*total_installed_cost</f>
        <v>0</v>
      </c>
      <c r="H11" s="84">
        <f>G11*F11/12*0.5</f>
        <v>0</v>
      </c>
      <c r="I11" s="85">
        <f>H11+D11*G11</f>
        <v>0</v>
      </c>
    </row>
    <row r="12" spans="2:9" x14ac:dyDescent="0.25">
      <c r="B12" s="86" t="s">
        <v>232</v>
      </c>
      <c r="C12" s="89"/>
      <c r="D12" s="60"/>
      <c r="E12" s="60"/>
      <c r="F12" s="90"/>
      <c r="G12" s="91">
        <f>SUM(G7:G11)</f>
        <v>50000000</v>
      </c>
      <c r="H12" s="92">
        <f>SUM(H7:H11)</f>
        <v>83333.333333333328</v>
      </c>
      <c r="I12" s="93">
        <f>SUM(I7:I11)</f>
        <v>50083333.333333336</v>
      </c>
    </row>
    <row r="14" spans="2:9" x14ac:dyDescent="0.25">
      <c r="B14" s="12"/>
    </row>
    <row r="15" spans="2:9" x14ac:dyDescent="0.25">
      <c r="B15" s="12"/>
    </row>
    <row r="16" spans="2:9" x14ac:dyDescent="0.25">
      <c r="B16" s="12"/>
      <c r="C16" s="264"/>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194</vt:i4>
      </vt:variant>
    </vt:vector>
  </HeadingPairs>
  <TitlesOfParts>
    <vt:vector size="199" baseType="lpstr">
      <vt:lpstr>Inputs</vt:lpstr>
      <vt:lpstr>Results Summary</vt:lpstr>
      <vt:lpstr>Cash Flow</vt:lpstr>
      <vt:lpstr>Depreciation Schedules</vt:lpstr>
      <vt:lpstr>Intermediate Calculators</vt:lpstr>
      <vt:lpstr>analysis_period</vt:lpstr>
      <vt:lpstr>AnnualEnergyYear1</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construction_financing_cost</vt:lpstr>
      <vt:lpstr>cost_debt_closing</vt:lpstr>
      <vt:lpstr>cost_debt_fee</vt:lpstr>
      <vt:lpstr>cost_other_financing</vt:lpstr>
      <vt:lpstr>Degradation</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DeprAllocNone</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IRRInTargetYear</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2014-08-28T18:05:23Z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5</vt:r8>
  </property>
  <property fmtid="{D5CDD505-2E9C-101B-9397-08002B2CF9AE}" pid="3" name="tax_cost_assessed_percent" linkTarget="prop_tax_cost_assessed_percent">
    <vt:r8>95</vt:r8>
  </property>
</Properties>
</file>