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showInkAnnotation="0" codeName="ThisWorkbook" defaultThemeVersion="124226"/>
  <bookViews>
    <workbookView xWindow="-15" yWindow="-15" windowWidth="19260" windowHeight="4200" tabRatio="734"/>
  </bookViews>
  <sheets>
    <sheet name="Inputs" sheetId="1" r:id="rId1"/>
    <sheet name="Results Summary" sheetId="8" r:id="rId2"/>
    <sheet name="Cash Flow" sheetId="7" r:id="rId3"/>
    <sheet name="Depreciation Schedules" sheetId="4" r:id="rId4"/>
  </sheets>
  <definedNames>
    <definedName name="AnalysisPeriod">Inputs!$C$33</definedName>
    <definedName name="CapacityDC">Inputs!$C$3</definedName>
    <definedName name="CBIFed">Inputs!$I$114</definedName>
    <definedName name="CBIFedFedDeprec">Inputs!$G$114</definedName>
    <definedName name="CBIFedFedTax">Inputs!$E$114</definedName>
    <definedName name="CBIFedStateDeprec">Inputs!$H$114</definedName>
    <definedName name="CBIFedStateTax">Inputs!$F$114</definedName>
    <definedName name="CBIOther">Inputs!$I$117</definedName>
    <definedName name="CBIOtherFedDeprec">Inputs!$G$117</definedName>
    <definedName name="CBIOtherFedTax">Inputs!$E$117</definedName>
    <definedName name="CBIOtherStateDeprec">Inputs!$H$117</definedName>
    <definedName name="CBIOtherStateTax">Inputs!$F$117</definedName>
    <definedName name="CBIState">Inputs!$I$115</definedName>
    <definedName name="CBIStateFedDeprec">Inputs!$G$115</definedName>
    <definedName name="CBIStateFedTax">Inputs!$E$115</definedName>
    <definedName name="CBIStateStateDeprec">Inputs!$H$115</definedName>
    <definedName name="CBIStateStateTax">Inputs!$F$115</definedName>
    <definedName name="CBIUtility">Inputs!$I$116</definedName>
    <definedName name="CBIUtilityFedDeprec">Inputs!$G$116</definedName>
    <definedName name="CBIUtilityFedTax">Inputs!$E$116</definedName>
    <definedName name="CBIUtilityStateDeprec">Inputs!$H$116</definedName>
    <definedName name="CBIUtilityStateTax">Inputs!$F$116</definedName>
    <definedName name="DiscountRate">Inputs!$C$36</definedName>
    <definedName name="FedBasisReduction">Inputs!$C$125</definedName>
    <definedName name="FedBonusDeprec">Inputs!$D$136</definedName>
    <definedName name="FedPTCAmount">Inputs!$C$98</definedName>
    <definedName name="FedPTCTerm">Inputs!$D$98</definedName>
    <definedName name="FedTax">Inputs!$C$38</definedName>
    <definedName name="IBIFedFixed">Inputs!$C$104</definedName>
    <definedName name="IBIFedFixedFedDeprec">Inputs!$G$104</definedName>
    <definedName name="IBIFedFixedFedTax">Inputs!$E$104</definedName>
    <definedName name="IBIFedFixedStateDeprec">Inputs!$H$104</definedName>
    <definedName name="IBIFedFixedStateTax">Inputs!$F$104</definedName>
    <definedName name="IBIFedPercent">Inputs!$I$109</definedName>
    <definedName name="IBIFedPercentFedDeprec">Inputs!$G$109</definedName>
    <definedName name="IBIFedPercentFedTax">Inputs!$E$109</definedName>
    <definedName name="IBIFedPercentStateDeprec">Inputs!$H$109</definedName>
    <definedName name="IBIFedPercentStateTax">Inputs!$F$109</definedName>
    <definedName name="IBIOtherFixed">Inputs!$C$107</definedName>
    <definedName name="IBIOtherFixedFedDeprec">Inputs!$G$107</definedName>
    <definedName name="IBIOtherFixedFedTax">Inputs!$E$107</definedName>
    <definedName name="IBIOtherFixedStateDeprec">Inputs!$H$107</definedName>
    <definedName name="IBIOtherFixedStateTax">Inputs!$F$107</definedName>
    <definedName name="IBIOtherPercent">Inputs!$I$112</definedName>
    <definedName name="IBIOtherPercentFedDeprec">Inputs!$G$112</definedName>
    <definedName name="IBIOtherPercentFedTax">Inputs!$E$112</definedName>
    <definedName name="IBIOtherPercentStateDeprec">Inputs!$H$112</definedName>
    <definedName name="IBIOtherPercentStateTax">Inputs!$F$112</definedName>
    <definedName name="IBIStateFixed">Inputs!$C$105</definedName>
    <definedName name="IBIStateFixedFedDeprec">Inputs!$G$105</definedName>
    <definedName name="IBIStateFixedFedTax">Inputs!$E$105</definedName>
    <definedName name="IBIStateFixedStateDeprec">Inputs!$H$105</definedName>
    <definedName name="IBIStateFixedStateTax">Inputs!$F$105</definedName>
    <definedName name="IBIStatePercent">Inputs!$I$110</definedName>
    <definedName name="IBIStatePercentFedDeprec">Inputs!$G$110</definedName>
    <definedName name="IBIStatePercentFedTax">Inputs!$E$110</definedName>
    <definedName name="IBIStatePercentStateDeprec">Inputs!$H$110</definedName>
    <definedName name="IBIStatePercentStateTax">Inputs!$F$110</definedName>
    <definedName name="IBIUtilityFixed">Inputs!$C$106</definedName>
    <definedName name="IBIUtilityFixedFedDeprec">Inputs!$G$106</definedName>
    <definedName name="IBIUtilityFixedFedTax">Inputs!$E$106</definedName>
    <definedName name="IBIUtilityFixedStateDeprec">Inputs!$H$106</definedName>
    <definedName name="IBIUtilityFixedStateTax">Inputs!$F$106</definedName>
    <definedName name="IBIUtilityPercent">Inputs!$I$111</definedName>
    <definedName name="IBIUtilityPercentFedDeprec">Inputs!$G$111</definedName>
    <definedName name="IBIUtilityPercentFedTax">Inputs!$E$111</definedName>
    <definedName name="IBIUtilityPercentStateDeprec">Inputs!$H$111</definedName>
    <definedName name="IBIUtilityPercentStateTax">Inputs!$F$111</definedName>
    <definedName name="Inflation">Inputs!$C$34</definedName>
    <definedName name="InterestOnReserves">Inputs!$C$76</definedName>
    <definedName name="ITCFedFixed">Inputs!$C$92</definedName>
    <definedName name="ITCFedFixedFedDeprec">Inputs!$E$92</definedName>
    <definedName name="ITCFedFixedStateDeprec">Inputs!$F$92</definedName>
    <definedName name="ITCFedMax">Inputs!$D$95</definedName>
    <definedName name="ITCFedPercent">Inputs!$C$95</definedName>
    <definedName name="ITCFedPercentFedDeprec">Inputs!$E$95</definedName>
    <definedName name="ITCFedPercentStateDeprec">Inputs!$F$95</definedName>
    <definedName name="ITCStateFixed">Inputs!$C$93</definedName>
    <definedName name="ITCStateFixedFedDeprec">Inputs!$E$93</definedName>
    <definedName name="ITCStateFixedStateDeprec">Inputs!$F$93</definedName>
    <definedName name="ITCStateMax">Inputs!$D$96</definedName>
    <definedName name="ITCStatePercent">Inputs!$C$96</definedName>
    <definedName name="ITCStatePercentFedDeprec">Inputs!$E$96</definedName>
    <definedName name="ITCStatePercentStateDeprec">Inputs!$F$96</definedName>
    <definedName name="MMCost">Inputs!$C$81</definedName>
    <definedName name="MMCost2">Inputs!$C$82</definedName>
    <definedName name="MMCost3">Inputs!$C$83</definedName>
    <definedName name="MMFedTaxTreatment">Inputs!$C$85</definedName>
    <definedName name="MMFrequency">Inputs!$E$81</definedName>
    <definedName name="MMFrequency2">Inputs!$E$82</definedName>
    <definedName name="MMFrequency3">Inputs!$E$83</definedName>
    <definedName name="MMStateTaxTreatment">Inputs!$C$86</definedName>
    <definedName name="OMCapacity">Inputs!$C$17</definedName>
    <definedName name="OMCapacityRealEsc">Inputs!$C$18</definedName>
    <definedName name="OMFixedAnnual">Inputs!$C$15</definedName>
    <definedName name="OMFixedAnnualRealEsc">Inputs!$C$16</definedName>
    <definedName name="OMVariable">Inputs!$C$19</definedName>
    <definedName name="OMVariableRealEsc">Inputs!$C$20</definedName>
    <definedName name="PBIFed">Inputs!$C$119</definedName>
    <definedName name="PBIFedDebtSwitch">Inputs!$H$119</definedName>
    <definedName name="PBIFedEsc">Inputs!$E$119</definedName>
    <definedName name="PBIFedFedTax">Inputs!$F$119</definedName>
    <definedName name="PBIFedStateTax">Inputs!$G$119</definedName>
    <definedName name="PBIFedTerm">Inputs!$D$119</definedName>
    <definedName name="PBIOther">Inputs!$C$122</definedName>
    <definedName name="PBIOtherDebtSwitch">Inputs!$H$122</definedName>
    <definedName name="PBIOtherEsc">Inputs!$E$122</definedName>
    <definedName name="PBIOtherFedTax">Inputs!$F$122</definedName>
    <definedName name="PBIOtherStateTax">Inputs!$G$122</definedName>
    <definedName name="PBIOtherTerm">Inputs!$D$122</definedName>
    <definedName name="PBIState">Inputs!$C$120</definedName>
    <definedName name="PBIStateDebtSwitch">Inputs!$H$120</definedName>
    <definedName name="PBIStateEsc">Inputs!$E$120</definedName>
    <definedName name="PBIStateFedTax">Inputs!$F$120</definedName>
    <definedName name="PBIStateStateTax">Inputs!$G$120</definedName>
    <definedName name="PBIStateTerm">Inputs!$D$120</definedName>
    <definedName name="PBIUtility">Inputs!$C$121</definedName>
    <definedName name="PBIUtilityDebtSwitch">Inputs!$H$121</definedName>
    <definedName name="PBIUtilityEsc">Inputs!$E$121</definedName>
    <definedName name="PBIUtilityFedTax">Inputs!$F$121</definedName>
    <definedName name="PBIUtilityStateTax">Inputs!$G$121</definedName>
    <definedName name="PBIUtilityTerm">Inputs!$D$121</definedName>
    <definedName name="PreFinancingInstalledCostTotal">Inputs!$C$12</definedName>
    <definedName name="PropertyTaxAssessedValue">Inputs!$C$44</definedName>
    <definedName name="PropertyTaxDecline">Inputs!$C$45</definedName>
    <definedName name="PropertyTaxRate">Inputs!$C$46</definedName>
    <definedName name="SalesTaxRate">Inputs!$C$40</definedName>
    <definedName name="SalesTaxTotal">Inputs!$C$10</definedName>
    <definedName name="SalvageValue">Inputs!$C$48</definedName>
    <definedName name="SOConstructionFinancing">Inputs!$I$73</definedName>
    <definedName name="SODebtAmount">Inputs!$E$52</definedName>
    <definedName name="SODebtRate">Inputs!$C$54</definedName>
    <definedName name="SODebtStructure">Inputs!#REF!</definedName>
    <definedName name="SODebtTerm">Inputs!$C$53</definedName>
    <definedName name="SODSCR">Inputs!$C$52</definedName>
    <definedName name="SODSRASize">Inputs!$C$78</definedName>
    <definedName name="SOInstalledCostTotal">Inputs!$C$12</definedName>
    <definedName name="solver_adj" localSheetId="0" hidden="1">Inputs!#REF!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Inputs!#REF!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0.1</definedName>
    <definedName name="SOPPAPrice">Inputs!$F$9</definedName>
    <definedName name="SOPPAPriceEsc">Inputs!$C$31</definedName>
    <definedName name="SOReturnTarget">Inputs!$C$29</definedName>
    <definedName name="SOReturnTargetYear">Inputs!$C$30</definedName>
    <definedName name="SOWC">Inputs!$C$77</definedName>
    <definedName name="StateBasisReduction">Inputs!$C$126</definedName>
    <definedName name="StateBonusDeprec">Inputs!$E$136</definedName>
    <definedName name="StatePTCAmount">Inputs!$C$99</definedName>
    <definedName name="StatePTCTerm">Inputs!$D$99</definedName>
    <definedName name="StateTax">Inputs!$C$39</definedName>
    <definedName name="TotalInstalledCost">Inputs!$C$12</definedName>
  </definedNames>
  <calcPr calcId="145621" iterateDelta="1E-4"/>
</workbook>
</file>

<file path=xl/calcChain.xml><?xml version="1.0" encoding="utf-8"?>
<calcChain xmlns="http://schemas.openxmlformats.org/spreadsheetml/2006/main">
  <c r="G8" i="1" l="1"/>
  <c r="E8" i="1"/>
  <c r="E9" i="1" s="1"/>
  <c r="E10" i="1" s="1"/>
  <c r="E11" i="1" s="1"/>
  <c r="E12" i="1" s="1"/>
  <c r="E13" i="1" s="1"/>
  <c r="E14" i="1" s="1"/>
  <c r="E15" i="1" s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C5" i="7" l="1"/>
  <c r="D5" i="7" s="1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R5" i="7" s="1"/>
  <c r="S5" i="7" s="1"/>
  <c r="T5" i="7" s="1"/>
  <c r="U5" i="7" s="1"/>
  <c r="V5" i="7" s="1"/>
  <c r="W5" i="7" s="1"/>
  <c r="X5" i="7" s="1"/>
  <c r="Y5" i="7" s="1"/>
  <c r="Z5" i="7" s="1"/>
  <c r="AA5" i="7" s="1"/>
  <c r="AB5" i="7" s="1"/>
  <c r="AC5" i="7" s="1"/>
  <c r="AD5" i="7" s="1"/>
  <c r="AE5" i="7" s="1"/>
  <c r="AF5" i="7" s="1"/>
  <c r="AG5" i="7" s="1"/>
  <c r="AH5" i="7" s="1"/>
  <c r="AI5" i="7" s="1"/>
  <c r="AJ5" i="7" s="1"/>
  <c r="AK5" i="7" s="1"/>
  <c r="AL5" i="7" s="1"/>
  <c r="AM5" i="7" s="1"/>
  <c r="AN5" i="7" s="1"/>
  <c r="AO5" i="7" s="1"/>
  <c r="AP5" i="7" s="1"/>
  <c r="C136" i="1"/>
  <c r="I114" i="1"/>
  <c r="C10" i="1" l="1"/>
  <c r="C12" i="1" s="1"/>
  <c r="H130" i="1" s="1"/>
  <c r="D81" i="1"/>
  <c r="D83" i="1"/>
  <c r="D82" i="1"/>
  <c r="C36" i="1"/>
  <c r="I109" i="1" l="1"/>
  <c r="G70" i="1"/>
  <c r="H70" i="1" s="1"/>
  <c r="I70" i="1" s="1"/>
  <c r="G69" i="1"/>
  <c r="H69" i="1" s="1"/>
  <c r="I69" i="1" s="1"/>
  <c r="G68" i="1"/>
  <c r="H68" i="1" s="1"/>
  <c r="G72" i="1"/>
  <c r="H72" i="1" s="1"/>
  <c r="I72" i="1" s="1"/>
  <c r="C44" i="1"/>
  <c r="G71" i="1"/>
  <c r="H71" i="1" s="1"/>
  <c r="I71" i="1" s="1"/>
  <c r="AP576" i="7"/>
  <c r="G73" i="1" l="1"/>
  <c r="H73" i="1"/>
  <c r="I68" i="1"/>
  <c r="I73" i="1" s="1"/>
  <c r="AP168" i="7"/>
  <c r="AO168" i="7"/>
  <c r="AN168" i="7"/>
  <c r="AM168" i="7"/>
  <c r="AL168" i="7"/>
  <c r="AK168" i="7"/>
  <c r="AJ168" i="7"/>
  <c r="AI168" i="7"/>
  <c r="AH168" i="7"/>
  <c r="AG168" i="7"/>
  <c r="AF168" i="7"/>
  <c r="AE168" i="7"/>
  <c r="AD168" i="7"/>
  <c r="AC168" i="7"/>
  <c r="AB168" i="7"/>
  <c r="AA168" i="7"/>
  <c r="Z168" i="7"/>
  <c r="Y168" i="7"/>
  <c r="X168" i="7"/>
  <c r="W168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J168" i="7"/>
  <c r="I168" i="7"/>
  <c r="H168" i="7"/>
  <c r="G168" i="7"/>
  <c r="F168" i="7"/>
  <c r="E168" i="7"/>
  <c r="D168" i="7"/>
  <c r="G340" i="7"/>
  <c r="G341" i="7"/>
  <c r="G342" i="7"/>
  <c r="G343" i="7"/>
  <c r="G344" i="7"/>
  <c r="E340" i="7"/>
  <c r="E341" i="7"/>
  <c r="E342" i="7"/>
  <c r="E343" i="7"/>
  <c r="E344" i="7"/>
  <c r="D341" i="7"/>
  <c r="D342" i="7"/>
  <c r="D343" i="7"/>
  <c r="D344" i="7"/>
  <c r="D340" i="7"/>
  <c r="G207" i="7"/>
  <c r="G208" i="7"/>
  <c r="G209" i="7"/>
  <c r="G210" i="7"/>
  <c r="G206" i="7"/>
  <c r="C11" i="7" l="1"/>
  <c r="A663" i="7"/>
  <c r="A664" i="7" s="1"/>
  <c r="A665" i="7" s="1"/>
  <c r="A666" i="7" s="1"/>
  <c r="A667" i="7" s="1"/>
  <c r="A668" i="7" s="1"/>
  <c r="A669" i="7" s="1"/>
  <c r="A670" i="7" s="1"/>
  <c r="A671" i="7" s="1"/>
  <c r="A651" i="7"/>
  <c r="A652" i="7" s="1"/>
  <c r="A653" i="7" s="1"/>
  <c r="A654" i="7" s="1"/>
  <c r="A655" i="7" s="1"/>
  <c r="A656" i="7" s="1"/>
  <c r="A657" i="7" s="1"/>
  <c r="A658" i="7" s="1"/>
  <c r="A659" i="7" s="1"/>
  <c r="B646" i="7"/>
  <c r="C643" i="7" s="1"/>
  <c r="A631" i="7"/>
  <c r="A632" i="7" s="1"/>
  <c r="A633" i="7" s="1"/>
  <c r="A634" i="7" s="1"/>
  <c r="A635" i="7" s="1"/>
  <c r="A636" i="7" s="1"/>
  <c r="A637" i="7" s="1"/>
  <c r="A638" i="7" s="1"/>
  <c r="A639" i="7" s="1"/>
  <c r="A619" i="7"/>
  <c r="A620" i="7" s="1"/>
  <c r="A621" i="7" s="1"/>
  <c r="A622" i="7" s="1"/>
  <c r="A623" i="7" s="1"/>
  <c r="A624" i="7" s="1"/>
  <c r="A625" i="7" s="1"/>
  <c r="A626" i="7" s="1"/>
  <c r="A627" i="7" s="1"/>
  <c r="B614" i="7"/>
  <c r="C611" i="7" s="1"/>
  <c r="A599" i="7"/>
  <c r="A600" i="7" s="1"/>
  <c r="A601" i="7" s="1"/>
  <c r="A602" i="7" s="1"/>
  <c r="A603" i="7" s="1"/>
  <c r="A604" i="7" s="1"/>
  <c r="A605" i="7" s="1"/>
  <c r="A606" i="7" s="1"/>
  <c r="A607" i="7" s="1"/>
  <c r="A587" i="7"/>
  <c r="A588" i="7" s="1"/>
  <c r="A589" i="7" s="1"/>
  <c r="A590" i="7" s="1"/>
  <c r="A591" i="7" s="1"/>
  <c r="A592" i="7" s="1"/>
  <c r="A593" i="7" s="1"/>
  <c r="A594" i="7" s="1"/>
  <c r="A595" i="7" s="1"/>
  <c r="B582" i="7"/>
  <c r="C579" i="7" s="1"/>
  <c r="A572" i="7"/>
  <c r="A517" i="7"/>
  <c r="A513" i="7"/>
  <c r="A509" i="7"/>
  <c r="A505" i="7"/>
  <c r="A501" i="7"/>
  <c r="A232" i="7" s="1"/>
  <c r="A500" i="7"/>
  <c r="A231" i="7" s="1"/>
  <c r="A499" i="7"/>
  <c r="A230" i="7" s="1"/>
  <c r="A498" i="7"/>
  <c r="A229" i="7" s="1"/>
  <c r="A495" i="7"/>
  <c r="A226" i="7" s="1"/>
  <c r="A494" i="7"/>
  <c r="A225" i="7" s="1"/>
  <c r="A493" i="7"/>
  <c r="A224" i="7" s="1"/>
  <c r="A492" i="7"/>
  <c r="A223" i="7" s="1"/>
  <c r="A491" i="7"/>
  <c r="A222" i="7" s="1"/>
  <c r="C489" i="7"/>
  <c r="C137" i="7" s="1"/>
  <c r="A489" i="7"/>
  <c r="A220" i="7" s="1"/>
  <c r="C488" i="7"/>
  <c r="C136" i="7" s="1"/>
  <c r="A488" i="7"/>
  <c r="A219" i="7" s="1"/>
  <c r="C487" i="7"/>
  <c r="C135" i="7" s="1"/>
  <c r="A487" i="7"/>
  <c r="A218" i="7" s="1"/>
  <c r="C486" i="7"/>
  <c r="A486" i="7"/>
  <c r="A217" i="7" s="1"/>
  <c r="A485" i="7"/>
  <c r="A216" i="7" s="1"/>
  <c r="K346" i="7"/>
  <c r="K212" i="7"/>
  <c r="A460" i="7"/>
  <c r="A461" i="7" s="1"/>
  <c r="A462" i="7" s="1"/>
  <c r="A463" i="7" s="1"/>
  <c r="A464" i="7" s="1"/>
  <c r="A465" i="7" s="1"/>
  <c r="A466" i="7" s="1"/>
  <c r="A467" i="7" s="1"/>
  <c r="A468" i="7" s="1"/>
  <c r="A448" i="7"/>
  <c r="A449" i="7" s="1"/>
  <c r="A450" i="7" s="1"/>
  <c r="A451" i="7" s="1"/>
  <c r="A452" i="7" s="1"/>
  <c r="A453" i="7" s="1"/>
  <c r="A454" i="7" s="1"/>
  <c r="A455" i="7" s="1"/>
  <c r="A456" i="7" s="1"/>
  <c r="A434" i="7"/>
  <c r="A435" i="7" s="1"/>
  <c r="A436" i="7" s="1"/>
  <c r="A437" i="7" s="1"/>
  <c r="A438" i="7" s="1"/>
  <c r="A439" i="7" s="1"/>
  <c r="A440" i="7" s="1"/>
  <c r="A441" i="7" s="1"/>
  <c r="A442" i="7" s="1"/>
  <c r="A422" i="7"/>
  <c r="A423" i="7" s="1"/>
  <c r="A424" i="7" s="1"/>
  <c r="A425" i="7" s="1"/>
  <c r="A426" i="7" s="1"/>
  <c r="A427" i="7" s="1"/>
  <c r="A428" i="7" s="1"/>
  <c r="A429" i="7" s="1"/>
  <c r="A430" i="7" s="1"/>
  <c r="A408" i="7"/>
  <c r="A409" i="7" s="1"/>
  <c r="A410" i="7" s="1"/>
  <c r="A411" i="7" s="1"/>
  <c r="A412" i="7" s="1"/>
  <c r="A413" i="7" s="1"/>
  <c r="A414" i="7" s="1"/>
  <c r="A415" i="7" s="1"/>
  <c r="A416" i="7" s="1"/>
  <c r="A396" i="7"/>
  <c r="A397" i="7" s="1"/>
  <c r="A398" i="7" s="1"/>
  <c r="A399" i="7" s="1"/>
  <c r="A400" i="7" s="1"/>
  <c r="A401" i="7" s="1"/>
  <c r="A402" i="7" s="1"/>
  <c r="A403" i="7" s="1"/>
  <c r="A404" i="7" s="1"/>
  <c r="B390" i="7"/>
  <c r="B389" i="7"/>
  <c r="A368" i="7"/>
  <c r="B366" i="7"/>
  <c r="B365" i="7"/>
  <c r="B360" i="7"/>
  <c r="B359" i="7"/>
  <c r="B358" i="7"/>
  <c r="B357" i="7"/>
  <c r="B354" i="7"/>
  <c r="B353" i="7"/>
  <c r="B352" i="7"/>
  <c r="B351" i="7"/>
  <c r="P344" i="7"/>
  <c r="P343" i="7"/>
  <c r="P342" i="7"/>
  <c r="P341" i="7"/>
  <c r="A325" i="7"/>
  <c r="A326" i="7" s="1"/>
  <c r="A327" i="7" s="1"/>
  <c r="A328" i="7" s="1"/>
  <c r="A329" i="7" s="1"/>
  <c r="A330" i="7" s="1"/>
  <c r="A331" i="7" s="1"/>
  <c r="A332" i="7" s="1"/>
  <c r="A333" i="7" s="1"/>
  <c r="A313" i="7"/>
  <c r="A314" i="7" s="1"/>
  <c r="A315" i="7" s="1"/>
  <c r="A316" i="7" s="1"/>
  <c r="A317" i="7" s="1"/>
  <c r="A318" i="7" s="1"/>
  <c r="A319" i="7" s="1"/>
  <c r="A320" i="7" s="1"/>
  <c r="A321" i="7" s="1"/>
  <c r="A299" i="7"/>
  <c r="A300" i="7" s="1"/>
  <c r="A301" i="7" s="1"/>
  <c r="A302" i="7" s="1"/>
  <c r="A303" i="7" s="1"/>
  <c r="A304" i="7" s="1"/>
  <c r="A305" i="7" s="1"/>
  <c r="A306" i="7" s="1"/>
  <c r="A307" i="7" s="1"/>
  <c r="A287" i="7"/>
  <c r="A288" i="7" s="1"/>
  <c r="A289" i="7" s="1"/>
  <c r="A290" i="7" s="1"/>
  <c r="A291" i="7" s="1"/>
  <c r="A292" i="7" s="1"/>
  <c r="A293" i="7" s="1"/>
  <c r="A294" i="7" s="1"/>
  <c r="A295" i="7" s="1"/>
  <c r="A273" i="7"/>
  <c r="A274" i="7" s="1"/>
  <c r="A275" i="7" s="1"/>
  <c r="A276" i="7" s="1"/>
  <c r="A277" i="7" s="1"/>
  <c r="A278" i="7" s="1"/>
  <c r="A279" i="7" s="1"/>
  <c r="A280" i="7" s="1"/>
  <c r="A281" i="7" s="1"/>
  <c r="A262" i="7"/>
  <c r="A263" i="7" s="1"/>
  <c r="A264" i="7" s="1"/>
  <c r="A265" i="7" s="1"/>
  <c r="A266" i="7" s="1"/>
  <c r="A267" i="7" s="1"/>
  <c r="A268" i="7" s="1"/>
  <c r="A269" i="7" s="1"/>
  <c r="A270" i="7" s="1"/>
  <c r="B256" i="7"/>
  <c r="B255" i="7"/>
  <c r="A233" i="7"/>
  <c r="B232" i="7"/>
  <c r="B231" i="7"/>
  <c r="A228" i="7"/>
  <c r="A227" i="7"/>
  <c r="B226" i="7"/>
  <c r="B225" i="7"/>
  <c r="B224" i="7"/>
  <c r="B223" i="7"/>
  <c r="A221" i="7"/>
  <c r="B220" i="7"/>
  <c r="B219" i="7"/>
  <c r="B218" i="7"/>
  <c r="B217" i="7"/>
  <c r="A215" i="7"/>
  <c r="P210" i="7"/>
  <c r="A210" i="7"/>
  <c r="A344" i="7" s="1"/>
  <c r="P209" i="7"/>
  <c r="A209" i="7"/>
  <c r="A343" i="7" s="1"/>
  <c r="P208" i="7"/>
  <c r="A208" i="7"/>
  <c r="A342" i="7" s="1"/>
  <c r="P207" i="7"/>
  <c r="A207" i="7"/>
  <c r="A341" i="7" s="1"/>
  <c r="A206" i="7"/>
  <c r="A340" i="7" s="1"/>
  <c r="A205" i="7"/>
  <c r="A339" i="7" s="1"/>
  <c r="A194" i="7"/>
  <c r="A193" i="7"/>
  <c r="A192" i="7"/>
  <c r="A191" i="7"/>
  <c r="A190" i="7"/>
  <c r="A188" i="7"/>
  <c r="A187" i="7"/>
  <c r="A186" i="7"/>
  <c r="A185" i="7"/>
  <c r="A184" i="7"/>
  <c r="A182" i="7"/>
  <c r="A181" i="7"/>
  <c r="A180" i="7"/>
  <c r="A179" i="7"/>
  <c r="A178" i="7"/>
  <c r="A176" i="7"/>
  <c r="A175" i="7"/>
  <c r="A174" i="7"/>
  <c r="A173" i="7"/>
  <c r="A172" i="7"/>
  <c r="A171" i="7"/>
  <c r="A155" i="7"/>
  <c r="A154" i="7"/>
  <c r="A153" i="7"/>
  <c r="A152" i="7"/>
  <c r="A151" i="7"/>
  <c r="A149" i="7"/>
  <c r="A148" i="7"/>
  <c r="A147" i="7"/>
  <c r="A146" i="7"/>
  <c r="A145" i="7"/>
  <c r="A143" i="7"/>
  <c r="A142" i="7"/>
  <c r="A141" i="7"/>
  <c r="A140" i="7"/>
  <c r="A139" i="7"/>
  <c r="A137" i="7"/>
  <c r="A136" i="7"/>
  <c r="A135" i="7"/>
  <c r="A134" i="7"/>
  <c r="A133" i="7"/>
  <c r="A132" i="7"/>
  <c r="B103" i="7"/>
  <c r="B102" i="7"/>
  <c r="B99" i="7"/>
  <c r="B98" i="7"/>
  <c r="AP96" i="7"/>
  <c r="AO96" i="7"/>
  <c r="AN96" i="7"/>
  <c r="AM96" i="7"/>
  <c r="AL96" i="7"/>
  <c r="AK96" i="7"/>
  <c r="AJ96" i="7"/>
  <c r="AI96" i="7"/>
  <c r="AH96" i="7"/>
  <c r="AG96" i="7"/>
  <c r="AF96" i="7"/>
  <c r="AE96" i="7"/>
  <c r="AD96" i="7"/>
  <c r="AC96" i="7"/>
  <c r="AB96" i="7"/>
  <c r="AA96" i="7"/>
  <c r="Z96" i="7"/>
  <c r="Y96" i="7"/>
  <c r="X96" i="7"/>
  <c r="W96" i="7"/>
  <c r="V96" i="7"/>
  <c r="U96" i="7"/>
  <c r="T96" i="7"/>
  <c r="S96" i="7"/>
  <c r="R96" i="7"/>
  <c r="Q96" i="7"/>
  <c r="P96" i="7"/>
  <c r="O96" i="7"/>
  <c r="N96" i="7"/>
  <c r="M96" i="7"/>
  <c r="L96" i="7"/>
  <c r="K96" i="7"/>
  <c r="J96" i="7"/>
  <c r="I96" i="7"/>
  <c r="H96" i="7"/>
  <c r="G96" i="7"/>
  <c r="F96" i="7"/>
  <c r="E96" i="7"/>
  <c r="D96" i="7"/>
  <c r="B96" i="7"/>
  <c r="AP81" i="7"/>
  <c r="AP90" i="7" s="1"/>
  <c r="AO81" i="7"/>
  <c r="AN81" i="7"/>
  <c r="AN90" i="7" s="1"/>
  <c r="AM81" i="7"/>
  <c r="AL81" i="7"/>
  <c r="AL90" i="7" s="1"/>
  <c r="AK81" i="7"/>
  <c r="AJ81" i="7"/>
  <c r="AJ90" i="7" s="1"/>
  <c r="AI81" i="7"/>
  <c r="AH81" i="7"/>
  <c r="AH90" i="7" s="1"/>
  <c r="AG81" i="7"/>
  <c r="AF81" i="7"/>
  <c r="AF90" i="7" s="1"/>
  <c r="AE81" i="7"/>
  <c r="AD81" i="7"/>
  <c r="AD90" i="7" s="1"/>
  <c r="AC81" i="7"/>
  <c r="AB81" i="7"/>
  <c r="AB90" i="7" s="1"/>
  <c r="AA81" i="7"/>
  <c r="Z81" i="7"/>
  <c r="Z90" i="7" s="1"/>
  <c r="Y81" i="7"/>
  <c r="X81" i="7"/>
  <c r="X90" i="7" s="1"/>
  <c r="W81" i="7"/>
  <c r="V81" i="7"/>
  <c r="V90" i="7" s="1"/>
  <c r="U81" i="7"/>
  <c r="T81" i="7"/>
  <c r="T90" i="7" s="1"/>
  <c r="S81" i="7"/>
  <c r="R81" i="7"/>
  <c r="R90" i="7" s="1"/>
  <c r="Q81" i="7"/>
  <c r="P81" i="7"/>
  <c r="P90" i="7" s="1"/>
  <c r="O81" i="7"/>
  <c r="N81" i="7"/>
  <c r="N90" i="7" s="1"/>
  <c r="M81" i="7"/>
  <c r="L81" i="7"/>
  <c r="L90" i="7" s="1"/>
  <c r="K81" i="7"/>
  <c r="J81" i="7"/>
  <c r="J90" i="7" s="1"/>
  <c r="I81" i="7"/>
  <c r="H81" i="7"/>
  <c r="H90" i="7" s="1"/>
  <c r="G81" i="7"/>
  <c r="F81" i="7"/>
  <c r="F90" i="7" s="1"/>
  <c r="E81" i="7"/>
  <c r="D81" i="7"/>
  <c r="D90" i="7" s="1"/>
  <c r="C81" i="7"/>
  <c r="AP73" i="7"/>
  <c r="AO73" i="7"/>
  <c r="AN73" i="7"/>
  <c r="AM73" i="7"/>
  <c r="AL73" i="7"/>
  <c r="AK73" i="7"/>
  <c r="AJ73" i="7"/>
  <c r="AI73" i="7"/>
  <c r="AH73" i="7"/>
  <c r="AG73" i="7"/>
  <c r="AF73" i="7"/>
  <c r="AE73" i="7"/>
  <c r="AD73" i="7"/>
  <c r="AC73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B65" i="7"/>
  <c r="B64" i="7"/>
  <c r="B63" i="7"/>
  <c r="B60" i="7"/>
  <c r="B59" i="7"/>
  <c r="B58" i="7"/>
  <c r="B48" i="7"/>
  <c r="B51" i="7" s="1"/>
  <c r="AP17" i="7"/>
  <c r="AO17" i="7"/>
  <c r="AN17" i="7"/>
  <c r="AM17" i="7"/>
  <c r="AL17" i="7"/>
  <c r="AK17" i="7"/>
  <c r="AJ17" i="7"/>
  <c r="AI17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J17" i="7"/>
  <c r="I17" i="7"/>
  <c r="H17" i="7"/>
  <c r="G17" i="7"/>
  <c r="F17" i="7"/>
  <c r="E17" i="7"/>
  <c r="D17" i="7"/>
  <c r="C17" i="7"/>
  <c r="A17" i="7"/>
  <c r="A47" i="7" s="1"/>
  <c r="AP16" i="7"/>
  <c r="AO16" i="7"/>
  <c r="AN16" i="7"/>
  <c r="AM16" i="7"/>
  <c r="AL16" i="7"/>
  <c r="AK16" i="7"/>
  <c r="AJ16" i="7"/>
  <c r="AI16" i="7"/>
  <c r="AH16" i="7"/>
  <c r="AG16" i="7"/>
  <c r="AF16" i="7"/>
  <c r="AE16" i="7"/>
  <c r="AD16" i="7"/>
  <c r="AC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J16" i="7"/>
  <c r="I16" i="7"/>
  <c r="H16" i="7"/>
  <c r="G16" i="7"/>
  <c r="F16" i="7"/>
  <c r="E16" i="7"/>
  <c r="D16" i="7"/>
  <c r="C16" i="7"/>
  <c r="A16" i="7"/>
  <c r="A46" i="7" s="1"/>
  <c r="AP15" i="7"/>
  <c r="AO15" i="7"/>
  <c r="AN15" i="7"/>
  <c r="AM15" i="7"/>
  <c r="AL15" i="7"/>
  <c r="AK15" i="7"/>
  <c r="AJ15" i="7"/>
  <c r="AI15" i="7"/>
  <c r="AH15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C15" i="7"/>
  <c r="A15" i="7"/>
  <c r="A45" i="7" s="1"/>
  <c r="A14" i="7"/>
  <c r="A44" i="7" s="1"/>
  <c r="C2" i="7"/>
  <c r="C22" i="7" s="1"/>
  <c r="C34" i="7" s="1"/>
  <c r="C575" i="7" l="1"/>
  <c r="C490" i="7"/>
  <c r="C569" i="7"/>
  <c r="D2" i="7"/>
  <c r="D545" i="7" s="1"/>
  <c r="C545" i="7"/>
  <c r="C518" i="7"/>
  <c r="C514" i="7"/>
  <c r="C510" i="7"/>
  <c r="C506" i="7"/>
  <c r="C173" i="7"/>
  <c r="C174" i="7"/>
  <c r="C175" i="7"/>
  <c r="C176" i="7"/>
  <c r="B227" i="7"/>
  <c r="B221" i="7"/>
  <c r="B66" i="7"/>
  <c r="C134" i="7"/>
  <c r="C138" i="7" s="1"/>
  <c r="B355" i="7"/>
  <c r="B361" i="7"/>
  <c r="D11" i="7"/>
  <c r="C538" i="7"/>
  <c r="C539" i="7" s="1"/>
  <c r="D669" i="7"/>
  <c r="D658" i="7"/>
  <c r="D650" i="7"/>
  <c r="D632" i="7"/>
  <c r="D625" i="7"/>
  <c r="D603" i="7"/>
  <c r="D599" i="7"/>
  <c r="D592" i="7"/>
  <c r="D375" i="7"/>
  <c r="D243" i="7"/>
  <c r="C671" i="7"/>
  <c r="C670" i="7"/>
  <c r="C669" i="7"/>
  <c r="C668" i="7"/>
  <c r="C667" i="7"/>
  <c r="C666" i="7"/>
  <c r="C665" i="7"/>
  <c r="C664" i="7"/>
  <c r="C659" i="7"/>
  <c r="C321" i="7" s="1"/>
  <c r="C658" i="7"/>
  <c r="C320" i="7" s="1"/>
  <c r="C657" i="7"/>
  <c r="C656" i="7"/>
  <c r="C318" i="7" s="1"/>
  <c r="C655" i="7"/>
  <c r="C317" i="7" s="1"/>
  <c r="C654" i="7"/>
  <c r="C653" i="7"/>
  <c r="C315" i="7" s="1"/>
  <c r="C663" i="7"/>
  <c r="C652" i="7"/>
  <c r="C314" i="7" s="1"/>
  <c r="C627" i="7"/>
  <c r="C295" i="7" s="1"/>
  <c r="C626" i="7"/>
  <c r="C294" i="7" s="1"/>
  <c r="C625" i="7"/>
  <c r="C293" i="7" s="1"/>
  <c r="C624" i="7"/>
  <c r="C292" i="7" s="1"/>
  <c r="C623" i="7"/>
  <c r="C622" i="7"/>
  <c r="C290" i="7" s="1"/>
  <c r="C651" i="7"/>
  <c r="C313" i="7" s="1"/>
  <c r="C650" i="7"/>
  <c r="C312" i="7" s="1"/>
  <c r="C639" i="7"/>
  <c r="C638" i="7"/>
  <c r="C637" i="7"/>
  <c r="C636" i="7"/>
  <c r="C635" i="7"/>
  <c r="C634" i="7"/>
  <c r="C633" i="7"/>
  <c r="C632" i="7"/>
  <c r="C631" i="7"/>
  <c r="C621" i="7"/>
  <c r="C289" i="7" s="1"/>
  <c r="C595" i="7"/>
  <c r="C270" i="7" s="1"/>
  <c r="C594" i="7"/>
  <c r="C269" i="7" s="1"/>
  <c r="C593" i="7"/>
  <c r="C268" i="7" s="1"/>
  <c r="C592" i="7"/>
  <c r="C267" i="7" s="1"/>
  <c r="C591" i="7"/>
  <c r="C266" i="7" s="1"/>
  <c r="C620" i="7"/>
  <c r="C288" i="7" s="1"/>
  <c r="C619" i="7"/>
  <c r="C287" i="7" s="1"/>
  <c r="C618" i="7"/>
  <c r="C607" i="7"/>
  <c r="C606" i="7"/>
  <c r="C605" i="7"/>
  <c r="C604" i="7"/>
  <c r="C603" i="7"/>
  <c r="C602" i="7"/>
  <c r="C601" i="7"/>
  <c r="C600" i="7"/>
  <c r="C599" i="7"/>
  <c r="C590" i="7"/>
  <c r="C265" i="7" s="1"/>
  <c r="C589" i="7"/>
  <c r="C264" i="7" s="1"/>
  <c r="C588" i="7"/>
  <c r="C263" i="7" s="1"/>
  <c r="C587" i="7"/>
  <c r="C586" i="7"/>
  <c r="C261" i="7" s="1"/>
  <c r="C479" i="7"/>
  <c r="C480" i="7" s="1"/>
  <c r="C473" i="7"/>
  <c r="C474" i="7" s="1"/>
  <c r="C376" i="7"/>
  <c r="C375" i="7"/>
  <c r="C374" i="7"/>
  <c r="C373" i="7"/>
  <c r="C372" i="7"/>
  <c r="C390" i="7"/>
  <c r="C256" i="7"/>
  <c r="C242" i="7"/>
  <c r="C241" i="7"/>
  <c r="C240" i="7"/>
  <c r="C239" i="7"/>
  <c r="C238" i="7"/>
  <c r="B104" i="7"/>
  <c r="C19" i="7"/>
  <c r="C25" i="7"/>
  <c r="C27" i="7"/>
  <c r="C28" i="7"/>
  <c r="C32" i="7"/>
  <c r="C90" i="7"/>
  <c r="E90" i="7"/>
  <c r="G90" i="7"/>
  <c r="I90" i="7"/>
  <c r="K90" i="7"/>
  <c r="M90" i="7"/>
  <c r="O90" i="7"/>
  <c r="Q90" i="7"/>
  <c r="S90" i="7"/>
  <c r="U90" i="7"/>
  <c r="W90" i="7"/>
  <c r="Y90" i="7"/>
  <c r="AA90" i="7"/>
  <c r="AC90" i="7"/>
  <c r="AE90" i="7"/>
  <c r="AG90" i="7"/>
  <c r="AI90" i="7"/>
  <c r="AK90" i="7"/>
  <c r="AM90" i="7"/>
  <c r="AO90" i="7"/>
  <c r="D27" i="7"/>
  <c r="B100" i="7"/>
  <c r="A373" i="7"/>
  <c r="A380" i="7" s="1"/>
  <c r="A375" i="7"/>
  <c r="A382" i="7" s="1"/>
  <c r="A377" i="7"/>
  <c r="A384" i="7" s="1"/>
  <c r="A350" i="7"/>
  <c r="A357" i="7"/>
  <c r="A358" i="7"/>
  <c r="A359" i="7"/>
  <c r="A360" i="7"/>
  <c r="A361" i="7"/>
  <c r="A362" i="7"/>
  <c r="A238" i="7"/>
  <c r="A245" i="7" s="1"/>
  <c r="A239" i="7"/>
  <c r="A246" i="7" s="1"/>
  <c r="A240" i="7"/>
  <c r="A247" i="7" s="1"/>
  <c r="A241" i="7"/>
  <c r="A248" i="7" s="1"/>
  <c r="A242" i="7"/>
  <c r="A249" i="7" s="1"/>
  <c r="A243" i="7"/>
  <c r="A250" i="7" s="1"/>
  <c r="A372" i="7"/>
  <c r="A379" i="7" s="1"/>
  <c r="A374" i="7"/>
  <c r="A381" i="7" s="1"/>
  <c r="A376" i="7"/>
  <c r="A383" i="7" s="1"/>
  <c r="A349" i="7"/>
  <c r="A351" i="7"/>
  <c r="A352" i="7"/>
  <c r="A353" i="7"/>
  <c r="A354" i="7"/>
  <c r="A355" i="7"/>
  <c r="A356" i="7"/>
  <c r="A363" i="7"/>
  <c r="A364" i="7"/>
  <c r="A365" i="7"/>
  <c r="A366" i="7"/>
  <c r="A367" i="7"/>
  <c r="F10" i="1" l="1"/>
  <c r="D473" i="7"/>
  <c r="D474" i="7" s="1"/>
  <c r="D621" i="7"/>
  <c r="D289" i="7" s="1"/>
  <c r="D654" i="7"/>
  <c r="D316" i="7" s="1"/>
  <c r="D451" i="7" s="1"/>
  <c r="D665" i="7"/>
  <c r="D22" i="7"/>
  <c r="D34" i="7" s="1"/>
  <c r="D239" i="7"/>
  <c r="D588" i="7"/>
  <c r="D263" i="7" s="1"/>
  <c r="D607" i="7"/>
  <c r="D636" i="7"/>
  <c r="D569" i="7"/>
  <c r="D25" i="7"/>
  <c r="E2" i="7"/>
  <c r="E22" i="7" s="1"/>
  <c r="E34" i="7" s="1"/>
  <c r="D240" i="7"/>
  <c r="D372" i="7"/>
  <c r="D376" i="7"/>
  <c r="D479" i="7"/>
  <c r="D480" i="7" s="1"/>
  <c r="D589" i="7"/>
  <c r="D593" i="7"/>
  <c r="D268" i="7" s="1"/>
  <c r="D600" i="7"/>
  <c r="D604" i="7"/>
  <c r="D618" i="7"/>
  <c r="D286" i="7" s="1"/>
  <c r="D421" i="7" s="1"/>
  <c r="D622" i="7"/>
  <c r="D290" i="7" s="1"/>
  <c r="D626" i="7"/>
  <c r="D294" i="7" s="1"/>
  <c r="D633" i="7"/>
  <c r="D637" i="7"/>
  <c r="D651" i="7"/>
  <c r="D313" i="7" s="1"/>
  <c r="D655" i="7"/>
  <c r="D317" i="7" s="1"/>
  <c r="D659" i="7"/>
  <c r="D321" i="7" s="1"/>
  <c r="D666" i="7"/>
  <c r="D670" i="7"/>
  <c r="D538" i="7"/>
  <c r="D539" i="7" s="1"/>
  <c r="D32" i="7"/>
  <c r="D19" i="7"/>
  <c r="D256" i="7"/>
  <c r="D241" i="7"/>
  <c r="D373" i="7"/>
  <c r="D377" i="7"/>
  <c r="D586" i="7"/>
  <c r="D261" i="7" s="1"/>
  <c r="D590" i="7"/>
  <c r="D265" i="7" s="1"/>
  <c r="D594" i="7"/>
  <c r="D269" i="7" s="1"/>
  <c r="D601" i="7"/>
  <c r="D605" i="7"/>
  <c r="D619" i="7"/>
  <c r="D623" i="7"/>
  <c r="D291" i="7" s="1"/>
  <c r="D426" i="7" s="1"/>
  <c r="D627" i="7"/>
  <c r="D295" i="7" s="1"/>
  <c r="D430" i="7" s="1"/>
  <c r="D634" i="7"/>
  <c r="D638" i="7"/>
  <c r="D652" i="7"/>
  <c r="D314" i="7" s="1"/>
  <c r="D656" i="7"/>
  <c r="D318" i="7" s="1"/>
  <c r="D663" i="7"/>
  <c r="D667" i="7"/>
  <c r="D671" i="7"/>
  <c r="D28" i="7"/>
  <c r="D29" i="7" s="1"/>
  <c r="D238" i="7"/>
  <c r="D242" i="7"/>
  <c r="D374" i="7"/>
  <c r="D390" i="7"/>
  <c r="D587" i="7"/>
  <c r="D262" i="7" s="1"/>
  <c r="D396" i="7" s="1"/>
  <c r="D591" i="7"/>
  <c r="D266" i="7" s="1"/>
  <c r="D595" i="7"/>
  <c r="D270" i="7" s="1"/>
  <c r="D602" i="7"/>
  <c r="D606" i="7"/>
  <c r="D620" i="7"/>
  <c r="D288" i="7" s="1"/>
  <c r="D624" i="7"/>
  <c r="D292" i="7" s="1"/>
  <c r="D631" i="7"/>
  <c r="D635" i="7"/>
  <c r="D639" i="7"/>
  <c r="D653" i="7"/>
  <c r="D315" i="7" s="1"/>
  <c r="D450" i="7" s="1"/>
  <c r="D657" i="7"/>
  <c r="D319" i="7" s="1"/>
  <c r="D454" i="7" s="1"/>
  <c r="D664" i="7"/>
  <c r="D668" i="7"/>
  <c r="D518" i="7"/>
  <c r="D575" i="7"/>
  <c r="D510" i="7"/>
  <c r="E11" i="7"/>
  <c r="D212" i="7"/>
  <c r="D506" i="7"/>
  <c r="D514" i="7"/>
  <c r="E518" i="7"/>
  <c r="E514" i="7"/>
  <c r="E569" i="7"/>
  <c r="C177" i="7"/>
  <c r="C391" i="7"/>
  <c r="D346" i="7"/>
  <c r="D339" i="7" s="1"/>
  <c r="C319" i="7"/>
  <c r="C454" i="7" s="1"/>
  <c r="C257" i="7"/>
  <c r="C286" i="7"/>
  <c r="C421" i="7" s="1"/>
  <c r="D320" i="7"/>
  <c r="D455" i="7" s="1"/>
  <c r="D391" i="7"/>
  <c r="C29" i="7"/>
  <c r="C291" i="7"/>
  <c r="C426" i="7" s="1"/>
  <c r="C316" i="7"/>
  <c r="C451" i="7" s="1"/>
  <c r="D267" i="7"/>
  <c r="D401" i="7" s="1"/>
  <c r="E545" i="7"/>
  <c r="E538" i="7"/>
  <c r="F11" i="7"/>
  <c r="E671" i="7"/>
  <c r="E670" i="7"/>
  <c r="E669" i="7"/>
  <c r="E668" i="7"/>
  <c r="E667" i="7"/>
  <c r="E666" i="7"/>
  <c r="E665" i="7"/>
  <c r="E663" i="7"/>
  <c r="E659" i="7"/>
  <c r="E658" i="7"/>
  <c r="E320" i="7" s="1"/>
  <c r="E657" i="7"/>
  <c r="E656" i="7"/>
  <c r="E655" i="7"/>
  <c r="E654" i="7"/>
  <c r="E653" i="7"/>
  <c r="E652" i="7"/>
  <c r="E664" i="7"/>
  <c r="E651" i="7"/>
  <c r="E627" i="7"/>
  <c r="E626" i="7"/>
  <c r="E625" i="7"/>
  <c r="E293" i="7" s="1"/>
  <c r="E624" i="7"/>
  <c r="E623" i="7"/>
  <c r="E622" i="7"/>
  <c r="E650" i="7"/>
  <c r="E639" i="7"/>
  <c r="E638" i="7"/>
  <c r="E637" i="7"/>
  <c r="E636" i="7"/>
  <c r="E635" i="7"/>
  <c r="E634" i="7"/>
  <c r="E633" i="7"/>
  <c r="E632" i="7"/>
  <c r="E631" i="7"/>
  <c r="E595" i="7"/>
  <c r="E594" i="7"/>
  <c r="E593" i="7"/>
  <c r="E592" i="7"/>
  <c r="E267" i="7" s="1"/>
  <c r="E591" i="7"/>
  <c r="E621" i="7"/>
  <c r="E620" i="7"/>
  <c r="E619" i="7"/>
  <c r="E618" i="7"/>
  <c r="E607" i="7"/>
  <c r="E606" i="7"/>
  <c r="E605" i="7"/>
  <c r="E604" i="7"/>
  <c r="E603" i="7"/>
  <c r="E602" i="7"/>
  <c r="E601" i="7"/>
  <c r="E600" i="7"/>
  <c r="E599" i="7"/>
  <c r="E589" i="7"/>
  <c r="E590" i="7"/>
  <c r="E588" i="7"/>
  <c r="E587" i="7"/>
  <c r="E586" i="7"/>
  <c r="E479" i="7"/>
  <c r="E480" i="7" s="1"/>
  <c r="E473" i="7"/>
  <c r="E474" i="7" s="1"/>
  <c r="E377" i="7"/>
  <c r="E376" i="7"/>
  <c r="E375" i="7"/>
  <c r="E374" i="7"/>
  <c r="E373" i="7"/>
  <c r="E372" i="7"/>
  <c r="E390" i="7"/>
  <c r="E256" i="7"/>
  <c r="E243" i="7"/>
  <c r="E242" i="7"/>
  <c r="E241" i="7"/>
  <c r="E240" i="7"/>
  <c r="E239" i="7"/>
  <c r="E238" i="7"/>
  <c r="F2" i="7"/>
  <c r="F22" i="7" s="1"/>
  <c r="F34" i="7" s="1"/>
  <c r="E32" i="7"/>
  <c r="E28" i="7"/>
  <c r="E27" i="7"/>
  <c r="E25" i="7"/>
  <c r="E19" i="7"/>
  <c r="C397" i="7"/>
  <c r="C399" i="7"/>
  <c r="C400" i="7"/>
  <c r="C404" i="7"/>
  <c r="C424" i="7"/>
  <c r="C428" i="7"/>
  <c r="C448" i="7"/>
  <c r="C452" i="7"/>
  <c r="C456" i="7"/>
  <c r="C425" i="7"/>
  <c r="C429" i="7"/>
  <c r="C449" i="7"/>
  <c r="C453" i="7"/>
  <c r="C596" i="7"/>
  <c r="C581" i="7" s="1"/>
  <c r="C63" i="7" s="1"/>
  <c r="C660" i="7"/>
  <c r="C645" i="7" s="1"/>
  <c r="C65" i="7" s="1"/>
  <c r="D257" i="7"/>
  <c r="C262" i="7"/>
  <c r="C401" i="7"/>
  <c r="C395" i="7"/>
  <c r="C403" i="7"/>
  <c r="C398" i="7"/>
  <c r="C402" i="7"/>
  <c r="C422" i="7"/>
  <c r="C430" i="7"/>
  <c r="C450" i="7"/>
  <c r="C423" i="7"/>
  <c r="C427" i="7"/>
  <c r="C447" i="7"/>
  <c r="C455" i="7"/>
  <c r="C628" i="7"/>
  <c r="C613" i="7" s="1"/>
  <c r="C64" i="7" s="1"/>
  <c r="D264" i="7"/>
  <c r="D312" i="7"/>
  <c r="D293" i="7"/>
  <c r="F12" i="1" l="1"/>
  <c r="F11" i="1"/>
  <c r="E286" i="7"/>
  <c r="E421" i="7" s="1"/>
  <c r="E295" i="7"/>
  <c r="E430" i="7" s="1"/>
  <c r="E264" i="7"/>
  <c r="E398" i="7" s="1"/>
  <c r="E288" i="7"/>
  <c r="E423" i="7" s="1"/>
  <c r="E263" i="7"/>
  <c r="E397" i="7" s="1"/>
  <c r="E316" i="7"/>
  <c r="E451" i="7" s="1"/>
  <c r="E270" i="7"/>
  <c r="E404" i="7" s="1"/>
  <c r="E291" i="7"/>
  <c r="E426" i="7" s="1"/>
  <c r="E315" i="7"/>
  <c r="E450" i="7" s="1"/>
  <c r="E261" i="7"/>
  <c r="E395" i="7" s="1"/>
  <c r="E268" i="7"/>
  <c r="E402" i="7" s="1"/>
  <c r="E289" i="7"/>
  <c r="E424" i="7" s="1"/>
  <c r="E321" i="7"/>
  <c r="E269" i="7"/>
  <c r="E403" i="7" s="1"/>
  <c r="E314" i="7"/>
  <c r="E449" i="7" s="1"/>
  <c r="E266" i="7"/>
  <c r="E400" i="7" s="1"/>
  <c r="E319" i="7"/>
  <c r="E454" i="7" s="1"/>
  <c r="E292" i="7"/>
  <c r="E427" i="7" s="1"/>
  <c r="E313" i="7"/>
  <c r="E448" i="7" s="1"/>
  <c r="D628" i="7"/>
  <c r="D613" i="7" s="1"/>
  <c r="D64" i="7" s="1"/>
  <c r="D287" i="7"/>
  <c r="D422" i="7" s="1"/>
  <c r="E262" i="7"/>
  <c r="E396" i="7" s="1"/>
  <c r="E290" i="7"/>
  <c r="E425" i="7" s="1"/>
  <c r="E294" i="7"/>
  <c r="E429" i="7" s="1"/>
  <c r="E318" i="7"/>
  <c r="E453" i="7" s="1"/>
  <c r="E265" i="7"/>
  <c r="E399" i="7" s="1"/>
  <c r="D596" i="7"/>
  <c r="D581" i="7" s="1"/>
  <c r="D63" i="7" s="1"/>
  <c r="E287" i="7"/>
  <c r="E422" i="7" s="1"/>
  <c r="E317" i="7"/>
  <c r="E452" i="7" s="1"/>
  <c r="F575" i="7"/>
  <c r="D660" i="7"/>
  <c r="D645" i="7" s="1"/>
  <c r="D65" i="7" s="1"/>
  <c r="E575" i="7"/>
  <c r="E539" i="7"/>
  <c r="E506" i="7"/>
  <c r="E510" i="7"/>
  <c r="F518" i="7"/>
  <c r="F514" i="7"/>
  <c r="F510" i="7"/>
  <c r="F506" i="7"/>
  <c r="F569" i="7"/>
  <c r="E312" i="7"/>
  <c r="E447" i="7" s="1"/>
  <c r="E29" i="7"/>
  <c r="E660" i="7"/>
  <c r="E645" i="7" s="1"/>
  <c r="E65" i="7" s="1"/>
  <c r="G11" i="7"/>
  <c r="F545" i="7"/>
  <c r="F538" i="7"/>
  <c r="E596" i="7"/>
  <c r="E581" i="7" s="1"/>
  <c r="E63" i="7" s="1"/>
  <c r="D428" i="7"/>
  <c r="D427" i="7"/>
  <c r="D403" i="7"/>
  <c r="D456" i="7"/>
  <c r="D448" i="7"/>
  <c r="D424" i="7"/>
  <c r="D447" i="7"/>
  <c r="D423" i="7"/>
  <c r="D399" i="7"/>
  <c r="D398" i="7"/>
  <c r="D400" i="7"/>
  <c r="D449" i="7"/>
  <c r="D425" i="7"/>
  <c r="D402" i="7"/>
  <c r="D404" i="7"/>
  <c r="C396" i="7"/>
  <c r="E401" i="7"/>
  <c r="E455" i="7"/>
  <c r="C66" i="7"/>
  <c r="E628" i="7"/>
  <c r="E613" i="7" s="1"/>
  <c r="E64" i="7" s="1"/>
  <c r="D452" i="7"/>
  <c r="D395" i="7"/>
  <c r="D453" i="7"/>
  <c r="D429" i="7"/>
  <c r="D397" i="7"/>
  <c r="F671" i="7"/>
  <c r="F670" i="7"/>
  <c r="F669" i="7"/>
  <c r="F668" i="7"/>
  <c r="F667" i="7"/>
  <c r="F666" i="7"/>
  <c r="F665" i="7"/>
  <c r="F664" i="7"/>
  <c r="F659" i="7"/>
  <c r="F321" i="7" s="1"/>
  <c r="F658" i="7"/>
  <c r="F320" i="7" s="1"/>
  <c r="F657" i="7"/>
  <c r="F319" i="7" s="1"/>
  <c r="F656" i="7"/>
  <c r="F318" i="7" s="1"/>
  <c r="F655" i="7"/>
  <c r="F317" i="7" s="1"/>
  <c r="F654" i="7"/>
  <c r="F316" i="7" s="1"/>
  <c r="F653" i="7"/>
  <c r="F315" i="7" s="1"/>
  <c r="F652" i="7"/>
  <c r="F314" i="7" s="1"/>
  <c r="F651" i="7"/>
  <c r="F313" i="7" s="1"/>
  <c r="F650" i="7"/>
  <c r="F312" i="7" s="1"/>
  <c r="F639" i="7"/>
  <c r="F638" i="7"/>
  <c r="F637" i="7"/>
  <c r="F636" i="7"/>
  <c r="F635" i="7"/>
  <c r="F634" i="7"/>
  <c r="F633" i="7"/>
  <c r="F632" i="7"/>
  <c r="F631" i="7"/>
  <c r="F627" i="7"/>
  <c r="F295" i="7" s="1"/>
  <c r="F626" i="7"/>
  <c r="F294" i="7" s="1"/>
  <c r="F625" i="7"/>
  <c r="F293" i="7" s="1"/>
  <c r="F624" i="7"/>
  <c r="F292" i="7" s="1"/>
  <c r="F623" i="7"/>
  <c r="F291" i="7" s="1"/>
  <c r="F622" i="7"/>
  <c r="F290" i="7" s="1"/>
  <c r="F621" i="7"/>
  <c r="F289" i="7" s="1"/>
  <c r="F620" i="7"/>
  <c r="F288" i="7" s="1"/>
  <c r="F619" i="7"/>
  <c r="F287" i="7" s="1"/>
  <c r="F618" i="7"/>
  <c r="F286" i="7" s="1"/>
  <c r="F607" i="7"/>
  <c r="F606" i="7"/>
  <c r="F605" i="7"/>
  <c r="F604" i="7"/>
  <c r="F603" i="7"/>
  <c r="F602" i="7"/>
  <c r="F601" i="7"/>
  <c r="F600" i="7"/>
  <c r="F599" i="7"/>
  <c r="F595" i="7"/>
  <c r="F270" i="7" s="1"/>
  <c r="F594" i="7"/>
  <c r="F269" i="7" s="1"/>
  <c r="F593" i="7"/>
  <c r="F268" i="7" s="1"/>
  <c r="F592" i="7"/>
  <c r="F267" i="7" s="1"/>
  <c r="F591" i="7"/>
  <c r="F266" i="7" s="1"/>
  <c r="F590" i="7"/>
  <c r="F265" i="7" s="1"/>
  <c r="F589" i="7"/>
  <c r="F264" i="7" s="1"/>
  <c r="F588" i="7"/>
  <c r="F263" i="7" s="1"/>
  <c r="F587" i="7"/>
  <c r="F262" i="7" s="1"/>
  <c r="F586" i="7"/>
  <c r="F261" i="7" s="1"/>
  <c r="F479" i="7"/>
  <c r="F480" i="7" s="1"/>
  <c r="F473" i="7"/>
  <c r="F474" i="7" s="1"/>
  <c r="F390" i="7"/>
  <c r="F377" i="7"/>
  <c r="F376" i="7"/>
  <c r="F375" i="7"/>
  <c r="F374" i="7"/>
  <c r="F373" i="7"/>
  <c r="F372" i="7"/>
  <c r="F243" i="7"/>
  <c r="F242" i="7"/>
  <c r="F241" i="7"/>
  <c r="F240" i="7"/>
  <c r="F239" i="7"/>
  <c r="F238" i="7"/>
  <c r="F256" i="7"/>
  <c r="F32" i="7"/>
  <c r="F28" i="7"/>
  <c r="F27" i="7"/>
  <c r="F25" i="7"/>
  <c r="F19" i="7"/>
  <c r="G2" i="7"/>
  <c r="G22" i="7" s="1"/>
  <c r="G34" i="7" s="1"/>
  <c r="E257" i="7"/>
  <c r="E428" i="7"/>
  <c r="E456" i="7"/>
  <c r="E391" i="7"/>
  <c r="F13" i="1" l="1"/>
  <c r="D66" i="7"/>
  <c r="G575" i="7"/>
  <c r="F539" i="7"/>
  <c r="G518" i="7"/>
  <c r="G514" i="7"/>
  <c r="G510" i="7"/>
  <c r="G506" i="7"/>
  <c r="G569" i="7"/>
  <c r="E66" i="7"/>
  <c r="F29" i="7"/>
  <c r="G545" i="7"/>
  <c r="G538" i="7"/>
  <c r="H11" i="7"/>
  <c r="F402" i="7"/>
  <c r="F400" i="7"/>
  <c r="F395" i="7"/>
  <c r="F399" i="7"/>
  <c r="F403" i="7"/>
  <c r="F423" i="7"/>
  <c r="F427" i="7"/>
  <c r="F447" i="7"/>
  <c r="F451" i="7"/>
  <c r="F455" i="7"/>
  <c r="F424" i="7"/>
  <c r="F428" i="7"/>
  <c r="F448" i="7"/>
  <c r="F452" i="7"/>
  <c r="F456" i="7"/>
  <c r="F596" i="7"/>
  <c r="F581" i="7" s="1"/>
  <c r="F63" i="7" s="1"/>
  <c r="F628" i="7"/>
  <c r="F613" i="7" s="1"/>
  <c r="F64" i="7" s="1"/>
  <c r="F660" i="7"/>
  <c r="F645" i="7" s="1"/>
  <c r="F65" i="7" s="1"/>
  <c r="G671" i="7"/>
  <c r="G670" i="7"/>
  <c r="G669" i="7"/>
  <c r="G668" i="7"/>
  <c r="G667" i="7"/>
  <c r="G666" i="7"/>
  <c r="G665" i="7"/>
  <c r="G664" i="7"/>
  <c r="G659" i="7"/>
  <c r="G321" i="7" s="1"/>
  <c r="G658" i="7"/>
  <c r="G320" i="7" s="1"/>
  <c r="G657" i="7"/>
  <c r="G319" i="7" s="1"/>
  <c r="G656" i="7"/>
  <c r="G318" i="7" s="1"/>
  <c r="G655" i="7"/>
  <c r="G317" i="7" s="1"/>
  <c r="G654" i="7"/>
  <c r="G316" i="7" s="1"/>
  <c r="G653" i="7"/>
  <c r="G315" i="7" s="1"/>
  <c r="G652" i="7"/>
  <c r="G314" i="7" s="1"/>
  <c r="G627" i="7"/>
  <c r="G295" i="7" s="1"/>
  <c r="G626" i="7"/>
  <c r="G294" i="7" s="1"/>
  <c r="G625" i="7"/>
  <c r="G293" i="7" s="1"/>
  <c r="G624" i="7"/>
  <c r="G292" i="7" s="1"/>
  <c r="G623" i="7"/>
  <c r="G291" i="7" s="1"/>
  <c r="G622" i="7"/>
  <c r="G290" i="7" s="1"/>
  <c r="G651" i="7"/>
  <c r="G313" i="7" s="1"/>
  <c r="G650" i="7"/>
  <c r="G312" i="7" s="1"/>
  <c r="G639" i="7"/>
  <c r="G638" i="7"/>
  <c r="G637" i="7"/>
  <c r="G636" i="7"/>
  <c r="G635" i="7"/>
  <c r="G634" i="7"/>
  <c r="G633" i="7"/>
  <c r="G632" i="7"/>
  <c r="G631" i="7"/>
  <c r="G621" i="7"/>
  <c r="G289" i="7" s="1"/>
  <c r="G595" i="7"/>
  <c r="G270" i="7" s="1"/>
  <c r="G594" i="7"/>
  <c r="G269" i="7" s="1"/>
  <c r="G593" i="7"/>
  <c r="G268" i="7" s="1"/>
  <c r="G592" i="7"/>
  <c r="G267" i="7" s="1"/>
  <c r="G591" i="7"/>
  <c r="G266" i="7" s="1"/>
  <c r="G620" i="7"/>
  <c r="G288" i="7" s="1"/>
  <c r="G619" i="7"/>
  <c r="G287" i="7" s="1"/>
  <c r="G618" i="7"/>
  <c r="G286" i="7" s="1"/>
  <c r="G607" i="7"/>
  <c r="G606" i="7"/>
  <c r="G605" i="7"/>
  <c r="G604" i="7"/>
  <c r="G603" i="7"/>
  <c r="G602" i="7"/>
  <c r="G601" i="7"/>
  <c r="G600" i="7"/>
  <c r="G599" i="7"/>
  <c r="G590" i="7"/>
  <c r="G265" i="7" s="1"/>
  <c r="G589" i="7"/>
  <c r="G264" i="7" s="1"/>
  <c r="G588" i="7"/>
  <c r="G263" i="7" s="1"/>
  <c r="G587" i="7"/>
  <c r="G262" i="7" s="1"/>
  <c r="G586" i="7"/>
  <c r="G261" i="7" s="1"/>
  <c r="G479" i="7"/>
  <c r="G480" i="7" s="1"/>
  <c r="G473" i="7"/>
  <c r="G474" i="7" s="1"/>
  <c r="G377" i="7"/>
  <c r="G376" i="7"/>
  <c r="G375" i="7"/>
  <c r="G374" i="7"/>
  <c r="G373" i="7"/>
  <c r="G372" i="7"/>
  <c r="G390" i="7"/>
  <c r="G256" i="7"/>
  <c r="G243" i="7"/>
  <c r="G242" i="7"/>
  <c r="G241" i="7"/>
  <c r="G240" i="7"/>
  <c r="G239" i="7"/>
  <c r="G238" i="7"/>
  <c r="G32" i="7"/>
  <c r="G28" i="7"/>
  <c r="G27" i="7"/>
  <c r="G25" i="7"/>
  <c r="G19" i="7"/>
  <c r="H2" i="7"/>
  <c r="H22" i="7" s="1"/>
  <c r="H34" i="7" s="1"/>
  <c r="F398" i="7"/>
  <c r="F257" i="7"/>
  <c r="F396" i="7"/>
  <c r="F404" i="7"/>
  <c r="F397" i="7"/>
  <c r="F401" i="7"/>
  <c r="F421" i="7"/>
  <c r="F425" i="7"/>
  <c r="F429" i="7"/>
  <c r="F449" i="7"/>
  <c r="F453" i="7"/>
  <c r="F391" i="7"/>
  <c r="F422" i="7"/>
  <c r="F426" i="7"/>
  <c r="F430" i="7"/>
  <c r="F450" i="7"/>
  <c r="F454" i="7"/>
  <c r="F14" i="1" l="1"/>
  <c r="H575" i="7"/>
  <c r="G539" i="7"/>
  <c r="H518" i="7"/>
  <c r="H514" i="7"/>
  <c r="H510" i="7"/>
  <c r="H506" i="7"/>
  <c r="H569" i="7"/>
  <c r="G628" i="7"/>
  <c r="G613" i="7" s="1"/>
  <c r="G64" i="7" s="1"/>
  <c r="I11" i="7"/>
  <c r="H545" i="7"/>
  <c r="H538" i="7"/>
  <c r="G29" i="7"/>
  <c r="G401" i="7"/>
  <c r="G395" i="7"/>
  <c r="G403" i="7"/>
  <c r="G398" i="7"/>
  <c r="G402" i="7"/>
  <c r="G422" i="7"/>
  <c r="G426" i="7"/>
  <c r="G430" i="7"/>
  <c r="G450" i="7"/>
  <c r="G454" i="7"/>
  <c r="G423" i="7"/>
  <c r="G427" i="7"/>
  <c r="G447" i="7"/>
  <c r="G451" i="7"/>
  <c r="G455" i="7"/>
  <c r="F66" i="7"/>
  <c r="H671" i="7"/>
  <c r="H670" i="7"/>
  <c r="H669" i="7"/>
  <c r="H668" i="7"/>
  <c r="H667" i="7"/>
  <c r="H666" i="7"/>
  <c r="H665" i="7"/>
  <c r="H664" i="7"/>
  <c r="H659" i="7"/>
  <c r="H321" i="7" s="1"/>
  <c r="H658" i="7"/>
  <c r="H320" i="7" s="1"/>
  <c r="H657" i="7"/>
  <c r="H319" i="7" s="1"/>
  <c r="H656" i="7"/>
  <c r="H318" i="7" s="1"/>
  <c r="H655" i="7"/>
  <c r="H317" i="7" s="1"/>
  <c r="H654" i="7"/>
  <c r="H316" i="7" s="1"/>
  <c r="H653" i="7"/>
  <c r="H315" i="7" s="1"/>
  <c r="H652" i="7"/>
  <c r="H314" i="7" s="1"/>
  <c r="H651" i="7"/>
  <c r="H313" i="7" s="1"/>
  <c r="H650" i="7"/>
  <c r="H312" i="7" s="1"/>
  <c r="H639" i="7"/>
  <c r="H638" i="7"/>
  <c r="H637" i="7"/>
  <c r="H636" i="7"/>
  <c r="H635" i="7"/>
  <c r="H634" i="7"/>
  <c r="H633" i="7"/>
  <c r="H632" i="7"/>
  <c r="H631" i="7"/>
  <c r="H627" i="7"/>
  <c r="H295" i="7" s="1"/>
  <c r="H626" i="7"/>
  <c r="H294" i="7" s="1"/>
  <c r="H625" i="7"/>
  <c r="H293" i="7" s="1"/>
  <c r="H624" i="7"/>
  <c r="H292" i="7" s="1"/>
  <c r="H623" i="7"/>
  <c r="H291" i="7" s="1"/>
  <c r="H622" i="7"/>
  <c r="H290" i="7" s="1"/>
  <c r="H621" i="7"/>
  <c r="H289" i="7" s="1"/>
  <c r="H620" i="7"/>
  <c r="H288" i="7" s="1"/>
  <c r="H619" i="7"/>
  <c r="H287" i="7" s="1"/>
  <c r="H618" i="7"/>
  <c r="H286" i="7" s="1"/>
  <c r="H607" i="7"/>
  <c r="H606" i="7"/>
  <c r="H605" i="7"/>
  <c r="H604" i="7"/>
  <c r="H603" i="7"/>
  <c r="H602" i="7"/>
  <c r="H601" i="7"/>
  <c r="H600" i="7"/>
  <c r="H599" i="7"/>
  <c r="H595" i="7"/>
  <c r="H270" i="7" s="1"/>
  <c r="H594" i="7"/>
  <c r="H269" i="7" s="1"/>
  <c r="H593" i="7"/>
  <c r="H268" i="7" s="1"/>
  <c r="H592" i="7"/>
  <c r="H267" i="7" s="1"/>
  <c r="H591" i="7"/>
  <c r="H266" i="7" s="1"/>
  <c r="H590" i="7"/>
  <c r="H265" i="7" s="1"/>
  <c r="H589" i="7"/>
  <c r="H264" i="7" s="1"/>
  <c r="H588" i="7"/>
  <c r="H263" i="7" s="1"/>
  <c r="H587" i="7"/>
  <c r="H262" i="7" s="1"/>
  <c r="H586" i="7"/>
  <c r="H261" i="7" s="1"/>
  <c r="H479" i="7"/>
  <c r="H480" i="7" s="1"/>
  <c r="H473" i="7"/>
  <c r="H474" i="7" s="1"/>
  <c r="H390" i="7"/>
  <c r="H377" i="7"/>
  <c r="H376" i="7"/>
  <c r="H375" i="7"/>
  <c r="H374" i="7"/>
  <c r="H373" i="7"/>
  <c r="H372" i="7"/>
  <c r="H243" i="7"/>
  <c r="H242" i="7"/>
  <c r="H241" i="7"/>
  <c r="H240" i="7"/>
  <c r="H239" i="7"/>
  <c r="H238" i="7"/>
  <c r="H256" i="7"/>
  <c r="H32" i="7"/>
  <c r="H28" i="7"/>
  <c r="H27" i="7"/>
  <c r="H25" i="7"/>
  <c r="H19" i="7"/>
  <c r="I2" i="7"/>
  <c r="I22" i="7" s="1"/>
  <c r="I34" i="7" s="1"/>
  <c r="G257" i="7"/>
  <c r="G397" i="7"/>
  <c r="G399" i="7"/>
  <c r="G396" i="7"/>
  <c r="G400" i="7"/>
  <c r="G404" i="7"/>
  <c r="G424" i="7"/>
  <c r="G428" i="7"/>
  <c r="G448" i="7"/>
  <c r="G452" i="7"/>
  <c r="G456" i="7"/>
  <c r="G421" i="7"/>
  <c r="G425" i="7"/>
  <c r="G429" i="7"/>
  <c r="G449" i="7"/>
  <c r="G453" i="7"/>
  <c r="G391" i="7"/>
  <c r="G596" i="7"/>
  <c r="G581" i="7" s="1"/>
  <c r="G63" i="7" s="1"/>
  <c r="G660" i="7"/>
  <c r="G645" i="7" s="1"/>
  <c r="G65" i="7" s="1"/>
  <c r="F15" i="1" l="1"/>
  <c r="H539" i="7"/>
  <c r="I575" i="7"/>
  <c r="I518" i="7"/>
  <c r="I514" i="7"/>
  <c r="I510" i="7"/>
  <c r="I506" i="7"/>
  <c r="I569" i="7"/>
  <c r="H29" i="7"/>
  <c r="H628" i="7"/>
  <c r="H613" i="7" s="1"/>
  <c r="H64" i="7" s="1"/>
  <c r="I545" i="7"/>
  <c r="I538" i="7"/>
  <c r="J11" i="7"/>
  <c r="H596" i="7"/>
  <c r="H581" i="7" s="1"/>
  <c r="H63" i="7" s="1"/>
  <c r="H660" i="7"/>
  <c r="H645" i="7" s="1"/>
  <c r="H65" i="7" s="1"/>
  <c r="H396" i="7"/>
  <c r="H404" i="7"/>
  <c r="H402" i="7"/>
  <c r="H397" i="7"/>
  <c r="H401" i="7"/>
  <c r="H421" i="7"/>
  <c r="H425" i="7"/>
  <c r="H429" i="7"/>
  <c r="H449" i="7"/>
  <c r="H453" i="7"/>
  <c r="H391" i="7"/>
  <c r="H422" i="7"/>
  <c r="H426" i="7"/>
  <c r="H430" i="7"/>
  <c r="H450" i="7"/>
  <c r="H454" i="7"/>
  <c r="G66" i="7"/>
  <c r="I671" i="7"/>
  <c r="I670" i="7"/>
  <c r="I669" i="7"/>
  <c r="I668" i="7"/>
  <c r="I667" i="7"/>
  <c r="I666" i="7"/>
  <c r="I665" i="7"/>
  <c r="I659" i="7"/>
  <c r="I321" i="7" s="1"/>
  <c r="I658" i="7"/>
  <c r="I320" i="7" s="1"/>
  <c r="I657" i="7"/>
  <c r="I319" i="7" s="1"/>
  <c r="I656" i="7"/>
  <c r="I318" i="7" s="1"/>
  <c r="I655" i="7"/>
  <c r="I317" i="7" s="1"/>
  <c r="I654" i="7"/>
  <c r="I316" i="7" s="1"/>
  <c r="I653" i="7"/>
  <c r="I315" i="7" s="1"/>
  <c r="I652" i="7"/>
  <c r="I314" i="7" s="1"/>
  <c r="I651" i="7"/>
  <c r="I313" i="7" s="1"/>
  <c r="I627" i="7"/>
  <c r="I295" i="7" s="1"/>
  <c r="I626" i="7"/>
  <c r="I294" i="7" s="1"/>
  <c r="I625" i="7"/>
  <c r="I293" i="7" s="1"/>
  <c r="I624" i="7"/>
  <c r="I292" i="7" s="1"/>
  <c r="I623" i="7"/>
  <c r="I291" i="7" s="1"/>
  <c r="I622" i="7"/>
  <c r="I290" i="7" s="1"/>
  <c r="I650" i="7"/>
  <c r="I312" i="7" s="1"/>
  <c r="I639" i="7"/>
  <c r="I638" i="7"/>
  <c r="I637" i="7"/>
  <c r="I636" i="7"/>
  <c r="I635" i="7"/>
  <c r="I634" i="7"/>
  <c r="I633" i="7"/>
  <c r="I632" i="7"/>
  <c r="I631" i="7"/>
  <c r="I595" i="7"/>
  <c r="I270" i="7" s="1"/>
  <c r="I594" i="7"/>
  <c r="I269" i="7" s="1"/>
  <c r="I593" i="7"/>
  <c r="I268" i="7" s="1"/>
  <c r="I592" i="7"/>
  <c r="I267" i="7" s="1"/>
  <c r="I591" i="7"/>
  <c r="I266" i="7" s="1"/>
  <c r="I590" i="7"/>
  <c r="I265" i="7" s="1"/>
  <c r="I621" i="7"/>
  <c r="I289" i="7" s="1"/>
  <c r="I620" i="7"/>
  <c r="I619" i="7"/>
  <c r="I287" i="7" s="1"/>
  <c r="I618" i="7"/>
  <c r="I286" i="7" s="1"/>
  <c r="I607" i="7"/>
  <c r="I606" i="7"/>
  <c r="I605" i="7"/>
  <c r="I604" i="7"/>
  <c r="I603" i="7"/>
  <c r="I602" i="7"/>
  <c r="I601" i="7"/>
  <c r="I600" i="7"/>
  <c r="I599" i="7"/>
  <c r="I589" i="7"/>
  <c r="I264" i="7" s="1"/>
  <c r="I588" i="7"/>
  <c r="I263" i="7" s="1"/>
  <c r="I587" i="7"/>
  <c r="I262" i="7" s="1"/>
  <c r="I586" i="7"/>
  <c r="I261" i="7" s="1"/>
  <c r="I479" i="7"/>
  <c r="I480" i="7" s="1"/>
  <c r="I473" i="7"/>
  <c r="I474" i="7" s="1"/>
  <c r="I377" i="7"/>
  <c r="I376" i="7"/>
  <c r="I375" i="7"/>
  <c r="I374" i="7"/>
  <c r="I373" i="7"/>
  <c r="I372" i="7"/>
  <c r="I288" i="7"/>
  <c r="I390" i="7"/>
  <c r="I256" i="7"/>
  <c r="I243" i="7"/>
  <c r="I242" i="7"/>
  <c r="I241" i="7"/>
  <c r="I240" i="7"/>
  <c r="I239" i="7"/>
  <c r="I238" i="7"/>
  <c r="I32" i="7"/>
  <c r="I28" i="7"/>
  <c r="I27" i="7"/>
  <c r="I25" i="7"/>
  <c r="I19" i="7"/>
  <c r="J2" i="7"/>
  <c r="J22" i="7" s="1"/>
  <c r="J34" i="7" s="1"/>
  <c r="H400" i="7"/>
  <c r="H257" i="7"/>
  <c r="H398" i="7"/>
  <c r="H395" i="7"/>
  <c r="H399" i="7"/>
  <c r="H403" i="7"/>
  <c r="H423" i="7"/>
  <c r="H427" i="7"/>
  <c r="H447" i="7"/>
  <c r="H451" i="7"/>
  <c r="H455" i="7"/>
  <c r="H424" i="7"/>
  <c r="H428" i="7"/>
  <c r="H448" i="7"/>
  <c r="H452" i="7"/>
  <c r="H456" i="7"/>
  <c r="F16" i="1" l="1"/>
  <c r="I539" i="7"/>
  <c r="J575" i="7"/>
  <c r="J518" i="7"/>
  <c r="J514" i="7"/>
  <c r="J510" i="7"/>
  <c r="J506" i="7"/>
  <c r="J569" i="7"/>
  <c r="H66" i="7"/>
  <c r="K11" i="7"/>
  <c r="J545" i="7"/>
  <c r="J538" i="7"/>
  <c r="I399" i="7"/>
  <c r="I401" i="7"/>
  <c r="I398" i="7"/>
  <c r="I402" i="7"/>
  <c r="I422" i="7"/>
  <c r="I426" i="7"/>
  <c r="I430" i="7"/>
  <c r="I450" i="7"/>
  <c r="I454" i="7"/>
  <c r="I423" i="7"/>
  <c r="I427" i="7"/>
  <c r="I447" i="7"/>
  <c r="I451" i="7"/>
  <c r="I455" i="7"/>
  <c r="I29" i="7"/>
  <c r="J671" i="7"/>
  <c r="J670" i="7"/>
  <c r="J669" i="7"/>
  <c r="J668" i="7"/>
  <c r="J667" i="7"/>
  <c r="J666" i="7"/>
  <c r="J665" i="7"/>
  <c r="J659" i="7"/>
  <c r="J321" i="7" s="1"/>
  <c r="J658" i="7"/>
  <c r="J320" i="7" s="1"/>
  <c r="J657" i="7"/>
  <c r="J319" i="7" s="1"/>
  <c r="J656" i="7"/>
  <c r="J318" i="7" s="1"/>
  <c r="J655" i="7"/>
  <c r="J317" i="7" s="1"/>
  <c r="J654" i="7"/>
  <c r="J316" i="7" s="1"/>
  <c r="J653" i="7"/>
  <c r="J315" i="7" s="1"/>
  <c r="J652" i="7"/>
  <c r="J314" i="7" s="1"/>
  <c r="J651" i="7"/>
  <c r="J313" i="7" s="1"/>
  <c r="J650" i="7"/>
  <c r="J312" i="7" s="1"/>
  <c r="J639" i="7"/>
  <c r="J638" i="7"/>
  <c r="J637" i="7"/>
  <c r="J636" i="7"/>
  <c r="J635" i="7"/>
  <c r="J634" i="7"/>
  <c r="J633" i="7"/>
  <c r="J632" i="7"/>
  <c r="J631" i="7"/>
  <c r="J627" i="7"/>
  <c r="J295" i="7" s="1"/>
  <c r="J626" i="7"/>
  <c r="J294" i="7" s="1"/>
  <c r="J625" i="7"/>
  <c r="J293" i="7" s="1"/>
  <c r="J624" i="7"/>
  <c r="J292" i="7" s="1"/>
  <c r="J623" i="7"/>
  <c r="J291" i="7" s="1"/>
  <c r="J622" i="7"/>
  <c r="J290" i="7" s="1"/>
  <c r="J621" i="7"/>
  <c r="J289" i="7" s="1"/>
  <c r="J620" i="7"/>
  <c r="J288" i="7" s="1"/>
  <c r="J619" i="7"/>
  <c r="J287" i="7" s="1"/>
  <c r="J618" i="7"/>
  <c r="J286" i="7" s="1"/>
  <c r="J607" i="7"/>
  <c r="J606" i="7"/>
  <c r="J605" i="7"/>
  <c r="J604" i="7"/>
  <c r="J603" i="7"/>
  <c r="J602" i="7"/>
  <c r="J601" i="7"/>
  <c r="J600" i="7"/>
  <c r="J599" i="7"/>
  <c r="J595" i="7"/>
  <c r="J270" i="7" s="1"/>
  <c r="J594" i="7"/>
  <c r="J269" i="7" s="1"/>
  <c r="J593" i="7"/>
  <c r="J268" i="7" s="1"/>
  <c r="J592" i="7"/>
  <c r="J267" i="7" s="1"/>
  <c r="J591" i="7"/>
  <c r="J266" i="7" s="1"/>
  <c r="J590" i="7"/>
  <c r="J265" i="7" s="1"/>
  <c r="J589" i="7"/>
  <c r="J264" i="7" s="1"/>
  <c r="J588" i="7"/>
  <c r="J263" i="7" s="1"/>
  <c r="J587" i="7"/>
  <c r="J262" i="7" s="1"/>
  <c r="J586" i="7"/>
  <c r="J261" i="7" s="1"/>
  <c r="J479" i="7"/>
  <c r="J480" i="7" s="1"/>
  <c r="J473" i="7"/>
  <c r="J474" i="7" s="1"/>
  <c r="J390" i="7"/>
  <c r="J377" i="7"/>
  <c r="J376" i="7"/>
  <c r="J375" i="7"/>
  <c r="J374" i="7"/>
  <c r="J373" i="7"/>
  <c r="J372" i="7"/>
  <c r="J243" i="7"/>
  <c r="J242" i="7"/>
  <c r="J241" i="7"/>
  <c r="J240" i="7"/>
  <c r="J239" i="7"/>
  <c r="J238" i="7"/>
  <c r="J256" i="7"/>
  <c r="J32" i="7"/>
  <c r="J28" i="7"/>
  <c r="J27" i="7"/>
  <c r="J25" i="7"/>
  <c r="J19" i="7"/>
  <c r="K2" i="7"/>
  <c r="K22" i="7" s="1"/>
  <c r="K34" i="7" s="1"/>
  <c r="I257" i="7"/>
  <c r="I395" i="7"/>
  <c r="I403" i="7"/>
  <c r="I397" i="7"/>
  <c r="I396" i="7"/>
  <c r="I400" i="7"/>
  <c r="I404" i="7"/>
  <c r="I424" i="7"/>
  <c r="I428" i="7"/>
  <c r="I448" i="7"/>
  <c r="I452" i="7"/>
  <c r="I456" i="7"/>
  <c r="I421" i="7"/>
  <c r="I425" i="7"/>
  <c r="I429" i="7"/>
  <c r="I449" i="7"/>
  <c r="I453" i="7"/>
  <c r="I391" i="7"/>
  <c r="I596" i="7"/>
  <c r="I581" i="7" s="1"/>
  <c r="I63" i="7" s="1"/>
  <c r="I628" i="7"/>
  <c r="I613" i="7" s="1"/>
  <c r="I64" i="7" s="1"/>
  <c r="I660" i="7"/>
  <c r="I645" i="7" s="1"/>
  <c r="I65" i="7" s="1"/>
  <c r="F17" i="1" l="1"/>
  <c r="J539" i="7"/>
  <c r="K575" i="7"/>
  <c r="K518" i="7"/>
  <c r="K514" i="7"/>
  <c r="K510" i="7"/>
  <c r="K506" i="7"/>
  <c r="K569" i="7"/>
  <c r="K545" i="7"/>
  <c r="K538" i="7"/>
  <c r="K539" i="7" s="1"/>
  <c r="L11" i="7"/>
  <c r="J402" i="7"/>
  <c r="J400" i="7"/>
  <c r="J395" i="7"/>
  <c r="J399" i="7"/>
  <c r="J403" i="7"/>
  <c r="J423" i="7"/>
  <c r="J427" i="7"/>
  <c r="J447" i="7"/>
  <c r="J451" i="7"/>
  <c r="J455" i="7"/>
  <c r="J424" i="7"/>
  <c r="J428" i="7"/>
  <c r="J448" i="7"/>
  <c r="J452" i="7"/>
  <c r="J456" i="7"/>
  <c r="I66" i="7"/>
  <c r="J29" i="7"/>
  <c r="J596" i="7"/>
  <c r="J581" i="7" s="1"/>
  <c r="J63" i="7" s="1"/>
  <c r="J628" i="7"/>
  <c r="J613" i="7" s="1"/>
  <c r="J64" i="7" s="1"/>
  <c r="J660" i="7"/>
  <c r="J645" i="7" s="1"/>
  <c r="J65" i="7" s="1"/>
  <c r="K671" i="7"/>
  <c r="K670" i="7"/>
  <c r="K669" i="7"/>
  <c r="K668" i="7"/>
  <c r="K667" i="7"/>
  <c r="K666" i="7"/>
  <c r="K665" i="7"/>
  <c r="K659" i="7"/>
  <c r="K321" i="7" s="1"/>
  <c r="K658" i="7"/>
  <c r="K320" i="7" s="1"/>
  <c r="K657" i="7"/>
  <c r="K319" i="7" s="1"/>
  <c r="K656" i="7"/>
  <c r="K318" i="7" s="1"/>
  <c r="K655" i="7"/>
  <c r="K317" i="7" s="1"/>
  <c r="K654" i="7"/>
  <c r="K316" i="7" s="1"/>
  <c r="K653" i="7"/>
  <c r="K315" i="7" s="1"/>
  <c r="K652" i="7"/>
  <c r="K314" i="7" s="1"/>
  <c r="K627" i="7"/>
  <c r="K295" i="7" s="1"/>
  <c r="K626" i="7"/>
  <c r="K294" i="7" s="1"/>
  <c r="K625" i="7"/>
  <c r="K293" i="7" s="1"/>
  <c r="K624" i="7"/>
  <c r="K292" i="7" s="1"/>
  <c r="K623" i="7"/>
  <c r="K291" i="7" s="1"/>
  <c r="K622" i="7"/>
  <c r="K290" i="7" s="1"/>
  <c r="K651" i="7"/>
  <c r="K313" i="7" s="1"/>
  <c r="K650" i="7"/>
  <c r="K639" i="7"/>
  <c r="K638" i="7"/>
  <c r="K637" i="7"/>
  <c r="K636" i="7"/>
  <c r="K635" i="7"/>
  <c r="K634" i="7"/>
  <c r="K633" i="7"/>
  <c r="K632" i="7"/>
  <c r="K631" i="7"/>
  <c r="K621" i="7"/>
  <c r="K289" i="7" s="1"/>
  <c r="K595" i="7"/>
  <c r="K270" i="7" s="1"/>
  <c r="K594" i="7"/>
  <c r="K269" i="7" s="1"/>
  <c r="K593" i="7"/>
  <c r="K268" i="7" s="1"/>
  <c r="K592" i="7"/>
  <c r="K267" i="7" s="1"/>
  <c r="K591" i="7"/>
  <c r="K266" i="7" s="1"/>
  <c r="K590" i="7"/>
  <c r="K265" i="7" s="1"/>
  <c r="K620" i="7"/>
  <c r="K288" i="7" s="1"/>
  <c r="K619" i="7"/>
  <c r="K287" i="7" s="1"/>
  <c r="K618" i="7"/>
  <c r="K286" i="7" s="1"/>
  <c r="K607" i="7"/>
  <c r="K606" i="7"/>
  <c r="K605" i="7"/>
  <c r="K604" i="7"/>
  <c r="K603" i="7"/>
  <c r="K602" i="7"/>
  <c r="K601" i="7"/>
  <c r="K600" i="7"/>
  <c r="K599" i="7"/>
  <c r="K588" i="7"/>
  <c r="K263" i="7" s="1"/>
  <c r="K589" i="7"/>
  <c r="K264" i="7" s="1"/>
  <c r="K587" i="7"/>
  <c r="K262" i="7" s="1"/>
  <c r="K586" i="7"/>
  <c r="K479" i="7"/>
  <c r="K480" i="7" s="1"/>
  <c r="K473" i="7"/>
  <c r="K474" i="7" s="1"/>
  <c r="K377" i="7"/>
  <c r="K376" i="7"/>
  <c r="K375" i="7"/>
  <c r="K374" i="7"/>
  <c r="K373" i="7"/>
  <c r="K372" i="7"/>
  <c r="K390" i="7"/>
  <c r="K256" i="7"/>
  <c r="K243" i="7"/>
  <c r="K242" i="7"/>
  <c r="K241" i="7"/>
  <c r="K240" i="7"/>
  <c r="K239" i="7"/>
  <c r="K238" i="7"/>
  <c r="L2" i="7"/>
  <c r="L22" i="7" s="1"/>
  <c r="L34" i="7" s="1"/>
  <c r="K32" i="7"/>
  <c r="K28" i="7"/>
  <c r="K27" i="7"/>
  <c r="K25" i="7"/>
  <c r="K19" i="7"/>
  <c r="J398" i="7"/>
  <c r="J257" i="7"/>
  <c r="J396" i="7"/>
  <c r="J404" i="7"/>
  <c r="J397" i="7"/>
  <c r="J401" i="7"/>
  <c r="J421" i="7"/>
  <c r="J425" i="7"/>
  <c r="J429" i="7"/>
  <c r="J449" i="7"/>
  <c r="J453" i="7"/>
  <c r="J391" i="7"/>
  <c r="J422" i="7"/>
  <c r="J426" i="7"/>
  <c r="J430" i="7"/>
  <c r="J450" i="7"/>
  <c r="J454" i="7"/>
  <c r="F18" i="1" l="1"/>
  <c r="L575" i="7"/>
  <c r="L518" i="7"/>
  <c r="L514" i="7"/>
  <c r="L510" i="7"/>
  <c r="L506" i="7"/>
  <c r="M11" i="7"/>
  <c r="L545" i="7"/>
  <c r="L538" i="7"/>
  <c r="L539" i="7" s="1"/>
  <c r="K423" i="7"/>
  <c r="K402" i="7"/>
  <c r="K451" i="7"/>
  <c r="K455" i="7"/>
  <c r="K398" i="7"/>
  <c r="K427" i="7"/>
  <c r="K257" i="7"/>
  <c r="K399" i="7"/>
  <c r="K596" i="7"/>
  <c r="K581" i="7" s="1"/>
  <c r="K63" i="7" s="1"/>
  <c r="K628" i="7"/>
  <c r="K613" i="7" s="1"/>
  <c r="K64" i="7" s="1"/>
  <c r="K660" i="7"/>
  <c r="K645" i="7" s="1"/>
  <c r="K65" i="7" s="1"/>
  <c r="L671" i="7"/>
  <c r="L670" i="7"/>
  <c r="L669" i="7"/>
  <c r="L668" i="7"/>
  <c r="L667" i="7"/>
  <c r="L666" i="7"/>
  <c r="L664" i="7"/>
  <c r="L659" i="7"/>
  <c r="L321" i="7" s="1"/>
  <c r="L658" i="7"/>
  <c r="L320" i="7" s="1"/>
  <c r="L657" i="7"/>
  <c r="L319" i="7" s="1"/>
  <c r="L656" i="7"/>
  <c r="L318" i="7" s="1"/>
  <c r="L655" i="7"/>
  <c r="L317" i="7" s="1"/>
  <c r="L654" i="7"/>
  <c r="L316" i="7" s="1"/>
  <c r="L653" i="7"/>
  <c r="L315" i="7" s="1"/>
  <c r="L652" i="7"/>
  <c r="L314" i="7" s="1"/>
  <c r="L651" i="7"/>
  <c r="L313" i="7" s="1"/>
  <c r="L650" i="7"/>
  <c r="L639" i="7"/>
  <c r="L638" i="7"/>
  <c r="L637" i="7"/>
  <c r="L636" i="7"/>
  <c r="L635" i="7"/>
  <c r="L634" i="7"/>
  <c r="L633" i="7"/>
  <c r="L632" i="7"/>
  <c r="L631" i="7"/>
  <c r="L627" i="7"/>
  <c r="L295" i="7" s="1"/>
  <c r="L626" i="7"/>
  <c r="L294" i="7" s="1"/>
  <c r="L625" i="7"/>
  <c r="L293" i="7" s="1"/>
  <c r="L624" i="7"/>
  <c r="L292" i="7" s="1"/>
  <c r="L623" i="7"/>
  <c r="L291" i="7" s="1"/>
  <c r="L622" i="7"/>
  <c r="L290" i="7" s="1"/>
  <c r="L621" i="7"/>
  <c r="L289" i="7" s="1"/>
  <c r="L620" i="7"/>
  <c r="L288" i="7" s="1"/>
  <c r="L619" i="7"/>
  <c r="L287" i="7" s="1"/>
  <c r="L618" i="7"/>
  <c r="L286" i="7" s="1"/>
  <c r="L607" i="7"/>
  <c r="L606" i="7"/>
  <c r="L605" i="7"/>
  <c r="L604" i="7"/>
  <c r="L603" i="7"/>
  <c r="L602" i="7"/>
  <c r="L601" i="7"/>
  <c r="L600" i="7"/>
  <c r="L599" i="7"/>
  <c r="L595" i="7"/>
  <c r="L270" i="7" s="1"/>
  <c r="L594" i="7"/>
  <c r="L269" i="7" s="1"/>
  <c r="L593" i="7"/>
  <c r="L268" i="7" s="1"/>
  <c r="L592" i="7"/>
  <c r="L267" i="7" s="1"/>
  <c r="L591" i="7"/>
  <c r="L266" i="7" s="1"/>
  <c r="L590" i="7"/>
  <c r="L265" i="7" s="1"/>
  <c r="L589" i="7"/>
  <c r="L264" i="7" s="1"/>
  <c r="L588" i="7"/>
  <c r="L263" i="7" s="1"/>
  <c r="L587" i="7"/>
  <c r="L262" i="7" s="1"/>
  <c r="L586" i="7"/>
  <c r="L479" i="7"/>
  <c r="L480" i="7" s="1"/>
  <c r="L473" i="7"/>
  <c r="L474" i="7" s="1"/>
  <c r="L390" i="7"/>
  <c r="L377" i="7"/>
  <c r="L376" i="7"/>
  <c r="L375" i="7"/>
  <c r="L374" i="7"/>
  <c r="L373" i="7"/>
  <c r="L372" i="7"/>
  <c r="L243" i="7"/>
  <c r="L242" i="7"/>
  <c r="L241" i="7"/>
  <c r="L240" i="7"/>
  <c r="L239" i="7"/>
  <c r="L238" i="7"/>
  <c r="L256" i="7"/>
  <c r="L32" i="7"/>
  <c r="L28" i="7"/>
  <c r="L27" i="7"/>
  <c r="L25" i="7"/>
  <c r="L19" i="7"/>
  <c r="M2" i="7"/>
  <c r="M22" i="7" s="1"/>
  <c r="M34" i="7" s="1"/>
  <c r="K401" i="7"/>
  <c r="K403" i="7"/>
  <c r="K422" i="7"/>
  <c r="K426" i="7"/>
  <c r="K430" i="7"/>
  <c r="K450" i="7"/>
  <c r="K454" i="7"/>
  <c r="K29" i="7"/>
  <c r="K261" i="7"/>
  <c r="K312" i="7"/>
  <c r="K397" i="7"/>
  <c r="K396" i="7"/>
  <c r="K400" i="7"/>
  <c r="K404" i="7"/>
  <c r="K424" i="7"/>
  <c r="K428" i="7"/>
  <c r="K448" i="7"/>
  <c r="K452" i="7"/>
  <c r="K456" i="7"/>
  <c r="K421" i="7"/>
  <c r="K425" i="7"/>
  <c r="K429" i="7"/>
  <c r="K449" i="7"/>
  <c r="K453" i="7"/>
  <c r="K391" i="7"/>
  <c r="J66" i="7"/>
  <c r="F19" i="1" l="1"/>
  <c r="M575" i="7"/>
  <c r="M518" i="7"/>
  <c r="M514" i="7"/>
  <c r="M510" i="7"/>
  <c r="M506" i="7"/>
  <c r="M569" i="7"/>
  <c r="L312" i="7"/>
  <c r="L447" i="7" s="1"/>
  <c r="L596" i="7"/>
  <c r="L581" i="7" s="1"/>
  <c r="L63" i="7" s="1"/>
  <c r="L660" i="7"/>
  <c r="L645" i="7" s="1"/>
  <c r="L65" i="7" s="1"/>
  <c r="L261" i="7"/>
  <c r="L395" i="7" s="1"/>
  <c r="L29" i="7"/>
  <c r="L628" i="7"/>
  <c r="L613" i="7" s="1"/>
  <c r="L64" i="7" s="1"/>
  <c r="M545" i="7"/>
  <c r="M538" i="7"/>
  <c r="M539" i="7" s="1"/>
  <c r="N11" i="7"/>
  <c r="K447" i="7"/>
  <c r="L400" i="7"/>
  <c r="L257" i="7"/>
  <c r="L398" i="7"/>
  <c r="L399" i="7"/>
  <c r="L403" i="7"/>
  <c r="L423" i="7"/>
  <c r="L427" i="7"/>
  <c r="L451" i="7"/>
  <c r="L455" i="7"/>
  <c r="L424" i="7"/>
  <c r="L428" i="7"/>
  <c r="L448" i="7"/>
  <c r="L452" i="7"/>
  <c r="L456" i="7"/>
  <c r="K395" i="7"/>
  <c r="M671" i="7"/>
  <c r="M670" i="7"/>
  <c r="M669" i="7"/>
  <c r="M668" i="7"/>
  <c r="M667" i="7"/>
  <c r="M666" i="7"/>
  <c r="M663" i="7"/>
  <c r="M659" i="7"/>
  <c r="M321" i="7" s="1"/>
  <c r="M658" i="7"/>
  <c r="M320" i="7" s="1"/>
  <c r="M657" i="7"/>
  <c r="M319" i="7" s="1"/>
  <c r="M656" i="7"/>
  <c r="M318" i="7" s="1"/>
  <c r="M655" i="7"/>
  <c r="M317" i="7" s="1"/>
  <c r="M654" i="7"/>
  <c r="M316" i="7" s="1"/>
  <c r="M653" i="7"/>
  <c r="M315" i="7" s="1"/>
  <c r="M652" i="7"/>
  <c r="M314" i="7" s="1"/>
  <c r="M651" i="7"/>
  <c r="M313" i="7" s="1"/>
  <c r="M627" i="7"/>
  <c r="M295" i="7" s="1"/>
  <c r="M626" i="7"/>
  <c r="M294" i="7" s="1"/>
  <c r="M625" i="7"/>
  <c r="M293" i="7" s="1"/>
  <c r="M624" i="7"/>
  <c r="M292" i="7" s="1"/>
  <c r="M623" i="7"/>
  <c r="M291" i="7" s="1"/>
  <c r="M622" i="7"/>
  <c r="M290" i="7" s="1"/>
  <c r="M621" i="7"/>
  <c r="M289" i="7" s="1"/>
  <c r="M650" i="7"/>
  <c r="M639" i="7"/>
  <c r="M638" i="7"/>
  <c r="M637" i="7"/>
  <c r="M636" i="7"/>
  <c r="M635" i="7"/>
  <c r="M634" i="7"/>
  <c r="M633" i="7"/>
  <c r="M632" i="7"/>
  <c r="M631" i="7"/>
  <c r="M595" i="7"/>
  <c r="M270" i="7" s="1"/>
  <c r="M594" i="7"/>
  <c r="M269" i="7" s="1"/>
  <c r="M593" i="7"/>
  <c r="M268" i="7" s="1"/>
  <c r="M592" i="7"/>
  <c r="M267" i="7" s="1"/>
  <c r="M591" i="7"/>
  <c r="M266" i="7" s="1"/>
  <c r="M590" i="7"/>
  <c r="M265" i="7" s="1"/>
  <c r="M620" i="7"/>
  <c r="M288" i="7" s="1"/>
  <c r="M619" i="7"/>
  <c r="M287" i="7" s="1"/>
  <c r="M618" i="7"/>
  <c r="M286" i="7" s="1"/>
  <c r="M607" i="7"/>
  <c r="M606" i="7"/>
  <c r="M605" i="7"/>
  <c r="M604" i="7"/>
  <c r="M603" i="7"/>
  <c r="M602" i="7"/>
  <c r="M601" i="7"/>
  <c r="M600" i="7"/>
  <c r="M599" i="7"/>
  <c r="M589" i="7"/>
  <c r="M264" i="7" s="1"/>
  <c r="M588" i="7"/>
  <c r="M263" i="7" s="1"/>
  <c r="M587" i="7"/>
  <c r="M262" i="7" s="1"/>
  <c r="M586" i="7"/>
  <c r="M261" i="7" s="1"/>
  <c r="M479" i="7"/>
  <c r="M480" i="7" s="1"/>
  <c r="M473" i="7"/>
  <c r="M474" i="7" s="1"/>
  <c r="M377" i="7"/>
  <c r="M376" i="7"/>
  <c r="M375" i="7"/>
  <c r="M374" i="7"/>
  <c r="M373" i="7"/>
  <c r="M372" i="7"/>
  <c r="M390" i="7"/>
  <c r="M256" i="7"/>
  <c r="M243" i="7"/>
  <c r="M242" i="7"/>
  <c r="M241" i="7"/>
  <c r="M240" i="7"/>
  <c r="M239" i="7"/>
  <c r="M238" i="7"/>
  <c r="M32" i="7"/>
  <c r="M28" i="7"/>
  <c r="M27" i="7"/>
  <c r="M25" i="7"/>
  <c r="M19" i="7"/>
  <c r="N2" i="7"/>
  <c r="N22" i="7" s="1"/>
  <c r="N34" i="7" s="1"/>
  <c r="L396" i="7"/>
  <c r="L404" i="7"/>
  <c r="L402" i="7"/>
  <c r="L397" i="7"/>
  <c r="L401" i="7"/>
  <c r="L421" i="7"/>
  <c r="L425" i="7"/>
  <c r="L429" i="7"/>
  <c r="L449" i="7"/>
  <c r="L453" i="7"/>
  <c r="L391" i="7"/>
  <c r="L422" i="7"/>
  <c r="L426" i="7"/>
  <c r="L430" i="7"/>
  <c r="L450" i="7"/>
  <c r="L454" i="7"/>
  <c r="K66" i="7"/>
  <c r="F20" i="1" l="1"/>
  <c r="N575" i="7"/>
  <c r="M312" i="7"/>
  <c r="M447" i="7" s="1"/>
  <c r="N518" i="7"/>
  <c r="N514" i="7"/>
  <c r="N510" i="7"/>
  <c r="N506" i="7"/>
  <c r="L66" i="7"/>
  <c r="M660" i="7"/>
  <c r="M645" i="7" s="1"/>
  <c r="M65" i="7" s="1"/>
  <c r="O11" i="7"/>
  <c r="N545" i="7"/>
  <c r="N538" i="7"/>
  <c r="N539" i="7" s="1"/>
  <c r="M29" i="7"/>
  <c r="M396" i="7"/>
  <c r="M425" i="7"/>
  <c r="M429" i="7"/>
  <c r="M448" i="7"/>
  <c r="M403" i="7"/>
  <c r="M452" i="7"/>
  <c r="M456" i="7"/>
  <c r="M399" i="7"/>
  <c r="M401" i="7"/>
  <c r="M398" i="7"/>
  <c r="M402" i="7"/>
  <c r="M422" i="7"/>
  <c r="M426" i="7"/>
  <c r="M430" i="7"/>
  <c r="M450" i="7"/>
  <c r="M454" i="7"/>
  <c r="M423" i="7"/>
  <c r="M427" i="7"/>
  <c r="M451" i="7"/>
  <c r="M455" i="7"/>
  <c r="N671" i="7"/>
  <c r="N670" i="7"/>
  <c r="N669" i="7"/>
  <c r="N668" i="7"/>
  <c r="N667" i="7"/>
  <c r="N666" i="7"/>
  <c r="N663" i="7"/>
  <c r="N659" i="7"/>
  <c r="N321" i="7" s="1"/>
  <c r="N658" i="7"/>
  <c r="N320" i="7" s="1"/>
  <c r="N657" i="7"/>
  <c r="N319" i="7" s="1"/>
  <c r="N656" i="7"/>
  <c r="N318" i="7" s="1"/>
  <c r="N655" i="7"/>
  <c r="N317" i="7" s="1"/>
  <c r="N654" i="7"/>
  <c r="N316" i="7" s="1"/>
  <c r="N653" i="7"/>
  <c r="N315" i="7" s="1"/>
  <c r="N652" i="7"/>
  <c r="N314" i="7" s="1"/>
  <c r="N651" i="7"/>
  <c r="N313" i="7" s="1"/>
  <c r="N650" i="7"/>
  <c r="N312" i="7" s="1"/>
  <c r="N639" i="7"/>
  <c r="N638" i="7"/>
  <c r="N637" i="7"/>
  <c r="N636" i="7"/>
  <c r="N635" i="7"/>
  <c r="N634" i="7"/>
  <c r="N633" i="7"/>
  <c r="N632" i="7"/>
  <c r="N631" i="7"/>
  <c r="N627" i="7"/>
  <c r="N295" i="7" s="1"/>
  <c r="N626" i="7"/>
  <c r="N294" i="7" s="1"/>
  <c r="N625" i="7"/>
  <c r="N293" i="7" s="1"/>
  <c r="N624" i="7"/>
  <c r="N292" i="7" s="1"/>
  <c r="N623" i="7"/>
  <c r="N291" i="7" s="1"/>
  <c r="N622" i="7"/>
  <c r="N290" i="7" s="1"/>
  <c r="N621" i="7"/>
  <c r="N289" i="7" s="1"/>
  <c r="N620" i="7"/>
  <c r="N288" i="7" s="1"/>
  <c r="N619" i="7"/>
  <c r="N287" i="7" s="1"/>
  <c r="N618" i="7"/>
  <c r="N286" i="7" s="1"/>
  <c r="N607" i="7"/>
  <c r="N606" i="7"/>
  <c r="N605" i="7"/>
  <c r="N604" i="7"/>
  <c r="N603" i="7"/>
  <c r="N602" i="7"/>
  <c r="N601" i="7"/>
  <c r="N600" i="7"/>
  <c r="N599" i="7"/>
  <c r="N595" i="7"/>
  <c r="N270" i="7" s="1"/>
  <c r="N594" i="7"/>
  <c r="N269" i="7" s="1"/>
  <c r="N593" i="7"/>
  <c r="N268" i="7" s="1"/>
  <c r="N592" i="7"/>
  <c r="N267" i="7" s="1"/>
  <c r="N591" i="7"/>
  <c r="N266" i="7" s="1"/>
  <c r="N590" i="7"/>
  <c r="N265" i="7" s="1"/>
  <c r="N589" i="7"/>
  <c r="N264" i="7" s="1"/>
  <c r="N588" i="7"/>
  <c r="N263" i="7" s="1"/>
  <c r="N587" i="7"/>
  <c r="N262" i="7" s="1"/>
  <c r="N586" i="7"/>
  <c r="N261" i="7" s="1"/>
  <c r="N479" i="7"/>
  <c r="N480" i="7" s="1"/>
  <c r="N473" i="7"/>
  <c r="N474" i="7" s="1"/>
  <c r="N390" i="7"/>
  <c r="N377" i="7"/>
  <c r="N376" i="7"/>
  <c r="N375" i="7"/>
  <c r="N374" i="7"/>
  <c r="N373" i="7"/>
  <c r="N372" i="7"/>
  <c r="N243" i="7"/>
  <c r="N242" i="7"/>
  <c r="N241" i="7"/>
  <c r="N240" i="7"/>
  <c r="N239" i="7"/>
  <c r="N238" i="7"/>
  <c r="N256" i="7"/>
  <c r="N32" i="7"/>
  <c r="N28" i="7"/>
  <c r="N27" i="7"/>
  <c r="N25" i="7"/>
  <c r="N19" i="7"/>
  <c r="O2" i="7"/>
  <c r="O22" i="7" s="1"/>
  <c r="O34" i="7" s="1"/>
  <c r="M257" i="7"/>
  <c r="M395" i="7"/>
  <c r="M397" i="7"/>
  <c r="M400" i="7"/>
  <c r="M404" i="7"/>
  <c r="M424" i="7"/>
  <c r="M428" i="7"/>
  <c r="M421" i="7"/>
  <c r="M449" i="7"/>
  <c r="M453" i="7"/>
  <c r="M391" i="7"/>
  <c r="M596" i="7"/>
  <c r="M581" i="7" s="1"/>
  <c r="M63" i="7" s="1"/>
  <c r="M628" i="7"/>
  <c r="M613" i="7" s="1"/>
  <c r="M64" i="7" s="1"/>
  <c r="F21" i="1" l="1"/>
  <c r="O575" i="7"/>
  <c r="O518" i="7"/>
  <c r="O514" i="7"/>
  <c r="O510" i="7"/>
  <c r="O506" i="7"/>
  <c r="O545" i="7"/>
  <c r="O538" i="7"/>
  <c r="O539" i="7" s="1"/>
  <c r="P11" i="7"/>
  <c r="N424" i="7"/>
  <c r="N400" i="7"/>
  <c r="N402" i="7"/>
  <c r="N448" i="7"/>
  <c r="N452" i="7"/>
  <c r="N456" i="7"/>
  <c r="N428" i="7"/>
  <c r="N398" i="7"/>
  <c r="N257" i="7"/>
  <c r="N396" i="7"/>
  <c r="N404" i="7"/>
  <c r="N397" i="7"/>
  <c r="N401" i="7"/>
  <c r="N421" i="7"/>
  <c r="N425" i="7"/>
  <c r="N429" i="7"/>
  <c r="N449" i="7"/>
  <c r="N453" i="7"/>
  <c r="N391" i="7"/>
  <c r="N422" i="7"/>
  <c r="N426" i="7"/>
  <c r="N430" i="7"/>
  <c r="N450" i="7"/>
  <c r="N454" i="7"/>
  <c r="O671" i="7"/>
  <c r="O670" i="7"/>
  <c r="O669" i="7"/>
  <c r="O668" i="7"/>
  <c r="O667" i="7"/>
  <c r="O665" i="7"/>
  <c r="O659" i="7"/>
  <c r="O321" i="7" s="1"/>
  <c r="O658" i="7"/>
  <c r="O320" i="7" s="1"/>
  <c r="O657" i="7"/>
  <c r="O319" i="7" s="1"/>
  <c r="O656" i="7"/>
  <c r="O318" i="7" s="1"/>
  <c r="O655" i="7"/>
  <c r="O317" i="7" s="1"/>
  <c r="O654" i="7"/>
  <c r="O316" i="7" s="1"/>
  <c r="O653" i="7"/>
  <c r="O315" i="7" s="1"/>
  <c r="O652" i="7"/>
  <c r="O314" i="7" s="1"/>
  <c r="O663" i="7"/>
  <c r="O650" i="7"/>
  <c r="O312" i="7" s="1"/>
  <c r="O627" i="7"/>
  <c r="O295" i="7" s="1"/>
  <c r="O626" i="7"/>
  <c r="O294" i="7" s="1"/>
  <c r="O625" i="7"/>
  <c r="O293" i="7" s="1"/>
  <c r="O624" i="7"/>
  <c r="O292" i="7" s="1"/>
  <c r="O623" i="7"/>
  <c r="O291" i="7" s="1"/>
  <c r="O622" i="7"/>
  <c r="O290" i="7" s="1"/>
  <c r="O621" i="7"/>
  <c r="O289" i="7" s="1"/>
  <c r="O651" i="7"/>
  <c r="O313" i="7" s="1"/>
  <c r="O639" i="7"/>
  <c r="O638" i="7"/>
  <c r="O637" i="7"/>
  <c r="O636" i="7"/>
  <c r="O635" i="7"/>
  <c r="O634" i="7"/>
  <c r="O633" i="7"/>
  <c r="O632" i="7"/>
  <c r="O631" i="7"/>
  <c r="O595" i="7"/>
  <c r="O270" i="7" s="1"/>
  <c r="O594" i="7"/>
  <c r="O269" i="7" s="1"/>
  <c r="O593" i="7"/>
  <c r="O268" i="7" s="1"/>
  <c r="O592" i="7"/>
  <c r="O267" i="7" s="1"/>
  <c r="O591" i="7"/>
  <c r="O266" i="7" s="1"/>
  <c r="O590" i="7"/>
  <c r="O265" i="7" s="1"/>
  <c r="O620" i="7"/>
  <c r="O288" i="7" s="1"/>
  <c r="O619" i="7"/>
  <c r="O287" i="7" s="1"/>
  <c r="O618" i="7"/>
  <c r="O286" i="7" s="1"/>
  <c r="O607" i="7"/>
  <c r="O606" i="7"/>
  <c r="O605" i="7"/>
  <c r="O604" i="7"/>
  <c r="O603" i="7"/>
  <c r="O602" i="7"/>
  <c r="O601" i="7"/>
  <c r="O600" i="7"/>
  <c r="O598" i="7"/>
  <c r="O588" i="7"/>
  <c r="O263" i="7" s="1"/>
  <c r="O589" i="7"/>
  <c r="O264" i="7" s="1"/>
  <c r="O587" i="7"/>
  <c r="O262" i="7" s="1"/>
  <c r="O586" i="7"/>
  <c r="O479" i="7"/>
  <c r="O480" i="7" s="1"/>
  <c r="O473" i="7"/>
  <c r="O474" i="7" s="1"/>
  <c r="O377" i="7"/>
  <c r="O376" i="7"/>
  <c r="O375" i="7"/>
  <c r="O374" i="7"/>
  <c r="O373" i="7"/>
  <c r="O372" i="7"/>
  <c r="O390" i="7"/>
  <c r="O256" i="7"/>
  <c r="O243" i="7"/>
  <c r="O242" i="7"/>
  <c r="O241" i="7"/>
  <c r="O240" i="7"/>
  <c r="O239" i="7"/>
  <c r="O238" i="7"/>
  <c r="O32" i="7"/>
  <c r="O28" i="7"/>
  <c r="O27" i="7"/>
  <c r="O25" i="7"/>
  <c r="O19" i="7"/>
  <c r="P2" i="7"/>
  <c r="P22" i="7" s="1"/>
  <c r="P34" i="7" s="1"/>
  <c r="N395" i="7"/>
  <c r="N399" i="7"/>
  <c r="N403" i="7"/>
  <c r="N423" i="7"/>
  <c r="N427" i="7"/>
  <c r="N447" i="7"/>
  <c r="N451" i="7"/>
  <c r="N455" i="7"/>
  <c r="M66" i="7"/>
  <c r="N29" i="7"/>
  <c r="N596" i="7"/>
  <c r="N581" i="7" s="1"/>
  <c r="N63" i="7" s="1"/>
  <c r="N628" i="7"/>
  <c r="N613" i="7" s="1"/>
  <c r="N64" i="7" s="1"/>
  <c r="N660" i="7"/>
  <c r="N645" i="7" s="1"/>
  <c r="N65" i="7" s="1"/>
  <c r="F22" i="1" l="1"/>
  <c r="P575" i="7"/>
  <c r="P542" i="7"/>
  <c r="P570" i="7"/>
  <c r="P541" i="7"/>
  <c r="P518" i="7"/>
  <c r="P514" i="7"/>
  <c r="P510" i="7"/>
  <c r="P506" i="7"/>
  <c r="P569" i="7"/>
  <c r="O29" i="7"/>
  <c r="Q11" i="7"/>
  <c r="P545" i="7"/>
  <c r="P538" i="7"/>
  <c r="P539" i="7" s="1"/>
  <c r="O596" i="7"/>
  <c r="O581" i="7" s="1"/>
  <c r="O63" i="7" s="1"/>
  <c r="O628" i="7"/>
  <c r="O613" i="7" s="1"/>
  <c r="O64" i="7" s="1"/>
  <c r="O423" i="7"/>
  <c r="O402" i="7"/>
  <c r="O451" i="7"/>
  <c r="O398" i="7"/>
  <c r="O426" i="7"/>
  <c r="P671" i="7"/>
  <c r="P670" i="7"/>
  <c r="P669" i="7"/>
  <c r="P668" i="7"/>
  <c r="P667" i="7"/>
  <c r="P665" i="7"/>
  <c r="P663" i="7"/>
  <c r="P659" i="7"/>
  <c r="P321" i="7" s="1"/>
  <c r="P658" i="7"/>
  <c r="P320" i="7" s="1"/>
  <c r="P657" i="7"/>
  <c r="P319" i="7" s="1"/>
  <c r="P656" i="7"/>
  <c r="P318" i="7" s="1"/>
  <c r="P655" i="7"/>
  <c r="P317" i="7" s="1"/>
  <c r="P654" i="7"/>
  <c r="P316" i="7" s="1"/>
  <c r="P653" i="7"/>
  <c r="P315" i="7" s="1"/>
  <c r="P652" i="7"/>
  <c r="P314" i="7" s="1"/>
  <c r="P651" i="7"/>
  <c r="P313" i="7" s="1"/>
  <c r="P650" i="7"/>
  <c r="P312" i="7" s="1"/>
  <c r="P639" i="7"/>
  <c r="P638" i="7"/>
  <c r="P637" i="7"/>
  <c r="P636" i="7"/>
  <c r="P635" i="7"/>
  <c r="P634" i="7"/>
  <c r="P633" i="7"/>
  <c r="P632" i="7"/>
  <c r="P631" i="7"/>
  <c r="P627" i="7"/>
  <c r="P295" i="7" s="1"/>
  <c r="P626" i="7"/>
  <c r="P294" i="7" s="1"/>
  <c r="P625" i="7"/>
  <c r="P293" i="7" s="1"/>
  <c r="P624" i="7"/>
  <c r="P292" i="7" s="1"/>
  <c r="P623" i="7"/>
  <c r="P291" i="7" s="1"/>
  <c r="P622" i="7"/>
  <c r="P290" i="7" s="1"/>
  <c r="P621" i="7"/>
  <c r="P289" i="7" s="1"/>
  <c r="P620" i="7"/>
  <c r="P288" i="7" s="1"/>
  <c r="P619" i="7"/>
  <c r="P287" i="7" s="1"/>
  <c r="P618" i="7"/>
  <c r="P286" i="7" s="1"/>
  <c r="P607" i="7"/>
  <c r="P606" i="7"/>
  <c r="P605" i="7"/>
  <c r="P604" i="7"/>
  <c r="P603" i="7"/>
  <c r="P602" i="7"/>
  <c r="P601" i="7"/>
  <c r="P600" i="7"/>
  <c r="P598" i="7"/>
  <c r="P595" i="7"/>
  <c r="P270" i="7" s="1"/>
  <c r="P594" i="7"/>
  <c r="P269" i="7" s="1"/>
  <c r="P593" i="7"/>
  <c r="P268" i="7" s="1"/>
  <c r="P592" i="7"/>
  <c r="P267" i="7" s="1"/>
  <c r="P591" i="7"/>
  <c r="P266" i="7" s="1"/>
  <c r="P590" i="7"/>
  <c r="P265" i="7" s="1"/>
  <c r="P589" i="7"/>
  <c r="P264" i="7" s="1"/>
  <c r="P588" i="7"/>
  <c r="P263" i="7" s="1"/>
  <c r="P587" i="7"/>
  <c r="P262" i="7" s="1"/>
  <c r="P586" i="7"/>
  <c r="P479" i="7"/>
  <c r="P480" i="7" s="1"/>
  <c r="P473" i="7"/>
  <c r="P474" i="7" s="1"/>
  <c r="P390" i="7"/>
  <c r="P377" i="7"/>
  <c r="P376" i="7"/>
  <c r="P375" i="7"/>
  <c r="P374" i="7"/>
  <c r="P373" i="7"/>
  <c r="P372" i="7"/>
  <c r="P243" i="7"/>
  <c r="P242" i="7"/>
  <c r="P241" i="7"/>
  <c r="P240" i="7"/>
  <c r="P239" i="7"/>
  <c r="P238" i="7"/>
  <c r="P256" i="7"/>
  <c r="P32" i="7"/>
  <c r="P28" i="7"/>
  <c r="P27" i="7"/>
  <c r="P25" i="7"/>
  <c r="P19" i="7"/>
  <c r="Q2" i="7"/>
  <c r="Q22" i="7" s="1"/>
  <c r="Q34" i="7" s="1"/>
  <c r="O399" i="7"/>
  <c r="O400" i="7"/>
  <c r="O424" i="7"/>
  <c r="O448" i="7"/>
  <c r="O452" i="7"/>
  <c r="O456" i="7"/>
  <c r="O425" i="7"/>
  <c r="O429" i="7"/>
  <c r="O453" i="7"/>
  <c r="O391" i="7"/>
  <c r="O401" i="7"/>
  <c r="O403" i="7"/>
  <c r="O422" i="7"/>
  <c r="O430" i="7"/>
  <c r="O450" i="7"/>
  <c r="O454" i="7"/>
  <c r="O427" i="7"/>
  <c r="O447" i="7"/>
  <c r="O455" i="7"/>
  <c r="N66" i="7"/>
  <c r="O261" i="7"/>
  <c r="O660" i="7"/>
  <c r="O645" i="7" s="1"/>
  <c r="O65" i="7" s="1"/>
  <c r="O257" i="7"/>
  <c r="O397" i="7"/>
  <c r="O396" i="7"/>
  <c r="O404" i="7"/>
  <c r="O428" i="7"/>
  <c r="O421" i="7"/>
  <c r="O449" i="7"/>
  <c r="F23" i="1" l="1"/>
  <c r="P543" i="7"/>
  <c r="Q575" i="7"/>
  <c r="Q570" i="7"/>
  <c r="Q541" i="7"/>
  <c r="Q542" i="7"/>
  <c r="Q518" i="7"/>
  <c r="Q514" i="7"/>
  <c r="Q510" i="7"/>
  <c r="Q506" i="7"/>
  <c r="O66" i="7"/>
  <c r="Q545" i="7"/>
  <c r="Q538" i="7"/>
  <c r="Q539" i="7" s="1"/>
  <c r="R11" i="7"/>
  <c r="O395" i="7"/>
  <c r="P400" i="7"/>
  <c r="P257" i="7"/>
  <c r="P398" i="7"/>
  <c r="P399" i="7"/>
  <c r="P403" i="7"/>
  <c r="P423" i="7"/>
  <c r="P427" i="7"/>
  <c r="P447" i="7"/>
  <c r="P451" i="7"/>
  <c r="P455" i="7"/>
  <c r="P424" i="7"/>
  <c r="P428" i="7"/>
  <c r="P448" i="7"/>
  <c r="P452" i="7"/>
  <c r="P456" i="7"/>
  <c r="P29" i="7"/>
  <c r="P261" i="7"/>
  <c r="P596" i="7"/>
  <c r="P581" i="7" s="1"/>
  <c r="P63" i="7" s="1"/>
  <c r="P628" i="7"/>
  <c r="P613" i="7" s="1"/>
  <c r="P64" i="7" s="1"/>
  <c r="P660" i="7"/>
  <c r="P645" i="7" s="1"/>
  <c r="P65" i="7" s="1"/>
  <c r="Q671" i="7"/>
  <c r="Q670" i="7"/>
  <c r="Q669" i="7"/>
  <c r="Q668" i="7"/>
  <c r="Q667" i="7"/>
  <c r="Q665" i="7"/>
  <c r="Q663" i="7"/>
  <c r="Q659" i="7"/>
  <c r="Q321" i="7" s="1"/>
  <c r="Q658" i="7"/>
  <c r="Q320" i="7" s="1"/>
  <c r="Q657" i="7"/>
  <c r="Q319" i="7" s="1"/>
  <c r="Q656" i="7"/>
  <c r="Q318" i="7" s="1"/>
  <c r="Q655" i="7"/>
  <c r="Q317" i="7" s="1"/>
  <c r="Q654" i="7"/>
  <c r="Q316" i="7" s="1"/>
  <c r="Q653" i="7"/>
  <c r="Q315" i="7" s="1"/>
  <c r="Q652" i="7"/>
  <c r="Q314" i="7" s="1"/>
  <c r="Q651" i="7"/>
  <c r="Q313" i="7" s="1"/>
  <c r="Q627" i="7"/>
  <c r="Q295" i="7" s="1"/>
  <c r="Q626" i="7"/>
  <c r="Q294" i="7" s="1"/>
  <c r="Q625" i="7"/>
  <c r="Q293" i="7" s="1"/>
  <c r="Q624" i="7"/>
  <c r="Q292" i="7" s="1"/>
  <c r="Q623" i="7"/>
  <c r="Q291" i="7" s="1"/>
  <c r="Q622" i="7"/>
  <c r="Q290" i="7" s="1"/>
  <c r="Q621" i="7"/>
  <c r="Q289" i="7" s="1"/>
  <c r="Q650" i="7"/>
  <c r="Q312" i="7" s="1"/>
  <c r="Q639" i="7"/>
  <c r="Q638" i="7"/>
  <c r="Q637" i="7"/>
  <c r="Q636" i="7"/>
  <c r="Q635" i="7"/>
  <c r="Q634" i="7"/>
  <c r="Q633" i="7"/>
  <c r="Q632" i="7"/>
  <c r="Q631" i="7"/>
  <c r="Q620" i="7"/>
  <c r="Q288" i="7" s="1"/>
  <c r="Q595" i="7"/>
  <c r="Q270" i="7" s="1"/>
  <c r="Q594" i="7"/>
  <c r="Q269" i="7" s="1"/>
  <c r="Q593" i="7"/>
  <c r="Q268" i="7" s="1"/>
  <c r="Q592" i="7"/>
  <c r="Q267" i="7" s="1"/>
  <c r="Q591" i="7"/>
  <c r="Q266" i="7" s="1"/>
  <c r="Q590" i="7"/>
  <c r="Q265" i="7" s="1"/>
  <c r="Q619" i="7"/>
  <c r="Q287" i="7" s="1"/>
  <c r="Q618" i="7"/>
  <c r="Q607" i="7"/>
  <c r="Q606" i="7"/>
  <c r="Q605" i="7"/>
  <c r="Q604" i="7"/>
  <c r="Q603" i="7"/>
  <c r="Q602" i="7"/>
  <c r="Q601" i="7"/>
  <c r="Q600" i="7"/>
  <c r="Q598" i="7"/>
  <c r="Q589" i="7"/>
  <c r="Q264" i="7" s="1"/>
  <c r="Q588" i="7"/>
  <c r="Q263" i="7" s="1"/>
  <c r="Q587" i="7"/>
  <c r="Q262" i="7" s="1"/>
  <c r="Q586" i="7"/>
  <c r="Q479" i="7"/>
  <c r="Q480" i="7" s="1"/>
  <c r="Q473" i="7"/>
  <c r="Q474" i="7" s="1"/>
  <c r="Q377" i="7"/>
  <c r="Q376" i="7"/>
  <c r="Q375" i="7"/>
  <c r="Q374" i="7"/>
  <c r="Q373" i="7"/>
  <c r="Q372" i="7"/>
  <c r="Q390" i="7"/>
  <c r="Q256" i="7"/>
  <c r="Q243" i="7"/>
  <c r="Q242" i="7"/>
  <c r="Q241" i="7"/>
  <c r="Q240" i="7"/>
  <c r="Q239" i="7"/>
  <c r="Q238" i="7"/>
  <c r="R2" i="7"/>
  <c r="R22" i="7" s="1"/>
  <c r="R34" i="7" s="1"/>
  <c r="Q32" i="7"/>
  <c r="Q28" i="7"/>
  <c r="Q27" i="7"/>
  <c r="Q25" i="7"/>
  <c r="Q19" i="7"/>
  <c r="P396" i="7"/>
  <c r="P404" i="7"/>
  <c r="P402" i="7"/>
  <c r="P397" i="7"/>
  <c r="P401" i="7"/>
  <c r="P421" i="7"/>
  <c r="P425" i="7"/>
  <c r="P429" i="7"/>
  <c r="P449" i="7"/>
  <c r="P453" i="7"/>
  <c r="P391" i="7"/>
  <c r="P422" i="7"/>
  <c r="P426" i="7"/>
  <c r="P430" i="7"/>
  <c r="P450" i="7"/>
  <c r="P454" i="7"/>
  <c r="I115" i="1"/>
  <c r="I116" i="1"/>
  <c r="I117" i="1"/>
  <c r="F24" i="1" l="1"/>
  <c r="Q543" i="7"/>
  <c r="R575" i="7"/>
  <c r="R542" i="7"/>
  <c r="R570" i="7"/>
  <c r="R541" i="7"/>
  <c r="R559" i="7"/>
  <c r="R518" i="7"/>
  <c r="R514" i="7"/>
  <c r="R510" i="7"/>
  <c r="R506" i="7"/>
  <c r="R569" i="7"/>
  <c r="B230" i="7"/>
  <c r="B364" i="7"/>
  <c r="B363" i="7"/>
  <c r="B229" i="7"/>
  <c r="Q261" i="7"/>
  <c r="Q395" i="7" s="1"/>
  <c r="Q628" i="7"/>
  <c r="Q613" i="7" s="1"/>
  <c r="Q64" i="7" s="1"/>
  <c r="C499" i="7"/>
  <c r="C186" i="7" s="1"/>
  <c r="Q35" i="7"/>
  <c r="C498" i="7"/>
  <c r="C185" i="7" s="1"/>
  <c r="C500" i="7"/>
  <c r="C187" i="7" s="1"/>
  <c r="C501" i="7"/>
  <c r="C149" i="7" s="1"/>
  <c r="Q29" i="7"/>
  <c r="Q286" i="7"/>
  <c r="Q421" i="7" s="1"/>
  <c r="Q596" i="7"/>
  <c r="Q581" i="7" s="1"/>
  <c r="Q63" i="7" s="1"/>
  <c r="S11" i="7"/>
  <c r="R545" i="7"/>
  <c r="R538" i="7"/>
  <c r="R539" i="7" s="1"/>
  <c r="Q399" i="7"/>
  <c r="Q401" i="7"/>
  <c r="Q398" i="7"/>
  <c r="Q402" i="7"/>
  <c r="Q422" i="7"/>
  <c r="Q426" i="7"/>
  <c r="Q430" i="7"/>
  <c r="Q450" i="7"/>
  <c r="Q454" i="7"/>
  <c r="Q423" i="7"/>
  <c r="Q427" i="7"/>
  <c r="Q447" i="7"/>
  <c r="Q451" i="7"/>
  <c r="Q455" i="7"/>
  <c r="P395" i="7"/>
  <c r="Q660" i="7"/>
  <c r="Q645" i="7" s="1"/>
  <c r="Q65" i="7" s="1"/>
  <c r="P66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R671" i="7"/>
  <c r="R670" i="7"/>
  <c r="R669" i="7"/>
  <c r="R668" i="7"/>
  <c r="R666" i="7"/>
  <c r="R664" i="7"/>
  <c r="R663" i="7"/>
  <c r="R659" i="7"/>
  <c r="R321" i="7" s="1"/>
  <c r="R658" i="7"/>
  <c r="R320" i="7" s="1"/>
  <c r="R657" i="7"/>
  <c r="R319" i="7" s="1"/>
  <c r="R656" i="7"/>
  <c r="R318" i="7" s="1"/>
  <c r="R655" i="7"/>
  <c r="R317" i="7" s="1"/>
  <c r="R654" i="7"/>
  <c r="R316" i="7" s="1"/>
  <c r="R653" i="7"/>
  <c r="R315" i="7" s="1"/>
  <c r="R652" i="7"/>
  <c r="R314" i="7" s="1"/>
  <c r="R651" i="7"/>
  <c r="R313" i="7" s="1"/>
  <c r="R650" i="7"/>
  <c r="R312" i="7" s="1"/>
  <c r="R639" i="7"/>
  <c r="R638" i="7"/>
  <c r="R637" i="7"/>
  <c r="R636" i="7"/>
  <c r="R635" i="7"/>
  <c r="R634" i="7"/>
  <c r="R633" i="7"/>
  <c r="R632" i="7"/>
  <c r="R630" i="7"/>
  <c r="R627" i="7"/>
  <c r="R295" i="7" s="1"/>
  <c r="R626" i="7"/>
  <c r="R294" i="7" s="1"/>
  <c r="R625" i="7"/>
  <c r="R293" i="7" s="1"/>
  <c r="R624" i="7"/>
  <c r="R292" i="7" s="1"/>
  <c r="R623" i="7"/>
  <c r="R291" i="7" s="1"/>
  <c r="R622" i="7"/>
  <c r="R290" i="7" s="1"/>
  <c r="R621" i="7"/>
  <c r="R289" i="7" s="1"/>
  <c r="R620" i="7"/>
  <c r="R288" i="7" s="1"/>
  <c r="R619" i="7"/>
  <c r="R287" i="7" s="1"/>
  <c r="R618" i="7"/>
  <c r="R286" i="7" s="1"/>
  <c r="R607" i="7"/>
  <c r="R606" i="7"/>
  <c r="R605" i="7"/>
  <c r="R604" i="7"/>
  <c r="R603" i="7"/>
  <c r="R602" i="7"/>
  <c r="R601" i="7"/>
  <c r="R600" i="7"/>
  <c r="R598" i="7"/>
  <c r="R595" i="7"/>
  <c r="R270" i="7" s="1"/>
  <c r="R594" i="7"/>
  <c r="R269" i="7" s="1"/>
  <c r="R593" i="7"/>
  <c r="R268" i="7" s="1"/>
  <c r="R592" i="7"/>
  <c r="R267" i="7" s="1"/>
  <c r="R591" i="7"/>
  <c r="R266" i="7" s="1"/>
  <c r="R590" i="7"/>
  <c r="R265" i="7" s="1"/>
  <c r="R589" i="7"/>
  <c r="R264" i="7" s="1"/>
  <c r="R588" i="7"/>
  <c r="R263" i="7" s="1"/>
  <c r="R587" i="7"/>
  <c r="R262" i="7" s="1"/>
  <c r="R586" i="7"/>
  <c r="R479" i="7"/>
  <c r="R480" i="7" s="1"/>
  <c r="R473" i="7"/>
  <c r="R474" i="7" s="1"/>
  <c r="R390" i="7"/>
  <c r="R377" i="7"/>
  <c r="R376" i="7"/>
  <c r="R375" i="7"/>
  <c r="R374" i="7"/>
  <c r="R373" i="7"/>
  <c r="R372" i="7"/>
  <c r="R243" i="7"/>
  <c r="R242" i="7"/>
  <c r="R241" i="7"/>
  <c r="R240" i="7"/>
  <c r="R239" i="7"/>
  <c r="R238" i="7"/>
  <c r="R256" i="7"/>
  <c r="R32" i="7"/>
  <c r="R28" i="7"/>
  <c r="R27" i="7"/>
  <c r="R25" i="7"/>
  <c r="R19" i="7"/>
  <c r="R35" i="7"/>
  <c r="S2" i="7"/>
  <c r="S22" i="7" s="1"/>
  <c r="S34" i="7" s="1"/>
  <c r="Q257" i="7"/>
  <c r="Q403" i="7"/>
  <c r="Q397" i="7"/>
  <c r="Q396" i="7"/>
  <c r="Q400" i="7"/>
  <c r="Q404" i="7"/>
  <c r="Q424" i="7"/>
  <c r="Q428" i="7"/>
  <c r="Q448" i="7"/>
  <c r="Q452" i="7"/>
  <c r="Q456" i="7"/>
  <c r="Q425" i="7"/>
  <c r="Q429" i="7"/>
  <c r="Q449" i="7"/>
  <c r="Q453" i="7"/>
  <c r="Q391" i="7"/>
  <c r="F25" i="1" l="1"/>
  <c r="R543" i="7"/>
  <c r="C147" i="7"/>
  <c r="S575" i="7"/>
  <c r="S570" i="7"/>
  <c r="S541" i="7"/>
  <c r="S542" i="7"/>
  <c r="S559" i="7"/>
  <c r="B233" i="7"/>
  <c r="E212" i="7" s="1"/>
  <c r="C148" i="7"/>
  <c r="B367" i="7"/>
  <c r="E346" i="7" s="1"/>
  <c r="E339" i="7" s="1"/>
  <c r="S518" i="7"/>
  <c r="S514" i="7"/>
  <c r="S510" i="7"/>
  <c r="S506" i="7"/>
  <c r="S569" i="7"/>
  <c r="R261" i="7"/>
  <c r="R395" i="7" s="1"/>
  <c r="C146" i="7"/>
  <c r="Q66" i="7"/>
  <c r="C502" i="7"/>
  <c r="C188" i="7"/>
  <c r="C189" i="7" s="1"/>
  <c r="S545" i="7"/>
  <c r="S538" i="7"/>
  <c r="S539" i="7" s="1"/>
  <c r="T11" i="7"/>
  <c r="S671" i="7"/>
  <c r="S670" i="7"/>
  <c r="S669" i="7"/>
  <c r="S668" i="7"/>
  <c r="S666" i="7"/>
  <c r="S664" i="7"/>
  <c r="S659" i="7"/>
  <c r="S321" i="7" s="1"/>
  <c r="S658" i="7"/>
  <c r="S320" i="7" s="1"/>
  <c r="S657" i="7"/>
  <c r="S319" i="7" s="1"/>
  <c r="S656" i="7"/>
  <c r="S318" i="7" s="1"/>
  <c r="S655" i="7"/>
  <c r="S317" i="7" s="1"/>
  <c r="S654" i="7"/>
  <c r="S316" i="7" s="1"/>
  <c r="S653" i="7"/>
  <c r="S315" i="7" s="1"/>
  <c r="S652" i="7"/>
  <c r="S314" i="7" s="1"/>
  <c r="S663" i="7"/>
  <c r="S650" i="7"/>
  <c r="S312" i="7" s="1"/>
  <c r="S627" i="7"/>
  <c r="S295" i="7" s="1"/>
  <c r="S626" i="7"/>
  <c r="S294" i="7" s="1"/>
  <c r="S625" i="7"/>
  <c r="S293" i="7" s="1"/>
  <c r="S624" i="7"/>
  <c r="S292" i="7" s="1"/>
  <c r="S623" i="7"/>
  <c r="S291" i="7" s="1"/>
  <c r="S622" i="7"/>
  <c r="S290" i="7" s="1"/>
  <c r="S621" i="7"/>
  <c r="S289" i="7" s="1"/>
  <c r="S651" i="7"/>
  <c r="S313" i="7" s="1"/>
  <c r="S639" i="7"/>
  <c r="S638" i="7"/>
  <c r="S637" i="7"/>
  <c r="S636" i="7"/>
  <c r="S635" i="7"/>
  <c r="S634" i="7"/>
  <c r="S633" i="7"/>
  <c r="S632" i="7"/>
  <c r="S630" i="7"/>
  <c r="S595" i="7"/>
  <c r="S270" i="7" s="1"/>
  <c r="S594" i="7"/>
  <c r="S269" i="7" s="1"/>
  <c r="S593" i="7"/>
  <c r="S268" i="7" s="1"/>
  <c r="S592" i="7"/>
  <c r="S267" i="7" s="1"/>
  <c r="S591" i="7"/>
  <c r="S266" i="7" s="1"/>
  <c r="S590" i="7"/>
  <c r="S265" i="7" s="1"/>
  <c r="S620" i="7"/>
  <c r="S288" i="7" s="1"/>
  <c r="S619" i="7"/>
  <c r="S287" i="7" s="1"/>
  <c r="S618" i="7"/>
  <c r="S286" i="7" s="1"/>
  <c r="S607" i="7"/>
  <c r="S606" i="7"/>
  <c r="S605" i="7"/>
  <c r="S604" i="7"/>
  <c r="S603" i="7"/>
  <c r="S602" i="7"/>
  <c r="S601" i="7"/>
  <c r="S600" i="7"/>
  <c r="S598" i="7"/>
  <c r="S588" i="7"/>
  <c r="S263" i="7" s="1"/>
  <c r="S589" i="7"/>
  <c r="S264" i="7" s="1"/>
  <c r="S587" i="7"/>
  <c r="S262" i="7" s="1"/>
  <c r="S586" i="7"/>
  <c r="S479" i="7"/>
  <c r="S480" i="7" s="1"/>
  <c r="S473" i="7"/>
  <c r="S474" i="7" s="1"/>
  <c r="S377" i="7"/>
  <c r="S376" i="7"/>
  <c r="S375" i="7"/>
  <c r="S374" i="7"/>
  <c r="S373" i="7"/>
  <c r="S372" i="7"/>
  <c r="S390" i="7"/>
  <c r="S256" i="7"/>
  <c r="S243" i="7"/>
  <c r="S242" i="7"/>
  <c r="S241" i="7"/>
  <c r="S240" i="7"/>
  <c r="S239" i="7"/>
  <c r="S238" i="7"/>
  <c r="S35" i="7"/>
  <c r="S32" i="7"/>
  <c r="S28" i="7"/>
  <c r="S27" i="7"/>
  <c r="S25" i="7"/>
  <c r="S19" i="7"/>
  <c r="T2" i="7"/>
  <c r="T22" i="7" s="1"/>
  <c r="T34" i="7" s="1"/>
  <c r="R402" i="7"/>
  <c r="R400" i="7"/>
  <c r="R399" i="7"/>
  <c r="R403" i="7"/>
  <c r="R423" i="7"/>
  <c r="R427" i="7"/>
  <c r="R447" i="7"/>
  <c r="R451" i="7"/>
  <c r="R455" i="7"/>
  <c r="R424" i="7"/>
  <c r="R428" i="7"/>
  <c r="R448" i="7"/>
  <c r="R452" i="7"/>
  <c r="R456" i="7"/>
  <c r="R29" i="7"/>
  <c r="R596" i="7"/>
  <c r="R581" i="7" s="1"/>
  <c r="R63" i="7" s="1"/>
  <c r="R628" i="7"/>
  <c r="R613" i="7" s="1"/>
  <c r="R64" i="7" s="1"/>
  <c r="R660" i="7"/>
  <c r="R645" i="7" s="1"/>
  <c r="R65" i="7" s="1"/>
  <c r="R398" i="7"/>
  <c r="R257" i="7"/>
  <c r="R396" i="7"/>
  <c r="R404" i="7"/>
  <c r="R397" i="7"/>
  <c r="R401" i="7"/>
  <c r="R421" i="7"/>
  <c r="R425" i="7"/>
  <c r="R429" i="7"/>
  <c r="R449" i="7"/>
  <c r="R453" i="7"/>
  <c r="R391" i="7"/>
  <c r="R422" i="7"/>
  <c r="R426" i="7"/>
  <c r="R430" i="7"/>
  <c r="R450" i="7"/>
  <c r="R454" i="7"/>
  <c r="F26" i="1" l="1"/>
  <c r="S543" i="7"/>
  <c r="C150" i="7"/>
  <c r="T575" i="7"/>
  <c r="B234" i="7"/>
  <c r="T542" i="7"/>
  <c r="T570" i="7"/>
  <c r="T541" i="7"/>
  <c r="T559" i="7"/>
  <c r="B368" i="7"/>
  <c r="T518" i="7"/>
  <c r="T514" i="7"/>
  <c r="T510" i="7"/>
  <c r="T506" i="7"/>
  <c r="T569" i="7"/>
  <c r="S261" i="7"/>
  <c r="S395" i="7" s="1"/>
  <c r="U11" i="7"/>
  <c r="T545" i="7"/>
  <c r="T538" i="7"/>
  <c r="T539" i="7" s="1"/>
  <c r="T671" i="7"/>
  <c r="T670" i="7"/>
  <c r="T669" i="7"/>
  <c r="T668" i="7"/>
  <c r="T666" i="7"/>
  <c r="T664" i="7"/>
  <c r="T663" i="7"/>
  <c r="T659" i="7"/>
  <c r="T321" i="7" s="1"/>
  <c r="T658" i="7"/>
  <c r="T320" i="7" s="1"/>
  <c r="T657" i="7"/>
  <c r="T319" i="7" s="1"/>
  <c r="T656" i="7"/>
  <c r="T318" i="7" s="1"/>
  <c r="T655" i="7"/>
  <c r="T317" i="7" s="1"/>
  <c r="T654" i="7"/>
  <c r="T316" i="7" s="1"/>
  <c r="T653" i="7"/>
  <c r="T315" i="7" s="1"/>
  <c r="T652" i="7"/>
  <c r="T314" i="7" s="1"/>
  <c r="T651" i="7"/>
  <c r="T313" i="7" s="1"/>
  <c r="T650" i="7"/>
  <c r="T312" i="7" s="1"/>
  <c r="T639" i="7"/>
  <c r="T638" i="7"/>
  <c r="T637" i="7"/>
  <c r="T636" i="7"/>
  <c r="T635" i="7"/>
  <c r="T634" i="7"/>
  <c r="T633" i="7"/>
  <c r="T632" i="7"/>
  <c r="T630" i="7"/>
  <c r="T627" i="7"/>
  <c r="T295" i="7" s="1"/>
  <c r="T626" i="7"/>
  <c r="T294" i="7" s="1"/>
  <c r="T625" i="7"/>
  <c r="T293" i="7" s="1"/>
  <c r="T624" i="7"/>
  <c r="T292" i="7" s="1"/>
  <c r="T623" i="7"/>
  <c r="T291" i="7" s="1"/>
  <c r="T622" i="7"/>
  <c r="T290" i="7" s="1"/>
  <c r="T621" i="7"/>
  <c r="T289" i="7" s="1"/>
  <c r="T620" i="7"/>
  <c r="T288" i="7" s="1"/>
  <c r="T619" i="7"/>
  <c r="T287" i="7" s="1"/>
  <c r="T618" i="7"/>
  <c r="T286" i="7" s="1"/>
  <c r="T607" i="7"/>
  <c r="T606" i="7"/>
  <c r="T605" i="7"/>
  <c r="T604" i="7"/>
  <c r="T603" i="7"/>
  <c r="T602" i="7"/>
  <c r="T601" i="7"/>
  <c r="T600" i="7"/>
  <c r="T598" i="7"/>
  <c r="T595" i="7"/>
  <c r="T270" i="7" s="1"/>
  <c r="T594" i="7"/>
  <c r="T269" i="7" s="1"/>
  <c r="T593" i="7"/>
  <c r="T268" i="7" s="1"/>
  <c r="T592" i="7"/>
  <c r="T267" i="7" s="1"/>
  <c r="T591" i="7"/>
  <c r="T266" i="7" s="1"/>
  <c r="T590" i="7"/>
  <c r="T265" i="7" s="1"/>
  <c r="T589" i="7"/>
  <c r="T264" i="7" s="1"/>
  <c r="T588" i="7"/>
  <c r="T263" i="7" s="1"/>
  <c r="T587" i="7"/>
  <c r="T262" i="7" s="1"/>
  <c r="T586" i="7"/>
  <c r="T479" i="7"/>
  <c r="T480" i="7" s="1"/>
  <c r="T473" i="7"/>
  <c r="T474" i="7" s="1"/>
  <c r="T390" i="7"/>
  <c r="T377" i="7"/>
  <c r="T376" i="7"/>
  <c r="T375" i="7"/>
  <c r="T374" i="7"/>
  <c r="T373" i="7"/>
  <c r="T372" i="7"/>
  <c r="T243" i="7"/>
  <c r="T242" i="7"/>
  <c r="T241" i="7"/>
  <c r="T240" i="7"/>
  <c r="T239" i="7"/>
  <c r="T238" i="7"/>
  <c r="T256" i="7"/>
  <c r="T32" i="7"/>
  <c r="T28" i="7"/>
  <c r="T27" i="7"/>
  <c r="T25" i="7"/>
  <c r="T19" i="7"/>
  <c r="T35" i="7"/>
  <c r="U2" i="7"/>
  <c r="U22" i="7" s="1"/>
  <c r="U34" i="7" s="1"/>
  <c r="S257" i="7"/>
  <c r="S397" i="7"/>
  <c r="S399" i="7"/>
  <c r="S396" i="7"/>
  <c r="S400" i="7"/>
  <c r="S404" i="7"/>
  <c r="S424" i="7"/>
  <c r="S428" i="7"/>
  <c r="S448" i="7"/>
  <c r="S452" i="7"/>
  <c r="S456" i="7"/>
  <c r="S421" i="7"/>
  <c r="S425" i="7"/>
  <c r="S429" i="7"/>
  <c r="S449" i="7"/>
  <c r="S453" i="7"/>
  <c r="S391" i="7"/>
  <c r="R66" i="7"/>
  <c r="S29" i="7"/>
  <c r="S596" i="7"/>
  <c r="S581" i="7" s="1"/>
  <c r="S63" i="7" s="1"/>
  <c r="S628" i="7"/>
  <c r="S613" i="7" s="1"/>
  <c r="S64" i="7" s="1"/>
  <c r="S401" i="7"/>
  <c r="S403" i="7"/>
  <c r="S398" i="7"/>
  <c r="S402" i="7"/>
  <c r="S422" i="7"/>
  <c r="S426" i="7"/>
  <c r="S430" i="7"/>
  <c r="S450" i="7"/>
  <c r="S454" i="7"/>
  <c r="S423" i="7"/>
  <c r="S427" i="7"/>
  <c r="S447" i="7"/>
  <c r="S451" i="7"/>
  <c r="S455" i="7"/>
  <c r="S660" i="7"/>
  <c r="S645" i="7" s="1"/>
  <c r="S65" i="7" s="1"/>
  <c r="F27" i="1" l="1"/>
  <c r="T543" i="7"/>
  <c r="U575" i="7"/>
  <c r="U570" i="7"/>
  <c r="U541" i="7"/>
  <c r="U542" i="7"/>
  <c r="U559" i="7"/>
  <c r="T261" i="7"/>
  <c r="T395" i="7" s="1"/>
  <c r="U518" i="7"/>
  <c r="U514" i="7"/>
  <c r="U510" i="7"/>
  <c r="U506" i="7"/>
  <c r="U569" i="7"/>
  <c r="T660" i="7"/>
  <c r="T645" i="7" s="1"/>
  <c r="T65" i="7" s="1"/>
  <c r="U545" i="7"/>
  <c r="U538" i="7"/>
  <c r="U539" i="7" s="1"/>
  <c r="V11" i="7"/>
  <c r="U671" i="7"/>
  <c r="U670" i="7"/>
  <c r="U669" i="7"/>
  <c r="U667" i="7"/>
  <c r="U666" i="7"/>
  <c r="U664" i="7"/>
  <c r="U663" i="7"/>
  <c r="U659" i="7"/>
  <c r="U321" i="7" s="1"/>
  <c r="U658" i="7"/>
  <c r="U320" i="7" s="1"/>
  <c r="U657" i="7"/>
  <c r="U319" i="7" s="1"/>
  <c r="U656" i="7"/>
  <c r="U318" i="7" s="1"/>
  <c r="U655" i="7"/>
  <c r="U317" i="7" s="1"/>
  <c r="U654" i="7"/>
  <c r="U316" i="7" s="1"/>
  <c r="U653" i="7"/>
  <c r="U315" i="7" s="1"/>
  <c r="U652" i="7"/>
  <c r="U314" i="7" s="1"/>
  <c r="U651" i="7"/>
  <c r="U313" i="7" s="1"/>
  <c r="U627" i="7"/>
  <c r="U295" i="7" s="1"/>
  <c r="U626" i="7"/>
  <c r="U294" i="7" s="1"/>
  <c r="U625" i="7"/>
  <c r="U293" i="7" s="1"/>
  <c r="U624" i="7"/>
  <c r="U292" i="7" s="1"/>
  <c r="U623" i="7"/>
  <c r="U291" i="7" s="1"/>
  <c r="U622" i="7"/>
  <c r="U290" i="7" s="1"/>
  <c r="U621" i="7"/>
  <c r="U289" i="7" s="1"/>
  <c r="U650" i="7"/>
  <c r="U312" i="7" s="1"/>
  <c r="U639" i="7"/>
  <c r="U638" i="7"/>
  <c r="U637" i="7"/>
  <c r="U636" i="7"/>
  <c r="U635" i="7"/>
  <c r="U634" i="7"/>
  <c r="U633" i="7"/>
  <c r="U632" i="7"/>
  <c r="U630" i="7"/>
  <c r="U620" i="7"/>
  <c r="U288" i="7" s="1"/>
  <c r="U595" i="7"/>
  <c r="U270" i="7" s="1"/>
  <c r="U594" i="7"/>
  <c r="U269" i="7" s="1"/>
  <c r="U593" i="7"/>
  <c r="U268" i="7" s="1"/>
  <c r="U592" i="7"/>
  <c r="U267" i="7" s="1"/>
  <c r="U591" i="7"/>
  <c r="U266" i="7" s="1"/>
  <c r="U590" i="7"/>
  <c r="U265" i="7" s="1"/>
  <c r="U619" i="7"/>
  <c r="U287" i="7" s="1"/>
  <c r="U618" i="7"/>
  <c r="U286" i="7" s="1"/>
  <c r="U607" i="7"/>
  <c r="U606" i="7"/>
  <c r="U605" i="7"/>
  <c r="U604" i="7"/>
  <c r="U603" i="7"/>
  <c r="U602" i="7"/>
  <c r="U601" i="7"/>
  <c r="U600" i="7"/>
  <c r="U598" i="7"/>
  <c r="U589" i="7"/>
  <c r="U264" i="7" s="1"/>
  <c r="U588" i="7"/>
  <c r="U263" i="7" s="1"/>
  <c r="U587" i="7"/>
  <c r="U262" i="7" s="1"/>
  <c r="U586" i="7"/>
  <c r="U479" i="7"/>
  <c r="U480" i="7" s="1"/>
  <c r="U473" i="7"/>
  <c r="U474" i="7" s="1"/>
  <c r="U377" i="7"/>
  <c r="U376" i="7"/>
  <c r="U375" i="7"/>
  <c r="U374" i="7"/>
  <c r="U373" i="7"/>
  <c r="U372" i="7"/>
  <c r="U390" i="7"/>
  <c r="U256" i="7"/>
  <c r="U243" i="7"/>
  <c r="U242" i="7"/>
  <c r="U241" i="7"/>
  <c r="U240" i="7"/>
  <c r="U239" i="7"/>
  <c r="U238" i="7"/>
  <c r="U35" i="7"/>
  <c r="V2" i="7"/>
  <c r="V22" i="7" s="1"/>
  <c r="V34" i="7" s="1"/>
  <c r="U32" i="7"/>
  <c r="U28" i="7"/>
  <c r="U27" i="7"/>
  <c r="U25" i="7"/>
  <c r="U19" i="7"/>
  <c r="T400" i="7"/>
  <c r="T257" i="7"/>
  <c r="T398" i="7"/>
  <c r="T399" i="7"/>
  <c r="T403" i="7"/>
  <c r="T423" i="7"/>
  <c r="T427" i="7"/>
  <c r="T447" i="7"/>
  <c r="T451" i="7"/>
  <c r="T455" i="7"/>
  <c r="T424" i="7"/>
  <c r="T428" i="7"/>
  <c r="T448" i="7"/>
  <c r="T452" i="7"/>
  <c r="T456" i="7"/>
  <c r="T29" i="7"/>
  <c r="T596" i="7"/>
  <c r="T581" i="7" s="1"/>
  <c r="T63" i="7" s="1"/>
  <c r="T628" i="7"/>
  <c r="T613" i="7" s="1"/>
  <c r="T64" i="7" s="1"/>
  <c r="T396" i="7"/>
  <c r="T404" i="7"/>
  <c r="T402" i="7"/>
  <c r="T397" i="7"/>
  <c r="T401" i="7"/>
  <c r="T421" i="7"/>
  <c r="T425" i="7"/>
  <c r="T429" i="7"/>
  <c r="T449" i="7"/>
  <c r="T453" i="7"/>
  <c r="T391" i="7"/>
  <c r="T422" i="7"/>
  <c r="T426" i="7"/>
  <c r="T430" i="7"/>
  <c r="T450" i="7"/>
  <c r="T454" i="7"/>
  <c r="S66" i="7"/>
  <c r="F28" i="1" l="1"/>
  <c r="U543" i="7"/>
  <c r="V575" i="7"/>
  <c r="V542" i="7"/>
  <c r="V570" i="7"/>
  <c r="V541" i="7"/>
  <c r="V559" i="7"/>
  <c r="U261" i="7"/>
  <c r="U395" i="7" s="1"/>
  <c r="V518" i="7"/>
  <c r="V514" i="7"/>
  <c r="V510" i="7"/>
  <c r="V506" i="7"/>
  <c r="V568" i="7"/>
  <c r="U660" i="7"/>
  <c r="U645" i="7" s="1"/>
  <c r="U65" i="7" s="1"/>
  <c r="W11" i="7"/>
  <c r="V545" i="7"/>
  <c r="V538" i="7"/>
  <c r="V539" i="7" s="1"/>
  <c r="V671" i="7"/>
  <c r="V670" i="7"/>
  <c r="V669" i="7"/>
  <c r="V667" i="7"/>
  <c r="V666" i="7"/>
  <c r="V664" i="7"/>
  <c r="V663" i="7"/>
  <c r="V659" i="7"/>
  <c r="V321" i="7" s="1"/>
  <c r="V658" i="7"/>
  <c r="V320" i="7" s="1"/>
  <c r="V657" i="7"/>
  <c r="V319" i="7" s="1"/>
  <c r="V656" i="7"/>
  <c r="V318" i="7" s="1"/>
  <c r="V655" i="7"/>
  <c r="V317" i="7" s="1"/>
  <c r="V654" i="7"/>
  <c r="V316" i="7" s="1"/>
  <c r="V653" i="7"/>
  <c r="V315" i="7" s="1"/>
  <c r="V652" i="7"/>
  <c r="V314" i="7" s="1"/>
  <c r="V651" i="7"/>
  <c r="V313" i="7" s="1"/>
  <c r="V650" i="7"/>
  <c r="V312" i="7" s="1"/>
  <c r="V639" i="7"/>
  <c r="V638" i="7"/>
  <c r="V637" i="7"/>
  <c r="V636" i="7"/>
  <c r="V635" i="7"/>
  <c r="V634" i="7"/>
  <c r="V633" i="7"/>
  <c r="V632" i="7"/>
  <c r="V630" i="7"/>
  <c r="V627" i="7"/>
  <c r="V295" i="7" s="1"/>
  <c r="V626" i="7"/>
  <c r="V294" i="7" s="1"/>
  <c r="V625" i="7"/>
  <c r="V293" i="7" s="1"/>
  <c r="V624" i="7"/>
  <c r="V292" i="7" s="1"/>
  <c r="V623" i="7"/>
  <c r="V291" i="7" s="1"/>
  <c r="V622" i="7"/>
  <c r="V290" i="7" s="1"/>
  <c r="V621" i="7"/>
  <c r="V289" i="7" s="1"/>
  <c r="V620" i="7"/>
  <c r="V288" i="7" s="1"/>
  <c r="V619" i="7"/>
  <c r="V287" i="7" s="1"/>
  <c r="V618" i="7"/>
  <c r="V286" i="7" s="1"/>
  <c r="V607" i="7"/>
  <c r="V606" i="7"/>
  <c r="V605" i="7"/>
  <c r="V604" i="7"/>
  <c r="V603" i="7"/>
  <c r="V602" i="7"/>
  <c r="V601" i="7"/>
  <c r="V600" i="7"/>
  <c r="V598" i="7"/>
  <c r="V595" i="7"/>
  <c r="V270" i="7" s="1"/>
  <c r="V594" i="7"/>
  <c r="V269" i="7" s="1"/>
  <c r="V593" i="7"/>
  <c r="V268" i="7" s="1"/>
  <c r="V592" i="7"/>
  <c r="V267" i="7" s="1"/>
  <c r="V591" i="7"/>
  <c r="V266" i="7" s="1"/>
  <c r="V590" i="7"/>
  <c r="V265" i="7" s="1"/>
  <c r="V589" i="7"/>
  <c r="V264" i="7" s="1"/>
  <c r="V588" i="7"/>
  <c r="V263" i="7" s="1"/>
  <c r="V587" i="7"/>
  <c r="V262" i="7" s="1"/>
  <c r="V586" i="7"/>
  <c r="V479" i="7"/>
  <c r="V480" i="7" s="1"/>
  <c r="V473" i="7"/>
  <c r="V474" i="7" s="1"/>
  <c r="V390" i="7"/>
  <c r="V377" i="7"/>
  <c r="V376" i="7"/>
  <c r="V375" i="7"/>
  <c r="V374" i="7"/>
  <c r="V373" i="7"/>
  <c r="V372" i="7"/>
  <c r="V243" i="7"/>
  <c r="V242" i="7"/>
  <c r="V241" i="7"/>
  <c r="V240" i="7"/>
  <c r="V239" i="7"/>
  <c r="V238" i="7"/>
  <c r="V256" i="7"/>
  <c r="V32" i="7"/>
  <c r="V28" i="7"/>
  <c r="V27" i="7"/>
  <c r="V25" i="7"/>
  <c r="V19" i="7"/>
  <c r="V35" i="7"/>
  <c r="W2" i="7"/>
  <c r="W22" i="7" s="1"/>
  <c r="W34" i="7" s="1"/>
  <c r="U257" i="7"/>
  <c r="U403" i="7"/>
  <c r="U397" i="7"/>
  <c r="U396" i="7"/>
  <c r="U400" i="7"/>
  <c r="U404" i="7"/>
  <c r="U424" i="7"/>
  <c r="U428" i="7"/>
  <c r="U448" i="7"/>
  <c r="U452" i="7"/>
  <c r="U456" i="7"/>
  <c r="U421" i="7"/>
  <c r="U425" i="7"/>
  <c r="U429" i="7"/>
  <c r="U449" i="7"/>
  <c r="U453" i="7"/>
  <c r="U391" i="7"/>
  <c r="T66" i="7"/>
  <c r="U29" i="7"/>
  <c r="U596" i="7"/>
  <c r="U581" i="7" s="1"/>
  <c r="U63" i="7" s="1"/>
  <c r="U628" i="7"/>
  <c r="U613" i="7" s="1"/>
  <c r="U64" i="7" s="1"/>
  <c r="U399" i="7"/>
  <c r="U401" i="7"/>
  <c r="U398" i="7"/>
  <c r="U402" i="7"/>
  <c r="U422" i="7"/>
  <c r="U426" i="7"/>
  <c r="U430" i="7"/>
  <c r="U450" i="7"/>
  <c r="U454" i="7"/>
  <c r="U423" i="7"/>
  <c r="U427" i="7"/>
  <c r="U447" i="7"/>
  <c r="U451" i="7"/>
  <c r="U455" i="7"/>
  <c r="F29" i="1" l="1"/>
  <c r="V543" i="7"/>
  <c r="W575" i="7"/>
  <c r="W570" i="7"/>
  <c r="W541" i="7"/>
  <c r="W542" i="7"/>
  <c r="W559" i="7"/>
  <c r="W518" i="7"/>
  <c r="W514" i="7"/>
  <c r="W510" i="7"/>
  <c r="W506" i="7"/>
  <c r="W569" i="7"/>
  <c r="W568" i="7"/>
  <c r="V596" i="7"/>
  <c r="V581" i="7" s="1"/>
  <c r="V63" i="7" s="1"/>
  <c r="V660" i="7"/>
  <c r="V645" i="7" s="1"/>
  <c r="V65" i="7" s="1"/>
  <c r="V261" i="7"/>
  <c r="V395" i="7" s="1"/>
  <c r="V29" i="7"/>
  <c r="V628" i="7"/>
  <c r="V613" i="7" s="1"/>
  <c r="V64" i="7" s="1"/>
  <c r="W561" i="7"/>
  <c r="W555" i="7"/>
  <c r="W533" i="7" s="1"/>
  <c r="W546" i="7"/>
  <c r="W545" i="7"/>
  <c r="W556" i="7" s="1"/>
  <c r="W567" i="7" s="1"/>
  <c r="W539" i="7"/>
  <c r="W538" i="7"/>
  <c r="X11" i="7"/>
  <c r="W671" i="7"/>
  <c r="W670" i="7"/>
  <c r="W669" i="7"/>
  <c r="W667" i="7"/>
  <c r="W665" i="7"/>
  <c r="W664" i="7"/>
  <c r="W659" i="7"/>
  <c r="W321" i="7" s="1"/>
  <c r="W658" i="7"/>
  <c r="W320" i="7" s="1"/>
  <c r="W657" i="7"/>
  <c r="W319" i="7" s="1"/>
  <c r="W656" i="7"/>
  <c r="W318" i="7" s="1"/>
  <c r="W655" i="7"/>
  <c r="W317" i="7" s="1"/>
  <c r="W654" i="7"/>
  <c r="W316" i="7" s="1"/>
  <c r="W653" i="7"/>
  <c r="W315" i="7" s="1"/>
  <c r="W652" i="7"/>
  <c r="W314" i="7" s="1"/>
  <c r="W662" i="7"/>
  <c r="W650" i="7"/>
  <c r="W312" i="7" s="1"/>
  <c r="W627" i="7"/>
  <c r="W295" i="7" s="1"/>
  <c r="W626" i="7"/>
  <c r="W294" i="7" s="1"/>
  <c r="W625" i="7"/>
  <c r="W293" i="7" s="1"/>
  <c r="W624" i="7"/>
  <c r="W292" i="7" s="1"/>
  <c r="W623" i="7"/>
  <c r="W291" i="7" s="1"/>
  <c r="W622" i="7"/>
  <c r="W290" i="7" s="1"/>
  <c r="W621" i="7"/>
  <c r="W289" i="7" s="1"/>
  <c r="W651" i="7"/>
  <c r="W313" i="7" s="1"/>
  <c r="W639" i="7"/>
  <c r="W638" i="7"/>
  <c r="W637" i="7"/>
  <c r="W636" i="7"/>
  <c r="W635" i="7"/>
  <c r="W634" i="7"/>
  <c r="W633" i="7"/>
  <c r="W632" i="7"/>
  <c r="W630" i="7"/>
  <c r="W595" i="7"/>
  <c r="W270" i="7" s="1"/>
  <c r="W594" i="7"/>
  <c r="W269" i="7" s="1"/>
  <c r="W593" i="7"/>
  <c r="W268" i="7" s="1"/>
  <c r="W592" i="7"/>
  <c r="W267" i="7" s="1"/>
  <c r="W591" i="7"/>
  <c r="W266" i="7" s="1"/>
  <c r="W590" i="7"/>
  <c r="W265" i="7" s="1"/>
  <c r="W620" i="7"/>
  <c r="W288" i="7" s="1"/>
  <c r="W619" i="7"/>
  <c r="W287" i="7" s="1"/>
  <c r="W618" i="7"/>
  <c r="W286" i="7" s="1"/>
  <c r="W607" i="7"/>
  <c r="W606" i="7"/>
  <c r="W605" i="7"/>
  <c r="W604" i="7"/>
  <c r="W603" i="7"/>
  <c r="W602" i="7"/>
  <c r="W601" i="7"/>
  <c r="W600" i="7"/>
  <c r="W598" i="7"/>
  <c r="W588" i="7"/>
  <c r="W263" i="7" s="1"/>
  <c r="W589" i="7"/>
  <c r="W264" i="7" s="1"/>
  <c r="W587" i="7"/>
  <c r="W262" i="7" s="1"/>
  <c r="W586" i="7"/>
  <c r="W479" i="7"/>
  <c r="W480" i="7" s="1"/>
  <c r="W473" i="7"/>
  <c r="W474" i="7" s="1"/>
  <c r="W377" i="7"/>
  <c r="W376" i="7"/>
  <c r="W375" i="7"/>
  <c r="W374" i="7"/>
  <c r="W373" i="7"/>
  <c r="W372" i="7"/>
  <c r="W390" i="7"/>
  <c r="W256" i="7"/>
  <c r="W243" i="7"/>
  <c r="W242" i="7"/>
  <c r="W241" i="7"/>
  <c r="W240" i="7"/>
  <c r="W239" i="7"/>
  <c r="W238" i="7"/>
  <c r="W35" i="7"/>
  <c r="W32" i="7"/>
  <c r="W28" i="7"/>
  <c r="W27" i="7"/>
  <c r="W25" i="7"/>
  <c r="W19" i="7"/>
  <c r="X2" i="7"/>
  <c r="X22" i="7" s="1"/>
  <c r="X34" i="7" s="1"/>
  <c r="V398" i="7"/>
  <c r="V257" i="7"/>
  <c r="V396" i="7"/>
  <c r="V404" i="7"/>
  <c r="V397" i="7"/>
  <c r="V401" i="7"/>
  <c r="V421" i="7"/>
  <c r="V425" i="7"/>
  <c r="V429" i="7"/>
  <c r="V449" i="7"/>
  <c r="V453" i="7"/>
  <c r="V391" i="7"/>
  <c r="V422" i="7"/>
  <c r="V426" i="7"/>
  <c r="V430" i="7"/>
  <c r="V450" i="7"/>
  <c r="V454" i="7"/>
  <c r="V402" i="7"/>
  <c r="V400" i="7"/>
  <c r="V399" i="7"/>
  <c r="V403" i="7"/>
  <c r="V423" i="7"/>
  <c r="V427" i="7"/>
  <c r="V447" i="7"/>
  <c r="V451" i="7"/>
  <c r="V455" i="7"/>
  <c r="V424" i="7"/>
  <c r="V428" i="7"/>
  <c r="V448" i="7"/>
  <c r="V452" i="7"/>
  <c r="V456" i="7"/>
  <c r="U66" i="7"/>
  <c r="F30" i="1" l="1"/>
  <c r="W543" i="7"/>
  <c r="W544" i="7" s="1"/>
  <c r="X575" i="7"/>
  <c r="X542" i="7"/>
  <c r="X570" i="7"/>
  <c r="X541" i="7"/>
  <c r="W165" i="7"/>
  <c r="W129" i="7"/>
  <c r="W50" i="7"/>
  <c r="X559" i="7"/>
  <c r="W56" i="7"/>
  <c r="X518" i="7"/>
  <c r="X514" i="7"/>
  <c r="X510" i="7"/>
  <c r="X506" i="7"/>
  <c r="X569" i="7"/>
  <c r="X568" i="7"/>
  <c r="V66" i="7"/>
  <c r="W261" i="7"/>
  <c r="W395" i="7" s="1"/>
  <c r="W29" i="7"/>
  <c r="W628" i="7"/>
  <c r="W613" i="7" s="1"/>
  <c r="W64" i="7" s="1"/>
  <c r="W596" i="7"/>
  <c r="W581" i="7" s="1"/>
  <c r="W63" i="7" s="1"/>
  <c r="Y11" i="7"/>
  <c r="X561" i="7"/>
  <c r="X555" i="7"/>
  <c r="X533" i="7" s="1"/>
  <c r="X546" i="7"/>
  <c r="X545" i="7"/>
  <c r="X556" i="7" s="1"/>
  <c r="X539" i="7"/>
  <c r="X538" i="7"/>
  <c r="W401" i="7"/>
  <c r="W403" i="7"/>
  <c r="W398" i="7"/>
  <c r="W402" i="7"/>
  <c r="W422" i="7"/>
  <c r="W426" i="7"/>
  <c r="W430" i="7"/>
  <c r="W450" i="7"/>
  <c r="W454" i="7"/>
  <c r="W423" i="7"/>
  <c r="W427" i="7"/>
  <c r="W447" i="7"/>
  <c r="W451" i="7"/>
  <c r="W455" i="7"/>
  <c r="W560" i="7"/>
  <c r="W554" i="7"/>
  <c r="X567" i="7"/>
  <c r="W660" i="7"/>
  <c r="W645" i="7" s="1"/>
  <c r="W65" i="7" s="1"/>
  <c r="X671" i="7"/>
  <c r="X670" i="7"/>
  <c r="X668" i="7"/>
  <c r="X667" i="7"/>
  <c r="X665" i="7"/>
  <c r="X664" i="7"/>
  <c r="X662" i="7"/>
  <c r="X659" i="7"/>
  <c r="X321" i="7" s="1"/>
  <c r="X658" i="7"/>
  <c r="X320" i="7" s="1"/>
  <c r="X657" i="7"/>
  <c r="X319" i="7" s="1"/>
  <c r="X656" i="7"/>
  <c r="X318" i="7" s="1"/>
  <c r="X655" i="7"/>
  <c r="X317" i="7" s="1"/>
  <c r="X654" i="7"/>
  <c r="X653" i="7"/>
  <c r="X315" i="7" s="1"/>
  <c r="X652" i="7"/>
  <c r="X314" i="7" s="1"/>
  <c r="X651" i="7"/>
  <c r="X313" i="7" s="1"/>
  <c r="X650" i="7"/>
  <c r="X312" i="7" s="1"/>
  <c r="X639" i="7"/>
  <c r="X638" i="7"/>
  <c r="X637" i="7"/>
  <c r="X636" i="7"/>
  <c r="X635" i="7"/>
  <c r="X634" i="7"/>
  <c r="X633" i="7"/>
  <c r="X632" i="7"/>
  <c r="X630" i="7"/>
  <c r="X627" i="7"/>
  <c r="X295" i="7" s="1"/>
  <c r="X626" i="7"/>
  <c r="X294" i="7" s="1"/>
  <c r="X625" i="7"/>
  <c r="X293" i="7" s="1"/>
  <c r="X624" i="7"/>
  <c r="X292" i="7" s="1"/>
  <c r="X623" i="7"/>
  <c r="X291" i="7" s="1"/>
  <c r="X622" i="7"/>
  <c r="X290" i="7" s="1"/>
  <c r="X621" i="7"/>
  <c r="X289" i="7" s="1"/>
  <c r="X620" i="7"/>
  <c r="X288" i="7" s="1"/>
  <c r="X619" i="7"/>
  <c r="X287" i="7" s="1"/>
  <c r="X618" i="7"/>
  <c r="X286" i="7" s="1"/>
  <c r="X607" i="7"/>
  <c r="X606" i="7"/>
  <c r="X605" i="7"/>
  <c r="X604" i="7"/>
  <c r="X603" i="7"/>
  <c r="X602" i="7"/>
  <c r="X601" i="7"/>
  <c r="X600" i="7"/>
  <c r="X598" i="7"/>
  <c r="X595" i="7"/>
  <c r="X270" i="7" s="1"/>
  <c r="X594" i="7"/>
  <c r="X269" i="7" s="1"/>
  <c r="X593" i="7"/>
  <c r="X268" i="7" s="1"/>
  <c r="X592" i="7"/>
  <c r="X267" i="7" s="1"/>
  <c r="X591" i="7"/>
  <c r="X266" i="7" s="1"/>
  <c r="X590" i="7"/>
  <c r="X265" i="7" s="1"/>
  <c r="X589" i="7"/>
  <c r="X264" i="7" s="1"/>
  <c r="X588" i="7"/>
  <c r="X263" i="7" s="1"/>
  <c r="X587" i="7"/>
  <c r="X262" i="7" s="1"/>
  <c r="X586" i="7"/>
  <c r="X479" i="7"/>
  <c r="X480" i="7" s="1"/>
  <c r="X473" i="7"/>
  <c r="X474" i="7" s="1"/>
  <c r="X390" i="7"/>
  <c r="X377" i="7"/>
  <c r="X376" i="7"/>
  <c r="X375" i="7"/>
  <c r="X374" i="7"/>
  <c r="X373" i="7"/>
  <c r="X372" i="7"/>
  <c r="X316" i="7"/>
  <c r="X243" i="7"/>
  <c r="X242" i="7"/>
  <c r="X241" i="7"/>
  <c r="X240" i="7"/>
  <c r="X239" i="7"/>
  <c r="X238" i="7"/>
  <c r="X256" i="7"/>
  <c r="X32" i="7"/>
  <c r="X28" i="7"/>
  <c r="X27" i="7"/>
  <c r="X25" i="7"/>
  <c r="X19" i="7"/>
  <c r="X35" i="7"/>
  <c r="Y2" i="7"/>
  <c r="Y22" i="7" s="1"/>
  <c r="Y34" i="7" s="1"/>
  <c r="W257" i="7"/>
  <c r="W397" i="7"/>
  <c r="W399" i="7"/>
  <c r="W396" i="7"/>
  <c r="W400" i="7"/>
  <c r="W404" i="7"/>
  <c r="W424" i="7"/>
  <c r="W428" i="7"/>
  <c r="W448" i="7"/>
  <c r="W452" i="7"/>
  <c r="W456" i="7"/>
  <c r="W421" i="7"/>
  <c r="W425" i="7"/>
  <c r="W429" i="7"/>
  <c r="W449" i="7"/>
  <c r="W453" i="7"/>
  <c r="W391" i="7"/>
  <c r="F31" i="1" l="1"/>
  <c r="X543" i="7"/>
  <c r="X544" i="7" s="1"/>
  <c r="W532" i="7"/>
  <c r="W75" i="7" s="1"/>
  <c r="W76" i="7" s="1"/>
  <c r="Y575" i="7"/>
  <c r="Y570" i="7"/>
  <c r="Y541" i="7"/>
  <c r="Y542" i="7"/>
  <c r="X165" i="7"/>
  <c r="X129" i="7"/>
  <c r="X50" i="7"/>
  <c r="Y559" i="7"/>
  <c r="Y518" i="7"/>
  <c r="Y514" i="7"/>
  <c r="Y510" i="7"/>
  <c r="Y506" i="7"/>
  <c r="Y569" i="7"/>
  <c r="Y568" i="7"/>
  <c r="X261" i="7"/>
  <c r="X395" i="7" s="1"/>
  <c r="W66" i="7"/>
  <c r="Y561" i="7"/>
  <c r="Y555" i="7"/>
  <c r="Y533" i="7" s="1"/>
  <c r="Y546" i="7"/>
  <c r="Y545" i="7"/>
  <c r="Y556" i="7" s="1"/>
  <c r="Y539" i="7"/>
  <c r="Y538" i="7"/>
  <c r="Z11" i="7"/>
  <c r="X400" i="7"/>
  <c r="X257" i="7"/>
  <c r="X398" i="7"/>
  <c r="X399" i="7"/>
  <c r="X403" i="7"/>
  <c r="X423" i="7"/>
  <c r="X427" i="7"/>
  <c r="X447" i="7"/>
  <c r="X451" i="7"/>
  <c r="X455" i="7"/>
  <c r="X424" i="7"/>
  <c r="X428" i="7"/>
  <c r="X448" i="7"/>
  <c r="X452" i="7"/>
  <c r="X456" i="7"/>
  <c r="X560" i="7"/>
  <c r="X554" i="7"/>
  <c r="Y567" i="7"/>
  <c r="W551" i="7"/>
  <c r="X29" i="7"/>
  <c r="X56" i="7"/>
  <c r="X596" i="7"/>
  <c r="X581" i="7" s="1"/>
  <c r="X63" i="7" s="1"/>
  <c r="X628" i="7"/>
  <c r="X613" i="7" s="1"/>
  <c r="X64" i="7" s="1"/>
  <c r="X660" i="7"/>
  <c r="X645" i="7" s="1"/>
  <c r="X65" i="7" s="1"/>
  <c r="Y671" i="7"/>
  <c r="Y670" i="7"/>
  <c r="Y668" i="7"/>
  <c r="Y667" i="7"/>
  <c r="Y665" i="7"/>
  <c r="Y664" i="7"/>
  <c r="Y659" i="7"/>
  <c r="Y321" i="7" s="1"/>
  <c r="Y658" i="7"/>
  <c r="Y320" i="7" s="1"/>
  <c r="Y657" i="7"/>
  <c r="Y319" i="7" s="1"/>
  <c r="Y656" i="7"/>
  <c r="Y318" i="7" s="1"/>
  <c r="Y655" i="7"/>
  <c r="Y317" i="7" s="1"/>
  <c r="Y654" i="7"/>
  <c r="Y316" i="7" s="1"/>
  <c r="Y653" i="7"/>
  <c r="Y315" i="7" s="1"/>
  <c r="Y652" i="7"/>
  <c r="Y314" i="7" s="1"/>
  <c r="Y662" i="7"/>
  <c r="Y651" i="7"/>
  <c r="Y313" i="7" s="1"/>
  <c r="Y627" i="7"/>
  <c r="Y295" i="7" s="1"/>
  <c r="Y626" i="7"/>
  <c r="Y294" i="7" s="1"/>
  <c r="Y625" i="7"/>
  <c r="Y293" i="7" s="1"/>
  <c r="Y624" i="7"/>
  <c r="Y292" i="7" s="1"/>
  <c r="Y623" i="7"/>
  <c r="Y291" i="7" s="1"/>
  <c r="Y622" i="7"/>
  <c r="Y290" i="7" s="1"/>
  <c r="Y621" i="7"/>
  <c r="Y289" i="7" s="1"/>
  <c r="Y650" i="7"/>
  <c r="Y312" i="7" s="1"/>
  <c r="Y639" i="7"/>
  <c r="Y638" i="7"/>
  <c r="Y637" i="7"/>
  <c r="Y636" i="7"/>
  <c r="Y635" i="7"/>
  <c r="Y634" i="7"/>
  <c r="Y633" i="7"/>
  <c r="Y632" i="7"/>
  <c r="Y630" i="7"/>
  <c r="Y620" i="7"/>
  <c r="Y288" i="7" s="1"/>
  <c r="Y595" i="7"/>
  <c r="Y270" i="7" s="1"/>
  <c r="Y594" i="7"/>
  <c r="Y269" i="7" s="1"/>
  <c r="Y593" i="7"/>
  <c r="Y268" i="7" s="1"/>
  <c r="Y592" i="7"/>
  <c r="Y267" i="7" s="1"/>
  <c r="Y591" i="7"/>
  <c r="Y266" i="7" s="1"/>
  <c r="Y590" i="7"/>
  <c r="Y265" i="7" s="1"/>
  <c r="Y619" i="7"/>
  <c r="Y287" i="7" s="1"/>
  <c r="Y618" i="7"/>
  <c r="Y286" i="7" s="1"/>
  <c r="Y607" i="7"/>
  <c r="Y606" i="7"/>
  <c r="Y605" i="7"/>
  <c r="Y604" i="7"/>
  <c r="Y603" i="7"/>
  <c r="Y602" i="7"/>
  <c r="Y601" i="7"/>
  <c r="Y600" i="7"/>
  <c r="Y598" i="7"/>
  <c r="Y589" i="7"/>
  <c r="Y264" i="7" s="1"/>
  <c r="Y588" i="7"/>
  <c r="Y263" i="7" s="1"/>
  <c r="Y587" i="7"/>
  <c r="Y262" i="7" s="1"/>
  <c r="Y586" i="7"/>
  <c r="Y479" i="7"/>
  <c r="Y480" i="7" s="1"/>
  <c r="Y473" i="7"/>
  <c r="Y474" i="7" s="1"/>
  <c r="Y377" i="7"/>
  <c r="Y376" i="7"/>
  <c r="Y375" i="7"/>
  <c r="Y374" i="7"/>
  <c r="Y373" i="7"/>
  <c r="Y372" i="7"/>
  <c r="Y390" i="7"/>
  <c r="Y256" i="7"/>
  <c r="Y243" i="7"/>
  <c r="Y242" i="7"/>
  <c r="Y241" i="7"/>
  <c r="Y240" i="7"/>
  <c r="Y239" i="7"/>
  <c r="Y238" i="7"/>
  <c r="Y35" i="7"/>
  <c r="Y32" i="7"/>
  <c r="Y28" i="7"/>
  <c r="Y27" i="7"/>
  <c r="Y25" i="7"/>
  <c r="Y19" i="7"/>
  <c r="Z2" i="7"/>
  <c r="Z22" i="7" s="1"/>
  <c r="Z34" i="7" s="1"/>
  <c r="X396" i="7"/>
  <c r="X404" i="7"/>
  <c r="X402" i="7"/>
  <c r="X397" i="7"/>
  <c r="X401" i="7"/>
  <c r="X421" i="7"/>
  <c r="X425" i="7"/>
  <c r="X429" i="7"/>
  <c r="X449" i="7"/>
  <c r="X453" i="7"/>
  <c r="X391" i="7"/>
  <c r="X422" i="7"/>
  <c r="X426" i="7"/>
  <c r="X430" i="7"/>
  <c r="X450" i="7"/>
  <c r="X454" i="7"/>
  <c r="F32" i="1" l="1"/>
  <c r="W529" i="7"/>
  <c r="W534" i="7"/>
  <c r="Y543" i="7"/>
  <c r="Y544" i="7" s="1"/>
  <c r="X532" i="7"/>
  <c r="X534" i="7" s="1"/>
  <c r="Z575" i="7"/>
  <c r="Y261" i="7"/>
  <c r="Y395" i="7" s="1"/>
  <c r="Z542" i="7"/>
  <c r="Z570" i="7"/>
  <c r="Z541" i="7"/>
  <c r="Y165" i="7"/>
  <c r="Y129" i="7"/>
  <c r="Y50" i="7"/>
  <c r="Z559" i="7"/>
  <c r="Z518" i="7"/>
  <c r="Z514" i="7"/>
  <c r="Z510" i="7"/>
  <c r="Z506" i="7"/>
  <c r="Z569" i="7"/>
  <c r="Z568" i="7"/>
  <c r="Y660" i="7"/>
  <c r="Y645" i="7" s="1"/>
  <c r="Y65" i="7" s="1"/>
  <c r="Y29" i="7"/>
  <c r="AA11" i="7"/>
  <c r="Z561" i="7"/>
  <c r="Z555" i="7"/>
  <c r="Z533" i="7" s="1"/>
  <c r="Z546" i="7"/>
  <c r="Z545" i="7"/>
  <c r="Z556" i="7" s="1"/>
  <c r="Z539" i="7"/>
  <c r="Z538" i="7"/>
  <c r="Z671" i="7"/>
  <c r="Z670" i="7"/>
  <c r="Z668" i="7"/>
  <c r="Z667" i="7"/>
  <c r="Z665" i="7"/>
  <c r="Z664" i="7"/>
  <c r="Z662" i="7"/>
  <c r="Z659" i="7"/>
  <c r="Z321" i="7" s="1"/>
  <c r="Z658" i="7"/>
  <c r="Z320" i="7" s="1"/>
  <c r="Z657" i="7"/>
  <c r="Z319" i="7" s="1"/>
  <c r="Z656" i="7"/>
  <c r="Z318" i="7" s="1"/>
  <c r="Z655" i="7"/>
  <c r="Z317" i="7" s="1"/>
  <c r="Z654" i="7"/>
  <c r="Z316" i="7" s="1"/>
  <c r="Z653" i="7"/>
  <c r="Z315" i="7" s="1"/>
  <c r="Z652" i="7"/>
  <c r="Z314" i="7" s="1"/>
  <c r="Z651" i="7"/>
  <c r="Z313" i="7" s="1"/>
  <c r="Z650" i="7"/>
  <c r="Z312" i="7" s="1"/>
  <c r="Z639" i="7"/>
  <c r="Z638" i="7"/>
  <c r="Z637" i="7"/>
  <c r="Z636" i="7"/>
  <c r="Z635" i="7"/>
  <c r="Z634" i="7"/>
  <c r="Z633" i="7"/>
  <c r="Z632" i="7"/>
  <c r="Z630" i="7"/>
  <c r="Z627" i="7"/>
  <c r="Z295" i="7" s="1"/>
  <c r="Z626" i="7"/>
  <c r="Z294" i="7" s="1"/>
  <c r="Z625" i="7"/>
  <c r="Z293" i="7" s="1"/>
  <c r="Z624" i="7"/>
  <c r="Z292" i="7" s="1"/>
  <c r="Z623" i="7"/>
  <c r="Z291" i="7" s="1"/>
  <c r="Z622" i="7"/>
  <c r="Z290" i="7" s="1"/>
  <c r="Z621" i="7"/>
  <c r="Z289" i="7" s="1"/>
  <c r="Z620" i="7"/>
  <c r="Z288" i="7" s="1"/>
  <c r="Z619" i="7"/>
  <c r="Z287" i="7" s="1"/>
  <c r="Z618" i="7"/>
  <c r="Z286" i="7" s="1"/>
  <c r="Z607" i="7"/>
  <c r="Z606" i="7"/>
  <c r="Z605" i="7"/>
  <c r="Z604" i="7"/>
  <c r="Z603" i="7"/>
  <c r="Z602" i="7"/>
  <c r="Z601" i="7"/>
  <c r="Z600" i="7"/>
  <c r="Z598" i="7"/>
  <c r="Z595" i="7"/>
  <c r="Z270" i="7" s="1"/>
  <c r="Z594" i="7"/>
  <c r="Z269" i="7" s="1"/>
  <c r="Z593" i="7"/>
  <c r="Z268" i="7" s="1"/>
  <c r="Z592" i="7"/>
  <c r="Z267" i="7" s="1"/>
  <c r="Z591" i="7"/>
  <c r="Z266" i="7" s="1"/>
  <c r="Z590" i="7"/>
  <c r="Z265" i="7" s="1"/>
  <c r="Z589" i="7"/>
  <c r="Z264" i="7" s="1"/>
  <c r="Z588" i="7"/>
  <c r="Z263" i="7" s="1"/>
  <c r="Z587" i="7"/>
  <c r="Z262" i="7" s="1"/>
  <c r="Z586" i="7"/>
  <c r="Z479" i="7"/>
  <c r="Z480" i="7" s="1"/>
  <c r="Z473" i="7"/>
  <c r="Z474" i="7" s="1"/>
  <c r="Z390" i="7"/>
  <c r="Z377" i="7"/>
  <c r="Z376" i="7"/>
  <c r="Z375" i="7"/>
  <c r="Z374" i="7"/>
  <c r="Z373" i="7"/>
  <c r="Z372" i="7"/>
  <c r="Z243" i="7"/>
  <c r="Z242" i="7"/>
  <c r="Z241" i="7"/>
  <c r="Z240" i="7"/>
  <c r="Z239" i="7"/>
  <c r="Z238" i="7"/>
  <c r="Z256" i="7"/>
  <c r="Z32" i="7"/>
  <c r="Z28" i="7"/>
  <c r="Z27" i="7"/>
  <c r="Z25" i="7"/>
  <c r="Z19" i="7"/>
  <c r="Z35" i="7"/>
  <c r="AA2" i="7"/>
  <c r="AA22" i="7" s="1"/>
  <c r="AA34" i="7" s="1"/>
  <c r="Y257" i="7"/>
  <c r="Y403" i="7"/>
  <c r="Y397" i="7"/>
  <c r="Y396" i="7"/>
  <c r="Y400" i="7"/>
  <c r="Y404" i="7"/>
  <c r="Y424" i="7"/>
  <c r="Y428" i="7"/>
  <c r="Y448" i="7"/>
  <c r="Y452" i="7"/>
  <c r="Y456" i="7"/>
  <c r="Y421" i="7"/>
  <c r="Y425" i="7"/>
  <c r="Y429" i="7"/>
  <c r="Y449" i="7"/>
  <c r="Y453" i="7"/>
  <c r="Y391" i="7"/>
  <c r="Y56" i="7"/>
  <c r="Y596" i="7"/>
  <c r="Y581" i="7" s="1"/>
  <c r="Y63" i="7" s="1"/>
  <c r="Y628" i="7"/>
  <c r="Y613" i="7" s="1"/>
  <c r="Y64" i="7" s="1"/>
  <c r="X66" i="7"/>
  <c r="Y399" i="7"/>
  <c r="Y401" i="7"/>
  <c r="Y398" i="7"/>
  <c r="Y402" i="7"/>
  <c r="Y422" i="7"/>
  <c r="Y426" i="7"/>
  <c r="Y430" i="7"/>
  <c r="Y450" i="7"/>
  <c r="Y454" i="7"/>
  <c r="Y423" i="7"/>
  <c r="Y427" i="7"/>
  <c r="Y447" i="7"/>
  <c r="Y451" i="7"/>
  <c r="Y455" i="7"/>
  <c r="Y560" i="7"/>
  <c r="Y554" i="7"/>
  <c r="Z567" i="7"/>
  <c r="X551" i="7"/>
  <c r="F33" i="1" l="1"/>
  <c r="X529" i="7"/>
  <c r="X75" i="7"/>
  <c r="X76" i="7" s="1"/>
  <c r="Y532" i="7"/>
  <c r="Y75" i="7" s="1"/>
  <c r="Y76" i="7" s="1"/>
  <c r="Z543" i="7"/>
  <c r="Z544" i="7" s="1"/>
  <c r="AA575" i="7"/>
  <c r="Z261" i="7"/>
  <c r="Z395" i="7" s="1"/>
  <c r="AA570" i="7"/>
  <c r="AA541" i="7"/>
  <c r="AA542" i="7"/>
  <c r="Z165" i="7"/>
  <c r="Z129" i="7"/>
  <c r="Z50" i="7"/>
  <c r="AA559" i="7"/>
  <c r="AA518" i="7"/>
  <c r="AA514" i="7"/>
  <c r="AA510" i="7"/>
  <c r="AA506" i="7"/>
  <c r="AA569" i="7"/>
  <c r="AA568" i="7"/>
  <c r="AA561" i="7"/>
  <c r="AA555" i="7"/>
  <c r="AA533" i="7" s="1"/>
  <c r="AA546" i="7"/>
  <c r="AA545" i="7"/>
  <c r="AA556" i="7" s="1"/>
  <c r="AA539" i="7"/>
  <c r="AA538" i="7"/>
  <c r="AB11" i="7"/>
  <c r="Y551" i="7"/>
  <c r="AA671" i="7"/>
  <c r="AA669" i="7"/>
  <c r="AA668" i="7"/>
  <c r="AA667" i="7"/>
  <c r="AA665" i="7"/>
  <c r="AA664" i="7"/>
  <c r="AA659" i="7"/>
  <c r="AA321" i="7" s="1"/>
  <c r="AA658" i="7"/>
  <c r="AA320" i="7" s="1"/>
  <c r="AA657" i="7"/>
  <c r="AA319" i="7" s="1"/>
  <c r="AA656" i="7"/>
  <c r="AA318" i="7" s="1"/>
  <c r="AA655" i="7"/>
  <c r="AA317" i="7" s="1"/>
  <c r="AA654" i="7"/>
  <c r="AA316" i="7" s="1"/>
  <c r="AA653" i="7"/>
  <c r="AA315" i="7" s="1"/>
  <c r="AA652" i="7"/>
  <c r="AA314" i="7" s="1"/>
  <c r="AA662" i="7"/>
  <c r="AA650" i="7"/>
  <c r="AA312" i="7" s="1"/>
  <c r="AA627" i="7"/>
  <c r="AA295" i="7" s="1"/>
  <c r="AA626" i="7"/>
  <c r="AA294" i="7" s="1"/>
  <c r="AA625" i="7"/>
  <c r="AA293" i="7" s="1"/>
  <c r="AA624" i="7"/>
  <c r="AA292" i="7" s="1"/>
  <c r="AA623" i="7"/>
  <c r="AA291" i="7" s="1"/>
  <c r="AA622" i="7"/>
  <c r="AA290" i="7" s="1"/>
  <c r="AA621" i="7"/>
  <c r="AA289" i="7" s="1"/>
  <c r="AA651" i="7"/>
  <c r="AA313" i="7" s="1"/>
  <c r="AA639" i="7"/>
  <c r="AA638" i="7"/>
  <c r="AA637" i="7"/>
  <c r="AA636" i="7"/>
  <c r="AA635" i="7"/>
  <c r="AA634" i="7"/>
  <c r="AA633" i="7"/>
  <c r="AA632" i="7"/>
  <c r="AA630" i="7"/>
  <c r="AA595" i="7"/>
  <c r="AA270" i="7" s="1"/>
  <c r="AA594" i="7"/>
  <c r="AA269" i="7" s="1"/>
  <c r="AA593" i="7"/>
  <c r="AA268" i="7" s="1"/>
  <c r="AA592" i="7"/>
  <c r="AA267" i="7" s="1"/>
  <c r="AA591" i="7"/>
  <c r="AA266" i="7" s="1"/>
  <c r="AA590" i="7"/>
  <c r="AA265" i="7" s="1"/>
  <c r="AA620" i="7"/>
  <c r="AA288" i="7" s="1"/>
  <c r="AA619" i="7"/>
  <c r="AA287" i="7" s="1"/>
  <c r="AA618" i="7"/>
  <c r="AA286" i="7" s="1"/>
  <c r="AA607" i="7"/>
  <c r="AA606" i="7"/>
  <c r="AA605" i="7"/>
  <c r="AA604" i="7"/>
  <c r="AA603" i="7"/>
  <c r="AA602" i="7"/>
  <c r="AA601" i="7"/>
  <c r="AA599" i="7"/>
  <c r="AA598" i="7"/>
  <c r="AA588" i="7"/>
  <c r="AA263" i="7" s="1"/>
  <c r="AA589" i="7"/>
  <c r="AA264" i="7" s="1"/>
  <c r="AA587" i="7"/>
  <c r="AA262" i="7" s="1"/>
  <c r="AA586" i="7"/>
  <c r="AA261" i="7" s="1"/>
  <c r="AA479" i="7"/>
  <c r="AA480" i="7" s="1"/>
  <c r="AA473" i="7"/>
  <c r="AA474" i="7" s="1"/>
  <c r="AA377" i="7"/>
  <c r="AA376" i="7"/>
  <c r="AA375" i="7"/>
  <c r="AA374" i="7"/>
  <c r="AA373" i="7"/>
  <c r="AA372" i="7"/>
  <c r="AA390" i="7"/>
  <c r="AA256" i="7"/>
  <c r="AA243" i="7"/>
  <c r="AA242" i="7"/>
  <c r="AA241" i="7"/>
  <c r="AA240" i="7"/>
  <c r="AA239" i="7"/>
  <c r="AA238" i="7"/>
  <c r="AA35" i="7"/>
  <c r="AB2" i="7"/>
  <c r="AB22" i="7" s="1"/>
  <c r="AB34" i="7" s="1"/>
  <c r="AA32" i="7"/>
  <c r="AA28" i="7"/>
  <c r="AA27" i="7"/>
  <c r="AA25" i="7"/>
  <c r="AA19" i="7"/>
  <c r="Z402" i="7"/>
  <c r="Z400" i="7"/>
  <c r="Z399" i="7"/>
  <c r="Z403" i="7"/>
  <c r="Z423" i="7"/>
  <c r="Z427" i="7"/>
  <c r="Z447" i="7"/>
  <c r="Z451" i="7"/>
  <c r="Z455" i="7"/>
  <c r="Z424" i="7"/>
  <c r="Z428" i="7"/>
  <c r="Z448" i="7"/>
  <c r="Z452" i="7"/>
  <c r="Z456" i="7"/>
  <c r="Z560" i="7"/>
  <c r="Z554" i="7"/>
  <c r="AA567" i="7"/>
  <c r="Z29" i="7"/>
  <c r="Z56" i="7"/>
  <c r="Z596" i="7"/>
  <c r="Z581" i="7" s="1"/>
  <c r="Z63" i="7" s="1"/>
  <c r="Z628" i="7"/>
  <c r="Z613" i="7" s="1"/>
  <c r="Z64" i="7" s="1"/>
  <c r="Z660" i="7"/>
  <c r="Z645" i="7" s="1"/>
  <c r="Z65" i="7" s="1"/>
  <c r="Z398" i="7"/>
  <c r="Z257" i="7"/>
  <c r="Z396" i="7"/>
  <c r="Z404" i="7"/>
  <c r="Z397" i="7"/>
  <c r="Z401" i="7"/>
  <c r="Z421" i="7"/>
  <c r="Z425" i="7"/>
  <c r="Z429" i="7"/>
  <c r="Z449" i="7"/>
  <c r="Z453" i="7"/>
  <c r="Z391" i="7"/>
  <c r="Z422" i="7"/>
  <c r="Z426" i="7"/>
  <c r="Z430" i="7"/>
  <c r="Z450" i="7"/>
  <c r="Z454" i="7"/>
  <c r="Y66" i="7"/>
  <c r="E55" i="1"/>
  <c r="F34" i="1" l="1"/>
  <c r="Y534" i="7"/>
  <c r="Z532" i="7"/>
  <c r="Z75" i="7" s="1"/>
  <c r="Z76" i="7" s="1"/>
  <c r="Y529" i="7"/>
  <c r="AA543" i="7"/>
  <c r="AA544" i="7" s="1"/>
  <c r="AB575" i="7"/>
  <c r="AB542" i="7"/>
  <c r="AB570" i="7"/>
  <c r="AB541" i="7"/>
  <c r="AA165" i="7"/>
  <c r="AA129" i="7"/>
  <c r="AA50" i="7"/>
  <c r="AB559" i="7"/>
  <c r="AB518" i="7"/>
  <c r="AB514" i="7"/>
  <c r="AB510" i="7"/>
  <c r="AB506" i="7"/>
  <c r="AB569" i="7"/>
  <c r="AB568" i="7"/>
  <c r="AA628" i="7"/>
  <c r="AA613" i="7" s="1"/>
  <c r="AA64" i="7" s="1"/>
  <c r="AA596" i="7"/>
  <c r="AA581" i="7" s="1"/>
  <c r="AA63" i="7" s="1"/>
  <c r="AC11" i="7"/>
  <c r="AB561" i="7"/>
  <c r="AB555" i="7"/>
  <c r="AB533" i="7" s="1"/>
  <c r="AB546" i="7"/>
  <c r="AB545" i="7"/>
  <c r="AB556" i="7" s="1"/>
  <c r="AB539" i="7"/>
  <c r="AB538" i="7"/>
  <c r="AA56" i="7"/>
  <c r="AB671" i="7"/>
  <c r="AB669" i="7"/>
  <c r="AB668" i="7"/>
  <c r="AB666" i="7"/>
  <c r="AB665" i="7"/>
  <c r="AB664" i="7"/>
  <c r="AB662" i="7"/>
  <c r="AB659" i="7"/>
  <c r="AB321" i="7" s="1"/>
  <c r="AB658" i="7"/>
  <c r="AB320" i="7" s="1"/>
  <c r="AB657" i="7"/>
  <c r="AB319" i="7" s="1"/>
  <c r="AB656" i="7"/>
  <c r="AB318" i="7" s="1"/>
  <c r="AB655" i="7"/>
  <c r="AB317" i="7" s="1"/>
  <c r="AB654" i="7"/>
  <c r="AB316" i="7" s="1"/>
  <c r="AB653" i="7"/>
  <c r="AB315" i="7" s="1"/>
  <c r="AB652" i="7"/>
  <c r="AB314" i="7" s="1"/>
  <c r="AB651" i="7"/>
  <c r="AB313" i="7" s="1"/>
  <c r="AB650" i="7"/>
  <c r="AB312" i="7" s="1"/>
  <c r="AB639" i="7"/>
  <c r="AB638" i="7"/>
  <c r="AB637" i="7"/>
  <c r="AB636" i="7"/>
  <c r="AB635" i="7"/>
  <c r="AB634" i="7"/>
  <c r="AB633" i="7"/>
  <c r="AB632" i="7"/>
  <c r="AB630" i="7"/>
  <c r="AB627" i="7"/>
  <c r="AB295" i="7" s="1"/>
  <c r="AB626" i="7"/>
  <c r="AB294" i="7" s="1"/>
  <c r="AB625" i="7"/>
  <c r="AB293" i="7" s="1"/>
  <c r="AB624" i="7"/>
  <c r="AB292" i="7" s="1"/>
  <c r="AB623" i="7"/>
  <c r="AB291" i="7" s="1"/>
  <c r="AB622" i="7"/>
  <c r="AB290" i="7" s="1"/>
  <c r="AB621" i="7"/>
  <c r="AB289" i="7" s="1"/>
  <c r="AB620" i="7"/>
  <c r="AB288" i="7" s="1"/>
  <c r="AB619" i="7"/>
  <c r="AB287" i="7" s="1"/>
  <c r="AB618" i="7"/>
  <c r="AB286" i="7" s="1"/>
  <c r="AB607" i="7"/>
  <c r="AB606" i="7"/>
  <c r="AB605" i="7"/>
  <c r="AB604" i="7"/>
  <c r="AB603" i="7"/>
  <c r="AB602" i="7"/>
  <c r="AB601" i="7"/>
  <c r="AB599" i="7"/>
  <c r="AB598" i="7"/>
  <c r="AB595" i="7"/>
  <c r="AB270" i="7" s="1"/>
  <c r="AB594" i="7"/>
  <c r="AB269" i="7" s="1"/>
  <c r="AB593" i="7"/>
  <c r="AB268" i="7" s="1"/>
  <c r="AB592" i="7"/>
  <c r="AB267" i="7" s="1"/>
  <c r="AB591" i="7"/>
  <c r="AB266" i="7" s="1"/>
  <c r="AB590" i="7"/>
  <c r="AB265" i="7" s="1"/>
  <c r="AB589" i="7"/>
  <c r="AB264" i="7" s="1"/>
  <c r="AB588" i="7"/>
  <c r="AB263" i="7" s="1"/>
  <c r="AB587" i="7"/>
  <c r="AB262" i="7" s="1"/>
  <c r="AB586" i="7"/>
  <c r="AB261" i="7" s="1"/>
  <c r="AB479" i="7"/>
  <c r="AB480" i="7" s="1"/>
  <c r="AB473" i="7"/>
  <c r="AB474" i="7" s="1"/>
  <c r="AB390" i="7"/>
  <c r="AB377" i="7"/>
  <c r="AB376" i="7"/>
  <c r="AB375" i="7"/>
  <c r="AB374" i="7"/>
  <c r="AB373" i="7"/>
  <c r="AB372" i="7"/>
  <c r="AB256" i="7"/>
  <c r="AB243" i="7"/>
  <c r="AB242" i="7"/>
  <c r="AB241" i="7"/>
  <c r="AB240" i="7"/>
  <c r="AB239" i="7"/>
  <c r="AB238" i="7"/>
  <c r="AB32" i="7"/>
  <c r="AB28" i="7"/>
  <c r="AB27" i="7"/>
  <c r="AB25" i="7"/>
  <c r="AB19" i="7"/>
  <c r="AB35" i="7"/>
  <c r="AC2" i="7"/>
  <c r="AC22" i="7" s="1"/>
  <c r="AC34" i="7" s="1"/>
  <c r="AA401" i="7"/>
  <c r="AA395" i="7"/>
  <c r="AA403" i="7"/>
  <c r="AA398" i="7"/>
  <c r="AA402" i="7"/>
  <c r="AA422" i="7"/>
  <c r="AA426" i="7"/>
  <c r="AA430" i="7"/>
  <c r="AA450" i="7"/>
  <c r="AA454" i="7"/>
  <c r="AA423" i="7"/>
  <c r="AA427" i="7"/>
  <c r="AA447" i="7"/>
  <c r="AA451" i="7"/>
  <c r="AA455" i="7"/>
  <c r="AA560" i="7"/>
  <c r="AA554" i="7"/>
  <c r="AB567" i="7"/>
  <c r="Z66" i="7"/>
  <c r="AA29" i="7"/>
  <c r="AA660" i="7"/>
  <c r="AA645" i="7" s="1"/>
  <c r="AA65" i="7" s="1"/>
  <c r="Z551" i="7"/>
  <c r="AA257" i="7"/>
  <c r="AA397" i="7"/>
  <c r="AA399" i="7"/>
  <c r="AA396" i="7"/>
  <c r="AA400" i="7"/>
  <c r="AA404" i="7"/>
  <c r="AA424" i="7"/>
  <c r="AA428" i="7"/>
  <c r="AA448" i="7"/>
  <c r="AA452" i="7"/>
  <c r="AA456" i="7"/>
  <c r="AA421" i="7"/>
  <c r="AA425" i="7"/>
  <c r="AA429" i="7"/>
  <c r="AA449" i="7"/>
  <c r="AA453" i="7"/>
  <c r="AA391" i="7"/>
  <c r="F35" i="1" l="1"/>
  <c r="Z534" i="7"/>
  <c r="Z529" i="7"/>
  <c r="AA532" i="7"/>
  <c r="AA75" i="7" s="1"/>
  <c r="AA76" i="7" s="1"/>
  <c r="AB543" i="7"/>
  <c r="AB544" i="7" s="1"/>
  <c r="AC575" i="7"/>
  <c r="AC570" i="7"/>
  <c r="AC541" i="7"/>
  <c r="AC542" i="7"/>
  <c r="AB165" i="7"/>
  <c r="AB129" i="7"/>
  <c r="AB50" i="7"/>
  <c r="AC559" i="7"/>
  <c r="AA66" i="7"/>
  <c r="AC518" i="7"/>
  <c r="AC514" i="7"/>
  <c r="AC510" i="7"/>
  <c r="AC506" i="7"/>
  <c r="AC569" i="7"/>
  <c r="AC568" i="7"/>
  <c r="AB596" i="7"/>
  <c r="AB581" i="7" s="1"/>
  <c r="AB63" i="7" s="1"/>
  <c r="AB660" i="7"/>
  <c r="AB645" i="7" s="1"/>
  <c r="AB65" i="7" s="1"/>
  <c r="AB29" i="7"/>
  <c r="AC561" i="7"/>
  <c r="AC555" i="7"/>
  <c r="AC533" i="7" s="1"/>
  <c r="AC546" i="7"/>
  <c r="AC545" i="7"/>
  <c r="AC556" i="7" s="1"/>
  <c r="AC539" i="7"/>
  <c r="AC538" i="7"/>
  <c r="AD11" i="7"/>
  <c r="AB628" i="7"/>
  <c r="AB613" i="7" s="1"/>
  <c r="AB64" i="7" s="1"/>
  <c r="AB56" i="7"/>
  <c r="AC671" i="7"/>
  <c r="AC669" i="7"/>
  <c r="AC668" i="7"/>
  <c r="AC666" i="7"/>
  <c r="AC665" i="7"/>
  <c r="AC664" i="7"/>
  <c r="AC659" i="7"/>
  <c r="AC321" i="7" s="1"/>
  <c r="AC658" i="7"/>
  <c r="AC320" i="7" s="1"/>
  <c r="AC657" i="7"/>
  <c r="AC319" i="7" s="1"/>
  <c r="AC656" i="7"/>
  <c r="AC318" i="7" s="1"/>
  <c r="AC655" i="7"/>
  <c r="AC317" i="7" s="1"/>
  <c r="AC654" i="7"/>
  <c r="AC316" i="7" s="1"/>
  <c r="AC653" i="7"/>
  <c r="AC315" i="7" s="1"/>
  <c r="AC652" i="7"/>
  <c r="AC314" i="7" s="1"/>
  <c r="AC662" i="7"/>
  <c r="AC651" i="7"/>
  <c r="AC313" i="7" s="1"/>
  <c r="AC627" i="7"/>
  <c r="AC295" i="7" s="1"/>
  <c r="AC626" i="7"/>
  <c r="AC294" i="7" s="1"/>
  <c r="AC625" i="7"/>
  <c r="AC293" i="7" s="1"/>
  <c r="AC624" i="7"/>
  <c r="AC292" i="7" s="1"/>
  <c r="AC623" i="7"/>
  <c r="AC291" i="7" s="1"/>
  <c r="AC622" i="7"/>
  <c r="AC290" i="7" s="1"/>
  <c r="AC621" i="7"/>
  <c r="AC289" i="7" s="1"/>
  <c r="AC650" i="7"/>
  <c r="AC312" i="7" s="1"/>
  <c r="AC639" i="7"/>
  <c r="AC638" i="7"/>
  <c r="AC637" i="7"/>
  <c r="AC636" i="7"/>
  <c r="AC635" i="7"/>
  <c r="AC634" i="7"/>
  <c r="AC633" i="7"/>
  <c r="AC632" i="7"/>
  <c r="AC630" i="7"/>
  <c r="AC620" i="7"/>
  <c r="AC288" i="7" s="1"/>
  <c r="AC595" i="7"/>
  <c r="AC270" i="7" s="1"/>
  <c r="AC594" i="7"/>
  <c r="AC269" i="7" s="1"/>
  <c r="AC593" i="7"/>
  <c r="AC268" i="7" s="1"/>
  <c r="AC592" i="7"/>
  <c r="AC267" i="7" s="1"/>
  <c r="AC591" i="7"/>
  <c r="AC266" i="7" s="1"/>
  <c r="AC590" i="7"/>
  <c r="AC265" i="7" s="1"/>
  <c r="AC619" i="7"/>
  <c r="AC287" i="7" s="1"/>
  <c r="AC618" i="7"/>
  <c r="AC286" i="7" s="1"/>
  <c r="AC607" i="7"/>
  <c r="AC606" i="7"/>
  <c r="AC605" i="7"/>
  <c r="AC604" i="7"/>
  <c r="AC603" i="7"/>
  <c r="AC602" i="7"/>
  <c r="AC601" i="7"/>
  <c r="AC599" i="7"/>
  <c r="AC598" i="7"/>
  <c r="AC589" i="7"/>
  <c r="AC264" i="7" s="1"/>
  <c r="AC588" i="7"/>
  <c r="AC263" i="7" s="1"/>
  <c r="AC587" i="7"/>
  <c r="AC262" i="7" s="1"/>
  <c r="AC586" i="7"/>
  <c r="AC261" i="7" s="1"/>
  <c r="AC479" i="7"/>
  <c r="AC480" i="7" s="1"/>
  <c r="AC473" i="7"/>
  <c r="AC474" i="7" s="1"/>
  <c r="AC377" i="7"/>
  <c r="AC376" i="7"/>
  <c r="AC375" i="7"/>
  <c r="AC374" i="7"/>
  <c r="AC373" i="7"/>
  <c r="AC372" i="7"/>
  <c r="AC390" i="7"/>
  <c r="AC256" i="7"/>
  <c r="AC243" i="7"/>
  <c r="AC242" i="7"/>
  <c r="AC241" i="7"/>
  <c r="AC240" i="7"/>
  <c r="AC239" i="7"/>
  <c r="AC238" i="7"/>
  <c r="AC35" i="7"/>
  <c r="AC32" i="7"/>
  <c r="AC28" i="7"/>
  <c r="AC27" i="7"/>
  <c r="AC25" i="7"/>
  <c r="AC19" i="7"/>
  <c r="AD2" i="7"/>
  <c r="AD22" i="7" s="1"/>
  <c r="AD34" i="7" s="1"/>
  <c r="AB400" i="7"/>
  <c r="AB257" i="7"/>
  <c r="AB398" i="7"/>
  <c r="AB397" i="7"/>
  <c r="AB401" i="7"/>
  <c r="AB421" i="7"/>
  <c r="AB425" i="7"/>
  <c r="AB429" i="7"/>
  <c r="AB449" i="7"/>
  <c r="AB453" i="7"/>
  <c r="AB391" i="7"/>
  <c r="AB422" i="7"/>
  <c r="AB426" i="7"/>
  <c r="AB430" i="7"/>
  <c r="AB450" i="7"/>
  <c r="AB454" i="7"/>
  <c r="AA551" i="7"/>
  <c r="AB396" i="7"/>
  <c r="AB404" i="7"/>
  <c r="AB402" i="7"/>
  <c r="AB395" i="7"/>
  <c r="AB399" i="7"/>
  <c r="AB403" i="7"/>
  <c r="AB423" i="7"/>
  <c r="AB427" i="7"/>
  <c r="AB447" i="7"/>
  <c r="AB451" i="7"/>
  <c r="AB455" i="7"/>
  <c r="AB424" i="7"/>
  <c r="AB428" i="7"/>
  <c r="AB448" i="7"/>
  <c r="AB452" i="7"/>
  <c r="AB456" i="7"/>
  <c r="AB560" i="7"/>
  <c r="AB554" i="7"/>
  <c r="AC567" i="7"/>
  <c r="F36" i="1" l="1"/>
  <c r="AA534" i="7"/>
  <c r="AA529" i="7"/>
  <c r="AB532" i="7"/>
  <c r="AB75" i="7" s="1"/>
  <c r="AB76" i="7" s="1"/>
  <c r="AC543" i="7"/>
  <c r="AC544" i="7" s="1"/>
  <c r="AD575" i="7"/>
  <c r="AD542" i="7"/>
  <c r="AD570" i="7"/>
  <c r="AD541" i="7"/>
  <c r="AC165" i="7"/>
  <c r="AC129" i="7"/>
  <c r="AC50" i="7"/>
  <c r="AD559" i="7"/>
  <c r="AD518" i="7"/>
  <c r="AD514" i="7"/>
  <c r="AD510" i="7"/>
  <c r="AD506" i="7"/>
  <c r="AD569" i="7"/>
  <c r="AD568" i="7"/>
  <c r="AB66" i="7"/>
  <c r="AC660" i="7"/>
  <c r="AC645" i="7" s="1"/>
  <c r="AC65" i="7" s="1"/>
  <c r="AC29" i="7"/>
  <c r="AE11" i="7"/>
  <c r="AD561" i="7"/>
  <c r="AD555" i="7"/>
  <c r="AD533" i="7" s="1"/>
  <c r="AD546" i="7"/>
  <c r="AD545" i="7"/>
  <c r="AD556" i="7" s="1"/>
  <c r="AD539" i="7"/>
  <c r="AD538" i="7"/>
  <c r="AB551" i="7"/>
  <c r="AD670" i="7"/>
  <c r="AD669" i="7"/>
  <c r="AD668" i="7"/>
  <c r="AD666" i="7"/>
  <c r="AD665" i="7"/>
  <c r="AD664" i="7"/>
  <c r="AD662" i="7"/>
  <c r="AD659" i="7"/>
  <c r="AD321" i="7" s="1"/>
  <c r="AD658" i="7"/>
  <c r="AD320" i="7" s="1"/>
  <c r="AD657" i="7"/>
  <c r="AD319" i="7" s="1"/>
  <c r="AD656" i="7"/>
  <c r="AD318" i="7" s="1"/>
  <c r="AD655" i="7"/>
  <c r="AD317" i="7" s="1"/>
  <c r="AD654" i="7"/>
  <c r="AD316" i="7" s="1"/>
  <c r="AD653" i="7"/>
  <c r="AD315" i="7" s="1"/>
  <c r="AD652" i="7"/>
  <c r="AD314" i="7" s="1"/>
  <c r="AD651" i="7"/>
  <c r="AD313" i="7" s="1"/>
  <c r="AD650" i="7"/>
  <c r="AD312" i="7" s="1"/>
  <c r="AD639" i="7"/>
  <c r="AD638" i="7"/>
  <c r="AD637" i="7"/>
  <c r="AD636" i="7"/>
  <c r="AD635" i="7"/>
  <c r="AD634" i="7"/>
  <c r="AD633" i="7"/>
  <c r="AD632" i="7"/>
  <c r="AD630" i="7"/>
  <c r="AD627" i="7"/>
  <c r="AD295" i="7" s="1"/>
  <c r="AD626" i="7"/>
  <c r="AD294" i="7" s="1"/>
  <c r="AD625" i="7"/>
  <c r="AD293" i="7" s="1"/>
  <c r="AD624" i="7"/>
  <c r="AD292" i="7" s="1"/>
  <c r="AD623" i="7"/>
  <c r="AD291" i="7" s="1"/>
  <c r="AD622" i="7"/>
  <c r="AD290" i="7" s="1"/>
  <c r="AD621" i="7"/>
  <c r="AD289" i="7" s="1"/>
  <c r="AD620" i="7"/>
  <c r="AD288" i="7" s="1"/>
  <c r="AD619" i="7"/>
  <c r="AD287" i="7" s="1"/>
  <c r="AD618" i="7"/>
  <c r="AD286" i="7" s="1"/>
  <c r="AD607" i="7"/>
  <c r="AD606" i="7"/>
  <c r="AD605" i="7"/>
  <c r="AD604" i="7"/>
  <c r="AD603" i="7"/>
  <c r="AD602" i="7"/>
  <c r="AD601" i="7"/>
  <c r="AD599" i="7"/>
  <c r="AD598" i="7"/>
  <c r="AD595" i="7"/>
  <c r="AD270" i="7" s="1"/>
  <c r="AD594" i="7"/>
  <c r="AD269" i="7" s="1"/>
  <c r="AD593" i="7"/>
  <c r="AD268" i="7" s="1"/>
  <c r="AD592" i="7"/>
  <c r="AD267" i="7" s="1"/>
  <c r="AD591" i="7"/>
  <c r="AD266" i="7" s="1"/>
  <c r="AD590" i="7"/>
  <c r="AD265" i="7" s="1"/>
  <c r="AD589" i="7"/>
  <c r="AD264" i="7" s="1"/>
  <c r="AD588" i="7"/>
  <c r="AD263" i="7" s="1"/>
  <c r="AD587" i="7"/>
  <c r="AD262" i="7" s="1"/>
  <c r="AD586" i="7"/>
  <c r="AD261" i="7" s="1"/>
  <c r="AD479" i="7"/>
  <c r="AD480" i="7" s="1"/>
  <c r="AD473" i="7"/>
  <c r="AD474" i="7" s="1"/>
  <c r="AD390" i="7"/>
  <c r="AD377" i="7"/>
  <c r="AD376" i="7"/>
  <c r="AD375" i="7"/>
  <c r="AD374" i="7"/>
  <c r="AD373" i="7"/>
  <c r="AD372" i="7"/>
  <c r="AD256" i="7"/>
  <c r="AD243" i="7"/>
  <c r="AD242" i="7"/>
  <c r="AD241" i="7"/>
  <c r="AD240" i="7"/>
  <c r="AD239" i="7"/>
  <c r="AD238" i="7"/>
  <c r="AD32" i="7"/>
  <c r="AD28" i="7"/>
  <c r="AD27" i="7"/>
  <c r="AD25" i="7"/>
  <c r="AD19" i="7"/>
  <c r="AD35" i="7"/>
  <c r="AE2" i="7"/>
  <c r="AE22" i="7" s="1"/>
  <c r="AE34" i="7" s="1"/>
  <c r="AC257" i="7"/>
  <c r="AC399" i="7"/>
  <c r="AC397" i="7"/>
  <c r="AC396" i="7"/>
  <c r="AC400" i="7"/>
  <c r="AC404" i="7"/>
  <c r="AC424" i="7"/>
  <c r="AC428" i="7"/>
  <c r="AC448" i="7"/>
  <c r="AC452" i="7"/>
  <c r="AC456" i="7"/>
  <c r="AC421" i="7"/>
  <c r="AC425" i="7"/>
  <c r="AC429" i="7"/>
  <c r="AC449" i="7"/>
  <c r="AC453" i="7"/>
  <c r="AC391" i="7"/>
  <c r="AC56" i="7"/>
  <c r="AC596" i="7"/>
  <c r="AC581" i="7" s="1"/>
  <c r="AC63" i="7" s="1"/>
  <c r="AC628" i="7"/>
  <c r="AC613" i="7" s="1"/>
  <c r="AC64" i="7" s="1"/>
  <c r="AC395" i="7"/>
  <c r="AC403" i="7"/>
  <c r="AC401" i="7"/>
  <c r="AC398" i="7"/>
  <c r="AC402" i="7"/>
  <c r="AC422" i="7"/>
  <c r="AC426" i="7"/>
  <c r="AC430" i="7"/>
  <c r="AC450" i="7"/>
  <c r="AC454" i="7"/>
  <c r="AC423" i="7"/>
  <c r="AC427" i="7"/>
  <c r="AC447" i="7"/>
  <c r="AC451" i="7"/>
  <c r="AC455" i="7"/>
  <c r="AC560" i="7"/>
  <c r="AC554" i="7"/>
  <c r="AD567" i="7"/>
  <c r="G42" i="4"/>
  <c r="F37" i="1" l="1"/>
  <c r="AB529" i="7"/>
  <c r="AB534" i="7"/>
  <c r="AC532" i="7"/>
  <c r="AC75" i="7" s="1"/>
  <c r="AC76" i="7" s="1"/>
  <c r="AD543" i="7"/>
  <c r="AD544" i="7" s="1"/>
  <c r="AE575" i="7"/>
  <c r="AE570" i="7"/>
  <c r="AE541" i="7"/>
  <c r="AE542" i="7"/>
  <c r="AD165" i="7"/>
  <c r="AD129" i="7"/>
  <c r="AD50" i="7"/>
  <c r="AE559" i="7"/>
  <c r="AE518" i="7"/>
  <c r="AE514" i="7"/>
  <c r="AE510" i="7"/>
  <c r="AE506" i="7"/>
  <c r="AE569" i="7"/>
  <c r="AE568" i="7"/>
  <c r="AE561" i="7"/>
  <c r="AE555" i="7"/>
  <c r="AE533" i="7" s="1"/>
  <c r="AE546" i="7"/>
  <c r="AE545" i="7"/>
  <c r="AE556" i="7" s="1"/>
  <c r="AE539" i="7"/>
  <c r="AE538" i="7"/>
  <c r="AF11" i="7"/>
  <c r="AC551" i="7"/>
  <c r="AE670" i="7"/>
  <c r="AE669" i="7"/>
  <c r="AE668" i="7"/>
  <c r="AE666" i="7"/>
  <c r="AE665" i="7"/>
  <c r="AE664" i="7"/>
  <c r="AE662" i="7"/>
  <c r="AE659" i="7"/>
  <c r="AE321" i="7" s="1"/>
  <c r="AE658" i="7"/>
  <c r="AE320" i="7" s="1"/>
  <c r="AE657" i="7"/>
  <c r="AE319" i="7" s="1"/>
  <c r="AE656" i="7"/>
  <c r="AE318" i="7" s="1"/>
  <c r="AE655" i="7"/>
  <c r="AE317" i="7" s="1"/>
  <c r="AE654" i="7"/>
  <c r="AE316" i="7" s="1"/>
  <c r="AE653" i="7"/>
  <c r="AE315" i="7" s="1"/>
  <c r="AE652" i="7"/>
  <c r="AE314" i="7" s="1"/>
  <c r="AE650" i="7"/>
  <c r="AE312" i="7" s="1"/>
  <c r="AE627" i="7"/>
  <c r="AE295" i="7" s="1"/>
  <c r="AE626" i="7"/>
  <c r="AE294" i="7" s="1"/>
  <c r="AE625" i="7"/>
  <c r="AE293" i="7" s="1"/>
  <c r="AE624" i="7"/>
  <c r="AE292" i="7" s="1"/>
  <c r="AE623" i="7"/>
  <c r="AE291" i="7" s="1"/>
  <c r="AE622" i="7"/>
  <c r="AE290" i="7" s="1"/>
  <c r="AE621" i="7"/>
  <c r="AE289" i="7" s="1"/>
  <c r="AE651" i="7"/>
  <c r="AE313" i="7" s="1"/>
  <c r="AE639" i="7"/>
  <c r="AE638" i="7"/>
  <c r="AE637" i="7"/>
  <c r="AE636" i="7"/>
  <c r="AE635" i="7"/>
  <c r="AE634" i="7"/>
  <c r="AE633" i="7"/>
  <c r="AE632" i="7"/>
  <c r="AE630" i="7"/>
  <c r="AE595" i="7"/>
  <c r="AE270" i="7" s="1"/>
  <c r="AE594" i="7"/>
  <c r="AE269" i="7" s="1"/>
  <c r="AE593" i="7"/>
  <c r="AE268" i="7" s="1"/>
  <c r="AE592" i="7"/>
  <c r="AE267" i="7" s="1"/>
  <c r="AE591" i="7"/>
  <c r="AE266" i="7" s="1"/>
  <c r="AE590" i="7"/>
  <c r="AE265" i="7" s="1"/>
  <c r="AE620" i="7"/>
  <c r="AE288" i="7" s="1"/>
  <c r="AE619" i="7"/>
  <c r="AE287" i="7" s="1"/>
  <c r="AE618" i="7"/>
  <c r="AE286" i="7" s="1"/>
  <c r="AE607" i="7"/>
  <c r="AE606" i="7"/>
  <c r="AE605" i="7"/>
  <c r="AE604" i="7"/>
  <c r="AE603" i="7"/>
  <c r="AE602" i="7"/>
  <c r="AE601" i="7"/>
  <c r="AE599" i="7"/>
  <c r="AE598" i="7"/>
  <c r="AE588" i="7"/>
  <c r="AE263" i="7" s="1"/>
  <c r="AE589" i="7"/>
  <c r="AE264" i="7" s="1"/>
  <c r="AE587" i="7"/>
  <c r="AE262" i="7" s="1"/>
  <c r="AE586" i="7"/>
  <c r="AE261" i="7" s="1"/>
  <c r="AE479" i="7"/>
  <c r="AE480" i="7" s="1"/>
  <c r="AE473" i="7"/>
  <c r="AE474" i="7" s="1"/>
  <c r="AE377" i="7"/>
  <c r="AE376" i="7"/>
  <c r="AE375" i="7"/>
  <c r="AE374" i="7"/>
  <c r="AE373" i="7"/>
  <c r="AE372" i="7"/>
  <c r="AE390" i="7"/>
  <c r="AE256" i="7"/>
  <c r="AE243" i="7"/>
  <c r="AE242" i="7"/>
  <c r="AE241" i="7"/>
  <c r="AE240" i="7"/>
  <c r="AE239" i="7"/>
  <c r="AE238" i="7"/>
  <c r="AE35" i="7"/>
  <c r="AE32" i="7"/>
  <c r="AE28" i="7"/>
  <c r="AE27" i="7"/>
  <c r="AE25" i="7"/>
  <c r="AE19" i="7"/>
  <c r="AF2" i="7"/>
  <c r="AF22" i="7" s="1"/>
  <c r="AF34" i="7" s="1"/>
  <c r="AD398" i="7"/>
  <c r="AD257" i="7"/>
  <c r="AD396" i="7"/>
  <c r="AD404" i="7"/>
  <c r="AD395" i="7"/>
  <c r="AD399" i="7"/>
  <c r="AD403" i="7"/>
  <c r="AD423" i="7"/>
  <c r="AD427" i="7"/>
  <c r="AD447" i="7"/>
  <c r="AD451" i="7"/>
  <c r="AD455" i="7"/>
  <c r="AD424" i="7"/>
  <c r="AD428" i="7"/>
  <c r="AD448" i="7"/>
  <c r="AD452" i="7"/>
  <c r="AD456" i="7"/>
  <c r="AD560" i="7"/>
  <c r="AD554" i="7"/>
  <c r="AE567" i="7"/>
  <c r="AD29" i="7"/>
  <c r="AD56" i="7"/>
  <c r="AD596" i="7"/>
  <c r="AD581" i="7" s="1"/>
  <c r="AD63" i="7" s="1"/>
  <c r="AD628" i="7"/>
  <c r="AD613" i="7" s="1"/>
  <c r="AD64" i="7" s="1"/>
  <c r="AD660" i="7"/>
  <c r="AD645" i="7" s="1"/>
  <c r="AD65" i="7" s="1"/>
  <c r="AD402" i="7"/>
  <c r="AD400" i="7"/>
  <c r="AD397" i="7"/>
  <c r="AD401" i="7"/>
  <c r="AD421" i="7"/>
  <c r="AD425" i="7"/>
  <c r="AD429" i="7"/>
  <c r="AD449" i="7"/>
  <c r="AD453" i="7"/>
  <c r="AD391" i="7"/>
  <c r="AD422" i="7"/>
  <c r="AD426" i="7"/>
  <c r="AD430" i="7"/>
  <c r="AD450" i="7"/>
  <c r="AD454" i="7"/>
  <c r="AC66" i="7"/>
  <c r="F38" i="1" l="1"/>
  <c r="AC529" i="7"/>
  <c r="AC534" i="7"/>
  <c r="AD532" i="7"/>
  <c r="AD75" i="7" s="1"/>
  <c r="AD76" i="7" s="1"/>
  <c r="AE543" i="7"/>
  <c r="AE544" i="7" s="1"/>
  <c r="AF542" i="7"/>
  <c r="AF570" i="7"/>
  <c r="AF541" i="7"/>
  <c r="AE165" i="7"/>
  <c r="AE129" i="7"/>
  <c r="AE50" i="7"/>
  <c r="AF559" i="7"/>
  <c r="AF518" i="7"/>
  <c r="AF514" i="7"/>
  <c r="AF510" i="7"/>
  <c r="AF506" i="7"/>
  <c r="AF569" i="7"/>
  <c r="AF568" i="7"/>
  <c r="AG11" i="7"/>
  <c r="AF561" i="7"/>
  <c r="AF555" i="7"/>
  <c r="AF533" i="7" s="1"/>
  <c r="AF546" i="7"/>
  <c r="AF545" i="7"/>
  <c r="AF556" i="7" s="1"/>
  <c r="AF539" i="7"/>
  <c r="AF538" i="7"/>
  <c r="AE596" i="7"/>
  <c r="AE581" i="7" s="1"/>
  <c r="AE63" i="7" s="1"/>
  <c r="AE628" i="7"/>
  <c r="AE613" i="7" s="1"/>
  <c r="AE64" i="7" s="1"/>
  <c r="AE56" i="7"/>
  <c r="AE401" i="7"/>
  <c r="AE395" i="7"/>
  <c r="AE403" i="7"/>
  <c r="AE398" i="7"/>
  <c r="AE402" i="7"/>
  <c r="AE422" i="7"/>
  <c r="AE426" i="7"/>
  <c r="AE430" i="7"/>
  <c r="AE450" i="7"/>
  <c r="AE454" i="7"/>
  <c r="AE423" i="7"/>
  <c r="AE427" i="7"/>
  <c r="AE447" i="7"/>
  <c r="AE451" i="7"/>
  <c r="AE455" i="7"/>
  <c r="AE560" i="7"/>
  <c r="AE554" i="7"/>
  <c r="AF567" i="7"/>
  <c r="AE29" i="7"/>
  <c r="AE660" i="7"/>
  <c r="AE645" i="7" s="1"/>
  <c r="AE65" i="7" s="1"/>
  <c r="AD551" i="7"/>
  <c r="AF670" i="7"/>
  <c r="AF669" i="7"/>
  <c r="AF668" i="7"/>
  <c r="AF666" i="7"/>
  <c r="AF665" i="7"/>
  <c r="AF664" i="7"/>
  <c r="AF662" i="7"/>
  <c r="AF659" i="7"/>
  <c r="AF321" i="7" s="1"/>
  <c r="AF658" i="7"/>
  <c r="AF320" i="7" s="1"/>
  <c r="AF657" i="7"/>
  <c r="AF319" i="7" s="1"/>
  <c r="AF656" i="7"/>
  <c r="AF318" i="7" s="1"/>
  <c r="AF655" i="7"/>
  <c r="AF317" i="7" s="1"/>
  <c r="AF654" i="7"/>
  <c r="AF316" i="7" s="1"/>
  <c r="AF653" i="7"/>
  <c r="AF315" i="7" s="1"/>
  <c r="AF652" i="7"/>
  <c r="AF314" i="7" s="1"/>
  <c r="AF651" i="7"/>
  <c r="AF313" i="7" s="1"/>
  <c r="AF650" i="7"/>
  <c r="AF312" i="7" s="1"/>
  <c r="AF639" i="7"/>
  <c r="AF638" i="7"/>
  <c r="AF637" i="7"/>
  <c r="AF636" i="7"/>
  <c r="AF635" i="7"/>
  <c r="AF634" i="7"/>
  <c r="AF633" i="7"/>
  <c r="AF632" i="7"/>
  <c r="AF630" i="7"/>
  <c r="AF627" i="7"/>
  <c r="AF295" i="7" s="1"/>
  <c r="AF626" i="7"/>
  <c r="AF294" i="7" s="1"/>
  <c r="AF625" i="7"/>
  <c r="AF293" i="7" s="1"/>
  <c r="AF624" i="7"/>
  <c r="AF292" i="7" s="1"/>
  <c r="AF623" i="7"/>
  <c r="AF291" i="7" s="1"/>
  <c r="AF622" i="7"/>
  <c r="AF290" i="7" s="1"/>
  <c r="AF621" i="7"/>
  <c r="AF289" i="7" s="1"/>
  <c r="AF620" i="7"/>
  <c r="AF288" i="7" s="1"/>
  <c r="AF619" i="7"/>
  <c r="AF287" i="7" s="1"/>
  <c r="AF618" i="7"/>
  <c r="AF286" i="7" s="1"/>
  <c r="AF607" i="7"/>
  <c r="AF606" i="7"/>
  <c r="AF605" i="7"/>
  <c r="AF604" i="7"/>
  <c r="AF603" i="7"/>
  <c r="AF602" i="7"/>
  <c r="AF601" i="7"/>
  <c r="AF599" i="7"/>
  <c r="AF598" i="7"/>
  <c r="AF595" i="7"/>
  <c r="AF270" i="7" s="1"/>
  <c r="AF594" i="7"/>
  <c r="AF269" i="7" s="1"/>
  <c r="AF593" i="7"/>
  <c r="AF268" i="7" s="1"/>
  <c r="AF592" i="7"/>
  <c r="AF267" i="7" s="1"/>
  <c r="AF591" i="7"/>
  <c r="AF266" i="7" s="1"/>
  <c r="AF590" i="7"/>
  <c r="AF265" i="7" s="1"/>
  <c r="AF589" i="7"/>
  <c r="AF264" i="7" s="1"/>
  <c r="AF588" i="7"/>
  <c r="AF263" i="7" s="1"/>
  <c r="AF587" i="7"/>
  <c r="AF262" i="7" s="1"/>
  <c r="AF586" i="7"/>
  <c r="AF261" i="7" s="1"/>
  <c r="AF479" i="7"/>
  <c r="AF480" i="7" s="1"/>
  <c r="AF473" i="7"/>
  <c r="AF474" i="7" s="1"/>
  <c r="AF390" i="7"/>
  <c r="AF377" i="7"/>
  <c r="AF376" i="7"/>
  <c r="AF375" i="7"/>
  <c r="AF374" i="7"/>
  <c r="AF373" i="7"/>
  <c r="AF372" i="7"/>
  <c r="AF256" i="7"/>
  <c r="AF243" i="7"/>
  <c r="AF242" i="7"/>
  <c r="AF241" i="7"/>
  <c r="AF240" i="7"/>
  <c r="AF239" i="7"/>
  <c r="AF238" i="7"/>
  <c r="AF32" i="7"/>
  <c r="AF28" i="7"/>
  <c r="AF27" i="7"/>
  <c r="AF25" i="7"/>
  <c r="AF19" i="7"/>
  <c r="AF35" i="7"/>
  <c r="AG2" i="7"/>
  <c r="AG22" i="7" s="1"/>
  <c r="AG34" i="7" s="1"/>
  <c r="AE257" i="7"/>
  <c r="AE397" i="7"/>
  <c r="AE399" i="7"/>
  <c r="AE396" i="7"/>
  <c r="AE400" i="7"/>
  <c r="AE404" i="7"/>
  <c r="AE424" i="7"/>
  <c r="AE428" i="7"/>
  <c r="AE448" i="7"/>
  <c r="AE452" i="7"/>
  <c r="AE456" i="7"/>
  <c r="AE421" i="7"/>
  <c r="AE425" i="7"/>
  <c r="AE429" i="7"/>
  <c r="AE449" i="7"/>
  <c r="AE453" i="7"/>
  <c r="AE391" i="7"/>
  <c r="AD66" i="7"/>
  <c r="G3" i="4"/>
  <c r="C137" i="1"/>
  <c r="F39" i="1" l="1"/>
  <c r="AD534" i="7"/>
  <c r="AD529" i="7"/>
  <c r="AE532" i="7"/>
  <c r="AE75" i="7" s="1"/>
  <c r="AE76" i="7" s="1"/>
  <c r="AF543" i="7"/>
  <c r="AF544" i="7" s="1"/>
  <c r="AG575" i="7"/>
  <c r="C377" i="7"/>
  <c r="C243" i="7"/>
  <c r="AG570" i="7"/>
  <c r="AG541" i="7"/>
  <c r="AG542" i="7"/>
  <c r="AF165" i="7"/>
  <c r="AF129" i="7"/>
  <c r="AF50" i="7"/>
  <c r="AG559" i="7"/>
  <c r="AG518" i="7"/>
  <c r="AG514" i="7"/>
  <c r="AG510" i="7"/>
  <c r="AG506" i="7"/>
  <c r="AG569" i="7"/>
  <c r="AG568" i="7"/>
  <c r="AE66" i="7"/>
  <c r="AF628" i="7"/>
  <c r="AF613" i="7" s="1"/>
  <c r="AF64" i="7" s="1"/>
  <c r="AG561" i="7"/>
  <c r="AG555" i="7"/>
  <c r="AG533" i="7" s="1"/>
  <c r="AG546" i="7"/>
  <c r="AG545" i="7"/>
  <c r="AG556" i="7" s="1"/>
  <c r="AG539" i="7"/>
  <c r="AG538" i="7"/>
  <c r="AH11" i="7"/>
  <c r="AF29" i="7"/>
  <c r="AF596" i="7"/>
  <c r="AF581" i="7" s="1"/>
  <c r="AF63" i="7" s="1"/>
  <c r="AF660" i="7"/>
  <c r="AF645" i="7" s="1"/>
  <c r="AF65" i="7" s="1"/>
  <c r="AF56" i="7"/>
  <c r="AG671" i="7"/>
  <c r="AG670" i="7"/>
  <c r="AG669" i="7"/>
  <c r="AG667" i="7"/>
  <c r="AG666" i="7"/>
  <c r="AG665" i="7"/>
  <c r="AG664" i="7"/>
  <c r="AG659" i="7"/>
  <c r="AG321" i="7" s="1"/>
  <c r="AG658" i="7"/>
  <c r="AG657" i="7"/>
  <c r="AG319" i="7" s="1"/>
  <c r="AG656" i="7"/>
  <c r="AG318" i="7" s="1"/>
  <c r="AG655" i="7"/>
  <c r="AG317" i="7" s="1"/>
  <c r="AG654" i="7"/>
  <c r="AG316" i="7" s="1"/>
  <c r="AG653" i="7"/>
  <c r="AG315" i="7" s="1"/>
  <c r="AG652" i="7"/>
  <c r="AG314" i="7" s="1"/>
  <c r="AG662" i="7"/>
  <c r="AG651" i="7"/>
  <c r="AG313" i="7" s="1"/>
  <c r="AG627" i="7"/>
  <c r="AG295" i="7" s="1"/>
  <c r="AG626" i="7"/>
  <c r="AG294" i="7" s="1"/>
  <c r="AG625" i="7"/>
  <c r="AG293" i="7" s="1"/>
  <c r="AG624" i="7"/>
  <c r="AG292" i="7" s="1"/>
  <c r="AG623" i="7"/>
  <c r="AG291" i="7" s="1"/>
  <c r="AG622" i="7"/>
  <c r="AG290" i="7" s="1"/>
  <c r="AG621" i="7"/>
  <c r="AG289" i="7" s="1"/>
  <c r="AG650" i="7"/>
  <c r="AG312" i="7" s="1"/>
  <c r="AG639" i="7"/>
  <c r="AG638" i="7"/>
  <c r="AG637" i="7"/>
  <c r="AG636" i="7"/>
  <c r="AG635" i="7"/>
  <c r="AG634" i="7"/>
  <c r="AG633" i="7"/>
  <c r="AG631" i="7"/>
  <c r="AG630" i="7"/>
  <c r="AG620" i="7"/>
  <c r="AG288" i="7" s="1"/>
  <c r="AG595" i="7"/>
  <c r="AG270" i="7" s="1"/>
  <c r="AG594" i="7"/>
  <c r="AG269" i="7" s="1"/>
  <c r="AG593" i="7"/>
  <c r="AG268" i="7" s="1"/>
  <c r="AG592" i="7"/>
  <c r="AG267" i="7" s="1"/>
  <c r="AG591" i="7"/>
  <c r="AG266" i="7" s="1"/>
  <c r="AG590" i="7"/>
  <c r="AG265" i="7" s="1"/>
  <c r="AG619" i="7"/>
  <c r="AG287" i="7" s="1"/>
  <c r="AG618" i="7"/>
  <c r="AG286" i="7" s="1"/>
  <c r="AG607" i="7"/>
  <c r="AG606" i="7"/>
  <c r="AG605" i="7"/>
  <c r="AG604" i="7"/>
  <c r="AG603" i="7"/>
  <c r="AG602" i="7"/>
  <c r="AG601" i="7"/>
  <c r="AG599" i="7"/>
  <c r="AG598" i="7"/>
  <c r="AG589" i="7"/>
  <c r="AG264" i="7" s="1"/>
  <c r="AG588" i="7"/>
  <c r="AG263" i="7" s="1"/>
  <c r="AG587" i="7"/>
  <c r="AG262" i="7" s="1"/>
  <c r="AG586" i="7"/>
  <c r="AG261" i="7" s="1"/>
  <c r="AG479" i="7"/>
  <c r="AG480" i="7" s="1"/>
  <c r="AG473" i="7"/>
  <c r="AG474" i="7" s="1"/>
  <c r="AG377" i="7"/>
  <c r="AG376" i="7"/>
  <c r="AG375" i="7"/>
  <c r="AG374" i="7"/>
  <c r="AG373" i="7"/>
  <c r="AG372" i="7"/>
  <c r="AG320" i="7"/>
  <c r="AG390" i="7"/>
  <c r="AG256" i="7"/>
  <c r="AG243" i="7"/>
  <c r="AG242" i="7"/>
  <c r="AG241" i="7"/>
  <c r="AG240" i="7"/>
  <c r="AG239" i="7"/>
  <c r="AG238" i="7"/>
  <c r="AG35" i="7"/>
  <c r="AG32" i="7"/>
  <c r="AG28" i="7"/>
  <c r="AG27" i="7"/>
  <c r="AG25" i="7"/>
  <c r="AG19" i="7"/>
  <c r="AH2" i="7"/>
  <c r="AH22" i="7" s="1"/>
  <c r="AH34" i="7" s="1"/>
  <c r="AF400" i="7"/>
  <c r="AF257" i="7"/>
  <c r="AF398" i="7"/>
  <c r="AF397" i="7"/>
  <c r="AF401" i="7"/>
  <c r="AF421" i="7"/>
  <c r="AF425" i="7"/>
  <c r="AF429" i="7"/>
  <c r="AF449" i="7"/>
  <c r="AF453" i="7"/>
  <c r="AF391" i="7"/>
  <c r="AF422" i="7"/>
  <c r="AF426" i="7"/>
  <c r="AF430" i="7"/>
  <c r="AF450" i="7"/>
  <c r="AF454" i="7"/>
  <c r="AF396" i="7"/>
  <c r="AF404" i="7"/>
  <c r="AF402" i="7"/>
  <c r="AF395" i="7"/>
  <c r="AF399" i="7"/>
  <c r="AF403" i="7"/>
  <c r="AF423" i="7"/>
  <c r="AF427" i="7"/>
  <c r="AF447" i="7"/>
  <c r="AF451" i="7"/>
  <c r="AF455" i="7"/>
  <c r="AF424" i="7"/>
  <c r="AF428" i="7"/>
  <c r="AF448" i="7"/>
  <c r="AF452" i="7"/>
  <c r="AF456" i="7"/>
  <c r="AF560" i="7"/>
  <c r="AF554" i="7"/>
  <c r="AG567" i="7"/>
  <c r="AE551" i="7"/>
  <c r="F40" i="1" l="1"/>
  <c r="AE534" i="7"/>
  <c r="AE529" i="7"/>
  <c r="AF532" i="7"/>
  <c r="AF75" i="7" s="1"/>
  <c r="AF76" i="7" s="1"/>
  <c r="AG543" i="7"/>
  <c r="AG544" i="7" s="1"/>
  <c r="AH575" i="7"/>
  <c r="AH542" i="7"/>
  <c r="AH570" i="7"/>
  <c r="AH541" i="7"/>
  <c r="AG165" i="7"/>
  <c r="AG129" i="7"/>
  <c r="AG50" i="7"/>
  <c r="AH559" i="7"/>
  <c r="AH518" i="7"/>
  <c r="AH514" i="7"/>
  <c r="AH510" i="7"/>
  <c r="AH506" i="7"/>
  <c r="AH569" i="7"/>
  <c r="AH568" i="7"/>
  <c r="AG660" i="7"/>
  <c r="AG645" i="7" s="1"/>
  <c r="AG65" i="7" s="1"/>
  <c r="AF66" i="7"/>
  <c r="AI11" i="7"/>
  <c r="AH561" i="7"/>
  <c r="AH555" i="7"/>
  <c r="AH533" i="7" s="1"/>
  <c r="AH546" i="7"/>
  <c r="AH545" i="7"/>
  <c r="AH556" i="7" s="1"/>
  <c r="AH539" i="7"/>
  <c r="AH538" i="7"/>
  <c r="AF551" i="7"/>
  <c r="AH671" i="7"/>
  <c r="AH670" i="7"/>
  <c r="AH669" i="7"/>
  <c r="AH667" i="7"/>
  <c r="AH666" i="7"/>
  <c r="AH665" i="7"/>
  <c r="AH664" i="7"/>
  <c r="AH662" i="7"/>
  <c r="AH659" i="7"/>
  <c r="AH321" i="7" s="1"/>
  <c r="AH658" i="7"/>
  <c r="AH320" i="7" s="1"/>
  <c r="AH657" i="7"/>
  <c r="AH319" i="7" s="1"/>
  <c r="AH656" i="7"/>
  <c r="AH318" i="7" s="1"/>
  <c r="AH655" i="7"/>
  <c r="AH317" i="7" s="1"/>
  <c r="AH654" i="7"/>
  <c r="AH653" i="7"/>
  <c r="AH315" i="7" s="1"/>
  <c r="AH652" i="7"/>
  <c r="AH314" i="7" s="1"/>
  <c r="AH651" i="7"/>
  <c r="AH313" i="7" s="1"/>
  <c r="AH650" i="7"/>
  <c r="AH312" i="7" s="1"/>
  <c r="AH639" i="7"/>
  <c r="AH638" i="7"/>
  <c r="AH637" i="7"/>
  <c r="AH636" i="7"/>
  <c r="AH635" i="7"/>
  <c r="AH634" i="7"/>
  <c r="AH633" i="7"/>
  <c r="AH631" i="7"/>
  <c r="AH630" i="7"/>
  <c r="AH627" i="7"/>
  <c r="AH295" i="7" s="1"/>
  <c r="AH626" i="7"/>
  <c r="AH294" i="7" s="1"/>
  <c r="AH625" i="7"/>
  <c r="AH293" i="7" s="1"/>
  <c r="AH624" i="7"/>
  <c r="AH292" i="7" s="1"/>
  <c r="AH623" i="7"/>
  <c r="AH291" i="7" s="1"/>
  <c r="AH622" i="7"/>
  <c r="AH290" i="7" s="1"/>
  <c r="AH621" i="7"/>
  <c r="AH289" i="7" s="1"/>
  <c r="AH620" i="7"/>
  <c r="AH288" i="7" s="1"/>
  <c r="AH619" i="7"/>
  <c r="AH287" i="7" s="1"/>
  <c r="AH618" i="7"/>
  <c r="AH286" i="7" s="1"/>
  <c r="AH607" i="7"/>
  <c r="AH606" i="7"/>
  <c r="AH605" i="7"/>
  <c r="AH604" i="7"/>
  <c r="AH603" i="7"/>
  <c r="AH602" i="7"/>
  <c r="AH601" i="7"/>
  <c r="AH599" i="7"/>
  <c r="AH598" i="7"/>
  <c r="AH595" i="7"/>
  <c r="AH270" i="7" s="1"/>
  <c r="AH594" i="7"/>
  <c r="AH269" i="7" s="1"/>
  <c r="AH593" i="7"/>
  <c r="AH268" i="7" s="1"/>
  <c r="AH592" i="7"/>
  <c r="AH267" i="7" s="1"/>
  <c r="AH591" i="7"/>
  <c r="AH266" i="7" s="1"/>
  <c r="AH590" i="7"/>
  <c r="AH265" i="7" s="1"/>
  <c r="AH589" i="7"/>
  <c r="AH264" i="7" s="1"/>
  <c r="AH588" i="7"/>
  <c r="AH263" i="7" s="1"/>
  <c r="AH587" i="7"/>
  <c r="AH262" i="7" s="1"/>
  <c r="AH586" i="7"/>
  <c r="AH261" i="7" s="1"/>
  <c r="AH479" i="7"/>
  <c r="AH480" i="7" s="1"/>
  <c r="AH473" i="7"/>
  <c r="AH474" i="7" s="1"/>
  <c r="AH390" i="7"/>
  <c r="AH377" i="7"/>
  <c r="AH376" i="7"/>
  <c r="AH375" i="7"/>
  <c r="AH374" i="7"/>
  <c r="AH373" i="7"/>
  <c r="AH372" i="7"/>
  <c r="AH316" i="7"/>
  <c r="AH256" i="7"/>
  <c r="AH243" i="7"/>
  <c r="AH242" i="7"/>
  <c r="AH241" i="7"/>
  <c r="AH240" i="7"/>
  <c r="AH239" i="7"/>
  <c r="AH238" i="7"/>
  <c r="AH32" i="7"/>
  <c r="AH28" i="7"/>
  <c r="AH27" i="7"/>
  <c r="AH25" i="7"/>
  <c r="AH19" i="7"/>
  <c r="AH35" i="7"/>
  <c r="AI2" i="7"/>
  <c r="AI22" i="7" s="1"/>
  <c r="AI34" i="7" s="1"/>
  <c r="AG257" i="7"/>
  <c r="AG399" i="7"/>
  <c r="AG397" i="7"/>
  <c r="AG396" i="7"/>
  <c r="AG400" i="7"/>
  <c r="AG404" i="7"/>
  <c r="AG424" i="7"/>
  <c r="AG428" i="7"/>
  <c r="AG448" i="7"/>
  <c r="AG452" i="7"/>
  <c r="AG456" i="7"/>
  <c r="AG421" i="7"/>
  <c r="AG425" i="7"/>
  <c r="AG429" i="7"/>
  <c r="AG449" i="7"/>
  <c r="AG453" i="7"/>
  <c r="AG391" i="7"/>
  <c r="AG29" i="7"/>
  <c r="AG56" i="7"/>
  <c r="AG596" i="7"/>
  <c r="AG581" i="7" s="1"/>
  <c r="AG63" i="7" s="1"/>
  <c r="AG628" i="7"/>
  <c r="AG613" i="7" s="1"/>
  <c r="AG64" i="7" s="1"/>
  <c r="AG395" i="7"/>
  <c r="AG403" i="7"/>
  <c r="AG401" i="7"/>
  <c r="AG398" i="7"/>
  <c r="AG402" i="7"/>
  <c r="AG422" i="7"/>
  <c r="AG426" i="7"/>
  <c r="AG430" i="7"/>
  <c r="AG450" i="7"/>
  <c r="AG454" i="7"/>
  <c r="AG423" i="7"/>
  <c r="AG427" i="7"/>
  <c r="AG447" i="7"/>
  <c r="AG451" i="7"/>
  <c r="AG455" i="7"/>
  <c r="AG560" i="7"/>
  <c r="AG554" i="7"/>
  <c r="AH567" i="7"/>
  <c r="F41" i="1" l="1"/>
  <c r="AF529" i="7"/>
  <c r="AF534" i="7"/>
  <c r="AG532" i="7"/>
  <c r="AG75" i="7" s="1"/>
  <c r="AG76" i="7" s="1"/>
  <c r="AH543" i="7"/>
  <c r="AH544" i="7" s="1"/>
  <c r="AI575" i="7"/>
  <c r="AI570" i="7"/>
  <c r="AI541" i="7"/>
  <c r="AI542" i="7"/>
  <c r="AH165" i="7"/>
  <c r="AH129" i="7"/>
  <c r="AH50" i="7"/>
  <c r="AI559" i="7"/>
  <c r="AI518" i="7"/>
  <c r="AI514" i="7"/>
  <c r="AI510" i="7"/>
  <c r="AI506" i="7"/>
  <c r="AI569" i="7"/>
  <c r="AI568" i="7"/>
  <c r="AI561" i="7"/>
  <c r="AI555" i="7"/>
  <c r="AI533" i="7" s="1"/>
  <c r="AI546" i="7"/>
  <c r="AI545" i="7"/>
  <c r="AI556" i="7" s="1"/>
  <c r="AI539" i="7"/>
  <c r="AI538" i="7"/>
  <c r="AJ11" i="7"/>
  <c r="AH29" i="7"/>
  <c r="AH596" i="7"/>
  <c r="AH581" i="7" s="1"/>
  <c r="AH63" i="7" s="1"/>
  <c r="AH56" i="7"/>
  <c r="AG551" i="7"/>
  <c r="AI671" i="7"/>
  <c r="AI670" i="7"/>
  <c r="AI669" i="7"/>
  <c r="AI667" i="7"/>
  <c r="AI666" i="7"/>
  <c r="AI665" i="7"/>
  <c r="AI664" i="7"/>
  <c r="AI662" i="7"/>
  <c r="AI659" i="7"/>
  <c r="AI321" i="7" s="1"/>
  <c r="AI658" i="7"/>
  <c r="AI320" i="7" s="1"/>
  <c r="AI657" i="7"/>
  <c r="AI319" i="7" s="1"/>
  <c r="AI656" i="7"/>
  <c r="AI318" i="7" s="1"/>
  <c r="AI655" i="7"/>
  <c r="AI317" i="7" s="1"/>
  <c r="AI654" i="7"/>
  <c r="AI316" i="7" s="1"/>
  <c r="AI653" i="7"/>
  <c r="AI315" i="7" s="1"/>
  <c r="AI652" i="7"/>
  <c r="AI314" i="7" s="1"/>
  <c r="AI650" i="7"/>
  <c r="AI312" i="7" s="1"/>
  <c r="AI627" i="7"/>
  <c r="AI295" i="7" s="1"/>
  <c r="AI626" i="7"/>
  <c r="AI294" i="7" s="1"/>
  <c r="AI625" i="7"/>
  <c r="AI293" i="7" s="1"/>
  <c r="AI624" i="7"/>
  <c r="AI292" i="7" s="1"/>
  <c r="AI623" i="7"/>
  <c r="AI291" i="7" s="1"/>
  <c r="AI622" i="7"/>
  <c r="AI290" i="7" s="1"/>
  <c r="AI621" i="7"/>
  <c r="AI289" i="7" s="1"/>
  <c r="AI651" i="7"/>
  <c r="AI313" i="7" s="1"/>
  <c r="AI639" i="7"/>
  <c r="AI638" i="7"/>
  <c r="AI637" i="7"/>
  <c r="AI636" i="7"/>
  <c r="AI635" i="7"/>
  <c r="AI634" i="7"/>
  <c r="AI633" i="7"/>
  <c r="AI631" i="7"/>
  <c r="AI630" i="7"/>
  <c r="AI595" i="7"/>
  <c r="AI270" i="7" s="1"/>
  <c r="AI594" i="7"/>
  <c r="AI269" i="7" s="1"/>
  <c r="AI593" i="7"/>
  <c r="AI268" i="7" s="1"/>
  <c r="AI592" i="7"/>
  <c r="AI267" i="7" s="1"/>
  <c r="AI591" i="7"/>
  <c r="AI266" i="7" s="1"/>
  <c r="AI590" i="7"/>
  <c r="AI265" i="7" s="1"/>
  <c r="AI620" i="7"/>
  <c r="AI288" i="7" s="1"/>
  <c r="AI619" i="7"/>
  <c r="AI287" i="7" s="1"/>
  <c r="AI618" i="7"/>
  <c r="AI286" i="7" s="1"/>
  <c r="AI607" i="7"/>
  <c r="AI606" i="7"/>
  <c r="AI605" i="7"/>
  <c r="AI604" i="7"/>
  <c r="AI603" i="7"/>
  <c r="AI602" i="7"/>
  <c r="AI601" i="7"/>
  <c r="AI599" i="7"/>
  <c r="AI598" i="7"/>
  <c r="AI588" i="7"/>
  <c r="AI263" i="7" s="1"/>
  <c r="AI589" i="7"/>
  <c r="AI264" i="7" s="1"/>
  <c r="AI587" i="7"/>
  <c r="AI262" i="7" s="1"/>
  <c r="AI586" i="7"/>
  <c r="AI261" i="7" s="1"/>
  <c r="AI479" i="7"/>
  <c r="AI480" i="7" s="1"/>
  <c r="AI473" i="7"/>
  <c r="AI474" i="7" s="1"/>
  <c r="AI377" i="7"/>
  <c r="AI376" i="7"/>
  <c r="AI375" i="7"/>
  <c r="AI374" i="7"/>
  <c r="AI373" i="7"/>
  <c r="AI372" i="7"/>
  <c r="AI390" i="7"/>
  <c r="AI256" i="7"/>
  <c r="AI243" i="7"/>
  <c r="AI242" i="7"/>
  <c r="AI241" i="7"/>
  <c r="AI240" i="7"/>
  <c r="AI239" i="7"/>
  <c r="AI238" i="7"/>
  <c r="AI35" i="7"/>
  <c r="AJ2" i="7"/>
  <c r="AJ22" i="7" s="1"/>
  <c r="AJ34" i="7" s="1"/>
  <c r="AI32" i="7"/>
  <c r="AI28" i="7"/>
  <c r="AI27" i="7"/>
  <c r="AI25" i="7"/>
  <c r="AI19" i="7"/>
  <c r="AH402" i="7"/>
  <c r="AH400" i="7"/>
  <c r="AH397" i="7"/>
  <c r="AH401" i="7"/>
  <c r="AH421" i="7"/>
  <c r="AH425" i="7"/>
  <c r="AH429" i="7"/>
  <c r="AH449" i="7"/>
  <c r="AH453" i="7"/>
  <c r="AH391" i="7"/>
  <c r="AH422" i="7"/>
  <c r="AH426" i="7"/>
  <c r="AH430" i="7"/>
  <c r="AH450" i="7"/>
  <c r="AH454" i="7"/>
  <c r="AG66" i="7"/>
  <c r="AH398" i="7"/>
  <c r="AH257" i="7"/>
  <c r="AH396" i="7"/>
  <c r="AH404" i="7"/>
  <c r="AH395" i="7"/>
  <c r="AH399" i="7"/>
  <c r="AH403" i="7"/>
  <c r="AH423" i="7"/>
  <c r="AH427" i="7"/>
  <c r="AH447" i="7"/>
  <c r="AH451" i="7"/>
  <c r="AH455" i="7"/>
  <c r="AH424" i="7"/>
  <c r="AH428" i="7"/>
  <c r="AH448" i="7"/>
  <c r="AH452" i="7"/>
  <c r="AH456" i="7"/>
  <c r="AH560" i="7"/>
  <c r="AH554" i="7"/>
  <c r="AI567" i="7"/>
  <c r="AH628" i="7"/>
  <c r="AH613" i="7" s="1"/>
  <c r="AH64" i="7" s="1"/>
  <c r="AH660" i="7"/>
  <c r="AH645" i="7" s="1"/>
  <c r="AH65" i="7" s="1"/>
  <c r="F42" i="1" l="1"/>
  <c r="AG529" i="7"/>
  <c r="AH532" i="7"/>
  <c r="AH75" i="7" s="1"/>
  <c r="AH76" i="7" s="1"/>
  <c r="AG534" i="7"/>
  <c r="AI543" i="7"/>
  <c r="AI544" i="7" s="1"/>
  <c r="AJ575" i="7"/>
  <c r="AJ542" i="7"/>
  <c r="AJ570" i="7"/>
  <c r="AJ541" i="7"/>
  <c r="AI165" i="7"/>
  <c r="AI129" i="7"/>
  <c r="AI50" i="7"/>
  <c r="AJ559" i="7"/>
  <c r="AJ518" i="7"/>
  <c r="AJ514" i="7"/>
  <c r="AJ510" i="7"/>
  <c r="AJ506" i="7"/>
  <c r="AJ569" i="7"/>
  <c r="AJ568" i="7"/>
  <c r="AH66" i="7"/>
  <c r="AK11" i="7"/>
  <c r="AJ561" i="7"/>
  <c r="AJ555" i="7"/>
  <c r="AJ533" i="7" s="1"/>
  <c r="AJ546" i="7"/>
  <c r="AJ545" i="7"/>
  <c r="AJ556" i="7" s="1"/>
  <c r="AJ539" i="7"/>
  <c r="AJ538" i="7"/>
  <c r="AH551" i="7"/>
  <c r="AJ671" i="7"/>
  <c r="AJ670" i="7"/>
  <c r="AJ669" i="7"/>
  <c r="AJ667" i="7"/>
  <c r="AJ666" i="7"/>
  <c r="AJ665" i="7"/>
  <c r="AJ664" i="7"/>
  <c r="AJ662" i="7"/>
  <c r="AJ659" i="7"/>
  <c r="AJ321" i="7" s="1"/>
  <c r="AJ658" i="7"/>
  <c r="AJ320" i="7" s="1"/>
  <c r="AJ657" i="7"/>
  <c r="AJ319" i="7" s="1"/>
  <c r="AJ656" i="7"/>
  <c r="AJ318" i="7" s="1"/>
  <c r="AJ655" i="7"/>
  <c r="AJ317" i="7" s="1"/>
  <c r="AJ654" i="7"/>
  <c r="AJ316" i="7" s="1"/>
  <c r="AJ653" i="7"/>
  <c r="AJ315" i="7" s="1"/>
  <c r="AJ652" i="7"/>
  <c r="AJ314" i="7" s="1"/>
  <c r="AJ651" i="7"/>
  <c r="AJ313" i="7" s="1"/>
  <c r="AJ650" i="7"/>
  <c r="AJ639" i="7"/>
  <c r="AJ638" i="7"/>
  <c r="AJ637" i="7"/>
  <c r="AJ636" i="7"/>
  <c r="AJ635" i="7"/>
  <c r="AJ634" i="7"/>
  <c r="AJ633" i="7"/>
  <c r="AJ631" i="7"/>
  <c r="AJ630" i="7"/>
  <c r="AJ627" i="7"/>
  <c r="AJ295" i="7" s="1"/>
  <c r="AJ626" i="7"/>
  <c r="AJ294" i="7" s="1"/>
  <c r="AJ625" i="7"/>
  <c r="AJ293" i="7" s="1"/>
  <c r="AJ624" i="7"/>
  <c r="AJ292" i="7" s="1"/>
  <c r="AJ623" i="7"/>
  <c r="AJ291" i="7" s="1"/>
  <c r="AJ622" i="7"/>
  <c r="AJ290" i="7" s="1"/>
  <c r="AJ621" i="7"/>
  <c r="AJ289" i="7" s="1"/>
  <c r="AJ620" i="7"/>
  <c r="AJ288" i="7" s="1"/>
  <c r="AJ619" i="7"/>
  <c r="AJ287" i="7" s="1"/>
  <c r="AJ618" i="7"/>
  <c r="AJ286" i="7" s="1"/>
  <c r="AJ607" i="7"/>
  <c r="AJ606" i="7"/>
  <c r="AJ605" i="7"/>
  <c r="AJ604" i="7"/>
  <c r="AJ603" i="7"/>
  <c r="AJ602" i="7"/>
  <c r="AJ601" i="7"/>
  <c r="AJ599" i="7"/>
  <c r="AJ598" i="7"/>
  <c r="AJ595" i="7"/>
  <c r="AJ270" i="7" s="1"/>
  <c r="AJ594" i="7"/>
  <c r="AJ269" i="7" s="1"/>
  <c r="AJ593" i="7"/>
  <c r="AJ268" i="7" s="1"/>
  <c r="AJ592" i="7"/>
  <c r="AJ267" i="7" s="1"/>
  <c r="AJ591" i="7"/>
  <c r="AJ266" i="7" s="1"/>
  <c r="AJ590" i="7"/>
  <c r="AJ265" i="7" s="1"/>
  <c r="AJ589" i="7"/>
  <c r="AJ264" i="7" s="1"/>
  <c r="AJ588" i="7"/>
  <c r="AJ263" i="7" s="1"/>
  <c r="AJ587" i="7"/>
  <c r="AJ262" i="7" s="1"/>
  <c r="AJ586" i="7"/>
  <c r="AJ261" i="7" s="1"/>
  <c r="AJ479" i="7"/>
  <c r="AJ480" i="7" s="1"/>
  <c r="AJ473" i="7"/>
  <c r="AJ474" i="7" s="1"/>
  <c r="AJ390" i="7"/>
  <c r="AJ377" i="7"/>
  <c r="AJ376" i="7"/>
  <c r="AJ375" i="7"/>
  <c r="AJ374" i="7"/>
  <c r="AJ373" i="7"/>
  <c r="AJ372" i="7"/>
  <c r="AJ312" i="7"/>
  <c r="AJ256" i="7"/>
  <c r="AJ243" i="7"/>
  <c r="AJ242" i="7"/>
  <c r="AJ241" i="7"/>
  <c r="AJ240" i="7"/>
  <c r="AJ239" i="7"/>
  <c r="AJ238" i="7"/>
  <c r="AJ32" i="7"/>
  <c r="AJ28" i="7"/>
  <c r="AJ27" i="7"/>
  <c r="AJ25" i="7"/>
  <c r="AJ19" i="7"/>
  <c r="AJ35" i="7"/>
  <c r="AK2" i="7"/>
  <c r="AK22" i="7" s="1"/>
  <c r="AK34" i="7" s="1"/>
  <c r="AI257" i="7"/>
  <c r="AI397" i="7"/>
  <c r="AI399" i="7"/>
  <c r="AI396" i="7"/>
  <c r="AI400" i="7"/>
  <c r="AI404" i="7"/>
  <c r="AI424" i="7"/>
  <c r="AI428" i="7"/>
  <c r="AI448" i="7"/>
  <c r="AI452" i="7"/>
  <c r="AI456" i="7"/>
  <c r="AI421" i="7"/>
  <c r="AI425" i="7"/>
  <c r="AI429" i="7"/>
  <c r="AI449" i="7"/>
  <c r="AI453" i="7"/>
  <c r="AI391" i="7"/>
  <c r="AI29" i="7"/>
  <c r="AI56" i="7"/>
  <c r="AI596" i="7"/>
  <c r="AI581" i="7" s="1"/>
  <c r="AI63" i="7" s="1"/>
  <c r="AI628" i="7"/>
  <c r="AI613" i="7" s="1"/>
  <c r="AI64" i="7" s="1"/>
  <c r="AI401" i="7"/>
  <c r="AI395" i="7"/>
  <c r="AI403" i="7"/>
  <c r="AI398" i="7"/>
  <c r="AI402" i="7"/>
  <c r="AI422" i="7"/>
  <c r="AI426" i="7"/>
  <c r="AI430" i="7"/>
  <c r="AI450" i="7"/>
  <c r="AI454" i="7"/>
  <c r="AI423" i="7"/>
  <c r="AI427" i="7"/>
  <c r="AI447" i="7"/>
  <c r="AI451" i="7"/>
  <c r="AI455" i="7"/>
  <c r="AI560" i="7"/>
  <c r="AI554" i="7"/>
  <c r="AJ567" i="7"/>
  <c r="AI660" i="7"/>
  <c r="AI645" i="7" s="1"/>
  <c r="AI65" i="7" s="1"/>
  <c r="E57" i="1"/>
  <c r="B72" i="7" s="1"/>
  <c r="F43" i="1" l="1"/>
  <c r="AH529" i="7"/>
  <c r="AH534" i="7"/>
  <c r="AI532" i="7"/>
  <c r="AI75" i="7" s="1"/>
  <c r="AI76" i="7" s="1"/>
  <c r="AJ543" i="7"/>
  <c r="AJ544" i="7" s="1"/>
  <c r="AK575" i="7"/>
  <c r="AK570" i="7"/>
  <c r="AK541" i="7"/>
  <c r="AK542" i="7"/>
  <c r="AJ165" i="7"/>
  <c r="AJ129" i="7"/>
  <c r="AJ50" i="7"/>
  <c r="AK559" i="7"/>
  <c r="AK518" i="7"/>
  <c r="AK514" i="7"/>
  <c r="AK510" i="7"/>
  <c r="AK506" i="7"/>
  <c r="AK569" i="7"/>
  <c r="AK568" i="7"/>
  <c r="AK561" i="7"/>
  <c r="AK555" i="7"/>
  <c r="AK533" i="7" s="1"/>
  <c r="AK546" i="7"/>
  <c r="AK545" i="7"/>
  <c r="AK556" i="7" s="1"/>
  <c r="AK539" i="7"/>
  <c r="AK538" i="7"/>
  <c r="AL11" i="7"/>
  <c r="AI551" i="7"/>
  <c r="AK671" i="7"/>
  <c r="AK670" i="7"/>
  <c r="AK669" i="7"/>
  <c r="AK667" i="7"/>
  <c r="AK666" i="7"/>
  <c r="AK665" i="7"/>
  <c r="AK664" i="7"/>
  <c r="AK659" i="7"/>
  <c r="AK321" i="7" s="1"/>
  <c r="AK658" i="7"/>
  <c r="AK657" i="7"/>
  <c r="AK319" i="7" s="1"/>
  <c r="AK656" i="7"/>
  <c r="AK318" i="7" s="1"/>
  <c r="AK655" i="7"/>
  <c r="AK317" i="7" s="1"/>
  <c r="AK654" i="7"/>
  <c r="AK316" i="7" s="1"/>
  <c r="AK653" i="7"/>
  <c r="AK315" i="7" s="1"/>
  <c r="AK652" i="7"/>
  <c r="AK314" i="7" s="1"/>
  <c r="AK662" i="7"/>
  <c r="AK651" i="7"/>
  <c r="AK313" i="7" s="1"/>
  <c r="AK627" i="7"/>
  <c r="AK295" i="7" s="1"/>
  <c r="AK626" i="7"/>
  <c r="AK294" i="7" s="1"/>
  <c r="AK625" i="7"/>
  <c r="AK293" i="7" s="1"/>
  <c r="AK624" i="7"/>
  <c r="AK292" i="7" s="1"/>
  <c r="AK623" i="7"/>
  <c r="AK291" i="7" s="1"/>
  <c r="AK622" i="7"/>
  <c r="AK290" i="7" s="1"/>
  <c r="AK621" i="7"/>
  <c r="AK289" i="7" s="1"/>
  <c r="AK650" i="7"/>
  <c r="AK312" i="7" s="1"/>
  <c r="AK639" i="7"/>
  <c r="AK638" i="7"/>
  <c r="AK637" i="7"/>
  <c r="AK636" i="7"/>
  <c r="AK635" i="7"/>
  <c r="AK634" i="7"/>
  <c r="AK633" i="7"/>
  <c r="AK631" i="7"/>
  <c r="AK630" i="7"/>
  <c r="AK620" i="7"/>
  <c r="AK288" i="7" s="1"/>
  <c r="AK595" i="7"/>
  <c r="AK270" i="7" s="1"/>
  <c r="AK594" i="7"/>
  <c r="AK269" i="7" s="1"/>
  <c r="AK593" i="7"/>
  <c r="AK268" i="7" s="1"/>
  <c r="AK592" i="7"/>
  <c r="AK267" i="7" s="1"/>
  <c r="AK591" i="7"/>
  <c r="AK266" i="7" s="1"/>
  <c r="AK590" i="7"/>
  <c r="AK265" i="7" s="1"/>
  <c r="AK619" i="7"/>
  <c r="AK287" i="7" s="1"/>
  <c r="AK618" i="7"/>
  <c r="AK286" i="7" s="1"/>
  <c r="AK607" i="7"/>
  <c r="AK606" i="7"/>
  <c r="AK605" i="7"/>
  <c r="AK604" i="7"/>
  <c r="AK603" i="7"/>
  <c r="AK602" i="7"/>
  <c r="AK601" i="7"/>
  <c r="AK599" i="7"/>
  <c r="AK598" i="7"/>
  <c r="AK589" i="7"/>
  <c r="AK264" i="7" s="1"/>
  <c r="AK588" i="7"/>
  <c r="AK263" i="7" s="1"/>
  <c r="AK587" i="7"/>
  <c r="AK262" i="7" s="1"/>
  <c r="AK586" i="7"/>
  <c r="AK261" i="7" s="1"/>
  <c r="AK479" i="7"/>
  <c r="AK480" i="7" s="1"/>
  <c r="AK473" i="7"/>
  <c r="AK474" i="7" s="1"/>
  <c r="AK377" i="7"/>
  <c r="AK376" i="7"/>
  <c r="AK375" i="7"/>
  <c r="AK374" i="7"/>
  <c r="AK373" i="7"/>
  <c r="AK372" i="7"/>
  <c r="AK320" i="7"/>
  <c r="AK390" i="7"/>
  <c r="AK256" i="7"/>
  <c r="AK243" i="7"/>
  <c r="AK242" i="7"/>
  <c r="AK241" i="7"/>
  <c r="AK240" i="7"/>
  <c r="AK239" i="7"/>
  <c r="AK238" i="7"/>
  <c r="AK35" i="7"/>
  <c r="AK32" i="7"/>
  <c r="AK28" i="7"/>
  <c r="AK27" i="7"/>
  <c r="AK25" i="7"/>
  <c r="AK19" i="7"/>
  <c r="AL2" i="7"/>
  <c r="AL22" i="7" s="1"/>
  <c r="AL34" i="7" s="1"/>
  <c r="AJ396" i="7"/>
  <c r="AJ404" i="7"/>
  <c r="AJ402" i="7"/>
  <c r="AJ395" i="7"/>
  <c r="AJ399" i="7"/>
  <c r="AJ403" i="7"/>
  <c r="AJ423" i="7"/>
  <c r="AJ427" i="7"/>
  <c r="AJ447" i="7"/>
  <c r="AJ451" i="7"/>
  <c r="AJ455" i="7"/>
  <c r="AJ424" i="7"/>
  <c r="AJ428" i="7"/>
  <c r="AJ448" i="7"/>
  <c r="AJ452" i="7"/>
  <c r="AJ456" i="7"/>
  <c r="AJ560" i="7"/>
  <c r="AJ554" i="7"/>
  <c r="AK567" i="7"/>
  <c r="AJ29" i="7"/>
  <c r="AJ56" i="7"/>
  <c r="AJ596" i="7"/>
  <c r="AJ581" i="7" s="1"/>
  <c r="AJ63" i="7" s="1"/>
  <c r="AJ628" i="7"/>
  <c r="AJ613" i="7" s="1"/>
  <c r="AJ64" i="7" s="1"/>
  <c r="AJ660" i="7"/>
  <c r="AJ645" i="7" s="1"/>
  <c r="AJ65" i="7" s="1"/>
  <c r="AJ400" i="7"/>
  <c r="AJ257" i="7"/>
  <c r="AJ398" i="7"/>
  <c r="AJ397" i="7"/>
  <c r="AJ401" i="7"/>
  <c r="AJ421" i="7"/>
  <c r="AJ425" i="7"/>
  <c r="AJ429" i="7"/>
  <c r="AJ449" i="7"/>
  <c r="AJ453" i="7"/>
  <c r="AJ391" i="7"/>
  <c r="AJ422" i="7"/>
  <c r="AJ426" i="7"/>
  <c r="AJ430" i="7"/>
  <c r="AJ450" i="7"/>
  <c r="AJ454" i="7"/>
  <c r="AI66" i="7"/>
  <c r="F44" i="1" l="1"/>
  <c r="AI529" i="7"/>
  <c r="AJ532" i="7"/>
  <c r="AJ75" i="7" s="1"/>
  <c r="AJ76" i="7" s="1"/>
  <c r="AI534" i="7"/>
  <c r="AK543" i="7"/>
  <c r="AK544" i="7" s="1"/>
  <c r="AL575" i="7"/>
  <c r="AL542" i="7"/>
  <c r="AL570" i="7"/>
  <c r="AL541" i="7"/>
  <c r="AK165" i="7"/>
  <c r="AK129" i="7"/>
  <c r="AK50" i="7"/>
  <c r="AL559" i="7"/>
  <c r="AL518" i="7"/>
  <c r="AL514" i="7"/>
  <c r="AL510" i="7"/>
  <c r="AL506" i="7"/>
  <c r="AL569" i="7"/>
  <c r="AL568" i="7"/>
  <c r="AK660" i="7"/>
  <c r="AK645" i="7" s="1"/>
  <c r="AK65" i="7" s="1"/>
  <c r="AM11" i="7"/>
  <c r="AL561" i="7"/>
  <c r="AL555" i="7"/>
  <c r="AL533" i="7" s="1"/>
  <c r="AL546" i="7"/>
  <c r="AL545" i="7"/>
  <c r="AL556" i="7" s="1"/>
  <c r="AL539" i="7"/>
  <c r="AL538" i="7"/>
  <c r="AK29" i="7"/>
  <c r="AK395" i="7"/>
  <c r="AK403" i="7"/>
  <c r="AK401" i="7"/>
  <c r="AK398" i="7"/>
  <c r="AK402" i="7"/>
  <c r="AK422" i="7"/>
  <c r="AK426" i="7"/>
  <c r="AK430" i="7"/>
  <c r="AK450" i="7"/>
  <c r="AK454" i="7"/>
  <c r="AK423" i="7"/>
  <c r="AK427" i="7"/>
  <c r="AK447" i="7"/>
  <c r="AK451" i="7"/>
  <c r="AK455" i="7"/>
  <c r="AK560" i="7"/>
  <c r="AK554" i="7"/>
  <c r="AL567" i="7"/>
  <c r="AJ551" i="7"/>
  <c r="AL671" i="7"/>
  <c r="AL670" i="7"/>
  <c r="AL668" i="7"/>
  <c r="AL667" i="7"/>
  <c r="AL666" i="7"/>
  <c r="AL665" i="7"/>
  <c r="AL664" i="7"/>
  <c r="AL662" i="7"/>
  <c r="AL659" i="7"/>
  <c r="AL321" i="7" s="1"/>
  <c r="AL658" i="7"/>
  <c r="AL657" i="7"/>
  <c r="AL319" i="7" s="1"/>
  <c r="AL656" i="7"/>
  <c r="AL318" i="7" s="1"/>
  <c r="AL655" i="7"/>
  <c r="AL317" i="7" s="1"/>
  <c r="AL654" i="7"/>
  <c r="AL316" i="7" s="1"/>
  <c r="AL653" i="7"/>
  <c r="AL315" i="7" s="1"/>
  <c r="AL652" i="7"/>
  <c r="AL314" i="7" s="1"/>
  <c r="AL651" i="7"/>
  <c r="AL313" i="7" s="1"/>
  <c r="AL650" i="7"/>
  <c r="AL312" i="7" s="1"/>
  <c r="AL639" i="7"/>
  <c r="AL638" i="7"/>
  <c r="AL637" i="7"/>
  <c r="AL636" i="7"/>
  <c r="AL635" i="7"/>
  <c r="AL634" i="7"/>
  <c r="AL633" i="7"/>
  <c r="AL631" i="7"/>
  <c r="AL630" i="7"/>
  <c r="AL627" i="7"/>
  <c r="AL295" i="7" s="1"/>
  <c r="AL626" i="7"/>
  <c r="AL294" i="7" s="1"/>
  <c r="AL625" i="7"/>
  <c r="AL293" i="7" s="1"/>
  <c r="AL624" i="7"/>
  <c r="AL292" i="7" s="1"/>
  <c r="AL623" i="7"/>
  <c r="AL291" i="7" s="1"/>
  <c r="AL622" i="7"/>
  <c r="AL290" i="7" s="1"/>
  <c r="AL621" i="7"/>
  <c r="AL289" i="7" s="1"/>
  <c r="AL620" i="7"/>
  <c r="AL288" i="7" s="1"/>
  <c r="AL619" i="7"/>
  <c r="AL287" i="7" s="1"/>
  <c r="AL618" i="7"/>
  <c r="AL286" i="7" s="1"/>
  <c r="AL607" i="7"/>
  <c r="AL606" i="7"/>
  <c r="AL605" i="7"/>
  <c r="AL604" i="7"/>
  <c r="AL603" i="7"/>
  <c r="AL602" i="7"/>
  <c r="AL601" i="7"/>
  <c r="AL599" i="7"/>
  <c r="AL598" i="7"/>
  <c r="AL595" i="7"/>
  <c r="AL270" i="7" s="1"/>
  <c r="AL594" i="7"/>
  <c r="AL269" i="7" s="1"/>
  <c r="AL593" i="7"/>
  <c r="AL268" i="7" s="1"/>
  <c r="AL592" i="7"/>
  <c r="AL267" i="7" s="1"/>
  <c r="AL591" i="7"/>
  <c r="AL266" i="7" s="1"/>
  <c r="AL590" i="7"/>
  <c r="AL265" i="7" s="1"/>
  <c r="AL589" i="7"/>
  <c r="AL264" i="7" s="1"/>
  <c r="AL588" i="7"/>
  <c r="AL263" i="7" s="1"/>
  <c r="AL587" i="7"/>
  <c r="AL262" i="7" s="1"/>
  <c r="AL586" i="7"/>
  <c r="AL261" i="7" s="1"/>
  <c r="AL479" i="7"/>
  <c r="AL480" i="7" s="1"/>
  <c r="AL473" i="7"/>
  <c r="AL474" i="7" s="1"/>
  <c r="AL390" i="7"/>
  <c r="AL377" i="7"/>
  <c r="AL376" i="7"/>
  <c r="AL375" i="7"/>
  <c r="AL374" i="7"/>
  <c r="AL373" i="7"/>
  <c r="AL372" i="7"/>
  <c r="AL320" i="7"/>
  <c r="AL256" i="7"/>
  <c r="AL243" i="7"/>
  <c r="AL242" i="7"/>
  <c r="AL241" i="7"/>
  <c r="AL240" i="7"/>
  <c r="AL239" i="7"/>
  <c r="AL238" i="7"/>
  <c r="AL32" i="7"/>
  <c r="AL28" i="7"/>
  <c r="AL27" i="7"/>
  <c r="AL25" i="7"/>
  <c r="AL19" i="7"/>
  <c r="AL35" i="7"/>
  <c r="AM2" i="7"/>
  <c r="AM22" i="7" s="1"/>
  <c r="AM34" i="7" s="1"/>
  <c r="AK257" i="7"/>
  <c r="AK399" i="7"/>
  <c r="AK397" i="7"/>
  <c r="AK396" i="7"/>
  <c r="AK400" i="7"/>
  <c r="AK404" i="7"/>
  <c r="AK424" i="7"/>
  <c r="AK428" i="7"/>
  <c r="AK448" i="7"/>
  <c r="AK452" i="7"/>
  <c r="AK456" i="7"/>
  <c r="AK421" i="7"/>
  <c r="AK425" i="7"/>
  <c r="AK429" i="7"/>
  <c r="AK449" i="7"/>
  <c r="AK453" i="7"/>
  <c r="AK391" i="7"/>
  <c r="AJ66" i="7"/>
  <c r="AK56" i="7"/>
  <c r="AK596" i="7"/>
  <c r="AK581" i="7" s="1"/>
  <c r="AK63" i="7" s="1"/>
  <c r="AK628" i="7"/>
  <c r="AK613" i="7" s="1"/>
  <c r="AK64" i="7" s="1"/>
  <c r="F45" i="1" l="1"/>
  <c r="AJ529" i="7"/>
  <c r="AJ534" i="7"/>
  <c r="AK532" i="7"/>
  <c r="AK75" i="7" s="1"/>
  <c r="AK76" i="7" s="1"/>
  <c r="AL543" i="7"/>
  <c r="AL544" i="7" s="1"/>
  <c r="AM575" i="7"/>
  <c r="AM570" i="7"/>
  <c r="AM541" i="7"/>
  <c r="AM542" i="7"/>
  <c r="AL165" i="7"/>
  <c r="AL129" i="7"/>
  <c r="AL50" i="7"/>
  <c r="AM559" i="7"/>
  <c r="AM518" i="7"/>
  <c r="AM514" i="7"/>
  <c r="AM510" i="7"/>
  <c r="AM506" i="7"/>
  <c r="AM569" i="7"/>
  <c r="AM568" i="7"/>
  <c r="AL596" i="7"/>
  <c r="AL581" i="7" s="1"/>
  <c r="AL63" i="7" s="1"/>
  <c r="AL660" i="7"/>
  <c r="AL645" i="7" s="1"/>
  <c r="AL65" i="7" s="1"/>
  <c r="AM561" i="7"/>
  <c r="AM555" i="7"/>
  <c r="AM533" i="7" s="1"/>
  <c r="AM546" i="7"/>
  <c r="AM545" i="7"/>
  <c r="AM556" i="7" s="1"/>
  <c r="AM539" i="7"/>
  <c r="AM538" i="7"/>
  <c r="AN11" i="7"/>
  <c r="AL29" i="7"/>
  <c r="AL628" i="7"/>
  <c r="AL613" i="7" s="1"/>
  <c r="AL64" i="7" s="1"/>
  <c r="AL56" i="7"/>
  <c r="AM671" i="7"/>
  <c r="AM670" i="7"/>
  <c r="AM668" i="7"/>
  <c r="AM667" i="7"/>
  <c r="AM666" i="7"/>
  <c r="AM665" i="7"/>
  <c r="AM664" i="7"/>
  <c r="AM662" i="7"/>
  <c r="AM659" i="7"/>
  <c r="AM321" i="7" s="1"/>
  <c r="AM658" i="7"/>
  <c r="AM320" i="7" s="1"/>
  <c r="AM657" i="7"/>
  <c r="AM319" i="7" s="1"/>
  <c r="AM656" i="7"/>
  <c r="AM318" i="7" s="1"/>
  <c r="AM655" i="7"/>
  <c r="AM317" i="7" s="1"/>
  <c r="AM654" i="7"/>
  <c r="AM316" i="7" s="1"/>
  <c r="AM653" i="7"/>
  <c r="AM315" i="7" s="1"/>
  <c r="AM652" i="7"/>
  <c r="AM314" i="7" s="1"/>
  <c r="AM650" i="7"/>
  <c r="AM312" i="7" s="1"/>
  <c r="AM627" i="7"/>
  <c r="AM295" i="7" s="1"/>
  <c r="AM626" i="7"/>
  <c r="AM294" i="7" s="1"/>
  <c r="AM625" i="7"/>
  <c r="AM293" i="7" s="1"/>
  <c r="AM624" i="7"/>
  <c r="AM292" i="7" s="1"/>
  <c r="AM623" i="7"/>
  <c r="AM291" i="7" s="1"/>
  <c r="AM622" i="7"/>
  <c r="AM290" i="7" s="1"/>
  <c r="AM621" i="7"/>
  <c r="AM289" i="7" s="1"/>
  <c r="AM651" i="7"/>
  <c r="AM313" i="7" s="1"/>
  <c r="AM639" i="7"/>
  <c r="AM638" i="7"/>
  <c r="AM637" i="7"/>
  <c r="AM636" i="7"/>
  <c r="AM635" i="7"/>
  <c r="AM634" i="7"/>
  <c r="AM633" i="7"/>
  <c r="AM631" i="7"/>
  <c r="AM630" i="7"/>
  <c r="AM595" i="7"/>
  <c r="AM270" i="7" s="1"/>
  <c r="AM594" i="7"/>
  <c r="AM269" i="7" s="1"/>
  <c r="AM593" i="7"/>
  <c r="AM268" i="7" s="1"/>
  <c r="AM592" i="7"/>
  <c r="AM267" i="7" s="1"/>
  <c r="AM591" i="7"/>
  <c r="AM266" i="7" s="1"/>
  <c r="AM590" i="7"/>
  <c r="AM265" i="7" s="1"/>
  <c r="AM620" i="7"/>
  <c r="AM288" i="7" s="1"/>
  <c r="AM619" i="7"/>
  <c r="AM287" i="7" s="1"/>
  <c r="AM618" i="7"/>
  <c r="AM286" i="7" s="1"/>
  <c r="AM607" i="7"/>
  <c r="AM606" i="7"/>
  <c r="AM605" i="7"/>
  <c r="AM604" i="7"/>
  <c r="AM603" i="7"/>
  <c r="AM602" i="7"/>
  <c r="AM600" i="7"/>
  <c r="AM599" i="7"/>
  <c r="AM598" i="7"/>
  <c r="AM588" i="7"/>
  <c r="AM263" i="7" s="1"/>
  <c r="AM589" i="7"/>
  <c r="AM264" i="7" s="1"/>
  <c r="AM587" i="7"/>
  <c r="AM262" i="7" s="1"/>
  <c r="AM586" i="7"/>
  <c r="AM261" i="7" s="1"/>
  <c r="AM479" i="7"/>
  <c r="AM480" i="7" s="1"/>
  <c r="AM473" i="7"/>
  <c r="AM474" i="7" s="1"/>
  <c r="AM377" i="7"/>
  <c r="AM376" i="7"/>
  <c r="AM375" i="7"/>
  <c r="AM374" i="7"/>
  <c r="AM373" i="7"/>
  <c r="AM372" i="7"/>
  <c r="AM390" i="7"/>
  <c r="AM256" i="7"/>
  <c r="AM243" i="7"/>
  <c r="AM242" i="7"/>
  <c r="AM241" i="7"/>
  <c r="AM240" i="7"/>
  <c r="AM239" i="7"/>
  <c r="AM238" i="7"/>
  <c r="AM35" i="7"/>
  <c r="AM32" i="7"/>
  <c r="AM28" i="7"/>
  <c r="AM27" i="7"/>
  <c r="AM25" i="7"/>
  <c r="AM19" i="7"/>
  <c r="AN2" i="7"/>
  <c r="AN22" i="7" s="1"/>
  <c r="AN34" i="7" s="1"/>
  <c r="AL402" i="7"/>
  <c r="AL400" i="7"/>
  <c r="AL397" i="7"/>
  <c r="AL401" i="7"/>
  <c r="AL421" i="7"/>
  <c r="AL425" i="7"/>
  <c r="AL429" i="7"/>
  <c r="AL449" i="7"/>
  <c r="AL453" i="7"/>
  <c r="AL391" i="7"/>
  <c r="AL422" i="7"/>
  <c r="AL426" i="7"/>
  <c r="AL430" i="7"/>
  <c r="AL450" i="7"/>
  <c r="AL454" i="7"/>
  <c r="AK551" i="7"/>
  <c r="AK66" i="7"/>
  <c r="AL398" i="7"/>
  <c r="AL257" i="7"/>
  <c r="AL396" i="7"/>
  <c r="AL404" i="7"/>
  <c r="AL395" i="7"/>
  <c r="AL399" i="7"/>
  <c r="AL403" i="7"/>
  <c r="AL423" i="7"/>
  <c r="AL427" i="7"/>
  <c r="AL447" i="7"/>
  <c r="AL451" i="7"/>
  <c r="AL455" i="7"/>
  <c r="AL424" i="7"/>
  <c r="AL428" i="7"/>
  <c r="AL448" i="7"/>
  <c r="AL452" i="7"/>
  <c r="AL456" i="7"/>
  <c r="AL560" i="7"/>
  <c r="AL554" i="7"/>
  <c r="AM567" i="7"/>
  <c r="F46" i="1" l="1"/>
  <c r="AK529" i="7"/>
  <c r="AL532" i="7"/>
  <c r="AL75" i="7" s="1"/>
  <c r="AL76" i="7" s="1"/>
  <c r="AM543" i="7"/>
  <c r="AM544" i="7" s="1"/>
  <c r="AK534" i="7"/>
  <c r="AN575" i="7"/>
  <c r="AN542" i="7"/>
  <c r="AN570" i="7"/>
  <c r="AN541" i="7"/>
  <c r="AM165" i="7"/>
  <c r="AM129" i="7"/>
  <c r="AM50" i="7"/>
  <c r="AN559" i="7"/>
  <c r="AL66" i="7"/>
  <c r="AN518" i="7"/>
  <c r="AN514" i="7"/>
  <c r="AN510" i="7"/>
  <c r="AN506" i="7"/>
  <c r="AN569" i="7"/>
  <c r="AN568" i="7"/>
  <c r="AM29" i="7"/>
  <c r="AM596" i="7"/>
  <c r="AM581" i="7" s="1"/>
  <c r="AM63" i="7" s="1"/>
  <c r="AM628" i="7"/>
  <c r="AM613" i="7" s="1"/>
  <c r="AM64" i="7" s="1"/>
  <c r="AO11" i="7"/>
  <c r="AN561" i="7"/>
  <c r="AN555" i="7"/>
  <c r="AN533" i="7" s="1"/>
  <c r="AN546" i="7"/>
  <c r="AN545" i="7"/>
  <c r="AN556" i="7" s="1"/>
  <c r="AN539" i="7"/>
  <c r="AN538" i="7"/>
  <c r="AM56" i="7"/>
  <c r="AM401" i="7"/>
  <c r="AM395" i="7"/>
  <c r="AM403" i="7"/>
  <c r="AM398" i="7"/>
  <c r="AM402" i="7"/>
  <c r="AM422" i="7"/>
  <c r="AM426" i="7"/>
  <c r="AM430" i="7"/>
  <c r="AM450" i="7"/>
  <c r="AM454" i="7"/>
  <c r="AM423" i="7"/>
  <c r="AM427" i="7"/>
  <c r="AM447" i="7"/>
  <c r="AM451" i="7"/>
  <c r="AM455" i="7"/>
  <c r="AM560" i="7"/>
  <c r="AM554" i="7"/>
  <c r="AN567" i="7"/>
  <c r="AM660" i="7"/>
  <c r="AM645" i="7" s="1"/>
  <c r="AM65" i="7" s="1"/>
  <c r="AL551" i="7"/>
  <c r="AN671" i="7"/>
  <c r="AN670" i="7"/>
  <c r="AN668" i="7"/>
  <c r="AN667" i="7"/>
  <c r="AN666" i="7"/>
  <c r="AN665" i="7"/>
  <c r="AN664" i="7"/>
  <c r="AN662" i="7"/>
  <c r="AN659" i="7"/>
  <c r="AN321" i="7" s="1"/>
  <c r="AN658" i="7"/>
  <c r="AN320" i="7" s="1"/>
  <c r="AN657" i="7"/>
  <c r="AN319" i="7" s="1"/>
  <c r="AN656" i="7"/>
  <c r="AN318" i="7" s="1"/>
  <c r="AN655" i="7"/>
  <c r="AN317" i="7" s="1"/>
  <c r="AN654" i="7"/>
  <c r="AN316" i="7" s="1"/>
  <c r="AN653" i="7"/>
  <c r="AN315" i="7" s="1"/>
  <c r="AN652" i="7"/>
  <c r="AN314" i="7" s="1"/>
  <c r="AN651" i="7"/>
  <c r="AN313" i="7" s="1"/>
  <c r="AN650" i="7"/>
  <c r="AN312" i="7" s="1"/>
  <c r="AN639" i="7"/>
  <c r="AN638" i="7"/>
  <c r="AN637" i="7"/>
  <c r="AN636" i="7"/>
  <c r="AN635" i="7"/>
  <c r="AN634" i="7"/>
  <c r="AN633" i="7"/>
  <c r="AN631" i="7"/>
  <c r="AN630" i="7"/>
  <c r="AN627" i="7"/>
  <c r="AN626" i="7"/>
  <c r="AN294" i="7" s="1"/>
  <c r="AN625" i="7"/>
  <c r="AN293" i="7" s="1"/>
  <c r="AN624" i="7"/>
  <c r="AN292" i="7" s="1"/>
  <c r="AN623" i="7"/>
  <c r="AN291" i="7" s="1"/>
  <c r="AN622" i="7"/>
  <c r="AN290" i="7" s="1"/>
  <c r="AN621" i="7"/>
  <c r="AN289" i="7" s="1"/>
  <c r="AN620" i="7"/>
  <c r="AN288" i="7" s="1"/>
  <c r="AN619" i="7"/>
  <c r="AN287" i="7" s="1"/>
  <c r="AN618" i="7"/>
  <c r="AN286" i="7" s="1"/>
  <c r="AN607" i="7"/>
  <c r="AN606" i="7"/>
  <c r="AN605" i="7"/>
  <c r="AN604" i="7"/>
  <c r="AN603" i="7"/>
  <c r="AN602" i="7"/>
  <c r="AN600" i="7"/>
  <c r="AN599" i="7"/>
  <c r="AN598" i="7"/>
  <c r="AN595" i="7"/>
  <c r="AN270" i="7" s="1"/>
  <c r="AN594" i="7"/>
  <c r="AN269" i="7" s="1"/>
  <c r="AN593" i="7"/>
  <c r="AN268" i="7" s="1"/>
  <c r="AN592" i="7"/>
  <c r="AN267" i="7" s="1"/>
  <c r="AN591" i="7"/>
  <c r="AN266" i="7" s="1"/>
  <c r="AN590" i="7"/>
  <c r="AN265" i="7" s="1"/>
  <c r="AN589" i="7"/>
  <c r="AN264" i="7" s="1"/>
  <c r="AN588" i="7"/>
  <c r="AN263" i="7" s="1"/>
  <c r="AN587" i="7"/>
  <c r="AN262" i="7" s="1"/>
  <c r="AN586" i="7"/>
  <c r="AN261" i="7" s="1"/>
  <c r="AN479" i="7"/>
  <c r="AN480" i="7" s="1"/>
  <c r="AN473" i="7"/>
  <c r="AN474" i="7" s="1"/>
  <c r="AN390" i="7"/>
  <c r="AN295" i="7"/>
  <c r="AN377" i="7"/>
  <c r="AN376" i="7"/>
  <c r="AN375" i="7"/>
  <c r="AN374" i="7"/>
  <c r="AN373" i="7"/>
  <c r="AN372" i="7"/>
  <c r="AN256" i="7"/>
  <c r="AN243" i="7"/>
  <c r="AN242" i="7"/>
  <c r="AN241" i="7"/>
  <c r="AN240" i="7"/>
  <c r="AN239" i="7"/>
  <c r="AN238" i="7"/>
  <c r="AN32" i="7"/>
  <c r="AN28" i="7"/>
  <c r="AN27" i="7"/>
  <c r="AN25" i="7"/>
  <c r="AN19" i="7"/>
  <c r="AN35" i="7"/>
  <c r="AO2" i="7"/>
  <c r="AO22" i="7" s="1"/>
  <c r="AO34" i="7" s="1"/>
  <c r="AM257" i="7"/>
  <c r="AM397" i="7"/>
  <c r="AM399" i="7"/>
  <c r="AM396" i="7"/>
  <c r="AM400" i="7"/>
  <c r="AM404" i="7"/>
  <c r="AM424" i="7"/>
  <c r="AM428" i="7"/>
  <c r="AM448" i="7"/>
  <c r="AM452" i="7"/>
  <c r="AM456" i="7"/>
  <c r="AM421" i="7"/>
  <c r="AM425" i="7"/>
  <c r="AM429" i="7"/>
  <c r="AM449" i="7"/>
  <c r="AM453" i="7"/>
  <c r="AM391" i="7"/>
  <c r="F47" i="1" l="1"/>
  <c r="AL534" i="7"/>
  <c r="AL529" i="7"/>
  <c r="AM532" i="7"/>
  <c r="AM75" i="7" s="1"/>
  <c r="AM76" i="7" s="1"/>
  <c r="AN543" i="7"/>
  <c r="AN544" i="7" s="1"/>
  <c r="AO575" i="7"/>
  <c r="AO570" i="7"/>
  <c r="AO541" i="7"/>
  <c r="AO542" i="7"/>
  <c r="AN165" i="7"/>
  <c r="AN129" i="7"/>
  <c r="AN50" i="7"/>
  <c r="AO559" i="7"/>
  <c r="AO518" i="7"/>
  <c r="AO514" i="7"/>
  <c r="AO510" i="7"/>
  <c r="AO506" i="7"/>
  <c r="AO569" i="7"/>
  <c r="AO568" i="7"/>
  <c r="AM66" i="7"/>
  <c r="AO561" i="7"/>
  <c r="AO555" i="7"/>
  <c r="AO533" i="7" s="1"/>
  <c r="AO546" i="7"/>
  <c r="AO545" i="7"/>
  <c r="AO556" i="7" s="1"/>
  <c r="AO539" i="7"/>
  <c r="AO538" i="7"/>
  <c r="AP11" i="7"/>
  <c r="AN400" i="7"/>
  <c r="AN257" i="7"/>
  <c r="AN398" i="7"/>
  <c r="AN397" i="7"/>
  <c r="AN401" i="7"/>
  <c r="AN421" i="7"/>
  <c r="AN425" i="7"/>
  <c r="AN429" i="7"/>
  <c r="AN449" i="7"/>
  <c r="AN453" i="7"/>
  <c r="AN391" i="7"/>
  <c r="AN422" i="7"/>
  <c r="AN426" i="7"/>
  <c r="AN430" i="7"/>
  <c r="AN450" i="7"/>
  <c r="AN454" i="7"/>
  <c r="AM551" i="7"/>
  <c r="AO671" i="7"/>
  <c r="AO670" i="7"/>
  <c r="AO668" i="7"/>
  <c r="AO667" i="7"/>
  <c r="AO666" i="7"/>
  <c r="AO665" i="7"/>
  <c r="AO664" i="7"/>
  <c r="AO659" i="7"/>
  <c r="AO321" i="7" s="1"/>
  <c r="AO658" i="7"/>
  <c r="AO657" i="7"/>
  <c r="AO319" i="7" s="1"/>
  <c r="AO656" i="7"/>
  <c r="AO318" i="7" s="1"/>
  <c r="AO655" i="7"/>
  <c r="AO317" i="7" s="1"/>
  <c r="AO654" i="7"/>
  <c r="AO316" i="7" s="1"/>
  <c r="AO653" i="7"/>
  <c r="AO315" i="7" s="1"/>
  <c r="AO652" i="7"/>
  <c r="AO314" i="7" s="1"/>
  <c r="AO662" i="7"/>
  <c r="AO651" i="7"/>
  <c r="AO313" i="7" s="1"/>
  <c r="AO627" i="7"/>
  <c r="AO295" i="7" s="1"/>
  <c r="AO626" i="7"/>
  <c r="AO294" i="7" s="1"/>
  <c r="AO625" i="7"/>
  <c r="AO293" i="7" s="1"/>
  <c r="AO624" i="7"/>
  <c r="AO292" i="7" s="1"/>
  <c r="AO623" i="7"/>
  <c r="AO291" i="7" s="1"/>
  <c r="AO622" i="7"/>
  <c r="AO290" i="7" s="1"/>
  <c r="AO621" i="7"/>
  <c r="AO289" i="7" s="1"/>
  <c r="AO650" i="7"/>
  <c r="AO312" i="7" s="1"/>
  <c r="AO639" i="7"/>
  <c r="AO638" i="7"/>
  <c r="AO637" i="7"/>
  <c r="AO636" i="7"/>
  <c r="AO635" i="7"/>
  <c r="AO634" i="7"/>
  <c r="AO633" i="7"/>
  <c r="AO631" i="7"/>
  <c r="AO630" i="7"/>
  <c r="AO620" i="7"/>
  <c r="AO288" i="7" s="1"/>
  <c r="AO595" i="7"/>
  <c r="AO270" i="7" s="1"/>
  <c r="AO594" i="7"/>
  <c r="AO269" i="7" s="1"/>
  <c r="AO593" i="7"/>
  <c r="AO268" i="7" s="1"/>
  <c r="AO592" i="7"/>
  <c r="AO267" i="7" s="1"/>
  <c r="AO591" i="7"/>
  <c r="AO266" i="7" s="1"/>
  <c r="AO590" i="7"/>
  <c r="AO265" i="7" s="1"/>
  <c r="AO619" i="7"/>
  <c r="AO287" i="7" s="1"/>
  <c r="AO618" i="7"/>
  <c r="AO286" i="7" s="1"/>
  <c r="AO607" i="7"/>
  <c r="AO606" i="7"/>
  <c r="AO605" i="7"/>
  <c r="AO604" i="7"/>
  <c r="AO603" i="7"/>
  <c r="AO602" i="7"/>
  <c r="AO600" i="7"/>
  <c r="AO599" i="7"/>
  <c r="AO598" i="7"/>
  <c r="AO589" i="7"/>
  <c r="AO264" i="7" s="1"/>
  <c r="AO588" i="7"/>
  <c r="AO263" i="7" s="1"/>
  <c r="AO587" i="7"/>
  <c r="AO262" i="7" s="1"/>
  <c r="AO586" i="7"/>
  <c r="AO261" i="7" s="1"/>
  <c r="AO479" i="7"/>
  <c r="AO480" i="7" s="1"/>
  <c r="AO473" i="7"/>
  <c r="AO474" i="7" s="1"/>
  <c r="AO377" i="7"/>
  <c r="AO376" i="7"/>
  <c r="AO375" i="7"/>
  <c r="AO374" i="7"/>
  <c r="AO373" i="7"/>
  <c r="AO372" i="7"/>
  <c r="AO320" i="7"/>
  <c r="AO390" i="7"/>
  <c r="AO256" i="7"/>
  <c r="AO243" i="7"/>
  <c r="AO242" i="7"/>
  <c r="AO241" i="7"/>
  <c r="AO240" i="7"/>
  <c r="AO239" i="7"/>
  <c r="AO238" i="7"/>
  <c r="AO35" i="7"/>
  <c r="AP2" i="7"/>
  <c r="AP22" i="7" s="1"/>
  <c r="AP34" i="7" s="1"/>
  <c r="AO32" i="7"/>
  <c r="AO28" i="7"/>
  <c r="AO27" i="7"/>
  <c r="AO25" i="7"/>
  <c r="AO19" i="7"/>
  <c r="AN396" i="7"/>
  <c r="AN404" i="7"/>
  <c r="AN402" i="7"/>
  <c r="AN395" i="7"/>
  <c r="AN399" i="7"/>
  <c r="AN403" i="7"/>
  <c r="AN423" i="7"/>
  <c r="AN427" i="7"/>
  <c r="AN447" i="7"/>
  <c r="AN451" i="7"/>
  <c r="AN455" i="7"/>
  <c r="AN424" i="7"/>
  <c r="AN428" i="7"/>
  <c r="AN448" i="7"/>
  <c r="AN452" i="7"/>
  <c r="AN456" i="7"/>
  <c r="AN560" i="7"/>
  <c r="AN554" i="7"/>
  <c r="AO567" i="7"/>
  <c r="AN29" i="7"/>
  <c r="AN56" i="7"/>
  <c r="AN596" i="7"/>
  <c r="AN581" i="7" s="1"/>
  <c r="AN63" i="7" s="1"/>
  <c r="AN628" i="7"/>
  <c r="AN613" i="7" s="1"/>
  <c r="AN64" i="7" s="1"/>
  <c r="AN660" i="7"/>
  <c r="AN645" i="7" s="1"/>
  <c r="AN65" i="7" s="1"/>
  <c r="F48" i="1" l="1"/>
  <c r="AM534" i="7"/>
  <c r="AM529" i="7"/>
  <c r="AN532" i="7"/>
  <c r="AN75" i="7" s="1"/>
  <c r="AN76" i="7" s="1"/>
  <c r="AO543" i="7"/>
  <c r="AO544" i="7" s="1"/>
  <c r="AP574" i="7"/>
  <c r="AP542" i="7"/>
  <c r="AP570" i="7"/>
  <c r="AP541" i="7"/>
  <c r="AO165" i="7"/>
  <c r="AO129" i="7"/>
  <c r="AO50" i="7"/>
  <c r="AP559" i="7"/>
  <c r="AP518" i="7"/>
  <c r="AP514" i="7"/>
  <c r="AP510" i="7"/>
  <c r="AP506" i="7"/>
  <c r="AP569" i="7"/>
  <c r="AP568" i="7"/>
  <c r="AP561" i="7"/>
  <c r="AP555" i="7"/>
  <c r="AP533" i="7" s="1"/>
  <c r="AP546" i="7"/>
  <c r="AP545" i="7"/>
  <c r="AP556" i="7" s="1"/>
  <c r="AP539" i="7"/>
  <c r="AP538" i="7"/>
  <c r="AO29" i="7"/>
  <c r="AO596" i="7"/>
  <c r="AO581" i="7" s="1"/>
  <c r="AO63" i="7" s="1"/>
  <c r="AO628" i="7"/>
  <c r="AO613" i="7" s="1"/>
  <c r="AO64" i="7" s="1"/>
  <c r="AO56" i="7"/>
  <c r="AO395" i="7"/>
  <c r="AO403" i="7"/>
  <c r="AO401" i="7"/>
  <c r="AO398" i="7"/>
  <c r="AO402" i="7"/>
  <c r="AO422" i="7"/>
  <c r="AO426" i="7"/>
  <c r="AO430" i="7"/>
  <c r="AO450" i="7"/>
  <c r="AO454" i="7"/>
  <c r="AO423" i="7"/>
  <c r="AO427" i="7"/>
  <c r="AO447" i="7"/>
  <c r="AO451" i="7"/>
  <c r="AO455" i="7"/>
  <c r="AO560" i="7"/>
  <c r="AO554" i="7"/>
  <c r="AP567" i="7"/>
  <c r="AO660" i="7"/>
  <c r="AO645" i="7" s="1"/>
  <c r="AO65" i="7" s="1"/>
  <c r="AN551" i="7"/>
  <c r="AP671" i="7"/>
  <c r="AP670" i="7"/>
  <c r="AP668" i="7"/>
  <c r="AP667" i="7"/>
  <c r="AP666" i="7"/>
  <c r="AP665" i="7"/>
  <c r="AP664" i="7"/>
  <c r="AP662" i="7"/>
  <c r="AP659" i="7"/>
  <c r="B659" i="7" s="1"/>
  <c r="AP658" i="7"/>
  <c r="B658" i="7" s="1"/>
  <c r="AP657" i="7"/>
  <c r="B657" i="7" s="1"/>
  <c r="AP656" i="7"/>
  <c r="B656" i="7" s="1"/>
  <c r="AP655" i="7"/>
  <c r="B655" i="7" s="1"/>
  <c r="AP654" i="7"/>
  <c r="B654" i="7" s="1"/>
  <c r="AP653" i="7"/>
  <c r="B653" i="7" s="1"/>
  <c r="AP652" i="7"/>
  <c r="B652" i="7" s="1"/>
  <c r="AP651" i="7"/>
  <c r="B651" i="7" s="1"/>
  <c r="AP650" i="7"/>
  <c r="AP312" i="7" s="1"/>
  <c r="AP639" i="7"/>
  <c r="B639" i="7" s="1"/>
  <c r="AP638" i="7"/>
  <c r="B638" i="7" s="1"/>
  <c r="AP637" i="7"/>
  <c r="B637" i="7" s="1"/>
  <c r="AP636" i="7"/>
  <c r="B636" i="7" s="1"/>
  <c r="AP635" i="7"/>
  <c r="B635" i="7" s="1"/>
  <c r="AP634" i="7"/>
  <c r="B634" i="7" s="1"/>
  <c r="AP633" i="7"/>
  <c r="B633" i="7" s="1"/>
  <c r="AP631" i="7"/>
  <c r="AP630" i="7"/>
  <c r="AP627" i="7"/>
  <c r="B627" i="7" s="1"/>
  <c r="AN442" i="7" s="1"/>
  <c r="AP626" i="7"/>
  <c r="B626" i="7" s="1"/>
  <c r="AO306" i="7" s="1"/>
  <c r="AP625" i="7"/>
  <c r="B625" i="7" s="1"/>
  <c r="AO305" i="7" s="1"/>
  <c r="AP624" i="7"/>
  <c r="B624" i="7" s="1"/>
  <c r="AO304" i="7" s="1"/>
  <c r="AP623" i="7"/>
  <c r="B623" i="7" s="1"/>
  <c r="AN438" i="7" s="1"/>
  <c r="AP622" i="7"/>
  <c r="B622" i="7" s="1"/>
  <c r="AN437" i="7" s="1"/>
  <c r="AP621" i="7"/>
  <c r="B621" i="7" s="1"/>
  <c r="AO301" i="7" s="1"/>
  <c r="AP620" i="7"/>
  <c r="B620" i="7" s="1"/>
  <c r="AO300" i="7" s="1"/>
  <c r="AP619" i="7"/>
  <c r="B619" i="7" s="1"/>
  <c r="AN434" i="7" s="1"/>
  <c r="AP618" i="7"/>
  <c r="AP286" i="7" s="1"/>
  <c r="AP607" i="7"/>
  <c r="B607" i="7" s="1"/>
  <c r="AP606" i="7"/>
  <c r="B606" i="7" s="1"/>
  <c r="AP605" i="7"/>
  <c r="B605" i="7" s="1"/>
  <c r="AP604" i="7"/>
  <c r="B604" i="7" s="1"/>
  <c r="AP603" i="7"/>
  <c r="B603" i="7" s="1"/>
  <c r="AP602" i="7"/>
  <c r="B602" i="7" s="1"/>
  <c r="AP600" i="7"/>
  <c r="AP599" i="7"/>
  <c r="AP598" i="7"/>
  <c r="AP595" i="7"/>
  <c r="B595" i="7" s="1"/>
  <c r="AO281" i="7" s="1"/>
  <c r="AP594" i="7"/>
  <c r="B594" i="7" s="1"/>
  <c r="AP593" i="7"/>
  <c r="B593" i="7" s="1"/>
  <c r="AP592" i="7"/>
  <c r="B592" i="7" s="1"/>
  <c r="AO278" i="7" s="1"/>
  <c r="AP591" i="7"/>
  <c r="B591" i="7" s="1"/>
  <c r="AO277" i="7" s="1"/>
  <c r="AP590" i="7"/>
  <c r="B590" i="7" s="1"/>
  <c r="AN411" i="7" s="1"/>
  <c r="AP589" i="7"/>
  <c r="B589" i="7" s="1"/>
  <c r="AN410" i="7" s="1"/>
  <c r="AP588" i="7"/>
  <c r="B588" i="7" s="1"/>
  <c r="AO274" i="7" s="1"/>
  <c r="AP587" i="7"/>
  <c r="B587" i="7" s="1"/>
  <c r="AO273" i="7" s="1"/>
  <c r="AP586" i="7"/>
  <c r="AP261" i="7" s="1"/>
  <c r="AP479" i="7"/>
  <c r="AP480" i="7" s="1"/>
  <c r="AP473" i="7"/>
  <c r="AP474" i="7" s="1"/>
  <c r="AP390" i="7"/>
  <c r="AP295" i="7"/>
  <c r="AP377" i="7"/>
  <c r="AP376" i="7"/>
  <c r="AP375" i="7"/>
  <c r="AP374" i="7"/>
  <c r="AP373" i="7"/>
  <c r="AP372" i="7"/>
  <c r="AP256" i="7"/>
  <c r="AP243" i="7"/>
  <c r="AP242" i="7"/>
  <c r="AP241" i="7"/>
  <c r="AP240" i="7"/>
  <c r="AP239" i="7"/>
  <c r="AP238" i="7"/>
  <c r="AP32" i="7"/>
  <c r="AP28" i="7"/>
  <c r="AP27" i="7"/>
  <c r="AP25" i="7"/>
  <c r="AP19" i="7"/>
  <c r="AP35" i="7"/>
  <c r="AO257" i="7"/>
  <c r="AO399" i="7"/>
  <c r="AO397" i="7"/>
  <c r="AO396" i="7"/>
  <c r="AO400" i="7"/>
  <c r="AO404" i="7"/>
  <c r="AO424" i="7"/>
  <c r="AO428" i="7"/>
  <c r="AO448" i="7"/>
  <c r="AO452" i="7"/>
  <c r="AO456" i="7"/>
  <c r="AO421" i="7"/>
  <c r="AO425" i="7"/>
  <c r="AO429" i="7"/>
  <c r="AO449" i="7"/>
  <c r="AO453" i="7"/>
  <c r="AO391" i="7"/>
  <c r="AN66" i="7"/>
  <c r="AN534" i="7" l="1"/>
  <c r="AN529" i="7"/>
  <c r="AP543" i="7"/>
  <c r="AP544" i="7" s="1"/>
  <c r="AO532" i="7"/>
  <c r="AO75" i="7" s="1"/>
  <c r="AO76" i="7" s="1"/>
  <c r="R665" i="7"/>
  <c r="S665" i="7"/>
  <c r="T665" i="7"/>
  <c r="U665" i="7"/>
  <c r="V665" i="7"/>
  <c r="AL669" i="7"/>
  <c r="AM669" i="7"/>
  <c r="AN669" i="7"/>
  <c r="AO669" i="7"/>
  <c r="W666" i="7"/>
  <c r="X666" i="7"/>
  <c r="Y666" i="7"/>
  <c r="Z666" i="7"/>
  <c r="AA666" i="7"/>
  <c r="AP669" i="7"/>
  <c r="I663" i="7"/>
  <c r="J663" i="7"/>
  <c r="K663" i="7"/>
  <c r="L663" i="7"/>
  <c r="AB667" i="7"/>
  <c r="AC667" i="7"/>
  <c r="AD667" i="7"/>
  <c r="AE667" i="7"/>
  <c r="AF667" i="7"/>
  <c r="M664" i="7"/>
  <c r="N664" i="7"/>
  <c r="O664" i="7"/>
  <c r="P664" i="7"/>
  <c r="Q664" i="7"/>
  <c r="AG668" i="7"/>
  <c r="AH668" i="7"/>
  <c r="AI668" i="7"/>
  <c r="AJ668" i="7"/>
  <c r="AK668" i="7"/>
  <c r="AP264" i="7"/>
  <c r="AP314" i="7"/>
  <c r="AP326" i="7" s="1"/>
  <c r="AP316" i="7"/>
  <c r="AP451" i="7" s="1"/>
  <c r="AP463" i="7" s="1"/>
  <c r="AP320" i="7"/>
  <c r="AP455" i="7" s="1"/>
  <c r="AP467" i="7" s="1"/>
  <c r="AP269" i="7"/>
  <c r="AP280" i="7" s="1"/>
  <c r="AP318" i="7"/>
  <c r="AP453" i="7" s="1"/>
  <c r="AP465" i="7" s="1"/>
  <c r="AP287" i="7"/>
  <c r="AP299" i="7" s="1"/>
  <c r="AP289" i="7"/>
  <c r="AP424" i="7" s="1"/>
  <c r="AP436" i="7" s="1"/>
  <c r="AP291" i="7"/>
  <c r="AP303" i="7" s="1"/>
  <c r="AP267" i="7"/>
  <c r="AP401" i="7" s="1"/>
  <c r="AP413" i="7" s="1"/>
  <c r="AP265" i="7"/>
  <c r="AP399" i="7" s="1"/>
  <c r="AP411" i="7" s="1"/>
  <c r="AP293" i="7"/>
  <c r="AP305" i="7" s="1"/>
  <c r="AP263" i="7"/>
  <c r="AP397" i="7" s="1"/>
  <c r="AP409" i="7" s="1"/>
  <c r="AP292" i="7"/>
  <c r="AP427" i="7" s="1"/>
  <c r="AP439" i="7" s="1"/>
  <c r="AP270" i="7"/>
  <c r="AP404" i="7" s="1"/>
  <c r="AP416" i="7" s="1"/>
  <c r="AP317" i="7"/>
  <c r="AP452" i="7" s="1"/>
  <c r="AP464" i="7" s="1"/>
  <c r="AP262" i="7"/>
  <c r="AP273" i="7" s="1"/>
  <c r="AP288" i="7"/>
  <c r="AP423" i="7" s="1"/>
  <c r="AP435" i="7" s="1"/>
  <c r="AP313" i="7"/>
  <c r="AP448" i="7" s="1"/>
  <c r="AP460" i="7" s="1"/>
  <c r="AP321" i="7"/>
  <c r="AP456" i="7" s="1"/>
  <c r="AP468" i="7" s="1"/>
  <c r="AP268" i="7"/>
  <c r="AP402" i="7" s="1"/>
  <c r="AP414" i="7" s="1"/>
  <c r="AP266" i="7"/>
  <c r="AP400" i="7" s="1"/>
  <c r="AP412" i="7" s="1"/>
  <c r="AP290" i="7"/>
  <c r="AP302" i="7" s="1"/>
  <c r="AP294" i="7"/>
  <c r="AP429" i="7" s="1"/>
  <c r="AP441" i="7" s="1"/>
  <c r="AP315" i="7"/>
  <c r="AP450" i="7" s="1"/>
  <c r="AP462" i="7" s="1"/>
  <c r="AP319" i="7"/>
  <c r="AP331" i="7" s="1"/>
  <c r="AP165" i="7"/>
  <c r="AP129" i="7"/>
  <c r="AP50" i="7"/>
  <c r="AP663" i="7"/>
  <c r="F663" i="7"/>
  <c r="G663" i="7"/>
  <c r="H663" i="7"/>
  <c r="AN462" i="7"/>
  <c r="L665" i="7"/>
  <c r="M665" i="7"/>
  <c r="N665" i="7"/>
  <c r="AO329" i="7"/>
  <c r="R667" i="7"/>
  <c r="S667" i="7"/>
  <c r="T667" i="7"/>
  <c r="AN466" i="7"/>
  <c r="X669" i="7"/>
  <c r="Y669" i="7"/>
  <c r="Z669" i="7"/>
  <c r="AO333" i="7"/>
  <c r="AD671" i="7"/>
  <c r="AE671" i="7"/>
  <c r="AF671" i="7"/>
  <c r="AO326" i="7"/>
  <c r="I664" i="7"/>
  <c r="J664" i="7"/>
  <c r="K664" i="7"/>
  <c r="AO328" i="7"/>
  <c r="O666" i="7"/>
  <c r="P666" i="7"/>
  <c r="Q666" i="7"/>
  <c r="AN465" i="7"/>
  <c r="U668" i="7"/>
  <c r="V668" i="7"/>
  <c r="W668" i="7"/>
  <c r="AO332" i="7"/>
  <c r="AA670" i="7"/>
  <c r="AB670" i="7"/>
  <c r="AC670" i="7"/>
  <c r="AO468" i="7"/>
  <c r="AO460" i="7"/>
  <c r="AN461" i="7"/>
  <c r="AO330" i="7"/>
  <c r="AO411" i="7"/>
  <c r="AN409" i="7"/>
  <c r="AO465" i="7"/>
  <c r="AO461" i="7"/>
  <c r="AO440" i="7"/>
  <c r="AO409" i="7"/>
  <c r="AN441" i="7"/>
  <c r="AO302" i="7"/>
  <c r="AO464" i="7"/>
  <c r="AO416" i="7"/>
  <c r="AO408" i="7"/>
  <c r="AN413" i="7"/>
  <c r="AO436" i="7"/>
  <c r="AO276" i="7"/>
  <c r="AP29" i="7"/>
  <c r="AO66" i="7"/>
  <c r="AO412" i="7"/>
  <c r="AN412" i="7"/>
  <c r="AO441" i="7"/>
  <c r="AO437" i="7"/>
  <c r="AO325" i="7"/>
  <c r="AP56" i="7"/>
  <c r="B239" i="7"/>
  <c r="B241" i="7"/>
  <c r="B243" i="7"/>
  <c r="AP421" i="7"/>
  <c r="AP391" i="7"/>
  <c r="B372" i="7"/>
  <c r="B374" i="7"/>
  <c r="B376" i="7"/>
  <c r="AP430" i="7"/>
  <c r="AP442" i="7" s="1"/>
  <c r="AP307" i="7"/>
  <c r="O599" i="7"/>
  <c r="O608" i="7" s="1"/>
  <c r="O580" i="7" s="1"/>
  <c r="P599" i="7"/>
  <c r="P608" i="7" s="1"/>
  <c r="P580" i="7" s="1"/>
  <c r="P58" i="7" s="1"/>
  <c r="Q599" i="7"/>
  <c r="Q608" i="7" s="1"/>
  <c r="Q580" i="7" s="1"/>
  <c r="Q58" i="7" s="1"/>
  <c r="R599" i="7"/>
  <c r="R608" i="7" s="1"/>
  <c r="R580" i="7" s="1"/>
  <c r="R58" i="7" s="1"/>
  <c r="S599" i="7"/>
  <c r="S608" i="7" s="1"/>
  <c r="S580" i="7" s="1"/>
  <c r="S58" i="7" s="1"/>
  <c r="T599" i="7"/>
  <c r="T608" i="7" s="1"/>
  <c r="T580" i="7" s="1"/>
  <c r="T58" i="7" s="1"/>
  <c r="U599" i="7"/>
  <c r="U608" i="7" s="1"/>
  <c r="U580" i="7" s="1"/>
  <c r="U58" i="7" s="1"/>
  <c r="U273" i="7"/>
  <c r="T408" i="7"/>
  <c r="V599" i="7"/>
  <c r="V608" i="7" s="1"/>
  <c r="V580" i="7" s="1"/>
  <c r="V58" i="7" s="1"/>
  <c r="V273" i="7"/>
  <c r="C408" i="7"/>
  <c r="E408" i="7"/>
  <c r="F408" i="7"/>
  <c r="H408" i="7"/>
  <c r="M408" i="7"/>
  <c r="N408" i="7"/>
  <c r="Q408" i="7"/>
  <c r="R408" i="7"/>
  <c r="S408" i="7"/>
  <c r="U408" i="7"/>
  <c r="E273" i="7"/>
  <c r="I273" i="7"/>
  <c r="K273" i="7"/>
  <c r="N273" i="7"/>
  <c r="O273" i="7"/>
  <c r="P273" i="7"/>
  <c r="W599" i="7"/>
  <c r="W608" i="7" s="1"/>
  <c r="W580" i="7" s="1"/>
  <c r="W58" i="7" s="1"/>
  <c r="D408" i="7"/>
  <c r="G408" i="7"/>
  <c r="I408" i="7"/>
  <c r="J408" i="7"/>
  <c r="K408" i="7"/>
  <c r="L408" i="7"/>
  <c r="O408" i="7"/>
  <c r="P408" i="7"/>
  <c r="D273" i="7"/>
  <c r="C273" i="7"/>
  <c r="F273" i="7"/>
  <c r="G273" i="7"/>
  <c r="H273" i="7"/>
  <c r="J273" i="7"/>
  <c r="L273" i="7"/>
  <c r="M273" i="7"/>
  <c r="S273" i="7"/>
  <c r="T273" i="7"/>
  <c r="Q273" i="7"/>
  <c r="R273" i="7"/>
  <c r="X599" i="7"/>
  <c r="X608" i="7" s="1"/>
  <c r="X580" i="7" s="1"/>
  <c r="X58" i="7" s="1"/>
  <c r="V408" i="7"/>
  <c r="W273" i="7"/>
  <c r="Y599" i="7"/>
  <c r="Y608" i="7" s="1"/>
  <c r="Y580" i="7" s="1"/>
  <c r="Y58" i="7" s="1"/>
  <c r="W408" i="7"/>
  <c r="X273" i="7"/>
  <c r="Z599" i="7"/>
  <c r="Z608" i="7" s="1"/>
  <c r="Z580" i="7" s="1"/>
  <c r="Z58" i="7" s="1"/>
  <c r="Y273" i="7"/>
  <c r="X408" i="7"/>
  <c r="Y408" i="7"/>
  <c r="Z273" i="7"/>
  <c r="Z408" i="7"/>
  <c r="AA273" i="7"/>
  <c r="AA408" i="7"/>
  <c r="AB273" i="7"/>
  <c r="AC273" i="7"/>
  <c r="AB408" i="7"/>
  <c r="AD273" i="7"/>
  <c r="AC408" i="7"/>
  <c r="AD408" i="7"/>
  <c r="AE273" i="7"/>
  <c r="AF273" i="7"/>
  <c r="AE408" i="7"/>
  <c r="AG273" i="7"/>
  <c r="AF408" i="7"/>
  <c r="AG408" i="7"/>
  <c r="AH273" i="7"/>
  <c r="AI273" i="7"/>
  <c r="AH408" i="7"/>
  <c r="AJ273" i="7"/>
  <c r="AI408" i="7"/>
  <c r="AJ408" i="7"/>
  <c r="AK273" i="7"/>
  <c r="AL273" i="7"/>
  <c r="AK408" i="7"/>
  <c r="AL408" i="7"/>
  <c r="AM273" i="7"/>
  <c r="AN273" i="7"/>
  <c r="AM408" i="7"/>
  <c r="T410" i="7"/>
  <c r="U275" i="7"/>
  <c r="V275" i="7"/>
  <c r="C410" i="7"/>
  <c r="I410" i="7"/>
  <c r="J410" i="7"/>
  <c r="K410" i="7"/>
  <c r="L410" i="7"/>
  <c r="M410" i="7"/>
  <c r="P410" i="7"/>
  <c r="Q410" i="7"/>
  <c r="R410" i="7"/>
  <c r="S410" i="7"/>
  <c r="U410" i="7"/>
  <c r="F275" i="7"/>
  <c r="J275" i="7"/>
  <c r="M275" i="7"/>
  <c r="O275" i="7"/>
  <c r="S275" i="7"/>
  <c r="D410" i="7"/>
  <c r="E410" i="7"/>
  <c r="F410" i="7"/>
  <c r="G410" i="7"/>
  <c r="H410" i="7"/>
  <c r="N410" i="7"/>
  <c r="O410" i="7"/>
  <c r="C275" i="7"/>
  <c r="D275" i="7"/>
  <c r="E275" i="7"/>
  <c r="G275" i="7"/>
  <c r="H275" i="7"/>
  <c r="I275" i="7"/>
  <c r="K275" i="7"/>
  <c r="L275" i="7"/>
  <c r="N275" i="7"/>
  <c r="P275" i="7"/>
  <c r="Q275" i="7"/>
  <c r="R275" i="7"/>
  <c r="T275" i="7"/>
  <c r="V410" i="7"/>
  <c r="W275" i="7"/>
  <c r="X275" i="7"/>
  <c r="W410" i="7"/>
  <c r="X410" i="7"/>
  <c r="Y275" i="7"/>
  <c r="Z275" i="7"/>
  <c r="Y410" i="7"/>
  <c r="AA275" i="7"/>
  <c r="Z410" i="7"/>
  <c r="AB275" i="7"/>
  <c r="AA410" i="7"/>
  <c r="AC275" i="7"/>
  <c r="AB410" i="7"/>
  <c r="AD275" i="7"/>
  <c r="AC410" i="7"/>
  <c r="AE275" i="7"/>
  <c r="AD410" i="7"/>
  <c r="AE410" i="7"/>
  <c r="AF275" i="7"/>
  <c r="AG275" i="7"/>
  <c r="AF410" i="7"/>
  <c r="AH275" i="7"/>
  <c r="AG410" i="7"/>
  <c r="AH410" i="7"/>
  <c r="AI275" i="7"/>
  <c r="AI410" i="7"/>
  <c r="AJ275" i="7"/>
  <c r="AJ410" i="7"/>
  <c r="AK275" i="7"/>
  <c r="AL275" i="7"/>
  <c r="AK410" i="7"/>
  <c r="AM601" i="7"/>
  <c r="AM608" i="7" s="1"/>
  <c r="AM580" i="7" s="1"/>
  <c r="AM58" i="7" s="1"/>
  <c r="AM275" i="7"/>
  <c r="AL410" i="7"/>
  <c r="AN601" i="7"/>
  <c r="AN608" i="7" s="1"/>
  <c r="AN580" i="7" s="1"/>
  <c r="AN58" i="7" s="1"/>
  <c r="AM410" i="7"/>
  <c r="AN275" i="7"/>
  <c r="AO601" i="7"/>
  <c r="AO608" i="7" s="1"/>
  <c r="AO580" i="7" s="1"/>
  <c r="AO58" i="7" s="1"/>
  <c r="U277" i="7"/>
  <c r="T412" i="7"/>
  <c r="C412" i="7"/>
  <c r="E412" i="7"/>
  <c r="D412" i="7"/>
  <c r="F412" i="7"/>
  <c r="G412" i="7"/>
  <c r="I412" i="7"/>
  <c r="J412" i="7"/>
  <c r="K412" i="7"/>
  <c r="N412" i="7"/>
  <c r="O412" i="7"/>
  <c r="P412" i="7"/>
  <c r="Q412" i="7"/>
  <c r="C277" i="7"/>
  <c r="D277" i="7"/>
  <c r="F277" i="7"/>
  <c r="G277" i="7"/>
  <c r="H277" i="7"/>
  <c r="J277" i="7"/>
  <c r="L277" i="7"/>
  <c r="M277" i="7"/>
  <c r="N277" i="7"/>
  <c r="P277" i="7"/>
  <c r="S277" i="7"/>
  <c r="H412" i="7"/>
  <c r="L412" i="7"/>
  <c r="M412" i="7"/>
  <c r="R412" i="7"/>
  <c r="S412" i="7"/>
  <c r="U412" i="7"/>
  <c r="E277" i="7"/>
  <c r="I277" i="7"/>
  <c r="K277" i="7"/>
  <c r="O277" i="7"/>
  <c r="Q277" i="7"/>
  <c r="R277" i="7"/>
  <c r="T277" i="7"/>
  <c r="V277" i="7"/>
  <c r="V412" i="7"/>
  <c r="W277" i="7"/>
  <c r="X277" i="7"/>
  <c r="W412" i="7"/>
  <c r="Y277" i="7"/>
  <c r="X412" i="7"/>
  <c r="Z277" i="7"/>
  <c r="Y412" i="7"/>
  <c r="Z412" i="7"/>
  <c r="AA277" i="7"/>
  <c r="AA412" i="7"/>
  <c r="AB277" i="7"/>
  <c r="AC277" i="7"/>
  <c r="AB412" i="7"/>
  <c r="AC412" i="7"/>
  <c r="AD277" i="7"/>
  <c r="AE277" i="7"/>
  <c r="AD412" i="7"/>
  <c r="AF277" i="7"/>
  <c r="AE412" i="7"/>
  <c r="AG277" i="7"/>
  <c r="AF412" i="7"/>
  <c r="AH277" i="7"/>
  <c r="AG412" i="7"/>
  <c r="AI277" i="7"/>
  <c r="AH412" i="7"/>
  <c r="AJ277" i="7"/>
  <c r="AI412" i="7"/>
  <c r="AK277" i="7"/>
  <c r="AJ412" i="7"/>
  <c r="AL277" i="7"/>
  <c r="AK412" i="7"/>
  <c r="AM277" i="7"/>
  <c r="AL412" i="7"/>
  <c r="AM412" i="7"/>
  <c r="AN277" i="7"/>
  <c r="T414" i="7"/>
  <c r="U279" i="7"/>
  <c r="E414" i="7"/>
  <c r="F414" i="7"/>
  <c r="G414" i="7"/>
  <c r="I414" i="7"/>
  <c r="J414" i="7"/>
  <c r="K414" i="7"/>
  <c r="L414" i="7"/>
  <c r="M414" i="7"/>
  <c r="O414" i="7"/>
  <c r="P414" i="7"/>
  <c r="R414" i="7"/>
  <c r="C279" i="7"/>
  <c r="E279" i="7"/>
  <c r="G279" i="7"/>
  <c r="I279" i="7"/>
  <c r="K279" i="7"/>
  <c r="O279" i="7"/>
  <c r="P279" i="7"/>
  <c r="R279" i="7"/>
  <c r="V279" i="7"/>
  <c r="C414" i="7"/>
  <c r="D414" i="7"/>
  <c r="H414" i="7"/>
  <c r="N414" i="7"/>
  <c r="Q414" i="7"/>
  <c r="S414" i="7"/>
  <c r="U414" i="7"/>
  <c r="D279" i="7"/>
  <c r="F279" i="7"/>
  <c r="H279" i="7"/>
  <c r="J279" i="7"/>
  <c r="L279" i="7"/>
  <c r="M279" i="7"/>
  <c r="N279" i="7"/>
  <c r="Q279" i="7"/>
  <c r="S279" i="7"/>
  <c r="T279" i="7"/>
  <c r="V414" i="7"/>
  <c r="W279" i="7"/>
  <c r="X279" i="7"/>
  <c r="W414" i="7"/>
  <c r="Y279" i="7"/>
  <c r="X414" i="7"/>
  <c r="Z279" i="7"/>
  <c r="Y414" i="7"/>
  <c r="AA279" i="7"/>
  <c r="Z414" i="7"/>
  <c r="AA414" i="7"/>
  <c r="AB279" i="7"/>
  <c r="AB414" i="7"/>
  <c r="AC279" i="7"/>
  <c r="AD279" i="7"/>
  <c r="AC414" i="7"/>
  <c r="AE279" i="7"/>
  <c r="AD414" i="7"/>
  <c r="AE414" i="7"/>
  <c r="AF279" i="7"/>
  <c r="AG279" i="7"/>
  <c r="AF414" i="7"/>
  <c r="AG414" i="7"/>
  <c r="AH279" i="7"/>
  <c r="AI279" i="7"/>
  <c r="AH414" i="7"/>
  <c r="AJ279" i="7"/>
  <c r="AI414" i="7"/>
  <c r="AK279" i="7"/>
  <c r="AJ414" i="7"/>
  <c r="AL279" i="7"/>
  <c r="AK414" i="7"/>
  <c r="AL414" i="7"/>
  <c r="AM279" i="7"/>
  <c r="AN279" i="7"/>
  <c r="AM414" i="7"/>
  <c r="U281" i="7"/>
  <c r="T416" i="7"/>
  <c r="V281" i="7"/>
  <c r="D416" i="7"/>
  <c r="F416" i="7"/>
  <c r="G416" i="7"/>
  <c r="H416" i="7"/>
  <c r="I416" i="7"/>
  <c r="K416" i="7"/>
  <c r="N416" i="7"/>
  <c r="U416" i="7"/>
  <c r="D281" i="7"/>
  <c r="E281" i="7"/>
  <c r="F281" i="7"/>
  <c r="H281" i="7"/>
  <c r="I281" i="7"/>
  <c r="J281" i="7"/>
  <c r="K281" i="7"/>
  <c r="L281" i="7"/>
  <c r="C416" i="7"/>
  <c r="E416" i="7"/>
  <c r="J416" i="7"/>
  <c r="L416" i="7"/>
  <c r="M416" i="7"/>
  <c r="O416" i="7"/>
  <c r="P416" i="7"/>
  <c r="Q416" i="7"/>
  <c r="R416" i="7"/>
  <c r="S416" i="7"/>
  <c r="C281" i="7"/>
  <c r="G281" i="7"/>
  <c r="M281" i="7"/>
  <c r="N281" i="7"/>
  <c r="O281" i="7"/>
  <c r="P281" i="7"/>
  <c r="R281" i="7"/>
  <c r="S281" i="7"/>
  <c r="T281" i="7"/>
  <c r="Q281" i="7"/>
  <c r="V416" i="7"/>
  <c r="W281" i="7"/>
  <c r="W416" i="7"/>
  <c r="X281" i="7"/>
  <c r="Y281" i="7"/>
  <c r="X416" i="7"/>
  <c r="Y416" i="7"/>
  <c r="Z281" i="7"/>
  <c r="AA281" i="7"/>
  <c r="Z416" i="7"/>
  <c r="AA416" i="7"/>
  <c r="AB281" i="7"/>
  <c r="AC281" i="7"/>
  <c r="AB416" i="7"/>
  <c r="AD281" i="7"/>
  <c r="AC416" i="7"/>
  <c r="AD416" i="7"/>
  <c r="AE281" i="7"/>
  <c r="AF281" i="7"/>
  <c r="AE416" i="7"/>
  <c r="AG281" i="7"/>
  <c r="AF416" i="7"/>
  <c r="AG416" i="7"/>
  <c r="AH281" i="7"/>
  <c r="AH416" i="7"/>
  <c r="AI281" i="7"/>
  <c r="AJ281" i="7"/>
  <c r="AI416" i="7"/>
  <c r="AJ416" i="7"/>
  <c r="AK281" i="7"/>
  <c r="AL281" i="7"/>
  <c r="AK416" i="7"/>
  <c r="AM281" i="7"/>
  <c r="AL416" i="7"/>
  <c r="AN281" i="7"/>
  <c r="AM416" i="7"/>
  <c r="R631" i="7"/>
  <c r="R640" i="7" s="1"/>
  <c r="R612" i="7" s="1"/>
  <c r="R59" i="7" s="1"/>
  <c r="S631" i="7"/>
  <c r="S640" i="7" s="1"/>
  <c r="S612" i="7" s="1"/>
  <c r="S59" i="7" s="1"/>
  <c r="T631" i="7"/>
  <c r="T640" i="7" s="1"/>
  <c r="T612" i="7" s="1"/>
  <c r="T59" i="7" s="1"/>
  <c r="U631" i="7"/>
  <c r="U640" i="7" s="1"/>
  <c r="U612" i="7" s="1"/>
  <c r="U59" i="7" s="1"/>
  <c r="T434" i="7"/>
  <c r="V631" i="7"/>
  <c r="V640" i="7" s="1"/>
  <c r="V612" i="7" s="1"/>
  <c r="V59" i="7" s="1"/>
  <c r="U299" i="7"/>
  <c r="W631" i="7"/>
  <c r="W640" i="7" s="1"/>
  <c r="W612" i="7" s="1"/>
  <c r="W59" i="7" s="1"/>
  <c r="V299" i="7"/>
  <c r="C434" i="7"/>
  <c r="D434" i="7"/>
  <c r="E434" i="7"/>
  <c r="F434" i="7"/>
  <c r="G434" i="7"/>
  <c r="K434" i="7"/>
  <c r="L434" i="7"/>
  <c r="N434" i="7"/>
  <c r="O434" i="7"/>
  <c r="P434" i="7"/>
  <c r="U434" i="7"/>
  <c r="D299" i="7"/>
  <c r="F299" i="7"/>
  <c r="K299" i="7"/>
  <c r="M299" i="7"/>
  <c r="O299" i="7"/>
  <c r="H434" i="7"/>
  <c r="I434" i="7"/>
  <c r="J434" i="7"/>
  <c r="M434" i="7"/>
  <c r="Q434" i="7"/>
  <c r="R434" i="7"/>
  <c r="S434" i="7"/>
  <c r="C299" i="7"/>
  <c r="E299" i="7"/>
  <c r="G299" i="7"/>
  <c r="H299" i="7"/>
  <c r="I299" i="7"/>
  <c r="J299" i="7"/>
  <c r="L299" i="7"/>
  <c r="N299" i="7"/>
  <c r="P299" i="7"/>
  <c r="Q299" i="7"/>
  <c r="S299" i="7"/>
  <c r="T299" i="7"/>
  <c r="R299" i="7"/>
  <c r="V434" i="7"/>
  <c r="X631" i="7"/>
  <c r="X640" i="7" s="1"/>
  <c r="X612" i="7" s="1"/>
  <c r="X59" i="7" s="1"/>
  <c r="W299" i="7"/>
  <c r="Y631" i="7"/>
  <c r="Y640" i="7" s="1"/>
  <c r="Y612" i="7" s="1"/>
  <c r="Y59" i="7" s="1"/>
  <c r="X299" i="7"/>
  <c r="W434" i="7"/>
  <c r="Z631" i="7"/>
  <c r="Z640" i="7" s="1"/>
  <c r="Z612" i="7" s="1"/>
  <c r="Z59" i="7" s="1"/>
  <c r="X434" i="7"/>
  <c r="Y299" i="7"/>
  <c r="AA631" i="7"/>
  <c r="AA640" i="7" s="1"/>
  <c r="AA612" i="7" s="1"/>
  <c r="AA59" i="7" s="1"/>
  <c r="Y434" i="7"/>
  <c r="Z299" i="7"/>
  <c r="AA299" i="7"/>
  <c r="AB631" i="7"/>
  <c r="AB640" i="7" s="1"/>
  <c r="AB612" i="7" s="1"/>
  <c r="AB59" i="7" s="1"/>
  <c r="Z434" i="7"/>
  <c r="AC631" i="7"/>
  <c r="AC640" i="7" s="1"/>
  <c r="AC612" i="7" s="1"/>
  <c r="AC59" i="7" s="1"/>
  <c r="AB299" i="7"/>
  <c r="AA434" i="7"/>
  <c r="AD631" i="7"/>
  <c r="AD640" i="7" s="1"/>
  <c r="AD612" i="7" s="1"/>
  <c r="AD59" i="7" s="1"/>
  <c r="AC299" i="7"/>
  <c r="AB434" i="7"/>
  <c r="AE631" i="7"/>
  <c r="AE640" i="7" s="1"/>
  <c r="AE612" i="7" s="1"/>
  <c r="AE59" i="7" s="1"/>
  <c r="AD299" i="7"/>
  <c r="AC434" i="7"/>
  <c r="AE299" i="7"/>
  <c r="AD434" i="7"/>
  <c r="AF631" i="7"/>
  <c r="AF640" i="7" s="1"/>
  <c r="AF612" i="7" s="1"/>
  <c r="AF59" i="7" s="1"/>
  <c r="AE434" i="7"/>
  <c r="AF299" i="7"/>
  <c r="AG299" i="7"/>
  <c r="AF434" i="7"/>
  <c r="AH299" i="7"/>
  <c r="AG434" i="7"/>
  <c r="AI299" i="7"/>
  <c r="AH434" i="7"/>
  <c r="AI434" i="7"/>
  <c r="AJ299" i="7"/>
  <c r="AK299" i="7"/>
  <c r="AJ434" i="7"/>
  <c r="AL299" i="7"/>
  <c r="AK434" i="7"/>
  <c r="AM299" i="7"/>
  <c r="AL434" i="7"/>
  <c r="AM434" i="7"/>
  <c r="AN299" i="7"/>
  <c r="U301" i="7"/>
  <c r="T436" i="7"/>
  <c r="H436" i="7"/>
  <c r="I436" i="7"/>
  <c r="L436" i="7"/>
  <c r="N436" i="7"/>
  <c r="P436" i="7"/>
  <c r="Q436" i="7"/>
  <c r="C301" i="7"/>
  <c r="G301" i="7"/>
  <c r="L301" i="7"/>
  <c r="M301" i="7"/>
  <c r="O301" i="7"/>
  <c r="R301" i="7"/>
  <c r="T301" i="7"/>
  <c r="C436" i="7"/>
  <c r="D436" i="7"/>
  <c r="E436" i="7"/>
  <c r="F436" i="7"/>
  <c r="G436" i="7"/>
  <c r="J436" i="7"/>
  <c r="K436" i="7"/>
  <c r="M436" i="7"/>
  <c r="O436" i="7"/>
  <c r="R436" i="7"/>
  <c r="S436" i="7"/>
  <c r="U436" i="7"/>
  <c r="D301" i="7"/>
  <c r="E301" i="7"/>
  <c r="F301" i="7"/>
  <c r="H301" i="7"/>
  <c r="I301" i="7"/>
  <c r="J301" i="7"/>
  <c r="K301" i="7"/>
  <c r="N301" i="7"/>
  <c r="P301" i="7"/>
  <c r="Q301" i="7"/>
  <c r="S301" i="7"/>
  <c r="V301" i="7"/>
  <c r="V436" i="7"/>
  <c r="W301" i="7"/>
  <c r="X301" i="7"/>
  <c r="W436" i="7"/>
  <c r="Y301" i="7"/>
  <c r="X436" i="7"/>
  <c r="Z301" i="7"/>
  <c r="Y436" i="7"/>
  <c r="AA301" i="7"/>
  <c r="Z436" i="7"/>
  <c r="AA436" i="7"/>
  <c r="AB301" i="7"/>
  <c r="AC301" i="7"/>
  <c r="AB436" i="7"/>
  <c r="AD301" i="7"/>
  <c r="AC436" i="7"/>
  <c r="AD436" i="7"/>
  <c r="AE301" i="7"/>
  <c r="AE436" i="7"/>
  <c r="AF301" i="7"/>
  <c r="AG301" i="7"/>
  <c r="AF436" i="7"/>
  <c r="AG436" i="7"/>
  <c r="AH301" i="7"/>
  <c r="AI301" i="7"/>
  <c r="AH436" i="7"/>
  <c r="AJ301" i="7"/>
  <c r="AI436" i="7"/>
  <c r="AJ436" i="7"/>
  <c r="AK301" i="7"/>
  <c r="AK436" i="7"/>
  <c r="AL301" i="7"/>
  <c r="AL436" i="7"/>
  <c r="AM301" i="7"/>
  <c r="AM436" i="7"/>
  <c r="AN301" i="7"/>
  <c r="U303" i="7"/>
  <c r="T438" i="7"/>
  <c r="V303" i="7"/>
  <c r="E438" i="7"/>
  <c r="F438" i="7"/>
  <c r="G438" i="7"/>
  <c r="J438" i="7"/>
  <c r="L438" i="7"/>
  <c r="P438" i="7"/>
  <c r="Q438" i="7"/>
  <c r="S438" i="7"/>
  <c r="D303" i="7"/>
  <c r="C303" i="7"/>
  <c r="E303" i="7"/>
  <c r="G303" i="7"/>
  <c r="H303" i="7"/>
  <c r="I303" i="7"/>
  <c r="J303" i="7"/>
  <c r="L303" i="7"/>
  <c r="N303" i="7"/>
  <c r="P303" i="7"/>
  <c r="Q303" i="7"/>
  <c r="T303" i="7"/>
  <c r="C438" i="7"/>
  <c r="D438" i="7"/>
  <c r="H438" i="7"/>
  <c r="I438" i="7"/>
  <c r="K438" i="7"/>
  <c r="M438" i="7"/>
  <c r="N438" i="7"/>
  <c r="O438" i="7"/>
  <c r="R438" i="7"/>
  <c r="U438" i="7"/>
  <c r="F303" i="7"/>
  <c r="K303" i="7"/>
  <c r="M303" i="7"/>
  <c r="O303" i="7"/>
  <c r="R303" i="7"/>
  <c r="S303" i="7"/>
  <c r="W303" i="7"/>
  <c r="V438" i="7"/>
  <c r="W438" i="7"/>
  <c r="X303" i="7"/>
  <c r="Y303" i="7"/>
  <c r="X438" i="7"/>
  <c r="Z303" i="7"/>
  <c r="Y438" i="7"/>
  <c r="AA303" i="7"/>
  <c r="Z438" i="7"/>
  <c r="AA438" i="7"/>
  <c r="AB303" i="7"/>
  <c r="AC303" i="7"/>
  <c r="AB438" i="7"/>
  <c r="AD303" i="7"/>
  <c r="AC438" i="7"/>
  <c r="AE303" i="7"/>
  <c r="AD438" i="7"/>
  <c r="AF303" i="7"/>
  <c r="AE438" i="7"/>
  <c r="AF438" i="7"/>
  <c r="AG303" i="7"/>
  <c r="AG438" i="7"/>
  <c r="AH303" i="7"/>
  <c r="AH438" i="7"/>
  <c r="AI303" i="7"/>
  <c r="AJ303" i="7"/>
  <c r="AI438" i="7"/>
  <c r="AK303" i="7"/>
  <c r="AJ438" i="7"/>
  <c r="AL303" i="7"/>
  <c r="AK438" i="7"/>
  <c r="AL438" i="7"/>
  <c r="AM303" i="7"/>
  <c r="AN303" i="7"/>
  <c r="AM438" i="7"/>
  <c r="U305" i="7"/>
  <c r="T440" i="7"/>
  <c r="C440" i="7"/>
  <c r="E440" i="7"/>
  <c r="D440" i="7"/>
  <c r="H440" i="7"/>
  <c r="M440" i="7"/>
  <c r="O440" i="7"/>
  <c r="Q440" i="7"/>
  <c r="R440" i="7"/>
  <c r="S440" i="7"/>
  <c r="U440" i="7"/>
  <c r="D305" i="7"/>
  <c r="E305" i="7"/>
  <c r="F305" i="7"/>
  <c r="H305" i="7"/>
  <c r="I305" i="7"/>
  <c r="J305" i="7"/>
  <c r="K305" i="7"/>
  <c r="N305" i="7"/>
  <c r="O305" i="7"/>
  <c r="P305" i="7"/>
  <c r="Q305" i="7"/>
  <c r="V305" i="7"/>
  <c r="F440" i="7"/>
  <c r="G440" i="7"/>
  <c r="I440" i="7"/>
  <c r="J440" i="7"/>
  <c r="K440" i="7"/>
  <c r="L440" i="7"/>
  <c r="N440" i="7"/>
  <c r="P440" i="7"/>
  <c r="C305" i="7"/>
  <c r="G305" i="7"/>
  <c r="L305" i="7"/>
  <c r="M305" i="7"/>
  <c r="R305" i="7"/>
  <c r="S305" i="7"/>
  <c r="T305" i="7"/>
  <c r="V440" i="7"/>
  <c r="W305" i="7"/>
  <c r="X305" i="7"/>
  <c r="W440" i="7"/>
  <c r="Y305" i="7"/>
  <c r="X440" i="7"/>
  <c r="Z305" i="7"/>
  <c r="Y440" i="7"/>
  <c r="Z440" i="7"/>
  <c r="AA305" i="7"/>
  <c r="AA440" i="7"/>
  <c r="AB305" i="7"/>
  <c r="AC305" i="7"/>
  <c r="AB440" i="7"/>
  <c r="AD305" i="7"/>
  <c r="AC440" i="7"/>
  <c r="AD440" i="7"/>
  <c r="AE305" i="7"/>
  <c r="AF305" i="7"/>
  <c r="AE440" i="7"/>
  <c r="AG305" i="7"/>
  <c r="AF440" i="7"/>
  <c r="AG440" i="7"/>
  <c r="AH305" i="7"/>
  <c r="AH440" i="7"/>
  <c r="AI305" i="7"/>
  <c r="AJ305" i="7"/>
  <c r="AI440" i="7"/>
  <c r="AJ440" i="7"/>
  <c r="AK305" i="7"/>
  <c r="AL305" i="7"/>
  <c r="AK440" i="7"/>
  <c r="AM305" i="7"/>
  <c r="AL440" i="7"/>
  <c r="AN305" i="7"/>
  <c r="AM440" i="7"/>
  <c r="T442" i="7"/>
  <c r="U307" i="7"/>
  <c r="V307" i="7"/>
  <c r="C442" i="7"/>
  <c r="D442" i="7"/>
  <c r="H442" i="7"/>
  <c r="J442" i="7"/>
  <c r="M442" i="7"/>
  <c r="O442" i="7"/>
  <c r="Q442" i="7"/>
  <c r="R442" i="7"/>
  <c r="S442" i="7"/>
  <c r="U442" i="7"/>
  <c r="F307" i="7"/>
  <c r="K307" i="7"/>
  <c r="M307" i="7"/>
  <c r="R307" i="7"/>
  <c r="S307" i="7"/>
  <c r="E442" i="7"/>
  <c r="F442" i="7"/>
  <c r="G442" i="7"/>
  <c r="I442" i="7"/>
  <c r="K442" i="7"/>
  <c r="L442" i="7"/>
  <c r="N442" i="7"/>
  <c r="P442" i="7"/>
  <c r="D307" i="7"/>
  <c r="C307" i="7"/>
  <c r="E307" i="7"/>
  <c r="G307" i="7"/>
  <c r="H307" i="7"/>
  <c r="I307" i="7"/>
  <c r="J307" i="7"/>
  <c r="L307" i="7"/>
  <c r="N307" i="7"/>
  <c r="O307" i="7"/>
  <c r="P307" i="7"/>
  <c r="Q307" i="7"/>
  <c r="T307" i="7"/>
  <c r="V442" i="7"/>
  <c r="W307" i="7"/>
  <c r="X307" i="7"/>
  <c r="W442" i="7"/>
  <c r="Y307" i="7"/>
  <c r="X442" i="7"/>
  <c r="Z307" i="7"/>
  <c r="Y442" i="7"/>
  <c r="AA307" i="7"/>
  <c r="Z442" i="7"/>
  <c r="AB307" i="7"/>
  <c r="AA442" i="7"/>
  <c r="AC307" i="7"/>
  <c r="AB442" i="7"/>
  <c r="AC442" i="7"/>
  <c r="AD307" i="7"/>
  <c r="AE307" i="7"/>
  <c r="AD442" i="7"/>
  <c r="AE442" i="7"/>
  <c r="AF307" i="7"/>
  <c r="AG307" i="7"/>
  <c r="AF442" i="7"/>
  <c r="AH307" i="7"/>
  <c r="AG442" i="7"/>
  <c r="AI307" i="7"/>
  <c r="AH442" i="7"/>
  <c r="AI442" i="7"/>
  <c r="AJ307" i="7"/>
  <c r="AJ442" i="7"/>
  <c r="AK307" i="7"/>
  <c r="AL307" i="7"/>
  <c r="AK442" i="7"/>
  <c r="AM307" i="7"/>
  <c r="AL442" i="7"/>
  <c r="AM442" i="7"/>
  <c r="AN307" i="7"/>
  <c r="U325" i="7"/>
  <c r="T460" i="7"/>
  <c r="C460" i="7"/>
  <c r="E460" i="7"/>
  <c r="F460" i="7"/>
  <c r="G460" i="7"/>
  <c r="J460" i="7"/>
  <c r="K460" i="7"/>
  <c r="M460" i="7"/>
  <c r="R460" i="7"/>
  <c r="S460" i="7"/>
  <c r="C325" i="7"/>
  <c r="D325" i="7"/>
  <c r="G325" i="7"/>
  <c r="L325" i="7"/>
  <c r="M325" i="7"/>
  <c r="N325" i="7"/>
  <c r="R325" i="7"/>
  <c r="S325" i="7"/>
  <c r="W663" i="7"/>
  <c r="D460" i="7"/>
  <c r="H460" i="7"/>
  <c r="I460" i="7"/>
  <c r="L460" i="7"/>
  <c r="N460" i="7"/>
  <c r="O460" i="7"/>
  <c r="P460" i="7"/>
  <c r="Q460" i="7"/>
  <c r="U460" i="7"/>
  <c r="E325" i="7"/>
  <c r="F325" i="7"/>
  <c r="H325" i="7"/>
  <c r="I325" i="7"/>
  <c r="J325" i="7"/>
  <c r="K325" i="7"/>
  <c r="O325" i="7"/>
  <c r="P325" i="7"/>
  <c r="Q325" i="7"/>
  <c r="T325" i="7"/>
  <c r="V325" i="7"/>
  <c r="V460" i="7"/>
  <c r="X663" i="7"/>
  <c r="W325" i="7"/>
  <c r="X325" i="7"/>
  <c r="W460" i="7"/>
  <c r="Y663" i="7"/>
  <c r="Y325" i="7"/>
  <c r="Z663" i="7"/>
  <c r="X460" i="7"/>
  <c r="Z325" i="7"/>
  <c r="AA663" i="7"/>
  <c r="Y460" i="7"/>
  <c r="AB663" i="7"/>
  <c r="AA325" i="7"/>
  <c r="Z460" i="7"/>
  <c r="AC663" i="7"/>
  <c r="AA460" i="7"/>
  <c r="AB325" i="7"/>
  <c r="AC325" i="7"/>
  <c r="AB460" i="7"/>
  <c r="AD663" i="7"/>
  <c r="AE663" i="7"/>
  <c r="AD325" i="7"/>
  <c r="AC460" i="7"/>
  <c r="AD460" i="7"/>
  <c r="AF663" i="7"/>
  <c r="AE325" i="7"/>
  <c r="AG663" i="7"/>
  <c r="AF325" i="7"/>
  <c r="AE460" i="7"/>
  <c r="AH663" i="7"/>
  <c r="AH672" i="7" s="1"/>
  <c r="AH644" i="7" s="1"/>
  <c r="AH60" i="7" s="1"/>
  <c r="AG325" i="7"/>
  <c r="AF460" i="7"/>
  <c r="AI663" i="7"/>
  <c r="AG460" i="7"/>
  <c r="AH325" i="7"/>
  <c r="AJ663" i="7"/>
  <c r="AJ672" i="7" s="1"/>
  <c r="AJ644" i="7" s="1"/>
  <c r="AJ60" i="7" s="1"/>
  <c r="AI325" i="7"/>
  <c r="AH460" i="7"/>
  <c r="AJ325" i="7"/>
  <c r="AK663" i="7"/>
  <c r="AI460" i="7"/>
  <c r="AJ460" i="7"/>
  <c r="AL663" i="7"/>
  <c r="AK325" i="7"/>
  <c r="AM663" i="7"/>
  <c r="AM672" i="7" s="1"/>
  <c r="AM644" i="7" s="1"/>
  <c r="AM60" i="7" s="1"/>
  <c r="AL325" i="7"/>
  <c r="AK460" i="7"/>
  <c r="AL460" i="7"/>
  <c r="AN663" i="7"/>
  <c r="AM325" i="7"/>
  <c r="AN325" i="7"/>
  <c r="AM460" i="7"/>
  <c r="AO663" i="7"/>
  <c r="AO672" i="7" s="1"/>
  <c r="AO644" i="7" s="1"/>
  <c r="AO60" i="7" s="1"/>
  <c r="T462" i="7"/>
  <c r="U327" i="7"/>
  <c r="V327" i="7"/>
  <c r="H462" i="7"/>
  <c r="I462" i="7"/>
  <c r="K462" i="7"/>
  <c r="M462" i="7"/>
  <c r="N462" i="7"/>
  <c r="R462" i="7"/>
  <c r="D327" i="7"/>
  <c r="C327" i="7"/>
  <c r="E327" i="7"/>
  <c r="G327" i="7"/>
  <c r="H327" i="7"/>
  <c r="I327" i="7"/>
  <c r="J327" i="7"/>
  <c r="L327" i="7"/>
  <c r="N327" i="7"/>
  <c r="O327" i="7"/>
  <c r="Q327" i="7"/>
  <c r="D462" i="7"/>
  <c r="C462" i="7"/>
  <c r="E462" i="7"/>
  <c r="F462" i="7"/>
  <c r="G462" i="7"/>
  <c r="J462" i="7"/>
  <c r="L462" i="7"/>
  <c r="O462" i="7"/>
  <c r="P462" i="7"/>
  <c r="Q462" i="7"/>
  <c r="S462" i="7"/>
  <c r="U462" i="7"/>
  <c r="F327" i="7"/>
  <c r="K327" i="7"/>
  <c r="M327" i="7"/>
  <c r="P327" i="7"/>
  <c r="R327" i="7"/>
  <c r="S327" i="7"/>
  <c r="T327" i="7"/>
  <c r="W327" i="7"/>
  <c r="V462" i="7"/>
  <c r="X327" i="7"/>
  <c r="W462" i="7"/>
  <c r="X462" i="7"/>
  <c r="Y327" i="7"/>
  <c r="Z327" i="7"/>
  <c r="Y462" i="7"/>
  <c r="AA327" i="7"/>
  <c r="Z462" i="7"/>
  <c r="AA462" i="7"/>
  <c r="AB327" i="7"/>
  <c r="AB462" i="7"/>
  <c r="AC327" i="7"/>
  <c r="AD327" i="7"/>
  <c r="AC462" i="7"/>
  <c r="AE327" i="7"/>
  <c r="AD462" i="7"/>
  <c r="AF327" i="7"/>
  <c r="AE462" i="7"/>
  <c r="AG327" i="7"/>
  <c r="AF462" i="7"/>
  <c r="AG462" i="7"/>
  <c r="AH327" i="7"/>
  <c r="AH462" i="7"/>
  <c r="AI327" i="7"/>
  <c r="AJ327" i="7"/>
  <c r="AI462" i="7"/>
  <c r="AK327" i="7"/>
  <c r="AJ462" i="7"/>
  <c r="AL327" i="7"/>
  <c r="AK462" i="7"/>
  <c r="AL462" i="7"/>
  <c r="AM327" i="7"/>
  <c r="AN327" i="7"/>
  <c r="AM462" i="7"/>
  <c r="U329" i="7"/>
  <c r="T464" i="7"/>
  <c r="F464" i="7"/>
  <c r="G464" i="7"/>
  <c r="J464" i="7"/>
  <c r="K464" i="7"/>
  <c r="L464" i="7"/>
  <c r="O464" i="7"/>
  <c r="P464" i="7"/>
  <c r="Q464" i="7"/>
  <c r="U464" i="7"/>
  <c r="D329" i="7"/>
  <c r="E329" i="7"/>
  <c r="F329" i="7"/>
  <c r="H329" i="7"/>
  <c r="I329" i="7"/>
  <c r="J329" i="7"/>
  <c r="K329" i="7"/>
  <c r="M329" i="7"/>
  <c r="O329" i="7"/>
  <c r="P329" i="7"/>
  <c r="V329" i="7"/>
  <c r="C464" i="7"/>
  <c r="D464" i="7"/>
  <c r="E464" i="7"/>
  <c r="H464" i="7"/>
  <c r="I464" i="7"/>
  <c r="M464" i="7"/>
  <c r="N464" i="7"/>
  <c r="R464" i="7"/>
  <c r="S464" i="7"/>
  <c r="C329" i="7"/>
  <c r="G329" i="7"/>
  <c r="L329" i="7"/>
  <c r="N329" i="7"/>
  <c r="R329" i="7"/>
  <c r="S329" i="7"/>
  <c r="T329" i="7"/>
  <c r="Q329" i="7"/>
  <c r="V464" i="7"/>
  <c r="W329" i="7"/>
  <c r="X329" i="7"/>
  <c r="W464" i="7"/>
  <c r="Y329" i="7"/>
  <c r="X464" i="7"/>
  <c r="Z329" i="7"/>
  <c r="Y464" i="7"/>
  <c r="Z464" i="7"/>
  <c r="AA329" i="7"/>
  <c r="AA464" i="7"/>
  <c r="AB329" i="7"/>
  <c r="AC329" i="7"/>
  <c r="AB464" i="7"/>
  <c r="AD329" i="7"/>
  <c r="AC464" i="7"/>
  <c r="AD464" i="7"/>
  <c r="AE329" i="7"/>
  <c r="AF329" i="7"/>
  <c r="AE464" i="7"/>
  <c r="AG329" i="7"/>
  <c r="AF464" i="7"/>
  <c r="AG464" i="7"/>
  <c r="AH329" i="7"/>
  <c r="AH464" i="7"/>
  <c r="AI329" i="7"/>
  <c r="AJ329" i="7"/>
  <c r="AI464" i="7"/>
  <c r="AJ464" i="7"/>
  <c r="AK329" i="7"/>
  <c r="AL329" i="7"/>
  <c r="AK464" i="7"/>
  <c r="AM329" i="7"/>
  <c r="AL464" i="7"/>
  <c r="AM464" i="7"/>
  <c r="AN329" i="7"/>
  <c r="T466" i="7"/>
  <c r="U331" i="7"/>
  <c r="V331" i="7"/>
  <c r="E466" i="7"/>
  <c r="G466" i="7"/>
  <c r="I466" i="7"/>
  <c r="K466" i="7"/>
  <c r="L466" i="7"/>
  <c r="N466" i="7"/>
  <c r="P466" i="7"/>
  <c r="U466" i="7"/>
  <c r="F331" i="7"/>
  <c r="J331" i="7"/>
  <c r="K331" i="7"/>
  <c r="M331" i="7"/>
  <c r="P331" i="7"/>
  <c r="C466" i="7"/>
  <c r="D466" i="7"/>
  <c r="F466" i="7"/>
  <c r="H466" i="7"/>
  <c r="J466" i="7"/>
  <c r="M466" i="7"/>
  <c r="O466" i="7"/>
  <c r="Q466" i="7"/>
  <c r="R466" i="7"/>
  <c r="S466" i="7"/>
  <c r="D331" i="7"/>
  <c r="C331" i="7"/>
  <c r="E331" i="7"/>
  <c r="G331" i="7"/>
  <c r="H331" i="7"/>
  <c r="I331" i="7"/>
  <c r="L331" i="7"/>
  <c r="N331" i="7"/>
  <c r="O331" i="7"/>
  <c r="Q331" i="7"/>
  <c r="R331" i="7"/>
  <c r="S331" i="7"/>
  <c r="T331" i="7"/>
  <c r="V466" i="7"/>
  <c r="W331" i="7"/>
  <c r="X331" i="7"/>
  <c r="W466" i="7"/>
  <c r="Y331" i="7"/>
  <c r="X466" i="7"/>
  <c r="Y466" i="7"/>
  <c r="Z331" i="7"/>
  <c r="AA331" i="7"/>
  <c r="Z466" i="7"/>
  <c r="AB331" i="7"/>
  <c r="AA466" i="7"/>
  <c r="AC331" i="7"/>
  <c r="AB466" i="7"/>
  <c r="AD331" i="7"/>
  <c r="AC466" i="7"/>
  <c r="AE331" i="7"/>
  <c r="AD466" i="7"/>
  <c r="AE466" i="7"/>
  <c r="AF331" i="7"/>
  <c r="AG331" i="7"/>
  <c r="AF466" i="7"/>
  <c r="AH331" i="7"/>
  <c r="AG466" i="7"/>
  <c r="AI331" i="7"/>
  <c r="AH466" i="7"/>
  <c r="AI466" i="7"/>
  <c r="AJ331" i="7"/>
  <c r="AK331" i="7"/>
  <c r="AJ466" i="7"/>
  <c r="AL331" i="7"/>
  <c r="AK466" i="7"/>
  <c r="AM331" i="7"/>
  <c r="AL466" i="7"/>
  <c r="AM466" i="7"/>
  <c r="AN331" i="7"/>
  <c r="U333" i="7"/>
  <c r="T468" i="7"/>
  <c r="D468" i="7"/>
  <c r="H468" i="7"/>
  <c r="L468" i="7"/>
  <c r="N468" i="7"/>
  <c r="P468" i="7"/>
  <c r="C333" i="7"/>
  <c r="G333" i="7"/>
  <c r="H333" i="7"/>
  <c r="L333" i="7"/>
  <c r="N333" i="7"/>
  <c r="T333" i="7"/>
  <c r="C468" i="7"/>
  <c r="E468" i="7"/>
  <c r="F468" i="7"/>
  <c r="G468" i="7"/>
  <c r="I468" i="7"/>
  <c r="J468" i="7"/>
  <c r="K468" i="7"/>
  <c r="M468" i="7"/>
  <c r="O468" i="7"/>
  <c r="Q468" i="7"/>
  <c r="R468" i="7"/>
  <c r="S468" i="7"/>
  <c r="U468" i="7"/>
  <c r="D333" i="7"/>
  <c r="E333" i="7"/>
  <c r="F333" i="7"/>
  <c r="I333" i="7"/>
  <c r="J333" i="7"/>
  <c r="K333" i="7"/>
  <c r="M333" i="7"/>
  <c r="O333" i="7"/>
  <c r="P333" i="7"/>
  <c r="Q333" i="7"/>
  <c r="R333" i="7"/>
  <c r="S333" i="7"/>
  <c r="V333" i="7"/>
  <c r="V468" i="7"/>
  <c r="W333" i="7"/>
  <c r="X333" i="7"/>
  <c r="W468" i="7"/>
  <c r="Y333" i="7"/>
  <c r="X468" i="7"/>
  <c r="Z333" i="7"/>
  <c r="Y468" i="7"/>
  <c r="Z468" i="7"/>
  <c r="AA333" i="7"/>
  <c r="AA468" i="7"/>
  <c r="AB333" i="7"/>
  <c r="AC333" i="7"/>
  <c r="AB468" i="7"/>
  <c r="AD333" i="7"/>
  <c r="AC468" i="7"/>
  <c r="AD468" i="7"/>
  <c r="AE333" i="7"/>
  <c r="AE468" i="7"/>
  <c r="AF333" i="7"/>
  <c r="AG333" i="7"/>
  <c r="AF468" i="7"/>
  <c r="AG468" i="7"/>
  <c r="AH333" i="7"/>
  <c r="AI333" i="7"/>
  <c r="AH468" i="7"/>
  <c r="AJ333" i="7"/>
  <c r="AI468" i="7"/>
  <c r="AJ468" i="7"/>
  <c r="AK333" i="7"/>
  <c r="AK468" i="7"/>
  <c r="AL333" i="7"/>
  <c r="AL468" i="7"/>
  <c r="AM333" i="7"/>
  <c r="AN333" i="7"/>
  <c r="AM468" i="7"/>
  <c r="AO551" i="7"/>
  <c r="AP601" i="7"/>
  <c r="AP608" i="7" s="1"/>
  <c r="AP580" i="7" s="1"/>
  <c r="AP672" i="7"/>
  <c r="AP644" i="7" s="1"/>
  <c r="AN408" i="7"/>
  <c r="AN414" i="7"/>
  <c r="AN435" i="7"/>
  <c r="AN467" i="7"/>
  <c r="AN440" i="7"/>
  <c r="AN464" i="7"/>
  <c r="AO331" i="7"/>
  <c r="AO327" i="7"/>
  <c r="AO307" i="7"/>
  <c r="AO303" i="7"/>
  <c r="AO299" i="7"/>
  <c r="AO279" i="7"/>
  <c r="AO275" i="7"/>
  <c r="AO415" i="7"/>
  <c r="AP398" i="7"/>
  <c r="AP410" i="7" s="1"/>
  <c r="AP275" i="7"/>
  <c r="AP257" i="7"/>
  <c r="B238" i="7"/>
  <c r="B240" i="7"/>
  <c r="B242" i="7"/>
  <c r="AP281" i="7"/>
  <c r="AP395" i="7"/>
  <c r="AP276" i="7"/>
  <c r="AP403" i="7"/>
  <c r="AP415" i="7" s="1"/>
  <c r="AP447" i="7"/>
  <c r="B373" i="7"/>
  <c r="B375" i="7"/>
  <c r="B377" i="7"/>
  <c r="AP428" i="7"/>
  <c r="AP440" i="7" s="1"/>
  <c r="AP333" i="7"/>
  <c r="AP560" i="7"/>
  <c r="AP554" i="7"/>
  <c r="AP596" i="7"/>
  <c r="AP581" i="7" s="1"/>
  <c r="AP63" i="7" s="1"/>
  <c r="B586" i="7"/>
  <c r="AP272" i="7" s="1"/>
  <c r="U274" i="7"/>
  <c r="T409" i="7"/>
  <c r="V274" i="7"/>
  <c r="G409" i="7"/>
  <c r="I409" i="7"/>
  <c r="J409" i="7"/>
  <c r="L409" i="7"/>
  <c r="M409" i="7"/>
  <c r="N409" i="7"/>
  <c r="O409" i="7"/>
  <c r="P409" i="7"/>
  <c r="C274" i="7"/>
  <c r="H274" i="7"/>
  <c r="L274" i="7"/>
  <c r="N274" i="7"/>
  <c r="R274" i="7"/>
  <c r="T274" i="7"/>
  <c r="C409" i="7"/>
  <c r="E409" i="7"/>
  <c r="D409" i="7"/>
  <c r="F409" i="7"/>
  <c r="H409" i="7"/>
  <c r="K409" i="7"/>
  <c r="Q409" i="7"/>
  <c r="R409" i="7"/>
  <c r="S409" i="7"/>
  <c r="U409" i="7"/>
  <c r="D274" i="7"/>
  <c r="E274" i="7"/>
  <c r="F274" i="7"/>
  <c r="G274" i="7"/>
  <c r="I274" i="7"/>
  <c r="J274" i="7"/>
  <c r="K274" i="7"/>
  <c r="M274" i="7"/>
  <c r="O274" i="7"/>
  <c r="P274" i="7"/>
  <c r="Q274" i="7"/>
  <c r="S274" i="7"/>
  <c r="V409" i="7"/>
  <c r="W274" i="7"/>
  <c r="W409" i="7"/>
  <c r="X274" i="7"/>
  <c r="Y274" i="7"/>
  <c r="X409" i="7"/>
  <c r="AA600" i="7"/>
  <c r="AA608" i="7" s="1"/>
  <c r="AA580" i="7" s="1"/>
  <c r="AA58" i="7" s="1"/>
  <c r="Y409" i="7"/>
  <c r="Z274" i="7"/>
  <c r="AB600" i="7"/>
  <c r="AB608" i="7" s="1"/>
  <c r="AB580" i="7" s="1"/>
  <c r="AB58" i="7" s="1"/>
  <c r="AA274" i="7"/>
  <c r="Z409" i="7"/>
  <c r="AC600" i="7"/>
  <c r="AC608" i="7" s="1"/>
  <c r="AC580" i="7" s="1"/>
  <c r="AC58" i="7" s="1"/>
  <c r="AB274" i="7"/>
  <c r="AA409" i="7"/>
  <c r="AC274" i="7"/>
  <c r="AB409" i="7"/>
  <c r="AD600" i="7"/>
  <c r="AD608" i="7" s="1"/>
  <c r="AD580" i="7" s="1"/>
  <c r="AD58" i="7" s="1"/>
  <c r="AE600" i="7"/>
  <c r="AE608" i="7" s="1"/>
  <c r="AE580" i="7" s="1"/>
  <c r="AE58" i="7" s="1"/>
  <c r="AC409" i="7"/>
  <c r="AD274" i="7"/>
  <c r="AF600" i="7"/>
  <c r="AF608" i="7" s="1"/>
  <c r="AF580" i="7" s="1"/>
  <c r="AF58" i="7" s="1"/>
  <c r="AD409" i="7"/>
  <c r="AE274" i="7"/>
  <c r="AG600" i="7"/>
  <c r="AG608" i="7" s="1"/>
  <c r="AG580" i="7" s="1"/>
  <c r="AG58" i="7" s="1"/>
  <c r="AF274" i="7"/>
  <c r="AE409" i="7"/>
  <c r="AH600" i="7"/>
  <c r="AH608" i="7" s="1"/>
  <c r="AH580" i="7" s="1"/>
  <c r="AH58" i="7" s="1"/>
  <c r="AG274" i="7"/>
  <c r="AF409" i="7"/>
  <c r="AI600" i="7"/>
  <c r="AI608" i="7" s="1"/>
  <c r="AI580" i="7" s="1"/>
  <c r="AI58" i="7" s="1"/>
  <c r="AH274" i="7"/>
  <c r="AG409" i="7"/>
  <c r="AH409" i="7"/>
  <c r="AJ600" i="7"/>
  <c r="AJ608" i="7" s="1"/>
  <c r="AJ580" i="7" s="1"/>
  <c r="AJ58" i="7" s="1"/>
  <c r="AI274" i="7"/>
  <c r="AK600" i="7"/>
  <c r="AK608" i="7" s="1"/>
  <c r="AK580" i="7" s="1"/>
  <c r="AK58" i="7" s="1"/>
  <c r="AI409" i="7"/>
  <c r="AJ274" i="7"/>
  <c r="AL600" i="7"/>
  <c r="AL608" i="7" s="1"/>
  <c r="AL580" i="7" s="1"/>
  <c r="AL58" i="7" s="1"/>
  <c r="AK274" i="7"/>
  <c r="AJ409" i="7"/>
  <c r="AL274" i="7"/>
  <c r="AK409" i="7"/>
  <c r="AL409" i="7"/>
  <c r="AM274" i="7"/>
  <c r="AN274" i="7"/>
  <c r="AM409" i="7"/>
  <c r="T411" i="7"/>
  <c r="U276" i="7"/>
  <c r="C411" i="7"/>
  <c r="E411" i="7"/>
  <c r="H411" i="7"/>
  <c r="I411" i="7"/>
  <c r="N411" i="7"/>
  <c r="O411" i="7"/>
  <c r="S411" i="7"/>
  <c r="U411" i="7"/>
  <c r="D276" i="7"/>
  <c r="F276" i="7"/>
  <c r="G276" i="7"/>
  <c r="H276" i="7"/>
  <c r="J276" i="7"/>
  <c r="M276" i="7"/>
  <c r="N276" i="7"/>
  <c r="O276" i="7"/>
  <c r="P276" i="7"/>
  <c r="D411" i="7"/>
  <c r="F411" i="7"/>
  <c r="G411" i="7"/>
  <c r="J411" i="7"/>
  <c r="K411" i="7"/>
  <c r="L411" i="7"/>
  <c r="M411" i="7"/>
  <c r="P411" i="7"/>
  <c r="Q411" i="7"/>
  <c r="R411" i="7"/>
  <c r="C276" i="7"/>
  <c r="E276" i="7"/>
  <c r="I276" i="7"/>
  <c r="K276" i="7"/>
  <c r="L276" i="7"/>
  <c r="Q276" i="7"/>
  <c r="R276" i="7"/>
  <c r="T276" i="7"/>
  <c r="S276" i="7"/>
  <c r="V276" i="7"/>
  <c r="V411" i="7"/>
  <c r="W276" i="7"/>
  <c r="X276" i="7"/>
  <c r="W411" i="7"/>
  <c r="X411" i="7"/>
  <c r="Y276" i="7"/>
  <c r="Z276" i="7"/>
  <c r="Y411" i="7"/>
  <c r="Z411" i="7"/>
  <c r="AA276" i="7"/>
  <c r="AA411" i="7"/>
  <c r="AB276" i="7"/>
  <c r="AC276" i="7"/>
  <c r="AB411" i="7"/>
  <c r="AD276" i="7"/>
  <c r="AC411" i="7"/>
  <c r="AD411" i="7"/>
  <c r="AE276" i="7"/>
  <c r="AE411" i="7"/>
  <c r="AF276" i="7"/>
  <c r="AG276" i="7"/>
  <c r="AF411" i="7"/>
  <c r="AG411" i="7"/>
  <c r="AH276" i="7"/>
  <c r="AH411" i="7"/>
  <c r="AI276" i="7"/>
  <c r="AJ276" i="7"/>
  <c r="AI411" i="7"/>
  <c r="AJ411" i="7"/>
  <c r="AK276" i="7"/>
  <c r="AL276" i="7"/>
  <c r="AK411" i="7"/>
  <c r="AM276" i="7"/>
  <c r="AL411" i="7"/>
  <c r="AM411" i="7"/>
  <c r="AN276" i="7"/>
  <c r="T413" i="7"/>
  <c r="U278" i="7"/>
  <c r="V278" i="7"/>
  <c r="C413" i="7"/>
  <c r="D413" i="7"/>
  <c r="G413" i="7"/>
  <c r="H413" i="7"/>
  <c r="J413" i="7"/>
  <c r="M413" i="7"/>
  <c r="Q413" i="7"/>
  <c r="R413" i="7"/>
  <c r="C278" i="7"/>
  <c r="E278" i="7"/>
  <c r="F278" i="7"/>
  <c r="G278" i="7"/>
  <c r="I278" i="7"/>
  <c r="J278" i="7"/>
  <c r="K278" i="7"/>
  <c r="O278" i="7"/>
  <c r="P278" i="7"/>
  <c r="Q278" i="7"/>
  <c r="S278" i="7"/>
  <c r="E413" i="7"/>
  <c r="F413" i="7"/>
  <c r="I413" i="7"/>
  <c r="K413" i="7"/>
  <c r="L413" i="7"/>
  <c r="N413" i="7"/>
  <c r="O413" i="7"/>
  <c r="P413" i="7"/>
  <c r="S413" i="7"/>
  <c r="U413" i="7"/>
  <c r="D278" i="7"/>
  <c r="H278" i="7"/>
  <c r="L278" i="7"/>
  <c r="M278" i="7"/>
  <c r="N278" i="7"/>
  <c r="R278" i="7"/>
  <c r="T278" i="7"/>
  <c r="V413" i="7"/>
  <c r="W278" i="7"/>
  <c r="W413" i="7"/>
  <c r="X278" i="7"/>
  <c r="Y278" i="7"/>
  <c r="X413" i="7"/>
  <c r="Z278" i="7"/>
  <c r="Y413" i="7"/>
  <c r="AA278" i="7"/>
  <c r="Z413" i="7"/>
  <c r="AA413" i="7"/>
  <c r="AB278" i="7"/>
  <c r="AC278" i="7"/>
  <c r="AB413" i="7"/>
  <c r="AD278" i="7"/>
  <c r="AC413" i="7"/>
  <c r="AE278" i="7"/>
  <c r="AD413" i="7"/>
  <c r="AE413" i="7"/>
  <c r="AF278" i="7"/>
  <c r="AG278" i="7"/>
  <c r="AF413" i="7"/>
  <c r="AG413" i="7"/>
  <c r="AH278" i="7"/>
  <c r="AI278" i="7"/>
  <c r="AH413" i="7"/>
  <c r="AI413" i="7"/>
  <c r="AJ278" i="7"/>
  <c r="AK278" i="7"/>
  <c r="AJ413" i="7"/>
  <c r="AL278" i="7"/>
  <c r="AK413" i="7"/>
  <c r="AM278" i="7"/>
  <c r="AL413" i="7"/>
  <c r="AM413" i="7"/>
  <c r="AN278" i="7"/>
  <c r="U280" i="7"/>
  <c r="T415" i="7"/>
  <c r="F415" i="7"/>
  <c r="I415" i="7"/>
  <c r="J415" i="7"/>
  <c r="K415" i="7"/>
  <c r="M415" i="7"/>
  <c r="N415" i="7"/>
  <c r="R415" i="7"/>
  <c r="S415" i="7"/>
  <c r="U415" i="7"/>
  <c r="C280" i="7"/>
  <c r="D280" i="7"/>
  <c r="E280" i="7"/>
  <c r="G280" i="7"/>
  <c r="I280" i="7"/>
  <c r="L280" i="7"/>
  <c r="N280" i="7"/>
  <c r="Q280" i="7"/>
  <c r="R280" i="7"/>
  <c r="V280" i="7"/>
  <c r="C415" i="7"/>
  <c r="E415" i="7"/>
  <c r="D415" i="7"/>
  <c r="G415" i="7"/>
  <c r="H415" i="7"/>
  <c r="L415" i="7"/>
  <c r="O415" i="7"/>
  <c r="P415" i="7"/>
  <c r="Q415" i="7"/>
  <c r="F280" i="7"/>
  <c r="H280" i="7"/>
  <c r="J280" i="7"/>
  <c r="K280" i="7"/>
  <c r="M280" i="7"/>
  <c r="O280" i="7"/>
  <c r="P280" i="7"/>
  <c r="S280" i="7"/>
  <c r="T280" i="7"/>
  <c r="V415" i="7"/>
  <c r="W280" i="7"/>
  <c r="X280" i="7"/>
  <c r="W415" i="7"/>
  <c r="Y280" i="7"/>
  <c r="X415" i="7"/>
  <c r="Z280" i="7"/>
  <c r="Y415" i="7"/>
  <c r="AA280" i="7"/>
  <c r="Z415" i="7"/>
  <c r="AA415" i="7"/>
  <c r="AB280" i="7"/>
  <c r="AB415" i="7"/>
  <c r="AC280" i="7"/>
  <c r="AD280" i="7"/>
  <c r="AC415" i="7"/>
  <c r="AD415" i="7"/>
  <c r="AE280" i="7"/>
  <c r="AE415" i="7"/>
  <c r="AF280" i="7"/>
  <c r="AG280" i="7"/>
  <c r="AF415" i="7"/>
  <c r="AG415" i="7"/>
  <c r="AH280" i="7"/>
  <c r="AI280" i="7"/>
  <c r="AH415" i="7"/>
  <c r="AJ280" i="7"/>
  <c r="AI415" i="7"/>
  <c r="AK280" i="7"/>
  <c r="AJ415" i="7"/>
  <c r="AK415" i="7"/>
  <c r="AL280" i="7"/>
  <c r="AM280" i="7"/>
  <c r="AL415" i="7"/>
  <c r="AN280" i="7"/>
  <c r="AM415" i="7"/>
  <c r="AP628" i="7"/>
  <c r="AP613" i="7" s="1"/>
  <c r="AP64" i="7" s="1"/>
  <c r="B618" i="7"/>
  <c r="AP298" i="7" s="1"/>
  <c r="T435" i="7"/>
  <c r="U300" i="7"/>
  <c r="C435" i="7"/>
  <c r="D435" i="7"/>
  <c r="F435" i="7"/>
  <c r="G435" i="7"/>
  <c r="J435" i="7"/>
  <c r="K435" i="7"/>
  <c r="L435" i="7"/>
  <c r="P435" i="7"/>
  <c r="Q435" i="7"/>
  <c r="R435" i="7"/>
  <c r="S435" i="7"/>
  <c r="C300" i="7"/>
  <c r="E300" i="7"/>
  <c r="F300" i="7"/>
  <c r="G300" i="7"/>
  <c r="H300" i="7"/>
  <c r="I300" i="7"/>
  <c r="J300" i="7"/>
  <c r="P300" i="7"/>
  <c r="E435" i="7"/>
  <c r="H435" i="7"/>
  <c r="I435" i="7"/>
  <c r="M435" i="7"/>
  <c r="N435" i="7"/>
  <c r="O435" i="7"/>
  <c r="U435" i="7"/>
  <c r="D300" i="7"/>
  <c r="K300" i="7"/>
  <c r="L300" i="7"/>
  <c r="M300" i="7"/>
  <c r="N300" i="7"/>
  <c r="O300" i="7"/>
  <c r="R300" i="7"/>
  <c r="T300" i="7"/>
  <c r="Q300" i="7"/>
  <c r="S300" i="7"/>
  <c r="V300" i="7"/>
  <c r="W300" i="7"/>
  <c r="V435" i="7"/>
  <c r="X300" i="7"/>
  <c r="W435" i="7"/>
  <c r="X435" i="7"/>
  <c r="Y300" i="7"/>
  <c r="Z300" i="7"/>
  <c r="Y435" i="7"/>
  <c r="AA300" i="7"/>
  <c r="Z435" i="7"/>
  <c r="AA435" i="7"/>
  <c r="AB300" i="7"/>
  <c r="AC300" i="7"/>
  <c r="AB435" i="7"/>
  <c r="AD300" i="7"/>
  <c r="AC435" i="7"/>
  <c r="AE300" i="7"/>
  <c r="AD435" i="7"/>
  <c r="AG632" i="7"/>
  <c r="AG640" i="7" s="1"/>
  <c r="AG612" i="7" s="1"/>
  <c r="AG59" i="7" s="1"/>
  <c r="AE435" i="7"/>
  <c r="AF300" i="7"/>
  <c r="AH632" i="7"/>
  <c r="AH640" i="7" s="1"/>
  <c r="AH612" i="7" s="1"/>
  <c r="AH59" i="7" s="1"/>
  <c r="AG300" i="7"/>
  <c r="AF435" i="7"/>
  <c r="AI632" i="7"/>
  <c r="AI640" i="7" s="1"/>
  <c r="AI612" i="7" s="1"/>
  <c r="AI59" i="7" s="1"/>
  <c r="AG435" i="7"/>
  <c r="AH300" i="7"/>
  <c r="AH435" i="7"/>
  <c r="AJ632" i="7"/>
  <c r="AJ640" i="7" s="1"/>
  <c r="AJ612" i="7" s="1"/>
  <c r="AJ59" i="7" s="1"/>
  <c r="AI300" i="7"/>
  <c r="AJ300" i="7"/>
  <c r="AK632" i="7"/>
  <c r="AK640" i="7" s="1"/>
  <c r="AK612" i="7" s="1"/>
  <c r="AK59" i="7" s="1"/>
  <c r="AI435" i="7"/>
  <c r="AL632" i="7"/>
  <c r="AL640" i="7" s="1"/>
  <c r="AL612" i="7" s="1"/>
  <c r="AL59" i="7" s="1"/>
  <c r="AK300" i="7"/>
  <c r="AJ435" i="7"/>
  <c r="AL300" i="7"/>
  <c r="AM632" i="7"/>
  <c r="AM640" i="7" s="1"/>
  <c r="AM612" i="7" s="1"/>
  <c r="AM59" i="7" s="1"/>
  <c r="AK435" i="7"/>
  <c r="AN632" i="7"/>
  <c r="AN640" i="7" s="1"/>
  <c r="AN612" i="7" s="1"/>
  <c r="AN59" i="7" s="1"/>
  <c r="AM300" i="7"/>
  <c r="AL435" i="7"/>
  <c r="AN300" i="7"/>
  <c r="AO632" i="7"/>
  <c r="AO640" i="7" s="1"/>
  <c r="AO612" i="7" s="1"/>
  <c r="AO59" i="7" s="1"/>
  <c r="AM435" i="7"/>
  <c r="U302" i="7"/>
  <c r="T437" i="7"/>
  <c r="V302" i="7"/>
  <c r="C437" i="7"/>
  <c r="E437" i="7"/>
  <c r="F437" i="7"/>
  <c r="G437" i="7"/>
  <c r="I437" i="7"/>
  <c r="K437" i="7"/>
  <c r="L437" i="7"/>
  <c r="N437" i="7"/>
  <c r="P437" i="7"/>
  <c r="S437" i="7"/>
  <c r="C302" i="7"/>
  <c r="D302" i="7"/>
  <c r="F302" i="7"/>
  <c r="G302" i="7"/>
  <c r="M302" i="7"/>
  <c r="O302" i="7"/>
  <c r="S302" i="7"/>
  <c r="D437" i="7"/>
  <c r="H437" i="7"/>
  <c r="J437" i="7"/>
  <c r="M437" i="7"/>
  <c r="O437" i="7"/>
  <c r="Q437" i="7"/>
  <c r="R437" i="7"/>
  <c r="U437" i="7"/>
  <c r="E302" i="7"/>
  <c r="H302" i="7"/>
  <c r="I302" i="7"/>
  <c r="J302" i="7"/>
  <c r="K302" i="7"/>
  <c r="L302" i="7"/>
  <c r="N302" i="7"/>
  <c r="P302" i="7"/>
  <c r="Q302" i="7"/>
  <c r="R302" i="7"/>
  <c r="T302" i="7"/>
  <c r="V437" i="7"/>
  <c r="W302" i="7"/>
  <c r="W437" i="7"/>
  <c r="X302" i="7"/>
  <c r="Y302" i="7"/>
  <c r="X437" i="7"/>
  <c r="Y437" i="7"/>
  <c r="Z302" i="7"/>
  <c r="Z437" i="7"/>
  <c r="AA302" i="7"/>
  <c r="AA437" i="7"/>
  <c r="AB302" i="7"/>
  <c r="AC302" i="7"/>
  <c r="AB437" i="7"/>
  <c r="AC437" i="7"/>
  <c r="AD302" i="7"/>
  <c r="AE302" i="7"/>
  <c r="AD437" i="7"/>
  <c r="AF302" i="7"/>
  <c r="AE437" i="7"/>
  <c r="AG302" i="7"/>
  <c r="AF437" i="7"/>
  <c r="AH302" i="7"/>
  <c r="AG437" i="7"/>
  <c r="AI302" i="7"/>
  <c r="AH437" i="7"/>
  <c r="AJ302" i="7"/>
  <c r="AI437" i="7"/>
  <c r="AK302" i="7"/>
  <c r="AJ437" i="7"/>
  <c r="AL302" i="7"/>
  <c r="AK437" i="7"/>
  <c r="AM302" i="7"/>
  <c r="AL437" i="7"/>
  <c r="AN302" i="7"/>
  <c r="AM437" i="7"/>
  <c r="U304" i="7"/>
  <c r="T439" i="7"/>
  <c r="D439" i="7"/>
  <c r="H439" i="7"/>
  <c r="K439" i="7"/>
  <c r="L439" i="7"/>
  <c r="M439" i="7"/>
  <c r="O439" i="7"/>
  <c r="P439" i="7"/>
  <c r="Q439" i="7"/>
  <c r="R439" i="7"/>
  <c r="S439" i="7"/>
  <c r="U439" i="7"/>
  <c r="H304" i="7"/>
  <c r="K304" i="7"/>
  <c r="L304" i="7"/>
  <c r="M304" i="7"/>
  <c r="N304" i="7"/>
  <c r="T304" i="7"/>
  <c r="V304" i="7"/>
  <c r="C439" i="7"/>
  <c r="E439" i="7"/>
  <c r="F439" i="7"/>
  <c r="G439" i="7"/>
  <c r="I439" i="7"/>
  <c r="J439" i="7"/>
  <c r="N439" i="7"/>
  <c r="C304" i="7"/>
  <c r="D304" i="7"/>
  <c r="E304" i="7"/>
  <c r="F304" i="7"/>
  <c r="G304" i="7"/>
  <c r="I304" i="7"/>
  <c r="J304" i="7"/>
  <c r="O304" i="7"/>
  <c r="P304" i="7"/>
  <c r="Q304" i="7"/>
  <c r="S304" i="7"/>
  <c r="R304" i="7"/>
  <c r="V439" i="7"/>
  <c r="W304" i="7"/>
  <c r="X304" i="7"/>
  <c r="W439" i="7"/>
  <c r="X439" i="7"/>
  <c r="Y304" i="7"/>
  <c r="Z304" i="7"/>
  <c r="Y439" i="7"/>
  <c r="AA304" i="7"/>
  <c r="Z439" i="7"/>
  <c r="AA439" i="7"/>
  <c r="AB304" i="7"/>
  <c r="AB439" i="7"/>
  <c r="AC304" i="7"/>
  <c r="AD304" i="7"/>
  <c r="AC439" i="7"/>
  <c r="AE304" i="7"/>
  <c r="AD439" i="7"/>
  <c r="AE439" i="7"/>
  <c r="AF304" i="7"/>
  <c r="AG304" i="7"/>
  <c r="AF439" i="7"/>
  <c r="AH304" i="7"/>
  <c r="AG439" i="7"/>
  <c r="AI304" i="7"/>
  <c r="AH439" i="7"/>
  <c r="AJ304" i="7"/>
  <c r="AI439" i="7"/>
  <c r="AJ439" i="7"/>
  <c r="AK304" i="7"/>
  <c r="AL304" i="7"/>
  <c r="AK439" i="7"/>
  <c r="AL439" i="7"/>
  <c r="AM304" i="7"/>
  <c r="AN304" i="7"/>
  <c r="AM439" i="7"/>
  <c r="U306" i="7"/>
  <c r="T441" i="7"/>
  <c r="V306" i="7"/>
  <c r="G441" i="7"/>
  <c r="I441" i="7"/>
  <c r="J441" i="7"/>
  <c r="K441" i="7"/>
  <c r="L441" i="7"/>
  <c r="N441" i="7"/>
  <c r="O441" i="7"/>
  <c r="P441" i="7"/>
  <c r="Q441" i="7"/>
  <c r="U441" i="7"/>
  <c r="D306" i="7"/>
  <c r="E306" i="7"/>
  <c r="H306" i="7"/>
  <c r="I306" i="7"/>
  <c r="J306" i="7"/>
  <c r="K306" i="7"/>
  <c r="L306" i="7"/>
  <c r="N306" i="7"/>
  <c r="Q306" i="7"/>
  <c r="C441" i="7"/>
  <c r="D441" i="7"/>
  <c r="E441" i="7"/>
  <c r="F441" i="7"/>
  <c r="H441" i="7"/>
  <c r="M441" i="7"/>
  <c r="R441" i="7"/>
  <c r="S441" i="7"/>
  <c r="C306" i="7"/>
  <c r="F306" i="7"/>
  <c r="G306" i="7"/>
  <c r="M306" i="7"/>
  <c r="O306" i="7"/>
  <c r="P306" i="7"/>
  <c r="R306" i="7"/>
  <c r="S306" i="7"/>
  <c r="T306" i="7"/>
  <c r="V441" i="7"/>
  <c r="W306" i="7"/>
  <c r="X306" i="7"/>
  <c r="W441" i="7"/>
  <c r="Y306" i="7"/>
  <c r="X441" i="7"/>
  <c r="Y441" i="7"/>
  <c r="Z306" i="7"/>
  <c r="AA306" i="7"/>
  <c r="Z441" i="7"/>
  <c r="AB306" i="7"/>
  <c r="AA441" i="7"/>
  <c r="AC306" i="7"/>
  <c r="AB441" i="7"/>
  <c r="AC441" i="7"/>
  <c r="AD306" i="7"/>
  <c r="AD441" i="7"/>
  <c r="AE306" i="7"/>
  <c r="AF306" i="7"/>
  <c r="AE441" i="7"/>
  <c r="AG306" i="7"/>
  <c r="AF441" i="7"/>
  <c r="AG441" i="7"/>
  <c r="AH306" i="7"/>
  <c r="AH441" i="7"/>
  <c r="AI306" i="7"/>
  <c r="AI441" i="7"/>
  <c r="AJ306" i="7"/>
  <c r="AK306" i="7"/>
  <c r="AJ441" i="7"/>
  <c r="AL306" i="7"/>
  <c r="AK441" i="7"/>
  <c r="AL441" i="7"/>
  <c r="AM306" i="7"/>
  <c r="AN306" i="7"/>
  <c r="AM441" i="7"/>
  <c r="AP660" i="7"/>
  <c r="AP645" i="7" s="1"/>
  <c r="AP65" i="7" s="1"/>
  <c r="B650" i="7"/>
  <c r="AO459" i="7" s="1"/>
  <c r="U326" i="7"/>
  <c r="T461" i="7"/>
  <c r="V326" i="7"/>
  <c r="D461" i="7"/>
  <c r="H461" i="7"/>
  <c r="J461" i="7"/>
  <c r="Q461" i="7"/>
  <c r="R461" i="7"/>
  <c r="S461" i="7"/>
  <c r="C326" i="7"/>
  <c r="F326" i="7"/>
  <c r="J326" i="7"/>
  <c r="P326" i="7"/>
  <c r="R326" i="7"/>
  <c r="T326" i="7"/>
  <c r="C461" i="7"/>
  <c r="E461" i="7"/>
  <c r="F461" i="7"/>
  <c r="G461" i="7"/>
  <c r="I461" i="7"/>
  <c r="K461" i="7"/>
  <c r="L461" i="7"/>
  <c r="M461" i="7"/>
  <c r="N461" i="7"/>
  <c r="O461" i="7"/>
  <c r="P461" i="7"/>
  <c r="U461" i="7"/>
  <c r="D326" i="7"/>
  <c r="E326" i="7"/>
  <c r="G326" i="7"/>
  <c r="H326" i="7"/>
  <c r="I326" i="7"/>
  <c r="K326" i="7"/>
  <c r="L326" i="7"/>
  <c r="M326" i="7"/>
  <c r="N326" i="7"/>
  <c r="O326" i="7"/>
  <c r="Q326" i="7"/>
  <c r="S326" i="7"/>
  <c r="V461" i="7"/>
  <c r="W326" i="7"/>
  <c r="W461" i="7"/>
  <c r="X326" i="7"/>
  <c r="Y326" i="7"/>
  <c r="X461" i="7"/>
  <c r="Y461" i="7"/>
  <c r="Z326" i="7"/>
  <c r="Z461" i="7"/>
  <c r="AA326" i="7"/>
  <c r="AA461" i="7"/>
  <c r="AB326" i="7"/>
  <c r="AC326" i="7"/>
  <c r="AB461" i="7"/>
  <c r="AC461" i="7"/>
  <c r="AD326" i="7"/>
  <c r="AD461" i="7"/>
  <c r="AE326" i="7"/>
  <c r="AE461" i="7"/>
  <c r="AF326" i="7"/>
  <c r="AG326" i="7"/>
  <c r="AF461" i="7"/>
  <c r="AH326" i="7"/>
  <c r="AG461" i="7"/>
  <c r="AI326" i="7"/>
  <c r="AH461" i="7"/>
  <c r="AJ326" i="7"/>
  <c r="AI461" i="7"/>
  <c r="AJ461" i="7"/>
  <c r="AK326" i="7"/>
  <c r="AL326" i="7"/>
  <c r="AK461" i="7"/>
  <c r="AM326" i="7"/>
  <c r="AL461" i="7"/>
  <c r="AM461" i="7"/>
  <c r="AN326" i="7"/>
  <c r="U328" i="7"/>
  <c r="T463" i="7"/>
  <c r="C463" i="7"/>
  <c r="E463" i="7"/>
  <c r="F463" i="7"/>
  <c r="G463" i="7"/>
  <c r="I463" i="7"/>
  <c r="J463" i="7"/>
  <c r="N463" i="7"/>
  <c r="O463" i="7"/>
  <c r="U463" i="7"/>
  <c r="H328" i="7"/>
  <c r="L328" i="7"/>
  <c r="M328" i="7"/>
  <c r="D463" i="7"/>
  <c r="H463" i="7"/>
  <c r="K463" i="7"/>
  <c r="L463" i="7"/>
  <c r="M463" i="7"/>
  <c r="P463" i="7"/>
  <c r="Q463" i="7"/>
  <c r="R463" i="7"/>
  <c r="S463" i="7"/>
  <c r="C328" i="7"/>
  <c r="D328" i="7"/>
  <c r="E328" i="7"/>
  <c r="F328" i="7"/>
  <c r="G328" i="7"/>
  <c r="I328" i="7"/>
  <c r="J328" i="7"/>
  <c r="K328" i="7"/>
  <c r="N328" i="7"/>
  <c r="O328" i="7"/>
  <c r="P328" i="7"/>
  <c r="Q328" i="7"/>
  <c r="R328" i="7"/>
  <c r="S328" i="7"/>
  <c r="T328" i="7"/>
  <c r="V328" i="7"/>
  <c r="V463" i="7"/>
  <c r="W328" i="7"/>
  <c r="X328" i="7"/>
  <c r="W463" i="7"/>
  <c r="X463" i="7"/>
  <c r="Y328" i="7"/>
  <c r="Z328" i="7"/>
  <c r="Y463" i="7"/>
  <c r="AA328" i="7"/>
  <c r="Z463" i="7"/>
  <c r="AA463" i="7"/>
  <c r="AB328" i="7"/>
  <c r="AB463" i="7"/>
  <c r="AC328" i="7"/>
  <c r="AD328" i="7"/>
  <c r="AC463" i="7"/>
  <c r="AE328" i="7"/>
  <c r="AD463" i="7"/>
  <c r="AE463" i="7"/>
  <c r="AF328" i="7"/>
  <c r="AF463" i="7"/>
  <c r="AG328" i="7"/>
  <c r="AH328" i="7"/>
  <c r="AG463" i="7"/>
  <c r="AI328" i="7"/>
  <c r="AH463" i="7"/>
  <c r="AJ328" i="7"/>
  <c r="AI463" i="7"/>
  <c r="AJ463" i="7"/>
  <c r="AK328" i="7"/>
  <c r="AL328" i="7"/>
  <c r="AK463" i="7"/>
  <c r="AL463" i="7"/>
  <c r="AM328" i="7"/>
  <c r="AN328" i="7"/>
  <c r="AM463" i="7"/>
  <c r="U330" i="7"/>
  <c r="T465" i="7"/>
  <c r="V330" i="7"/>
  <c r="C465" i="7"/>
  <c r="D465" i="7"/>
  <c r="E465" i="7"/>
  <c r="F465" i="7"/>
  <c r="H465" i="7"/>
  <c r="M465" i="7"/>
  <c r="O465" i="7"/>
  <c r="Q465" i="7"/>
  <c r="R465" i="7"/>
  <c r="S465" i="7"/>
  <c r="U465" i="7"/>
  <c r="E330" i="7"/>
  <c r="G330" i="7"/>
  <c r="H330" i="7"/>
  <c r="I330" i="7"/>
  <c r="K330" i="7"/>
  <c r="L330" i="7"/>
  <c r="M330" i="7"/>
  <c r="N330" i="7"/>
  <c r="O330" i="7"/>
  <c r="P330" i="7"/>
  <c r="G465" i="7"/>
  <c r="I465" i="7"/>
  <c r="J465" i="7"/>
  <c r="K465" i="7"/>
  <c r="L465" i="7"/>
  <c r="N465" i="7"/>
  <c r="P465" i="7"/>
  <c r="C330" i="7"/>
  <c r="D330" i="7"/>
  <c r="F330" i="7"/>
  <c r="J330" i="7"/>
  <c r="R330" i="7"/>
  <c r="S330" i="7"/>
  <c r="Q330" i="7"/>
  <c r="T330" i="7"/>
  <c r="V465" i="7"/>
  <c r="W330" i="7"/>
  <c r="X330" i="7"/>
  <c r="W465" i="7"/>
  <c r="Y330" i="7"/>
  <c r="X465" i="7"/>
  <c r="Y465" i="7"/>
  <c r="Z330" i="7"/>
  <c r="Z465" i="7"/>
  <c r="AA330" i="7"/>
  <c r="AB330" i="7"/>
  <c r="AA465" i="7"/>
  <c r="AC330" i="7"/>
  <c r="AB465" i="7"/>
  <c r="AC465" i="7"/>
  <c r="AD330" i="7"/>
  <c r="AE330" i="7"/>
  <c r="AD465" i="7"/>
  <c r="AF330" i="7"/>
  <c r="AE465" i="7"/>
  <c r="AG330" i="7"/>
  <c r="AF465" i="7"/>
  <c r="AG465" i="7"/>
  <c r="AH330" i="7"/>
  <c r="AH465" i="7"/>
  <c r="AI330" i="7"/>
  <c r="AI465" i="7"/>
  <c r="AJ330" i="7"/>
  <c r="AK330" i="7"/>
  <c r="AJ465" i="7"/>
  <c r="AL330" i="7"/>
  <c r="AK465" i="7"/>
  <c r="AL465" i="7"/>
  <c r="AM330" i="7"/>
  <c r="AM465" i="7"/>
  <c r="AN330" i="7"/>
  <c r="T467" i="7"/>
  <c r="U332" i="7"/>
  <c r="C467" i="7"/>
  <c r="F467" i="7"/>
  <c r="J467" i="7"/>
  <c r="L467" i="7"/>
  <c r="N467" i="7"/>
  <c r="P467" i="7"/>
  <c r="Q467" i="7"/>
  <c r="S467" i="7"/>
  <c r="C332" i="7"/>
  <c r="D332" i="7"/>
  <c r="E332" i="7"/>
  <c r="F332" i="7"/>
  <c r="G332" i="7"/>
  <c r="I332" i="7"/>
  <c r="J332" i="7"/>
  <c r="K332" i="7"/>
  <c r="N332" i="7"/>
  <c r="O332" i="7"/>
  <c r="P332" i="7"/>
  <c r="S332" i="7"/>
  <c r="V332" i="7"/>
  <c r="D467" i="7"/>
  <c r="E467" i="7"/>
  <c r="G467" i="7"/>
  <c r="H467" i="7"/>
  <c r="I467" i="7"/>
  <c r="K467" i="7"/>
  <c r="M467" i="7"/>
  <c r="O467" i="7"/>
  <c r="R467" i="7"/>
  <c r="U467" i="7"/>
  <c r="H332" i="7"/>
  <c r="L332" i="7"/>
  <c r="M332" i="7"/>
  <c r="R332" i="7"/>
  <c r="T332" i="7"/>
  <c r="Q332" i="7"/>
  <c r="W332" i="7"/>
  <c r="V467" i="7"/>
  <c r="X332" i="7"/>
  <c r="W467" i="7"/>
  <c r="X467" i="7"/>
  <c r="Y332" i="7"/>
  <c r="Z332" i="7"/>
  <c r="Y467" i="7"/>
  <c r="AA332" i="7"/>
  <c r="Z467" i="7"/>
  <c r="AA467" i="7"/>
  <c r="AB332" i="7"/>
  <c r="AB467" i="7"/>
  <c r="AC332" i="7"/>
  <c r="AD332" i="7"/>
  <c r="AC467" i="7"/>
  <c r="AE332" i="7"/>
  <c r="AD467" i="7"/>
  <c r="AE467" i="7"/>
  <c r="AF332" i="7"/>
  <c r="AF467" i="7"/>
  <c r="AG332" i="7"/>
  <c r="AG467" i="7"/>
  <c r="AH332" i="7"/>
  <c r="AH467" i="7"/>
  <c r="AI332" i="7"/>
  <c r="AJ332" i="7"/>
  <c r="AI467" i="7"/>
  <c r="AK332" i="7"/>
  <c r="AJ467" i="7"/>
  <c r="AL332" i="7"/>
  <c r="AK467" i="7"/>
  <c r="AM332" i="7"/>
  <c r="AL467" i="7"/>
  <c r="AN332" i="7"/>
  <c r="AM467" i="7"/>
  <c r="AP632" i="7"/>
  <c r="AN416" i="7"/>
  <c r="AN415" i="7"/>
  <c r="AN439" i="7"/>
  <c r="AN463" i="7"/>
  <c r="AN436" i="7"/>
  <c r="AN460" i="7"/>
  <c r="AN468" i="7"/>
  <c r="AO467" i="7"/>
  <c r="AO463" i="7"/>
  <c r="AO439" i="7"/>
  <c r="AO435" i="7"/>
  <c r="AO466" i="7"/>
  <c r="AO462" i="7"/>
  <c r="AO442" i="7"/>
  <c r="AO438" i="7"/>
  <c r="AO434" i="7"/>
  <c r="AO414" i="7"/>
  <c r="AO410" i="7"/>
  <c r="AO413" i="7"/>
  <c r="AO280" i="7"/>
  <c r="AK672" i="7" l="1"/>
  <c r="AK644" i="7" s="1"/>
  <c r="AK60" i="7" s="1"/>
  <c r="AL672" i="7"/>
  <c r="AL644" i="7" s="1"/>
  <c r="AL60" i="7" s="1"/>
  <c r="AG672" i="7"/>
  <c r="AG644" i="7" s="1"/>
  <c r="AG60" i="7" s="1"/>
  <c r="AO534" i="7"/>
  <c r="AO529" i="7"/>
  <c r="AP532" i="7"/>
  <c r="AP75" i="7" s="1"/>
  <c r="AP76" i="7" s="1"/>
  <c r="AA672" i="7"/>
  <c r="AA644" i="7" s="1"/>
  <c r="AA60" i="7" s="1"/>
  <c r="AN672" i="7"/>
  <c r="AN644" i="7" s="1"/>
  <c r="AN60" i="7" s="1"/>
  <c r="AI672" i="7"/>
  <c r="AI644" i="7" s="1"/>
  <c r="AI60" i="7" s="1"/>
  <c r="AP449" i="7"/>
  <c r="AP461" i="7" s="1"/>
  <c r="B461" i="7" s="1"/>
  <c r="AP301" i="7"/>
  <c r="B301" i="7" s="1"/>
  <c r="AF672" i="7"/>
  <c r="AF644" i="7" s="1"/>
  <c r="AF60" i="7" s="1"/>
  <c r="AP332" i="7"/>
  <c r="AC672" i="7"/>
  <c r="AC644" i="7" s="1"/>
  <c r="AC60" i="7" s="1"/>
  <c r="Z672" i="7"/>
  <c r="Z644" i="7" s="1"/>
  <c r="Z60" i="7" s="1"/>
  <c r="W672" i="7"/>
  <c r="W644" i="7" s="1"/>
  <c r="W60" i="7" s="1"/>
  <c r="AP300" i="7"/>
  <c r="AP426" i="7"/>
  <c r="AP438" i="7" s="1"/>
  <c r="B438" i="7" s="1"/>
  <c r="AP277" i="7"/>
  <c r="B277" i="7" s="1"/>
  <c r="AP422" i="7"/>
  <c r="AP434" i="7" s="1"/>
  <c r="AP454" i="7"/>
  <c r="AP466" i="7" s="1"/>
  <c r="B466" i="7" s="1"/>
  <c r="AP274" i="7"/>
  <c r="B274" i="7" s="1"/>
  <c r="X672" i="7"/>
  <c r="X644" i="7" s="1"/>
  <c r="X60" i="7" s="1"/>
  <c r="AP306" i="7"/>
  <c r="B306" i="7" s="1"/>
  <c r="AP329" i="7"/>
  <c r="B329" i="7" s="1"/>
  <c r="AD672" i="7"/>
  <c r="AD644" i="7" s="1"/>
  <c r="AD60" i="7" s="1"/>
  <c r="AP396" i="7"/>
  <c r="AP408" i="7" s="1"/>
  <c r="B408" i="7" s="1"/>
  <c r="AP304" i="7"/>
  <c r="AP328" i="7"/>
  <c r="B328" i="7" s="1"/>
  <c r="AB672" i="7"/>
  <c r="AB644" i="7" s="1"/>
  <c r="AB60" i="7" s="1"/>
  <c r="AP278" i="7"/>
  <c r="AP327" i="7"/>
  <c r="B327" i="7" s="1"/>
  <c r="AP330" i="7"/>
  <c r="B330" i="7" s="1"/>
  <c r="AP279" i="7"/>
  <c r="B279" i="7" s="1"/>
  <c r="AP425" i="7"/>
  <c r="AP437" i="7" s="1"/>
  <c r="B437" i="7" s="1"/>
  <c r="AP325" i="7"/>
  <c r="B325" i="7" s="1"/>
  <c r="AE672" i="7"/>
  <c r="AE644" i="7" s="1"/>
  <c r="AE60" i="7" s="1"/>
  <c r="Y672" i="7"/>
  <c r="Y644" i="7" s="1"/>
  <c r="Y60" i="7" s="1"/>
  <c r="O58" i="7"/>
  <c r="B667" i="7"/>
  <c r="B599" i="7"/>
  <c r="B666" i="7"/>
  <c r="B671" i="7"/>
  <c r="B670" i="7"/>
  <c r="B664" i="7"/>
  <c r="B669" i="7"/>
  <c r="B665" i="7"/>
  <c r="B668" i="7"/>
  <c r="AO407" i="7"/>
  <c r="AO417" i="7" s="1"/>
  <c r="B663" i="7"/>
  <c r="B600" i="7"/>
  <c r="B631" i="7"/>
  <c r="B632" i="7"/>
  <c r="AP58" i="7"/>
  <c r="B601" i="7"/>
  <c r="D662" i="7"/>
  <c r="D672" i="7" s="1"/>
  <c r="D644" i="7" s="1"/>
  <c r="D60" i="7" s="1"/>
  <c r="C662" i="7"/>
  <c r="E662" i="7"/>
  <c r="E672" i="7" s="1"/>
  <c r="E644" i="7" s="1"/>
  <c r="E60" i="7" s="1"/>
  <c r="F662" i="7"/>
  <c r="F672" i="7" s="1"/>
  <c r="F644" i="7" s="1"/>
  <c r="F60" i="7" s="1"/>
  <c r="G662" i="7"/>
  <c r="G672" i="7" s="1"/>
  <c r="G644" i="7" s="1"/>
  <c r="G60" i="7" s="1"/>
  <c r="H662" i="7"/>
  <c r="H672" i="7" s="1"/>
  <c r="H644" i="7" s="1"/>
  <c r="H60" i="7" s="1"/>
  <c r="I662" i="7"/>
  <c r="I672" i="7" s="1"/>
  <c r="I644" i="7" s="1"/>
  <c r="I60" i="7" s="1"/>
  <c r="J662" i="7"/>
  <c r="J672" i="7" s="1"/>
  <c r="J644" i="7" s="1"/>
  <c r="J60" i="7" s="1"/>
  <c r="K662" i="7"/>
  <c r="K672" i="7" s="1"/>
  <c r="K644" i="7" s="1"/>
  <c r="K60" i="7" s="1"/>
  <c r="L662" i="7"/>
  <c r="L672" i="7" s="1"/>
  <c r="L644" i="7" s="1"/>
  <c r="L60" i="7" s="1"/>
  <c r="M662" i="7"/>
  <c r="M672" i="7" s="1"/>
  <c r="M644" i="7" s="1"/>
  <c r="M60" i="7" s="1"/>
  <c r="N662" i="7"/>
  <c r="N672" i="7" s="1"/>
  <c r="N644" i="7" s="1"/>
  <c r="N60" i="7" s="1"/>
  <c r="O662" i="7"/>
  <c r="O672" i="7" s="1"/>
  <c r="O644" i="7" s="1"/>
  <c r="O60" i="7" s="1"/>
  <c r="P662" i="7"/>
  <c r="P672" i="7" s="1"/>
  <c r="P644" i="7" s="1"/>
  <c r="P60" i="7" s="1"/>
  <c r="Q662" i="7"/>
  <c r="Q672" i="7" s="1"/>
  <c r="Q644" i="7" s="1"/>
  <c r="Q60" i="7" s="1"/>
  <c r="R662" i="7"/>
  <c r="R672" i="7" s="1"/>
  <c r="R644" i="7" s="1"/>
  <c r="R60" i="7" s="1"/>
  <c r="S662" i="7"/>
  <c r="S672" i="7" s="1"/>
  <c r="S644" i="7" s="1"/>
  <c r="S60" i="7" s="1"/>
  <c r="T662" i="7"/>
  <c r="T672" i="7" s="1"/>
  <c r="T644" i="7" s="1"/>
  <c r="T60" i="7" s="1"/>
  <c r="U662" i="7"/>
  <c r="U672" i="7" s="1"/>
  <c r="U644" i="7" s="1"/>
  <c r="U60" i="7" s="1"/>
  <c r="V662" i="7"/>
  <c r="V672" i="7" s="1"/>
  <c r="V644" i="7" s="1"/>
  <c r="V60" i="7" s="1"/>
  <c r="T459" i="7"/>
  <c r="T469" i="7" s="1"/>
  <c r="U324" i="7"/>
  <c r="U334" i="7" s="1"/>
  <c r="C459" i="7"/>
  <c r="D459" i="7"/>
  <c r="D469" i="7" s="1"/>
  <c r="E459" i="7"/>
  <c r="E469" i="7" s="1"/>
  <c r="H459" i="7"/>
  <c r="H469" i="7" s="1"/>
  <c r="I459" i="7"/>
  <c r="I469" i="7" s="1"/>
  <c r="M459" i="7"/>
  <c r="M469" i="7" s="1"/>
  <c r="O459" i="7"/>
  <c r="O469" i="7" s="1"/>
  <c r="R459" i="7"/>
  <c r="R469" i="7" s="1"/>
  <c r="C324" i="7"/>
  <c r="D324" i="7"/>
  <c r="D334" i="7" s="1"/>
  <c r="E324" i="7"/>
  <c r="E334" i="7" s="1"/>
  <c r="F324" i="7"/>
  <c r="F334" i="7" s="1"/>
  <c r="G324" i="7"/>
  <c r="G334" i="7" s="1"/>
  <c r="I324" i="7"/>
  <c r="I334" i="7" s="1"/>
  <c r="J324" i="7"/>
  <c r="J334" i="7" s="1"/>
  <c r="O324" i="7"/>
  <c r="O334" i="7" s="1"/>
  <c r="P324" i="7"/>
  <c r="P334" i="7" s="1"/>
  <c r="Q324" i="7"/>
  <c r="Q334" i="7" s="1"/>
  <c r="F459" i="7"/>
  <c r="F469" i="7" s="1"/>
  <c r="G459" i="7"/>
  <c r="G469" i="7" s="1"/>
  <c r="J459" i="7"/>
  <c r="J469" i="7" s="1"/>
  <c r="K459" i="7"/>
  <c r="K469" i="7" s="1"/>
  <c r="L459" i="7"/>
  <c r="L469" i="7" s="1"/>
  <c r="N459" i="7"/>
  <c r="N469" i="7" s="1"/>
  <c r="P459" i="7"/>
  <c r="P469" i="7" s="1"/>
  <c r="Q459" i="7"/>
  <c r="Q469" i="7" s="1"/>
  <c r="S459" i="7"/>
  <c r="S469" i="7" s="1"/>
  <c r="U459" i="7"/>
  <c r="U469" i="7" s="1"/>
  <c r="H324" i="7"/>
  <c r="H334" i="7" s="1"/>
  <c r="K324" i="7"/>
  <c r="K334" i="7" s="1"/>
  <c r="L324" i="7"/>
  <c r="L334" i="7" s="1"/>
  <c r="M324" i="7"/>
  <c r="M334" i="7" s="1"/>
  <c r="N324" i="7"/>
  <c r="N334" i="7" s="1"/>
  <c r="R324" i="7"/>
  <c r="R334" i="7" s="1"/>
  <c r="S324" i="7"/>
  <c r="S334" i="7" s="1"/>
  <c r="T324" i="7"/>
  <c r="T334" i="7" s="1"/>
  <c r="V324" i="7"/>
  <c r="V334" i="7" s="1"/>
  <c r="W324" i="7"/>
  <c r="W334" i="7" s="1"/>
  <c r="V459" i="7"/>
  <c r="V469" i="7" s="1"/>
  <c r="X324" i="7"/>
  <c r="X334" i="7" s="1"/>
  <c r="W459" i="7"/>
  <c r="W469" i="7" s="1"/>
  <c r="X459" i="7"/>
  <c r="X469" i="7" s="1"/>
  <c r="Y324" i="7"/>
  <c r="Y334" i="7" s="1"/>
  <c r="Z324" i="7"/>
  <c r="Z334" i="7" s="1"/>
  <c r="Y459" i="7"/>
  <c r="Y469" i="7" s="1"/>
  <c r="AA324" i="7"/>
  <c r="AA334" i="7" s="1"/>
  <c r="Z459" i="7"/>
  <c r="Z469" i="7" s="1"/>
  <c r="AA459" i="7"/>
  <c r="AA469" i="7" s="1"/>
  <c r="AB324" i="7"/>
  <c r="AB334" i="7" s="1"/>
  <c r="AB459" i="7"/>
  <c r="AB469" i="7" s="1"/>
  <c r="AC324" i="7"/>
  <c r="AC334" i="7" s="1"/>
  <c r="AD324" i="7"/>
  <c r="AD334" i="7" s="1"/>
  <c r="AC459" i="7"/>
  <c r="AC469" i="7" s="1"/>
  <c r="AE324" i="7"/>
  <c r="AE334" i="7" s="1"/>
  <c r="AD459" i="7"/>
  <c r="AD469" i="7" s="1"/>
  <c r="AE459" i="7"/>
  <c r="AE469" i="7" s="1"/>
  <c r="AF324" i="7"/>
  <c r="AF334" i="7" s="1"/>
  <c r="AG324" i="7"/>
  <c r="AG334" i="7" s="1"/>
  <c r="AF459" i="7"/>
  <c r="AF469" i="7" s="1"/>
  <c r="AG459" i="7"/>
  <c r="AG469" i="7" s="1"/>
  <c r="AH324" i="7"/>
  <c r="AH334" i="7" s="1"/>
  <c r="AH459" i="7"/>
  <c r="AH469" i="7" s="1"/>
  <c r="AI324" i="7"/>
  <c r="AI334" i="7" s="1"/>
  <c r="AJ324" i="7"/>
  <c r="AJ334" i="7" s="1"/>
  <c r="AI459" i="7"/>
  <c r="AI469" i="7" s="1"/>
  <c r="AK324" i="7"/>
  <c r="AK334" i="7" s="1"/>
  <c r="AJ459" i="7"/>
  <c r="AJ469" i="7" s="1"/>
  <c r="AL324" i="7"/>
  <c r="AL334" i="7" s="1"/>
  <c r="AK459" i="7"/>
  <c r="AK469" i="7" s="1"/>
  <c r="AM324" i="7"/>
  <c r="AM334" i="7" s="1"/>
  <c r="AL459" i="7"/>
  <c r="AL469" i="7" s="1"/>
  <c r="AN324" i="7"/>
  <c r="AN334" i="7" s="1"/>
  <c r="AM459" i="7"/>
  <c r="AM469" i="7" s="1"/>
  <c r="AO324" i="7"/>
  <c r="AO334" i="7" s="1"/>
  <c r="AN459" i="7"/>
  <c r="AN469" i="7" s="1"/>
  <c r="AP551" i="7"/>
  <c r="AO469" i="7"/>
  <c r="AP640" i="7"/>
  <c r="AP612" i="7" s="1"/>
  <c r="AP59" i="7" s="1"/>
  <c r="B332" i="7"/>
  <c r="B467" i="7"/>
  <c r="B465" i="7"/>
  <c r="B463" i="7"/>
  <c r="B326" i="7"/>
  <c r="B441" i="7"/>
  <c r="B435" i="7"/>
  <c r="B415" i="7"/>
  <c r="B280" i="7"/>
  <c r="B276" i="7"/>
  <c r="AP66" i="7"/>
  <c r="AP324" i="7"/>
  <c r="AO433" i="7"/>
  <c r="AO443" i="7" s="1"/>
  <c r="B468" i="7"/>
  <c r="B333" i="7"/>
  <c r="B460" i="7"/>
  <c r="B307" i="7"/>
  <c r="B442" i="7"/>
  <c r="B305" i="7"/>
  <c r="B440" i="7"/>
  <c r="B299" i="7"/>
  <c r="B281" i="7"/>
  <c r="B416" i="7"/>
  <c r="B414" i="7"/>
  <c r="B410" i="7"/>
  <c r="D630" i="7"/>
  <c r="D640" i="7" s="1"/>
  <c r="D612" i="7" s="1"/>
  <c r="D59" i="7" s="1"/>
  <c r="C630" i="7"/>
  <c r="E630" i="7"/>
  <c r="E640" i="7" s="1"/>
  <c r="E612" i="7" s="1"/>
  <c r="E59" i="7" s="1"/>
  <c r="F630" i="7"/>
  <c r="F640" i="7" s="1"/>
  <c r="F612" i="7" s="1"/>
  <c r="F59" i="7" s="1"/>
  <c r="G630" i="7"/>
  <c r="G640" i="7" s="1"/>
  <c r="G612" i="7" s="1"/>
  <c r="G59" i="7" s="1"/>
  <c r="H630" i="7"/>
  <c r="H640" i="7" s="1"/>
  <c r="H612" i="7" s="1"/>
  <c r="H59" i="7" s="1"/>
  <c r="I630" i="7"/>
  <c r="I640" i="7" s="1"/>
  <c r="I612" i="7" s="1"/>
  <c r="I59" i="7" s="1"/>
  <c r="J630" i="7"/>
  <c r="J640" i="7" s="1"/>
  <c r="J612" i="7" s="1"/>
  <c r="J59" i="7" s="1"/>
  <c r="K630" i="7"/>
  <c r="K640" i="7" s="1"/>
  <c r="K612" i="7" s="1"/>
  <c r="K59" i="7" s="1"/>
  <c r="L630" i="7"/>
  <c r="L640" i="7" s="1"/>
  <c r="L612" i="7" s="1"/>
  <c r="L59" i="7" s="1"/>
  <c r="M630" i="7"/>
  <c r="M640" i="7" s="1"/>
  <c r="M612" i="7" s="1"/>
  <c r="N630" i="7"/>
  <c r="N640" i="7" s="1"/>
  <c r="N612" i="7" s="1"/>
  <c r="O630" i="7"/>
  <c r="O640" i="7" s="1"/>
  <c r="O612" i="7" s="1"/>
  <c r="P630" i="7"/>
  <c r="P640" i="7" s="1"/>
  <c r="P612" i="7" s="1"/>
  <c r="Q630" i="7"/>
  <c r="Q640" i="7" s="1"/>
  <c r="Q612" i="7" s="1"/>
  <c r="U298" i="7"/>
  <c r="U308" i="7" s="1"/>
  <c r="T433" i="7"/>
  <c r="T443" i="7" s="1"/>
  <c r="V298" i="7"/>
  <c r="V308" i="7" s="1"/>
  <c r="D433" i="7"/>
  <c r="D443" i="7" s="1"/>
  <c r="C433" i="7"/>
  <c r="E433" i="7"/>
  <c r="E443" i="7" s="1"/>
  <c r="F433" i="7"/>
  <c r="F443" i="7" s="1"/>
  <c r="H433" i="7"/>
  <c r="H443" i="7" s="1"/>
  <c r="I433" i="7"/>
  <c r="I443" i="7" s="1"/>
  <c r="M433" i="7"/>
  <c r="M443" i="7" s="1"/>
  <c r="O433" i="7"/>
  <c r="O443" i="7" s="1"/>
  <c r="R433" i="7"/>
  <c r="R443" i="7" s="1"/>
  <c r="S433" i="7"/>
  <c r="S443" i="7" s="1"/>
  <c r="U433" i="7"/>
  <c r="U443" i="7" s="1"/>
  <c r="D298" i="7"/>
  <c r="D308" i="7" s="1"/>
  <c r="E298" i="7"/>
  <c r="E308" i="7" s="1"/>
  <c r="H298" i="7"/>
  <c r="H308" i="7" s="1"/>
  <c r="I298" i="7"/>
  <c r="I308" i="7" s="1"/>
  <c r="K298" i="7"/>
  <c r="K308" i="7" s="1"/>
  <c r="L298" i="7"/>
  <c r="L308" i="7" s="1"/>
  <c r="M298" i="7"/>
  <c r="M308" i="7" s="1"/>
  <c r="N298" i="7"/>
  <c r="N308" i="7" s="1"/>
  <c r="P298" i="7"/>
  <c r="P308" i="7" s="1"/>
  <c r="Q298" i="7"/>
  <c r="Q308" i="7" s="1"/>
  <c r="G433" i="7"/>
  <c r="G443" i="7" s="1"/>
  <c r="J433" i="7"/>
  <c r="J443" i="7" s="1"/>
  <c r="K433" i="7"/>
  <c r="K443" i="7" s="1"/>
  <c r="L433" i="7"/>
  <c r="L443" i="7" s="1"/>
  <c r="N433" i="7"/>
  <c r="N443" i="7" s="1"/>
  <c r="P433" i="7"/>
  <c r="P443" i="7" s="1"/>
  <c r="Q433" i="7"/>
  <c r="Q443" i="7" s="1"/>
  <c r="C298" i="7"/>
  <c r="F298" i="7"/>
  <c r="F308" i="7" s="1"/>
  <c r="G298" i="7"/>
  <c r="G308" i="7" s="1"/>
  <c r="J298" i="7"/>
  <c r="J308" i="7" s="1"/>
  <c r="O298" i="7"/>
  <c r="O308" i="7" s="1"/>
  <c r="S298" i="7"/>
  <c r="S308" i="7" s="1"/>
  <c r="R298" i="7"/>
  <c r="R308" i="7" s="1"/>
  <c r="T298" i="7"/>
  <c r="T308" i="7" s="1"/>
  <c r="V433" i="7"/>
  <c r="V443" i="7" s="1"/>
  <c r="W298" i="7"/>
  <c r="W308" i="7" s="1"/>
  <c r="X298" i="7"/>
  <c r="X308" i="7" s="1"/>
  <c r="W433" i="7"/>
  <c r="W443" i="7" s="1"/>
  <c r="Y298" i="7"/>
  <c r="Y308" i="7" s="1"/>
  <c r="X433" i="7"/>
  <c r="X443" i="7" s="1"/>
  <c r="Y433" i="7"/>
  <c r="Y443" i="7" s="1"/>
  <c r="Z298" i="7"/>
  <c r="Z308" i="7" s="1"/>
  <c r="AA298" i="7"/>
  <c r="AA308" i="7" s="1"/>
  <c r="Z433" i="7"/>
  <c r="Z443" i="7" s="1"/>
  <c r="AB298" i="7"/>
  <c r="AB308" i="7" s="1"/>
  <c r="AA433" i="7"/>
  <c r="AA443" i="7" s="1"/>
  <c r="AC298" i="7"/>
  <c r="AC308" i="7" s="1"/>
  <c r="AB433" i="7"/>
  <c r="AB443" i="7" s="1"/>
  <c r="AC433" i="7"/>
  <c r="AC443" i="7" s="1"/>
  <c r="AD298" i="7"/>
  <c r="AD308" i="7" s="1"/>
  <c r="AE298" i="7"/>
  <c r="AE308" i="7" s="1"/>
  <c r="AD433" i="7"/>
  <c r="AD443" i="7" s="1"/>
  <c r="AF298" i="7"/>
  <c r="AF308" i="7" s="1"/>
  <c r="AE433" i="7"/>
  <c r="AE443" i="7" s="1"/>
  <c r="AG298" i="7"/>
  <c r="AG308" i="7" s="1"/>
  <c r="AF433" i="7"/>
  <c r="AF443" i="7" s="1"/>
  <c r="AG433" i="7"/>
  <c r="AG443" i="7" s="1"/>
  <c r="AH298" i="7"/>
  <c r="AH308" i="7" s="1"/>
  <c r="AI298" i="7"/>
  <c r="AI308" i="7" s="1"/>
  <c r="AH433" i="7"/>
  <c r="AH443" i="7" s="1"/>
  <c r="AI433" i="7"/>
  <c r="AI443" i="7" s="1"/>
  <c r="AJ298" i="7"/>
  <c r="AJ308" i="7" s="1"/>
  <c r="AK298" i="7"/>
  <c r="AK308" i="7" s="1"/>
  <c r="AJ433" i="7"/>
  <c r="AJ443" i="7" s="1"/>
  <c r="AL298" i="7"/>
  <c r="AL308" i="7" s="1"/>
  <c r="AK433" i="7"/>
  <c r="AK443" i="7" s="1"/>
  <c r="AL433" i="7"/>
  <c r="AL443" i="7" s="1"/>
  <c r="AM298" i="7"/>
  <c r="AM308" i="7" s="1"/>
  <c r="AM433" i="7"/>
  <c r="AM443" i="7" s="1"/>
  <c r="AN298" i="7"/>
  <c r="AN308" i="7" s="1"/>
  <c r="AO298" i="7"/>
  <c r="AO308" i="7" s="1"/>
  <c r="AN433" i="7"/>
  <c r="AN443" i="7" s="1"/>
  <c r="D598" i="7"/>
  <c r="D608" i="7" s="1"/>
  <c r="D580" i="7" s="1"/>
  <c r="C598" i="7"/>
  <c r="E598" i="7"/>
  <c r="E608" i="7" s="1"/>
  <c r="E580" i="7" s="1"/>
  <c r="F598" i="7"/>
  <c r="F608" i="7" s="1"/>
  <c r="F580" i="7" s="1"/>
  <c r="G598" i="7"/>
  <c r="G608" i="7" s="1"/>
  <c r="G580" i="7" s="1"/>
  <c r="H598" i="7"/>
  <c r="H608" i="7" s="1"/>
  <c r="H580" i="7" s="1"/>
  <c r="I598" i="7"/>
  <c r="I608" i="7" s="1"/>
  <c r="I580" i="7" s="1"/>
  <c r="J598" i="7"/>
  <c r="J608" i="7" s="1"/>
  <c r="J580" i="7" s="1"/>
  <c r="K598" i="7"/>
  <c r="K608" i="7" s="1"/>
  <c r="K580" i="7" s="1"/>
  <c r="L598" i="7"/>
  <c r="L608" i="7" s="1"/>
  <c r="L580" i="7" s="1"/>
  <c r="M598" i="7"/>
  <c r="M608" i="7" s="1"/>
  <c r="M580" i="7" s="1"/>
  <c r="N598" i="7"/>
  <c r="N608" i="7" s="1"/>
  <c r="N580" i="7" s="1"/>
  <c r="U272" i="7"/>
  <c r="U282" i="7" s="1"/>
  <c r="T407" i="7"/>
  <c r="T417" i="7" s="1"/>
  <c r="C407" i="7"/>
  <c r="E407" i="7"/>
  <c r="E417" i="7" s="1"/>
  <c r="G407" i="7"/>
  <c r="G417" i="7" s="1"/>
  <c r="H407" i="7"/>
  <c r="H417" i="7" s="1"/>
  <c r="L407" i="7"/>
  <c r="L417" i="7" s="1"/>
  <c r="K407" i="7"/>
  <c r="K417" i="7" s="1"/>
  <c r="M407" i="7"/>
  <c r="M417" i="7" s="1"/>
  <c r="P407" i="7"/>
  <c r="P417" i="7" s="1"/>
  <c r="K272" i="7"/>
  <c r="K282" i="7" s="1"/>
  <c r="L272" i="7"/>
  <c r="L282" i="7" s="1"/>
  <c r="M272" i="7"/>
  <c r="M282" i="7" s="1"/>
  <c r="P272" i="7"/>
  <c r="P282" i="7" s="1"/>
  <c r="T272" i="7"/>
  <c r="T282" i="7" s="1"/>
  <c r="V272" i="7"/>
  <c r="V282" i="7" s="1"/>
  <c r="D407" i="7"/>
  <c r="D417" i="7" s="1"/>
  <c r="F407" i="7"/>
  <c r="F417" i="7" s="1"/>
  <c r="I407" i="7"/>
  <c r="I417" i="7" s="1"/>
  <c r="J407" i="7"/>
  <c r="J417" i="7" s="1"/>
  <c r="N407" i="7"/>
  <c r="N417" i="7" s="1"/>
  <c r="O407" i="7"/>
  <c r="O417" i="7" s="1"/>
  <c r="Q407" i="7"/>
  <c r="Q417" i="7" s="1"/>
  <c r="R407" i="7"/>
  <c r="R417" i="7" s="1"/>
  <c r="S407" i="7"/>
  <c r="S417" i="7" s="1"/>
  <c r="U407" i="7"/>
  <c r="U417" i="7" s="1"/>
  <c r="C272" i="7"/>
  <c r="D272" i="7"/>
  <c r="D282" i="7" s="1"/>
  <c r="E272" i="7"/>
  <c r="E282" i="7" s="1"/>
  <c r="F272" i="7"/>
  <c r="F282" i="7" s="1"/>
  <c r="G272" i="7"/>
  <c r="G282" i="7" s="1"/>
  <c r="H272" i="7"/>
  <c r="H282" i="7" s="1"/>
  <c r="I272" i="7"/>
  <c r="I282" i="7" s="1"/>
  <c r="J272" i="7"/>
  <c r="J282" i="7" s="1"/>
  <c r="N272" i="7"/>
  <c r="N282" i="7" s="1"/>
  <c r="O272" i="7"/>
  <c r="O282" i="7" s="1"/>
  <c r="Q272" i="7"/>
  <c r="Q282" i="7" s="1"/>
  <c r="S272" i="7"/>
  <c r="S282" i="7" s="1"/>
  <c r="R272" i="7"/>
  <c r="R282" i="7" s="1"/>
  <c r="V407" i="7"/>
  <c r="V417" i="7" s="1"/>
  <c r="W272" i="7"/>
  <c r="W282" i="7" s="1"/>
  <c r="X272" i="7"/>
  <c r="X282" i="7" s="1"/>
  <c r="W407" i="7"/>
  <c r="W417" i="7" s="1"/>
  <c r="Y272" i="7"/>
  <c r="Y282" i="7" s="1"/>
  <c r="X407" i="7"/>
  <c r="X417" i="7" s="1"/>
  <c r="Z272" i="7"/>
  <c r="Z282" i="7" s="1"/>
  <c r="Y407" i="7"/>
  <c r="Y417" i="7" s="1"/>
  <c r="AA272" i="7"/>
  <c r="AA282" i="7" s="1"/>
  <c r="Z407" i="7"/>
  <c r="Z417" i="7" s="1"/>
  <c r="AA407" i="7"/>
  <c r="AA417" i="7" s="1"/>
  <c r="AB272" i="7"/>
  <c r="AB282" i="7" s="1"/>
  <c r="AB407" i="7"/>
  <c r="AB417" i="7" s="1"/>
  <c r="AC272" i="7"/>
  <c r="AC282" i="7" s="1"/>
  <c r="AD272" i="7"/>
  <c r="AD282" i="7" s="1"/>
  <c r="AC407" i="7"/>
  <c r="AC417" i="7" s="1"/>
  <c r="AE272" i="7"/>
  <c r="AE282" i="7" s="1"/>
  <c r="AD407" i="7"/>
  <c r="AD417" i="7" s="1"/>
  <c r="AE407" i="7"/>
  <c r="AE417" i="7" s="1"/>
  <c r="AF272" i="7"/>
  <c r="AF282" i="7" s="1"/>
  <c r="AG272" i="7"/>
  <c r="AG282" i="7" s="1"/>
  <c r="AF407" i="7"/>
  <c r="AF417" i="7" s="1"/>
  <c r="AH272" i="7"/>
  <c r="AH282" i="7" s="1"/>
  <c r="AG407" i="7"/>
  <c r="AG417" i="7" s="1"/>
  <c r="AI272" i="7"/>
  <c r="AI282" i="7" s="1"/>
  <c r="AH407" i="7"/>
  <c r="AH417" i="7" s="1"/>
  <c r="AJ272" i="7"/>
  <c r="AJ282" i="7" s="1"/>
  <c r="AI407" i="7"/>
  <c r="AI417" i="7" s="1"/>
  <c r="AJ407" i="7"/>
  <c r="AJ417" i="7" s="1"/>
  <c r="AK272" i="7"/>
  <c r="AK282" i="7" s="1"/>
  <c r="AL272" i="7"/>
  <c r="AL282" i="7" s="1"/>
  <c r="AK407" i="7"/>
  <c r="AK417" i="7" s="1"/>
  <c r="AL407" i="7"/>
  <c r="AL417" i="7" s="1"/>
  <c r="AM272" i="7"/>
  <c r="AM282" i="7" s="1"/>
  <c r="AN272" i="7"/>
  <c r="AN282" i="7" s="1"/>
  <c r="AM407" i="7"/>
  <c r="AM417" i="7" s="1"/>
  <c r="AN407" i="7"/>
  <c r="AN417" i="7" s="1"/>
  <c r="AO272" i="7"/>
  <c r="AO282" i="7" s="1"/>
  <c r="B439" i="7"/>
  <c r="B302" i="7"/>
  <c r="B300" i="7"/>
  <c r="B413" i="7"/>
  <c r="B411" i="7"/>
  <c r="B409" i="7"/>
  <c r="AP459" i="7"/>
  <c r="AP407" i="7"/>
  <c r="AP60" i="7"/>
  <c r="B331" i="7"/>
  <c r="B464" i="7"/>
  <c r="B462" i="7"/>
  <c r="B303" i="7"/>
  <c r="B436" i="7"/>
  <c r="B434" i="7"/>
  <c r="B412" i="7"/>
  <c r="B275" i="7"/>
  <c r="B273" i="7"/>
  <c r="AP433" i="7"/>
  <c r="AP534" i="7" l="1"/>
  <c r="AP529" i="7"/>
  <c r="AP469" i="7"/>
  <c r="AP308" i="7"/>
  <c r="AP417" i="7"/>
  <c r="AP443" i="7"/>
  <c r="AP334" i="7"/>
  <c r="B304" i="7"/>
  <c r="AP282" i="7"/>
  <c r="B278" i="7"/>
  <c r="O542" i="7"/>
  <c r="L542" i="7"/>
  <c r="J542" i="7"/>
  <c r="H542" i="7"/>
  <c r="F542" i="7"/>
  <c r="N58" i="7"/>
  <c r="N542" i="7"/>
  <c r="M58" i="7"/>
  <c r="M542" i="7"/>
  <c r="K542" i="7"/>
  <c r="I542" i="7"/>
  <c r="G542" i="7"/>
  <c r="E542" i="7"/>
  <c r="D542" i="7"/>
  <c r="P59" i="7"/>
  <c r="N59" i="7"/>
  <c r="Q59" i="7"/>
  <c r="O59" i="7"/>
  <c r="M59" i="7"/>
  <c r="K58" i="7"/>
  <c r="I58" i="7"/>
  <c r="G58" i="7"/>
  <c r="E58" i="7"/>
  <c r="D58" i="7"/>
  <c r="L58" i="7"/>
  <c r="J58" i="7"/>
  <c r="H58" i="7"/>
  <c r="F58" i="7"/>
  <c r="B598" i="7"/>
  <c r="C608" i="7"/>
  <c r="C580" i="7" s="1"/>
  <c r="B433" i="7"/>
  <c r="C443" i="7"/>
  <c r="B630" i="7"/>
  <c r="C640" i="7"/>
  <c r="C612" i="7" s="1"/>
  <c r="C672" i="7"/>
  <c r="C644" i="7" s="1"/>
  <c r="B662" i="7"/>
  <c r="C282" i="7"/>
  <c r="B272" i="7"/>
  <c r="C417" i="7"/>
  <c r="B407" i="7"/>
  <c r="C308" i="7"/>
  <c r="B298" i="7"/>
  <c r="C334" i="7"/>
  <c r="B324" i="7"/>
  <c r="B459" i="7"/>
  <c r="C469" i="7"/>
  <c r="C542" i="7" l="1"/>
  <c r="B542" i="7" s="1"/>
  <c r="C60" i="7"/>
  <c r="C646" i="7"/>
  <c r="D643" i="7" s="1"/>
  <c r="D646" i="7" s="1"/>
  <c r="E643" i="7" s="1"/>
  <c r="E646" i="7" s="1"/>
  <c r="F643" i="7" s="1"/>
  <c r="F646" i="7" s="1"/>
  <c r="G643" i="7" s="1"/>
  <c r="G646" i="7" s="1"/>
  <c r="H643" i="7" s="1"/>
  <c r="H646" i="7" s="1"/>
  <c r="I643" i="7" s="1"/>
  <c r="I646" i="7" s="1"/>
  <c r="J643" i="7" s="1"/>
  <c r="J646" i="7" s="1"/>
  <c r="K643" i="7" s="1"/>
  <c r="K646" i="7" s="1"/>
  <c r="L643" i="7" s="1"/>
  <c r="L646" i="7" s="1"/>
  <c r="M643" i="7" s="1"/>
  <c r="M646" i="7" s="1"/>
  <c r="N643" i="7" s="1"/>
  <c r="N646" i="7" s="1"/>
  <c r="O643" i="7" s="1"/>
  <c r="O646" i="7" s="1"/>
  <c r="P643" i="7" s="1"/>
  <c r="P646" i="7" s="1"/>
  <c r="Q643" i="7" s="1"/>
  <c r="Q646" i="7" s="1"/>
  <c r="R643" i="7" s="1"/>
  <c r="R646" i="7" s="1"/>
  <c r="S643" i="7" s="1"/>
  <c r="S646" i="7" s="1"/>
  <c r="T643" i="7" s="1"/>
  <c r="T646" i="7" s="1"/>
  <c r="U643" i="7" s="1"/>
  <c r="U646" i="7" s="1"/>
  <c r="V643" i="7" s="1"/>
  <c r="V646" i="7" s="1"/>
  <c r="W643" i="7" s="1"/>
  <c r="W646" i="7" s="1"/>
  <c r="X643" i="7" s="1"/>
  <c r="X646" i="7" s="1"/>
  <c r="Y643" i="7" s="1"/>
  <c r="Y646" i="7" s="1"/>
  <c r="Z643" i="7" s="1"/>
  <c r="Z646" i="7" s="1"/>
  <c r="AA643" i="7" s="1"/>
  <c r="AA646" i="7" s="1"/>
  <c r="AB643" i="7" s="1"/>
  <c r="AB646" i="7" s="1"/>
  <c r="AC643" i="7" s="1"/>
  <c r="AC646" i="7" s="1"/>
  <c r="AD643" i="7" s="1"/>
  <c r="AD646" i="7" s="1"/>
  <c r="AE643" i="7" s="1"/>
  <c r="AE646" i="7" s="1"/>
  <c r="AF643" i="7" s="1"/>
  <c r="AF646" i="7" s="1"/>
  <c r="AG643" i="7" s="1"/>
  <c r="AG646" i="7" s="1"/>
  <c r="AH643" i="7" s="1"/>
  <c r="AH646" i="7" s="1"/>
  <c r="AI643" i="7" s="1"/>
  <c r="AI646" i="7" s="1"/>
  <c r="AJ643" i="7" s="1"/>
  <c r="AJ646" i="7" s="1"/>
  <c r="AK643" i="7" s="1"/>
  <c r="AK646" i="7" s="1"/>
  <c r="AL643" i="7" s="1"/>
  <c r="AL646" i="7" s="1"/>
  <c r="AM643" i="7" s="1"/>
  <c r="AM646" i="7" s="1"/>
  <c r="AN643" i="7" s="1"/>
  <c r="AN646" i="7" s="1"/>
  <c r="AO643" i="7" s="1"/>
  <c r="AO646" i="7" s="1"/>
  <c r="AP643" i="7" s="1"/>
  <c r="AP646" i="7" s="1"/>
  <c r="C59" i="7"/>
  <c r="C614" i="7"/>
  <c r="D611" i="7" s="1"/>
  <c r="D614" i="7" s="1"/>
  <c r="E611" i="7" s="1"/>
  <c r="E614" i="7" s="1"/>
  <c r="F611" i="7" s="1"/>
  <c r="F614" i="7" s="1"/>
  <c r="G611" i="7" s="1"/>
  <c r="G614" i="7" s="1"/>
  <c r="H611" i="7" s="1"/>
  <c r="H614" i="7" s="1"/>
  <c r="I611" i="7" s="1"/>
  <c r="I614" i="7" s="1"/>
  <c r="J611" i="7" s="1"/>
  <c r="J614" i="7" s="1"/>
  <c r="K611" i="7" s="1"/>
  <c r="K614" i="7" s="1"/>
  <c r="L611" i="7" s="1"/>
  <c r="L614" i="7" s="1"/>
  <c r="M611" i="7" s="1"/>
  <c r="M614" i="7" s="1"/>
  <c r="N611" i="7" s="1"/>
  <c r="N614" i="7" s="1"/>
  <c r="O611" i="7" s="1"/>
  <c r="O614" i="7" s="1"/>
  <c r="P611" i="7" s="1"/>
  <c r="P614" i="7" s="1"/>
  <c r="Q611" i="7" s="1"/>
  <c r="Q614" i="7" s="1"/>
  <c r="R611" i="7" s="1"/>
  <c r="R614" i="7" s="1"/>
  <c r="S611" i="7" s="1"/>
  <c r="S614" i="7" s="1"/>
  <c r="T611" i="7" s="1"/>
  <c r="T614" i="7" s="1"/>
  <c r="U611" i="7" s="1"/>
  <c r="U614" i="7" s="1"/>
  <c r="V611" i="7" s="1"/>
  <c r="V614" i="7" s="1"/>
  <c r="W611" i="7" s="1"/>
  <c r="W614" i="7" s="1"/>
  <c r="X611" i="7" s="1"/>
  <c r="X614" i="7" s="1"/>
  <c r="Y611" i="7" s="1"/>
  <c r="Y614" i="7" s="1"/>
  <c r="Z611" i="7" s="1"/>
  <c r="Z614" i="7" s="1"/>
  <c r="AA611" i="7" s="1"/>
  <c r="AA614" i="7" s="1"/>
  <c r="AB611" i="7" s="1"/>
  <c r="AB614" i="7" s="1"/>
  <c r="AC611" i="7" s="1"/>
  <c r="AC614" i="7" s="1"/>
  <c r="AD611" i="7" s="1"/>
  <c r="AD614" i="7" s="1"/>
  <c r="AE611" i="7" s="1"/>
  <c r="AE614" i="7" s="1"/>
  <c r="AF611" i="7" s="1"/>
  <c r="AF614" i="7" s="1"/>
  <c r="AG611" i="7" s="1"/>
  <c r="AG614" i="7" s="1"/>
  <c r="AH611" i="7" s="1"/>
  <c r="AH614" i="7" s="1"/>
  <c r="AI611" i="7" s="1"/>
  <c r="AI614" i="7" s="1"/>
  <c r="AJ611" i="7" s="1"/>
  <c r="AJ614" i="7" s="1"/>
  <c r="AK611" i="7" s="1"/>
  <c r="AK614" i="7" s="1"/>
  <c r="AL611" i="7" s="1"/>
  <c r="AL614" i="7" s="1"/>
  <c r="AM611" i="7" s="1"/>
  <c r="AM614" i="7" s="1"/>
  <c r="AN611" i="7" s="1"/>
  <c r="AN614" i="7" s="1"/>
  <c r="AO611" i="7" s="1"/>
  <c r="AO614" i="7" s="1"/>
  <c r="AP611" i="7" s="1"/>
  <c r="AP614" i="7" s="1"/>
  <c r="C58" i="7"/>
  <c r="C582" i="7"/>
  <c r="D579" i="7" s="1"/>
  <c r="D582" i="7" s="1"/>
  <c r="E579" i="7" s="1"/>
  <c r="E582" i="7" s="1"/>
  <c r="F579" i="7" s="1"/>
  <c r="F582" i="7" s="1"/>
  <c r="G579" i="7" s="1"/>
  <c r="G582" i="7" s="1"/>
  <c r="H579" i="7" s="1"/>
  <c r="H582" i="7" s="1"/>
  <c r="I579" i="7" s="1"/>
  <c r="I582" i="7" s="1"/>
  <c r="J579" i="7" s="1"/>
  <c r="J582" i="7" s="1"/>
  <c r="K579" i="7" s="1"/>
  <c r="K582" i="7" s="1"/>
  <c r="L579" i="7" s="1"/>
  <c r="L582" i="7" s="1"/>
  <c r="M579" i="7" l="1"/>
  <c r="M582" i="7" s="1"/>
  <c r="N579" i="7" l="1"/>
  <c r="N582" i="7" s="1"/>
  <c r="AO519" i="7" l="1"/>
  <c r="AO520" i="7" s="1"/>
  <c r="AO515" i="7"/>
  <c r="AO516" i="7" s="1"/>
  <c r="AO481" i="7"/>
  <c r="AO482" i="7" s="1"/>
  <c r="AO99" i="7" s="1"/>
  <c r="AO119" i="7"/>
  <c r="AO10" i="7"/>
  <c r="AO12" i="7" s="1"/>
  <c r="AO511" i="7"/>
  <c r="AO512" i="7" s="1"/>
  <c r="AO507" i="7"/>
  <c r="AO508" i="7" s="1"/>
  <c r="AO475" i="7"/>
  <c r="AO476" i="7" s="1"/>
  <c r="AO98" i="7" s="1"/>
  <c r="AO31" i="7"/>
  <c r="AO33" i="7" s="1"/>
  <c r="AN515" i="7"/>
  <c r="AN516" i="7" s="1"/>
  <c r="AN481" i="7"/>
  <c r="AN482" i="7" s="1"/>
  <c r="AN99" i="7" s="1"/>
  <c r="AN519" i="7"/>
  <c r="AN520" i="7" s="1"/>
  <c r="AN119" i="7"/>
  <c r="AN10" i="7"/>
  <c r="AN12" i="7" s="1"/>
  <c r="AN507" i="7"/>
  <c r="AN508" i="7" s="1"/>
  <c r="AN475" i="7"/>
  <c r="AN476" i="7" s="1"/>
  <c r="AN98" i="7" s="1"/>
  <c r="AN511" i="7"/>
  <c r="AN512" i="7" s="1"/>
  <c r="AN31" i="7"/>
  <c r="AN33" i="7" s="1"/>
  <c r="AM511" i="7"/>
  <c r="AM512" i="7" s="1"/>
  <c r="AM507" i="7"/>
  <c r="AM508" i="7" s="1"/>
  <c r="AM475" i="7"/>
  <c r="AM476" i="7" s="1"/>
  <c r="AM98" i="7" s="1"/>
  <c r="AM31" i="7"/>
  <c r="AM33" i="7" s="1"/>
  <c r="AM519" i="7"/>
  <c r="AM520" i="7" s="1"/>
  <c r="AM515" i="7"/>
  <c r="AM516" i="7" s="1"/>
  <c r="AM481" i="7"/>
  <c r="AM482" i="7" s="1"/>
  <c r="AM99" i="7" s="1"/>
  <c r="AM119" i="7"/>
  <c r="AM10" i="7"/>
  <c r="AM12" i="7" s="1"/>
  <c r="AL515" i="7"/>
  <c r="AL516" i="7" s="1"/>
  <c r="AL481" i="7"/>
  <c r="AL482" i="7" s="1"/>
  <c r="AL99" i="7" s="1"/>
  <c r="AL519" i="7"/>
  <c r="AL520" i="7" s="1"/>
  <c r="AL119" i="7"/>
  <c r="AL10" i="7"/>
  <c r="AL12" i="7" s="1"/>
  <c r="AL507" i="7"/>
  <c r="AL508" i="7" s="1"/>
  <c r="AL475" i="7"/>
  <c r="AL476" i="7" s="1"/>
  <c r="AL98" i="7" s="1"/>
  <c r="AL511" i="7"/>
  <c r="AL512" i="7" s="1"/>
  <c r="AL31" i="7"/>
  <c r="AL33" i="7" s="1"/>
  <c r="AK519" i="7"/>
  <c r="AK520" i="7" s="1"/>
  <c r="AK515" i="7"/>
  <c r="AK516" i="7" s="1"/>
  <c r="AK119" i="7"/>
  <c r="AK511" i="7"/>
  <c r="AK512" i="7" s="1"/>
  <c r="AK507" i="7"/>
  <c r="AK508" i="7" s="1"/>
  <c r="AK475" i="7"/>
  <c r="AK476" i="7" s="1"/>
  <c r="AK98" i="7" s="1"/>
  <c r="AK31" i="7"/>
  <c r="AK33" i="7" s="1"/>
  <c r="AK481" i="7"/>
  <c r="AK482" i="7" s="1"/>
  <c r="AK99" i="7" s="1"/>
  <c r="AK10" i="7"/>
  <c r="AK12" i="7" s="1"/>
  <c r="AJ507" i="7"/>
  <c r="AJ508" i="7" s="1"/>
  <c r="AJ475" i="7"/>
  <c r="AJ476" i="7" s="1"/>
  <c r="AJ98" i="7" s="1"/>
  <c r="AJ511" i="7"/>
  <c r="AJ512" i="7" s="1"/>
  <c r="AJ31" i="7"/>
  <c r="AJ33" i="7" s="1"/>
  <c r="AJ515" i="7"/>
  <c r="AJ516" i="7" s="1"/>
  <c r="AJ481" i="7"/>
  <c r="AJ482" i="7" s="1"/>
  <c r="AJ99" i="7" s="1"/>
  <c r="AJ519" i="7"/>
  <c r="AJ520" i="7" s="1"/>
  <c r="AJ119" i="7"/>
  <c r="AJ10" i="7"/>
  <c r="AJ12" i="7" s="1"/>
  <c r="AH507" i="7"/>
  <c r="AH508" i="7" s="1"/>
  <c r="AH475" i="7"/>
  <c r="AH476" i="7" s="1"/>
  <c r="AH98" i="7" s="1"/>
  <c r="AH511" i="7"/>
  <c r="AH512" i="7" s="1"/>
  <c r="AH31" i="7"/>
  <c r="AH33" i="7" s="1"/>
  <c r="AH515" i="7"/>
  <c r="AH516" i="7" s="1"/>
  <c r="AH481" i="7"/>
  <c r="AH482" i="7" s="1"/>
  <c r="AH99" i="7" s="1"/>
  <c r="AH519" i="7"/>
  <c r="AH520" i="7" s="1"/>
  <c r="AH119" i="7"/>
  <c r="AH10" i="7"/>
  <c r="AH12" i="7" s="1"/>
  <c r="AG511" i="7"/>
  <c r="AG512" i="7" s="1"/>
  <c r="AG507" i="7"/>
  <c r="AG508" i="7" s="1"/>
  <c r="AG475" i="7"/>
  <c r="AG476" i="7" s="1"/>
  <c r="AG98" i="7" s="1"/>
  <c r="AG31" i="7"/>
  <c r="AG33" i="7" s="1"/>
  <c r="AG519" i="7"/>
  <c r="AG520" i="7" s="1"/>
  <c r="AG515" i="7"/>
  <c r="AG516" i="7" s="1"/>
  <c r="AG481" i="7"/>
  <c r="AG482" i="7" s="1"/>
  <c r="AG99" i="7" s="1"/>
  <c r="AG119" i="7"/>
  <c r="AG10" i="7"/>
  <c r="AG12" i="7" s="1"/>
  <c r="AP515" i="7"/>
  <c r="AP516" i="7" s="1"/>
  <c r="AP481" i="7"/>
  <c r="AP482" i="7" s="1"/>
  <c r="AP99" i="7" s="1"/>
  <c r="AP519" i="7"/>
  <c r="AP520" i="7" s="1"/>
  <c r="AP119" i="7"/>
  <c r="AP10" i="7"/>
  <c r="AP12" i="7" s="1"/>
  <c r="AP507" i="7"/>
  <c r="AP508" i="7" s="1"/>
  <c r="AP475" i="7"/>
  <c r="AP476" i="7" s="1"/>
  <c r="AP98" i="7" s="1"/>
  <c r="AP511" i="7"/>
  <c r="AP512" i="7" s="1"/>
  <c r="AP31" i="7"/>
  <c r="AP33" i="7" s="1"/>
  <c r="AI511" i="7"/>
  <c r="AI512" i="7" s="1"/>
  <c r="AI475" i="7"/>
  <c r="AI476" i="7" s="1"/>
  <c r="AI98" i="7" s="1"/>
  <c r="AI519" i="7"/>
  <c r="AI520" i="7" s="1"/>
  <c r="AI515" i="7"/>
  <c r="AI516" i="7" s="1"/>
  <c r="AI481" i="7"/>
  <c r="AI482" i="7" s="1"/>
  <c r="AI99" i="7" s="1"/>
  <c r="AI119" i="7"/>
  <c r="AI10" i="7"/>
  <c r="AI12" i="7" s="1"/>
  <c r="AI507" i="7"/>
  <c r="AI508" i="7" s="1"/>
  <c r="AI31" i="7"/>
  <c r="AI33" i="7" s="1"/>
  <c r="C507" i="7"/>
  <c r="C508" i="7" s="1"/>
  <c r="C31" i="7"/>
  <c r="C33" i="7" s="1"/>
  <c r="C515" i="7"/>
  <c r="C516" i="7" s="1"/>
  <c r="C119" i="7"/>
  <c r="C511" i="7"/>
  <c r="C512" i="7" s="1"/>
  <c r="C475" i="7"/>
  <c r="C476" i="7" s="1"/>
  <c r="C98" i="7" s="1"/>
  <c r="C519" i="7"/>
  <c r="C520" i="7" s="1"/>
  <c r="C481" i="7"/>
  <c r="C482" i="7" s="1"/>
  <c r="C99" i="7" s="1"/>
  <c r="C10" i="7"/>
  <c r="C12" i="7" s="1"/>
  <c r="G519" i="7"/>
  <c r="G520" i="7" s="1"/>
  <c r="G481" i="7"/>
  <c r="G482" i="7" s="1"/>
  <c r="G99" i="7" s="1"/>
  <c r="G10" i="7"/>
  <c r="G12" i="7" s="1"/>
  <c r="G507" i="7"/>
  <c r="G508" i="7" s="1"/>
  <c r="G31" i="7"/>
  <c r="G33" i="7" s="1"/>
  <c r="G515" i="7"/>
  <c r="G516" i="7" s="1"/>
  <c r="G119" i="7"/>
  <c r="G511" i="7"/>
  <c r="G512" i="7" s="1"/>
  <c r="G475" i="7"/>
  <c r="G476" i="7" s="1"/>
  <c r="G98" i="7" s="1"/>
  <c r="K519" i="7"/>
  <c r="K520" i="7" s="1"/>
  <c r="K481" i="7"/>
  <c r="K482" i="7" s="1"/>
  <c r="K99" i="7" s="1"/>
  <c r="K10" i="7"/>
  <c r="K12" i="7" s="1"/>
  <c r="K475" i="7"/>
  <c r="K476" i="7" s="1"/>
  <c r="K98" i="7" s="1"/>
  <c r="K507" i="7"/>
  <c r="K508" i="7" s="1"/>
  <c r="K515" i="7"/>
  <c r="K516" i="7" s="1"/>
  <c r="K119" i="7"/>
  <c r="K511" i="7"/>
  <c r="K512" i="7" s="1"/>
  <c r="K31" i="7"/>
  <c r="K33" i="7" s="1"/>
  <c r="O519" i="7"/>
  <c r="O520" i="7" s="1"/>
  <c r="O119" i="7"/>
  <c r="O507" i="7"/>
  <c r="O508" i="7" s="1"/>
  <c r="O31" i="7"/>
  <c r="O33" i="7" s="1"/>
  <c r="O10" i="7"/>
  <c r="O12" i="7" s="1"/>
  <c r="O515" i="7"/>
  <c r="O516" i="7" s="1"/>
  <c r="O511" i="7"/>
  <c r="O512" i="7" s="1"/>
  <c r="O475" i="7"/>
  <c r="O476" i="7" s="1"/>
  <c r="O98" i="7" s="1"/>
  <c r="O481" i="7"/>
  <c r="O482" i="7" s="1"/>
  <c r="O99" i="7" s="1"/>
  <c r="S511" i="7"/>
  <c r="S512" i="7" s="1"/>
  <c r="S475" i="7"/>
  <c r="S476" i="7" s="1"/>
  <c r="S98" i="7" s="1"/>
  <c r="S519" i="7"/>
  <c r="S520" i="7" s="1"/>
  <c r="S481" i="7"/>
  <c r="S482" i="7" s="1"/>
  <c r="S99" i="7" s="1"/>
  <c r="S10" i="7"/>
  <c r="S12" i="7" s="1"/>
  <c r="S507" i="7"/>
  <c r="S508" i="7" s="1"/>
  <c r="S31" i="7"/>
  <c r="S33" i="7" s="1"/>
  <c r="S515" i="7"/>
  <c r="S516" i="7" s="1"/>
  <c r="S119" i="7"/>
  <c r="W511" i="7"/>
  <c r="W512" i="7" s="1"/>
  <c r="W475" i="7"/>
  <c r="W476" i="7" s="1"/>
  <c r="W98" i="7" s="1"/>
  <c r="W519" i="7"/>
  <c r="W520" i="7" s="1"/>
  <c r="W481" i="7"/>
  <c r="W482" i="7" s="1"/>
  <c r="W99" i="7" s="1"/>
  <c r="W10" i="7"/>
  <c r="W12" i="7" s="1"/>
  <c r="W507" i="7"/>
  <c r="W508" i="7" s="1"/>
  <c r="W31" i="7"/>
  <c r="W33" i="7" s="1"/>
  <c r="W515" i="7"/>
  <c r="W516" i="7" s="1"/>
  <c r="W119" i="7"/>
  <c r="AA511" i="7"/>
  <c r="AA512" i="7" s="1"/>
  <c r="AA475" i="7"/>
  <c r="AA476" i="7" s="1"/>
  <c r="AA98" i="7" s="1"/>
  <c r="AA519" i="7"/>
  <c r="AA520" i="7" s="1"/>
  <c r="AA481" i="7"/>
  <c r="AA482" i="7" s="1"/>
  <c r="AA99" i="7" s="1"/>
  <c r="AA10" i="7"/>
  <c r="AA12" i="7" s="1"/>
  <c r="AA507" i="7"/>
  <c r="AA508" i="7" s="1"/>
  <c r="AA31" i="7"/>
  <c r="AA33" i="7" s="1"/>
  <c r="AA515" i="7"/>
  <c r="AA516" i="7" s="1"/>
  <c r="AA119" i="7"/>
  <c r="AE519" i="7"/>
  <c r="AE520" i="7" s="1"/>
  <c r="AE481" i="7"/>
  <c r="AE482" i="7" s="1"/>
  <c r="AE99" i="7" s="1"/>
  <c r="AE10" i="7"/>
  <c r="AE12" i="7" s="1"/>
  <c r="AE507" i="7"/>
  <c r="AE508" i="7" s="1"/>
  <c r="AE31" i="7"/>
  <c r="AE33" i="7" s="1"/>
  <c r="AE515" i="7"/>
  <c r="AE516" i="7" s="1"/>
  <c r="AE119" i="7"/>
  <c r="AE511" i="7"/>
  <c r="AE512" i="7" s="1"/>
  <c r="AE475" i="7"/>
  <c r="AE476" i="7" s="1"/>
  <c r="AE98" i="7" s="1"/>
  <c r="F515" i="7"/>
  <c r="F516" i="7" s="1"/>
  <c r="F519" i="7"/>
  <c r="F520" i="7" s="1"/>
  <c r="F10" i="7"/>
  <c r="F12" i="7" s="1"/>
  <c r="F475" i="7"/>
  <c r="F476" i="7" s="1"/>
  <c r="F98" i="7" s="1"/>
  <c r="F31" i="7"/>
  <c r="F33" i="7" s="1"/>
  <c r="F481" i="7"/>
  <c r="F482" i="7" s="1"/>
  <c r="F99" i="7" s="1"/>
  <c r="F119" i="7"/>
  <c r="F507" i="7"/>
  <c r="F508" i="7" s="1"/>
  <c r="F511" i="7"/>
  <c r="F512" i="7" s="1"/>
  <c r="J475" i="7"/>
  <c r="J476" i="7" s="1"/>
  <c r="J98" i="7" s="1"/>
  <c r="J31" i="7"/>
  <c r="J33" i="7" s="1"/>
  <c r="J481" i="7"/>
  <c r="J482" i="7" s="1"/>
  <c r="J99" i="7" s="1"/>
  <c r="J119" i="7"/>
  <c r="J507" i="7"/>
  <c r="J508" i="7" s="1"/>
  <c r="J511" i="7"/>
  <c r="J512" i="7" s="1"/>
  <c r="J515" i="7"/>
  <c r="J516" i="7" s="1"/>
  <c r="J519" i="7"/>
  <c r="J520" i="7" s="1"/>
  <c r="J10" i="7"/>
  <c r="J12" i="7" s="1"/>
  <c r="N475" i="7"/>
  <c r="N476" i="7" s="1"/>
  <c r="N98" i="7" s="1"/>
  <c r="N31" i="7"/>
  <c r="N33" i="7" s="1"/>
  <c r="N481" i="7"/>
  <c r="N482" i="7" s="1"/>
  <c r="N99" i="7" s="1"/>
  <c r="N119" i="7"/>
  <c r="N507" i="7"/>
  <c r="N508" i="7" s="1"/>
  <c r="N511" i="7"/>
  <c r="N512" i="7" s="1"/>
  <c r="N515" i="7"/>
  <c r="N516" i="7" s="1"/>
  <c r="N519" i="7"/>
  <c r="N520" i="7" s="1"/>
  <c r="N10" i="7"/>
  <c r="N12" i="7" s="1"/>
  <c r="R507" i="7"/>
  <c r="R508" i="7" s="1"/>
  <c r="R511" i="7"/>
  <c r="R512" i="7" s="1"/>
  <c r="R515" i="7"/>
  <c r="R516" i="7" s="1"/>
  <c r="R119" i="7"/>
  <c r="R519" i="7"/>
  <c r="R520" i="7" s="1"/>
  <c r="R475" i="7"/>
  <c r="R476" i="7" s="1"/>
  <c r="R98" i="7" s="1"/>
  <c r="R31" i="7"/>
  <c r="R33" i="7" s="1"/>
  <c r="R481" i="7"/>
  <c r="R482" i="7" s="1"/>
  <c r="R99" i="7" s="1"/>
  <c r="R10" i="7"/>
  <c r="R12" i="7" s="1"/>
  <c r="V481" i="7"/>
  <c r="V482" i="7" s="1"/>
  <c r="V99" i="7" s="1"/>
  <c r="V10" i="7"/>
  <c r="V12" i="7" s="1"/>
  <c r="V475" i="7"/>
  <c r="V476" i="7" s="1"/>
  <c r="V98" i="7" s="1"/>
  <c r="V31" i="7"/>
  <c r="V33" i="7" s="1"/>
  <c r="V515" i="7"/>
  <c r="V516" i="7" s="1"/>
  <c r="V519" i="7"/>
  <c r="V520" i="7" s="1"/>
  <c r="V507" i="7"/>
  <c r="V508" i="7" s="1"/>
  <c r="V511" i="7"/>
  <c r="V512" i="7" s="1"/>
  <c r="V119" i="7"/>
  <c r="Z481" i="7"/>
  <c r="Z482" i="7" s="1"/>
  <c r="Z99" i="7" s="1"/>
  <c r="Z507" i="7"/>
  <c r="Z508" i="7" s="1"/>
  <c r="Z511" i="7"/>
  <c r="Z512" i="7" s="1"/>
  <c r="Z519" i="7"/>
  <c r="Z520" i="7" s="1"/>
  <c r="Z515" i="7"/>
  <c r="Z516" i="7" s="1"/>
  <c r="Z10" i="7"/>
  <c r="Z12" i="7" s="1"/>
  <c r="Z475" i="7"/>
  <c r="Z476" i="7" s="1"/>
  <c r="Z98" i="7" s="1"/>
  <c r="Z31" i="7"/>
  <c r="Z33" i="7" s="1"/>
  <c r="Z119" i="7"/>
  <c r="AD475" i="7"/>
  <c r="AD476" i="7" s="1"/>
  <c r="AD98" i="7" s="1"/>
  <c r="AD31" i="7"/>
  <c r="AD33" i="7" s="1"/>
  <c r="AD481" i="7"/>
  <c r="AD482" i="7" s="1"/>
  <c r="AD99" i="7" s="1"/>
  <c r="AD119" i="7"/>
  <c r="AD507" i="7"/>
  <c r="AD508" i="7" s="1"/>
  <c r="AD511" i="7"/>
  <c r="AD512" i="7" s="1"/>
  <c r="AD515" i="7"/>
  <c r="AD516" i="7" s="1"/>
  <c r="AD519" i="7"/>
  <c r="AD520" i="7" s="1"/>
  <c r="AD10" i="7"/>
  <c r="AD12" i="7" s="1"/>
  <c r="E519" i="7"/>
  <c r="E520" i="7" s="1"/>
  <c r="E481" i="7"/>
  <c r="E482" i="7" s="1"/>
  <c r="E99" i="7" s="1"/>
  <c r="E10" i="7"/>
  <c r="E12" i="7" s="1"/>
  <c r="E507" i="7"/>
  <c r="E508" i="7" s="1"/>
  <c r="E31" i="7"/>
  <c r="E33" i="7" s="1"/>
  <c r="E515" i="7"/>
  <c r="E516" i="7" s="1"/>
  <c r="E119" i="7"/>
  <c r="E511" i="7"/>
  <c r="E512" i="7" s="1"/>
  <c r="E475" i="7"/>
  <c r="E476" i="7" s="1"/>
  <c r="E98" i="7" s="1"/>
  <c r="I511" i="7"/>
  <c r="I512" i="7" s="1"/>
  <c r="I475" i="7"/>
  <c r="I476" i="7" s="1"/>
  <c r="I98" i="7" s="1"/>
  <c r="I519" i="7"/>
  <c r="I520" i="7" s="1"/>
  <c r="I481" i="7"/>
  <c r="I482" i="7" s="1"/>
  <c r="I99" i="7" s="1"/>
  <c r="I10" i="7"/>
  <c r="I12" i="7" s="1"/>
  <c r="I507" i="7"/>
  <c r="I508" i="7" s="1"/>
  <c r="I31" i="7"/>
  <c r="I33" i="7" s="1"/>
  <c r="I515" i="7"/>
  <c r="I516" i="7" s="1"/>
  <c r="I119" i="7"/>
  <c r="M519" i="7"/>
  <c r="M520" i="7" s="1"/>
  <c r="M511" i="7"/>
  <c r="M512" i="7" s="1"/>
  <c r="M475" i="7"/>
  <c r="M476" i="7" s="1"/>
  <c r="M98" i="7" s="1"/>
  <c r="M515" i="7"/>
  <c r="M516" i="7" s="1"/>
  <c r="M10" i="7"/>
  <c r="M12" i="7" s="1"/>
  <c r="M481" i="7"/>
  <c r="M482" i="7" s="1"/>
  <c r="M99" i="7" s="1"/>
  <c r="M507" i="7"/>
  <c r="M508" i="7" s="1"/>
  <c r="M31" i="7"/>
  <c r="M33" i="7" s="1"/>
  <c r="M119" i="7"/>
  <c r="Q519" i="7"/>
  <c r="Q520" i="7" s="1"/>
  <c r="Q481" i="7"/>
  <c r="Q482" i="7" s="1"/>
  <c r="Q99" i="7" s="1"/>
  <c r="Q10" i="7"/>
  <c r="Q12" i="7" s="1"/>
  <c r="Q507" i="7"/>
  <c r="Q508" i="7" s="1"/>
  <c r="Q31" i="7"/>
  <c r="Q33" i="7" s="1"/>
  <c r="Q515" i="7"/>
  <c r="Q516" i="7" s="1"/>
  <c r="Q119" i="7"/>
  <c r="Q511" i="7"/>
  <c r="Q512" i="7" s="1"/>
  <c r="Q475" i="7"/>
  <c r="Q476" i="7" s="1"/>
  <c r="Q98" i="7" s="1"/>
  <c r="U519" i="7"/>
  <c r="U520" i="7" s="1"/>
  <c r="U481" i="7"/>
  <c r="U482" i="7" s="1"/>
  <c r="U99" i="7" s="1"/>
  <c r="U10" i="7"/>
  <c r="U12" i="7" s="1"/>
  <c r="U511" i="7"/>
  <c r="U512" i="7" s="1"/>
  <c r="U31" i="7"/>
  <c r="U33" i="7" s="1"/>
  <c r="U515" i="7"/>
  <c r="U516" i="7" s="1"/>
  <c r="U119" i="7"/>
  <c r="U475" i="7"/>
  <c r="U476" i="7" s="1"/>
  <c r="U98" i="7" s="1"/>
  <c r="U507" i="7"/>
  <c r="U508" i="7" s="1"/>
  <c r="Y519" i="7"/>
  <c r="Y520" i="7" s="1"/>
  <c r="Y481" i="7"/>
  <c r="Y482" i="7" s="1"/>
  <c r="Y99" i="7" s="1"/>
  <c r="Y10" i="7"/>
  <c r="Y12" i="7" s="1"/>
  <c r="Y507" i="7"/>
  <c r="Y508" i="7" s="1"/>
  <c r="Y31" i="7"/>
  <c r="Y33" i="7" s="1"/>
  <c r="Y515" i="7"/>
  <c r="Y516" i="7" s="1"/>
  <c r="Y119" i="7"/>
  <c r="Y511" i="7"/>
  <c r="Y512" i="7" s="1"/>
  <c r="Y475" i="7"/>
  <c r="Y476" i="7" s="1"/>
  <c r="Y98" i="7" s="1"/>
  <c r="AC519" i="7"/>
  <c r="AC520" i="7" s="1"/>
  <c r="AC481" i="7"/>
  <c r="AC482" i="7" s="1"/>
  <c r="AC99" i="7" s="1"/>
  <c r="AC10" i="7"/>
  <c r="AC12" i="7" s="1"/>
  <c r="AC507" i="7"/>
  <c r="AC508" i="7" s="1"/>
  <c r="AC31" i="7"/>
  <c r="AC33" i="7" s="1"/>
  <c r="AC515" i="7"/>
  <c r="AC516" i="7" s="1"/>
  <c r="AC119" i="7"/>
  <c r="AC511" i="7"/>
  <c r="AC512" i="7" s="1"/>
  <c r="AC475" i="7"/>
  <c r="AC476" i="7" s="1"/>
  <c r="AC98" i="7" s="1"/>
  <c r="D515" i="7"/>
  <c r="D516" i="7" s="1"/>
  <c r="D519" i="7"/>
  <c r="D520" i="7" s="1"/>
  <c r="D10" i="7"/>
  <c r="D12" i="7" s="1"/>
  <c r="D475" i="7"/>
  <c r="D476" i="7" s="1"/>
  <c r="D98" i="7" s="1"/>
  <c r="D31" i="7"/>
  <c r="D33" i="7" s="1"/>
  <c r="D481" i="7"/>
  <c r="D482" i="7" s="1"/>
  <c r="D99" i="7" s="1"/>
  <c r="D119" i="7"/>
  <c r="D507" i="7"/>
  <c r="D508" i="7" s="1"/>
  <c r="D511" i="7"/>
  <c r="D512" i="7" s="1"/>
  <c r="H475" i="7"/>
  <c r="H476" i="7" s="1"/>
  <c r="H98" i="7" s="1"/>
  <c r="H31" i="7"/>
  <c r="H33" i="7" s="1"/>
  <c r="H507" i="7"/>
  <c r="H508" i="7" s="1"/>
  <c r="H511" i="7"/>
  <c r="H512" i="7" s="1"/>
  <c r="H515" i="7"/>
  <c r="H516" i="7" s="1"/>
  <c r="H519" i="7"/>
  <c r="H520" i="7" s="1"/>
  <c r="H10" i="7"/>
  <c r="H12" i="7" s="1"/>
  <c r="H119" i="7"/>
  <c r="H481" i="7"/>
  <c r="H482" i="7" s="1"/>
  <c r="H99" i="7" s="1"/>
  <c r="L475" i="7"/>
  <c r="L476" i="7" s="1"/>
  <c r="L98" i="7" s="1"/>
  <c r="L31" i="7"/>
  <c r="L33" i="7" s="1"/>
  <c r="L481" i="7"/>
  <c r="L482" i="7" s="1"/>
  <c r="L99" i="7" s="1"/>
  <c r="L119" i="7"/>
  <c r="L507" i="7"/>
  <c r="L508" i="7" s="1"/>
  <c r="L511" i="7"/>
  <c r="L512" i="7" s="1"/>
  <c r="L515" i="7"/>
  <c r="L516" i="7" s="1"/>
  <c r="L519" i="7"/>
  <c r="L520" i="7" s="1"/>
  <c r="L10" i="7"/>
  <c r="L12" i="7" s="1"/>
  <c r="P475" i="7"/>
  <c r="P476" i="7" s="1"/>
  <c r="P98" i="7" s="1"/>
  <c r="P31" i="7"/>
  <c r="P33" i="7" s="1"/>
  <c r="P481" i="7"/>
  <c r="P482" i="7" s="1"/>
  <c r="P99" i="7" s="1"/>
  <c r="P119" i="7"/>
  <c r="P507" i="7"/>
  <c r="P508" i="7" s="1"/>
  <c r="P511" i="7"/>
  <c r="P512" i="7" s="1"/>
  <c r="P515" i="7"/>
  <c r="P516" i="7" s="1"/>
  <c r="P519" i="7"/>
  <c r="P520" i="7" s="1"/>
  <c r="P10" i="7"/>
  <c r="P12" i="7" s="1"/>
  <c r="T515" i="7"/>
  <c r="T516" i="7" s="1"/>
  <c r="T519" i="7"/>
  <c r="T520" i="7" s="1"/>
  <c r="T10" i="7"/>
  <c r="T12" i="7" s="1"/>
  <c r="T511" i="7"/>
  <c r="T512" i="7" s="1"/>
  <c r="T475" i="7"/>
  <c r="T476" i="7" s="1"/>
  <c r="T98" i="7" s="1"/>
  <c r="T481" i="7"/>
  <c r="T482" i="7" s="1"/>
  <c r="T99" i="7" s="1"/>
  <c r="T119" i="7"/>
  <c r="T507" i="7"/>
  <c r="T508" i="7" s="1"/>
  <c r="T31" i="7"/>
  <c r="T33" i="7" s="1"/>
  <c r="X475" i="7"/>
  <c r="X476" i="7" s="1"/>
  <c r="X98" i="7" s="1"/>
  <c r="X31" i="7"/>
  <c r="X33" i="7" s="1"/>
  <c r="X481" i="7"/>
  <c r="X482" i="7" s="1"/>
  <c r="X99" i="7" s="1"/>
  <c r="X119" i="7"/>
  <c r="X507" i="7"/>
  <c r="X508" i="7" s="1"/>
  <c r="X511" i="7"/>
  <c r="X512" i="7" s="1"/>
  <c r="X515" i="7"/>
  <c r="X516" i="7" s="1"/>
  <c r="X519" i="7"/>
  <c r="X520" i="7" s="1"/>
  <c r="X10" i="7"/>
  <c r="X12" i="7" s="1"/>
  <c r="AB515" i="7"/>
  <c r="AB516" i="7" s="1"/>
  <c r="AB519" i="7"/>
  <c r="AB520" i="7" s="1"/>
  <c r="AB10" i="7"/>
  <c r="AB12" i="7" s="1"/>
  <c r="AB511" i="7"/>
  <c r="AB512" i="7" s="1"/>
  <c r="AB507" i="7"/>
  <c r="AB508" i="7" s="1"/>
  <c r="AB481" i="7"/>
  <c r="AB482" i="7" s="1"/>
  <c r="AB99" i="7" s="1"/>
  <c r="AB119" i="7"/>
  <c r="AB475" i="7"/>
  <c r="AB476" i="7" s="1"/>
  <c r="AB98" i="7" s="1"/>
  <c r="AB31" i="7"/>
  <c r="AB33" i="7" s="1"/>
  <c r="AF475" i="7"/>
  <c r="AF476" i="7" s="1"/>
  <c r="AF98" i="7" s="1"/>
  <c r="AF31" i="7"/>
  <c r="AF33" i="7" s="1"/>
  <c r="AF481" i="7"/>
  <c r="AF482" i="7" s="1"/>
  <c r="AF99" i="7" s="1"/>
  <c r="AF119" i="7"/>
  <c r="AF507" i="7"/>
  <c r="AF508" i="7" s="1"/>
  <c r="AF511" i="7"/>
  <c r="AF512" i="7" s="1"/>
  <c r="AF515" i="7"/>
  <c r="AF516" i="7" s="1"/>
  <c r="AF519" i="7"/>
  <c r="AF520" i="7" s="1"/>
  <c r="AF10" i="7"/>
  <c r="AF12" i="7" s="1"/>
  <c r="O579" i="7"/>
  <c r="O582" i="7" s="1"/>
  <c r="B122" i="7" l="1"/>
  <c r="AI14" i="7"/>
  <c r="AI18" i="7" s="1"/>
  <c r="AI20" i="7" s="1"/>
  <c r="AI522" i="7"/>
  <c r="AI152" i="7"/>
  <c r="AI191" i="7"/>
  <c r="AI44" i="7"/>
  <c r="AI154" i="7"/>
  <c r="AI193" i="7"/>
  <c r="AI46" i="7"/>
  <c r="AI169" i="7"/>
  <c r="AI100" i="7"/>
  <c r="AP169" i="7"/>
  <c r="AP100" i="7"/>
  <c r="AP118" i="7"/>
  <c r="AP155" i="7"/>
  <c r="AP194" i="7"/>
  <c r="AP47" i="7"/>
  <c r="AP193" i="7"/>
  <c r="AP46" i="7"/>
  <c r="AP154" i="7"/>
  <c r="AG193" i="7"/>
  <c r="AG46" i="7"/>
  <c r="AG154" i="7"/>
  <c r="AG14" i="7"/>
  <c r="AG18" i="7" s="1"/>
  <c r="AG20" i="7" s="1"/>
  <c r="AG191" i="7"/>
  <c r="AG44" i="7"/>
  <c r="AG522" i="7"/>
  <c r="AG152" i="7"/>
  <c r="AH118" i="7"/>
  <c r="AH155" i="7"/>
  <c r="AH194" i="7"/>
  <c r="AH47" i="7"/>
  <c r="AH193" i="7"/>
  <c r="AH46" i="7"/>
  <c r="AH154" i="7"/>
  <c r="AH192" i="7"/>
  <c r="AH45" i="7"/>
  <c r="AH153" i="7"/>
  <c r="AH14" i="7"/>
  <c r="AH18" i="7" s="1"/>
  <c r="AH20" i="7" s="1"/>
  <c r="AH522" i="7"/>
  <c r="AH152" i="7"/>
  <c r="AH191" i="7"/>
  <c r="AH44" i="7"/>
  <c r="AJ118" i="7"/>
  <c r="AJ194" i="7"/>
  <c r="AJ47" i="7"/>
  <c r="AJ155" i="7"/>
  <c r="AJ154" i="7"/>
  <c r="AJ193" i="7"/>
  <c r="AJ46" i="7"/>
  <c r="AJ192" i="7"/>
  <c r="AJ45" i="7"/>
  <c r="AJ153" i="7"/>
  <c r="AJ14" i="7"/>
  <c r="AJ18" i="7" s="1"/>
  <c r="AJ20" i="7" s="1"/>
  <c r="AJ191" i="7"/>
  <c r="AJ44" i="7"/>
  <c r="AJ522" i="7"/>
  <c r="AJ152" i="7"/>
  <c r="AK169" i="7"/>
  <c r="AK100" i="7"/>
  <c r="AK192" i="7"/>
  <c r="AK45" i="7"/>
  <c r="AK153" i="7"/>
  <c r="AK154" i="7"/>
  <c r="AK193" i="7"/>
  <c r="AK46" i="7"/>
  <c r="AL169" i="7"/>
  <c r="AL100" i="7"/>
  <c r="AL118" i="7"/>
  <c r="AL194" i="7"/>
  <c r="AL47" i="7"/>
  <c r="AL155" i="7"/>
  <c r="AL154" i="7"/>
  <c r="AL193" i="7"/>
  <c r="AL46" i="7"/>
  <c r="AM154" i="7"/>
  <c r="AM193" i="7"/>
  <c r="AM46" i="7"/>
  <c r="AM14" i="7"/>
  <c r="AM18" i="7" s="1"/>
  <c r="AM20" i="7" s="1"/>
  <c r="AM522" i="7"/>
  <c r="AM152" i="7"/>
  <c r="AM191" i="7"/>
  <c r="AM44" i="7"/>
  <c r="AN169" i="7"/>
  <c r="AN100" i="7"/>
  <c r="AN118" i="7"/>
  <c r="AN194" i="7"/>
  <c r="AN47" i="7"/>
  <c r="AN155" i="7"/>
  <c r="AN154" i="7"/>
  <c r="AN193" i="7"/>
  <c r="AN46" i="7"/>
  <c r="AO169" i="7"/>
  <c r="AO100" i="7"/>
  <c r="AO192" i="7"/>
  <c r="AO45" i="7"/>
  <c r="AO153" i="7"/>
  <c r="AO154" i="7"/>
  <c r="AO193" i="7"/>
  <c r="AO46" i="7"/>
  <c r="AI118" i="7"/>
  <c r="AI194" i="7"/>
  <c r="AI47" i="7"/>
  <c r="AI155" i="7"/>
  <c r="AI192" i="7"/>
  <c r="AI45" i="7"/>
  <c r="AI153" i="7"/>
  <c r="AP192" i="7"/>
  <c r="AP45" i="7"/>
  <c r="AP153" i="7"/>
  <c r="AP14" i="7"/>
  <c r="AP18" i="7" s="1"/>
  <c r="AP20" i="7" s="1"/>
  <c r="AP191" i="7"/>
  <c r="AP44" i="7"/>
  <c r="AP522" i="7"/>
  <c r="AP152" i="7"/>
  <c r="AG118" i="7"/>
  <c r="AG194" i="7"/>
  <c r="AG47" i="7"/>
  <c r="AG155" i="7"/>
  <c r="AG169" i="7"/>
  <c r="AG100" i="7"/>
  <c r="AG153" i="7"/>
  <c r="AG192" i="7"/>
  <c r="AG45" i="7"/>
  <c r="AH169" i="7"/>
  <c r="AH100" i="7"/>
  <c r="AJ169" i="7"/>
  <c r="AJ100" i="7"/>
  <c r="AK118" i="7"/>
  <c r="AK14" i="7"/>
  <c r="AK18" i="7" s="1"/>
  <c r="AK20" i="7" s="1"/>
  <c r="AK191" i="7"/>
  <c r="AK44" i="7"/>
  <c r="AK522" i="7"/>
  <c r="AK152" i="7"/>
  <c r="AK155" i="7"/>
  <c r="AK194" i="7"/>
  <c r="AK47" i="7"/>
  <c r="AL192" i="7"/>
  <c r="AL45" i="7"/>
  <c r="AL153" i="7"/>
  <c r="AL14" i="7"/>
  <c r="AL18" i="7" s="1"/>
  <c r="AL20" i="7" s="1"/>
  <c r="AL522" i="7"/>
  <c r="AL152" i="7"/>
  <c r="AL191" i="7"/>
  <c r="AL44" i="7"/>
  <c r="AM118" i="7"/>
  <c r="AM194" i="7"/>
  <c r="AM47" i="7"/>
  <c r="AM155" i="7"/>
  <c r="AM169" i="7"/>
  <c r="AM100" i="7"/>
  <c r="AM153" i="7"/>
  <c r="AM192" i="7"/>
  <c r="AM45" i="7"/>
  <c r="AN153" i="7"/>
  <c r="AN192" i="7"/>
  <c r="AN45" i="7"/>
  <c r="AN14" i="7"/>
  <c r="AN18" i="7" s="1"/>
  <c r="AN20" i="7" s="1"/>
  <c r="AN191" i="7"/>
  <c r="AN44" i="7"/>
  <c r="AN522" i="7"/>
  <c r="AN152" i="7"/>
  <c r="AO14" i="7"/>
  <c r="AO18" i="7" s="1"/>
  <c r="AO20" i="7" s="1"/>
  <c r="AO522" i="7"/>
  <c r="AO152" i="7"/>
  <c r="AO191" i="7"/>
  <c r="AO44" i="7"/>
  <c r="AO118" i="7"/>
  <c r="AO194" i="7"/>
  <c r="AO47" i="7"/>
  <c r="AO155" i="7"/>
  <c r="AF194" i="7"/>
  <c r="AF155" i="7"/>
  <c r="AF47" i="7"/>
  <c r="AF153" i="7"/>
  <c r="AF45" i="7"/>
  <c r="AF192" i="7"/>
  <c r="AB14" i="7"/>
  <c r="AB18" i="7" s="1"/>
  <c r="AB20" i="7" s="1"/>
  <c r="AB44" i="7"/>
  <c r="AB152" i="7"/>
  <c r="AB191" i="7"/>
  <c r="AB522" i="7"/>
  <c r="AB118" i="7"/>
  <c r="AB193" i="7"/>
  <c r="AB154" i="7"/>
  <c r="AB46" i="7"/>
  <c r="X155" i="7"/>
  <c r="X47" i="7"/>
  <c r="X194" i="7"/>
  <c r="X192" i="7"/>
  <c r="X153" i="7"/>
  <c r="X45" i="7"/>
  <c r="T169" i="7"/>
  <c r="T100" i="7"/>
  <c r="T118" i="7"/>
  <c r="T46" i="7"/>
  <c r="T193" i="7"/>
  <c r="T154" i="7"/>
  <c r="P155" i="7"/>
  <c r="P47" i="7"/>
  <c r="P194" i="7"/>
  <c r="P153" i="7"/>
  <c r="P45" i="7"/>
  <c r="P192" i="7"/>
  <c r="L118" i="7"/>
  <c r="L193" i="7"/>
  <c r="L154" i="7"/>
  <c r="L46" i="7"/>
  <c r="L14" i="7"/>
  <c r="L18" i="7" s="1"/>
  <c r="L20" i="7" s="1"/>
  <c r="L522" i="7"/>
  <c r="L191" i="7"/>
  <c r="L152" i="7"/>
  <c r="L44" i="7"/>
  <c r="L169" i="7"/>
  <c r="L100" i="7"/>
  <c r="H155" i="7"/>
  <c r="H47" i="7"/>
  <c r="H194" i="7"/>
  <c r="H153" i="7"/>
  <c r="H45" i="7"/>
  <c r="H192" i="7"/>
  <c r="D45" i="7"/>
  <c r="D192" i="7"/>
  <c r="D153" i="7"/>
  <c r="D118" i="7"/>
  <c r="D46" i="7"/>
  <c r="D193" i="7"/>
  <c r="D154" i="7"/>
  <c r="AC192" i="7"/>
  <c r="AC153" i="7"/>
  <c r="AC45" i="7"/>
  <c r="AC193" i="7"/>
  <c r="AC154" i="7"/>
  <c r="AC46" i="7"/>
  <c r="AC14" i="7"/>
  <c r="AC18" i="7" s="1"/>
  <c r="AC20" i="7" s="1"/>
  <c r="AC191" i="7"/>
  <c r="AC522" i="7"/>
  <c r="AC44" i="7"/>
  <c r="AC152" i="7"/>
  <c r="Y169" i="7"/>
  <c r="Y100" i="7"/>
  <c r="Y118" i="7"/>
  <c r="Y194" i="7"/>
  <c r="Y155" i="7"/>
  <c r="Y47" i="7"/>
  <c r="U169" i="7"/>
  <c r="U100" i="7"/>
  <c r="U46" i="7"/>
  <c r="U193" i="7"/>
  <c r="U154" i="7"/>
  <c r="U192" i="7"/>
  <c r="U153" i="7"/>
  <c r="U45" i="7"/>
  <c r="Q169" i="7"/>
  <c r="Q100" i="7"/>
  <c r="Q118" i="7"/>
  <c r="Q155" i="7"/>
  <c r="Q194" i="7"/>
  <c r="Q47" i="7"/>
  <c r="M193" i="7"/>
  <c r="M154" i="7"/>
  <c r="M46" i="7"/>
  <c r="M192" i="7"/>
  <c r="M153" i="7"/>
  <c r="M45" i="7"/>
  <c r="I118" i="7"/>
  <c r="I155" i="7"/>
  <c r="I47" i="7"/>
  <c r="I194" i="7"/>
  <c r="I192" i="7"/>
  <c r="I153" i="7"/>
  <c r="I45" i="7"/>
  <c r="E153" i="7"/>
  <c r="E45" i="7"/>
  <c r="E192" i="7"/>
  <c r="E193" i="7"/>
  <c r="E154" i="7"/>
  <c r="E46" i="7"/>
  <c r="E14" i="7"/>
  <c r="E18" i="7" s="1"/>
  <c r="E20" i="7" s="1"/>
  <c r="E522" i="7"/>
  <c r="E191" i="7"/>
  <c r="E152" i="7"/>
  <c r="E44" i="7"/>
  <c r="AD194" i="7"/>
  <c r="AD155" i="7"/>
  <c r="AD47" i="7"/>
  <c r="AD45" i="7"/>
  <c r="AD192" i="7"/>
  <c r="AD153" i="7"/>
  <c r="Z169" i="7"/>
  <c r="Z100" i="7"/>
  <c r="Z193" i="7"/>
  <c r="Z154" i="7"/>
  <c r="Z46" i="7"/>
  <c r="Z153" i="7"/>
  <c r="Z45" i="7"/>
  <c r="Z192" i="7"/>
  <c r="V192" i="7"/>
  <c r="V153" i="7"/>
  <c r="V45" i="7"/>
  <c r="V194" i="7"/>
  <c r="V155" i="7"/>
  <c r="V47" i="7"/>
  <c r="V118" i="7"/>
  <c r="R118" i="7"/>
  <c r="R194" i="7"/>
  <c r="R155" i="7"/>
  <c r="R47" i="7"/>
  <c r="R154" i="7"/>
  <c r="R46" i="7"/>
  <c r="R193" i="7"/>
  <c r="R14" i="7"/>
  <c r="R18" i="7" s="1"/>
  <c r="R20" i="7" s="1"/>
  <c r="R191" i="7"/>
  <c r="R522" i="7"/>
  <c r="R44" i="7"/>
  <c r="R152" i="7"/>
  <c r="N155" i="7"/>
  <c r="N47" i="7"/>
  <c r="N194" i="7"/>
  <c r="N153" i="7"/>
  <c r="N45" i="7"/>
  <c r="N192" i="7"/>
  <c r="J118" i="7"/>
  <c r="J193" i="7"/>
  <c r="J154" i="7"/>
  <c r="J46" i="7"/>
  <c r="J14" i="7"/>
  <c r="J18" i="7" s="1"/>
  <c r="J20" i="7" s="1"/>
  <c r="J522" i="7"/>
  <c r="J191" i="7"/>
  <c r="J152" i="7"/>
  <c r="J44" i="7"/>
  <c r="J169" i="7"/>
  <c r="J100" i="7"/>
  <c r="F14" i="7"/>
  <c r="F18" i="7" s="1"/>
  <c r="F20" i="7" s="1"/>
  <c r="F522" i="7"/>
  <c r="F191" i="7"/>
  <c r="F152" i="7"/>
  <c r="F44" i="7"/>
  <c r="F169" i="7"/>
  <c r="F100" i="7"/>
  <c r="F47" i="7"/>
  <c r="F194" i="7"/>
  <c r="F155" i="7"/>
  <c r="AE192" i="7"/>
  <c r="AE153" i="7"/>
  <c r="AE45" i="7"/>
  <c r="AE193" i="7"/>
  <c r="AE154" i="7"/>
  <c r="AE46" i="7"/>
  <c r="AE14" i="7"/>
  <c r="AE18" i="7" s="1"/>
  <c r="AE20" i="7" s="1"/>
  <c r="AE44" i="7"/>
  <c r="AE152" i="7"/>
  <c r="AE191" i="7"/>
  <c r="AE522" i="7"/>
  <c r="AA118" i="7"/>
  <c r="AA47" i="7"/>
  <c r="AA194" i="7"/>
  <c r="AA155" i="7"/>
  <c r="AA153" i="7"/>
  <c r="AA45" i="7"/>
  <c r="AA192" i="7"/>
  <c r="W46" i="7"/>
  <c r="W193" i="7"/>
  <c r="W154" i="7"/>
  <c r="W14" i="7"/>
  <c r="W18" i="7" s="1"/>
  <c r="W191" i="7"/>
  <c r="W522" i="7"/>
  <c r="W44" i="7"/>
  <c r="W152" i="7"/>
  <c r="W169" i="7"/>
  <c r="W100" i="7"/>
  <c r="S118" i="7"/>
  <c r="S194" i="7"/>
  <c r="S155" i="7"/>
  <c r="S47" i="7"/>
  <c r="S192" i="7"/>
  <c r="S45" i="7"/>
  <c r="S153" i="7"/>
  <c r="O169" i="7"/>
  <c r="O100" i="7"/>
  <c r="O193" i="7"/>
  <c r="O154" i="7"/>
  <c r="O46" i="7"/>
  <c r="K14" i="7"/>
  <c r="K18" i="7" s="1"/>
  <c r="K20" i="7" s="1"/>
  <c r="K191" i="7"/>
  <c r="K522" i="7"/>
  <c r="K44" i="7"/>
  <c r="K152" i="7"/>
  <c r="K118" i="7"/>
  <c r="K194" i="7"/>
  <c r="K155" i="7"/>
  <c r="K47" i="7"/>
  <c r="G192" i="7"/>
  <c r="G153" i="7"/>
  <c r="G45" i="7"/>
  <c r="G193" i="7"/>
  <c r="G154" i="7"/>
  <c r="G46" i="7"/>
  <c r="G14" i="7"/>
  <c r="G18" i="7" s="1"/>
  <c r="G20" i="7" s="1"/>
  <c r="G522" i="7"/>
  <c r="G191" i="7"/>
  <c r="G152" i="7"/>
  <c r="G44" i="7"/>
  <c r="C118" i="7"/>
  <c r="C194" i="7"/>
  <c r="C155" i="7"/>
  <c r="C47" i="7"/>
  <c r="C192" i="7"/>
  <c r="C153" i="7"/>
  <c r="C45" i="7"/>
  <c r="C46" i="7"/>
  <c r="C193" i="7"/>
  <c r="C154" i="7"/>
  <c r="C14" i="7"/>
  <c r="C18" i="7" s="1"/>
  <c r="C20" i="7" s="1"/>
  <c r="G9" i="1" s="1"/>
  <c r="C191" i="7"/>
  <c r="C522" i="7"/>
  <c r="C44" i="7"/>
  <c r="C152" i="7"/>
  <c r="AF118" i="7"/>
  <c r="AF46" i="7"/>
  <c r="AF193" i="7"/>
  <c r="AF154" i="7"/>
  <c r="AF14" i="7"/>
  <c r="AF18" i="7" s="1"/>
  <c r="AF20" i="7" s="1"/>
  <c r="AF44" i="7"/>
  <c r="AF152" i="7"/>
  <c r="AF191" i="7"/>
  <c r="AF522" i="7"/>
  <c r="AF169" i="7"/>
  <c r="AF100" i="7"/>
  <c r="AB169" i="7"/>
  <c r="AB100" i="7"/>
  <c r="AB45" i="7"/>
  <c r="AB192" i="7"/>
  <c r="AB153" i="7"/>
  <c r="AB155" i="7"/>
  <c r="AB47" i="7"/>
  <c r="AB194" i="7"/>
  <c r="X118" i="7"/>
  <c r="X46" i="7"/>
  <c r="X193" i="7"/>
  <c r="X154" i="7"/>
  <c r="X14" i="7"/>
  <c r="X18" i="7" s="1"/>
  <c r="X20" i="7" s="1"/>
  <c r="X152" i="7"/>
  <c r="X44" i="7"/>
  <c r="X522" i="7"/>
  <c r="X191" i="7"/>
  <c r="X169" i="7"/>
  <c r="X100" i="7"/>
  <c r="T14" i="7"/>
  <c r="T18" i="7" s="1"/>
  <c r="T20" i="7" s="1"/>
  <c r="T152" i="7"/>
  <c r="T44" i="7"/>
  <c r="T522" i="7"/>
  <c r="T191" i="7"/>
  <c r="T192" i="7"/>
  <c r="T153" i="7"/>
  <c r="T45" i="7"/>
  <c r="T194" i="7"/>
  <c r="T155" i="7"/>
  <c r="T47" i="7"/>
  <c r="P118" i="7"/>
  <c r="P46" i="7"/>
  <c r="P193" i="7"/>
  <c r="P154" i="7"/>
  <c r="P14" i="7"/>
  <c r="P18" i="7" s="1"/>
  <c r="P20" i="7" s="1"/>
  <c r="P44" i="7"/>
  <c r="P152" i="7"/>
  <c r="P191" i="7"/>
  <c r="P522" i="7"/>
  <c r="P169" i="7"/>
  <c r="P100" i="7"/>
  <c r="L194" i="7"/>
  <c r="L155" i="7"/>
  <c r="L47" i="7"/>
  <c r="L192" i="7"/>
  <c r="L153" i="7"/>
  <c r="L45" i="7"/>
  <c r="H118" i="7"/>
  <c r="H46" i="7"/>
  <c r="H193" i="7"/>
  <c r="H154" i="7"/>
  <c r="H14" i="7"/>
  <c r="H18" i="7" s="1"/>
  <c r="H20" i="7" s="1"/>
  <c r="H44" i="7"/>
  <c r="H152" i="7"/>
  <c r="H191" i="7"/>
  <c r="H522" i="7"/>
  <c r="H169" i="7"/>
  <c r="H100" i="7"/>
  <c r="D14" i="7"/>
  <c r="D18" i="7" s="1"/>
  <c r="D20" i="7" s="1"/>
  <c r="D522" i="7"/>
  <c r="D191" i="7"/>
  <c r="D152" i="7"/>
  <c r="D44" i="7"/>
  <c r="D169" i="7"/>
  <c r="D100" i="7"/>
  <c r="D155" i="7"/>
  <c r="D47" i="7"/>
  <c r="D194" i="7"/>
  <c r="AC169" i="7"/>
  <c r="AC100" i="7"/>
  <c r="AC118" i="7"/>
  <c r="AC194" i="7"/>
  <c r="AC155" i="7"/>
  <c r="AC47" i="7"/>
  <c r="Y192" i="7"/>
  <c r="Y153" i="7"/>
  <c r="Y45" i="7"/>
  <c r="Y193" i="7"/>
  <c r="Y154" i="7"/>
  <c r="Y46" i="7"/>
  <c r="Y14" i="7"/>
  <c r="Y18" i="7" s="1"/>
  <c r="Y20" i="7" s="1"/>
  <c r="Y191" i="7"/>
  <c r="Y522" i="7"/>
  <c r="Y44" i="7"/>
  <c r="Y152" i="7"/>
  <c r="U14" i="7"/>
  <c r="U18" i="7" s="1"/>
  <c r="U20" i="7" s="1"/>
  <c r="U44" i="7"/>
  <c r="U152" i="7"/>
  <c r="U191" i="7"/>
  <c r="U522" i="7"/>
  <c r="U118" i="7"/>
  <c r="U194" i="7"/>
  <c r="U155" i="7"/>
  <c r="U47" i="7"/>
  <c r="Q192" i="7"/>
  <c r="Q153" i="7"/>
  <c r="Q45" i="7"/>
  <c r="Q154" i="7"/>
  <c r="Q46" i="7"/>
  <c r="Q193" i="7"/>
  <c r="Q14" i="7"/>
  <c r="Q18" i="7" s="1"/>
  <c r="Q20" i="7" s="1"/>
  <c r="Q44" i="7"/>
  <c r="Q152" i="7"/>
  <c r="Q191" i="7"/>
  <c r="Q522" i="7"/>
  <c r="M14" i="7"/>
  <c r="M18" i="7" s="1"/>
  <c r="M20" i="7" s="1"/>
  <c r="M191" i="7"/>
  <c r="M522" i="7"/>
  <c r="M44" i="7"/>
  <c r="M152" i="7"/>
  <c r="M118" i="7"/>
  <c r="M169" i="7"/>
  <c r="M100" i="7"/>
  <c r="M194" i="7"/>
  <c r="M155" i="7"/>
  <c r="M47" i="7"/>
  <c r="I193" i="7"/>
  <c r="I154" i="7"/>
  <c r="I46" i="7"/>
  <c r="I14" i="7"/>
  <c r="I18" i="7" s="1"/>
  <c r="I20" i="7" s="1"/>
  <c r="I44" i="7"/>
  <c r="I152" i="7"/>
  <c r="I191" i="7"/>
  <c r="I522" i="7"/>
  <c r="I169" i="7"/>
  <c r="I100" i="7"/>
  <c r="E169" i="7"/>
  <c r="E100" i="7"/>
  <c r="E118" i="7"/>
  <c r="E155" i="7"/>
  <c r="E47" i="7"/>
  <c r="E194" i="7"/>
  <c r="AD118" i="7"/>
  <c r="AD193" i="7"/>
  <c r="AD154" i="7"/>
  <c r="AD46" i="7"/>
  <c r="AD14" i="7"/>
  <c r="AD18" i="7" s="1"/>
  <c r="AD20" i="7" s="1"/>
  <c r="AD522" i="7"/>
  <c r="AD191" i="7"/>
  <c r="AD152" i="7"/>
  <c r="AD44" i="7"/>
  <c r="AD169" i="7"/>
  <c r="AD100" i="7"/>
  <c r="Z118" i="7"/>
  <c r="Z47" i="7"/>
  <c r="Z194" i="7"/>
  <c r="Z155" i="7"/>
  <c r="Z14" i="7"/>
  <c r="Z18" i="7" s="1"/>
  <c r="Z20" i="7" s="1"/>
  <c r="Z44" i="7"/>
  <c r="Z152" i="7"/>
  <c r="Z191" i="7"/>
  <c r="Z522" i="7"/>
  <c r="V14" i="7"/>
  <c r="V18" i="7" s="1"/>
  <c r="V20" i="7" s="1"/>
  <c r="V152" i="7"/>
  <c r="V44" i="7"/>
  <c r="V522" i="7"/>
  <c r="V191" i="7"/>
  <c r="V193" i="7"/>
  <c r="V154" i="7"/>
  <c r="V46" i="7"/>
  <c r="V169" i="7"/>
  <c r="V100" i="7"/>
  <c r="R169" i="7"/>
  <c r="R100" i="7"/>
  <c r="R45" i="7"/>
  <c r="R192" i="7"/>
  <c r="R153" i="7"/>
  <c r="N118" i="7"/>
  <c r="N46" i="7"/>
  <c r="N193" i="7"/>
  <c r="N154" i="7"/>
  <c r="N14" i="7"/>
  <c r="N18" i="7" s="1"/>
  <c r="N20" i="7" s="1"/>
  <c r="N44" i="7"/>
  <c r="N152" i="7"/>
  <c r="N191" i="7"/>
  <c r="N522" i="7"/>
  <c r="N169" i="7"/>
  <c r="N100" i="7"/>
  <c r="J47" i="7"/>
  <c r="J194" i="7"/>
  <c r="J155" i="7"/>
  <c r="J192" i="7"/>
  <c r="J153" i="7"/>
  <c r="J45" i="7"/>
  <c r="F45" i="7"/>
  <c r="F192" i="7"/>
  <c r="F153" i="7"/>
  <c r="F118" i="7"/>
  <c r="F154" i="7"/>
  <c r="F46" i="7"/>
  <c r="F193" i="7"/>
  <c r="AE169" i="7"/>
  <c r="AE100" i="7"/>
  <c r="AE118" i="7"/>
  <c r="AE47" i="7"/>
  <c r="AE194" i="7"/>
  <c r="AE155" i="7"/>
  <c r="AA193" i="7"/>
  <c r="AA154" i="7"/>
  <c r="AA46" i="7"/>
  <c r="AA14" i="7"/>
  <c r="AA18" i="7" s="1"/>
  <c r="AA20" i="7" s="1"/>
  <c r="AA152" i="7"/>
  <c r="AA44" i="7"/>
  <c r="AA522" i="7"/>
  <c r="AA191" i="7"/>
  <c r="AA169" i="7"/>
  <c r="AA100" i="7"/>
  <c r="W20" i="7"/>
  <c r="W118" i="7"/>
  <c r="W194" i="7"/>
  <c r="W155" i="7"/>
  <c r="W47" i="7"/>
  <c r="W45" i="7"/>
  <c r="W192" i="7"/>
  <c r="W153" i="7"/>
  <c r="S193" i="7"/>
  <c r="S154" i="7"/>
  <c r="S46" i="7"/>
  <c r="S14" i="7"/>
  <c r="S18" i="7" s="1"/>
  <c r="S20" i="7" s="1"/>
  <c r="S522" i="7"/>
  <c r="S191" i="7"/>
  <c r="S44" i="7"/>
  <c r="S152" i="7"/>
  <c r="S169" i="7"/>
  <c r="S100" i="7"/>
  <c r="O45" i="7"/>
  <c r="O192" i="7"/>
  <c r="O153" i="7"/>
  <c r="O118" i="7"/>
  <c r="O14" i="7"/>
  <c r="O18" i="7" s="1"/>
  <c r="O20" i="7" s="1"/>
  <c r="O152" i="7"/>
  <c r="O44" i="7"/>
  <c r="O522" i="7"/>
  <c r="O191" i="7"/>
  <c r="O194" i="7"/>
  <c r="O155" i="7"/>
  <c r="O47" i="7"/>
  <c r="K192" i="7"/>
  <c r="K153" i="7"/>
  <c r="K45" i="7"/>
  <c r="K193" i="7"/>
  <c r="K154" i="7"/>
  <c r="K46" i="7"/>
  <c r="K169" i="7"/>
  <c r="K100" i="7"/>
  <c r="G169" i="7"/>
  <c r="G100" i="7"/>
  <c r="G118" i="7"/>
  <c r="G155" i="7"/>
  <c r="G47" i="7"/>
  <c r="G194" i="7"/>
  <c r="C169" i="7"/>
  <c r="C100" i="7"/>
  <c r="B119" i="7"/>
  <c r="P579" i="7"/>
  <c r="P582" i="7" s="1"/>
  <c r="G33" i="1" l="1"/>
  <c r="G28" i="1"/>
  <c r="G36" i="1"/>
  <c r="G23" i="1"/>
  <c r="G31" i="1"/>
  <c r="G30" i="1"/>
  <c r="G37" i="1"/>
  <c r="G12" i="1"/>
  <c r="G34" i="1"/>
  <c r="G46" i="1"/>
  <c r="G43" i="1"/>
  <c r="G42" i="1"/>
  <c r="G41" i="1"/>
  <c r="G29" i="1"/>
  <c r="G20" i="1"/>
  <c r="G32" i="1"/>
  <c r="G15" i="1"/>
  <c r="G14" i="1"/>
  <c r="G26" i="1"/>
  <c r="G18" i="1"/>
  <c r="G44" i="1"/>
  <c r="G25" i="1"/>
  <c r="G10" i="1"/>
  <c r="G22" i="1"/>
  <c r="G17" i="1"/>
  <c r="G24" i="1"/>
  <c r="G39" i="1"/>
  <c r="G21" i="1"/>
  <c r="G19" i="1"/>
  <c r="G27" i="1"/>
  <c r="G38" i="1"/>
  <c r="G13" i="1"/>
  <c r="G16" i="1"/>
  <c r="G11" i="1"/>
  <c r="G35" i="1"/>
  <c r="G47" i="1"/>
  <c r="G48" i="1"/>
  <c r="G45" i="1"/>
  <c r="G40" i="1"/>
  <c r="B121" i="7"/>
  <c r="B123" i="7" s="1"/>
  <c r="B118" i="7"/>
  <c r="S48" i="7"/>
  <c r="AF48" i="7"/>
  <c r="AP48" i="7"/>
  <c r="AK156" i="7"/>
  <c r="AK157" i="7" s="1"/>
  <c r="AL48" i="7"/>
  <c r="S156" i="7"/>
  <c r="S157" i="7" s="1"/>
  <c r="AP195" i="7"/>
  <c r="AP196" i="7" s="1"/>
  <c r="AJ48" i="7"/>
  <c r="AH195" i="7"/>
  <c r="AH196" i="7" s="1"/>
  <c r="AL195" i="7"/>
  <c r="AL196" i="7" s="1"/>
  <c r="AJ156" i="7"/>
  <c r="AJ157" i="7" s="1"/>
  <c r="AN195" i="7"/>
  <c r="AN196" i="7" s="1"/>
  <c r="AK48" i="7"/>
  <c r="AJ195" i="7"/>
  <c r="AJ196" i="7" s="1"/>
  <c r="AP156" i="7"/>
  <c r="AP157" i="7" s="1"/>
  <c r="AH48" i="7"/>
  <c r="AH156" i="7"/>
  <c r="AH157" i="7" s="1"/>
  <c r="AO156" i="7"/>
  <c r="AO157" i="7" s="1"/>
  <c r="AO195" i="7"/>
  <c r="AO196" i="7" s="1"/>
  <c r="AN156" i="7"/>
  <c r="AN157" i="7" s="1"/>
  <c r="AN48" i="7"/>
  <c r="AL156" i="7"/>
  <c r="AL157" i="7" s="1"/>
  <c r="AK195" i="7"/>
  <c r="AK196" i="7" s="1"/>
  <c r="AM48" i="7"/>
  <c r="AM156" i="7"/>
  <c r="AM157" i="7" s="1"/>
  <c r="AG156" i="7"/>
  <c r="AG157" i="7" s="1"/>
  <c r="AG48" i="7"/>
  <c r="AI48" i="7"/>
  <c r="AI156" i="7"/>
  <c r="AI157" i="7" s="1"/>
  <c r="AO48" i="7"/>
  <c r="AM195" i="7"/>
  <c r="AM196" i="7" s="1"/>
  <c r="AG195" i="7"/>
  <c r="AG196" i="7" s="1"/>
  <c r="AI195" i="7"/>
  <c r="AI196" i="7" s="1"/>
  <c r="I195" i="7"/>
  <c r="I196" i="7" s="1"/>
  <c r="I48" i="7"/>
  <c r="P48" i="7"/>
  <c r="X156" i="7"/>
  <c r="X157" i="7" s="1"/>
  <c r="Z48" i="7"/>
  <c r="I156" i="7"/>
  <c r="I157" i="7" s="1"/>
  <c r="H48" i="7"/>
  <c r="X195" i="7"/>
  <c r="X196" i="7" s="1"/>
  <c r="N48" i="7"/>
  <c r="O195" i="7"/>
  <c r="O196" i="7" s="1"/>
  <c r="O48" i="7"/>
  <c r="V195" i="7"/>
  <c r="V196" i="7" s="1"/>
  <c r="V48" i="7"/>
  <c r="Z195" i="7"/>
  <c r="Z196" i="7" s="1"/>
  <c r="Q195" i="7"/>
  <c r="Q196" i="7" s="1"/>
  <c r="Q48" i="7"/>
  <c r="Y156" i="7"/>
  <c r="Y157" i="7" s="1"/>
  <c r="H156" i="7"/>
  <c r="H157" i="7" s="1"/>
  <c r="C156" i="7"/>
  <c r="S195" i="7"/>
  <c r="S196" i="7" s="1"/>
  <c r="AA195" i="7"/>
  <c r="AA196" i="7" s="1"/>
  <c r="AA48" i="7"/>
  <c r="N156" i="7"/>
  <c r="N157" i="7" s="1"/>
  <c r="AD156" i="7"/>
  <c r="AD157" i="7" s="1"/>
  <c r="P156" i="7"/>
  <c r="P157" i="7" s="1"/>
  <c r="AF195" i="7"/>
  <c r="AF196" i="7" s="1"/>
  <c r="M156" i="7"/>
  <c r="M157" i="7" s="1"/>
  <c r="U195" i="7"/>
  <c r="U196" i="7" s="1"/>
  <c r="U48" i="7"/>
  <c r="D156" i="7"/>
  <c r="D157" i="7" s="1"/>
  <c r="T195" i="7"/>
  <c r="T196" i="7" s="1"/>
  <c r="T48" i="7"/>
  <c r="G48" i="7"/>
  <c r="G195" i="7"/>
  <c r="G196" i="7" s="1"/>
  <c r="K156" i="7"/>
  <c r="K157" i="7" s="1"/>
  <c r="W156" i="7"/>
  <c r="W157" i="7" s="1"/>
  <c r="AE156" i="7"/>
  <c r="AE157" i="7" s="1"/>
  <c r="F48" i="7"/>
  <c r="F195" i="7"/>
  <c r="F196" i="7" s="1"/>
  <c r="J156" i="7"/>
  <c r="J157" i="7" s="1"/>
  <c r="R48" i="7"/>
  <c r="R195" i="7"/>
  <c r="R196" i="7" s="1"/>
  <c r="E156" i="7"/>
  <c r="E157" i="7" s="1"/>
  <c r="AC156" i="7"/>
  <c r="AC157" i="7" s="1"/>
  <c r="L48" i="7"/>
  <c r="L195" i="7"/>
  <c r="L196" i="7" s="1"/>
  <c r="AB156" i="7"/>
  <c r="AB157" i="7" s="1"/>
  <c r="O156" i="7"/>
  <c r="O157" i="7" s="1"/>
  <c r="AA156" i="7"/>
  <c r="AA157" i="7" s="1"/>
  <c r="N195" i="7"/>
  <c r="N196" i="7" s="1"/>
  <c r="V156" i="7"/>
  <c r="V157" i="7" s="1"/>
  <c r="Z156" i="7"/>
  <c r="Z157" i="7" s="1"/>
  <c r="AD48" i="7"/>
  <c r="AD195" i="7"/>
  <c r="AD196" i="7" s="1"/>
  <c r="M48" i="7"/>
  <c r="M195" i="7"/>
  <c r="M196" i="7" s="1"/>
  <c r="Q156" i="7"/>
  <c r="Q157" i="7" s="1"/>
  <c r="U156" i="7"/>
  <c r="U157" i="7" s="1"/>
  <c r="Y48" i="7"/>
  <c r="Y195" i="7"/>
  <c r="Y196" i="7" s="1"/>
  <c r="D48" i="7"/>
  <c r="D195" i="7"/>
  <c r="D196" i="7" s="1"/>
  <c r="H195" i="7"/>
  <c r="H196" i="7" s="1"/>
  <c r="P195" i="7"/>
  <c r="P196" i="7" s="1"/>
  <c r="T156" i="7"/>
  <c r="T157" i="7" s="1"/>
  <c r="X48" i="7"/>
  <c r="AF156" i="7"/>
  <c r="AF157" i="7" s="1"/>
  <c r="C48" i="7"/>
  <c r="C195" i="7"/>
  <c r="G156" i="7"/>
  <c r="G157" i="7" s="1"/>
  <c r="K48" i="7"/>
  <c r="K195" i="7"/>
  <c r="K196" i="7" s="1"/>
  <c r="W48" i="7"/>
  <c r="W195" i="7"/>
  <c r="W196" i="7" s="1"/>
  <c r="AE195" i="7"/>
  <c r="AE196" i="7" s="1"/>
  <c r="AE48" i="7"/>
  <c r="F156" i="7"/>
  <c r="F157" i="7" s="1"/>
  <c r="J48" i="7"/>
  <c r="J195" i="7"/>
  <c r="J196" i="7" s="1"/>
  <c r="R156" i="7"/>
  <c r="R157" i="7" s="1"/>
  <c r="E48" i="7"/>
  <c r="E195" i="7"/>
  <c r="E196" i="7" s="1"/>
  <c r="AC48" i="7"/>
  <c r="AC195" i="7"/>
  <c r="AC196" i="7" s="1"/>
  <c r="L156" i="7"/>
  <c r="L157" i="7" s="1"/>
  <c r="AB195" i="7"/>
  <c r="AB196" i="7" s="1"/>
  <c r="AB48" i="7"/>
  <c r="Q579" i="7"/>
  <c r="Q582" i="7" s="1"/>
  <c r="C49" i="1"/>
  <c r="I112" i="1"/>
  <c r="I110" i="1"/>
  <c r="I111" i="1"/>
  <c r="E56" i="1" l="1"/>
  <c r="B71" i="7" s="1"/>
  <c r="AG36" i="7"/>
  <c r="AH36" i="7"/>
  <c r="AI36" i="7"/>
  <c r="AJ36" i="7"/>
  <c r="AK36" i="7"/>
  <c r="AL36" i="7"/>
  <c r="AM36" i="7"/>
  <c r="AN36" i="7"/>
  <c r="AO36" i="7"/>
  <c r="AP36" i="7"/>
  <c r="C492" i="7"/>
  <c r="C179" i="7" s="1"/>
  <c r="C493" i="7"/>
  <c r="R579" i="7"/>
  <c r="R582" i="7" s="1"/>
  <c r="C494" i="7"/>
  <c r="C495" i="7"/>
  <c r="D36" i="7"/>
  <c r="E36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T36" i="7"/>
  <c r="U36" i="7"/>
  <c r="V36" i="7"/>
  <c r="W36" i="7"/>
  <c r="X36" i="7"/>
  <c r="Y36" i="7"/>
  <c r="Z36" i="7"/>
  <c r="AA36" i="7"/>
  <c r="AB36" i="7"/>
  <c r="AC36" i="7"/>
  <c r="AD36" i="7"/>
  <c r="AE36" i="7"/>
  <c r="AF36" i="7"/>
  <c r="C36" i="7" l="1"/>
  <c r="C140" i="7"/>
  <c r="AO576" i="7"/>
  <c r="AP38" i="7"/>
  <c r="AM576" i="7"/>
  <c r="AN38" i="7"/>
  <c r="AL576" i="7"/>
  <c r="AM38" i="7"/>
  <c r="AK576" i="7"/>
  <c r="AL38" i="7"/>
  <c r="AJ576" i="7"/>
  <c r="AK38" i="7"/>
  <c r="AI576" i="7"/>
  <c r="AJ573" i="7" s="1"/>
  <c r="AJ38" i="7"/>
  <c r="AF576" i="7"/>
  <c r="AG573" i="7" s="1"/>
  <c r="AG38" i="7"/>
  <c r="AN576" i="7"/>
  <c r="AO38" i="7"/>
  <c r="AH576" i="7"/>
  <c r="AI38" i="7"/>
  <c r="AG576" i="7"/>
  <c r="AH38" i="7"/>
  <c r="AF38" i="7"/>
  <c r="AF127" i="7" s="1"/>
  <c r="AE576" i="7"/>
  <c r="AD38" i="7"/>
  <c r="AD163" i="7" s="1"/>
  <c r="AC576" i="7"/>
  <c r="AB38" i="7"/>
  <c r="AB127" i="7" s="1"/>
  <c r="AA576" i="7"/>
  <c r="Z38" i="7"/>
  <c r="Z163" i="7" s="1"/>
  <c r="Y576" i="7"/>
  <c r="X38" i="7"/>
  <c r="X127" i="7" s="1"/>
  <c r="W576" i="7"/>
  <c r="V38" i="7"/>
  <c r="V163" i="7" s="1"/>
  <c r="U576" i="7"/>
  <c r="T38" i="7"/>
  <c r="T127" i="7" s="1"/>
  <c r="S576" i="7"/>
  <c r="R38" i="7"/>
  <c r="R163" i="7" s="1"/>
  <c r="Q576" i="7"/>
  <c r="P38" i="7"/>
  <c r="P127" i="7" s="1"/>
  <c r="O576" i="7"/>
  <c r="N38" i="7"/>
  <c r="N541" i="7" s="1"/>
  <c r="N543" i="7" s="1"/>
  <c r="M576" i="7"/>
  <c r="L38" i="7"/>
  <c r="L541" i="7" s="1"/>
  <c r="L543" i="7" s="1"/>
  <c r="K576" i="7"/>
  <c r="J38" i="7"/>
  <c r="J541" i="7" s="1"/>
  <c r="J543" i="7" s="1"/>
  <c r="I576" i="7"/>
  <c r="H38" i="7"/>
  <c r="H541" i="7" s="1"/>
  <c r="H543" i="7" s="1"/>
  <c r="G576" i="7"/>
  <c r="F38" i="7"/>
  <c r="F541" i="7" s="1"/>
  <c r="F543" i="7" s="1"/>
  <c r="E576" i="7"/>
  <c r="D38" i="7"/>
  <c r="D541" i="7" s="1"/>
  <c r="D543" i="7" s="1"/>
  <c r="C576" i="7"/>
  <c r="AE38" i="7"/>
  <c r="AE163" i="7" s="1"/>
  <c r="AD576" i="7"/>
  <c r="AE573" i="7" s="1"/>
  <c r="AC38" i="7"/>
  <c r="AC127" i="7" s="1"/>
  <c r="AB576" i="7"/>
  <c r="AC573" i="7" s="1"/>
  <c r="AA38" i="7"/>
  <c r="AA163" i="7" s="1"/>
  <c r="Z576" i="7"/>
  <c r="AA573" i="7" s="1"/>
  <c r="Y38" i="7"/>
  <c r="Y127" i="7" s="1"/>
  <c r="X576" i="7"/>
  <c r="Y573" i="7" s="1"/>
  <c r="W38" i="7"/>
  <c r="W163" i="7" s="1"/>
  <c r="V576" i="7"/>
  <c r="W573" i="7" s="1"/>
  <c r="U38" i="7"/>
  <c r="U127" i="7" s="1"/>
  <c r="T576" i="7"/>
  <c r="U573" i="7" s="1"/>
  <c r="S38" i="7"/>
  <c r="S163" i="7" s="1"/>
  <c r="R576" i="7"/>
  <c r="S573" i="7" s="1"/>
  <c r="Q38" i="7"/>
  <c r="Q127" i="7" s="1"/>
  <c r="P576" i="7"/>
  <c r="Q573" i="7" s="1"/>
  <c r="O38" i="7"/>
  <c r="O541" i="7" s="1"/>
  <c r="O543" i="7" s="1"/>
  <c r="N576" i="7"/>
  <c r="O573" i="7" s="1"/>
  <c r="M38" i="7"/>
  <c r="M541" i="7" s="1"/>
  <c r="M543" i="7" s="1"/>
  <c r="L576" i="7"/>
  <c r="M573" i="7" s="1"/>
  <c r="K38" i="7"/>
  <c r="K541" i="7" s="1"/>
  <c r="K543" i="7" s="1"/>
  <c r="J576" i="7"/>
  <c r="K573" i="7" s="1"/>
  <c r="I38" i="7"/>
  <c r="I541" i="7" s="1"/>
  <c r="I543" i="7" s="1"/>
  <c r="H576" i="7"/>
  <c r="I573" i="7" s="1"/>
  <c r="G38" i="7"/>
  <c r="G541" i="7" s="1"/>
  <c r="G543" i="7" s="1"/>
  <c r="F576" i="7"/>
  <c r="G573" i="7" s="1"/>
  <c r="E38" i="7"/>
  <c r="E541" i="7" s="1"/>
  <c r="E543" i="7" s="1"/>
  <c r="D576" i="7"/>
  <c r="E573" i="7" s="1"/>
  <c r="Q559" i="7"/>
  <c r="P559" i="7"/>
  <c r="B73" i="7"/>
  <c r="C182" i="7"/>
  <c r="C143" i="7"/>
  <c r="C181" i="7"/>
  <c r="C142" i="7"/>
  <c r="C180" i="7"/>
  <c r="C141" i="7"/>
  <c r="C496" i="7"/>
  <c r="S579" i="7"/>
  <c r="S582" i="7" s="1"/>
  <c r="C38" i="7" l="1"/>
  <c r="C541" i="7" s="1"/>
  <c r="B541" i="7" s="1"/>
  <c r="B576" i="7"/>
  <c r="C573" i="7" s="1"/>
  <c r="C574" i="7" s="1"/>
  <c r="C57" i="7" s="1"/>
  <c r="J127" i="7"/>
  <c r="Z127" i="7"/>
  <c r="T163" i="7"/>
  <c r="AF42" i="7"/>
  <c r="H559" i="7"/>
  <c r="P42" i="7"/>
  <c r="AG574" i="7"/>
  <c r="AG57" i="7" s="1"/>
  <c r="AG61" i="7" s="1"/>
  <c r="AG67" i="7" s="1"/>
  <c r="AH573" i="7"/>
  <c r="AH574" i="7" s="1"/>
  <c r="AH57" i="7" s="1"/>
  <c r="AH61" i="7" s="1"/>
  <c r="AH67" i="7" s="1"/>
  <c r="AI573" i="7"/>
  <c r="AI574" i="7" s="1"/>
  <c r="AI57" i="7" s="1"/>
  <c r="AI61" i="7" s="1"/>
  <c r="AI67" i="7" s="1"/>
  <c r="AO573" i="7"/>
  <c r="AO574" i="7" s="1"/>
  <c r="AO57" i="7" s="1"/>
  <c r="AO61" i="7" s="1"/>
  <c r="AO67" i="7" s="1"/>
  <c r="AG127" i="7"/>
  <c r="AG163" i="7"/>
  <c r="AG42" i="7"/>
  <c r="AK573" i="7"/>
  <c r="AK574" i="7" s="1"/>
  <c r="AK57" i="7" s="1"/>
  <c r="AK61" i="7" s="1"/>
  <c r="AK67" i="7" s="1"/>
  <c r="AJ574" i="7"/>
  <c r="AJ57" i="7" s="1"/>
  <c r="AJ61" i="7" s="1"/>
  <c r="AJ67" i="7" s="1"/>
  <c r="AL573" i="7"/>
  <c r="AL574" i="7" s="1"/>
  <c r="AL57" i="7" s="1"/>
  <c r="AL61" i="7" s="1"/>
  <c r="AL67" i="7" s="1"/>
  <c r="AM163" i="7"/>
  <c r="AM127" i="7"/>
  <c r="AM42" i="7"/>
  <c r="AN163" i="7"/>
  <c r="AN127" i="7"/>
  <c r="AN42" i="7"/>
  <c r="AP573" i="7"/>
  <c r="AP575" i="7" s="1"/>
  <c r="AP57" i="7" s="1"/>
  <c r="AP61" i="7" s="1"/>
  <c r="AP67" i="7" s="1"/>
  <c r="AH163" i="7"/>
  <c r="AH127" i="7"/>
  <c r="AH42" i="7"/>
  <c r="AI163" i="7"/>
  <c r="AI42" i="7"/>
  <c r="AI127" i="7"/>
  <c r="AO163" i="7"/>
  <c r="AO42" i="7"/>
  <c r="AO127" i="7"/>
  <c r="AJ127" i="7"/>
  <c r="AJ163" i="7"/>
  <c r="AJ42" i="7"/>
  <c r="AK163" i="7"/>
  <c r="AK42" i="7"/>
  <c r="AK127" i="7"/>
  <c r="AL163" i="7"/>
  <c r="AL127" i="7"/>
  <c r="AL42" i="7"/>
  <c r="AM573" i="7"/>
  <c r="AM574" i="7" s="1"/>
  <c r="AM57" i="7" s="1"/>
  <c r="AM61" i="7" s="1"/>
  <c r="AM67" i="7" s="1"/>
  <c r="AN573" i="7"/>
  <c r="AN574" i="7" s="1"/>
  <c r="AN57" i="7" s="1"/>
  <c r="AN61" i="7" s="1"/>
  <c r="AN67" i="7" s="1"/>
  <c r="AP127" i="7"/>
  <c r="AP163" i="7"/>
  <c r="AP42" i="7"/>
  <c r="H42" i="7"/>
  <c r="L163" i="7"/>
  <c r="R127" i="7"/>
  <c r="X42" i="7"/>
  <c r="AB163" i="7"/>
  <c r="D163" i="7"/>
  <c r="M42" i="7"/>
  <c r="W127" i="7"/>
  <c r="E163" i="7"/>
  <c r="Q163" i="7"/>
  <c r="AC42" i="7"/>
  <c r="I163" i="7"/>
  <c r="O127" i="7"/>
  <c r="U42" i="7"/>
  <c r="Y163" i="7"/>
  <c r="AE127" i="7"/>
  <c r="D42" i="7"/>
  <c r="F127" i="7"/>
  <c r="H163" i="7"/>
  <c r="L42" i="7"/>
  <c r="N127" i="7"/>
  <c r="P163" i="7"/>
  <c r="T42" i="7"/>
  <c r="V127" i="7"/>
  <c r="X163" i="7"/>
  <c r="AB42" i="7"/>
  <c r="AD127" i="7"/>
  <c r="AF163" i="7"/>
  <c r="I42" i="7"/>
  <c r="K127" i="7"/>
  <c r="M163" i="7"/>
  <c r="Q42" i="7"/>
  <c r="S127" i="7"/>
  <c r="U163" i="7"/>
  <c r="Y42" i="7"/>
  <c r="AA127" i="7"/>
  <c r="AC163" i="7"/>
  <c r="D559" i="7"/>
  <c r="L559" i="7"/>
  <c r="I559" i="7"/>
  <c r="D127" i="7"/>
  <c r="F42" i="7"/>
  <c r="F163" i="7"/>
  <c r="H127" i="7"/>
  <c r="J42" i="7"/>
  <c r="J163" i="7"/>
  <c r="L127" i="7"/>
  <c r="N42" i="7"/>
  <c r="N163" i="7"/>
  <c r="R42" i="7"/>
  <c r="V42" i="7"/>
  <c r="Z42" i="7"/>
  <c r="AD42" i="7"/>
  <c r="E42" i="7"/>
  <c r="G127" i="7"/>
  <c r="I127" i="7"/>
  <c r="K42" i="7"/>
  <c r="K163" i="7"/>
  <c r="M127" i="7"/>
  <c r="O42" i="7"/>
  <c r="O163" i="7"/>
  <c r="S42" i="7"/>
  <c r="W42" i="7"/>
  <c r="AA42" i="7"/>
  <c r="AE42" i="7"/>
  <c r="F559" i="7"/>
  <c r="J559" i="7"/>
  <c r="N559" i="7"/>
  <c r="E559" i="7"/>
  <c r="M559" i="7"/>
  <c r="E127" i="7"/>
  <c r="G42" i="7"/>
  <c r="G163" i="7"/>
  <c r="G559" i="7"/>
  <c r="K559" i="7"/>
  <c r="O559" i="7"/>
  <c r="B574" i="7"/>
  <c r="D573" i="7"/>
  <c r="D574" i="7" s="1"/>
  <c r="D57" i="7" s="1"/>
  <c r="F573" i="7"/>
  <c r="F574" i="7" s="1"/>
  <c r="F57" i="7" s="1"/>
  <c r="E574" i="7"/>
  <c r="E57" i="7" s="1"/>
  <c r="H573" i="7"/>
  <c r="H574" i="7" s="1"/>
  <c r="H57" i="7" s="1"/>
  <c r="G574" i="7"/>
  <c r="G57" i="7" s="1"/>
  <c r="J573" i="7"/>
  <c r="J574" i="7" s="1"/>
  <c r="J57" i="7" s="1"/>
  <c r="I574" i="7"/>
  <c r="I57" i="7" s="1"/>
  <c r="L573" i="7"/>
  <c r="L574" i="7" s="1"/>
  <c r="L57" i="7" s="1"/>
  <c r="K574" i="7"/>
  <c r="K57" i="7" s="1"/>
  <c r="N573" i="7"/>
  <c r="N574" i="7" s="1"/>
  <c r="N57" i="7" s="1"/>
  <c r="M574" i="7"/>
  <c r="M57" i="7" s="1"/>
  <c r="P573" i="7"/>
  <c r="P574" i="7" s="1"/>
  <c r="P57" i="7" s="1"/>
  <c r="O574" i="7"/>
  <c r="O57" i="7" s="1"/>
  <c r="R573" i="7"/>
  <c r="R574" i="7" s="1"/>
  <c r="R57" i="7" s="1"/>
  <c r="Q574" i="7"/>
  <c r="Q57" i="7" s="1"/>
  <c r="T573" i="7"/>
  <c r="T574" i="7" s="1"/>
  <c r="T57" i="7" s="1"/>
  <c r="S574" i="7"/>
  <c r="S57" i="7" s="1"/>
  <c r="V573" i="7"/>
  <c r="V574" i="7" s="1"/>
  <c r="V57" i="7" s="1"/>
  <c r="U574" i="7"/>
  <c r="U57" i="7" s="1"/>
  <c r="X573" i="7"/>
  <c r="X574" i="7" s="1"/>
  <c r="X57" i="7" s="1"/>
  <c r="X61" i="7" s="1"/>
  <c r="X67" i="7" s="1"/>
  <c r="W574" i="7"/>
  <c r="W57" i="7" s="1"/>
  <c r="W61" i="7" s="1"/>
  <c r="W67" i="7" s="1"/>
  <c r="Z573" i="7"/>
  <c r="Z574" i="7" s="1"/>
  <c r="Z57" i="7" s="1"/>
  <c r="Z61" i="7" s="1"/>
  <c r="Z67" i="7" s="1"/>
  <c r="Y574" i="7"/>
  <c r="Y57" i="7" s="1"/>
  <c r="Y61" i="7" s="1"/>
  <c r="Y67" i="7" s="1"/>
  <c r="AB573" i="7"/>
  <c r="AB574" i="7" s="1"/>
  <c r="AB57" i="7" s="1"/>
  <c r="AB61" i="7" s="1"/>
  <c r="AB67" i="7" s="1"/>
  <c r="AA574" i="7"/>
  <c r="AA57" i="7" s="1"/>
  <c r="AA61" i="7" s="1"/>
  <c r="AA67" i="7" s="1"/>
  <c r="AD573" i="7"/>
  <c r="AD574" i="7" s="1"/>
  <c r="AD57" i="7" s="1"/>
  <c r="AD61" i="7" s="1"/>
  <c r="AD67" i="7" s="1"/>
  <c r="AC574" i="7"/>
  <c r="AC57" i="7" s="1"/>
  <c r="AC61" i="7" s="1"/>
  <c r="AC67" i="7" s="1"/>
  <c r="AF573" i="7"/>
  <c r="AE574" i="7"/>
  <c r="AE57" i="7" s="1"/>
  <c r="AE61" i="7" s="1"/>
  <c r="AE67" i="7" s="1"/>
  <c r="C183" i="7"/>
  <c r="C196" i="7" s="1"/>
  <c r="O556" i="7"/>
  <c r="O544" i="7"/>
  <c r="O546" i="7" s="1"/>
  <c r="Q556" i="7"/>
  <c r="Q544" i="7"/>
  <c r="Q546" i="7" s="1"/>
  <c r="S556" i="7"/>
  <c r="S544" i="7"/>
  <c r="S546" i="7" s="1"/>
  <c r="U556" i="7"/>
  <c r="U544" i="7"/>
  <c r="U546" i="7" s="1"/>
  <c r="P544" i="7"/>
  <c r="P546" i="7" s="1"/>
  <c r="P556" i="7"/>
  <c r="R556" i="7"/>
  <c r="R544" i="7"/>
  <c r="R546" i="7" s="1"/>
  <c r="T544" i="7"/>
  <c r="T546" i="7" s="1"/>
  <c r="T556" i="7"/>
  <c r="V556" i="7"/>
  <c r="V544" i="7"/>
  <c r="V546" i="7" s="1"/>
  <c r="C144" i="7"/>
  <c r="C157" i="7" s="1"/>
  <c r="M556" i="7"/>
  <c r="M544" i="7"/>
  <c r="M546" i="7" s="1"/>
  <c r="N556" i="7"/>
  <c r="N544" i="7"/>
  <c r="N546" i="7" s="1"/>
  <c r="T579" i="7"/>
  <c r="T582" i="7" s="1"/>
  <c r="D544" i="7"/>
  <c r="D546" i="7" s="1"/>
  <c r="D556" i="7"/>
  <c r="F544" i="7"/>
  <c r="F546" i="7" s="1"/>
  <c r="F556" i="7"/>
  <c r="H544" i="7"/>
  <c r="H546" i="7" s="1"/>
  <c r="H556" i="7"/>
  <c r="J556" i="7"/>
  <c r="J544" i="7"/>
  <c r="J546" i="7" s="1"/>
  <c r="L544" i="7"/>
  <c r="L546" i="7" s="1"/>
  <c r="L556" i="7"/>
  <c r="E544" i="7"/>
  <c r="E546" i="7" s="1"/>
  <c r="E556" i="7"/>
  <c r="I556" i="7"/>
  <c r="I544" i="7"/>
  <c r="I546" i="7" s="1"/>
  <c r="K556" i="7"/>
  <c r="K544" i="7"/>
  <c r="K546" i="7" s="1"/>
  <c r="G544" i="7"/>
  <c r="G546" i="7" s="1"/>
  <c r="G556" i="7"/>
  <c r="C127" i="7" l="1"/>
  <c r="C543" i="7"/>
  <c r="C544" i="7" s="1"/>
  <c r="C546" i="7" s="1"/>
  <c r="B546" i="7" s="1"/>
  <c r="C559" i="7"/>
  <c r="C163" i="7"/>
  <c r="C42" i="7"/>
  <c r="B57" i="7"/>
  <c r="AF575" i="7"/>
  <c r="AF574" i="7"/>
  <c r="V560" i="7"/>
  <c r="V561" i="7" s="1"/>
  <c r="R560" i="7"/>
  <c r="R561" i="7" s="1"/>
  <c r="T675" i="7"/>
  <c r="U676" i="7" s="1"/>
  <c r="U560" i="7"/>
  <c r="U561" i="7" s="1"/>
  <c r="S560" i="7"/>
  <c r="S561" i="7" s="1"/>
  <c r="Q560" i="7"/>
  <c r="Q561" i="7" s="1"/>
  <c r="O560" i="7"/>
  <c r="O561" i="7" s="1"/>
  <c r="T560" i="7"/>
  <c r="T561" i="7" s="1"/>
  <c r="P560" i="7"/>
  <c r="P561" i="7" s="1"/>
  <c r="N560" i="7"/>
  <c r="N561" i="7" s="1"/>
  <c r="M560" i="7"/>
  <c r="M561" i="7" s="1"/>
  <c r="G560" i="7"/>
  <c r="G561" i="7" s="1"/>
  <c r="E560" i="7"/>
  <c r="E561" i="7" s="1"/>
  <c r="J560" i="7"/>
  <c r="J561" i="7" s="1"/>
  <c r="U579" i="7"/>
  <c r="U582" i="7" s="1"/>
  <c r="K560" i="7"/>
  <c r="K561" i="7" s="1"/>
  <c r="I560" i="7"/>
  <c r="I561" i="7" s="1"/>
  <c r="L560" i="7"/>
  <c r="L561" i="7" s="1"/>
  <c r="H560" i="7"/>
  <c r="H561" i="7" s="1"/>
  <c r="F560" i="7"/>
  <c r="F561" i="7" s="1"/>
  <c r="D560" i="7"/>
  <c r="D561" i="7" s="1"/>
  <c r="B544" i="7" l="1"/>
  <c r="C556" i="7"/>
  <c r="B543" i="7"/>
  <c r="B559" i="7"/>
  <c r="AF57" i="7"/>
  <c r="AF61" i="7" s="1"/>
  <c r="AF67" i="7" s="1"/>
  <c r="B550" i="7"/>
  <c r="T567" i="7"/>
  <c r="T568" i="7" s="1"/>
  <c r="T56" i="7" s="1"/>
  <c r="T61" i="7" s="1"/>
  <c r="T67" i="7" s="1"/>
  <c r="S675" i="7"/>
  <c r="T676" i="7" s="1"/>
  <c r="P568" i="7"/>
  <c r="P56" i="7" s="1"/>
  <c r="P61" i="7" s="1"/>
  <c r="P67" i="7" s="1"/>
  <c r="Q567" i="7"/>
  <c r="P675" i="7"/>
  <c r="Q676" i="7" s="1"/>
  <c r="S567" i="7"/>
  <c r="S568" i="7" s="1"/>
  <c r="S56" i="7" s="1"/>
  <c r="S61" i="7" s="1"/>
  <c r="S67" i="7" s="1"/>
  <c r="R675" i="7"/>
  <c r="S676" i="7" s="1"/>
  <c r="U567" i="7"/>
  <c r="U568" i="7" s="1"/>
  <c r="U56" i="7" s="1"/>
  <c r="U61" i="7" s="1"/>
  <c r="U67" i="7" s="1"/>
  <c r="R567" i="7"/>
  <c r="R568" i="7" s="1"/>
  <c r="R56" i="7" s="1"/>
  <c r="R61" i="7" s="1"/>
  <c r="R67" i="7" s="1"/>
  <c r="Q675" i="7"/>
  <c r="R676" i="7" s="1"/>
  <c r="V567" i="7"/>
  <c r="V569" i="7" s="1"/>
  <c r="V56" i="7" s="1"/>
  <c r="V61" i="7" s="1"/>
  <c r="V67" i="7" s="1"/>
  <c r="V579" i="7"/>
  <c r="V582" i="7" s="1"/>
  <c r="U675" i="7"/>
  <c r="V676" i="7" s="1"/>
  <c r="U164" i="7"/>
  <c r="U128" i="7"/>
  <c r="U49" i="7"/>
  <c r="C560" i="7" l="1"/>
  <c r="B556" i="7"/>
  <c r="B528" i="7"/>
  <c r="E52" i="1" s="1"/>
  <c r="B552" i="7"/>
  <c r="C549" i="7" s="1"/>
  <c r="O568" i="7"/>
  <c r="Q568" i="7"/>
  <c r="Q569" i="7"/>
  <c r="R164" i="7"/>
  <c r="R49" i="7"/>
  <c r="R128" i="7"/>
  <c r="Q164" i="7"/>
  <c r="Q49" i="7"/>
  <c r="Q128" i="7"/>
  <c r="S128" i="7"/>
  <c r="S164" i="7"/>
  <c r="S49" i="7"/>
  <c r="T128" i="7"/>
  <c r="T164" i="7"/>
  <c r="T49" i="7"/>
  <c r="N569" i="7"/>
  <c r="W579" i="7"/>
  <c r="W582" i="7" s="1"/>
  <c r="V675" i="7"/>
  <c r="W676" i="7" s="1"/>
  <c r="V164" i="7"/>
  <c r="V128" i="7"/>
  <c r="V49" i="7"/>
  <c r="B530" i="7" l="1"/>
  <c r="C527" i="7" s="1"/>
  <c r="B560" i="7"/>
  <c r="B562" i="7" s="1"/>
  <c r="C561" i="7"/>
  <c r="B563" i="7" s="1"/>
  <c r="C555" i="7"/>
  <c r="C533" i="7" s="1"/>
  <c r="Q56" i="7"/>
  <c r="Q61" i="7" s="1"/>
  <c r="Q67" i="7" s="1"/>
  <c r="W164" i="7"/>
  <c r="W128" i="7"/>
  <c r="W49" i="7"/>
  <c r="W51" i="7" s="1"/>
  <c r="W77" i="7" s="1"/>
  <c r="W82" i="7" s="1"/>
  <c r="X579" i="7"/>
  <c r="X582" i="7" s="1"/>
  <c r="W675" i="7"/>
  <c r="X676" i="7" s="1"/>
  <c r="B75" i="7" l="1"/>
  <c r="E53" i="1"/>
  <c r="C554" i="7"/>
  <c r="C165" i="7"/>
  <c r="C129" i="7"/>
  <c r="C50" i="7"/>
  <c r="X164" i="7"/>
  <c r="X128" i="7"/>
  <c r="X49" i="7"/>
  <c r="X51" i="7" s="1"/>
  <c r="X77" i="7" s="1"/>
  <c r="X82" i="7" s="1"/>
  <c r="W91" i="7"/>
  <c r="W83" i="7"/>
  <c r="Y579" i="7"/>
  <c r="Y582" i="7" s="1"/>
  <c r="X675" i="7"/>
  <c r="Y676" i="7" s="1"/>
  <c r="C551" i="7" l="1"/>
  <c r="C552" i="7" s="1"/>
  <c r="D555" i="7" s="1"/>
  <c r="D554" i="7" s="1"/>
  <c r="C532" i="7"/>
  <c r="C75" i="7" s="1"/>
  <c r="C76" i="7" s="1"/>
  <c r="Y164" i="7"/>
  <c r="Y128" i="7"/>
  <c r="Y49" i="7"/>
  <c r="Y51" i="7" s="1"/>
  <c r="Y77" i="7" s="1"/>
  <c r="Y82" i="7" s="1"/>
  <c r="W92" i="7"/>
  <c r="X91" i="7"/>
  <c r="X83" i="7"/>
  <c r="Z579" i="7"/>
  <c r="Z582" i="7" s="1"/>
  <c r="Y675" i="7"/>
  <c r="Z676" i="7" s="1"/>
  <c r="D549" i="7" l="1"/>
  <c r="D532" i="7"/>
  <c r="D75" i="7" s="1"/>
  <c r="D76" i="7" s="1"/>
  <c r="D533" i="7"/>
  <c r="C534" i="7"/>
  <c r="C529" i="7"/>
  <c r="C530" i="7" s="1"/>
  <c r="D527" i="7" s="1"/>
  <c r="AA579" i="7"/>
  <c r="AA582" i="7" s="1"/>
  <c r="Z675" i="7"/>
  <c r="AA676" i="7" s="1"/>
  <c r="X92" i="7"/>
  <c r="Y91" i="7"/>
  <c r="Y83" i="7"/>
  <c r="D551" i="7"/>
  <c r="Z164" i="7"/>
  <c r="Z128" i="7"/>
  <c r="Z49" i="7"/>
  <c r="Z51" i="7" s="1"/>
  <c r="Z77" i="7" s="1"/>
  <c r="Z82" i="7" s="1"/>
  <c r="D529" i="7" l="1"/>
  <c r="D530" i="7" s="1"/>
  <c r="E527" i="7" s="1"/>
  <c r="D552" i="7"/>
  <c r="E555" i="7" s="1"/>
  <c r="E533" i="7" s="1"/>
  <c r="E50" i="7" s="1"/>
  <c r="D165" i="7"/>
  <c r="D50" i="7"/>
  <c r="D534" i="7"/>
  <c r="C570" i="7" s="1"/>
  <c r="C675" i="7" s="1"/>
  <c r="D676" i="7" s="1"/>
  <c r="D129" i="7"/>
  <c r="B570" i="7"/>
  <c r="D209" i="7"/>
  <c r="E209" i="7"/>
  <c r="D205" i="7"/>
  <c r="E205" i="7"/>
  <c r="D210" i="7"/>
  <c r="E210" i="7"/>
  <c r="D206" i="7"/>
  <c r="E206" i="7"/>
  <c r="D208" i="7"/>
  <c r="E208" i="7"/>
  <c r="D207" i="7"/>
  <c r="E207" i="7"/>
  <c r="Z91" i="7"/>
  <c r="Z83" i="7"/>
  <c r="AB579" i="7"/>
  <c r="AB582" i="7" s="1"/>
  <c r="AA675" i="7"/>
  <c r="AB676" i="7" s="1"/>
  <c r="Y92" i="7"/>
  <c r="AA164" i="7"/>
  <c r="AA128" i="7"/>
  <c r="AA49" i="7"/>
  <c r="AA51" i="7" s="1"/>
  <c r="AA77" i="7" s="1"/>
  <c r="AA82" i="7" s="1"/>
  <c r="E549" i="7" l="1"/>
  <c r="E129" i="7"/>
  <c r="E165" i="7"/>
  <c r="B675" i="7"/>
  <c r="C676" i="7" s="1"/>
  <c r="B568" i="7"/>
  <c r="B56" i="7" s="1"/>
  <c r="D567" i="7"/>
  <c r="C567" i="7"/>
  <c r="C568" i="7" s="1"/>
  <c r="C56" i="7" s="1"/>
  <c r="C61" i="7" s="1"/>
  <c r="C67" i="7" s="1"/>
  <c r="D128" i="7"/>
  <c r="D164" i="7"/>
  <c r="D49" i="7"/>
  <c r="D51" i="7" s="1"/>
  <c r="AA91" i="7"/>
  <c r="AA83" i="7"/>
  <c r="E554" i="7"/>
  <c r="AC579" i="7"/>
  <c r="AC582" i="7" s="1"/>
  <c r="AB675" i="7"/>
  <c r="AC676" i="7" s="1"/>
  <c r="Z92" i="7"/>
  <c r="AB164" i="7"/>
  <c r="AB128" i="7"/>
  <c r="AB49" i="7"/>
  <c r="AB51" i="7" s="1"/>
  <c r="AB77" i="7" s="1"/>
  <c r="AB82" i="7" s="1"/>
  <c r="B61" i="7" l="1"/>
  <c r="B54" i="7"/>
  <c r="E532" i="7"/>
  <c r="E75" i="7" s="1"/>
  <c r="E76" i="7" s="1"/>
  <c r="C49" i="7"/>
  <c r="C51" i="7" s="1"/>
  <c r="C77" i="7" s="1"/>
  <c r="C82" i="7" s="1"/>
  <c r="C83" i="7" s="1"/>
  <c r="C128" i="7"/>
  <c r="C164" i="7"/>
  <c r="H136" i="1"/>
  <c r="C205" i="7"/>
  <c r="H132" i="1"/>
  <c r="C341" i="7" s="1"/>
  <c r="H135" i="1"/>
  <c r="C210" i="7" s="1"/>
  <c r="H134" i="1"/>
  <c r="C343" i="7" s="1"/>
  <c r="F343" i="7" s="1"/>
  <c r="H133" i="1"/>
  <c r="C208" i="7" s="1"/>
  <c r="H137" i="1"/>
  <c r="H131" i="1"/>
  <c r="C206" i="7" s="1"/>
  <c r="AC164" i="7"/>
  <c r="AC128" i="7"/>
  <c r="AC49" i="7"/>
  <c r="AC51" i="7" s="1"/>
  <c r="AC77" i="7" s="1"/>
  <c r="AC82" i="7" s="1"/>
  <c r="AA92" i="7"/>
  <c r="AB91" i="7"/>
  <c r="AB83" i="7"/>
  <c r="AD579" i="7"/>
  <c r="AD582" i="7" s="1"/>
  <c r="AC675" i="7"/>
  <c r="AD676" i="7" s="1"/>
  <c r="E551" i="7"/>
  <c r="E552" i="7" s="1"/>
  <c r="F555" i="7" s="1"/>
  <c r="F533" i="7" s="1"/>
  <c r="E529" i="7" l="1"/>
  <c r="E530" i="7" s="1"/>
  <c r="F527" i="7" s="1"/>
  <c r="B67" i="7"/>
  <c r="E534" i="7"/>
  <c r="D570" i="7" s="1"/>
  <c r="D675" i="7" s="1"/>
  <c r="E676" i="7" s="1"/>
  <c r="C91" i="7"/>
  <c r="C92" i="7" s="1"/>
  <c r="C340" i="7"/>
  <c r="F340" i="7" s="1"/>
  <c r="C209" i="7"/>
  <c r="F209" i="7" s="1"/>
  <c r="C342" i="7"/>
  <c r="F342" i="7" s="1"/>
  <c r="C207" i="7"/>
  <c r="C339" i="7"/>
  <c r="F339" i="7" s="1"/>
  <c r="C344" i="7"/>
  <c r="F344" i="7" s="1"/>
  <c r="B74" i="7"/>
  <c r="F165" i="7"/>
  <c r="F129" i="7"/>
  <c r="F50" i="7"/>
  <c r="F205" i="7"/>
  <c r="F210" i="7"/>
  <c r="F341" i="7"/>
  <c r="F208" i="7"/>
  <c r="F206" i="7"/>
  <c r="F549" i="7"/>
  <c r="AE579" i="7"/>
  <c r="AE582" i="7" s="1"/>
  <c r="AD675" i="7"/>
  <c r="AE676" i="7" s="1"/>
  <c r="AB92" i="7"/>
  <c r="AC91" i="7"/>
  <c r="AC83" i="7"/>
  <c r="AD164" i="7"/>
  <c r="AD128" i="7"/>
  <c r="AD49" i="7"/>
  <c r="AD51" i="7" s="1"/>
  <c r="AD77" i="7" s="1"/>
  <c r="AD82" i="7" s="1"/>
  <c r="D568" i="7" l="1"/>
  <c r="D56" i="7" s="1"/>
  <c r="D61" i="7" s="1"/>
  <c r="D67" i="7" s="1"/>
  <c r="D77" i="7" s="1"/>
  <c r="D82" i="7" s="1"/>
  <c r="D91" i="7" s="1"/>
  <c r="D92" i="7" s="1"/>
  <c r="E567" i="7"/>
  <c r="F207" i="7"/>
  <c r="F212" i="7" s="1"/>
  <c r="C212" i="7"/>
  <c r="B208" i="7" s="1"/>
  <c r="C346" i="7"/>
  <c r="B343" i="7" s="1"/>
  <c r="E164" i="7"/>
  <c r="E49" i="7"/>
  <c r="E51" i="7" s="1"/>
  <c r="E128" i="7"/>
  <c r="G339" i="7"/>
  <c r="G346" i="7" s="1"/>
  <c r="F346" i="7"/>
  <c r="G205" i="7"/>
  <c r="G212" i="7" s="1"/>
  <c r="AD91" i="7"/>
  <c r="AD83" i="7"/>
  <c r="AF579" i="7"/>
  <c r="AF582" i="7" s="1"/>
  <c r="AE675" i="7"/>
  <c r="AF676" i="7" s="1"/>
  <c r="AC92" i="7"/>
  <c r="AE164" i="7"/>
  <c r="AE128" i="7"/>
  <c r="AE49" i="7"/>
  <c r="AE51" i="7" s="1"/>
  <c r="AE77" i="7" s="1"/>
  <c r="AE82" i="7" s="1"/>
  <c r="F554" i="7"/>
  <c r="D83" i="7" l="1"/>
  <c r="F532" i="7"/>
  <c r="F75" i="7" s="1"/>
  <c r="F76" i="7" s="1"/>
  <c r="B205" i="7"/>
  <c r="B210" i="7"/>
  <c r="B209" i="7"/>
  <c r="B340" i="7"/>
  <c r="B206" i="7"/>
  <c r="B344" i="7"/>
  <c r="B207" i="7"/>
  <c r="B342" i="7"/>
  <c r="B339" i="7"/>
  <c r="B341" i="7"/>
  <c r="I212" i="7"/>
  <c r="H209" i="7"/>
  <c r="K209" i="7" s="1"/>
  <c r="L209" i="7" s="1"/>
  <c r="H206" i="7"/>
  <c r="K206" i="7" s="1"/>
  <c r="L206" i="7" s="1"/>
  <c r="H210" i="7"/>
  <c r="K210" i="7" s="1"/>
  <c r="L210" i="7" s="1"/>
  <c r="H207" i="7"/>
  <c r="K207" i="7" s="1"/>
  <c r="L207" i="7" s="1"/>
  <c r="H205" i="7"/>
  <c r="H208" i="7"/>
  <c r="K208" i="7" s="1"/>
  <c r="L208" i="7" s="1"/>
  <c r="I346" i="7"/>
  <c r="H343" i="7"/>
  <c r="K343" i="7" s="1"/>
  <c r="L343" i="7" s="1"/>
  <c r="H340" i="7"/>
  <c r="K340" i="7" s="1"/>
  <c r="L340" i="7" s="1"/>
  <c r="H344" i="7"/>
  <c r="K344" i="7" s="1"/>
  <c r="L344" i="7" s="1"/>
  <c r="H341" i="7"/>
  <c r="K341" i="7" s="1"/>
  <c r="L341" i="7" s="1"/>
  <c r="H339" i="7"/>
  <c r="H342" i="7"/>
  <c r="K342" i="7" s="1"/>
  <c r="L342" i="7" s="1"/>
  <c r="AG579" i="7"/>
  <c r="AG582" i="7" s="1"/>
  <c r="AF675" i="7"/>
  <c r="AG676" i="7" s="1"/>
  <c r="AD92" i="7"/>
  <c r="F551" i="7"/>
  <c r="F552" i="7" s="1"/>
  <c r="G555" i="7" s="1"/>
  <c r="G533" i="7" s="1"/>
  <c r="AE91" i="7"/>
  <c r="AE83" i="7"/>
  <c r="AF164" i="7"/>
  <c r="AF128" i="7"/>
  <c r="AF49" i="7"/>
  <c r="AF51" i="7" s="1"/>
  <c r="AF77" i="7" s="1"/>
  <c r="AF82" i="7" s="1"/>
  <c r="F529" i="7" l="1"/>
  <c r="F530" i="7" s="1"/>
  <c r="G527" i="7" s="1"/>
  <c r="F534" i="7"/>
  <c r="E570" i="7" s="1"/>
  <c r="E675" i="7" s="1"/>
  <c r="F676" i="7" s="1"/>
  <c r="I207" i="7"/>
  <c r="J207" i="7" s="1"/>
  <c r="M207" i="7" s="1"/>
  <c r="B212" i="7"/>
  <c r="B346" i="7"/>
  <c r="AG128" i="7"/>
  <c r="AG164" i="7"/>
  <c r="AG49" i="7"/>
  <c r="AG51" i="7" s="1"/>
  <c r="AG77" i="7" s="1"/>
  <c r="AG82" i="7" s="1"/>
  <c r="I209" i="7"/>
  <c r="J209" i="7" s="1"/>
  <c r="M209" i="7" s="1"/>
  <c r="K339" i="7"/>
  <c r="L339" i="7" s="1"/>
  <c r="L346" i="7" s="1"/>
  <c r="H346" i="7"/>
  <c r="G165" i="7"/>
  <c r="G129" i="7"/>
  <c r="G50" i="7"/>
  <c r="K205" i="7"/>
  <c r="L205" i="7" s="1"/>
  <c r="L212" i="7" s="1"/>
  <c r="H212" i="7"/>
  <c r="I341" i="7"/>
  <c r="J341" i="7" s="1"/>
  <c r="I343" i="7"/>
  <c r="J343" i="7" s="1"/>
  <c r="I342" i="7"/>
  <c r="J342" i="7" s="1"/>
  <c r="I344" i="7"/>
  <c r="J344" i="7" s="1"/>
  <c r="I208" i="7"/>
  <c r="J208" i="7" s="1"/>
  <c r="M342" i="7" s="1"/>
  <c r="I210" i="7"/>
  <c r="J210" i="7" s="1"/>
  <c r="M210" i="7" s="1"/>
  <c r="C94" i="7"/>
  <c r="C168" i="7" s="1"/>
  <c r="I205" i="7"/>
  <c r="J205" i="7" s="1"/>
  <c r="I206" i="7"/>
  <c r="J206" i="7" s="1"/>
  <c r="M206" i="7" s="1"/>
  <c r="M339" i="7"/>
  <c r="M341" i="7"/>
  <c r="M343" i="7"/>
  <c r="M344" i="7"/>
  <c r="G549" i="7"/>
  <c r="AH579" i="7"/>
  <c r="AH582" i="7" s="1"/>
  <c r="AG675" i="7"/>
  <c r="AH676" i="7" s="1"/>
  <c r="AF91" i="7"/>
  <c r="AF83" i="7"/>
  <c r="AE92" i="7"/>
  <c r="E568" i="7" l="1"/>
  <c r="E56" i="7" s="1"/>
  <c r="E61" i="7" s="1"/>
  <c r="E67" i="7" s="1"/>
  <c r="E77" i="7" s="1"/>
  <c r="E82" i="7" s="1"/>
  <c r="E91" i="7" s="1"/>
  <c r="E92" i="7" s="1"/>
  <c r="F567" i="7"/>
  <c r="M205" i="7"/>
  <c r="AH164" i="7"/>
  <c r="AH49" i="7"/>
  <c r="AH51" i="7" s="1"/>
  <c r="AH77" i="7" s="1"/>
  <c r="AH82" i="7" s="1"/>
  <c r="AH128" i="7"/>
  <c r="AG83" i="7"/>
  <c r="AG91" i="7"/>
  <c r="AG92" i="7" s="1"/>
  <c r="F164" i="7"/>
  <c r="F49" i="7"/>
  <c r="F51" i="7" s="1"/>
  <c r="F128" i="7"/>
  <c r="M208" i="7"/>
  <c r="C95" i="7"/>
  <c r="C96" i="7" s="1"/>
  <c r="I339" i="7"/>
  <c r="J339" i="7" s="1"/>
  <c r="N205" i="7" s="1"/>
  <c r="I340" i="7"/>
  <c r="J340" i="7" s="1"/>
  <c r="N340" i="7" s="1"/>
  <c r="N207" i="7"/>
  <c r="O207" i="7" s="1"/>
  <c r="Q207" i="7" s="1"/>
  <c r="N341" i="7"/>
  <c r="O341" i="7" s="1"/>
  <c r="Q341" i="7" s="1"/>
  <c r="N210" i="7"/>
  <c r="O210" i="7" s="1"/>
  <c r="Q210" i="7" s="1"/>
  <c r="N344" i="7"/>
  <c r="O344" i="7" s="1"/>
  <c r="Q344" i="7" s="1"/>
  <c r="N208" i="7"/>
  <c r="N342" i="7"/>
  <c r="O342" i="7" s="1"/>
  <c r="Q342" i="7" s="1"/>
  <c r="N343" i="7"/>
  <c r="O343" i="7" s="1"/>
  <c r="Q343" i="7" s="1"/>
  <c r="N209" i="7"/>
  <c r="O209" i="7" s="1"/>
  <c r="Q209" i="7" s="1"/>
  <c r="M340" i="7"/>
  <c r="M346" i="7" s="1"/>
  <c r="J212" i="7"/>
  <c r="AI579" i="7"/>
  <c r="AI582" i="7" s="1"/>
  <c r="AH675" i="7"/>
  <c r="AI676" i="7" s="1"/>
  <c r="AF92" i="7"/>
  <c r="G554" i="7"/>
  <c r="E83" i="7" l="1"/>
  <c r="O205" i="7"/>
  <c r="G532" i="7"/>
  <c r="G75" i="7" s="1"/>
  <c r="G76" i="7" s="1"/>
  <c r="M212" i="7"/>
  <c r="O208" i="7"/>
  <c r="Q208" i="7" s="1"/>
  <c r="Y248" i="7" s="1"/>
  <c r="N206" i="7"/>
  <c r="O206" i="7" s="1"/>
  <c r="P206" i="7" s="1"/>
  <c r="Q206" i="7" s="1"/>
  <c r="AI128" i="7"/>
  <c r="AI164" i="7"/>
  <c r="AI49" i="7"/>
  <c r="AI51" i="7" s="1"/>
  <c r="AI77" i="7" s="1"/>
  <c r="AI82" i="7" s="1"/>
  <c r="AH83" i="7"/>
  <c r="AH91" i="7"/>
  <c r="AH92" i="7" s="1"/>
  <c r="O340" i="7"/>
  <c r="J346" i="7"/>
  <c r="N339" i="7"/>
  <c r="O339" i="7" s="1"/>
  <c r="AE381" i="7"/>
  <c r="O381" i="7"/>
  <c r="AP381" i="7"/>
  <c r="AH381" i="7"/>
  <c r="Z381" i="7"/>
  <c r="R381" i="7"/>
  <c r="J381" i="7"/>
  <c r="AI381" i="7"/>
  <c r="S381" i="7"/>
  <c r="D381" i="7"/>
  <c r="AJ381" i="7"/>
  <c r="AB381" i="7"/>
  <c r="T381" i="7"/>
  <c r="L381" i="7"/>
  <c r="I381" i="7"/>
  <c r="AO381" i="7"/>
  <c r="AC381" i="7"/>
  <c r="Q381" i="7"/>
  <c r="E381" i="7"/>
  <c r="AK381" i="7"/>
  <c r="AM381" i="7"/>
  <c r="W381" i="7"/>
  <c r="G381" i="7"/>
  <c r="AL381" i="7"/>
  <c r="AD381" i="7"/>
  <c r="V381" i="7"/>
  <c r="N381" i="7"/>
  <c r="F381" i="7"/>
  <c r="AA381" i="7"/>
  <c r="K381" i="7"/>
  <c r="AN381" i="7"/>
  <c r="AF381" i="7"/>
  <c r="X381" i="7"/>
  <c r="P381" i="7"/>
  <c r="H381" i="7"/>
  <c r="Y381" i="7"/>
  <c r="M381" i="7"/>
  <c r="C381" i="7"/>
  <c r="AG381" i="7"/>
  <c r="U381" i="7"/>
  <c r="D247" i="7"/>
  <c r="L247" i="7"/>
  <c r="T247" i="7"/>
  <c r="AB247" i="7"/>
  <c r="AJ247" i="7"/>
  <c r="C247" i="7"/>
  <c r="K247" i="7"/>
  <c r="S247" i="7"/>
  <c r="AA247" i="7"/>
  <c r="AI247" i="7"/>
  <c r="F247" i="7"/>
  <c r="N247" i="7"/>
  <c r="V247" i="7"/>
  <c r="AD247" i="7"/>
  <c r="AL247" i="7"/>
  <c r="E247" i="7"/>
  <c r="M247" i="7"/>
  <c r="U247" i="7"/>
  <c r="AC247" i="7"/>
  <c r="AK247" i="7"/>
  <c r="H247" i="7"/>
  <c r="P247" i="7"/>
  <c r="X247" i="7"/>
  <c r="AF247" i="7"/>
  <c r="AN247" i="7"/>
  <c r="G247" i="7"/>
  <c r="O247" i="7"/>
  <c r="W247" i="7"/>
  <c r="AE247" i="7"/>
  <c r="AM247" i="7"/>
  <c r="J247" i="7"/>
  <c r="R247" i="7"/>
  <c r="Z247" i="7"/>
  <c r="AH247" i="7"/>
  <c r="AP247" i="7"/>
  <c r="I247" i="7"/>
  <c r="Q247" i="7"/>
  <c r="Y247" i="7"/>
  <c r="AG247" i="7"/>
  <c r="AO247" i="7"/>
  <c r="R383" i="7"/>
  <c r="AA383" i="7"/>
  <c r="K383" i="7"/>
  <c r="Z383" i="7"/>
  <c r="AM383" i="7"/>
  <c r="W383" i="7"/>
  <c r="G383" i="7"/>
  <c r="L383" i="7"/>
  <c r="H383" i="7"/>
  <c r="AN383" i="7"/>
  <c r="M383" i="7"/>
  <c r="AC383" i="7"/>
  <c r="F383" i="7"/>
  <c r="AL383" i="7"/>
  <c r="T383" i="7"/>
  <c r="P383" i="7"/>
  <c r="I383" i="7"/>
  <c r="Y383" i="7"/>
  <c r="AO383" i="7"/>
  <c r="AD383" i="7"/>
  <c r="AH383" i="7"/>
  <c r="AI383" i="7"/>
  <c r="S383" i="7"/>
  <c r="AP383" i="7"/>
  <c r="J383" i="7"/>
  <c r="AE383" i="7"/>
  <c r="O383" i="7"/>
  <c r="C383" i="7"/>
  <c r="AB383" i="7"/>
  <c r="X383" i="7"/>
  <c r="E383" i="7"/>
  <c r="U383" i="7"/>
  <c r="AK383" i="7"/>
  <c r="V383" i="7"/>
  <c r="D383" i="7"/>
  <c r="AJ383" i="7"/>
  <c r="AF383" i="7"/>
  <c r="Q383" i="7"/>
  <c r="AG383" i="7"/>
  <c r="N383" i="7"/>
  <c r="G249" i="7"/>
  <c r="O249" i="7"/>
  <c r="W249" i="7"/>
  <c r="AE249" i="7"/>
  <c r="AM249" i="7"/>
  <c r="H249" i="7"/>
  <c r="P249" i="7"/>
  <c r="X249" i="7"/>
  <c r="AF249" i="7"/>
  <c r="AN249" i="7"/>
  <c r="I249" i="7"/>
  <c r="Q249" i="7"/>
  <c r="Y249" i="7"/>
  <c r="AG249" i="7"/>
  <c r="AO249" i="7"/>
  <c r="J249" i="7"/>
  <c r="R249" i="7"/>
  <c r="Z249" i="7"/>
  <c r="AH249" i="7"/>
  <c r="AP249" i="7"/>
  <c r="C249" i="7"/>
  <c r="K249" i="7"/>
  <c r="S249" i="7"/>
  <c r="AA249" i="7"/>
  <c r="AI249" i="7"/>
  <c r="D249" i="7"/>
  <c r="L249" i="7"/>
  <c r="T249" i="7"/>
  <c r="AB249" i="7"/>
  <c r="AJ249" i="7"/>
  <c r="E249" i="7"/>
  <c r="M249" i="7"/>
  <c r="U249" i="7"/>
  <c r="AC249" i="7"/>
  <c r="AK249" i="7"/>
  <c r="F249" i="7"/>
  <c r="N249" i="7"/>
  <c r="V249" i="7"/>
  <c r="AD249" i="7"/>
  <c r="AL249" i="7"/>
  <c r="AO382" i="7"/>
  <c r="AI382" i="7"/>
  <c r="K382" i="7"/>
  <c r="AN382" i="7"/>
  <c r="AF382" i="7"/>
  <c r="X382" i="7"/>
  <c r="P382" i="7"/>
  <c r="H382" i="7"/>
  <c r="AC382" i="7"/>
  <c r="AA382" i="7"/>
  <c r="G382" i="7"/>
  <c r="AL382" i="7"/>
  <c r="AD382" i="7"/>
  <c r="V382" i="7"/>
  <c r="N382" i="7"/>
  <c r="F382" i="7"/>
  <c r="AG382" i="7"/>
  <c r="W382" i="7"/>
  <c r="Q382" i="7"/>
  <c r="C382" i="7"/>
  <c r="U382" i="7"/>
  <c r="I382" i="7"/>
  <c r="S382" i="7"/>
  <c r="D382" i="7"/>
  <c r="AJ382" i="7"/>
  <c r="AB382" i="7"/>
  <c r="T382" i="7"/>
  <c r="L382" i="7"/>
  <c r="AK382" i="7"/>
  <c r="Y382" i="7"/>
  <c r="O382" i="7"/>
  <c r="AP382" i="7"/>
  <c r="AH382" i="7"/>
  <c r="Z382" i="7"/>
  <c r="R382" i="7"/>
  <c r="J382" i="7"/>
  <c r="AE382" i="7"/>
  <c r="E382" i="7"/>
  <c r="AM382" i="7"/>
  <c r="M382" i="7"/>
  <c r="C384" i="7"/>
  <c r="X384" i="7"/>
  <c r="AD384" i="7"/>
  <c r="N384" i="7"/>
  <c r="AO384" i="7"/>
  <c r="AG384" i="7"/>
  <c r="Y384" i="7"/>
  <c r="Q384" i="7"/>
  <c r="I384" i="7"/>
  <c r="AN384" i="7"/>
  <c r="AP384" i="7"/>
  <c r="Z384" i="7"/>
  <c r="AI384" i="7"/>
  <c r="AA384" i="7"/>
  <c r="K384" i="7"/>
  <c r="AM384" i="7"/>
  <c r="O384" i="7"/>
  <c r="P384" i="7"/>
  <c r="AJ384" i="7"/>
  <c r="T384" i="7"/>
  <c r="D384" i="7"/>
  <c r="AB384" i="7"/>
  <c r="AL384" i="7"/>
  <c r="V384" i="7"/>
  <c r="F384" i="7"/>
  <c r="AK384" i="7"/>
  <c r="AC384" i="7"/>
  <c r="U384" i="7"/>
  <c r="M384" i="7"/>
  <c r="E384" i="7"/>
  <c r="H384" i="7"/>
  <c r="AH384" i="7"/>
  <c r="R384" i="7"/>
  <c r="AE384" i="7"/>
  <c r="S384" i="7"/>
  <c r="J384" i="7"/>
  <c r="W384" i="7"/>
  <c r="G384" i="7"/>
  <c r="L384" i="7"/>
  <c r="AF384" i="7"/>
  <c r="I250" i="7"/>
  <c r="Q250" i="7"/>
  <c r="Y250" i="7"/>
  <c r="AG250" i="7"/>
  <c r="AO250" i="7"/>
  <c r="J250" i="7"/>
  <c r="R250" i="7"/>
  <c r="Z250" i="7"/>
  <c r="AH250" i="7"/>
  <c r="AP250" i="7"/>
  <c r="G250" i="7"/>
  <c r="O250" i="7"/>
  <c r="W250" i="7"/>
  <c r="AE250" i="7"/>
  <c r="AM250" i="7"/>
  <c r="H250" i="7"/>
  <c r="P250" i="7"/>
  <c r="X250" i="7"/>
  <c r="AF250" i="7"/>
  <c r="AN250" i="7"/>
  <c r="E250" i="7"/>
  <c r="M250" i="7"/>
  <c r="U250" i="7"/>
  <c r="AC250" i="7"/>
  <c r="AK250" i="7"/>
  <c r="F250" i="7"/>
  <c r="N250" i="7"/>
  <c r="V250" i="7"/>
  <c r="AD250" i="7"/>
  <c r="AL250" i="7"/>
  <c r="D250" i="7"/>
  <c r="K250" i="7"/>
  <c r="S250" i="7"/>
  <c r="AA250" i="7"/>
  <c r="AI250" i="7"/>
  <c r="C250" i="7"/>
  <c r="L250" i="7"/>
  <c r="T250" i="7"/>
  <c r="AB250" i="7"/>
  <c r="AJ250" i="7"/>
  <c r="P205" i="7"/>
  <c r="G551" i="7"/>
  <c r="G552" i="7" s="1"/>
  <c r="H555" i="7" s="1"/>
  <c r="H533" i="7" s="1"/>
  <c r="AJ579" i="7"/>
  <c r="AJ582" i="7" s="1"/>
  <c r="AI675" i="7"/>
  <c r="AJ676" i="7" s="1"/>
  <c r="M248" i="7" l="1"/>
  <c r="G534" i="7"/>
  <c r="F570" i="7" s="1"/>
  <c r="F675" i="7" s="1"/>
  <c r="G676" i="7" s="1"/>
  <c r="I248" i="7"/>
  <c r="G529" i="7"/>
  <c r="G530" i="7" s="1"/>
  <c r="H527" i="7" s="1"/>
  <c r="S248" i="7"/>
  <c r="O248" i="7"/>
  <c r="V248" i="7"/>
  <c r="J248" i="7"/>
  <c r="T248" i="7"/>
  <c r="P248" i="7"/>
  <c r="C248" i="7"/>
  <c r="AL248" i="7"/>
  <c r="AK248" i="7"/>
  <c r="AN248" i="7"/>
  <c r="AE248" i="7"/>
  <c r="AH248" i="7"/>
  <c r="AG248" i="7"/>
  <c r="AJ248" i="7"/>
  <c r="AA248" i="7"/>
  <c r="AD248" i="7"/>
  <c r="AC248" i="7"/>
  <c r="X248" i="7"/>
  <c r="W248" i="7"/>
  <c r="Z248" i="7"/>
  <c r="Q248" i="7"/>
  <c r="L248" i="7"/>
  <c r="K248" i="7"/>
  <c r="F248" i="7"/>
  <c r="E248" i="7"/>
  <c r="H248" i="7"/>
  <c r="AP248" i="7"/>
  <c r="AO248" i="7"/>
  <c r="AB248" i="7"/>
  <c r="AI248" i="7"/>
  <c r="D248" i="7"/>
  <c r="N248" i="7"/>
  <c r="U248" i="7"/>
  <c r="AF248" i="7"/>
  <c r="AM248" i="7"/>
  <c r="G248" i="7"/>
  <c r="R248" i="7"/>
  <c r="O212" i="7"/>
  <c r="N212" i="7"/>
  <c r="O346" i="7"/>
  <c r="AI83" i="7"/>
  <c r="AI91" i="7"/>
  <c r="AI92" i="7" s="1"/>
  <c r="AJ164" i="7"/>
  <c r="AJ128" i="7"/>
  <c r="AJ49" i="7"/>
  <c r="AJ51" i="7" s="1"/>
  <c r="AJ77" i="7" s="1"/>
  <c r="AJ82" i="7" s="1"/>
  <c r="P212" i="7"/>
  <c r="C251" i="7" s="1"/>
  <c r="B251" i="7" s="1"/>
  <c r="H165" i="7"/>
  <c r="H129" i="7"/>
  <c r="H50" i="7"/>
  <c r="P339" i="7"/>
  <c r="Q339" i="7" s="1"/>
  <c r="C379" i="7" s="1"/>
  <c r="N346" i="7"/>
  <c r="P340" i="7"/>
  <c r="Q340" i="7" s="1"/>
  <c r="E246" i="7"/>
  <c r="AJ246" i="7"/>
  <c r="C246" i="7"/>
  <c r="T246" i="7"/>
  <c r="AL246" i="7"/>
  <c r="AB246" i="7"/>
  <c r="AI246" i="7"/>
  <c r="D246" i="7"/>
  <c r="J246" i="7"/>
  <c r="AF246" i="7"/>
  <c r="P246" i="7"/>
  <c r="AM246" i="7"/>
  <c r="W246" i="7"/>
  <c r="G246" i="7"/>
  <c r="AH246" i="7"/>
  <c r="R246" i="7"/>
  <c r="Y246" i="7"/>
  <c r="N246" i="7"/>
  <c r="AK246" i="7"/>
  <c r="U246" i="7"/>
  <c r="K246" i="7"/>
  <c r="V246" i="7"/>
  <c r="AA246" i="7"/>
  <c r="AG246" i="7"/>
  <c r="L246" i="7"/>
  <c r="S246" i="7"/>
  <c r="AD246" i="7"/>
  <c r="Q246" i="7"/>
  <c r="AN246" i="7"/>
  <c r="X246" i="7"/>
  <c r="H246" i="7"/>
  <c r="AE246" i="7"/>
  <c r="O246" i="7"/>
  <c r="AP246" i="7"/>
  <c r="Z246" i="7"/>
  <c r="AO246" i="7"/>
  <c r="I246" i="7"/>
  <c r="F246" i="7"/>
  <c r="AC246" i="7"/>
  <c r="M246" i="7"/>
  <c r="B249" i="7"/>
  <c r="B384" i="7"/>
  <c r="B247" i="7"/>
  <c r="B381" i="7"/>
  <c r="B382" i="7"/>
  <c r="B383" i="7"/>
  <c r="Q205" i="7"/>
  <c r="D245" i="7" s="1"/>
  <c r="B250" i="7"/>
  <c r="H549" i="7"/>
  <c r="AK579" i="7"/>
  <c r="AK582" i="7" s="1"/>
  <c r="AJ675" i="7"/>
  <c r="AK676" i="7" s="1"/>
  <c r="F568" i="7" l="1"/>
  <c r="F56" i="7" s="1"/>
  <c r="F61" i="7" s="1"/>
  <c r="F67" i="7" s="1"/>
  <c r="F77" i="7" s="1"/>
  <c r="F82" i="7" s="1"/>
  <c r="F83" i="7" s="1"/>
  <c r="G567" i="7"/>
  <c r="B248" i="7"/>
  <c r="Q212" i="7"/>
  <c r="AK164" i="7"/>
  <c r="AK128" i="7"/>
  <c r="AK49" i="7"/>
  <c r="AK51" i="7" s="1"/>
  <c r="AK77" i="7" s="1"/>
  <c r="AK82" i="7" s="1"/>
  <c r="AJ83" i="7"/>
  <c r="AJ91" i="7"/>
  <c r="AJ92" i="7" s="1"/>
  <c r="G128" i="7"/>
  <c r="G164" i="7"/>
  <c r="G49" i="7"/>
  <c r="G51" i="7" s="1"/>
  <c r="D252" i="7"/>
  <c r="D130" i="7" s="1"/>
  <c r="D131" i="7" s="1"/>
  <c r="D159" i="7" s="1"/>
  <c r="D160" i="7" s="1"/>
  <c r="D102" i="7" s="1"/>
  <c r="AF379" i="7"/>
  <c r="AO379" i="7"/>
  <c r="P379" i="7"/>
  <c r="Y379" i="7"/>
  <c r="AN379" i="7"/>
  <c r="X379" i="7"/>
  <c r="H379" i="7"/>
  <c r="AG379" i="7"/>
  <c r="Q379" i="7"/>
  <c r="B246" i="7"/>
  <c r="W380" i="7"/>
  <c r="D380" i="7"/>
  <c r="M380" i="7"/>
  <c r="AF380" i="7"/>
  <c r="P380" i="7"/>
  <c r="AE380" i="7"/>
  <c r="AP380" i="7"/>
  <c r="R380" i="7"/>
  <c r="AG380" i="7"/>
  <c r="N380" i="7"/>
  <c r="AK380" i="7"/>
  <c r="E380" i="7"/>
  <c r="AB380" i="7"/>
  <c r="L380" i="7"/>
  <c r="AO380" i="7"/>
  <c r="AL380" i="7"/>
  <c r="J380" i="7"/>
  <c r="I380" i="7"/>
  <c r="F380" i="7"/>
  <c r="AM380" i="7"/>
  <c r="AA380" i="7"/>
  <c r="AC380" i="7"/>
  <c r="AN380" i="7"/>
  <c r="X380" i="7"/>
  <c r="H380" i="7"/>
  <c r="Y380" i="7"/>
  <c r="AD380" i="7"/>
  <c r="S380" i="7"/>
  <c r="AH380" i="7"/>
  <c r="C380" i="7"/>
  <c r="U380" i="7"/>
  <c r="AJ380" i="7"/>
  <c r="T380" i="7"/>
  <c r="K380" i="7"/>
  <c r="Q380" i="7"/>
  <c r="V380" i="7"/>
  <c r="O380" i="7"/>
  <c r="Z380" i="7"/>
  <c r="AI380" i="7"/>
  <c r="G380" i="7"/>
  <c r="P346" i="7"/>
  <c r="C385" i="7" s="1"/>
  <c r="B385" i="7" s="1"/>
  <c r="I379" i="7"/>
  <c r="I386" i="7" s="1"/>
  <c r="I166" i="7" s="1"/>
  <c r="AJ379" i="7"/>
  <c r="AB379" i="7"/>
  <c r="T379" i="7"/>
  <c r="L379" i="7"/>
  <c r="L386" i="7" s="1"/>
  <c r="L166" i="7" s="1"/>
  <c r="D379" i="7"/>
  <c r="AK379" i="7"/>
  <c r="AC379" i="7"/>
  <c r="U379" i="7"/>
  <c r="M379" i="7"/>
  <c r="M386" i="7" s="1"/>
  <c r="M166" i="7" s="1"/>
  <c r="E379" i="7"/>
  <c r="E386" i="7" s="1"/>
  <c r="E166" i="7" s="1"/>
  <c r="AO245" i="7"/>
  <c r="AO252" i="7" s="1"/>
  <c r="AO130" i="7" s="1"/>
  <c r="AG245" i="7"/>
  <c r="AG252" i="7" s="1"/>
  <c r="AG130" i="7" s="1"/>
  <c r="AG131" i="7" s="1"/>
  <c r="AG159" i="7" s="1"/>
  <c r="AG160" i="7" s="1"/>
  <c r="AK245" i="7"/>
  <c r="AK252" i="7" s="1"/>
  <c r="AK130" i="7" s="1"/>
  <c r="AC245" i="7"/>
  <c r="AC252" i="7" s="1"/>
  <c r="AC130" i="7" s="1"/>
  <c r="AC131" i="7" s="1"/>
  <c r="AC159" i="7" s="1"/>
  <c r="AC160" i="7" s="1"/>
  <c r="AC102" i="7" s="1"/>
  <c r="AP379" i="7"/>
  <c r="AL379" i="7"/>
  <c r="AH379" i="7"/>
  <c r="AD379" i="7"/>
  <c r="Z379" i="7"/>
  <c r="V379" i="7"/>
  <c r="R379" i="7"/>
  <c r="N379" i="7"/>
  <c r="J379" i="7"/>
  <c r="J386" i="7" s="1"/>
  <c r="J166" i="7" s="1"/>
  <c r="F379" i="7"/>
  <c r="Q346" i="7"/>
  <c r="AM379" i="7"/>
  <c r="AM386" i="7" s="1"/>
  <c r="AM166" i="7" s="1"/>
  <c r="AI379" i="7"/>
  <c r="AE379" i="7"/>
  <c r="AE386" i="7" s="1"/>
  <c r="AE166" i="7" s="1"/>
  <c r="AA379" i="7"/>
  <c r="W379" i="7"/>
  <c r="S379" i="7"/>
  <c r="O379" i="7"/>
  <c r="K379" i="7"/>
  <c r="G379" i="7"/>
  <c r="AM245" i="7"/>
  <c r="AM252" i="7" s="1"/>
  <c r="AM130" i="7" s="1"/>
  <c r="AI245" i="7"/>
  <c r="AI252" i="7" s="1"/>
  <c r="AI130" i="7" s="1"/>
  <c r="AI131" i="7" s="1"/>
  <c r="AI159" i="7" s="1"/>
  <c r="AI160" i="7" s="1"/>
  <c r="AE245" i="7"/>
  <c r="AE252" i="7" s="1"/>
  <c r="AE130" i="7" s="1"/>
  <c r="AE131" i="7" s="1"/>
  <c r="AE159" i="7" s="1"/>
  <c r="AE160" i="7" s="1"/>
  <c r="AE102" i="7" s="1"/>
  <c r="Y245" i="7"/>
  <c r="Y252" i="7" s="1"/>
  <c r="Y130" i="7" s="1"/>
  <c r="Y131" i="7" s="1"/>
  <c r="Y159" i="7" s="1"/>
  <c r="Y160" i="7" s="1"/>
  <c r="Y102" i="7" s="1"/>
  <c r="AA245" i="7"/>
  <c r="AA252" i="7" s="1"/>
  <c r="AA130" i="7" s="1"/>
  <c r="AA131" i="7" s="1"/>
  <c r="AA159" i="7" s="1"/>
  <c r="AA160" i="7" s="1"/>
  <c r="AA102" i="7" s="1"/>
  <c r="Q245" i="7"/>
  <c r="Q252" i="7" s="1"/>
  <c r="Q130" i="7" s="1"/>
  <c r="U245" i="7"/>
  <c r="U252" i="7" s="1"/>
  <c r="U130" i="7" s="1"/>
  <c r="K245" i="7"/>
  <c r="K252" i="7" s="1"/>
  <c r="K130" i="7" s="1"/>
  <c r="W245" i="7"/>
  <c r="W252" i="7" s="1"/>
  <c r="W130" i="7" s="1"/>
  <c r="W131" i="7" s="1"/>
  <c r="W159" i="7" s="1"/>
  <c r="W160" i="7" s="1"/>
  <c r="W167" i="7" s="1"/>
  <c r="S245" i="7"/>
  <c r="S252" i="7" s="1"/>
  <c r="S130" i="7" s="1"/>
  <c r="O245" i="7"/>
  <c r="O252" i="7" s="1"/>
  <c r="O130" i="7" s="1"/>
  <c r="E245" i="7"/>
  <c r="E252" i="7" s="1"/>
  <c r="E130" i="7" s="1"/>
  <c r="E131" i="7" s="1"/>
  <c r="E159" i="7" s="1"/>
  <c r="E160" i="7" s="1"/>
  <c r="E167" i="7" s="1"/>
  <c r="M245" i="7"/>
  <c r="M252" i="7" s="1"/>
  <c r="M130" i="7" s="1"/>
  <c r="I245" i="7"/>
  <c r="I252" i="7" s="1"/>
  <c r="I130" i="7" s="1"/>
  <c r="AL245" i="7"/>
  <c r="AL252" i="7" s="1"/>
  <c r="AL130" i="7" s="1"/>
  <c r="G245" i="7"/>
  <c r="G252" i="7" s="1"/>
  <c r="G130" i="7" s="1"/>
  <c r="AP245" i="7"/>
  <c r="AP252" i="7" s="1"/>
  <c r="AP130" i="7" s="1"/>
  <c r="AF245" i="7"/>
  <c r="AF252" i="7" s="1"/>
  <c r="AF130" i="7" s="1"/>
  <c r="AF131" i="7" s="1"/>
  <c r="AF159" i="7" s="1"/>
  <c r="AF160" i="7" s="1"/>
  <c r="AF167" i="7" s="1"/>
  <c r="C245" i="7"/>
  <c r="C252" i="7" s="1"/>
  <c r="AN245" i="7"/>
  <c r="AN252" i="7" s="1"/>
  <c r="AN130" i="7" s="1"/>
  <c r="AJ245" i="7"/>
  <c r="AJ252" i="7" s="1"/>
  <c r="AJ130" i="7" s="1"/>
  <c r="AJ131" i="7" s="1"/>
  <c r="AJ159" i="7" s="1"/>
  <c r="AJ160" i="7" s="1"/>
  <c r="X245" i="7"/>
  <c r="X252" i="7" s="1"/>
  <c r="X130" i="7" s="1"/>
  <c r="X131" i="7" s="1"/>
  <c r="X159" i="7" s="1"/>
  <c r="X160" i="7" s="1"/>
  <c r="X167" i="7" s="1"/>
  <c r="AH245" i="7"/>
  <c r="AH252" i="7" s="1"/>
  <c r="AH130" i="7" s="1"/>
  <c r="AH131" i="7" s="1"/>
  <c r="AH159" i="7" s="1"/>
  <c r="AH160" i="7" s="1"/>
  <c r="AB245" i="7"/>
  <c r="AB252" i="7" s="1"/>
  <c r="AB130" i="7" s="1"/>
  <c r="AB131" i="7" s="1"/>
  <c r="AB159" i="7" s="1"/>
  <c r="AB160" i="7" s="1"/>
  <c r="AB167" i="7" s="1"/>
  <c r="T245" i="7"/>
  <c r="T252" i="7" s="1"/>
  <c r="T130" i="7" s="1"/>
  <c r="AD245" i="7"/>
  <c r="AD252" i="7" s="1"/>
  <c r="AD130" i="7" s="1"/>
  <c r="AD131" i="7" s="1"/>
  <c r="AD159" i="7" s="1"/>
  <c r="AD160" i="7" s="1"/>
  <c r="AD167" i="7" s="1"/>
  <c r="Z245" i="7"/>
  <c r="Z252" i="7" s="1"/>
  <c r="Z130" i="7" s="1"/>
  <c r="Z131" i="7" s="1"/>
  <c r="Z159" i="7" s="1"/>
  <c r="Z160" i="7" s="1"/>
  <c r="Z102" i="7" s="1"/>
  <c r="V245" i="7"/>
  <c r="V252" i="7" s="1"/>
  <c r="V130" i="7" s="1"/>
  <c r="R245" i="7"/>
  <c r="R252" i="7" s="1"/>
  <c r="R130" i="7" s="1"/>
  <c r="P245" i="7"/>
  <c r="P252" i="7" s="1"/>
  <c r="P130" i="7" s="1"/>
  <c r="N245" i="7"/>
  <c r="N252" i="7" s="1"/>
  <c r="N130" i="7" s="1"/>
  <c r="L245" i="7"/>
  <c r="L252" i="7" s="1"/>
  <c r="L130" i="7" s="1"/>
  <c r="J245" i="7"/>
  <c r="J252" i="7" s="1"/>
  <c r="J130" i="7" s="1"/>
  <c r="H245" i="7"/>
  <c r="H252" i="7" s="1"/>
  <c r="H130" i="7" s="1"/>
  <c r="F245" i="7"/>
  <c r="F252" i="7" s="1"/>
  <c r="F130" i="7" s="1"/>
  <c r="F131" i="7" s="1"/>
  <c r="F159" i="7" s="1"/>
  <c r="F160" i="7" s="1"/>
  <c r="F102" i="7" s="1"/>
  <c r="AL579" i="7"/>
  <c r="AL582" i="7" s="1"/>
  <c r="AK675" i="7"/>
  <c r="AL676" i="7" s="1"/>
  <c r="H554" i="7"/>
  <c r="F91" i="7" l="1"/>
  <c r="F92" i="7" s="1"/>
  <c r="H532" i="7"/>
  <c r="H75" i="7" s="1"/>
  <c r="H76" i="7" s="1"/>
  <c r="H386" i="7"/>
  <c r="H166" i="7" s="1"/>
  <c r="AH386" i="7"/>
  <c r="AH166" i="7" s="1"/>
  <c r="AA386" i="7"/>
  <c r="AA166" i="7" s="1"/>
  <c r="N386" i="7"/>
  <c r="N166" i="7" s="1"/>
  <c r="D167" i="7"/>
  <c r="AP386" i="7"/>
  <c r="AP166" i="7" s="1"/>
  <c r="V386" i="7"/>
  <c r="V166" i="7" s="1"/>
  <c r="AL386" i="7"/>
  <c r="AL166" i="7" s="1"/>
  <c r="AJ167" i="7"/>
  <c r="AJ102" i="7"/>
  <c r="AH102" i="7"/>
  <c r="AH167" i="7"/>
  <c r="AI102" i="7"/>
  <c r="AI167" i="7"/>
  <c r="AG167" i="7"/>
  <c r="AG102" i="7"/>
  <c r="AK83" i="7"/>
  <c r="AK91" i="7"/>
  <c r="AK92" i="7" s="1"/>
  <c r="AL128" i="7"/>
  <c r="AL131" i="7" s="1"/>
  <c r="AL159" i="7" s="1"/>
  <c r="AL160" i="7" s="1"/>
  <c r="AL164" i="7"/>
  <c r="AL49" i="7"/>
  <c r="AL51" i="7" s="1"/>
  <c r="AL77" i="7" s="1"/>
  <c r="AL82" i="7" s="1"/>
  <c r="AK131" i="7"/>
  <c r="AK159" i="7" s="1"/>
  <c r="AK160" i="7" s="1"/>
  <c r="G131" i="7"/>
  <c r="G159" i="7" s="1"/>
  <c r="G160" i="7" s="1"/>
  <c r="G102" i="7" s="1"/>
  <c r="AE167" i="7"/>
  <c r="AE170" i="7" s="1"/>
  <c r="AE198" i="7" s="1"/>
  <c r="AE199" i="7" s="1"/>
  <c r="AE103" i="7" s="1"/>
  <c r="AE104" i="7" s="1"/>
  <c r="AE105" i="7" s="1"/>
  <c r="G386" i="7"/>
  <c r="G166" i="7" s="1"/>
  <c r="Q386" i="7"/>
  <c r="Q166" i="7" s="1"/>
  <c r="AN386" i="7"/>
  <c r="AN166" i="7" s="1"/>
  <c r="P386" i="7"/>
  <c r="P166" i="7" s="1"/>
  <c r="AF386" i="7"/>
  <c r="AF166" i="7" s="1"/>
  <c r="AF170" i="7" s="1"/>
  <c r="AF198" i="7" s="1"/>
  <c r="AF199" i="7" s="1"/>
  <c r="AF103" i="7" s="1"/>
  <c r="X386" i="7"/>
  <c r="X166" i="7" s="1"/>
  <c r="X170" i="7" s="1"/>
  <c r="X198" i="7" s="1"/>
  <c r="X199" i="7" s="1"/>
  <c r="X103" i="7" s="1"/>
  <c r="Y386" i="7"/>
  <c r="Y166" i="7" s="1"/>
  <c r="AO386" i="7"/>
  <c r="AO166" i="7" s="1"/>
  <c r="AI386" i="7"/>
  <c r="AI166" i="7" s="1"/>
  <c r="AG386" i="7"/>
  <c r="AG166" i="7" s="1"/>
  <c r="AC167" i="7"/>
  <c r="Z386" i="7"/>
  <c r="Z166" i="7" s="1"/>
  <c r="T386" i="7"/>
  <c r="T166" i="7" s="1"/>
  <c r="B380" i="7"/>
  <c r="O386" i="7"/>
  <c r="O166" i="7" s="1"/>
  <c r="W386" i="7"/>
  <c r="W166" i="7" s="1"/>
  <c r="W170" i="7" s="1"/>
  <c r="W198" i="7" s="1"/>
  <c r="W199" i="7" s="1"/>
  <c r="W103" i="7" s="1"/>
  <c r="F386" i="7"/>
  <c r="F166" i="7" s="1"/>
  <c r="AD386" i="7"/>
  <c r="AD166" i="7" s="1"/>
  <c r="AD170" i="7" s="1"/>
  <c r="AD198" i="7" s="1"/>
  <c r="AD199" i="7" s="1"/>
  <c r="AD103" i="7" s="1"/>
  <c r="U386" i="7"/>
  <c r="U166" i="7" s="1"/>
  <c r="AK386" i="7"/>
  <c r="AK166" i="7" s="1"/>
  <c r="AB386" i="7"/>
  <c r="AB166" i="7" s="1"/>
  <c r="AB170" i="7" s="1"/>
  <c r="AB198" i="7" s="1"/>
  <c r="AB199" i="7" s="1"/>
  <c r="AB103" i="7" s="1"/>
  <c r="C386" i="7"/>
  <c r="C166" i="7" s="1"/>
  <c r="E170" i="7"/>
  <c r="E198" i="7" s="1"/>
  <c r="E199" i="7" s="1"/>
  <c r="E103" i="7" s="1"/>
  <c r="W102" i="7"/>
  <c r="K386" i="7"/>
  <c r="K166" i="7" s="1"/>
  <c r="S386" i="7"/>
  <c r="S166" i="7" s="1"/>
  <c r="R386" i="7"/>
  <c r="R166" i="7" s="1"/>
  <c r="AC386" i="7"/>
  <c r="AC166" i="7" s="1"/>
  <c r="D386" i="7"/>
  <c r="D166" i="7" s="1"/>
  <c r="AJ386" i="7"/>
  <c r="AJ166" i="7" s="1"/>
  <c r="Y167" i="7"/>
  <c r="AD102" i="7"/>
  <c r="AA167" i="7"/>
  <c r="Z167" i="7"/>
  <c r="AB102" i="7"/>
  <c r="B379" i="7"/>
  <c r="E102" i="7"/>
  <c r="X102" i="7"/>
  <c r="AF102" i="7"/>
  <c r="F167" i="7"/>
  <c r="B245" i="7"/>
  <c r="B252" i="7"/>
  <c r="C130" i="7"/>
  <c r="C131" i="7" s="1"/>
  <c r="C159" i="7" s="1"/>
  <c r="C160" i="7" s="1"/>
  <c r="H551" i="7"/>
  <c r="H552" i="7" s="1"/>
  <c r="I555" i="7" s="1"/>
  <c r="I533" i="7" s="1"/>
  <c r="AM579" i="7"/>
  <c r="AM582" i="7" s="1"/>
  <c r="AL675" i="7"/>
  <c r="AM676" i="7" s="1"/>
  <c r="H37" i="1" l="1"/>
  <c r="H534" i="7"/>
  <c r="G570" i="7" s="1"/>
  <c r="G675" i="7" s="1"/>
  <c r="H676" i="7" s="1"/>
  <c r="H529" i="7"/>
  <c r="H530" i="7" s="1"/>
  <c r="I527" i="7" s="1"/>
  <c r="AH170" i="7"/>
  <c r="AH198" i="7" s="1"/>
  <c r="AH199" i="7" s="1"/>
  <c r="AH103" i="7" s="1"/>
  <c r="AH104" i="7" s="1"/>
  <c r="AH105" i="7" s="1"/>
  <c r="AA170" i="7"/>
  <c r="AA198" i="7" s="1"/>
  <c r="AA199" i="7" s="1"/>
  <c r="AA103" i="7" s="1"/>
  <c r="AA104" i="7" s="1"/>
  <c r="AA105" i="7" s="1"/>
  <c r="AJ170" i="7"/>
  <c r="AJ198" i="7" s="1"/>
  <c r="AJ199" i="7" s="1"/>
  <c r="AJ103" i="7" s="1"/>
  <c r="AJ104" i="7" s="1"/>
  <c r="AJ105" i="7" s="1"/>
  <c r="G167" i="7"/>
  <c r="G170" i="7" s="1"/>
  <c r="G198" i="7" s="1"/>
  <c r="G199" i="7" s="1"/>
  <c r="G103" i="7" s="1"/>
  <c r="G104" i="7" s="1"/>
  <c r="AI170" i="7"/>
  <c r="AI198" i="7" s="1"/>
  <c r="AI199" i="7" s="1"/>
  <c r="AI103" i="7" s="1"/>
  <c r="AI104" i="7" s="1"/>
  <c r="AI105" i="7" s="1"/>
  <c r="AG170" i="7"/>
  <c r="AG198" i="7" s="1"/>
  <c r="AG199" i="7" s="1"/>
  <c r="AG103" i="7" s="1"/>
  <c r="AG104" i="7" s="1"/>
  <c r="AG105" i="7" s="1"/>
  <c r="AM164" i="7"/>
  <c r="AM49" i="7"/>
  <c r="AM51" i="7" s="1"/>
  <c r="AM77" i="7" s="1"/>
  <c r="AM82" i="7" s="1"/>
  <c r="AM128" i="7"/>
  <c r="AM131" i="7" s="1"/>
  <c r="AM159" i="7" s="1"/>
  <c r="AM160" i="7" s="1"/>
  <c r="AK102" i="7"/>
  <c r="AK167" i="7"/>
  <c r="AK170" i="7" s="1"/>
  <c r="AK198" i="7" s="1"/>
  <c r="AK199" i="7" s="1"/>
  <c r="AK103" i="7" s="1"/>
  <c r="AL91" i="7"/>
  <c r="AL92" i="7" s="1"/>
  <c r="AL83" i="7"/>
  <c r="AL102" i="7"/>
  <c r="AL167" i="7"/>
  <c r="AL170" i="7" s="1"/>
  <c r="AL198" i="7" s="1"/>
  <c r="AL199" i="7" s="1"/>
  <c r="AL103" i="7" s="1"/>
  <c r="AE114" i="7"/>
  <c r="I165" i="7"/>
  <c r="I129" i="7"/>
  <c r="I50" i="7"/>
  <c r="F170" i="7"/>
  <c r="F198" i="7" s="1"/>
  <c r="F199" i="7" s="1"/>
  <c r="F103" i="7" s="1"/>
  <c r="F104" i="7" s="1"/>
  <c r="F105" i="7" s="1"/>
  <c r="Y170" i="7"/>
  <c r="Y198" i="7" s="1"/>
  <c r="Y199" i="7" s="1"/>
  <c r="Y103" i="7" s="1"/>
  <c r="Y104" i="7" s="1"/>
  <c r="Y105" i="7" s="1"/>
  <c r="AC170" i="7"/>
  <c r="AC198" i="7" s="1"/>
  <c r="AC199" i="7" s="1"/>
  <c r="AC103" i="7" s="1"/>
  <c r="AC104" i="7" s="1"/>
  <c r="AC105" i="7" s="1"/>
  <c r="Z170" i="7"/>
  <c r="Z198" i="7" s="1"/>
  <c r="Z199" i="7" s="1"/>
  <c r="Z103" i="7" s="1"/>
  <c r="Z104" i="7" s="1"/>
  <c r="Z105" i="7" s="1"/>
  <c r="AF104" i="7"/>
  <c r="AF105" i="7" s="1"/>
  <c r="W104" i="7"/>
  <c r="W105" i="7" s="1"/>
  <c r="AD104" i="7"/>
  <c r="AD105" i="7" s="1"/>
  <c r="D170" i="7"/>
  <c r="D198" i="7" s="1"/>
  <c r="D199" i="7" s="1"/>
  <c r="D103" i="7" s="1"/>
  <c r="D104" i="7" s="1"/>
  <c r="D105" i="7" s="1"/>
  <c r="B386" i="7"/>
  <c r="X104" i="7"/>
  <c r="X105" i="7" s="1"/>
  <c r="AB104" i="7"/>
  <c r="AB105" i="7" s="1"/>
  <c r="E104" i="7"/>
  <c r="E105" i="7" s="1"/>
  <c r="C102" i="7"/>
  <c r="C167" i="7"/>
  <c r="AN579" i="7"/>
  <c r="AN582" i="7" s="1"/>
  <c r="AM675" i="7"/>
  <c r="AN676" i="7" s="1"/>
  <c r="I549" i="7"/>
  <c r="H11" i="1" l="1"/>
  <c r="H38" i="1"/>
  <c r="H12" i="1"/>
  <c r="H10" i="1"/>
  <c r="H36" i="1"/>
  <c r="H35" i="1"/>
  <c r="H32" i="1"/>
  <c r="H34" i="1"/>
  <c r="H30" i="1"/>
  <c r="H29" i="1"/>
  <c r="H31" i="1"/>
  <c r="G568" i="7"/>
  <c r="G56" i="7" s="1"/>
  <c r="G61" i="7" s="1"/>
  <c r="G67" i="7" s="1"/>
  <c r="G77" i="7" s="1"/>
  <c r="G82" i="7" s="1"/>
  <c r="G91" i="7" s="1"/>
  <c r="G92" i="7" s="1"/>
  <c r="G105" i="7" s="1"/>
  <c r="H567" i="7"/>
  <c r="AH114" i="7"/>
  <c r="H40" i="1"/>
  <c r="AJ114" i="7"/>
  <c r="H42" i="1"/>
  <c r="AG114" i="7"/>
  <c r="H39" i="1"/>
  <c r="AA114" i="7"/>
  <c r="H33" i="1"/>
  <c r="AI114" i="7"/>
  <c r="H41" i="1"/>
  <c r="AL104" i="7"/>
  <c r="AL105" i="7" s="1"/>
  <c r="AJ115" i="7"/>
  <c r="AK104" i="7"/>
  <c r="AK105" i="7" s="1"/>
  <c r="AI115" i="7"/>
  <c r="AH115" i="7"/>
  <c r="AN164" i="7"/>
  <c r="AN49" i="7"/>
  <c r="AN51" i="7" s="1"/>
  <c r="AN77" i="7" s="1"/>
  <c r="AN82" i="7" s="1"/>
  <c r="AN128" i="7"/>
  <c r="AN131" i="7" s="1"/>
  <c r="AN159" i="7" s="1"/>
  <c r="AN160" i="7" s="1"/>
  <c r="AM83" i="7"/>
  <c r="AM91" i="7"/>
  <c r="AM92" i="7" s="1"/>
  <c r="AM167" i="7"/>
  <c r="AM170" i="7" s="1"/>
  <c r="AM198" i="7" s="1"/>
  <c r="AM199" i="7" s="1"/>
  <c r="AM103" i="7" s="1"/>
  <c r="AM102" i="7"/>
  <c r="E114" i="7"/>
  <c r="F115" i="7"/>
  <c r="X114" i="7"/>
  <c r="Y115" i="7"/>
  <c r="E115" i="7"/>
  <c r="D114" i="7"/>
  <c r="W114" i="7"/>
  <c r="X115" i="7"/>
  <c r="Z114" i="7"/>
  <c r="AA115" i="7"/>
  <c r="Y114" i="7"/>
  <c r="Z115" i="7"/>
  <c r="F114" i="7"/>
  <c r="AB114" i="7"/>
  <c r="AC115" i="7"/>
  <c r="AD114" i="7"/>
  <c r="AE115" i="7"/>
  <c r="AF114" i="7"/>
  <c r="AG115" i="7"/>
  <c r="AC114" i="7"/>
  <c r="AD115" i="7"/>
  <c r="AF115" i="7"/>
  <c r="AB115" i="7"/>
  <c r="H164" i="7"/>
  <c r="H49" i="7"/>
  <c r="H51" i="7" s="1"/>
  <c r="H128" i="7"/>
  <c r="H131" i="7" s="1"/>
  <c r="H159" i="7" s="1"/>
  <c r="H160" i="7" s="1"/>
  <c r="C170" i="7"/>
  <c r="C198" i="7" s="1"/>
  <c r="C199" i="7" s="1"/>
  <c r="C103" i="7" s="1"/>
  <c r="C104" i="7" s="1"/>
  <c r="C105" i="7" s="1"/>
  <c r="I554" i="7"/>
  <c r="AO579" i="7"/>
  <c r="AO582" i="7" s="1"/>
  <c r="AN675" i="7"/>
  <c r="AO676" i="7" s="1"/>
  <c r="H44" i="1" l="1"/>
  <c r="H9" i="1"/>
  <c r="G83" i="7"/>
  <c r="G115" i="7"/>
  <c r="H13" i="1"/>
  <c r="AK114" i="7"/>
  <c r="H43" i="1"/>
  <c r="I532" i="7"/>
  <c r="I75" i="7" s="1"/>
  <c r="I76" i="7" s="1"/>
  <c r="AK115" i="7"/>
  <c r="AM104" i="7"/>
  <c r="AM105" i="7" s="1"/>
  <c r="AL114" i="7"/>
  <c r="AN91" i="7"/>
  <c r="AN92" i="7" s="1"/>
  <c r="AN83" i="7"/>
  <c r="AO164" i="7"/>
  <c r="AO49" i="7"/>
  <c r="AO51" i="7" s="1"/>
  <c r="AO77" i="7" s="1"/>
  <c r="AO82" i="7" s="1"/>
  <c r="AO128" i="7"/>
  <c r="AO131" i="7" s="1"/>
  <c r="AO159" i="7" s="1"/>
  <c r="AO160" i="7" s="1"/>
  <c r="AN167" i="7"/>
  <c r="AN170" i="7" s="1"/>
  <c r="AN198" i="7" s="1"/>
  <c r="AN199" i="7" s="1"/>
  <c r="AN103" i="7" s="1"/>
  <c r="AN102" i="7"/>
  <c r="AL115" i="7"/>
  <c r="C114" i="7"/>
  <c r="D115" i="7"/>
  <c r="G114" i="7"/>
  <c r="H102" i="7"/>
  <c r="H167" i="7"/>
  <c r="H170" i="7" s="1"/>
  <c r="H198" i="7" s="1"/>
  <c r="H199" i="7" s="1"/>
  <c r="H103" i="7" s="1"/>
  <c r="AP579" i="7"/>
  <c r="AP582" i="7" s="1"/>
  <c r="AP675" i="7" s="1"/>
  <c r="AO675" i="7"/>
  <c r="AP676" i="7" s="1"/>
  <c r="I551" i="7"/>
  <c r="I552" i="7" s="1"/>
  <c r="J555" i="7" s="1"/>
  <c r="J533" i="7" s="1"/>
  <c r="AM114" i="7" l="1"/>
  <c r="H45" i="1"/>
  <c r="I534" i="7"/>
  <c r="H570" i="7" s="1"/>
  <c r="H675" i="7" s="1"/>
  <c r="I676" i="7" s="1"/>
  <c r="I529" i="7"/>
  <c r="I530" i="7" s="1"/>
  <c r="J527" i="7" s="1"/>
  <c r="AP128" i="7"/>
  <c r="AP131" i="7" s="1"/>
  <c r="AP159" i="7" s="1"/>
  <c r="AP160" i="7" s="1"/>
  <c r="AP164" i="7"/>
  <c r="AP49" i="7"/>
  <c r="AP51" i="7" s="1"/>
  <c r="AP77" i="7" s="1"/>
  <c r="AP82" i="7" s="1"/>
  <c r="AO91" i="7"/>
  <c r="AO92" i="7" s="1"/>
  <c r="AO83" i="7"/>
  <c r="AM115" i="7"/>
  <c r="AO167" i="7"/>
  <c r="AO170" i="7" s="1"/>
  <c r="AO198" i="7" s="1"/>
  <c r="AO199" i="7" s="1"/>
  <c r="AO103" i="7" s="1"/>
  <c r="AO102" i="7"/>
  <c r="AN104" i="7"/>
  <c r="AN105" i="7" s="1"/>
  <c r="H104" i="7"/>
  <c r="J165" i="7"/>
  <c r="J129" i="7"/>
  <c r="J50" i="7"/>
  <c r="J549" i="7"/>
  <c r="H46" i="1" l="1"/>
  <c r="H568" i="7"/>
  <c r="H56" i="7" s="1"/>
  <c r="H61" i="7" s="1"/>
  <c r="H67" i="7" s="1"/>
  <c r="H77" i="7" s="1"/>
  <c r="H82" i="7" s="1"/>
  <c r="H83" i="7" s="1"/>
  <c r="I567" i="7"/>
  <c r="AO104" i="7"/>
  <c r="AO105" i="7" s="1"/>
  <c r="AN115" i="7"/>
  <c r="AN114" i="7"/>
  <c r="AP91" i="7"/>
  <c r="AP92" i="7" s="1"/>
  <c r="AP83" i="7"/>
  <c r="AP167" i="7"/>
  <c r="AP170" i="7" s="1"/>
  <c r="AP198" i="7" s="1"/>
  <c r="AP199" i="7" s="1"/>
  <c r="AP103" i="7" s="1"/>
  <c r="AP102" i="7"/>
  <c r="I164" i="7"/>
  <c r="I49" i="7"/>
  <c r="I51" i="7" s="1"/>
  <c r="I128" i="7"/>
  <c r="I131" i="7" s="1"/>
  <c r="I159" i="7" s="1"/>
  <c r="I160" i="7" s="1"/>
  <c r="J554" i="7"/>
  <c r="H47" i="1" l="1"/>
  <c r="H91" i="7"/>
  <c r="H92" i="7" s="1"/>
  <c r="H105" i="7" s="1"/>
  <c r="J532" i="7"/>
  <c r="J75" i="7" s="1"/>
  <c r="J76" i="7" s="1"/>
  <c r="AP104" i="7"/>
  <c r="AP105" i="7" s="1"/>
  <c r="AO114" i="7"/>
  <c r="AO115" i="7"/>
  <c r="I102" i="7"/>
  <c r="I167" i="7"/>
  <c r="I170" i="7" s="1"/>
  <c r="I198" i="7" s="1"/>
  <c r="I199" i="7" s="1"/>
  <c r="I103" i="7" s="1"/>
  <c r="J551" i="7"/>
  <c r="J552" i="7" s="1"/>
  <c r="K555" i="7" s="1"/>
  <c r="K533" i="7" s="1"/>
  <c r="H14" i="1" l="1"/>
  <c r="J534" i="7"/>
  <c r="I570" i="7" s="1"/>
  <c r="J567" i="7" s="1"/>
  <c r="H115" i="7"/>
  <c r="H114" i="7"/>
  <c r="J529" i="7"/>
  <c r="J530" i="7" s="1"/>
  <c r="K527" i="7" s="1"/>
  <c r="AP114" i="7"/>
  <c r="H48" i="1"/>
  <c r="AP115" i="7"/>
  <c r="I104" i="7"/>
  <c r="K165" i="7"/>
  <c r="K129" i="7"/>
  <c r="K50" i="7"/>
  <c r="K549" i="7"/>
  <c r="I568" i="7" l="1"/>
  <c r="I56" i="7" s="1"/>
  <c r="I61" i="7" s="1"/>
  <c r="I67" i="7" s="1"/>
  <c r="I77" i="7" s="1"/>
  <c r="I82" i="7" s="1"/>
  <c r="I91" i="7" s="1"/>
  <c r="I92" i="7" s="1"/>
  <c r="I105" i="7" s="1"/>
  <c r="I675" i="7"/>
  <c r="J676" i="7" s="1"/>
  <c r="J128" i="7" s="1"/>
  <c r="J131" i="7" s="1"/>
  <c r="J159" i="7" s="1"/>
  <c r="J160" i="7" s="1"/>
  <c r="K554" i="7"/>
  <c r="H15" i="1" l="1"/>
  <c r="I83" i="7"/>
  <c r="J49" i="7"/>
  <c r="J51" i="7" s="1"/>
  <c r="J164" i="7"/>
  <c r="K532" i="7"/>
  <c r="K75" i="7" s="1"/>
  <c r="K76" i="7" s="1"/>
  <c r="I114" i="7"/>
  <c r="I115" i="7"/>
  <c r="J102" i="7"/>
  <c r="J167" i="7"/>
  <c r="B81" i="7"/>
  <c r="B76" i="7"/>
  <c r="B77" i="7" s="1"/>
  <c r="B82" i="7" s="1"/>
  <c r="B91" i="7" s="1"/>
  <c r="K551" i="7"/>
  <c r="K552" i="7" s="1"/>
  <c r="L555" i="7" s="1"/>
  <c r="L533" i="7" s="1"/>
  <c r="J170" i="7" l="1"/>
  <c r="J198" i="7" s="1"/>
  <c r="J199" i="7" s="1"/>
  <c r="J103" i="7" s="1"/>
  <c r="J104" i="7" s="1"/>
  <c r="K534" i="7"/>
  <c r="J570" i="7" s="1"/>
  <c r="K567" i="7" s="1"/>
  <c r="K529" i="7"/>
  <c r="K530" i="7" s="1"/>
  <c r="L527" i="7" s="1"/>
  <c r="L165" i="7"/>
  <c r="L129" i="7"/>
  <c r="L50" i="7"/>
  <c r="B90" i="7"/>
  <c r="B83" i="7"/>
  <c r="L549" i="7"/>
  <c r="J568" i="7" l="1"/>
  <c r="J56" i="7" s="1"/>
  <c r="J61" i="7" s="1"/>
  <c r="J67" i="7" s="1"/>
  <c r="J77" i="7" s="1"/>
  <c r="J82" i="7" s="1"/>
  <c r="J91" i="7" s="1"/>
  <c r="J92" i="7" s="1"/>
  <c r="J105" i="7" s="1"/>
  <c r="J675" i="7"/>
  <c r="K676" i="7" s="1"/>
  <c r="K164" i="7" s="1"/>
  <c r="H86" i="7"/>
  <c r="F86" i="7"/>
  <c r="D86" i="7"/>
  <c r="I86" i="7"/>
  <c r="G86" i="7"/>
  <c r="E86" i="7"/>
  <c r="C86" i="7"/>
  <c r="L554" i="7"/>
  <c r="H85" i="7"/>
  <c r="F85" i="7"/>
  <c r="D85" i="7"/>
  <c r="B85" i="7"/>
  <c r="B86" i="7"/>
  <c r="I85" i="7"/>
  <c r="G85" i="7"/>
  <c r="E85" i="7"/>
  <c r="C85" i="7"/>
  <c r="B92" i="7"/>
  <c r="B105" i="7" s="1"/>
  <c r="H8" i="1" l="1"/>
  <c r="H16" i="1"/>
  <c r="K128" i="7"/>
  <c r="K131" i="7" s="1"/>
  <c r="K159" i="7" s="1"/>
  <c r="K160" i="7" s="1"/>
  <c r="K167" i="7" s="1"/>
  <c r="K170" i="7" s="1"/>
  <c r="K198" i="7" s="1"/>
  <c r="K199" i="7" s="1"/>
  <c r="K103" i="7" s="1"/>
  <c r="K49" i="7"/>
  <c r="K51" i="7" s="1"/>
  <c r="J83" i="7"/>
  <c r="J86" i="7" s="1"/>
  <c r="C115" i="7"/>
  <c r="L532" i="7"/>
  <c r="L75" i="7" s="1"/>
  <c r="L76" i="7" s="1"/>
  <c r="J114" i="7"/>
  <c r="J115" i="7"/>
  <c r="J109" i="7"/>
  <c r="H109" i="7"/>
  <c r="F109" i="7"/>
  <c r="D109" i="7"/>
  <c r="I109" i="7"/>
  <c r="G109" i="7"/>
  <c r="E109" i="7"/>
  <c r="C109" i="7"/>
  <c r="B109" i="7"/>
  <c r="I107" i="7"/>
  <c r="G107" i="7"/>
  <c r="E107" i="7"/>
  <c r="C107" i="7"/>
  <c r="J107" i="7"/>
  <c r="H107" i="7"/>
  <c r="F107" i="7"/>
  <c r="D107" i="7"/>
  <c r="B107" i="7"/>
  <c r="L551" i="7"/>
  <c r="L552" i="7" s="1"/>
  <c r="C14" i="8" l="1"/>
  <c r="C13" i="8"/>
  <c r="C15" i="8"/>
  <c r="C16" i="8"/>
  <c r="C10" i="8"/>
  <c r="C9" i="8"/>
  <c r="C12" i="8"/>
  <c r="C11" i="8"/>
  <c r="I16" i="1"/>
  <c r="I10" i="1"/>
  <c r="I9" i="1"/>
  <c r="J8" i="1"/>
  <c r="J15" i="1"/>
  <c r="J16" i="1"/>
  <c r="I12" i="1"/>
  <c r="I11" i="1"/>
  <c r="J9" i="1"/>
  <c r="J10" i="1"/>
  <c r="I14" i="1"/>
  <c r="I13" i="1"/>
  <c r="J11" i="1"/>
  <c r="J12" i="1"/>
  <c r="I8" i="1"/>
  <c r="I15" i="1"/>
  <c r="J13" i="1"/>
  <c r="J14" i="1"/>
  <c r="K102" i="7"/>
  <c r="K104" i="7" s="1"/>
  <c r="J85" i="7"/>
  <c r="L529" i="7"/>
  <c r="L530" i="7" s="1"/>
  <c r="M527" i="7" s="1"/>
  <c r="L534" i="7"/>
  <c r="K570" i="7" s="1"/>
  <c r="L567" i="7" s="1"/>
  <c r="L569" i="7" s="1"/>
  <c r="J108" i="7"/>
  <c r="H108" i="7"/>
  <c r="F108" i="7"/>
  <c r="D108" i="7"/>
  <c r="B108" i="7"/>
  <c r="I108" i="7"/>
  <c r="G108" i="7"/>
  <c r="E108" i="7"/>
  <c r="C108" i="7"/>
  <c r="M549" i="7"/>
  <c r="M555" i="7"/>
  <c r="M533" i="7" s="1"/>
  <c r="K675" i="7" l="1"/>
  <c r="L676" i="7" s="1"/>
  <c r="L128" i="7" s="1"/>
  <c r="L131" i="7" s="1"/>
  <c r="L159" i="7" s="1"/>
  <c r="L160" i="7" s="1"/>
  <c r="K568" i="7"/>
  <c r="K56" i="7" s="1"/>
  <c r="K61" i="7" s="1"/>
  <c r="K67" i="7" s="1"/>
  <c r="K77" i="7" s="1"/>
  <c r="K82" i="7" s="1"/>
  <c r="K83" i="7" s="1"/>
  <c r="D111" i="7"/>
  <c r="M165" i="7"/>
  <c r="M129" i="7"/>
  <c r="M50" i="7"/>
  <c r="F111" i="7"/>
  <c r="H111" i="7"/>
  <c r="J111" i="7"/>
  <c r="C111" i="7"/>
  <c r="G111" i="7"/>
  <c r="E111" i="7"/>
  <c r="I111" i="7"/>
  <c r="M554" i="7"/>
  <c r="L49" i="7" l="1"/>
  <c r="L51" i="7" s="1"/>
  <c r="L164" i="7"/>
  <c r="K91" i="7"/>
  <c r="K92" i="7" s="1"/>
  <c r="K105" i="7" s="1"/>
  <c r="M532" i="7"/>
  <c r="M75" i="7" s="1"/>
  <c r="M76" i="7" s="1"/>
  <c r="L167" i="7"/>
  <c r="L102" i="7"/>
  <c r="K86" i="7"/>
  <c r="K85" i="7"/>
  <c r="M551" i="7"/>
  <c r="M552" i="7" s="1"/>
  <c r="H17" i="1" l="1"/>
  <c r="K107" i="7"/>
  <c r="K114" i="7"/>
  <c r="K109" i="7"/>
  <c r="K115" i="7"/>
  <c r="L170" i="7"/>
  <c r="L198" i="7" s="1"/>
  <c r="L199" i="7" s="1"/>
  <c r="L103" i="7" s="1"/>
  <c r="L104" i="7" s="1"/>
  <c r="M534" i="7"/>
  <c r="L570" i="7" s="1"/>
  <c r="L675" i="7" s="1"/>
  <c r="M676" i="7" s="1"/>
  <c r="M529" i="7"/>
  <c r="M530" i="7" s="1"/>
  <c r="N527" i="7" s="1"/>
  <c r="N549" i="7"/>
  <c r="N555" i="7"/>
  <c r="N533" i="7" s="1"/>
  <c r="C17" i="8" l="1"/>
  <c r="I17" i="1"/>
  <c r="J17" i="1"/>
  <c r="K108" i="7"/>
  <c r="K111" i="7" s="1"/>
  <c r="L568" i="7"/>
  <c r="L56" i="7" s="1"/>
  <c r="L61" i="7" s="1"/>
  <c r="L67" i="7" s="1"/>
  <c r="L77" i="7" s="1"/>
  <c r="L82" i="7" s="1"/>
  <c r="L83" i="7" s="1"/>
  <c r="M567" i="7"/>
  <c r="N165" i="7"/>
  <c r="N129" i="7"/>
  <c r="N50" i="7"/>
  <c r="M164" i="7"/>
  <c r="M128" i="7"/>
  <c r="M131" i="7" s="1"/>
  <c r="M159" i="7" s="1"/>
  <c r="M160" i="7" s="1"/>
  <c r="M49" i="7"/>
  <c r="M51" i="7" s="1"/>
  <c r="N554" i="7"/>
  <c r="L91" i="7" l="1"/>
  <c r="L92" i="7" s="1"/>
  <c r="L105" i="7" s="1"/>
  <c r="N532" i="7"/>
  <c r="N75" i="7" s="1"/>
  <c r="N76" i="7" s="1"/>
  <c r="L85" i="7"/>
  <c r="L86" i="7"/>
  <c r="M167" i="7"/>
  <c r="M170" i="7" s="1"/>
  <c r="M198" i="7" s="1"/>
  <c r="M199" i="7" s="1"/>
  <c r="M103" i="7" s="1"/>
  <c r="M102" i="7"/>
  <c r="N551" i="7"/>
  <c r="N552" i="7" s="1"/>
  <c r="H18" i="1" l="1"/>
  <c r="L109" i="7"/>
  <c r="N534" i="7"/>
  <c r="M570" i="7" s="1"/>
  <c r="N567" i="7" s="1"/>
  <c r="L107" i="7"/>
  <c r="N529" i="7"/>
  <c r="N530" i="7" s="1"/>
  <c r="O527" i="7" s="1"/>
  <c r="L115" i="7"/>
  <c r="L114" i="7"/>
  <c r="M104" i="7"/>
  <c r="O549" i="7"/>
  <c r="O555" i="7"/>
  <c r="O533" i="7" s="1"/>
  <c r="C18" i="8" l="1"/>
  <c r="J18" i="1"/>
  <c r="I18" i="1"/>
  <c r="M675" i="7"/>
  <c r="N676" i="7" s="1"/>
  <c r="N49" i="7" s="1"/>
  <c r="N51" i="7" s="1"/>
  <c r="M568" i="7"/>
  <c r="M56" i="7" s="1"/>
  <c r="M61" i="7" s="1"/>
  <c r="M67" i="7" s="1"/>
  <c r="M77" i="7" s="1"/>
  <c r="M82" i="7" s="1"/>
  <c r="M83" i="7" s="1"/>
  <c r="L108" i="7"/>
  <c r="L111" i="7" s="1"/>
  <c r="O165" i="7"/>
  <c r="O129" i="7"/>
  <c r="O50" i="7"/>
  <c r="O554" i="7"/>
  <c r="M91" i="7" l="1"/>
  <c r="M92" i="7" s="1"/>
  <c r="M105" i="7" s="1"/>
  <c r="N128" i="7"/>
  <c r="N131" i="7" s="1"/>
  <c r="N159" i="7" s="1"/>
  <c r="N160" i="7" s="1"/>
  <c r="N167" i="7" s="1"/>
  <c r="N164" i="7"/>
  <c r="O532" i="7"/>
  <c r="O75" i="7" s="1"/>
  <c r="O76" i="7" s="1"/>
  <c r="M85" i="7"/>
  <c r="M86" i="7"/>
  <c r="O551" i="7"/>
  <c r="O552" i="7" s="1"/>
  <c r="H19" i="1" l="1"/>
  <c r="M114" i="7"/>
  <c r="M107" i="7"/>
  <c r="O534" i="7"/>
  <c r="N570" i="7" s="1"/>
  <c r="O567" i="7" s="1"/>
  <c r="O569" i="7" s="1"/>
  <c r="O56" i="7" s="1"/>
  <c r="O61" i="7" s="1"/>
  <c r="O67" i="7" s="1"/>
  <c r="O529" i="7"/>
  <c r="O530" i="7" s="1"/>
  <c r="P527" i="7" s="1"/>
  <c r="M109" i="7"/>
  <c r="M115" i="7"/>
  <c r="N170" i="7"/>
  <c r="N198" i="7" s="1"/>
  <c r="N199" i="7" s="1"/>
  <c r="N103" i="7" s="1"/>
  <c r="N102" i="7"/>
  <c r="P549" i="7"/>
  <c r="P555" i="7"/>
  <c r="P533" i="7" s="1"/>
  <c r="C19" i="8" l="1"/>
  <c r="M108" i="7"/>
  <c r="M111" i="7" s="1"/>
  <c r="J19" i="1"/>
  <c r="N675" i="7"/>
  <c r="O676" i="7" s="1"/>
  <c r="O164" i="7" s="1"/>
  <c r="I19" i="1"/>
  <c r="N568" i="7"/>
  <c r="N56" i="7" s="1"/>
  <c r="N61" i="7" s="1"/>
  <c r="N67" i="7" s="1"/>
  <c r="N77" i="7" s="1"/>
  <c r="N82" i="7" s="1"/>
  <c r="N91" i="7" s="1"/>
  <c r="N92" i="7" s="1"/>
  <c r="N104" i="7"/>
  <c r="P165" i="7"/>
  <c r="P129" i="7"/>
  <c r="P50" i="7"/>
  <c r="P554" i="7"/>
  <c r="N105" i="7" l="1"/>
  <c r="O49" i="7"/>
  <c r="O51" i="7" s="1"/>
  <c r="O77" i="7" s="1"/>
  <c r="O82" i="7" s="1"/>
  <c r="O91" i="7" s="1"/>
  <c r="O92" i="7" s="1"/>
  <c r="O128" i="7"/>
  <c r="O131" i="7" s="1"/>
  <c r="O159" i="7" s="1"/>
  <c r="O160" i="7" s="1"/>
  <c r="O102" i="7" s="1"/>
  <c r="N83" i="7"/>
  <c r="N85" i="7" s="1"/>
  <c r="P532" i="7"/>
  <c r="P75" i="7" s="1"/>
  <c r="P76" i="7" s="1"/>
  <c r="P551" i="7"/>
  <c r="P552" i="7" s="1"/>
  <c r="H20" i="1" l="1"/>
  <c r="N109" i="7"/>
  <c r="N107" i="7"/>
  <c r="N115" i="7"/>
  <c r="N114" i="7"/>
  <c r="O167" i="7"/>
  <c r="O170" i="7" s="1"/>
  <c r="O198" i="7" s="1"/>
  <c r="O199" i="7" s="1"/>
  <c r="O103" i="7" s="1"/>
  <c r="O104" i="7" s="1"/>
  <c r="O105" i="7" s="1"/>
  <c r="O83" i="7"/>
  <c r="O86" i="7" s="1"/>
  <c r="N86" i="7"/>
  <c r="P529" i="7"/>
  <c r="P530" i="7" s="1"/>
  <c r="Q527" i="7" s="1"/>
  <c r="P534" i="7"/>
  <c r="O570" i="7" s="1"/>
  <c r="P567" i="7" s="1"/>
  <c r="Q549" i="7"/>
  <c r="Q555" i="7"/>
  <c r="Q533" i="7" s="1"/>
  <c r="C20" i="8" l="1"/>
  <c r="I20" i="1"/>
  <c r="J20" i="1"/>
  <c r="N108" i="7"/>
  <c r="N111" i="7" s="1"/>
  <c r="O85" i="7"/>
  <c r="O675" i="7"/>
  <c r="P676" i="7" s="1"/>
  <c r="P164" i="7" s="1"/>
  <c r="O107" i="7"/>
  <c r="H21" i="1"/>
  <c r="O114" i="7"/>
  <c r="O115" i="7"/>
  <c r="O109" i="7"/>
  <c r="Q165" i="7"/>
  <c r="Q129" i="7"/>
  <c r="Q131" i="7" s="1"/>
  <c r="Q159" i="7" s="1"/>
  <c r="Q160" i="7" s="1"/>
  <c r="Q50" i="7"/>
  <c r="Q51" i="7" s="1"/>
  <c r="Q554" i="7"/>
  <c r="C21" i="8" l="1"/>
  <c r="I21" i="1"/>
  <c r="J21" i="1"/>
  <c r="P128" i="7"/>
  <c r="P131" i="7" s="1"/>
  <c r="P159" i="7" s="1"/>
  <c r="P160" i="7" s="1"/>
  <c r="P167" i="7" s="1"/>
  <c r="P170" i="7" s="1"/>
  <c r="P198" i="7" s="1"/>
  <c r="P199" i="7" s="1"/>
  <c r="P103" i="7" s="1"/>
  <c r="P49" i="7"/>
  <c r="P51" i="7" s="1"/>
  <c r="P77" i="7" s="1"/>
  <c r="P82" i="7" s="1"/>
  <c r="P83" i="7" s="1"/>
  <c r="O108" i="7"/>
  <c r="O111" i="7" s="1"/>
  <c r="Q532" i="7"/>
  <c r="Q75" i="7" s="1"/>
  <c r="Q76" i="7" s="1"/>
  <c r="Q77" i="7" s="1"/>
  <c r="Q82" i="7" s="1"/>
  <c r="Q551" i="7"/>
  <c r="Q552" i="7" s="1"/>
  <c r="Q167" i="7"/>
  <c r="Q102" i="7"/>
  <c r="P102" i="7" l="1"/>
  <c r="P104" i="7" s="1"/>
  <c r="P91" i="7"/>
  <c r="P92" i="7" s="1"/>
  <c r="Q529" i="7"/>
  <c r="Q530" i="7" s="1"/>
  <c r="R527" i="7" s="1"/>
  <c r="Q534" i="7"/>
  <c r="P86" i="7"/>
  <c r="P85" i="7"/>
  <c r="Q170" i="7"/>
  <c r="Q198" i="7" s="1"/>
  <c r="Q199" i="7" s="1"/>
  <c r="Q103" i="7" s="1"/>
  <c r="Q104" i="7" s="1"/>
  <c r="R549" i="7"/>
  <c r="R555" i="7"/>
  <c r="R533" i="7" s="1"/>
  <c r="Q91" i="7"/>
  <c r="Q92" i="7" s="1"/>
  <c r="Q83" i="7"/>
  <c r="Q86" i="7" s="1"/>
  <c r="P105" i="7" l="1"/>
  <c r="R165" i="7"/>
  <c r="R129" i="7"/>
  <c r="R131" i="7" s="1"/>
  <c r="R159" i="7" s="1"/>
  <c r="R160" i="7" s="1"/>
  <c r="R50" i="7"/>
  <c r="R51" i="7" s="1"/>
  <c r="Q105" i="7"/>
  <c r="Q85" i="7"/>
  <c r="R554" i="7"/>
  <c r="P107" i="7" l="1"/>
  <c r="P109" i="7"/>
  <c r="P115" i="7"/>
  <c r="P114" i="7"/>
  <c r="H22" i="1"/>
  <c r="Q107" i="7"/>
  <c r="H23" i="1"/>
  <c r="R532" i="7"/>
  <c r="R75" i="7" s="1"/>
  <c r="R76" i="7" s="1"/>
  <c r="R77" i="7" s="1"/>
  <c r="R82" i="7" s="1"/>
  <c r="Q109" i="7"/>
  <c r="Q114" i="7"/>
  <c r="Q115" i="7"/>
  <c r="R167" i="7"/>
  <c r="R102" i="7"/>
  <c r="R551" i="7"/>
  <c r="R552" i="7" s="1"/>
  <c r="C23" i="8" l="1"/>
  <c r="P108" i="7"/>
  <c r="P111" i="7" s="1"/>
  <c r="C22" i="8"/>
  <c r="I23" i="1"/>
  <c r="J23" i="1"/>
  <c r="J22" i="1"/>
  <c r="I22" i="1"/>
  <c r="R534" i="7"/>
  <c r="Q108" i="7"/>
  <c r="R529" i="7"/>
  <c r="R530" i="7" s="1"/>
  <c r="S527" i="7" s="1"/>
  <c r="R170" i="7"/>
  <c r="R198" i="7" s="1"/>
  <c r="R199" i="7" s="1"/>
  <c r="R103" i="7" s="1"/>
  <c r="R104" i="7" s="1"/>
  <c r="R83" i="7"/>
  <c r="R86" i="7" s="1"/>
  <c r="R91" i="7"/>
  <c r="R92" i="7" s="1"/>
  <c r="S549" i="7"/>
  <c r="S555" i="7"/>
  <c r="S533" i="7" s="1"/>
  <c r="Q111" i="7" l="1"/>
  <c r="S165" i="7"/>
  <c r="S129" i="7"/>
  <c r="S131" i="7" s="1"/>
  <c r="S159" i="7" s="1"/>
  <c r="S160" i="7" s="1"/>
  <c r="S50" i="7"/>
  <c r="S51" i="7" s="1"/>
  <c r="R105" i="7"/>
  <c r="R85" i="7"/>
  <c r="S554" i="7"/>
  <c r="R107" i="7" l="1"/>
  <c r="H24" i="1"/>
  <c r="S532" i="7"/>
  <c r="S75" i="7" s="1"/>
  <c r="S76" i="7" s="1"/>
  <c r="S77" i="7" s="1"/>
  <c r="S82" i="7" s="1"/>
  <c r="R109" i="7"/>
  <c r="R114" i="7"/>
  <c r="R115" i="7"/>
  <c r="S551" i="7"/>
  <c r="S552" i="7" s="1"/>
  <c r="S167" i="7"/>
  <c r="S102" i="7"/>
  <c r="C24" i="8" l="1"/>
  <c r="J24" i="1"/>
  <c r="I24" i="1"/>
  <c r="R108" i="7"/>
  <c r="R111" i="7" s="1"/>
  <c r="S529" i="7"/>
  <c r="S530" i="7" s="1"/>
  <c r="T527" i="7" s="1"/>
  <c r="S534" i="7"/>
  <c r="S170" i="7"/>
  <c r="S198" i="7" s="1"/>
  <c r="S199" i="7" s="1"/>
  <c r="S103" i="7" s="1"/>
  <c r="S104" i="7" s="1"/>
  <c r="S83" i="7"/>
  <c r="S86" i="7" s="1"/>
  <c r="S91" i="7"/>
  <c r="S92" i="7" s="1"/>
  <c r="T549" i="7"/>
  <c r="T555" i="7"/>
  <c r="T533" i="7" s="1"/>
  <c r="T165" i="7" l="1"/>
  <c r="T129" i="7"/>
  <c r="T131" i="7" s="1"/>
  <c r="T159" i="7" s="1"/>
  <c r="T160" i="7" s="1"/>
  <c r="T50" i="7"/>
  <c r="T51" i="7" s="1"/>
  <c r="S105" i="7"/>
  <c r="T554" i="7"/>
  <c r="S85" i="7"/>
  <c r="S107" i="7" l="1"/>
  <c r="H25" i="1"/>
  <c r="T532" i="7"/>
  <c r="T75" i="7" s="1"/>
  <c r="T76" i="7" s="1"/>
  <c r="T77" i="7" s="1"/>
  <c r="T82" i="7" s="1"/>
  <c r="S109" i="7"/>
  <c r="S114" i="7"/>
  <c r="S115" i="7"/>
  <c r="T551" i="7"/>
  <c r="T552" i="7" s="1"/>
  <c r="T167" i="7"/>
  <c r="T102" i="7"/>
  <c r="C25" i="8" l="1"/>
  <c r="J25" i="1"/>
  <c r="I25" i="1"/>
  <c r="T534" i="7"/>
  <c r="S108" i="7"/>
  <c r="S111" i="7" s="1"/>
  <c r="T529" i="7"/>
  <c r="T530" i="7" s="1"/>
  <c r="U527" i="7" s="1"/>
  <c r="T170" i="7"/>
  <c r="T198" i="7" s="1"/>
  <c r="T199" i="7" s="1"/>
  <c r="T103" i="7" s="1"/>
  <c r="T104" i="7" s="1"/>
  <c r="T91" i="7"/>
  <c r="T92" i="7" s="1"/>
  <c r="T83" i="7"/>
  <c r="T86" i="7" s="1"/>
  <c r="U549" i="7"/>
  <c r="U555" i="7"/>
  <c r="U533" i="7" s="1"/>
  <c r="U165" i="7" l="1"/>
  <c r="U129" i="7"/>
  <c r="U131" i="7" s="1"/>
  <c r="U159" i="7" s="1"/>
  <c r="U160" i="7" s="1"/>
  <c r="U50" i="7"/>
  <c r="U51" i="7" s="1"/>
  <c r="T105" i="7"/>
  <c r="U554" i="7"/>
  <c r="T85" i="7"/>
  <c r="H26" i="1" l="1"/>
  <c r="U532" i="7"/>
  <c r="U75" i="7" s="1"/>
  <c r="U76" i="7" s="1"/>
  <c r="U77" i="7" s="1"/>
  <c r="U82" i="7" s="1"/>
  <c r="T109" i="7"/>
  <c r="T114" i="7"/>
  <c r="T115" i="7"/>
  <c r="T107" i="7"/>
  <c r="U551" i="7"/>
  <c r="U552" i="7" s="1"/>
  <c r="U167" i="7"/>
  <c r="U102" i="7"/>
  <c r="C26" i="8" l="1"/>
  <c r="J26" i="1"/>
  <c r="T108" i="7"/>
  <c r="T111" i="7" s="1"/>
  <c r="I26" i="1"/>
  <c r="U529" i="7"/>
  <c r="U530" i="7" s="1"/>
  <c r="V527" i="7" s="1"/>
  <c r="U534" i="7"/>
  <c r="U170" i="7"/>
  <c r="U198" i="7" s="1"/>
  <c r="U199" i="7" s="1"/>
  <c r="U103" i="7" s="1"/>
  <c r="U104" i="7" s="1"/>
  <c r="U83" i="7"/>
  <c r="U86" i="7" s="1"/>
  <c r="U91" i="7"/>
  <c r="U92" i="7" s="1"/>
  <c r="V549" i="7"/>
  <c r="V555" i="7"/>
  <c r="V533" i="7" s="1"/>
  <c r="B533" i="7" l="1"/>
  <c r="V165" i="7"/>
  <c r="V129" i="7"/>
  <c r="V131" i="7" s="1"/>
  <c r="V159" i="7" s="1"/>
  <c r="V160" i="7" s="1"/>
  <c r="V50" i="7"/>
  <c r="V51" i="7" s="1"/>
  <c r="U105" i="7"/>
  <c r="U85" i="7"/>
  <c r="V554" i="7"/>
  <c r="B555" i="7"/>
  <c r="H27" i="1" l="1"/>
  <c r="V532" i="7"/>
  <c r="V75" i="7" s="1"/>
  <c r="V76" i="7" s="1"/>
  <c r="V77" i="7" s="1"/>
  <c r="V82" i="7" s="1"/>
  <c r="U109" i="7"/>
  <c r="U114" i="7"/>
  <c r="U115" i="7"/>
  <c r="U107" i="7"/>
  <c r="V167" i="7"/>
  <c r="V102" i="7"/>
  <c r="V551" i="7"/>
  <c r="V552" i="7" s="1"/>
  <c r="W549" i="7" s="1"/>
  <c r="W552" i="7" s="1"/>
  <c r="X549" i="7" s="1"/>
  <c r="X552" i="7" s="1"/>
  <c r="Y549" i="7" s="1"/>
  <c r="Y552" i="7" s="1"/>
  <c r="Z549" i="7" s="1"/>
  <c r="Z552" i="7" s="1"/>
  <c r="AA549" i="7" s="1"/>
  <c r="AA552" i="7" s="1"/>
  <c r="AB549" i="7" s="1"/>
  <c r="AB552" i="7" s="1"/>
  <c r="AC549" i="7" s="1"/>
  <c r="AC552" i="7" s="1"/>
  <c r="AD549" i="7" s="1"/>
  <c r="AD552" i="7" s="1"/>
  <c r="AE549" i="7" s="1"/>
  <c r="AE552" i="7" s="1"/>
  <c r="AF549" i="7" s="1"/>
  <c r="AF552" i="7" s="1"/>
  <c r="AG549" i="7" s="1"/>
  <c r="AG552" i="7" s="1"/>
  <c r="AH549" i="7" s="1"/>
  <c r="AH552" i="7" s="1"/>
  <c r="AI549" i="7" s="1"/>
  <c r="AI552" i="7" s="1"/>
  <c r="AJ549" i="7" s="1"/>
  <c r="AJ552" i="7" s="1"/>
  <c r="AK549" i="7" s="1"/>
  <c r="AK552" i="7" s="1"/>
  <c r="AL549" i="7" s="1"/>
  <c r="AL552" i="7" s="1"/>
  <c r="AM549" i="7" s="1"/>
  <c r="AM552" i="7" s="1"/>
  <c r="AN549" i="7" s="1"/>
  <c r="AN552" i="7" s="1"/>
  <c r="AO549" i="7" s="1"/>
  <c r="AO552" i="7" s="1"/>
  <c r="AP549" i="7" s="1"/>
  <c r="AP552" i="7" s="1"/>
  <c r="B554" i="7"/>
  <c r="C27" i="8" l="1"/>
  <c r="J27" i="1"/>
  <c r="V534" i="7"/>
  <c r="B534" i="7" s="1"/>
  <c r="B532" i="7"/>
  <c r="V529" i="7"/>
  <c r="V530" i="7" s="1"/>
  <c r="W527" i="7" s="1"/>
  <c r="W530" i="7" s="1"/>
  <c r="X527" i="7" s="1"/>
  <c r="X530" i="7" s="1"/>
  <c r="Y527" i="7" s="1"/>
  <c r="Y530" i="7" s="1"/>
  <c r="Z527" i="7" s="1"/>
  <c r="Z530" i="7" s="1"/>
  <c r="AA527" i="7" s="1"/>
  <c r="AA530" i="7" s="1"/>
  <c r="AB527" i="7" s="1"/>
  <c r="AB530" i="7" s="1"/>
  <c r="AC527" i="7" s="1"/>
  <c r="AC530" i="7" s="1"/>
  <c r="AD527" i="7" s="1"/>
  <c r="AD530" i="7" s="1"/>
  <c r="AE527" i="7" s="1"/>
  <c r="AE530" i="7" s="1"/>
  <c r="AF527" i="7" s="1"/>
  <c r="AF530" i="7" s="1"/>
  <c r="AG527" i="7" s="1"/>
  <c r="AG530" i="7" s="1"/>
  <c r="AH527" i="7" s="1"/>
  <c r="AH530" i="7" s="1"/>
  <c r="AI527" i="7" s="1"/>
  <c r="AI530" i="7" s="1"/>
  <c r="AJ527" i="7" s="1"/>
  <c r="AJ530" i="7" s="1"/>
  <c r="AK527" i="7" s="1"/>
  <c r="AK530" i="7" s="1"/>
  <c r="AL527" i="7" s="1"/>
  <c r="AL530" i="7" s="1"/>
  <c r="AM527" i="7" s="1"/>
  <c r="AM530" i="7" s="1"/>
  <c r="AN527" i="7" s="1"/>
  <c r="AN530" i="7" s="1"/>
  <c r="AO527" i="7" s="1"/>
  <c r="AO530" i="7" s="1"/>
  <c r="AP527" i="7" s="1"/>
  <c r="AP530" i="7" s="1"/>
  <c r="U108" i="7"/>
  <c r="U111" i="7" s="1"/>
  <c r="I27" i="1"/>
  <c r="V170" i="7"/>
  <c r="V198" i="7" s="1"/>
  <c r="V199" i="7" s="1"/>
  <c r="V103" i="7" s="1"/>
  <c r="V104" i="7" s="1"/>
  <c r="V91" i="7"/>
  <c r="V92" i="7" s="1"/>
  <c r="V83" i="7"/>
  <c r="V105" i="7" l="1"/>
  <c r="AH86" i="7"/>
  <c r="AF86" i="7"/>
  <c r="AD86" i="7"/>
  <c r="AO86" i="7"/>
  <c r="AM86" i="7"/>
  <c r="AK86" i="7"/>
  <c r="AA86" i="7"/>
  <c r="Y86" i="7"/>
  <c r="W86" i="7"/>
  <c r="AI86" i="7"/>
  <c r="AG86" i="7"/>
  <c r="AE86" i="7"/>
  <c r="AC86" i="7"/>
  <c r="AP86" i="7"/>
  <c r="AN86" i="7"/>
  <c r="AL86" i="7"/>
  <c r="AB86" i="7"/>
  <c r="AJ86" i="7"/>
  <c r="Z86" i="7"/>
  <c r="X86" i="7"/>
  <c r="V86" i="7"/>
  <c r="Z85" i="7"/>
  <c r="AB85" i="7"/>
  <c r="AG85" i="7"/>
  <c r="AF85" i="7"/>
  <c r="Y85" i="7"/>
  <c r="X85" i="7"/>
  <c r="AE85" i="7"/>
  <c r="AH85" i="7"/>
  <c r="AJ85" i="7"/>
  <c r="AN85" i="7"/>
  <c r="AD85" i="7"/>
  <c r="AI85" i="7"/>
  <c r="AP85" i="7"/>
  <c r="AO85" i="7"/>
  <c r="AC85" i="7"/>
  <c r="AA85" i="7"/>
  <c r="V85" i="7"/>
  <c r="AL85" i="7"/>
  <c r="AK85" i="7"/>
  <c r="AM85" i="7"/>
  <c r="W85" i="7"/>
  <c r="H28" i="1" l="1"/>
  <c r="AN109" i="7"/>
  <c r="V114" i="7"/>
  <c r="B114" i="7" s="1"/>
  <c r="W115" i="7"/>
  <c r="V115" i="7"/>
  <c r="AP109" i="7"/>
  <c r="AL107" i="7"/>
  <c r="V107" i="7"/>
  <c r="AH109" i="7"/>
  <c r="AC107" i="7"/>
  <c r="AF109" i="7"/>
  <c r="AE107" i="7"/>
  <c r="AG107" i="7"/>
  <c r="AH107" i="7"/>
  <c r="AD109" i="7"/>
  <c r="AO109" i="7"/>
  <c r="AJ109" i="7"/>
  <c r="AJ107" i="7"/>
  <c r="AF107" i="7"/>
  <c r="AO107" i="7"/>
  <c r="C47" i="8" s="1"/>
  <c r="X107" i="7"/>
  <c r="Y109" i="7"/>
  <c r="AK109" i="7"/>
  <c r="AG109" i="7"/>
  <c r="X109" i="7"/>
  <c r="AL109" i="7"/>
  <c r="AN107" i="7"/>
  <c r="Z107" i="7"/>
  <c r="AD107" i="7"/>
  <c r="W107" i="7"/>
  <c r="AK107" i="7"/>
  <c r="AI107" i="7"/>
  <c r="AB107" i="7"/>
  <c r="Y107" i="7"/>
  <c r="AA107" i="7"/>
  <c r="AP107" i="7"/>
  <c r="C48" i="8" s="1"/>
  <c r="AM107" i="7"/>
  <c r="W109" i="7"/>
  <c r="AA109" i="7"/>
  <c r="AE109" i="7"/>
  <c r="AM109" i="7"/>
  <c r="AC109" i="7"/>
  <c r="AB109" i="7"/>
  <c r="V109" i="7"/>
  <c r="Z109" i="7"/>
  <c r="AI109" i="7"/>
  <c r="C41" i="8" l="1"/>
  <c r="C32" i="8"/>
  <c r="C37" i="8"/>
  <c r="C28" i="8"/>
  <c r="C43" i="8"/>
  <c r="C46" i="8"/>
  <c r="C38" i="8"/>
  <c r="C44" i="8"/>
  <c r="C33" i="8"/>
  <c r="C31" i="8"/>
  <c r="C29" i="8"/>
  <c r="C42" i="8"/>
  <c r="C40" i="8"/>
  <c r="C35" i="8"/>
  <c r="C45" i="8"/>
  <c r="C34" i="8"/>
  <c r="C36" i="8"/>
  <c r="C30" i="8"/>
  <c r="C39" i="8"/>
  <c r="J28" i="1"/>
  <c r="J37" i="1"/>
  <c r="I43" i="1"/>
  <c r="I46" i="1"/>
  <c r="J43" i="1"/>
  <c r="I38" i="1"/>
  <c r="J36" i="1"/>
  <c r="J38" i="1"/>
  <c r="I44" i="1"/>
  <c r="I33" i="1"/>
  <c r="J41" i="1"/>
  <c r="J35" i="1"/>
  <c r="J29" i="1"/>
  <c r="I31" i="1"/>
  <c r="I29" i="1"/>
  <c r="J44" i="1"/>
  <c r="J31" i="1"/>
  <c r="I42" i="1"/>
  <c r="I40" i="1"/>
  <c r="I35" i="1"/>
  <c r="J48" i="1"/>
  <c r="J46" i="1"/>
  <c r="I48" i="1"/>
  <c r="J34" i="1"/>
  <c r="J33" i="1"/>
  <c r="J32" i="1"/>
  <c r="J45" i="1"/>
  <c r="I45" i="1"/>
  <c r="I34" i="1"/>
  <c r="I36" i="1"/>
  <c r="J30" i="1"/>
  <c r="I30" i="1"/>
  <c r="J42" i="1"/>
  <c r="I39" i="1"/>
  <c r="J40" i="1"/>
  <c r="I41" i="1"/>
  <c r="I32" i="1"/>
  <c r="J39" i="1"/>
  <c r="I47" i="1"/>
  <c r="J47" i="1"/>
  <c r="I37" i="1"/>
  <c r="V108" i="7"/>
  <c r="V111" i="7" s="1"/>
  <c r="I28" i="1"/>
  <c r="B115" i="7"/>
  <c r="W108" i="7"/>
  <c r="X108" i="7"/>
  <c r="AK108" i="7"/>
  <c r="Z108" i="7"/>
  <c r="Y108" i="7"/>
  <c r="AP108" i="7"/>
  <c r="AL108" i="7"/>
  <c r="AI108" i="7"/>
  <c r="AA108" i="7"/>
  <c r="AH108" i="7"/>
  <c r="AE108" i="7"/>
  <c r="AB108" i="7"/>
  <c r="AO108" i="7"/>
  <c r="AJ108" i="7"/>
  <c r="AD108" i="7"/>
  <c r="AN108" i="7"/>
  <c r="AM108" i="7"/>
  <c r="AG108" i="7"/>
  <c r="AC108" i="7"/>
  <c r="AF108" i="7"/>
  <c r="I3" i="1" l="1"/>
  <c r="F4" i="8"/>
  <c r="AG111" i="7"/>
  <c r="AH111" i="7"/>
  <c r="AI111" i="7"/>
  <c r="W111" i="7"/>
  <c r="AL111" i="7"/>
  <c r="X111" i="7"/>
  <c r="AE111" i="7"/>
  <c r="Y111" i="7"/>
  <c r="AK111" i="7"/>
  <c r="AC111" i="7"/>
  <c r="AP111" i="7"/>
  <c r="AA111" i="7"/>
  <c r="AM111" i="7"/>
  <c r="Z111" i="7"/>
  <c r="AD111" i="7"/>
  <c r="AF111" i="7"/>
  <c r="AO111" i="7"/>
  <c r="AB111" i="7"/>
  <c r="AJ111" i="7"/>
  <c r="AN111" i="7"/>
  <c r="B111" i="7" l="1"/>
</calcChain>
</file>

<file path=xl/comments1.xml><?xml version="1.0" encoding="utf-8"?>
<comments xmlns="http://schemas.openxmlformats.org/spreadsheetml/2006/main">
  <authors>
    <author>Author</author>
  </authors>
  <commentList>
    <comment ref="B124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Not sure how these translate to SAM inputs</t>
        </r>
      </text>
    </comment>
  </commentList>
</comments>
</file>

<file path=xl/sharedStrings.xml><?xml version="1.0" encoding="utf-8"?>
<sst xmlns="http://schemas.openxmlformats.org/spreadsheetml/2006/main" count="619" uniqueCount="321">
  <si>
    <t>Escalation (above inflation)</t>
  </si>
  <si>
    <t>Fixed Cost by Capacity</t>
  </si>
  <si>
    <t>Variable Cost by Generation</t>
  </si>
  <si>
    <t>Note: fossil fuel costs not included</t>
  </si>
  <si>
    <t>Property Tax</t>
  </si>
  <si>
    <t>Single Owner</t>
  </si>
  <si>
    <t>Operating Year</t>
  </si>
  <si>
    <t>Investment Tax Credit</t>
  </si>
  <si>
    <t>Amount</t>
  </si>
  <si>
    <t>Federal</t>
  </si>
  <si>
    <t>State</t>
  </si>
  <si>
    <t>Production Tax Credit</t>
  </si>
  <si>
    <t>Escalation</t>
  </si>
  <si>
    <t>%</t>
  </si>
  <si>
    <t>Maximum</t>
  </si>
  <si>
    <t>Amount ($/kWh)</t>
  </si>
  <si>
    <t>Term (yrs)</t>
  </si>
  <si>
    <t>Production (AC-kWh)</t>
  </si>
  <si>
    <t>Net Production (AC-kWh)</t>
  </si>
  <si>
    <t>Price  (¢/kWh)</t>
  </si>
  <si>
    <t>Expenses</t>
  </si>
  <si>
    <t>Capacity (DC kW)</t>
  </si>
  <si>
    <t>Fixed Cost ($/DC kW-yr)</t>
  </si>
  <si>
    <t>Total</t>
  </si>
  <si>
    <t>Generation (AC-MWh)</t>
  </si>
  <si>
    <t>Variable Cost ($/AC-MWh)</t>
  </si>
  <si>
    <t>Investment Based Incentive (IBI)</t>
  </si>
  <si>
    <t>Utility</t>
  </si>
  <si>
    <t>Other</t>
  </si>
  <si>
    <t>Reduces Depreciation Basis</t>
  </si>
  <si>
    <t>Available for Debt Service</t>
  </si>
  <si>
    <t>Yes</t>
  </si>
  <si>
    <t>No</t>
  </si>
  <si>
    <t>Total Expenses</t>
  </si>
  <si>
    <t>Total PPA Revenue</t>
  </si>
  <si>
    <t>Revenues</t>
  </si>
  <si>
    <t>PPA</t>
  </si>
  <si>
    <t>Production Based Incentive (included if available for debt service)</t>
  </si>
  <si>
    <t>Total PBI</t>
  </si>
  <si>
    <t>EBITDA (cash available for debt service)</t>
  </si>
  <si>
    <t>Summary</t>
  </si>
  <si>
    <t>Debt Service Reserve</t>
  </si>
  <si>
    <t>Debt</t>
  </si>
  <si>
    <t>Beginning Balance</t>
  </si>
  <si>
    <t>Funding</t>
  </si>
  <si>
    <t>Repayment</t>
  </si>
  <si>
    <t>Ending Balance</t>
  </si>
  <si>
    <t>Principal</t>
  </si>
  <si>
    <t>Interest</t>
  </si>
  <si>
    <t>Total P&amp;I</t>
  </si>
  <si>
    <t>Release of Funds</t>
  </si>
  <si>
    <t>DSCR</t>
  </si>
  <si>
    <t>Cash Available for Debt Service</t>
  </si>
  <si>
    <t>Total Debt Payment</t>
  </si>
  <si>
    <t>Average</t>
  </si>
  <si>
    <t>Min</t>
  </si>
  <si>
    <t>Taxes</t>
  </si>
  <si>
    <t>EBITDA</t>
  </si>
  <si>
    <t>Less: Interest Payment</t>
  </si>
  <si>
    <t>Taxable Income Prior to Incentives</t>
  </si>
  <si>
    <t>Federal Income Taxes</t>
  </si>
  <si>
    <t>Less: Tax Depreciation</t>
  </si>
  <si>
    <t>Production Based Incentive (PBI)</t>
  </si>
  <si>
    <t>Incentive ($/kWh)</t>
  </si>
  <si>
    <t>Generation (kWh)</t>
  </si>
  <si>
    <t>Capacity Based Incentive (CBI)</t>
  </si>
  <si>
    <t>Plus: Interest Earned</t>
  </si>
  <si>
    <t>State Tax Benefit/(Liability)</t>
  </si>
  <si>
    <t>Total Taxable Incentives</t>
  </si>
  <si>
    <t>Taxable Income Including Incentives</t>
  </si>
  <si>
    <t>State Income Taxes</t>
  </si>
  <si>
    <t>Insurance</t>
  </si>
  <si>
    <t>5-yr MACRS</t>
  </si>
  <si>
    <t>15-yr MACRS</t>
  </si>
  <si>
    <t>5-yr SL</t>
  </si>
  <si>
    <t>15-yr SL</t>
  </si>
  <si>
    <t>20-yr SL</t>
  </si>
  <si>
    <t>39-yr SL</t>
  </si>
  <si>
    <t>DEPRECIATION SCHEDULES - Half Year</t>
  </si>
  <si>
    <t>Salvage Value</t>
  </si>
  <si>
    <t>Gross Amount Allocated</t>
  </si>
  <si>
    <t>Total Basis Reduction</t>
  </si>
  <si>
    <t>Reduction: IBI</t>
  </si>
  <si>
    <t>Reduction: CBI</t>
  </si>
  <si>
    <t>% of Total Depreciable Basis</t>
  </si>
  <si>
    <t>Depreciable Basis Prior to ITC</t>
  </si>
  <si>
    <t>Depreciable Basis After ITC Reduction</t>
  </si>
  <si>
    <t>Applicable %</t>
  </si>
  <si>
    <t>State ITC</t>
  </si>
  <si>
    <t>ITC Qualifying Costs</t>
  </si>
  <si>
    <t>ITC Amount</t>
  </si>
  <si>
    <t>% of ITC Qualifying Costs</t>
  </si>
  <si>
    <t>ITC Basis Disallowance</t>
  </si>
  <si>
    <t>Depreciable Basis Incentive Reductions</t>
  </si>
  <si>
    <t>ITC as % of Project Cost</t>
  </si>
  <si>
    <t>ITC as Fixed Amount</t>
  </si>
  <si>
    <t>ITC Reduction: State</t>
  </si>
  <si>
    <t>ITC Reduction: Federal</t>
  </si>
  <si>
    <t>Production Tax Credit (PTC)</t>
  </si>
  <si>
    <t>Unadjusted PTC value ($/kWh)</t>
  </si>
  <si>
    <t>Adjusted PTC Value ($/MWh)</t>
  </si>
  <si>
    <t>Production (MWh)</t>
  </si>
  <si>
    <t>Equity</t>
  </si>
  <si>
    <t>CBI</t>
  </si>
  <si>
    <t>Cash Flows from Investing Activities</t>
  </si>
  <si>
    <t>(Purchase)/Sale of Property</t>
  </si>
  <si>
    <t>(Increase)/Decrease in Reserve Accounts</t>
  </si>
  <si>
    <t>DSRA</t>
  </si>
  <si>
    <t>Cash Flows from Financing Activities</t>
  </si>
  <si>
    <t>Borrowing/(Redemption) of Long-Term Debt</t>
  </si>
  <si>
    <t>Pre-Tax Cashflow</t>
  </si>
  <si>
    <t>Cash Flow from Operating Activities</t>
  </si>
  <si>
    <t>Less: Interest Expense</t>
  </si>
  <si>
    <t>Working Capital Reserve Account</t>
  </si>
  <si>
    <t>Reserve Accounts</t>
  </si>
  <si>
    <t>Timing of Funding</t>
  </si>
  <si>
    <t>Cost of Each Occurrence</t>
  </si>
  <si>
    <t>Funding (through operations)</t>
  </si>
  <si>
    <t>Funding of Each Occurrence</t>
  </si>
  <si>
    <t>Interest on Reserves</t>
  </si>
  <si>
    <t>Total Reserves</t>
  </si>
  <si>
    <t>Major Equipment Capital Spending</t>
  </si>
  <si>
    <t>Incentives</t>
  </si>
  <si>
    <t>IBI</t>
  </si>
  <si>
    <t>Major Equipment Replacement Depreciation</t>
  </si>
  <si>
    <t>Timing</t>
  </si>
  <si>
    <t>Depreciation Schedule Selected</t>
  </si>
  <si>
    <t>Year</t>
  </si>
  <si>
    <t>Depreciation Percent</t>
  </si>
  <si>
    <t>Depreciation Amount</t>
  </si>
  <si>
    <t>Plus: PBI (not included above)</t>
  </si>
  <si>
    <t>Total Project Returns: Pre-Tax</t>
  </si>
  <si>
    <t>Equity Investment</t>
  </si>
  <si>
    <t>Operating Cash Distributions/(Contributions)</t>
  </si>
  <si>
    <t>Total Project Returns: After-Tax</t>
  </si>
  <si>
    <t>Cash</t>
  </si>
  <si>
    <t xml:space="preserve">Total </t>
  </si>
  <si>
    <t>Tax Benefit/(Liability)</t>
  </si>
  <si>
    <t>Federal Tax Benefit/(Liability)</t>
  </si>
  <si>
    <t>Total Project Returns</t>
  </si>
  <si>
    <t>LCOE</t>
  </si>
  <si>
    <t>State Depreciation Amounts</t>
  </si>
  <si>
    <t>Federal Depreciation Amounts</t>
  </si>
  <si>
    <t>Total Revenue</t>
  </si>
  <si>
    <t>Percentage</t>
  </si>
  <si>
    <t>Partial Income Statement: Project</t>
  </si>
  <si>
    <t>Cash Flow: Project</t>
  </si>
  <si>
    <t>KEY</t>
  </si>
  <si>
    <t>Sizing</t>
  </si>
  <si>
    <t>Annual Rate</t>
  </si>
  <si>
    <t>Present Value Interest Factor</t>
  </si>
  <si>
    <t>Present Value of CAFDS</t>
  </si>
  <si>
    <t>Size of Debt</t>
  </si>
  <si>
    <t>First Year Bonus Depreciation</t>
  </si>
  <si>
    <t>Depreciable Basis After Bonus Reduction</t>
  </si>
  <si>
    <t>Non-Depreciable 
(red higlight indicates invalid figure)</t>
  </si>
  <si>
    <t>Major Equipment Reserve 1</t>
  </si>
  <si>
    <t>Major Equipment Reserve 2</t>
  </si>
  <si>
    <t>Major Equipment Reserve 3</t>
  </si>
  <si>
    <t>Major Equipment Replacement Reserve 1</t>
  </si>
  <si>
    <t>Major Equipment Replacement Reserve 2</t>
  </si>
  <si>
    <t>Major Equipment Replacement Reserve 3</t>
  </si>
  <si>
    <t>Major Equipment Spending 1</t>
  </si>
  <si>
    <t>Major Equipment Spending 2</t>
  </si>
  <si>
    <t>Major Equipment Spending 3</t>
  </si>
  <si>
    <t>Major Equipment Replacement 1</t>
  </si>
  <si>
    <t>Major Equipment Replacement - 2</t>
  </si>
  <si>
    <t>Major Equipment Replacement - 3</t>
  </si>
  <si>
    <t>Major Equipment Replacement 2</t>
  </si>
  <si>
    <t>Major Equipment Replacement 3</t>
  </si>
  <si>
    <t>LCOE ($/kWh)</t>
  </si>
  <si>
    <t>Issuance of Equity</t>
  </si>
  <si>
    <t xml:space="preserve">Non-Depreciable </t>
  </si>
  <si>
    <t>Year Target Return Reached</t>
  </si>
  <si>
    <t>Max IRR</t>
  </si>
  <si>
    <t>Cumulative IRR</t>
  </si>
  <si>
    <t>Cumulative NPV</t>
  </si>
  <si>
    <t>For additional information on depreciation schedules. Please refer to IRS publication 946.</t>
  </si>
  <si>
    <t>http://www.irs.gov/pub/irs-pdf/p946.pdf</t>
  </si>
  <si>
    <t>NPV - Annual Payments ($)</t>
  </si>
  <si>
    <t>NPV - Generation (kWh)</t>
  </si>
  <si>
    <t>Annual PPA Revenue</t>
  </si>
  <si>
    <t>Less: Major Equipment Replacement Reserve Funding</t>
  </si>
  <si>
    <t>Depreciable Basis Reduction</t>
  </si>
  <si>
    <t>5-Yr MACRS</t>
  </si>
  <si>
    <t>Depreciation &amp; ITC</t>
  </si>
  <si>
    <t>State Depreciation &amp; ITC</t>
  </si>
  <si>
    <t>Federal Depreciation &amp; ITC</t>
  </si>
  <si>
    <t>State PTC</t>
  </si>
  <si>
    <t>Constant DSCR</t>
  </si>
  <si>
    <t>Debt Selected</t>
  </si>
  <si>
    <t>Negative Net Benefit</t>
  </si>
  <si>
    <t>Years with Negative Net Benefit</t>
  </si>
  <si>
    <t>First Year with Negative Net Benefit</t>
  </si>
  <si>
    <t>Nameplate capacity (DC kW)</t>
  </si>
  <si>
    <t>SYSTEM COSTS</t>
  </si>
  <si>
    <t>SYSTEM DESIGN</t>
  </si>
  <si>
    <t>Year-to-year decline in output (%)</t>
  </si>
  <si>
    <t>FINANCIAL PARAMETERS</t>
  </si>
  <si>
    <t>DEGRADATION</t>
  </si>
  <si>
    <t>Solution Mode</t>
  </si>
  <si>
    <t>Specify IRR Target</t>
  </si>
  <si>
    <t>IRR Target</t>
  </si>
  <si>
    <t>Target year</t>
  </si>
  <si>
    <t>Analysis Parameters</t>
  </si>
  <si>
    <t>Tax and Insurance Rates</t>
  </si>
  <si>
    <t>Federal income tax rate (%/year)</t>
  </si>
  <si>
    <t>State income tax rate (%/year)</t>
  </si>
  <si>
    <t>Insurance rate (annual, % of installed cost)</t>
  </si>
  <si>
    <t>PPA price escalation (%/year)</t>
  </si>
  <si>
    <t>Analysis period (years, 40 max)</t>
  </si>
  <si>
    <t>Inflation rate (%/year)</t>
  </si>
  <si>
    <t>Nominal discount rate (%/year)</t>
  </si>
  <si>
    <t>Real discount rate (%/year)</t>
  </si>
  <si>
    <t>Assessed percentage (% of total installed cost)</t>
  </si>
  <si>
    <t>Annual decline (%/year)</t>
  </si>
  <si>
    <t>Assesed value ($)</t>
  </si>
  <si>
    <t>Property tax rate (%/year)</t>
  </si>
  <si>
    <t>Net energy (AC-kWh)</t>
  </si>
  <si>
    <t>Property tax net assessed value</t>
  </si>
  <si>
    <t>O&amp;M fixed expense</t>
  </si>
  <si>
    <t>O&amp;M production-based expense</t>
  </si>
  <si>
    <t>O&amp;M capacity-based expense</t>
  </si>
  <si>
    <t>Net salvage value (% of installed cost)</t>
  </si>
  <si>
    <t>End of analysis period value</t>
  </si>
  <si>
    <t>Calculated or fixed value</t>
  </si>
  <si>
    <t>Value imported from SAM</t>
  </si>
  <si>
    <t>PROJECT TERM DEBT</t>
  </si>
  <si>
    <t>Debt service coverage ratio (DSCR)</t>
  </si>
  <si>
    <t>Tenor (years)</t>
  </si>
  <si>
    <t>Annual all-in interest rate (%)</t>
  </si>
  <si>
    <t>Debt closing costs ($)</t>
  </si>
  <si>
    <t>Up-front fee (% of total debt)</t>
  </si>
  <si>
    <t>Production-based incentive (PBI) available for debt service</t>
  </si>
  <si>
    <t>COST OF ACQUIRING FINANCING</t>
  </si>
  <si>
    <t>Financing cost ($)</t>
  </si>
  <si>
    <t>Loan 1</t>
  </si>
  <si>
    <t>Loan 2</t>
  </si>
  <si>
    <t>Loan 3</t>
  </si>
  <si>
    <t>Loan 4</t>
  </si>
  <si>
    <t>Loan 5</t>
  </si>
  <si>
    <t>Percent of installed cost</t>
  </si>
  <si>
    <t>Up-front fee (% of principal)</t>
  </si>
  <si>
    <t>Months prior to operation</t>
  </si>
  <si>
    <t>Annual interest rate (%)</t>
  </si>
  <si>
    <t>Total construction financing cost</t>
  </si>
  <si>
    <t>Totals:</t>
  </si>
  <si>
    <t>CONSTRUCTION FINANCING</t>
  </si>
  <si>
    <t>RESERVE ACCOUNTS</t>
  </si>
  <si>
    <t>Interest on reserves (%/year)</t>
  </si>
  <si>
    <t>Debt service reserve account (months of P&amp;I payments)</t>
  </si>
  <si>
    <t>Major equipment replacement reserve accounts</t>
  </si>
  <si>
    <t>Replacement  reserve 1</t>
  </si>
  <si>
    <t>Replacement  reserve 3</t>
  </si>
  <si>
    <t>Replacement  reserve 2</t>
  </si>
  <si>
    <t>Replacement cost ($/kW)</t>
  </si>
  <si>
    <t>Year 1 dollars</t>
  </si>
  <si>
    <t>Replacement frequency (years)</t>
  </si>
  <si>
    <t>Depreciation treatment for replacement reserves</t>
  </si>
  <si>
    <t>Working capital reserve (months of operating costs)</t>
  </si>
  <si>
    <t>TAX CREDITS</t>
  </si>
  <si>
    <t>DIRECT CASH INCENTIVES</t>
  </si>
  <si>
    <t>As fixed amount</t>
  </si>
  <si>
    <t>Federal ($)</t>
  </si>
  <si>
    <t>State ($)</t>
  </si>
  <si>
    <t>Federal (% of total installed cost)</t>
  </si>
  <si>
    <t>State (% of total installed cost)</t>
  </si>
  <si>
    <t>As percentage</t>
  </si>
  <si>
    <t>Sales tax (% of total direct cost)</t>
  </si>
  <si>
    <t>Total direct cost ($)</t>
  </si>
  <si>
    <t>Sales tax ($)</t>
  </si>
  <si>
    <t>Total indirect cost less sales tax ($)</t>
  </si>
  <si>
    <t>Total installed cost ($)</t>
  </si>
  <si>
    <t>Sales tax basis (% of total direct cost)</t>
  </si>
  <si>
    <t>OPERATION AND MAINTENANCE COSTS</t>
  </si>
  <si>
    <t>Fixed annual cost ($/yr)</t>
  </si>
  <si>
    <t>Fixed cost by capacity ($/yr)</t>
  </si>
  <si>
    <t>Variable cost by generation ($/MWh)</t>
  </si>
  <si>
    <t>Utility ($)</t>
  </si>
  <si>
    <t>Other ($)</t>
  </si>
  <si>
    <t>Utility (% of total installed cost)</t>
  </si>
  <si>
    <t>Other (% of total installed cost)</t>
  </si>
  <si>
    <t>Federal ($/W)</t>
  </si>
  <si>
    <t>State ($/W)</t>
  </si>
  <si>
    <t>Utility ($/W)</t>
  </si>
  <si>
    <t>Other ($/W)</t>
  </si>
  <si>
    <t>Amount ($/W)</t>
  </si>
  <si>
    <t>Federal ($/kWh)</t>
  </si>
  <si>
    <t>State ($/kWh)</t>
  </si>
  <si>
    <t>Utility ($/kWh)</t>
  </si>
  <si>
    <t>Other ($/kWh)</t>
  </si>
  <si>
    <t>Maximum ($)</t>
  </si>
  <si>
    <t>Term</t>
  </si>
  <si>
    <t>Federal Taxable</t>
  </si>
  <si>
    <t>State Taxable</t>
  </si>
  <si>
    <t>Intermediate Values</t>
  </si>
  <si>
    <t>Classes</t>
  </si>
  <si>
    <t>Federal Bonus</t>
  </si>
  <si>
    <t>State Bonus</t>
  </si>
  <si>
    <t>DEPRECIATION</t>
  </si>
  <si>
    <t>Allocations</t>
  </si>
  <si>
    <t>Year 1 net energy (kWh)</t>
  </si>
  <si>
    <t>degradation rate (%/year)</t>
  </si>
  <si>
    <t>PPA Price</t>
  </si>
  <si>
    <t>Red. Fed. Depr. &amp; ITC</t>
  </si>
  <si>
    <t>Red. St. Depr. &amp; ITC</t>
  </si>
  <si>
    <t>Amounts</t>
  </si>
  <si>
    <t>Qual. for Fed. ITC</t>
  </si>
  <si>
    <t>Qual. for State ITC</t>
  </si>
  <si>
    <t>Total Amounts</t>
  </si>
  <si>
    <t>IBI - Fixed</t>
  </si>
  <si>
    <t>IBI - Percent</t>
  </si>
  <si>
    <t>RESULTS SUMMARY</t>
  </si>
  <si>
    <t>Revenue</t>
  </si>
  <si>
    <t>After-tax IRR</t>
  </si>
  <si>
    <t>Net After-tax Returns</t>
  </si>
  <si>
    <t>NPV</t>
  </si>
  <si>
    <t>IRR in target year</t>
  </si>
  <si>
    <t>PPA Price to achieve IRR in target year</t>
  </si>
  <si>
    <t>IRR</t>
  </si>
  <si>
    <t>IRR in Year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</si>
</sst>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6" formatCode="&quot;$&quot;#,##0_);[Red]\(&quot;$&quot;#,##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_);[Red]\(0\)"/>
    <numFmt numFmtId="165" formatCode="_(* #,##0.000_);_(* \(#,##0.000\);_(* &quot;-&quot;??_);_(@_)"/>
    <numFmt numFmtId="166" formatCode="_(* #,##0.000_);_(* \(#,##0.000\);_(* &quot;-&quot;???_);_(@_)"/>
    <numFmt numFmtId="167" formatCode="0.0%"/>
    <numFmt numFmtId="168" formatCode="_(* #,##0.00_);_(* \(#,##0.00\);_(* &quot;-&quot;_);_(@_)"/>
    <numFmt numFmtId="169" formatCode="0.000000"/>
    <numFmt numFmtId="170" formatCode="&quot;Yr&quot;\ #,##0"/>
    <numFmt numFmtId="171" formatCode="_(* #,##0.0000_);_(* \(#,##0.0000\);_(* &quot;-&quot;????_);_(@_)"/>
    <numFmt numFmtId="172" formatCode="_(* #,##0_);_(* \(#,##0\);_(* &quot;-&quot;??_);_(@_)"/>
    <numFmt numFmtId="173" formatCode="_(* #,##0.0_);_(* \(#,##0.0\);_(* &quot;-&quot;??_);_(@_)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indexed="8"/>
      <name val="Calibri"/>
      <family val="2"/>
      <scheme val="minor"/>
    </font>
    <font>
      <sz val="10"/>
      <color indexed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lightGray"/>
    </fill>
    <fill>
      <patternFill patternType="solid">
        <fgColor indexed="2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349">
    <xf numFmtId="0" fontId="0" fillId="0" borderId="0" xfId="0"/>
    <xf numFmtId="169" fontId="2" fillId="4" borderId="4" xfId="0" applyNumberFormat="1" applyFont="1" applyFill="1" applyBorder="1" applyAlignment="1">
      <alignment horizontal="left"/>
    </xf>
    <xf numFmtId="0" fontId="3" fillId="4" borderId="2" xfId="0" applyNumberFormat="1" applyFont="1" applyFill="1" applyBorder="1" applyAlignment="1"/>
    <xf numFmtId="41" fontId="4" fillId="4" borderId="2" xfId="2" applyNumberFormat="1" applyFont="1" applyFill="1" applyBorder="1"/>
    <xf numFmtId="0" fontId="3" fillId="4" borderId="5" xfId="0" applyNumberFormat="1" applyFont="1" applyFill="1" applyBorder="1" applyAlignment="1"/>
    <xf numFmtId="0" fontId="3" fillId="0" borderId="0" xfId="0" applyNumberFormat="1" applyFont="1" applyFill="1" applyAlignment="1"/>
    <xf numFmtId="0" fontId="3" fillId="0" borderId="6" xfId="0" applyNumberFormat="1" applyFont="1" applyFill="1" applyBorder="1" applyAlignment="1">
      <alignment horizontal="center"/>
    </xf>
    <xf numFmtId="0" fontId="2" fillId="0" borderId="3" xfId="0" applyNumberFormat="1" applyFont="1" applyFill="1" applyBorder="1" applyAlignment="1">
      <alignment horizontal="center"/>
    </xf>
    <xf numFmtId="170" fontId="3" fillId="0" borderId="13" xfId="0" applyNumberFormat="1" applyFont="1" applyFill="1" applyBorder="1" applyAlignment="1">
      <alignment horizontal="center"/>
    </xf>
    <xf numFmtId="10" fontId="5" fillId="0" borderId="13" xfId="0" applyNumberFormat="1" applyFont="1" applyFill="1" applyBorder="1" applyAlignment="1"/>
    <xf numFmtId="10" fontId="5" fillId="0" borderId="13" xfId="2" applyNumberFormat="1" applyFont="1" applyFill="1" applyBorder="1"/>
    <xf numFmtId="170" fontId="3" fillId="0" borderId="14" xfId="0" applyNumberFormat="1" applyFont="1" applyFill="1" applyBorder="1" applyAlignment="1">
      <alignment horizontal="center"/>
    </xf>
    <xf numFmtId="10" fontId="5" fillId="0" borderId="14" xfId="0" applyNumberFormat="1" applyFont="1" applyFill="1" applyBorder="1" applyAlignment="1"/>
    <xf numFmtId="10" fontId="5" fillId="0" borderId="14" xfId="2" applyNumberFormat="1" applyFont="1" applyFill="1" applyBorder="1"/>
    <xf numFmtId="10" fontId="5" fillId="0" borderId="14" xfId="0" applyNumberFormat="1" applyFont="1" applyFill="1" applyBorder="1" applyAlignment="1">
      <alignment horizontal="right"/>
    </xf>
    <xf numFmtId="170" fontId="3" fillId="0" borderId="15" xfId="0" applyNumberFormat="1" applyFont="1" applyFill="1" applyBorder="1" applyAlignment="1">
      <alignment horizontal="center"/>
    </xf>
    <xf numFmtId="10" fontId="5" fillId="0" borderId="15" xfId="0" applyNumberFormat="1" applyFont="1" applyFill="1" applyBorder="1" applyAlignment="1"/>
    <xf numFmtId="0" fontId="7" fillId="0" borderId="0" xfId="0" applyFont="1"/>
    <xf numFmtId="0" fontId="8" fillId="2" borderId="21" xfId="0" applyFont="1" applyFill="1" applyBorder="1"/>
    <xf numFmtId="0" fontId="7" fillId="2" borderId="22" xfId="0" applyFont="1" applyFill="1" applyBorder="1"/>
    <xf numFmtId="0" fontId="7" fillId="0" borderId="0" xfId="0" applyFont="1" applyBorder="1"/>
    <xf numFmtId="0" fontId="7" fillId="2" borderId="23" xfId="0" applyFont="1" applyFill="1" applyBorder="1"/>
    <xf numFmtId="0" fontId="7" fillId="0" borderId="0" xfId="0" applyFont="1" applyFill="1" applyBorder="1"/>
    <xf numFmtId="41" fontId="3" fillId="0" borderId="7" xfId="0" applyNumberFormat="1" applyFont="1" applyBorder="1"/>
    <xf numFmtId="10" fontId="3" fillId="0" borderId="8" xfId="1" applyNumberFormat="1" applyFont="1" applyFill="1" applyBorder="1"/>
    <xf numFmtId="0" fontId="9" fillId="0" borderId="9" xfId="0" applyFont="1" applyBorder="1"/>
    <xf numFmtId="0" fontId="7" fillId="0" borderId="8" xfId="0" applyFont="1" applyBorder="1"/>
    <xf numFmtId="0" fontId="7" fillId="0" borderId="9" xfId="0" applyFont="1" applyBorder="1" applyAlignment="1">
      <alignment horizontal="center"/>
    </xf>
    <xf numFmtId="0" fontId="7" fillId="0" borderId="27" xfId="0" applyFont="1" applyBorder="1"/>
    <xf numFmtId="0" fontId="3" fillId="0" borderId="20" xfId="0" applyFont="1" applyBorder="1" applyAlignment="1">
      <alignment horizontal="center"/>
    </xf>
    <xf numFmtId="0" fontId="3" fillId="0" borderId="20" xfId="0" applyFont="1" applyBorder="1" applyAlignment="1">
      <alignment horizontal="center" wrapText="1"/>
    </xf>
    <xf numFmtId="166" fontId="3" fillId="0" borderId="0" xfId="0" applyNumberFormat="1" applyFont="1" applyBorder="1"/>
    <xf numFmtId="43" fontId="3" fillId="0" borderId="0" xfId="0" applyNumberFormat="1" applyFont="1" applyBorder="1"/>
    <xf numFmtId="0" fontId="7" fillId="3" borderId="17" xfId="0" applyFont="1" applyFill="1" applyBorder="1"/>
    <xf numFmtId="0" fontId="3" fillId="0" borderId="0" xfId="0" applyFont="1" applyFill="1" applyBorder="1"/>
    <xf numFmtId="0" fontId="7" fillId="0" borderId="0" xfId="0" applyFont="1" applyFill="1"/>
    <xf numFmtId="0" fontId="3" fillId="0" borderId="9" xfId="0" applyFont="1" applyBorder="1" applyAlignment="1">
      <alignment horizontal="center"/>
    </xf>
    <xf numFmtId="0" fontId="7" fillId="0" borderId="3" xfId="0" applyFont="1" applyBorder="1" applyAlignment="1">
      <alignment horizontal="center" wrapText="1"/>
    </xf>
    <xf numFmtId="41" fontId="7" fillId="0" borderId="0" xfId="0" applyNumberFormat="1" applyFont="1" applyFill="1" applyBorder="1"/>
    <xf numFmtId="41" fontId="7" fillId="0" borderId="0" xfId="0" applyNumberFormat="1" applyFont="1"/>
    <xf numFmtId="41" fontId="7" fillId="0" borderId="16" xfId="0" applyNumberFormat="1" applyFont="1" applyBorder="1"/>
    <xf numFmtId="41" fontId="3" fillId="5" borderId="20" xfId="0" applyNumberFormat="1" applyFont="1" applyFill="1" applyBorder="1"/>
    <xf numFmtId="0" fontId="6" fillId="0" borderId="0" xfId="0" applyFont="1"/>
    <xf numFmtId="164" fontId="8" fillId="2" borderId="2" xfId="0" applyNumberFormat="1" applyFont="1" applyFill="1" applyBorder="1" applyAlignment="1">
      <alignment horizontal="center"/>
    </xf>
    <xf numFmtId="164" fontId="7" fillId="0" borderId="0" xfId="0" applyNumberFormat="1" applyFont="1" applyBorder="1" applyAlignment="1">
      <alignment horizontal="center"/>
    </xf>
    <xf numFmtId="0" fontId="8" fillId="2" borderId="3" xfId="0" applyFont="1" applyFill="1" applyBorder="1"/>
    <xf numFmtId="0" fontId="7" fillId="0" borderId="0" xfId="0" applyFont="1" applyAlignment="1">
      <alignment horizontal="left"/>
    </xf>
    <xf numFmtId="10" fontId="7" fillId="0" borderId="0" xfId="1" applyNumberFormat="1" applyFont="1"/>
    <xf numFmtId="0" fontId="8" fillId="0" borderId="0" xfId="0" applyFont="1"/>
    <xf numFmtId="168" fontId="7" fillId="0" borderId="0" xfId="0" applyNumberFormat="1" applyFont="1"/>
    <xf numFmtId="0" fontId="7" fillId="0" borderId="0" xfId="0" applyFont="1" applyAlignment="1">
      <alignment horizontal="left" indent="2"/>
    </xf>
    <xf numFmtId="43" fontId="7" fillId="0" borderId="1" xfId="0" applyNumberFormat="1" applyFont="1" applyBorder="1"/>
    <xf numFmtId="41" fontId="7" fillId="0" borderId="0" xfId="0" applyNumberFormat="1" applyFont="1" applyBorder="1"/>
    <xf numFmtId="41" fontId="7" fillId="0" borderId="1" xfId="0" applyNumberFormat="1" applyFont="1" applyBorder="1"/>
    <xf numFmtId="41" fontId="7" fillId="0" borderId="12" xfId="0" applyNumberFormat="1" applyFont="1" applyBorder="1"/>
    <xf numFmtId="41" fontId="7" fillId="0" borderId="18" xfId="0" applyNumberFormat="1" applyFont="1" applyBorder="1"/>
    <xf numFmtId="41" fontId="7" fillId="0" borderId="2" xfId="0" applyNumberFormat="1" applyFont="1" applyBorder="1"/>
    <xf numFmtId="0" fontId="8" fillId="0" borderId="0" xfId="0" applyFont="1" applyFill="1" applyBorder="1"/>
    <xf numFmtId="41" fontId="7" fillId="0" borderId="3" xfId="0" applyNumberFormat="1" applyFont="1" applyBorder="1"/>
    <xf numFmtId="0" fontId="7" fillId="0" borderId="0" xfId="0" applyFont="1" applyFill="1" applyBorder="1" applyAlignment="1">
      <alignment horizontal="left"/>
    </xf>
    <xf numFmtId="41" fontId="7" fillId="0" borderId="0" xfId="0" applyNumberFormat="1" applyFont="1" applyFill="1"/>
    <xf numFmtId="43" fontId="7" fillId="0" borderId="3" xfId="0" applyNumberFormat="1" applyFont="1" applyBorder="1"/>
    <xf numFmtId="0" fontId="7" fillId="0" borderId="0" xfId="0" applyFont="1" applyAlignment="1">
      <alignment horizontal="left" indent="4"/>
    </xf>
    <xf numFmtId="10" fontId="7" fillId="0" borderId="12" xfId="0" applyNumberFormat="1" applyFont="1" applyBorder="1"/>
    <xf numFmtId="41" fontId="7" fillId="0" borderId="1" xfId="0" applyNumberFormat="1" applyFont="1" applyFill="1" applyBorder="1"/>
    <xf numFmtId="0" fontId="7" fillId="0" borderId="0" xfId="0" applyFont="1" applyFill="1" applyBorder="1" applyAlignment="1">
      <alignment horizontal="left" indent="2"/>
    </xf>
    <xf numFmtId="0" fontId="7" fillId="0" borderId="0" xfId="0" applyFont="1" applyFill="1" applyBorder="1" applyAlignment="1">
      <alignment horizontal="left" indent="4"/>
    </xf>
    <xf numFmtId="0" fontId="7" fillId="0" borderId="4" xfId="0" applyFont="1" applyBorder="1" applyAlignment="1">
      <alignment horizontal="center" wrapText="1"/>
    </xf>
    <xf numFmtId="0" fontId="7" fillId="0" borderId="2" xfId="0" applyFont="1" applyBorder="1" applyAlignment="1">
      <alignment horizontal="center" wrapText="1"/>
    </xf>
    <xf numFmtId="0" fontId="7" fillId="0" borderId="23" xfId="0" applyFont="1" applyBorder="1" applyAlignment="1">
      <alignment horizontal="center" wrapText="1"/>
    </xf>
    <xf numFmtId="167" fontId="7" fillId="3" borderId="9" xfId="1" applyNumberFormat="1" applyFont="1" applyFill="1" applyBorder="1"/>
    <xf numFmtId="41" fontId="7" fillId="3" borderId="1" xfId="0" applyNumberFormat="1" applyFont="1" applyFill="1" applyBorder="1"/>
    <xf numFmtId="0" fontId="7" fillId="3" borderId="1" xfId="0" applyFont="1" applyFill="1" applyBorder="1"/>
    <xf numFmtId="41" fontId="7" fillId="0" borderId="17" xfId="0" applyNumberFormat="1" applyFont="1" applyBorder="1"/>
    <xf numFmtId="0" fontId="7" fillId="0" borderId="0" xfId="0" applyFont="1" applyAlignment="1">
      <alignment horizontal="left" indent="6"/>
    </xf>
    <xf numFmtId="167" fontId="7" fillId="0" borderId="13" xfId="0" applyNumberFormat="1" applyFont="1" applyBorder="1"/>
    <xf numFmtId="167" fontId="7" fillId="0" borderId="0" xfId="1" applyNumberFormat="1" applyFont="1" applyBorder="1"/>
    <xf numFmtId="167" fontId="7" fillId="0" borderId="16" xfId="0" applyNumberFormat="1" applyFont="1" applyBorder="1"/>
    <xf numFmtId="167" fontId="7" fillId="0" borderId="17" xfId="0" applyNumberFormat="1" applyFont="1" applyBorder="1"/>
    <xf numFmtId="41" fontId="7" fillId="0" borderId="13" xfId="0" applyNumberFormat="1" applyFont="1" applyBorder="1"/>
    <xf numFmtId="0" fontId="7" fillId="0" borderId="0" xfId="0" applyFont="1" applyAlignment="1">
      <alignment horizontal="right"/>
    </xf>
    <xf numFmtId="167" fontId="7" fillId="0" borderId="0" xfId="1" applyNumberFormat="1" applyFont="1"/>
    <xf numFmtId="41" fontId="7" fillId="0" borderId="9" xfId="0" applyNumberFormat="1" applyFont="1" applyBorder="1"/>
    <xf numFmtId="0" fontId="7" fillId="0" borderId="0" xfId="0" applyFont="1" applyFill="1" applyAlignment="1">
      <alignment horizontal="right"/>
    </xf>
    <xf numFmtId="41" fontId="7" fillId="0" borderId="16" xfId="0" applyNumberFormat="1" applyFont="1" applyFill="1" applyBorder="1"/>
    <xf numFmtId="41" fontId="7" fillId="0" borderId="17" xfId="0" applyNumberFormat="1" applyFont="1" applyFill="1" applyBorder="1"/>
    <xf numFmtId="41" fontId="7" fillId="0" borderId="6" xfId="0" applyNumberFormat="1" applyFont="1" applyBorder="1"/>
    <xf numFmtId="41" fontId="8" fillId="0" borderId="10" xfId="0" applyNumberFormat="1" applyFont="1" applyFill="1" applyBorder="1"/>
    <xf numFmtId="41" fontId="7" fillId="0" borderId="11" xfId="0" applyNumberFormat="1" applyFont="1" applyFill="1" applyBorder="1"/>
    <xf numFmtId="0" fontId="7" fillId="0" borderId="3" xfId="0" applyFont="1" applyFill="1" applyBorder="1" applyAlignment="1">
      <alignment horizontal="center" wrapText="1"/>
    </xf>
    <xf numFmtId="167" fontId="7" fillId="3" borderId="1" xfId="1" applyNumberFormat="1" applyFont="1" applyFill="1" applyBorder="1"/>
    <xf numFmtId="167" fontId="7" fillId="3" borderId="17" xfId="1" applyNumberFormat="1" applyFont="1" applyFill="1" applyBorder="1"/>
    <xf numFmtId="166" fontId="7" fillId="0" borderId="0" xfId="0" applyNumberFormat="1" applyFont="1"/>
    <xf numFmtId="43" fontId="7" fillId="0" borderId="0" xfId="0" applyNumberFormat="1" applyFont="1"/>
    <xf numFmtId="166" fontId="7" fillId="0" borderId="0" xfId="0" applyNumberFormat="1" applyFont="1" applyBorder="1"/>
    <xf numFmtId="10" fontId="7" fillId="0" borderId="0" xfId="1" applyNumberFormat="1" applyFont="1" applyFill="1"/>
    <xf numFmtId="171" fontId="7" fillId="0" borderId="0" xfId="1" applyNumberFormat="1" applyFont="1" applyFill="1"/>
    <xf numFmtId="171" fontId="7" fillId="0" borderId="0" xfId="1" applyNumberFormat="1" applyFont="1" applyFill="1" applyBorder="1"/>
    <xf numFmtId="41" fontId="7" fillId="0" borderId="19" xfId="0" applyNumberFormat="1" applyFont="1" applyBorder="1"/>
    <xf numFmtId="43" fontId="7" fillId="0" borderId="0" xfId="1" applyNumberFormat="1" applyFont="1" applyFill="1"/>
    <xf numFmtId="43" fontId="7" fillId="0" borderId="2" xfId="0" applyNumberFormat="1" applyFont="1" applyBorder="1"/>
    <xf numFmtId="41" fontId="7" fillId="0" borderId="23" xfId="0" applyNumberFormat="1" applyFont="1" applyBorder="1"/>
    <xf numFmtId="41" fontId="7" fillId="0" borderId="20" xfId="0" applyNumberFormat="1" applyFont="1" applyBorder="1"/>
    <xf numFmtId="0" fontId="7" fillId="0" borderId="0" xfId="0" applyFont="1" applyFill="1" applyAlignment="1">
      <alignment horizontal="left" indent="2"/>
    </xf>
    <xf numFmtId="0" fontId="7" fillId="0" borderId="0" xfId="0" applyFont="1" applyFill="1" applyAlignment="1">
      <alignment horizontal="left" indent="4"/>
    </xf>
    <xf numFmtId="0" fontId="7" fillId="0" borderId="0" xfId="0" applyFont="1" applyFill="1" applyAlignment="1">
      <alignment horizontal="left" indent="6"/>
    </xf>
    <xf numFmtId="0" fontId="7" fillId="0" borderId="0" xfId="0" applyFont="1" applyFill="1" applyAlignment="1">
      <alignment horizontal="left" wrapText="1" indent="2"/>
    </xf>
    <xf numFmtId="10" fontId="7" fillId="0" borderId="25" xfId="0" applyNumberFormat="1" applyFont="1" applyBorder="1"/>
    <xf numFmtId="41" fontId="7" fillId="0" borderId="20" xfId="0" applyNumberFormat="1" applyFont="1" applyFill="1" applyBorder="1"/>
    <xf numFmtId="0" fontId="8" fillId="0" borderId="21" xfId="0" applyFont="1" applyBorder="1"/>
    <xf numFmtId="0" fontId="7" fillId="0" borderId="23" xfId="0" applyFont="1" applyBorder="1"/>
    <xf numFmtId="0" fontId="7" fillId="0" borderId="22" xfId="0" applyFont="1" applyBorder="1"/>
    <xf numFmtId="167" fontId="7" fillId="3" borderId="8" xfId="1" applyNumberFormat="1" applyFont="1" applyFill="1" applyBorder="1"/>
    <xf numFmtId="10" fontId="7" fillId="0" borderId="1" xfId="0" applyNumberFormat="1" applyFont="1" applyFill="1" applyBorder="1"/>
    <xf numFmtId="43" fontId="7" fillId="0" borderId="0" xfId="0" applyNumberFormat="1" applyFont="1" applyBorder="1"/>
    <xf numFmtId="41" fontId="3" fillId="0" borderId="0" xfId="0" applyNumberFormat="1" applyFont="1" applyFill="1" applyBorder="1"/>
    <xf numFmtId="41" fontId="7" fillId="0" borderId="7" xfId="0" applyNumberFormat="1" applyFont="1" applyFill="1" applyBorder="1"/>
    <xf numFmtId="0" fontId="3" fillId="0" borderId="16" xfId="0" applyFont="1" applyFill="1" applyBorder="1"/>
    <xf numFmtId="10" fontId="3" fillId="0" borderId="0" xfId="1" applyNumberFormat="1" applyFont="1" applyFill="1" applyBorder="1"/>
    <xf numFmtId="167" fontId="7" fillId="0" borderId="6" xfId="1" applyNumberFormat="1" applyFont="1" applyFill="1" applyBorder="1"/>
    <xf numFmtId="41" fontId="7" fillId="0" borderId="24" xfId="0" applyNumberFormat="1" applyFont="1" applyFill="1" applyBorder="1"/>
    <xf numFmtId="41" fontId="7" fillId="0" borderId="25" xfId="0" applyNumberFormat="1" applyFont="1" applyFill="1" applyBorder="1"/>
    <xf numFmtId="41" fontId="7" fillId="0" borderId="26" xfId="0" applyNumberFormat="1" applyFont="1" applyFill="1" applyBorder="1"/>
    <xf numFmtId="41" fontId="7" fillId="0" borderId="6" xfId="0" applyNumberFormat="1" applyFont="1" applyFill="1" applyBorder="1"/>
    <xf numFmtId="41" fontId="7" fillId="0" borderId="27" xfId="0" applyNumberFormat="1" applyFont="1" applyFill="1" applyBorder="1"/>
    <xf numFmtId="167" fontId="7" fillId="0" borderId="9" xfId="1" applyNumberFormat="1" applyFont="1" applyFill="1" applyBorder="1"/>
    <xf numFmtId="167" fontId="7" fillId="0" borderId="17" xfId="1" applyNumberFormat="1" applyFont="1" applyFill="1" applyBorder="1"/>
    <xf numFmtId="0" fontId="7" fillId="0" borderId="0" xfId="0" applyFont="1" applyBorder="1" applyAlignment="1">
      <alignment horizontal="left" indent="2"/>
    </xf>
    <xf numFmtId="0" fontId="7" fillId="0" borderId="21" xfId="0" applyFont="1" applyBorder="1"/>
    <xf numFmtId="169" fontId="3" fillId="0" borderId="0" xfId="0" applyNumberFormat="1" applyFont="1" applyAlignment="1">
      <alignment horizontal="left" indent="2"/>
    </xf>
    <xf numFmtId="41" fontId="7" fillId="0" borderId="20" xfId="0" applyNumberFormat="1" applyFont="1" applyBorder="1" applyAlignment="1">
      <alignment horizontal="right"/>
    </xf>
    <xf numFmtId="167" fontId="7" fillId="0" borderId="25" xfId="1" applyNumberFormat="1" applyFont="1" applyFill="1" applyBorder="1"/>
    <xf numFmtId="167" fontId="7" fillId="0" borderId="0" xfId="1" applyNumberFormat="1" applyFont="1" applyFill="1" applyBorder="1"/>
    <xf numFmtId="0" fontId="7" fillId="0" borderId="0" xfId="0" applyFont="1" applyFill="1" applyBorder="1" applyAlignment="1">
      <alignment horizontal="center"/>
    </xf>
    <xf numFmtId="8" fontId="7" fillId="0" borderId="3" xfId="0" applyNumberFormat="1" applyFont="1" applyBorder="1"/>
    <xf numFmtId="41" fontId="3" fillId="0" borderId="22" xfId="0" applyNumberFormat="1" applyFont="1" applyFill="1" applyBorder="1"/>
    <xf numFmtId="0" fontId="7" fillId="5" borderId="20" xfId="0" applyFont="1" applyFill="1" applyBorder="1"/>
    <xf numFmtId="0" fontId="3" fillId="6" borderId="20" xfId="0" applyFont="1" applyFill="1" applyBorder="1"/>
    <xf numFmtId="43" fontId="3" fillId="0" borderId="20" xfId="0" applyNumberFormat="1" applyFont="1" applyBorder="1"/>
    <xf numFmtId="0" fontId="7" fillId="0" borderId="20" xfId="0" applyFont="1" applyBorder="1"/>
    <xf numFmtId="41" fontId="3" fillId="0" borderId="20" xfId="0" applyNumberFormat="1" applyFont="1" applyFill="1" applyBorder="1"/>
    <xf numFmtId="168" fontId="3" fillId="0" borderId="20" xfId="0" applyNumberFormat="1" applyFont="1" applyFill="1" applyBorder="1"/>
    <xf numFmtId="0" fontId="7" fillId="0" borderId="20" xfId="0" applyFont="1" applyBorder="1" applyAlignment="1">
      <alignment horizontal="left" indent="1"/>
    </xf>
    <xf numFmtId="10" fontId="3" fillId="5" borderId="20" xfId="1" applyNumberFormat="1" applyFont="1" applyFill="1" applyBorder="1"/>
    <xf numFmtId="10" fontId="3" fillId="0" borderId="20" xfId="1" applyNumberFormat="1" applyFont="1" applyBorder="1"/>
    <xf numFmtId="1" fontId="3" fillId="0" borderId="20" xfId="0" applyNumberFormat="1" applyFont="1" applyBorder="1"/>
    <xf numFmtId="10" fontId="7" fillId="0" borderId="20" xfId="1" applyNumberFormat="1" applyFont="1" applyFill="1" applyBorder="1"/>
    <xf numFmtId="10" fontId="3" fillId="0" borderId="20" xfId="1" applyNumberFormat="1" applyFont="1" applyFill="1" applyBorder="1"/>
    <xf numFmtId="0" fontId="7" fillId="0" borderId="20" xfId="0" applyFont="1" applyBorder="1" applyAlignment="1">
      <alignment horizontal="left" indent="3"/>
    </xf>
    <xf numFmtId="9" fontId="7" fillId="0" borderId="20" xfId="1" applyNumberFormat="1" applyFont="1" applyBorder="1"/>
    <xf numFmtId="43" fontId="3" fillId="5" borderId="20" xfId="0" applyNumberFormat="1" applyFont="1" applyFill="1" applyBorder="1"/>
    <xf numFmtId="0" fontId="7" fillId="0" borderId="21" xfId="0" applyFont="1" applyFill="1" applyBorder="1" applyAlignment="1">
      <alignment horizontal="left" indent="1"/>
    </xf>
    <xf numFmtId="0" fontId="7" fillId="0" borderId="21" xfId="0" applyFont="1" applyBorder="1" applyAlignment="1">
      <alignment horizontal="left" indent="1"/>
    </xf>
    <xf numFmtId="43" fontId="3" fillId="0" borderId="20" xfId="0" applyNumberFormat="1" applyFont="1" applyFill="1" applyBorder="1"/>
    <xf numFmtId="41" fontId="3" fillId="0" borderId="20" xfId="0" applyNumberFormat="1" applyFont="1" applyBorder="1"/>
    <xf numFmtId="41" fontId="3" fillId="0" borderId="20" xfId="0" applyNumberFormat="1" applyFont="1" applyFill="1" applyBorder="1" applyAlignment="1">
      <alignment horizontal="center"/>
    </xf>
    <xf numFmtId="41" fontId="3" fillId="0" borderId="20" xfId="0" applyNumberFormat="1" applyFont="1" applyFill="1" applyBorder="1" applyAlignment="1">
      <alignment horizontal="left" wrapText="1"/>
    </xf>
    <xf numFmtId="0" fontId="7" fillId="0" borderId="20" xfId="0" applyFont="1" applyBorder="1" applyAlignment="1">
      <alignment horizontal="left" wrapText="1"/>
    </xf>
    <xf numFmtId="0" fontId="7" fillId="0" borderId="20" xfId="0" applyFont="1" applyFill="1" applyBorder="1" applyAlignment="1">
      <alignment horizontal="left" wrapText="1"/>
    </xf>
    <xf numFmtId="9" fontId="3" fillId="0" borderId="20" xfId="0" applyNumberFormat="1" applyFont="1" applyFill="1" applyBorder="1"/>
    <xf numFmtId="9" fontId="7" fillId="0" borderId="20" xfId="1" applyFont="1" applyBorder="1"/>
    <xf numFmtId="43" fontId="7" fillId="0" borderId="20" xfId="3" applyFont="1" applyBorder="1"/>
    <xf numFmtId="43" fontId="7" fillId="0" borderId="20" xfId="0" applyNumberFormat="1" applyFont="1" applyBorder="1"/>
    <xf numFmtId="43" fontId="7" fillId="0" borderId="20" xfId="0" applyNumberFormat="1" applyFont="1" applyFill="1" applyBorder="1"/>
    <xf numFmtId="0" fontId="7" fillId="0" borderId="21" xfId="0" applyFont="1" applyBorder="1" applyAlignment="1">
      <alignment horizontal="right"/>
    </xf>
    <xf numFmtId="9" fontId="3" fillId="0" borderId="27" xfId="0" applyNumberFormat="1" applyFont="1" applyFill="1" applyBorder="1"/>
    <xf numFmtId="9" fontId="7" fillId="0" borderId="27" xfId="1" applyFont="1" applyBorder="1"/>
    <xf numFmtId="9" fontId="3" fillId="0" borderId="21" xfId="0" applyNumberFormat="1" applyFont="1" applyFill="1" applyBorder="1"/>
    <xf numFmtId="9" fontId="7" fillId="0" borderId="22" xfId="1" applyFont="1" applyBorder="1"/>
    <xf numFmtId="43" fontId="7" fillId="5" borderId="22" xfId="3" applyFont="1" applyFill="1" applyBorder="1"/>
    <xf numFmtId="43" fontId="7" fillId="5" borderId="20" xfId="0" applyNumberFormat="1" applyFont="1" applyFill="1" applyBorder="1"/>
    <xf numFmtId="43" fontId="8" fillId="5" borderId="20" xfId="0" applyNumberFormat="1" applyFont="1" applyFill="1" applyBorder="1"/>
    <xf numFmtId="0" fontId="7" fillId="0" borderId="20" xfId="0" applyFont="1" applyBorder="1" applyAlignment="1">
      <alignment wrapText="1"/>
    </xf>
    <xf numFmtId="0" fontId="7" fillId="5" borderId="27" xfId="0" applyFont="1" applyFill="1" applyBorder="1"/>
    <xf numFmtId="0" fontId="7" fillId="6" borderId="0" xfId="0" applyFont="1" applyFill="1" applyBorder="1"/>
    <xf numFmtId="0" fontId="7" fillId="6" borderId="7" xfId="0" applyFont="1" applyFill="1" applyBorder="1"/>
    <xf numFmtId="0" fontId="7" fillId="6" borderId="1" xfId="0" applyFont="1" applyFill="1" applyBorder="1"/>
    <xf numFmtId="0" fontId="7" fillId="6" borderId="8" xfId="0" applyFont="1" applyFill="1" applyBorder="1"/>
    <xf numFmtId="167" fontId="3" fillId="0" borderId="20" xfId="1" applyNumberFormat="1" applyFont="1" applyFill="1" applyBorder="1"/>
    <xf numFmtId="11" fontId="3" fillId="0" borderId="20" xfId="0" applyNumberFormat="1" applyFont="1" applyBorder="1"/>
    <xf numFmtId="167" fontId="3" fillId="0" borderId="20" xfId="1" applyNumberFormat="1" applyFont="1" applyBorder="1"/>
    <xf numFmtId="0" fontId="7" fillId="0" borderId="20" xfId="0" applyFont="1" applyBorder="1" applyAlignment="1">
      <alignment horizontal="left" indent="2"/>
    </xf>
    <xf numFmtId="0" fontId="7" fillId="0" borderId="20" xfId="0" applyFont="1" applyBorder="1" applyAlignment="1">
      <alignment horizontal="left" indent="4"/>
    </xf>
    <xf numFmtId="0" fontId="7" fillId="0" borderId="17" xfId="0" applyFont="1" applyBorder="1" applyAlignment="1">
      <alignment horizontal="left" indent="1"/>
    </xf>
    <xf numFmtId="0" fontId="7" fillId="0" borderId="26" xfId="0" applyFont="1" applyBorder="1"/>
    <xf numFmtId="0" fontId="7" fillId="0" borderId="27" xfId="0" applyFont="1" applyBorder="1" applyAlignment="1">
      <alignment horizontal="center" wrapText="1"/>
    </xf>
    <xf numFmtId="0" fontId="3" fillId="0" borderId="17" xfId="0" applyFont="1" applyFill="1" applyBorder="1"/>
    <xf numFmtId="0" fontId="3" fillId="0" borderId="17" xfId="0" applyFont="1" applyFill="1" applyBorder="1" applyAlignment="1">
      <alignment horizontal="center"/>
    </xf>
    <xf numFmtId="0" fontId="3" fillId="0" borderId="23" xfId="0" applyFont="1" applyBorder="1"/>
    <xf numFmtId="0" fontId="3" fillId="0" borderId="22" xfId="0" applyFont="1" applyBorder="1"/>
    <xf numFmtId="0" fontId="3" fillId="0" borderId="27" xfId="0" applyFont="1" applyFill="1" applyBorder="1" applyAlignment="1">
      <alignment horizontal="center"/>
    </xf>
    <xf numFmtId="0" fontId="3" fillId="0" borderId="21" xfId="0" applyFont="1" applyFill="1" applyBorder="1"/>
    <xf numFmtId="0" fontId="3" fillId="0" borderId="22" xfId="0" applyFont="1" applyFill="1" applyBorder="1"/>
    <xf numFmtId="166" fontId="3" fillId="0" borderId="20" xfId="0" applyNumberFormat="1" applyFont="1" applyBorder="1"/>
    <xf numFmtId="0" fontId="3" fillId="0" borderId="21" xfId="0" applyFont="1" applyBorder="1" applyAlignment="1">
      <alignment horizontal="center" wrapText="1"/>
    </xf>
    <xf numFmtId="43" fontId="3" fillId="0" borderId="21" xfId="0" applyNumberFormat="1" applyFont="1" applyBorder="1"/>
    <xf numFmtId="0" fontId="7" fillId="6" borderId="24" xfId="0" applyFont="1" applyFill="1" applyBorder="1"/>
    <xf numFmtId="0" fontId="7" fillId="6" borderId="26" xfId="0" applyFont="1" applyFill="1" applyBorder="1"/>
    <xf numFmtId="0" fontId="7" fillId="6" borderId="6" xfId="0" applyFont="1" applyFill="1" applyBorder="1"/>
    <xf numFmtId="0" fontId="7" fillId="6" borderId="9" xfId="0" applyFont="1" applyFill="1" applyBorder="1"/>
    <xf numFmtId="41" fontId="3" fillId="0" borderId="21" xfId="0" applyNumberFormat="1" applyFont="1" applyBorder="1"/>
    <xf numFmtId="0" fontId="3" fillId="0" borderId="8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7" fillId="0" borderId="24" xfId="0" applyFont="1" applyFill="1" applyBorder="1"/>
    <xf numFmtId="43" fontId="3" fillId="0" borderId="0" xfId="0" applyNumberFormat="1" applyFont="1" applyFill="1" applyBorder="1"/>
    <xf numFmtId="0" fontId="3" fillId="0" borderId="20" xfId="0" applyFont="1" applyBorder="1" applyAlignment="1">
      <alignment horizontal="right"/>
    </xf>
    <xf numFmtId="0" fontId="7" fillId="0" borderId="27" xfId="0" applyFont="1" applyBorder="1" applyAlignment="1">
      <alignment horizontal="left" indent="1"/>
    </xf>
    <xf numFmtId="0" fontId="7" fillId="0" borderId="22" xfId="0" applyFont="1" applyBorder="1" applyAlignment="1">
      <alignment wrapText="1"/>
    </xf>
    <xf numFmtId="0" fontId="7" fillId="6" borderId="27" xfId="0" applyFont="1" applyFill="1" applyBorder="1"/>
    <xf numFmtId="9" fontId="7" fillId="0" borderId="20" xfId="0" applyNumberFormat="1" applyFont="1" applyBorder="1"/>
    <xf numFmtId="43" fontId="3" fillId="0" borderId="20" xfId="3" applyFont="1" applyFill="1" applyBorder="1"/>
    <xf numFmtId="43" fontId="3" fillId="5" borderId="20" xfId="3" applyFont="1" applyFill="1" applyBorder="1"/>
    <xf numFmtId="0" fontId="7" fillId="0" borderId="0" xfId="0" applyFont="1" applyFill="1" applyBorder="1" applyAlignment="1">
      <alignment horizontal="left" wrapText="1"/>
    </xf>
    <xf numFmtId="0" fontId="7" fillId="0" borderId="0" xfId="0" applyFont="1" applyFill="1" applyBorder="1" applyAlignment="1"/>
    <xf numFmtId="0" fontId="7" fillId="0" borderId="0" xfId="0" applyFont="1" applyFill="1" applyBorder="1" applyAlignment="1">
      <alignment horizontal="left"/>
    </xf>
    <xf numFmtId="0" fontId="7" fillId="0" borderId="22" xfId="0" applyFont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165" fontId="3" fillId="0" borderId="0" xfId="0" applyNumberFormat="1" applyFont="1" applyFill="1" applyBorder="1"/>
    <xf numFmtId="0" fontId="7" fillId="0" borderId="20" xfId="0" applyFont="1" applyFill="1" applyBorder="1" applyAlignment="1">
      <alignment horizontal="left" indent="4"/>
    </xf>
    <xf numFmtId="0" fontId="7" fillId="0" borderId="20" xfId="0" applyFont="1" applyFill="1" applyBorder="1"/>
    <xf numFmtId="0" fontId="3" fillId="0" borderId="20" xfId="0" applyFont="1" applyFill="1" applyBorder="1"/>
    <xf numFmtId="0" fontId="7" fillId="0" borderId="20" xfId="0" applyFont="1" applyFill="1" applyBorder="1" applyAlignment="1">
      <alignment horizontal="left" indent="2"/>
    </xf>
    <xf numFmtId="0" fontId="3" fillId="0" borderId="20" xfId="0" applyFont="1" applyFill="1" applyBorder="1" applyAlignment="1">
      <alignment horizontal="center"/>
    </xf>
    <xf numFmtId="11" fontId="3" fillId="0" borderId="20" xfId="0" applyNumberFormat="1" applyFont="1" applyFill="1" applyBorder="1"/>
    <xf numFmtId="10" fontId="3" fillId="0" borderId="28" xfId="1" applyNumberFormat="1" applyFont="1" applyFill="1" applyBorder="1"/>
    <xf numFmtId="11" fontId="3" fillId="0" borderId="28" xfId="0" applyNumberFormat="1" applyFont="1" applyFill="1" applyBorder="1"/>
    <xf numFmtId="0" fontId="3" fillId="0" borderId="28" xfId="0" applyFont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41" fontId="3" fillId="0" borderId="21" xfId="0" applyNumberFormat="1" applyFont="1" applyFill="1" applyBorder="1"/>
    <xf numFmtId="0" fontId="3" fillId="0" borderId="22" xfId="0" applyFont="1" applyBorder="1" applyAlignment="1">
      <alignment horizontal="center"/>
    </xf>
    <xf numFmtId="0" fontId="7" fillId="6" borderId="16" xfId="0" applyFont="1" applyFill="1" applyBorder="1"/>
    <xf numFmtId="0" fontId="7" fillId="0" borderId="9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center"/>
    </xf>
    <xf numFmtId="41" fontId="3" fillId="0" borderId="24" xfId="0" applyNumberFormat="1" applyFont="1" applyFill="1" applyBorder="1"/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43" fontId="3" fillId="0" borderId="28" xfId="0" applyNumberFormat="1" applyFont="1" applyFill="1" applyBorder="1"/>
    <xf numFmtId="0" fontId="7" fillId="0" borderId="20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7" fillId="0" borderId="21" xfId="0" applyFont="1" applyFill="1" applyBorder="1"/>
    <xf numFmtId="0" fontId="3" fillId="0" borderId="23" xfId="0" applyFont="1" applyFill="1" applyBorder="1"/>
    <xf numFmtId="0" fontId="8" fillId="0" borderId="21" xfId="0" applyFont="1" applyFill="1" applyBorder="1"/>
    <xf numFmtId="0" fontId="8" fillId="0" borderId="20" xfId="0" applyFont="1" applyBorder="1"/>
    <xf numFmtId="0" fontId="3" fillId="0" borderId="23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165" fontId="3" fillId="0" borderId="20" xfId="0" applyNumberFormat="1" applyFont="1" applyFill="1" applyBorder="1"/>
    <xf numFmtId="0" fontId="7" fillId="7" borderId="0" xfId="0" applyFont="1" applyFill="1" applyBorder="1" applyAlignment="1">
      <alignment horizontal="left"/>
    </xf>
    <xf numFmtId="0" fontId="3" fillId="7" borderId="0" xfId="0" applyFont="1" applyFill="1" applyBorder="1"/>
    <xf numFmtId="0" fontId="7" fillId="7" borderId="0" xfId="0" applyFont="1" applyFill="1" applyBorder="1" applyAlignment="1">
      <alignment horizontal="left" indent="2"/>
    </xf>
    <xf numFmtId="0" fontId="3" fillId="7" borderId="0" xfId="0" applyFont="1" applyFill="1" applyBorder="1" applyAlignment="1">
      <alignment horizontal="center"/>
    </xf>
    <xf numFmtId="0" fontId="11" fillId="0" borderId="0" xfId="0" applyFont="1" applyFill="1" applyBorder="1" applyAlignment="1"/>
    <xf numFmtId="43" fontId="7" fillId="0" borderId="0" xfId="0" applyNumberFormat="1" applyFont="1" applyFill="1" applyBorder="1" applyAlignment="1"/>
    <xf numFmtId="41" fontId="3" fillId="5" borderId="22" xfId="0" applyNumberFormat="1" applyFont="1" applyFill="1" applyBorder="1"/>
    <xf numFmtId="0" fontId="7" fillId="0" borderId="17" xfId="0" applyFont="1" applyFill="1" applyBorder="1" applyAlignment="1">
      <alignment horizontal="center"/>
    </xf>
    <xf numFmtId="0" fontId="7" fillId="0" borderId="17" xfId="0" applyFont="1" applyFill="1" applyBorder="1" applyAlignment="1">
      <alignment horizontal="left" indent="2"/>
    </xf>
    <xf numFmtId="0" fontId="7" fillId="0" borderId="27" xfId="0" applyFont="1" applyFill="1" applyBorder="1" applyAlignment="1">
      <alignment horizontal="left" indent="4"/>
    </xf>
    <xf numFmtId="0" fontId="8" fillId="0" borderId="6" xfId="0" applyFont="1" applyFill="1" applyBorder="1"/>
    <xf numFmtId="0" fontId="7" fillId="0" borderId="28" xfId="0" applyFont="1" applyFill="1" applyBorder="1" applyAlignment="1">
      <alignment horizontal="left" indent="4"/>
    </xf>
    <xf numFmtId="0" fontId="8" fillId="0" borderId="17" xfId="0" applyFont="1" applyFill="1" applyBorder="1"/>
    <xf numFmtId="0" fontId="7" fillId="0" borderId="17" xfId="0" applyFont="1" applyBorder="1" applyAlignment="1">
      <alignment horizontal="center" wrapText="1"/>
    </xf>
    <xf numFmtId="0" fontId="7" fillId="0" borderId="28" xfId="0" applyFont="1" applyFill="1" applyBorder="1" applyAlignment="1">
      <alignment horizontal="left" indent="2"/>
    </xf>
    <xf numFmtId="41" fontId="7" fillId="0" borderId="21" xfId="0" applyNumberFormat="1" applyFont="1" applyBorder="1"/>
    <xf numFmtId="0" fontId="7" fillId="0" borderId="20" xfId="0" applyFont="1" applyBorder="1" applyAlignment="1">
      <alignment horizontal="center"/>
    </xf>
    <xf numFmtId="10" fontId="3" fillId="5" borderId="21" xfId="1" applyNumberFormat="1" applyFont="1" applyFill="1" applyBorder="1"/>
    <xf numFmtId="0" fontId="7" fillId="6" borderId="21" xfId="0" applyFont="1" applyFill="1" applyBorder="1"/>
    <xf numFmtId="0" fontId="7" fillId="6" borderId="23" xfId="0" applyFont="1" applyFill="1" applyBorder="1"/>
    <xf numFmtId="10" fontId="7" fillId="0" borderId="27" xfId="1" applyNumberFormat="1" applyFont="1" applyFill="1" applyBorder="1" applyAlignment="1">
      <alignment horizontal="right"/>
    </xf>
    <xf numFmtId="10" fontId="7" fillId="0" borderId="24" xfId="1" applyNumberFormat="1" applyFont="1" applyFill="1" applyBorder="1" applyAlignment="1">
      <alignment horizontal="right"/>
    </xf>
    <xf numFmtId="0" fontId="7" fillId="6" borderId="8" xfId="0" applyFont="1" applyFill="1" applyBorder="1" applyAlignment="1">
      <alignment horizontal="right"/>
    </xf>
    <xf numFmtId="0" fontId="7" fillId="0" borderId="0" xfId="0" applyFont="1" applyFill="1" applyBorder="1" applyAlignment="1">
      <alignment horizontal="left" indent="5"/>
    </xf>
    <xf numFmtId="41" fontId="7" fillId="0" borderId="0" xfId="0" applyNumberFormat="1" applyFont="1" applyFill="1" applyBorder="1" applyAlignment="1">
      <alignment horizontal="right"/>
    </xf>
    <xf numFmtId="0" fontId="2" fillId="0" borderId="0" xfId="0" applyFont="1" applyFill="1" applyBorder="1"/>
    <xf numFmtId="0" fontId="2" fillId="2" borderId="22" xfId="0" applyFont="1" applyFill="1" applyBorder="1"/>
    <xf numFmtId="10" fontId="3" fillId="0" borderId="20" xfId="0" applyNumberFormat="1" applyFont="1" applyBorder="1"/>
    <xf numFmtId="172" fontId="12" fillId="0" borderId="0" xfId="3" applyNumberFormat="1" applyFont="1"/>
    <xf numFmtId="172" fontId="7" fillId="0" borderId="20" xfId="3" applyNumberFormat="1" applyFont="1" applyBorder="1"/>
    <xf numFmtId="0" fontId="8" fillId="2" borderId="20" xfId="0" applyFont="1" applyFill="1" applyBorder="1"/>
    <xf numFmtId="0" fontId="7" fillId="2" borderId="20" xfId="0" applyFont="1" applyFill="1" applyBorder="1"/>
    <xf numFmtId="41" fontId="3" fillId="0" borderId="3" xfId="0" applyNumberFormat="1" applyFont="1" applyBorder="1"/>
    <xf numFmtId="41" fontId="3" fillId="5" borderId="26" xfId="0" applyNumberFormat="1" applyFont="1" applyFill="1" applyBorder="1"/>
    <xf numFmtId="41" fontId="3" fillId="5" borderId="8" xfId="0" applyNumberFormat="1" applyFont="1" applyFill="1" applyBorder="1"/>
    <xf numFmtId="0" fontId="7" fillId="0" borderId="2" xfId="0" applyFont="1" applyBorder="1"/>
    <xf numFmtId="0" fontId="7" fillId="0" borderId="0" xfId="0" applyFont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6" xfId="0" applyFont="1" applyBorder="1" applyAlignment="1">
      <alignment horizontal="right"/>
    </xf>
    <xf numFmtId="41" fontId="3" fillId="5" borderId="3" xfId="0" applyNumberFormat="1" applyFont="1" applyFill="1" applyBorder="1"/>
    <xf numFmtId="10" fontId="7" fillId="0" borderId="0" xfId="0" applyNumberFormat="1" applyFont="1" applyBorder="1"/>
    <xf numFmtId="10" fontId="3" fillId="0" borderId="0" xfId="0" applyNumberFormat="1" applyFont="1" applyFill="1" applyBorder="1"/>
    <xf numFmtId="10" fontId="7" fillId="0" borderId="0" xfId="0" applyNumberFormat="1" applyFont="1" applyFill="1" applyBorder="1"/>
    <xf numFmtId="10" fontId="7" fillId="0" borderId="0" xfId="0" applyNumberFormat="1" applyFont="1" applyFill="1" applyBorder="1" applyAlignment="1">
      <alignment horizontal="right"/>
    </xf>
    <xf numFmtId="10" fontId="7" fillId="0" borderId="0" xfId="0" applyNumberFormat="1" applyFont="1"/>
    <xf numFmtId="165" fontId="7" fillId="0" borderId="1" xfId="0" applyNumberFormat="1" applyFont="1" applyBorder="1"/>
    <xf numFmtId="0" fontId="7" fillId="0" borderId="3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 indent="1"/>
    </xf>
    <xf numFmtId="10" fontId="3" fillId="0" borderId="3" xfId="1" applyNumberFormat="1" applyFont="1" applyBorder="1"/>
    <xf numFmtId="43" fontId="3" fillId="0" borderId="3" xfId="0" applyNumberFormat="1" applyFont="1" applyBorder="1"/>
    <xf numFmtId="0" fontId="7" fillId="0" borderId="3" xfId="0" applyFont="1" applyBorder="1" applyAlignment="1">
      <alignment horizontal="left"/>
    </xf>
    <xf numFmtId="0" fontId="7" fillId="0" borderId="3" xfId="0" applyFont="1" applyBorder="1" applyAlignment="1">
      <alignment horizontal="left" indent="1"/>
    </xf>
    <xf numFmtId="6" fontId="7" fillId="0" borderId="3" xfId="0" applyNumberFormat="1" applyFont="1" applyBorder="1"/>
    <xf numFmtId="0" fontId="7" fillId="0" borderId="0" xfId="0" applyFont="1" applyAlignment="1">
      <alignment horizontal="left" indent="1"/>
    </xf>
    <xf numFmtId="0" fontId="7" fillId="0" borderId="0" xfId="0" applyFont="1" applyFill="1" applyBorder="1" applyAlignment="1">
      <alignment horizontal="left" indent="1"/>
    </xf>
    <xf numFmtId="0" fontId="7" fillId="0" borderId="0" xfId="0" applyFont="1" applyAlignment="1">
      <alignment horizontal="left" indent="3"/>
    </xf>
    <xf numFmtId="0" fontId="7" fillId="0" borderId="0" xfId="0" applyFont="1" applyFill="1" applyAlignment="1">
      <alignment horizontal="left" indent="1"/>
    </xf>
    <xf numFmtId="0" fontId="7" fillId="0" borderId="0" xfId="0" applyFont="1" applyFill="1" applyBorder="1" applyAlignment="1">
      <alignment horizontal="left" indent="3"/>
    </xf>
    <xf numFmtId="164" fontId="7" fillId="0" borderId="0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173" fontId="3" fillId="0" borderId="0" xfId="0" applyNumberFormat="1" applyFont="1" applyFill="1" applyBorder="1"/>
    <xf numFmtId="173" fontId="7" fillId="0" borderId="0" xfId="0" applyNumberFormat="1" applyFont="1" applyFill="1" applyBorder="1"/>
    <xf numFmtId="173" fontId="7" fillId="0" borderId="0" xfId="0" applyNumberFormat="1" applyFont="1" applyBorder="1"/>
    <xf numFmtId="173" fontId="7" fillId="0" borderId="0" xfId="0" applyNumberFormat="1" applyFont="1" applyFill="1" applyBorder="1" applyAlignment="1">
      <alignment horizontal="right"/>
    </xf>
    <xf numFmtId="173" fontId="7" fillId="0" borderId="0" xfId="0" applyNumberFormat="1" applyFont="1"/>
    <xf numFmtId="0" fontId="7" fillId="0" borderId="0" xfId="0" applyNumberFormat="1" applyFont="1"/>
    <xf numFmtId="0" fontId="7" fillId="0" borderId="0" xfId="0" applyNumberFormat="1" applyFont="1" applyFill="1" applyBorder="1"/>
    <xf numFmtId="0" fontId="7" fillId="0" borderId="0" xfId="0" applyNumberFormat="1" applyFont="1" applyFill="1" applyBorder="1" applyAlignment="1">
      <alignment horizontal="right"/>
    </xf>
    <xf numFmtId="0" fontId="3" fillId="0" borderId="0" xfId="1" applyNumberFormat="1" applyFont="1" applyFill="1" applyBorder="1"/>
    <xf numFmtId="0" fontId="8" fillId="0" borderId="0" xfId="0" applyNumberFormat="1" applyFont="1" applyFill="1" applyBorder="1" applyAlignment="1">
      <alignment horizontal="center"/>
    </xf>
    <xf numFmtId="0" fontId="3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center"/>
    </xf>
    <xf numFmtId="10" fontId="7" fillId="0" borderId="0" xfId="1" applyNumberFormat="1" applyFont="1" applyFill="1" applyBorder="1"/>
    <xf numFmtId="10" fontId="7" fillId="0" borderId="0" xfId="1" applyNumberFormat="1" applyFont="1" applyBorder="1"/>
    <xf numFmtId="0" fontId="3" fillId="0" borderId="0" xfId="0" applyFont="1" applyFill="1" applyBorder="1" applyAlignment="1">
      <alignment horizontal="right"/>
    </xf>
    <xf numFmtId="0" fontId="0" fillId="0" borderId="0" xfId="0" applyFill="1" applyBorder="1"/>
    <xf numFmtId="43" fontId="7" fillId="0" borderId="0" xfId="3" applyFont="1" applyFill="1" applyBorder="1"/>
    <xf numFmtId="43" fontId="7" fillId="0" borderId="0" xfId="0" applyNumberFormat="1" applyFont="1" applyFill="1" applyBorder="1"/>
    <xf numFmtId="43" fontId="8" fillId="0" borderId="0" xfId="0" applyNumberFormat="1" applyFont="1" applyFill="1" applyBorder="1"/>
    <xf numFmtId="0" fontId="7" fillId="0" borderId="0" xfId="0" applyFont="1" applyFill="1" applyBorder="1" applyAlignment="1">
      <alignment horizontal="center" wrapText="1"/>
    </xf>
    <xf numFmtId="0" fontId="7" fillId="0" borderId="21" xfId="0" applyFont="1" applyBorder="1" applyAlignment="1">
      <alignment horizontal="center"/>
    </xf>
    <xf numFmtId="0" fontId="7" fillId="0" borderId="22" xfId="0" applyFont="1" applyBorder="1" applyAlignment="1">
      <alignment horizontal="center"/>
    </xf>
    <xf numFmtId="1" fontId="3" fillId="0" borderId="0" xfId="0" applyNumberFormat="1" applyFont="1" applyFill="1" applyBorder="1"/>
    <xf numFmtId="0" fontId="7" fillId="0" borderId="0" xfId="0" applyNumberFormat="1" applyFont="1" applyFill="1" applyBorder="1" applyAlignment="1">
      <alignment wrapText="1"/>
    </xf>
    <xf numFmtId="0" fontId="7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10" fontId="0" fillId="0" borderId="0" xfId="0" applyNumberFormat="1"/>
    <xf numFmtId="10" fontId="3" fillId="0" borderId="0" xfId="0" applyNumberFormat="1" applyFont="1" applyFill="1" applyBorder="1" applyAlignment="1">
      <alignment horizontal="center"/>
    </xf>
    <xf numFmtId="0" fontId="7" fillId="0" borderId="0" xfId="0" applyNumberFormat="1" applyFont="1" applyAlignment="1"/>
    <xf numFmtId="9" fontId="7" fillId="0" borderId="0" xfId="1" applyNumberFormat="1" applyFont="1" applyAlignment="1"/>
    <xf numFmtId="9" fontId="7" fillId="0" borderId="0" xfId="1" applyNumberFormat="1" applyFont="1" applyFill="1" applyBorder="1" applyAlignment="1"/>
    <xf numFmtId="0" fontId="3" fillId="0" borderId="0" xfId="0" applyNumberFormat="1" applyFont="1" applyFill="1" applyBorder="1" applyAlignment="1"/>
    <xf numFmtId="9" fontId="7" fillId="0" borderId="0" xfId="1" applyNumberFormat="1" applyFont="1" applyFill="1" applyBorder="1" applyAlignment="1">
      <alignment wrapText="1"/>
    </xf>
    <xf numFmtId="10" fontId="3" fillId="5" borderId="27" xfId="1" applyNumberFormat="1" applyFont="1" applyFill="1" applyBorder="1"/>
    <xf numFmtId="10" fontId="3" fillId="0" borderId="17" xfId="1" applyNumberFormat="1" applyFont="1" applyBorder="1"/>
    <xf numFmtId="0" fontId="7" fillId="8" borderId="30" xfId="0" applyFont="1" applyFill="1" applyBorder="1" applyAlignment="1">
      <alignment horizontal="left" indent="1"/>
    </xf>
    <xf numFmtId="9" fontId="3" fillId="8" borderId="31" xfId="0" applyNumberFormat="1" applyFont="1" applyFill="1" applyBorder="1"/>
    <xf numFmtId="0" fontId="7" fillId="8" borderId="32" xfId="0" applyFont="1" applyFill="1" applyBorder="1" applyAlignment="1">
      <alignment horizontal="left" indent="1"/>
    </xf>
    <xf numFmtId="41" fontId="3" fillId="8" borderId="33" xfId="1" applyNumberFormat="1" applyFont="1" applyFill="1" applyBorder="1"/>
    <xf numFmtId="10" fontId="7" fillId="0" borderId="0" xfId="1" applyNumberFormat="1" applyFont="1" applyFill="1" applyBorder="1" applyAlignment="1">
      <alignment horizontal="right"/>
    </xf>
    <xf numFmtId="9" fontId="0" fillId="0" borderId="0" xfId="1" applyFont="1"/>
    <xf numFmtId="173" fontId="3" fillId="5" borderId="29" xfId="0" applyNumberFormat="1" applyFont="1" applyFill="1" applyBorder="1"/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6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>
    <mruColors>
      <color rgb="FFFF0000"/>
      <color rgb="FF0000CC"/>
      <color rgb="FF0000FF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'Results Summary'!$J$8</c:f>
              <c:strCache>
                <c:ptCount val="1"/>
                <c:pt idx="0">
                  <c:v>IRR in Year 25</c:v>
                </c:pt>
              </c:strCache>
            </c:strRef>
          </c:tx>
          <c:cat>
            <c:strRef>
              <c:f>'Results Summary'!$I$8</c:f>
              <c:strCache>
                <c:ptCount val="1"/>
                <c:pt idx="0">
                  <c:v>PPA Price</c:v>
                </c:pt>
              </c:strCache>
            </c:strRef>
          </c:cat>
          <c:val>
            <c:numRef>
              <c:f>'Results Summary'!$J$9:$J$109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-0.1195</c:v>
                </c:pt>
                <c:pt idx="4">
                  <c:v>-6.7500000000000004E-2</c:v>
                </c:pt>
                <c:pt idx="5">
                  <c:v>-4.5199999999999997E-2</c:v>
                </c:pt>
                <c:pt idx="6">
                  <c:v>-3.0599999999999999E-2</c:v>
                </c:pt>
                <c:pt idx="7">
                  <c:v>-1.9599999999999999E-2</c:v>
                </c:pt>
                <c:pt idx="8">
                  <c:v>-1.09E-2</c:v>
                </c:pt>
                <c:pt idx="9">
                  <c:v>-3.5999999999999999E-3</c:v>
                </c:pt>
                <c:pt idx="10">
                  <c:v>2.7000000000000001E-3</c:v>
                </c:pt>
                <c:pt idx="11">
                  <c:v>8.2000000000000007E-3</c:v>
                </c:pt>
                <c:pt idx="12">
                  <c:v>1.2999999999999999E-2</c:v>
                </c:pt>
                <c:pt idx="13">
                  <c:v>1.7399999999999999E-2</c:v>
                </c:pt>
                <c:pt idx="14">
                  <c:v>2.1399999999999999E-2</c:v>
                </c:pt>
                <c:pt idx="15">
                  <c:v>2.5000000000000001E-2</c:v>
                </c:pt>
                <c:pt idx="16">
                  <c:v>2.8400000000000002E-2</c:v>
                </c:pt>
                <c:pt idx="17">
                  <c:v>3.15E-2</c:v>
                </c:pt>
                <c:pt idx="18">
                  <c:v>3.44E-2</c:v>
                </c:pt>
                <c:pt idx="19">
                  <c:v>3.7100000000000001E-2</c:v>
                </c:pt>
                <c:pt idx="20">
                  <c:v>3.9600000000000003E-2</c:v>
                </c:pt>
                <c:pt idx="21">
                  <c:v>4.2000000000000003E-2</c:v>
                </c:pt>
                <c:pt idx="22">
                  <c:v>4.4299999999999999E-2</c:v>
                </c:pt>
                <c:pt idx="23">
                  <c:v>4.6399999999999997E-2</c:v>
                </c:pt>
                <c:pt idx="24">
                  <c:v>4.8399999999999999E-2</c:v>
                </c:pt>
                <c:pt idx="25">
                  <c:v>5.04E-2</c:v>
                </c:pt>
                <c:pt idx="26">
                  <c:v>5.2200000000000003E-2</c:v>
                </c:pt>
                <c:pt idx="27">
                  <c:v>5.3999999999999999E-2</c:v>
                </c:pt>
                <c:pt idx="28">
                  <c:v>5.5599999999999997E-2</c:v>
                </c:pt>
                <c:pt idx="29">
                  <c:v>5.7200000000000001E-2</c:v>
                </c:pt>
                <c:pt idx="30">
                  <c:v>5.8799999999999998E-2</c:v>
                </c:pt>
                <c:pt idx="31">
                  <c:v>6.0199999999999997E-2</c:v>
                </c:pt>
                <c:pt idx="32">
                  <c:v>6.1699999999999998E-2</c:v>
                </c:pt>
                <c:pt idx="33">
                  <c:v>6.3E-2</c:v>
                </c:pt>
                <c:pt idx="34">
                  <c:v>6.4299999999999996E-2</c:v>
                </c:pt>
                <c:pt idx="35">
                  <c:v>6.5600000000000006E-2</c:v>
                </c:pt>
                <c:pt idx="36">
                  <c:v>6.6799999999999998E-2</c:v>
                </c:pt>
                <c:pt idx="37">
                  <c:v>6.8000000000000005E-2</c:v>
                </c:pt>
                <c:pt idx="38">
                  <c:v>6.9199999999999998E-2</c:v>
                </c:pt>
                <c:pt idx="39">
                  <c:v>7.0300000000000001E-2</c:v>
                </c:pt>
                <c:pt idx="40">
                  <c:v>7.1400000000000005E-2</c:v>
                </c:pt>
                <c:pt idx="41">
                  <c:v>7.2400000000000006E-2</c:v>
                </c:pt>
                <c:pt idx="42">
                  <c:v>7.3400000000000007E-2</c:v>
                </c:pt>
                <c:pt idx="43">
                  <c:v>7.4399999999999994E-2</c:v>
                </c:pt>
                <c:pt idx="44">
                  <c:v>7.5300000000000006E-2</c:v>
                </c:pt>
                <c:pt idx="45">
                  <c:v>7.6300000000000007E-2</c:v>
                </c:pt>
                <c:pt idx="46">
                  <c:v>7.7200000000000005E-2</c:v>
                </c:pt>
                <c:pt idx="47">
                  <c:v>7.8E-2</c:v>
                </c:pt>
                <c:pt idx="48">
                  <c:v>7.8899999999999998E-2</c:v>
                </c:pt>
                <c:pt idx="49">
                  <c:v>7.9699999999999993E-2</c:v>
                </c:pt>
                <c:pt idx="50">
                  <c:v>8.0500000000000002E-2</c:v>
                </c:pt>
                <c:pt idx="51">
                  <c:v>8.1299999999999997E-2</c:v>
                </c:pt>
                <c:pt idx="52">
                  <c:v>8.2100000000000006E-2</c:v>
                </c:pt>
                <c:pt idx="53">
                  <c:v>8.2799999999999999E-2</c:v>
                </c:pt>
                <c:pt idx="54">
                  <c:v>8.3599999999999994E-2</c:v>
                </c:pt>
                <c:pt idx="55">
                  <c:v>8.43E-2</c:v>
                </c:pt>
                <c:pt idx="56">
                  <c:v>8.5000000000000006E-2</c:v>
                </c:pt>
                <c:pt idx="57">
                  <c:v>8.5699999999999998E-2</c:v>
                </c:pt>
                <c:pt idx="58">
                  <c:v>8.6300000000000002E-2</c:v>
                </c:pt>
                <c:pt idx="59">
                  <c:v>8.6999999999999994E-2</c:v>
                </c:pt>
                <c:pt idx="60">
                  <c:v>8.7599999999999997E-2</c:v>
                </c:pt>
                <c:pt idx="61">
                  <c:v>8.8200000000000001E-2</c:v>
                </c:pt>
                <c:pt idx="62">
                  <c:v>8.8900000000000007E-2</c:v>
                </c:pt>
                <c:pt idx="63">
                  <c:v>8.9499999999999996E-2</c:v>
                </c:pt>
                <c:pt idx="64">
                  <c:v>0.09</c:v>
                </c:pt>
                <c:pt idx="65">
                  <c:v>9.06E-2</c:v>
                </c:pt>
                <c:pt idx="66">
                  <c:v>9.1200000000000003E-2</c:v>
                </c:pt>
                <c:pt idx="67">
                  <c:v>9.1700000000000004E-2</c:v>
                </c:pt>
                <c:pt idx="68">
                  <c:v>9.2299999999999993E-2</c:v>
                </c:pt>
                <c:pt idx="69">
                  <c:v>9.2799999999999994E-2</c:v>
                </c:pt>
                <c:pt idx="70">
                  <c:v>9.3299999999999994E-2</c:v>
                </c:pt>
                <c:pt idx="71">
                  <c:v>9.3799999999999994E-2</c:v>
                </c:pt>
                <c:pt idx="72">
                  <c:v>9.4299999999999995E-2</c:v>
                </c:pt>
                <c:pt idx="73">
                  <c:v>9.4799999999999995E-2</c:v>
                </c:pt>
                <c:pt idx="74">
                  <c:v>9.5299999999999996E-2</c:v>
                </c:pt>
                <c:pt idx="75">
                  <c:v>9.5799999999999996E-2</c:v>
                </c:pt>
                <c:pt idx="76">
                  <c:v>9.6199999999999994E-2</c:v>
                </c:pt>
                <c:pt idx="77">
                  <c:v>9.6699999999999994E-2</c:v>
                </c:pt>
                <c:pt idx="78">
                  <c:v>9.7100000000000006E-2</c:v>
                </c:pt>
                <c:pt idx="79">
                  <c:v>9.7600000000000006E-2</c:v>
                </c:pt>
                <c:pt idx="80">
                  <c:v>9.8000000000000004E-2</c:v>
                </c:pt>
                <c:pt idx="81">
                  <c:v>9.8400000000000001E-2</c:v>
                </c:pt>
                <c:pt idx="82">
                  <c:v>9.8799999999999999E-2</c:v>
                </c:pt>
                <c:pt idx="83">
                  <c:v>9.9199999999999997E-2</c:v>
                </c:pt>
                <c:pt idx="84">
                  <c:v>9.9599999999999994E-2</c:v>
                </c:pt>
                <c:pt idx="85">
                  <c:v>0.1</c:v>
                </c:pt>
                <c:pt idx="86">
                  <c:v>0.1004</c:v>
                </c:pt>
                <c:pt idx="87">
                  <c:v>0.1008</c:v>
                </c:pt>
                <c:pt idx="88">
                  <c:v>0.1012</c:v>
                </c:pt>
                <c:pt idx="89">
                  <c:v>0.1016</c:v>
                </c:pt>
                <c:pt idx="90">
                  <c:v>0.1019</c:v>
                </c:pt>
                <c:pt idx="91">
                  <c:v>0.1023</c:v>
                </c:pt>
                <c:pt idx="92">
                  <c:v>0.1027</c:v>
                </c:pt>
                <c:pt idx="93">
                  <c:v>0.10299999999999999</c:v>
                </c:pt>
                <c:pt idx="94">
                  <c:v>0.1033</c:v>
                </c:pt>
                <c:pt idx="95">
                  <c:v>0.1037</c:v>
                </c:pt>
                <c:pt idx="96">
                  <c:v>0.104</c:v>
                </c:pt>
                <c:pt idx="97">
                  <c:v>0.10440000000000001</c:v>
                </c:pt>
                <c:pt idx="98">
                  <c:v>0.1047</c:v>
                </c:pt>
                <c:pt idx="99">
                  <c:v>0.105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430720"/>
        <c:axId val="158432256"/>
      </c:lineChart>
      <c:catAx>
        <c:axId val="158430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8432256"/>
        <c:crosses val="autoZero"/>
        <c:auto val="1"/>
        <c:lblAlgn val="ctr"/>
        <c:lblOffset val="100"/>
        <c:noMultiLvlLbl val="0"/>
      </c:catAx>
      <c:valAx>
        <c:axId val="158432256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58430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1228725</xdr:colOff>
          <xdr:row>3</xdr:row>
          <xdr:rowOff>0</xdr:rowOff>
        </xdr:from>
        <xdr:to>
          <xdr:col>9</xdr:col>
          <xdr:colOff>9525</xdr:colOff>
          <xdr:row>5</xdr:row>
          <xdr:rowOff>9525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Calculate PPA price to meet IRR targets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585786</xdr:colOff>
      <xdr:row>7</xdr:row>
      <xdr:rowOff>9524</xdr:rowOff>
    </xdr:from>
    <xdr:to>
      <xdr:col>21</xdr:col>
      <xdr:colOff>280986</xdr:colOff>
      <xdr:row>31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408"/>
  <sheetViews>
    <sheetView tabSelected="1" zoomScale="90" zoomScaleNormal="90" workbookViewId="0">
      <selection activeCell="E34" sqref="E34"/>
    </sheetView>
  </sheetViews>
  <sheetFormatPr defaultRowHeight="12.75" x14ac:dyDescent="0.2"/>
  <cols>
    <col min="1" max="1" width="9.140625" style="17"/>
    <col min="2" max="2" width="54.7109375" style="17" customWidth="1"/>
    <col min="3" max="3" width="18.85546875" style="17" customWidth="1"/>
    <col min="4" max="9" width="18.7109375" style="17" customWidth="1"/>
    <col min="10" max="12" width="25.85546875" style="17" customWidth="1"/>
    <col min="13" max="13" width="21" style="17" customWidth="1"/>
    <col min="14" max="14" width="17" style="17" customWidth="1"/>
    <col min="15" max="251" width="13.7109375" style="17" customWidth="1"/>
    <col min="252" max="16384" width="9.140625" style="17"/>
  </cols>
  <sheetData>
    <row r="1" spans="1:48" s="20" customFormat="1" ht="12.75" customHeight="1" x14ac:dyDescent="0.2">
      <c r="A1" s="17"/>
      <c r="B1" s="272"/>
      <c r="C1" s="272"/>
      <c r="D1" s="272"/>
      <c r="E1" s="272"/>
      <c r="F1" s="272"/>
      <c r="G1" s="272"/>
      <c r="H1" s="272"/>
      <c r="I1" s="272"/>
      <c r="J1" s="272"/>
      <c r="K1" s="272"/>
      <c r="L1" s="272"/>
      <c r="M1" s="272"/>
      <c r="N1" s="272"/>
    </row>
    <row r="2" spans="1:48" s="20" customFormat="1" ht="12.75" customHeight="1" x14ac:dyDescent="0.2">
      <c r="A2" s="17"/>
      <c r="B2" s="18" t="s">
        <v>196</v>
      </c>
      <c r="C2" s="273"/>
      <c r="D2" s="272"/>
      <c r="E2" s="277" t="s">
        <v>147</v>
      </c>
      <c r="F2" s="278"/>
      <c r="G2" s="272"/>
      <c r="H2" s="272"/>
      <c r="I2" s="272"/>
      <c r="J2" s="272"/>
      <c r="K2" s="272"/>
      <c r="L2" s="272"/>
      <c r="M2" s="272"/>
      <c r="N2" s="272"/>
    </row>
    <row r="3" spans="1:48" s="20" customFormat="1" ht="12.75" customHeight="1" x14ac:dyDescent="0.2">
      <c r="A3" s="17"/>
      <c r="B3" s="220" t="s">
        <v>194</v>
      </c>
      <c r="C3" s="138">
        <v>10000</v>
      </c>
      <c r="D3" s="272"/>
      <c r="E3" s="136" t="s">
        <v>225</v>
      </c>
      <c r="F3" s="136"/>
      <c r="G3" s="272"/>
      <c r="H3" s="34" t="s">
        <v>317</v>
      </c>
      <c r="I3" s="118">
        <f>VLOOKUP(SOReturnTargetYear,E8:J48,5)</f>
        <v>3.9600000000000003E-2</v>
      </c>
      <c r="J3" s="272"/>
      <c r="K3" s="272"/>
      <c r="L3" s="272"/>
      <c r="M3" s="272"/>
      <c r="N3" s="272"/>
    </row>
    <row r="4" spans="1:48" s="20" customFormat="1" ht="12.75" customHeight="1" x14ac:dyDescent="0.2">
      <c r="A4" s="17"/>
      <c r="B4" s="220" t="s">
        <v>301</v>
      </c>
      <c r="C4" s="276">
        <v>32344836</v>
      </c>
      <c r="D4" s="272"/>
      <c r="E4" s="137" t="s">
        <v>226</v>
      </c>
      <c r="F4" s="219"/>
      <c r="G4" s="272"/>
      <c r="H4" s="272"/>
      <c r="I4" s="272"/>
      <c r="J4" s="272"/>
      <c r="K4" s="272"/>
      <c r="L4" s="272"/>
      <c r="M4" s="272"/>
      <c r="N4" s="272"/>
    </row>
    <row r="5" spans="1:48" s="20" customFormat="1" ht="12.75" customHeight="1" x14ac:dyDescent="0.2">
      <c r="A5" s="17"/>
      <c r="B5" s="220" t="s">
        <v>302</v>
      </c>
      <c r="C5" s="274">
        <v>5.0000000000000001E-3</v>
      </c>
      <c r="D5" s="272"/>
      <c r="E5" s="22"/>
      <c r="F5" s="22"/>
      <c r="G5" s="272"/>
      <c r="H5" s="272"/>
      <c r="I5" s="272"/>
      <c r="J5" s="272"/>
      <c r="K5" s="272"/>
      <c r="L5" s="272"/>
      <c r="M5" s="272"/>
      <c r="N5" s="272"/>
    </row>
    <row r="6" spans="1:48" s="20" customFormat="1" ht="12.75" customHeight="1" x14ac:dyDescent="0.2">
      <c r="A6" s="17"/>
      <c r="B6" s="272"/>
      <c r="C6" s="272"/>
      <c r="D6" s="272"/>
      <c r="E6" s="22" t="s">
        <v>312</v>
      </c>
      <c r="F6" s="34"/>
      <c r="G6" s="272"/>
      <c r="H6" s="272"/>
      <c r="I6" s="272"/>
      <c r="J6" s="272"/>
      <c r="K6" s="272"/>
      <c r="L6" s="272"/>
      <c r="M6" s="272"/>
      <c r="N6" s="272"/>
    </row>
    <row r="7" spans="1:48" x14ac:dyDescent="0.2">
      <c r="B7" s="18" t="s">
        <v>195</v>
      </c>
      <c r="C7" s="19"/>
      <c r="D7" s="20"/>
      <c r="E7" s="133" t="s">
        <v>127</v>
      </c>
      <c r="F7" s="133" t="s">
        <v>303</v>
      </c>
      <c r="G7" s="283" t="s">
        <v>313</v>
      </c>
      <c r="H7" s="283" t="s">
        <v>315</v>
      </c>
      <c r="I7" s="306" t="s">
        <v>314</v>
      </c>
      <c r="J7" s="133" t="s">
        <v>316</v>
      </c>
      <c r="K7" s="34"/>
      <c r="L7" s="20"/>
      <c r="M7" s="57"/>
      <c r="N7" s="22"/>
      <c r="P7" s="22"/>
    </row>
    <row r="8" spans="1:48" ht="13.5" thickBot="1" x14ac:dyDescent="0.25">
      <c r="B8" s="139" t="s">
        <v>269</v>
      </c>
      <c r="C8" s="161">
        <v>34600000</v>
      </c>
      <c r="D8" s="20"/>
      <c r="E8" s="305">
        <f>'Cash Flow'!B2</f>
        <v>0</v>
      </c>
      <c r="G8" s="287">
        <f>'Cash Flow'!$B$20</f>
        <v>0</v>
      </c>
      <c r="H8" s="52">
        <f>'Cash Flow'!$B$105</f>
        <v>-43569036.769482821</v>
      </c>
      <c r="I8" s="287">
        <f>'Cash Flow'!$B$107</f>
        <v>0</v>
      </c>
      <c r="J8" s="52">
        <f>'Cash Flow'!$B$109</f>
        <v>-43569036.769482821</v>
      </c>
      <c r="M8" s="47"/>
      <c r="N8" s="312"/>
    </row>
    <row r="9" spans="1:48" ht="13.5" thickBot="1" x14ac:dyDescent="0.25">
      <c r="B9" s="139" t="s">
        <v>273</v>
      </c>
      <c r="C9" s="209">
        <v>1</v>
      </c>
      <c r="D9" s="20"/>
      <c r="E9" s="305">
        <f t="shared" ref="E9:E48" si="0">E8+1</f>
        <v>1</v>
      </c>
      <c r="F9" s="348">
        <v>21</v>
      </c>
      <c r="G9" s="115">
        <f>'Cash Flow'!$C$20</f>
        <v>6792415.5599999996</v>
      </c>
      <c r="H9" s="115">
        <f>'Cash Flow'!$C$105</f>
        <v>13413244.90950115</v>
      </c>
      <c r="I9" s="288">
        <f>'Cash Flow'!$C$107</f>
        <v>-0.69210000000000005</v>
      </c>
      <c r="J9" s="115">
        <f>'Cash Flow'!$C$109</f>
        <v>-31452508.747191552</v>
      </c>
      <c r="K9" s="22"/>
      <c r="M9" s="319"/>
      <c r="N9" s="314"/>
      <c r="P9" s="22"/>
    </row>
    <row r="10" spans="1:48" x14ac:dyDescent="0.2">
      <c r="B10" s="139" t="s">
        <v>270</v>
      </c>
      <c r="C10" s="211">
        <f>SalesTaxRate*C8*C9</f>
        <v>1730000</v>
      </c>
      <c r="D10" s="20"/>
      <c r="E10" s="305">
        <f t="shared" si="0"/>
        <v>2</v>
      </c>
      <c r="F10" s="308">
        <f>'Cash Flow'!$D$11</f>
        <v>21.21</v>
      </c>
      <c r="G10" s="38">
        <f>'Cash Flow'!$D$20</f>
        <v>6826038.0170220006</v>
      </c>
      <c r="H10" s="38">
        <f>'Cash Flow'!$D$105</f>
        <v>4058917.6588280275</v>
      </c>
      <c r="I10" s="289">
        <f>'Cash Flow'!$D$107</f>
        <v>-0.50419999999999998</v>
      </c>
      <c r="J10" s="38">
        <f>'Cash Flow'!$D$109</f>
        <v>-28140443.265298836</v>
      </c>
      <c r="K10" s="289"/>
      <c r="M10" s="320"/>
      <c r="N10" s="313"/>
      <c r="O10" s="290"/>
      <c r="P10" s="291"/>
      <c r="Q10" s="289"/>
      <c r="R10" s="291"/>
      <c r="S10" s="291"/>
      <c r="T10" s="291"/>
      <c r="U10" s="291"/>
      <c r="V10" s="291"/>
      <c r="W10" s="291"/>
      <c r="X10" s="291"/>
      <c r="Y10" s="291"/>
      <c r="Z10" s="291"/>
      <c r="AA10" s="291"/>
      <c r="AB10" s="291"/>
      <c r="AC10" s="291"/>
      <c r="AD10" s="291"/>
      <c r="AE10" s="291"/>
      <c r="AF10" s="291"/>
      <c r="AG10" s="291"/>
      <c r="AH10" s="291"/>
      <c r="AI10" s="291"/>
      <c r="AJ10" s="291"/>
      <c r="AK10" s="291"/>
      <c r="AL10" s="291"/>
      <c r="AM10" s="291"/>
      <c r="AN10" s="291"/>
      <c r="AO10" s="291"/>
      <c r="AP10" s="291"/>
      <c r="AQ10" s="291"/>
      <c r="AR10" s="291"/>
      <c r="AS10" s="291"/>
      <c r="AT10" s="291"/>
      <c r="AU10" s="291"/>
      <c r="AV10" s="291"/>
    </row>
    <row r="11" spans="1:48" x14ac:dyDescent="0.2">
      <c r="B11" s="139" t="s">
        <v>271</v>
      </c>
      <c r="C11" s="210">
        <v>2200000</v>
      </c>
      <c r="D11" s="20"/>
      <c r="E11" s="305">
        <f t="shared" si="0"/>
        <v>3</v>
      </c>
      <c r="F11" s="308">
        <f>'Cash Flow'!$E$11</f>
        <v>21.4221</v>
      </c>
      <c r="G11" s="38">
        <f>'Cash Flow'!$E$20</f>
        <v>6859826.9052062593</v>
      </c>
      <c r="H11" s="38">
        <f>'Cash Flow'!$E$105</f>
        <v>2501302.0091801025</v>
      </c>
      <c r="I11" s="289">
        <f>'Cash Flow'!$E$107</f>
        <v>-0.38719999999999999</v>
      </c>
      <c r="J11" s="38">
        <f>'Cash Flow'!$E$109</f>
        <v>-26296705.539750129</v>
      </c>
      <c r="K11" s="22"/>
      <c r="M11" s="319"/>
      <c r="N11" s="314"/>
      <c r="P11" s="22"/>
    </row>
    <row r="12" spans="1:48" x14ac:dyDescent="0.2">
      <c r="B12" s="139" t="s">
        <v>272</v>
      </c>
      <c r="C12" s="41">
        <f>SUM(C8:C11)</f>
        <v>38530001</v>
      </c>
      <c r="D12" s="20"/>
      <c r="E12" s="305">
        <f t="shared" si="0"/>
        <v>4</v>
      </c>
      <c r="F12" s="308">
        <f>'Cash Flow'!$F$11</f>
        <v>21.636320999999999</v>
      </c>
      <c r="G12" s="38">
        <f>'Cash Flow'!$F$20</f>
        <v>6893783.0483870301</v>
      </c>
      <c r="H12" s="38">
        <f>'Cash Flow'!$F$105</f>
        <v>1540523.5185111149</v>
      </c>
      <c r="I12" s="289">
        <f>'Cash Flow'!$F$107</f>
        <v>-0.31929999999999997</v>
      </c>
      <c r="J12" s="38">
        <f>'Cash Flow'!$F$109</f>
        <v>-25270945.72829438</v>
      </c>
      <c r="K12" s="22"/>
      <c r="M12" s="319"/>
      <c r="N12" s="314"/>
      <c r="P12" s="22"/>
    </row>
    <row r="13" spans="1:48" x14ac:dyDescent="0.2">
      <c r="B13" s="20"/>
      <c r="C13" s="115"/>
      <c r="D13" s="20"/>
      <c r="E13" s="305">
        <f t="shared" si="0"/>
        <v>5</v>
      </c>
      <c r="F13" s="309">
        <f>'Cash Flow'!$G$11</f>
        <v>21.85268421</v>
      </c>
      <c r="G13" s="52">
        <f>'Cash Flow'!$G$20</f>
        <v>6927907.2744765459</v>
      </c>
      <c r="H13" s="52">
        <f>'Cash Flow'!$G$105</f>
        <v>1476904.8851409908</v>
      </c>
      <c r="I13" s="287">
        <f>'Cash Flow'!$G$107</f>
        <v>-0.26050000000000001</v>
      </c>
      <c r="J13" s="52">
        <f>'Cash Flow'!$G$109</f>
        <v>-24382615.970649797</v>
      </c>
      <c r="K13" s="22"/>
      <c r="M13" s="319"/>
      <c r="N13" s="314"/>
      <c r="P13" s="22"/>
    </row>
    <row r="14" spans="1:48" x14ac:dyDescent="0.2">
      <c r="B14" s="18" t="s">
        <v>274</v>
      </c>
      <c r="C14" s="19"/>
      <c r="D14" s="22"/>
      <c r="E14" s="305">
        <f t="shared" si="0"/>
        <v>6</v>
      </c>
      <c r="F14" s="308">
        <f>'Cash Flow'!$H$11</f>
        <v>22.071211052099997</v>
      </c>
      <c r="G14" s="38">
        <f>'Cash Flow'!$H$20</f>
        <v>6962200.4154852033</v>
      </c>
      <c r="H14" s="38">
        <f>'Cash Flow'!$H$105</f>
        <v>730890.50078210293</v>
      </c>
      <c r="I14" s="289">
        <f>'Cash Flow'!$H$107</f>
        <v>-0.23319999999999999</v>
      </c>
      <c r="J14" s="38">
        <f>'Cash Flow'!$H$109</f>
        <v>-23985499.099807981</v>
      </c>
      <c r="K14" s="22"/>
      <c r="M14" s="319"/>
      <c r="N14" s="314"/>
      <c r="P14" s="22"/>
    </row>
    <row r="15" spans="1:48" x14ac:dyDescent="0.2">
      <c r="B15" s="293" t="s">
        <v>275</v>
      </c>
      <c r="C15" s="279">
        <v>10000</v>
      </c>
      <c r="D15" s="22"/>
      <c r="E15" s="305">
        <f t="shared" si="0"/>
        <v>7</v>
      </c>
      <c r="F15" s="310">
        <f>'Cash Flow'!$I$11</f>
        <v>22.291923162621003</v>
      </c>
      <c r="G15" s="271">
        <f>'Cash Flow'!$I$20</f>
        <v>6996663.3075418584</v>
      </c>
      <c r="H15" s="271">
        <f>'Cash Flow'!$I$105</f>
        <v>-20583.244524220936</v>
      </c>
      <c r="I15" s="290">
        <f>'Cash Flow'!$I$107</f>
        <v>-0.2341</v>
      </c>
      <c r="J15" s="271">
        <f>'Cash Flow'!$I$109</f>
        <v>-23995601.491203986</v>
      </c>
      <c r="K15" s="22"/>
      <c r="M15" s="319"/>
      <c r="N15" s="314"/>
      <c r="P15" s="22"/>
    </row>
    <row r="16" spans="1:48" x14ac:dyDescent="0.2">
      <c r="B16" s="294" t="s">
        <v>0</v>
      </c>
      <c r="C16" s="295">
        <v>0.01</v>
      </c>
      <c r="D16" s="22"/>
      <c r="E16" s="305">
        <f t="shared" si="0"/>
        <v>8</v>
      </c>
      <c r="F16" s="311">
        <f>'Cash Flow'!$J$11</f>
        <v>22.514842394247207</v>
      </c>
      <c r="G16" s="39">
        <f>'Cash Flow'!$J$20</f>
        <v>7031296.7909141872</v>
      </c>
      <c r="H16" s="39">
        <f>'Cash Flow'!$J$105</f>
        <v>-101416.24156862148</v>
      </c>
      <c r="I16" s="291">
        <f>'Cash Flow'!$J$107</f>
        <v>-0.24010000000000001</v>
      </c>
      <c r="J16" s="39">
        <f>'Cash Flow'!$J$109</f>
        <v>-24040565.208174624</v>
      </c>
      <c r="K16" s="22"/>
      <c r="M16" s="319"/>
      <c r="N16" s="314"/>
      <c r="P16" s="22"/>
    </row>
    <row r="17" spans="2:16" x14ac:dyDescent="0.2">
      <c r="B17" s="293" t="s">
        <v>276</v>
      </c>
      <c r="C17" s="296">
        <v>22</v>
      </c>
      <c r="D17" s="22"/>
      <c r="E17" s="305">
        <f t="shared" si="0"/>
        <v>9</v>
      </c>
      <c r="F17" s="308">
        <f>'Cash Flow'!$K$11</f>
        <v>22.739990818189685</v>
      </c>
      <c r="G17" s="38">
        <f>'Cash Flow'!$K$20</f>
        <v>7066101.7100292156</v>
      </c>
      <c r="H17" s="38">
        <f>'Cash Flow'!$K$105</f>
        <v>-189531.85443462594</v>
      </c>
      <c r="I17" s="289">
        <f>'Cash Flow'!$K$107</f>
        <v>-0.2581</v>
      </c>
      <c r="J17" s="38">
        <f>'Cash Flow'!$K$109</f>
        <v>-24116472.105871107</v>
      </c>
      <c r="K17" s="22"/>
      <c r="M17" s="319"/>
      <c r="N17" s="314"/>
      <c r="P17" s="22"/>
    </row>
    <row r="18" spans="2:16" x14ac:dyDescent="0.2">
      <c r="B18" s="294" t="s">
        <v>0</v>
      </c>
      <c r="C18" s="295">
        <v>7.4999999999999997E-3</v>
      </c>
      <c r="D18" s="22"/>
      <c r="E18" s="305">
        <f t="shared" si="0"/>
        <v>10</v>
      </c>
      <c r="F18" s="311">
        <f>'Cash Flow'!$L$11</f>
        <v>22.967390726371583</v>
      </c>
      <c r="G18" s="39">
        <f>'Cash Flow'!$L$20</f>
        <v>7101078.9134938605</v>
      </c>
      <c r="H18" s="39">
        <f>'Cash Flow'!$L$105</f>
        <v>-285763.74384886329</v>
      </c>
      <c r="I18" s="291">
        <f>'Cash Flow'!$L$107</f>
        <v>0</v>
      </c>
      <c r="J18" s="39">
        <f>'Cash Flow'!$L$109</f>
        <v>-24219855.430467557</v>
      </c>
      <c r="K18" s="22"/>
      <c r="M18" s="319"/>
      <c r="N18" s="314"/>
      <c r="P18" s="22"/>
    </row>
    <row r="19" spans="2:16" x14ac:dyDescent="0.2">
      <c r="B19" s="297" t="s">
        <v>277</v>
      </c>
      <c r="C19" s="296">
        <v>3.5</v>
      </c>
      <c r="D19" s="22"/>
      <c r="E19" s="305">
        <f t="shared" si="0"/>
        <v>11</v>
      </c>
      <c r="F19" s="311">
        <f>'Cash Flow'!$M$11</f>
        <v>23.1970646336353</v>
      </c>
      <c r="G19" s="39">
        <f>'Cash Flow'!$M$20</f>
        <v>7136229.2541156551</v>
      </c>
      <c r="H19" s="39">
        <f>'Cash Flow'!$M$105</f>
        <v>-390544.71328723524</v>
      </c>
      <c r="I19" s="291">
        <f>'Cash Flow'!$M$107</f>
        <v>0</v>
      </c>
      <c r="J19" s="39">
        <f>'Cash Flow'!$M$109</f>
        <v>-24347487.104930166</v>
      </c>
      <c r="K19" s="22"/>
      <c r="M19" s="319"/>
      <c r="N19" s="314"/>
      <c r="P19" s="22"/>
    </row>
    <row r="20" spans="2:16" x14ac:dyDescent="0.2">
      <c r="B20" s="298" t="s">
        <v>0</v>
      </c>
      <c r="C20" s="295">
        <v>0</v>
      </c>
      <c r="D20" s="22"/>
      <c r="E20" s="305">
        <f t="shared" si="0"/>
        <v>12</v>
      </c>
      <c r="F20" s="311">
        <f>'Cash Flow'!$N$11</f>
        <v>23.429035279971647</v>
      </c>
      <c r="G20" s="39">
        <f>'Cash Flow'!$N$20</f>
        <v>7171553.588923526</v>
      </c>
      <c r="H20" s="39">
        <f>'Cash Flow'!$N$105</f>
        <v>-216854.39609616855</v>
      </c>
      <c r="I20" s="291">
        <f>'Cash Flow'!$N$107</f>
        <v>0</v>
      </c>
      <c r="J20" s="39">
        <f>'Cash Flow'!$N$109</f>
        <v>-24411504.835024294</v>
      </c>
      <c r="K20" s="22"/>
      <c r="M20" s="319"/>
      <c r="N20" s="314"/>
      <c r="P20" s="22"/>
    </row>
    <row r="21" spans="2:16" x14ac:dyDescent="0.2">
      <c r="B21" s="25" t="s">
        <v>3</v>
      </c>
      <c r="C21" s="26"/>
      <c r="D21" s="34"/>
      <c r="E21" s="305">
        <f t="shared" si="0"/>
        <v>13</v>
      </c>
      <c r="F21" s="311">
        <f>'Cash Flow'!$O$11</f>
        <v>23.663325632771365</v>
      </c>
      <c r="G21" s="39">
        <f>'Cash Flow'!$O$20</f>
        <v>7207052.7791886972</v>
      </c>
      <c r="H21" s="39">
        <f>'Cash Flow'!$O$105</f>
        <v>1927976.0917446823</v>
      </c>
      <c r="I21" s="291">
        <f>'Cash Flow'!$O$107</f>
        <v>-0.15190000000000001</v>
      </c>
      <c r="J21" s="39">
        <f>'Cash Flow'!$O$109</f>
        <v>-23897368.826955911</v>
      </c>
      <c r="K21" s="22"/>
      <c r="M21" s="319"/>
      <c r="N21" s="314"/>
      <c r="P21" s="22"/>
    </row>
    <row r="22" spans="2:16" x14ac:dyDescent="0.2">
      <c r="B22" s="20"/>
      <c r="C22" s="115"/>
      <c r="D22" s="20"/>
      <c r="E22" s="305">
        <f t="shared" si="0"/>
        <v>14</v>
      </c>
      <c r="F22" s="311">
        <f>'Cash Flow'!$P$11</f>
        <v>23.899958889099079</v>
      </c>
      <c r="G22" s="39">
        <f>'Cash Flow'!$P$20</f>
        <v>7242727.690445682</v>
      </c>
      <c r="H22" s="39">
        <f>'Cash Flow'!$P$105</f>
        <v>3830494.5052147685</v>
      </c>
      <c r="I22" s="291">
        <f>'Cash Flow'!$P$107</f>
        <v>-8.0799999999999997E-2</v>
      </c>
      <c r="J22" s="39">
        <f>'Cash Flow'!$P$109</f>
        <v>-22974636.878968295</v>
      </c>
      <c r="K22" s="22"/>
      <c r="M22" s="319"/>
      <c r="N22" s="313"/>
      <c r="P22" s="22"/>
    </row>
    <row r="23" spans="2:16" x14ac:dyDescent="0.2">
      <c r="B23" s="18" t="s">
        <v>199</v>
      </c>
      <c r="C23" s="19"/>
      <c r="D23" s="20"/>
      <c r="E23" s="305">
        <f t="shared" si="0"/>
        <v>15</v>
      </c>
      <c r="F23" s="311">
        <f>'Cash Flow'!$Q$11</f>
        <v>24.138958477990073</v>
      </c>
      <c r="G23" s="39">
        <f>'Cash Flow'!$Q$20</f>
        <v>7278579.1925133886</v>
      </c>
      <c r="H23" s="39">
        <f>'Cash Flow'!$Q$105</f>
        <v>3750422.7106157625</v>
      </c>
      <c r="I23" s="291">
        <f>'Cash Flow'!$Q$107</f>
        <v>-4.87E-2</v>
      </c>
      <c r="J23" s="39">
        <f>'Cash Flow'!$Q$109</f>
        <v>-22158533.322507892</v>
      </c>
      <c r="K23" s="22"/>
      <c r="M23" s="319"/>
      <c r="N23" s="315"/>
      <c r="P23" s="22"/>
    </row>
    <row r="24" spans="2:16" x14ac:dyDescent="0.2">
      <c r="B24" s="139" t="s">
        <v>197</v>
      </c>
      <c r="C24" s="141">
        <v>0.5</v>
      </c>
      <c r="D24" s="20"/>
      <c r="E24" s="305">
        <f t="shared" si="0"/>
        <v>16</v>
      </c>
      <c r="F24" s="311">
        <f>'Cash Flow'!$R$11</f>
        <v>24.380348062769968</v>
      </c>
      <c r="G24" s="39">
        <f>'Cash Flow'!$R$20</f>
        <v>7314608.1595163289</v>
      </c>
      <c r="H24" s="39">
        <f>'Cash Flow'!$R$105</f>
        <v>3747992.4084406244</v>
      </c>
      <c r="I24" s="291">
        <f>'Cash Flow'!$R$107</f>
        <v>-2.7799999999999998E-2</v>
      </c>
      <c r="J24" s="39">
        <f>'Cash Flow'!$R$109</f>
        <v>-21421803.772145789</v>
      </c>
      <c r="K24" s="22"/>
      <c r="M24" s="319"/>
      <c r="N24" s="315"/>
      <c r="P24" s="22"/>
    </row>
    <row r="25" spans="2:16" x14ac:dyDescent="0.2">
      <c r="B25" s="65"/>
      <c r="C25" s="38"/>
      <c r="D25" s="20"/>
      <c r="E25" s="305">
        <f t="shared" si="0"/>
        <v>17</v>
      </c>
      <c r="F25" s="311">
        <f>'Cash Flow'!$S$11</f>
        <v>24.624151543397673</v>
      </c>
      <c r="G25" s="39">
        <f>'Cash Flow'!$S$20</f>
        <v>7350815.4699059352</v>
      </c>
      <c r="H25" s="39">
        <f>'Cash Flow'!$S$105</f>
        <v>3672269.9979249304</v>
      </c>
      <c r="I25" s="291">
        <f>'Cash Flow'!$S$107</f>
        <v>-1.2800000000000001E-2</v>
      </c>
      <c r="J25" s="39">
        <f>'Cash Flow'!$S$109</f>
        <v>-20769742.617737304</v>
      </c>
      <c r="K25" s="22"/>
      <c r="M25" s="319"/>
      <c r="N25" s="313"/>
      <c r="P25" s="22"/>
    </row>
    <row r="26" spans="2:16" x14ac:dyDescent="0.2">
      <c r="B26" s="18" t="s">
        <v>198</v>
      </c>
      <c r="C26" s="19"/>
      <c r="D26" s="20"/>
      <c r="E26" s="305">
        <f t="shared" si="0"/>
        <v>18</v>
      </c>
      <c r="F26" s="311">
        <f>'Cash Flow'!$T$11</f>
        <v>24.870393058831652</v>
      </c>
      <c r="G26" s="39">
        <f>'Cash Flow'!$T$20</f>
        <v>7387202.0064819716</v>
      </c>
      <c r="H26" s="39">
        <f>'Cash Flow'!$T$105</f>
        <v>3615029.1992809996</v>
      </c>
      <c r="I26" s="291">
        <f>'Cash Flow'!$T$107</f>
        <v>-1.4E-3</v>
      </c>
      <c r="J26" s="39">
        <f>'Cash Flow'!$T$109</f>
        <v>-20189900.349933665</v>
      </c>
      <c r="K26" s="22"/>
      <c r="M26" s="319"/>
      <c r="N26" s="316"/>
      <c r="P26" s="22"/>
    </row>
    <row r="27" spans="2:16" x14ac:dyDescent="0.2">
      <c r="B27" s="109" t="s">
        <v>200</v>
      </c>
      <c r="C27" s="111"/>
      <c r="D27" s="20"/>
      <c r="E27" s="305">
        <f t="shared" si="0"/>
        <v>19</v>
      </c>
      <c r="F27" s="311">
        <f>'Cash Flow'!$U$11</f>
        <v>25.119096989419969</v>
      </c>
      <c r="G27" s="39">
        <f>'Cash Flow'!$U$20</f>
        <v>7423768.6564140571</v>
      </c>
      <c r="H27" s="39">
        <f>'Cash Flow'!$U$105</f>
        <v>3630201.8457510653</v>
      </c>
      <c r="I27" s="291">
        <f>'Cash Flow'!$U$107</f>
        <v>7.7999999999999996E-3</v>
      </c>
      <c r="J27" s="39">
        <f>'Cash Flow'!$U$109</f>
        <v>-19663915.578219306</v>
      </c>
      <c r="K27" s="22"/>
      <c r="M27" s="319"/>
      <c r="N27" s="317"/>
      <c r="O27" s="35"/>
      <c r="P27" s="20"/>
    </row>
    <row r="28" spans="2:16" ht="13.5" thickBot="1" x14ac:dyDescent="0.25">
      <c r="B28" s="206" t="s">
        <v>200</v>
      </c>
      <c r="C28" s="340" t="s">
        <v>201</v>
      </c>
      <c r="D28" s="20"/>
      <c r="E28" s="305">
        <f t="shared" si="0"/>
        <v>20</v>
      </c>
      <c r="F28" s="311">
        <f>'Cash Flow'!$V$11</f>
        <v>25.370287959314165</v>
      </c>
      <c r="G28" s="39">
        <f>'Cash Flow'!$V$20</f>
        <v>7460516.3112633061</v>
      </c>
      <c r="H28" s="39">
        <f>'Cash Flow'!$V$105</f>
        <v>3644901.6423111288</v>
      </c>
      <c r="I28" s="291">
        <f>'Cash Flow'!$V$107</f>
        <v>1.54E-2</v>
      </c>
      <c r="J28" s="39">
        <f>'Cash Flow'!$V$109</f>
        <v>-19186856.079518933</v>
      </c>
      <c r="K28" s="22"/>
      <c r="M28" s="319"/>
      <c r="N28" s="317"/>
      <c r="O28" s="20"/>
      <c r="P28" s="20"/>
    </row>
    <row r="29" spans="2:16" x14ac:dyDescent="0.2">
      <c r="B29" s="342" t="s">
        <v>202</v>
      </c>
      <c r="C29" s="343">
        <v>0.04</v>
      </c>
      <c r="D29" s="20"/>
      <c r="E29" s="305">
        <f t="shared" si="0"/>
        <v>21</v>
      </c>
      <c r="F29" s="311">
        <f>'Cash Flow'!$W$11</f>
        <v>25.623990838907307</v>
      </c>
      <c r="G29" s="39">
        <f>'Cash Flow'!$W$20</f>
        <v>7497445.8670040583</v>
      </c>
      <c r="H29" s="39">
        <f>'Cash Flow'!$W$105</f>
        <v>3649835.9463176238</v>
      </c>
      <c r="I29" s="291">
        <f>'Cash Flow'!$W$107</f>
        <v>2.1700000000000001E-2</v>
      </c>
      <c r="J29" s="39">
        <f>'Cash Flow'!$W$109</f>
        <v>-18755332.615946151</v>
      </c>
      <c r="K29" s="22"/>
      <c r="M29" s="319"/>
      <c r="N29" s="317"/>
    </row>
    <row r="30" spans="2:16" ht="13.5" thickBot="1" x14ac:dyDescent="0.25">
      <c r="B30" s="344" t="s">
        <v>203</v>
      </c>
      <c r="C30" s="345">
        <v>25</v>
      </c>
      <c r="D30" s="22"/>
      <c r="E30" s="305">
        <f t="shared" si="0"/>
        <v>22</v>
      </c>
      <c r="F30" s="311">
        <f>'Cash Flow'!$X$11</f>
        <v>25.880230747296377</v>
      </c>
      <c r="G30" s="39">
        <f>'Cash Flow'!$X$20</f>
        <v>7534558.2240457274</v>
      </c>
      <c r="H30" s="39">
        <f>'Cash Flow'!$X$105</f>
        <v>3654290.0162630766</v>
      </c>
      <c r="I30" s="291">
        <f>'Cash Flow'!$X$107</f>
        <v>2.7E-2</v>
      </c>
      <c r="J30" s="39">
        <f>'Cash Flow'!$X$109</f>
        <v>-18365050.708463546</v>
      </c>
      <c r="K30" s="22"/>
      <c r="M30" s="319"/>
      <c r="N30" s="317"/>
    </row>
    <row r="31" spans="2:16" x14ac:dyDescent="0.2">
      <c r="B31" s="183" t="s">
        <v>209</v>
      </c>
      <c r="C31" s="341">
        <v>0.01</v>
      </c>
      <c r="D31" s="20"/>
      <c r="E31" s="305">
        <f t="shared" si="0"/>
        <v>23</v>
      </c>
      <c r="F31" s="311">
        <f>'Cash Flow'!$Y$11</f>
        <v>26.139033054769349</v>
      </c>
      <c r="G31" s="39">
        <f>'Cash Flow'!$Y$20</f>
        <v>7571854.2872547563</v>
      </c>
      <c r="H31" s="39">
        <f>'Cash Flow'!$Y$105</f>
        <v>3667548.3366145054</v>
      </c>
      <c r="I31" s="291">
        <f>'Cash Flow'!$Y$107</f>
        <v>3.1600000000000003E-2</v>
      </c>
      <c r="J31" s="39">
        <f>'Cash Flow'!$Y$109</f>
        <v>-18011219.944134668</v>
      </c>
      <c r="K31" s="20"/>
      <c r="M31" s="319"/>
      <c r="N31" s="317"/>
    </row>
    <row r="32" spans="2:16" x14ac:dyDescent="0.2">
      <c r="B32" s="109" t="s">
        <v>204</v>
      </c>
      <c r="C32" s="135"/>
      <c r="D32" s="20"/>
      <c r="E32" s="305">
        <f t="shared" si="0"/>
        <v>24</v>
      </c>
      <c r="F32" s="311">
        <f>'Cash Flow'!$Z$11</f>
        <v>26.400423385317037</v>
      </c>
      <c r="G32" s="39">
        <f>'Cash Flow'!$Z$20</f>
        <v>7609334.9659766667</v>
      </c>
      <c r="H32" s="39">
        <f>'Cash Flow'!$Z$105</f>
        <v>4020665.2266453253</v>
      </c>
      <c r="I32" s="291">
        <f>'Cash Flow'!$Z$107</f>
        <v>3.5900000000000001E-2</v>
      </c>
      <c r="J32" s="39">
        <f>'Cash Flow'!$Z$109</f>
        <v>-17660821.640641246</v>
      </c>
      <c r="K32" s="22"/>
      <c r="M32" s="319"/>
      <c r="N32" s="317"/>
    </row>
    <row r="33" spans="2:16" x14ac:dyDescent="0.2">
      <c r="B33" s="142" t="s">
        <v>210</v>
      </c>
      <c r="C33" s="145">
        <v>40</v>
      </c>
      <c r="D33" s="20"/>
      <c r="E33" s="305">
        <f t="shared" si="0"/>
        <v>25</v>
      </c>
      <c r="F33" s="311">
        <f>'Cash Flow'!$AA$11</f>
        <v>26.664427619170215</v>
      </c>
      <c r="G33" s="39">
        <f>'Cash Flow'!$AA$20</f>
        <v>7647001.1740582529</v>
      </c>
      <c r="H33" s="39">
        <f>'Cash Flow'!$AA$105</f>
        <v>4062933.6278731688</v>
      </c>
      <c r="I33" s="291">
        <f>'Cash Flow'!$AA$107</f>
        <v>3.9600000000000003E-2</v>
      </c>
      <c r="J33" s="39">
        <f>'Cash Flow'!$AA$109</f>
        <v>-17340970.322096847</v>
      </c>
      <c r="K33" s="22"/>
      <c r="M33" s="319"/>
      <c r="N33" s="317"/>
    </row>
    <row r="34" spans="2:16" x14ac:dyDescent="0.2">
      <c r="B34" s="142" t="s">
        <v>211</v>
      </c>
      <c r="C34" s="144">
        <v>2.5000000000000001E-2</v>
      </c>
      <c r="D34" s="20"/>
      <c r="E34" s="305">
        <f t="shared" si="0"/>
        <v>26</v>
      </c>
      <c r="F34" s="311">
        <f>'Cash Flow'!$AB$11</f>
        <v>26.931071895361921</v>
      </c>
      <c r="G34" s="39">
        <f>'Cash Flow'!$AB$20</f>
        <v>7684853.8298698412</v>
      </c>
      <c r="H34" s="39">
        <f>'Cash Flow'!$AB$105</f>
        <v>3858239.2767186393</v>
      </c>
      <c r="I34" s="291">
        <f>'Cash Flow'!$AB$107</f>
        <v>4.2700000000000002E-2</v>
      </c>
      <c r="J34" s="39">
        <f>'Cash Flow'!$AB$109</f>
        <v>-17066596.980764832</v>
      </c>
      <c r="K34" s="204"/>
      <c r="M34" s="319"/>
      <c r="N34" s="317"/>
    </row>
    <row r="35" spans="2:16" x14ac:dyDescent="0.2">
      <c r="B35" s="142" t="s">
        <v>213</v>
      </c>
      <c r="C35" s="146">
        <v>8.2000000000000003E-2</v>
      </c>
      <c r="D35" s="20"/>
      <c r="E35" s="305">
        <f t="shared" si="0"/>
        <v>27</v>
      </c>
      <c r="F35" s="311">
        <f>'Cash Flow'!$AC$11</f>
        <v>27.200382614315537</v>
      </c>
      <c r="G35" s="39">
        <f>'Cash Flow'!$AC$20</f>
        <v>7722893.8563276958</v>
      </c>
      <c r="H35" s="39">
        <f>'Cash Flow'!$AC$105</f>
        <v>3740162.2243488492</v>
      </c>
      <c r="I35" s="291">
        <f>'Cash Flow'!$AC$107</f>
        <v>4.53E-2</v>
      </c>
      <c r="J35" s="39">
        <f>'Cash Flow'!$AC$109</f>
        <v>-16826333.629430987</v>
      </c>
      <c r="K35" s="115"/>
      <c r="M35" s="319"/>
      <c r="N35" s="317"/>
    </row>
    <row r="36" spans="2:16" x14ac:dyDescent="0.2">
      <c r="B36" s="142" t="s">
        <v>212</v>
      </c>
      <c r="C36" s="143">
        <f>((1+C35/100)*(1+Inflation/100)-1)*100</f>
        <v>0.10702050000002128</v>
      </c>
      <c r="D36" s="20"/>
      <c r="E36" s="305">
        <f t="shared" si="0"/>
        <v>28</v>
      </c>
      <c r="F36" s="311">
        <f>'Cash Flow'!$AD$11</f>
        <v>27.472386440458685</v>
      </c>
      <c r="G36" s="39">
        <f>'Cash Flow'!$AD$20</f>
        <v>7761122.180916517</v>
      </c>
      <c r="H36" s="39">
        <f>'Cash Flow'!$AD$105</f>
        <v>3752258.549113384</v>
      </c>
      <c r="I36" s="291">
        <f>'Cash Flow'!$AD$107</f>
        <v>4.7600000000000003E-2</v>
      </c>
      <c r="J36" s="39">
        <f>'Cash Flow'!$AD$109</f>
        <v>-16608595.652461931</v>
      </c>
      <c r="K36" s="115"/>
      <c r="M36" s="319"/>
      <c r="N36" s="317"/>
    </row>
    <row r="37" spans="2:16" x14ac:dyDescent="0.2">
      <c r="B37" s="109" t="s">
        <v>205</v>
      </c>
      <c r="C37" s="135"/>
      <c r="D37" s="20"/>
      <c r="E37" s="305">
        <f t="shared" si="0"/>
        <v>29</v>
      </c>
      <c r="F37" s="311">
        <f>'Cash Flow'!$AE$11</f>
        <v>27.747110304863273</v>
      </c>
      <c r="G37" s="39">
        <f>'Cash Flow'!$AE$20</f>
        <v>7799539.7357120542</v>
      </c>
      <c r="H37" s="39">
        <f>'Cash Flow'!$AE$105</f>
        <v>3665804.1571961632</v>
      </c>
      <c r="I37" s="291">
        <f>'Cash Flow'!$AE$107</f>
        <v>4.9599999999999998E-2</v>
      </c>
      <c r="J37" s="39">
        <f>'Cash Flow'!$AE$109</f>
        <v>-16416439.1771973</v>
      </c>
      <c r="K37" s="22"/>
      <c r="M37" s="319"/>
      <c r="N37" s="317"/>
    </row>
    <row r="38" spans="2:16" x14ac:dyDescent="0.2">
      <c r="B38" s="142" t="s">
        <v>206</v>
      </c>
      <c r="C38" s="144">
        <v>0.35</v>
      </c>
      <c r="D38" s="20"/>
      <c r="E38" s="305">
        <f t="shared" si="0"/>
        <v>30</v>
      </c>
      <c r="F38" s="311">
        <f>'Cash Flow'!$AF$11</f>
        <v>28.024581407911906</v>
      </c>
      <c r="G38" s="39">
        <f>'Cash Flow'!$AF$20</f>
        <v>7838147.4574038275</v>
      </c>
      <c r="H38" s="39">
        <f>'Cash Flow'!$AF$105</f>
        <v>3578809.5255852551</v>
      </c>
      <c r="I38" s="291">
        <f>'Cash Flow'!$AF$107</f>
        <v>5.1299999999999998E-2</v>
      </c>
      <c r="J38" s="39">
        <f>'Cash Flow'!$AF$109</f>
        <v>-16246978.598259505</v>
      </c>
      <c r="K38" s="204"/>
      <c r="M38" s="319"/>
      <c r="N38" s="317"/>
    </row>
    <row r="39" spans="2:16" x14ac:dyDescent="0.2">
      <c r="B39" s="142" t="s">
        <v>207</v>
      </c>
      <c r="C39" s="144">
        <v>5.5E-2</v>
      </c>
      <c r="D39" s="20"/>
      <c r="E39" s="305">
        <f t="shared" si="0"/>
        <v>31</v>
      </c>
      <c r="F39" s="311">
        <f>'Cash Flow'!$AG$11</f>
        <v>28.304827221991033</v>
      </c>
      <c r="G39" s="39">
        <f>'Cash Flow'!$AG$20</f>
        <v>7876946.2873179791</v>
      </c>
      <c r="H39" s="39">
        <f>'Cash Flow'!$AG$105</f>
        <v>3589284.3876127792</v>
      </c>
      <c r="I39" s="291">
        <f>'Cash Flow'!$AG$107</f>
        <v>5.2900000000000003E-2</v>
      </c>
      <c r="J39" s="39">
        <f>'Cash Flow'!$AG$109</f>
        <v>-16093452.466439944</v>
      </c>
      <c r="K39" s="115"/>
      <c r="M39" s="319"/>
      <c r="N39" s="317"/>
    </row>
    <row r="40" spans="2:16" x14ac:dyDescent="0.2">
      <c r="B40" s="142" t="s">
        <v>268</v>
      </c>
      <c r="C40" s="147">
        <v>0.05</v>
      </c>
      <c r="D40" s="20"/>
      <c r="E40" s="305">
        <f t="shared" si="0"/>
        <v>32</v>
      </c>
      <c r="F40" s="311">
        <f>'Cash Flow'!$AH$11</f>
        <v>28.587875494210934</v>
      </c>
      <c r="G40" s="39">
        <f>'Cash Flow'!$AH$20</f>
        <v>7915937.1714402009</v>
      </c>
      <c r="H40" s="39">
        <f>'Cash Flow'!$AH$105</f>
        <v>3599196.5429412769</v>
      </c>
      <c r="I40" s="291">
        <f>'Cash Flow'!$AH$107</f>
        <v>5.4300000000000001E-2</v>
      </c>
      <c r="J40" s="39">
        <f>'Cash Flow'!$AH$109</f>
        <v>-15954385.385881592</v>
      </c>
      <c r="K40" s="115"/>
      <c r="M40" s="319"/>
      <c r="N40" s="317"/>
      <c r="O40" s="20"/>
      <c r="P40" s="20"/>
    </row>
    <row r="41" spans="2:16" x14ac:dyDescent="0.2">
      <c r="B41" s="142" t="s">
        <v>208</v>
      </c>
      <c r="C41" s="147">
        <v>5.0000000000000001E-3</v>
      </c>
      <c r="D41" s="20"/>
      <c r="E41" s="305">
        <f t="shared" si="0"/>
        <v>33</v>
      </c>
      <c r="F41" s="311">
        <f>'Cash Flow'!$AI$11</f>
        <v>28.873754249153048</v>
      </c>
      <c r="G41" s="39">
        <f>'Cash Flow'!$AI$20</f>
        <v>7955121.0604388304</v>
      </c>
      <c r="H41" s="39">
        <f>'Cash Flow'!$AI$105</f>
        <v>3608533.6373900305</v>
      </c>
      <c r="I41" s="291">
        <f>'Cash Flow'!$AI$107</f>
        <v>5.5500000000000001E-2</v>
      </c>
      <c r="J41" s="39">
        <f>'Cash Flow'!$AI$109</f>
        <v>-15828436.633668073</v>
      </c>
      <c r="K41" s="22"/>
      <c r="M41" s="319"/>
      <c r="N41" s="317"/>
      <c r="P41" s="20"/>
    </row>
    <row r="42" spans="2:16" x14ac:dyDescent="0.2">
      <c r="B42" s="151" t="s">
        <v>4</v>
      </c>
      <c r="C42" s="111"/>
      <c r="E42" s="305">
        <f t="shared" si="0"/>
        <v>34</v>
      </c>
      <c r="F42" s="311">
        <f>'Cash Flow'!$AJ$11</f>
        <v>29.16249179164458</v>
      </c>
      <c r="G42" s="39">
        <f>'Cash Flow'!$AJ$20</f>
        <v>7994498.9096880034</v>
      </c>
      <c r="H42" s="39">
        <f>'Cash Flow'!$AJ$105</f>
        <v>3617282.5648862775</v>
      </c>
      <c r="I42" s="291">
        <f>'Cash Flow'!$AJ$107</f>
        <v>5.67E-2</v>
      </c>
      <c r="J42" s="39">
        <f>'Cash Flow'!$AJ$109</f>
        <v>-15714388.053466681</v>
      </c>
      <c r="K42" s="204"/>
      <c r="M42" s="319"/>
      <c r="N42" s="317"/>
      <c r="P42" s="20"/>
    </row>
    <row r="43" spans="2:16" x14ac:dyDescent="0.2">
      <c r="B43" s="148" t="s">
        <v>214</v>
      </c>
      <c r="C43" s="149">
        <v>0.95</v>
      </c>
      <c r="E43" s="305">
        <f t="shared" si="0"/>
        <v>35</v>
      </c>
      <c r="F43" s="311">
        <f>'Cash Flow'!$AK$11</f>
        <v>29.454116709561028</v>
      </c>
      <c r="G43" s="39">
        <f>'Cash Flow'!$AK$20</f>
        <v>8034071.6792909587</v>
      </c>
      <c r="H43" s="39">
        <f>'Cash Flow'!$AK$105</f>
        <v>3625429.4625206147</v>
      </c>
      <c r="I43" s="291">
        <f>'Cash Flow'!$AK$107</f>
        <v>5.7700000000000001E-2</v>
      </c>
      <c r="J43" s="39">
        <f>'Cash Flow'!$AK$109</f>
        <v>-15611133.016986974</v>
      </c>
      <c r="K43" s="115"/>
      <c r="M43" s="319"/>
      <c r="N43" s="317"/>
      <c r="P43" s="20"/>
    </row>
    <row r="44" spans="2:16" x14ac:dyDescent="0.2">
      <c r="B44" s="148" t="s">
        <v>216</v>
      </c>
      <c r="C44" s="150">
        <f>C12*C43</f>
        <v>36603500.949999996</v>
      </c>
      <c r="E44" s="305">
        <f t="shared" si="0"/>
        <v>36</v>
      </c>
      <c r="F44" s="311">
        <f>'Cash Flow'!$AL$11</f>
        <v>29.748657876656633</v>
      </c>
      <c r="G44" s="39">
        <f>'Cash Flow'!$AL$20</f>
        <v>8073840.3341034483</v>
      </c>
      <c r="H44" s="39">
        <f>'Cash Flow'!$AL$105</f>
        <v>4090691.6547907386</v>
      </c>
      <c r="I44" s="291">
        <f>'Cash Flow'!$AL$107</f>
        <v>5.8799999999999998E-2</v>
      </c>
      <c r="J44" s="39">
        <f>'Cash Flow'!$AL$109</f>
        <v>-15505890.102570061</v>
      </c>
      <c r="K44" s="22"/>
      <c r="M44" s="319"/>
      <c r="N44" s="317"/>
      <c r="P44" s="22"/>
    </row>
    <row r="45" spans="2:16" x14ac:dyDescent="0.2">
      <c r="B45" s="148" t="s">
        <v>215</v>
      </c>
      <c r="C45" s="147">
        <v>0.05</v>
      </c>
      <c r="E45" s="305">
        <f t="shared" si="0"/>
        <v>37</v>
      </c>
      <c r="F45" s="311">
        <f>'Cash Flow'!$AM$11</f>
        <v>30.0461444554232</v>
      </c>
      <c r="G45" s="39">
        <f>'Cash Flow'!$AM$20</f>
        <v>8113805.8437572606</v>
      </c>
      <c r="H45" s="39">
        <f>'Cash Flow'!$AM$105</f>
        <v>4802870.581482809</v>
      </c>
      <c r="I45" s="291">
        <f>'Cash Flow'!$AM$107</f>
        <v>5.9900000000000002E-2</v>
      </c>
      <c r="J45" s="39">
        <f>'Cash Flow'!$AM$109</f>
        <v>-15394270.276265256</v>
      </c>
      <c r="K45" s="34"/>
      <c r="M45" s="319"/>
      <c r="N45" s="317"/>
      <c r="P45" s="20"/>
    </row>
    <row r="46" spans="2:16" x14ac:dyDescent="0.2">
      <c r="B46" s="148" t="s">
        <v>217</v>
      </c>
      <c r="C46" s="147">
        <v>7.4999999999999997E-3</v>
      </c>
      <c r="E46" s="305">
        <f t="shared" si="0"/>
        <v>38</v>
      </c>
      <c r="F46" s="311">
        <f>'Cash Flow'!$AN$11</f>
        <v>30.346605899977433</v>
      </c>
      <c r="G46" s="39">
        <f>'Cash Flow'!$AN$20</f>
        <v>8153969.182683859</v>
      </c>
      <c r="H46" s="39">
        <f>'Cash Flow'!$AN$105</f>
        <v>4510857.4171270877</v>
      </c>
      <c r="I46" s="291">
        <f>'Cash Flow'!$AN$107</f>
        <v>6.08E-2</v>
      </c>
      <c r="J46" s="39">
        <f>'Cash Flow'!$AN$109</f>
        <v>-15299571.602993324</v>
      </c>
      <c r="K46" s="22"/>
      <c r="M46" s="319"/>
      <c r="N46" s="317"/>
      <c r="P46" s="20"/>
    </row>
    <row r="47" spans="2:16" x14ac:dyDescent="0.2">
      <c r="B47" s="109" t="s">
        <v>79</v>
      </c>
      <c r="C47" s="111"/>
      <c r="E47" s="305">
        <f t="shared" si="0"/>
        <v>39</v>
      </c>
      <c r="F47" s="311">
        <f>'Cash Flow'!$AO$11</f>
        <v>30.650071958977211</v>
      </c>
      <c r="G47" s="39">
        <f>'Cash Flow'!$AO$20</f>
        <v>8194331.3301381441</v>
      </c>
      <c r="H47" s="39">
        <f>'Cash Flow'!$AO$105</f>
        <v>4335358.4459274448</v>
      </c>
      <c r="I47" s="291">
        <f>'Cash Flow'!$AO$107</f>
        <v>6.1600000000000002E-2</v>
      </c>
      <c r="J47" s="39">
        <f>'Cash Flow'!$AO$109</f>
        <v>-15217356.019737553</v>
      </c>
      <c r="K47" s="22"/>
      <c r="M47" s="319"/>
      <c r="N47" s="317"/>
      <c r="P47" s="20"/>
    </row>
    <row r="48" spans="2:16" x14ac:dyDescent="0.2">
      <c r="B48" s="139" t="s">
        <v>223</v>
      </c>
      <c r="C48" s="144">
        <v>0.1</v>
      </c>
      <c r="E48" s="305">
        <f t="shared" si="0"/>
        <v>40</v>
      </c>
      <c r="F48" s="311">
        <f>'Cash Flow'!$AP$11</f>
        <v>30.956572678566975</v>
      </c>
      <c r="G48" s="39">
        <f>'Cash Flow'!$AP$20</f>
        <v>12087893.370222326</v>
      </c>
      <c r="H48" s="39">
        <f>'Cash Flow'!$AP$105</f>
        <v>7516506.8683322128</v>
      </c>
      <c r="I48" s="291">
        <f>'Cash Flow'!$AP$107</f>
        <v>6.2899999999999998E-2</v>
      </c>
      <c r="J48" s="39">
        <f>'Cash Flow'!$AP$109</f>
        <v>-15088593.482179828</v>
      </c>
      <c r="K48" s="20"/>
      <c r="M48" s="319"/>
      <c r="N48" s="317"/>
      <c r="P48" s="20"/>
    </row>
    <row r="49" spans="2:16" x14ac:dyDescent="0.2">
      <c r="B49" s="139" t="s">
        <v>224</v>
      </c>
      <c r="C49" s="41">
        <f>SalvageValue*PreFinancingInstalledCostTotal</f>
        <v>3853000.1</v>
      </c>
      <c r="G49" s="291"/>
      <c r="H49" s="20"/>
      <c r="I49" s="57"/>
      <c r="J49" s="22"/>
      <c r="K49" s="22"/>
      <c r="M49" s="319"/>
      <c r="N49" s="317"/>
      <c r="P49" s="20"/>
    </row>
    <row r="50" spans="2:16" x14ac:dyDescent="0.2">
      <c r="B50" s="20"/>
      <c r="C50" s="115"/>
      <c r="G50" s="20"/>
      <c r="H50" s="20"/>
      <c r="I50" s="57"/>
      <c r="J50" s="22"/>
      <c r="K50" s="22"/>
      <c r="M50" s="319"/>
      <c r="N50" s="317"/>
      <c r="P50" s="20"/>
    </row>
    <row r="51" spans="2:16" x14ac:dyDescent="0.2">
      <c r="B51" s="18" t="s">
        <v>227</v>
      </c>
      <c r="C51" s="19"/>
      <c r="E51" s="17" t="s">
        <v>295</v>
      </c>
      <c r="G51" s="20"/>
      <c r="H51" s="20"/>
      <c r="I51" s="57"/>
      <c r="J51" s="22"/>
      <c r="K51" s="22"/>
      <c r="M51" s="319"/>
      <c r="N51" s="317"/>
      <c r="P51" s="20"/>
    </row>
    <row r="52" spans="2:16" x14ac:dyDescent="0.2">
      <c r="B52" s="139" t="s">
        <v>228</v>
      </c>
      <c r="C52" s="153">
        <v>1.35</v>
      </c>
      <c r="D52" s="80" t="s">
        <v>42</v>
      </c>
      <c r="E52" s="286">
        <f>'Cash Flow'!B528</f>
        <v>33328469.114150748</v>
      </c>
      <c r="G52" s="20"/>
      <c r="H52" s="20"/>
      <c r="I52" s="57"/>
      <c r="J52" s="22"/>
      <c r="K52" s="22"/>
      <c r="M52" s="319"/>
      <c r="N52" s="317"/>
      <c r="P52" s="20"/>
    </row>
    <row r="53" spans="2:16" x14ac:dyDescent="0.2">
      <c r="B53" s="139" t="s">
        <v>229</v>
      </c>
      <c r="C53" s="140">
        <v>13</v>
      </c>
      <c r="D53" s="285" t="s">
        <v>102</v>
      </c>
      <c r="E53" s="286">
        <f>SOInstalledCostTotal-SUM(E54:E57)</f>
        <v>38530001</v>
      </c>
      <c r="G53" s="20"/>
      <c r="H53" s="20"/>
      <c r="I53" s="57"/>
      <c r="J53" s="22"/>
      <c r="K53" s="22"/>
      <c r="M53" s="319"/>
      <c r="N53" s="317"/>
      <c r="P53" s="20"/>
    </row>
    <row r="54" spans="2:16" x14ac:dyDescent="0.2">
      <c r="B54" s="139" t="s">
        <v>230</v>
      </c>
      <c r="C54" s="147">
        <v>8.5000000000000006E-2</v>
      </c>
      <c r="D54" s="285"/>
      <c r="E54" s="286"/>
      <c r="G54" s="20"/>
      <c r="H54" s="20"/>
      <c r="I54" s="57"/>
      <c r="J54" s="22"/>
      <c r="K54" s="22"/>
      <c r="M54" s="319"/>
      <c r="N54" s="317"/>
      <c r="P54" s="20"/>
    </row>
    <row r="55" spans="2:16" x14ac:dyDescent="0.2">
      <c r="B55" s="139" t="s">
        <v>231</v>
      </c>
      <c r="C55" s="154">
        <v>100000</v>
      </c>
      <c r="D55" s="285" t="s">
        <v>310</v>
      </c>
      <c r="E55" s="286">
        <f>IBIFedFixed+IBIStateFixed+IBIUtilityFixed+IBIOtherFixed</f>
        <v>0</v>
      </c>
      <c r="G55" s="20"/>
      <c r="H55" s="20"/>
      <c r="I55" s="57"/>
      <c r="J55" s="22"/>
      <c r="K55" s="22"/>
      <c r="M55" s="319"/>
      <c r="N55" s="317"/>
      <c r="P55" s="20"/>
    </row>
    <row r="56" spans="2:16" x14ac:dyDescent="0.2">
      <c r="B56" s="139" t="s">
        <v>232</v>
      </c>
      <c r="C56" s="144">
        <v>1.4999999999999999E-2</v>
      </c>
      <c r="D56" s="285" t="s">
        <v>311</v>
      </c>
      <c r="E56" s="286">
        <f>IBIFedPercent+IBIStatePercent+IBIUtilityPercent+IBIOtherPercent</f>
        <v>0</v>
      </c>
      <c r="G56" s="20"/>
      <c r="H56" s="20"/>
      <c r="I56" s="57"/>
      <c r="J56" s="22"/>
      <c r="K56" s="22"/>
      <c r="M56" s="319"/>
      <c r="N56" s="317"/>
      <c r="P56" s="20"/>
    </row>
    <row r="57" spans="2:16" x14ac:dyDescent="0.2">
      <c r="B57" s="128" t="s">
        <v>233</v>
      </c>
      <c r="C57" s="135"/>
      <c r="D57" s="285" t="s">
        <v>103</v>
      </c>
      <c r="E57" s="286">
        <f>CBIFed+CBIState+CBIUtility+CBIOther</f>
        <v>0</v>
      </c>
      <c r="G57" s="20"/>
      <c r="H57" s="20"/>
      <c r="I57" s="57"/>
      <c r="J57" s="22"/>
      <c r="K57" s="22"/>
      <c r="M57" s="319"/>
      <c r="N57" s="317"/>
      <c r="P57" s="20"/>
    </row>
    <row r="58" spans="2:16" x14ac:dyDescent="0.2">
      <c r="B58" s="142" t="s">
        <v>9</v>
      </c>
      <c r="C58" s="155" t="s">
        <v>32</v>
      </c>
      <c r="G58" s="20"/>
      <c r="H58" s="20"/>
      <c r="I58" s="57"/>
      <c r="J58" s="22"/>
      <c r="K58" s="22"/>
      <c r="M58" s="319"/>
      <c r="N58" s="317"/>
      <c r="P58" s="20"/>
    </row>
    <row r="59" spans="2:16" x14ac:dyDescent="0.2">
      <c r="B59" s="142" t="s">
        <v>10</v>
      </c>
      <c r="C59" s="155" t="s">
        <v>32</v>
      </c>
      <c r="G59" s="20"/>
      <c r="H59" s="20"/>
      <c r="I59" s="57"/>
      <c r="J59" s="22"/>
      <c r="K59" s="22"/>
      <c r="M59" s="319"/>
      <c r="N59" s="317"/>
      <c r="P59" s="20"/>
    </row>
    <row r="60" spans="2:16" x14ac:dyDescent="0.2">
      <c r="B60" s="142" t="s">
        <v>27</v>
      </c>
      <c r="C60" s="155" t="s">
        <v>32</v>
      </c>
      <c r="G60" s="20"/>
      <c r="H60" s="20"/>
      <c r="I60" s="57"/>
      <c r="J60" s="22"/>
      <c r="K60" s="22"/>
      <c r="M60" s="319"/>
      <c r="N60" s="317"/>
      <c r="P60" s="20"/>
    </row>
    <row r="61" spans="2:16" x14ac:dyDescent="0.2">
      <c r="B61" s="142" t="s">
        <v>28</v>
      </c>
      <c r="C61" s="155" t="s">
        <v>32</v>
      </c>
      <c r="G61" s="20"/>
      <c r="H61" s="20"/>
      <c r="I61" s="57"/>
      <c r="J61" s="22"/>
      <c r="K61" s="22"/>
      <c r="M61" s="319"/>
      <c r="N61" s="317"/>
      <c r="P61" s="20"/>
    </row>
    <row r="62" spans="2:16" x14ac:dyDescent="0.2">
      <c r="B62" s="20"/>
      <c r="C62" s="115"/>
      <c r="G62" s="20"/>
      <c r="H62" s="20"/>
      <c r="I62" s="57"/>
      <c r="J62" s="22"/>
      <c r="K62" s="22"/>
      <c r="M62" s="319"/>
      <c r="N62" s="317"/>
      <c r="P62" s="20"/>
    </row>
    <row r="63" spans="2:16" x14ac:dyDescent="0.2">
      <c r="B63" s="18" t="s">
        <v>234</v>
      </c>
      <c r="C63" s="19"/>
      <c r="G63" s="20"/>
      <c r="H63" s="20"/>
      <c r="I63" s="57"/>
      <c r="J63" s="22"/>
      <c r="K63" s="22"/>
      <c r="M63" s="319"/>
      <c r="N63" s="317"/>
      <c r="P63" s="20"/>
    </row>
    <row r="64" spans="2:16" x14ac:dyDescent="0.2">
      <c r="B64" s="139" t="s">
        <v>235</v>
      </c>
      <c r="C64" s="140"/>
      <c r="G64" s="20"/>
      <c r="H64" s="20"/>
      <c r="I64" s="57"/>
      <c r="J64" s="22"/>
      <c r="K64" s="22"/>
      <c r="M64" s="319"/>
      <c r="N64" s="317"/>
      <c r="P64" s="20"/>
    </row>
    <row r="65" spans="2:16" x14ac:dyDescent="0.2">
      <c r="B65" s="20"/>
      <c r="C65" s="115"/>
      <c r="G65" s="20"/>
      <c r="H65" s="20"/>
      <c r="I65" s="57"/>
      <c r="J65" s="22"/>
      <c r="K65" s="22"/>
      <c r="M65" s="319"/>
      <c r="N65" s="317"/>
      <c r="P65" s="20"/>
    </row>
    <row r="66" spans="2:16" x14ac:dyDescent="0.2">
      <c r="B66" s="18" t="s">
        <v>247</v>
      </c>
      <c r="C66" s="21"/>
      <c r="D66" s="21"/>
      <c r="E66" s="21"/>
      <c r="F66" s="21"/>
      <c r="G66" s="21"/>
      <c r="H66" s="21"/>
      <c r="I66" s="19"/>
      <c r="J66" s="22"/>
      <c r="K66" s="22"/>
      <c r="M66" s="319"/>
      <c r="N66" s="317"/>
      <c r="P66" s="20"/>
    </row>
    <row r="67" spans="2:16" ht="25.5" x14ac:dyDescent="0.2">
      <c r="B67" s="139"/>
      <c r="C67" s="156" t="s">
        <v>241</v>
      </c>
      <c r="D67" s="157" t="s">
        <v>242</v>
      </c>
      <c r="E67" s="157" t="s">
        <v>243</v>
      </c>
      <c r="F67" s="157" t="s">
        <v>244</v>
      </c>
      <c r="G67" s="157" t="s">
        <v>47</v>
      </c>
      <c r="H67" s="157" t="s">
        <v>48</v>
      </c>
      <c r="I67" s="158" t="s">
        <v>245</v>
      </c>
      <c r="J67" s="22"/>
      <c r="K67" s="22"/>
      <c r="M67" s="319"/>
      <c r="N67" s="317"/>
      <c r="P67" s="20"/>
    </row>
    <row r="68" spans="2:16" x14ac:dyDescent="0.2">
      <c r="B68" s="139" t="s">
        <v>236</v>
      </c>
      <c r="C68" s="159">
        <v>1</v>
      </c>
      <c r="D68" s="139">
        <v>1</v>
      </c>
      <c r="E68" s="139">
        <v>6</v>
      </c>
      <c r="F68" s="160">
        <v>0.04</v>
      </c>
      <c r="G68" s="161">
        <f>C68*PreFinancingInstalledCostTotal</f>
        <v>38530001</v>
      </c>
      <c r="H68" s="162">
        <f>G68*F68/12*0.5</f>
        <v>64216.668333333335</v>
      </c>
      <c r="I68" s="163">
        <f>H68+D68*G68</f>
        <v>38594217.668333337</v>
      </c>
      <c r="J68" s="22"/>
      <c r="K68" s="22"/>
      <c r="M68" s="319"/>
      <c r="N68" s="317"/>
      <c r="P68" s="20"/>
    </row>
    <row r="69" spans="2:16" x14ac:dyDescent="0.2">
      <c r="B69" s="139" t="s">
        <v>237</v>
      </c>
      <c r="C69" s="159">
        <v>0</v>
      </c>
      <c r="D69" s="139">
        <v>0</v>
      </c>
      <c r="E69" s="139">
        <v>0</v>
      </c>
      <c r="F69" s="160">
        <v>0</v>
      </c>
      <c r="G69" s="161">
        <f>C69*PreFinancingInstalledCostTotal</f>
        <v>0</v>
      </c>
      <c r="H69" s="162">
        <f t="shared" ref="H69:H72" si="1">G69*F69/12*0.5</f>
        <v>0</v>
      </c>
      <c r="I69" s="163">
        <f t="shared" ref="I69:I72" si="2">H69+D69*G69</f>
        <v>0</v>
      </c>
      <c r="J69" s="22"/>
      <c r="K69" s="22"/>
      <c r="M69" s="319"/>
      <c r="N69" s="317"/>
      <c r="P69" s="20"/>
    </row>
    <row r="70" spans="2:16" x14ac:dyDescent="0.2">
      <c r="B70" s="139" t="s">
        <v>238</v>
      </c>
      <c r="C70" s="159">
        <v>0</v>
      </c>
      <c r="D70" s="139">
        <v>0</v>
      </c>
      <c r="E70" s="139">
        <v>0</v>
      </c>
      <c r="F70" s="160">
        <v>0</v>
      </c>
      <c r="G70" s="161">
        <f>C70*PreFinancingInstalledCostTotal</f>
        <v>0</v>
      </c>
      <c r="H70" s="162">
        <f t="shared" si="1"/>
        <v>0</v>
      </c>
      <c r="I70" s="163">
        <f t="shared" si="2"/>
        <v>0</v>
      </c>
      <c r="J70" s="22"/>
      <c r="K70" s="22"/>
      <c r="M70" s="319"/>
      <c r="N70" s="317"/>
      <c r="P70" s="20"/>
    </row>
    <row r="71" spans="2:16" x14ac:dyDescent="0.2">
      <c r="B71" s="139" t="s">
        <v>239</v>
      </c>
      <c r="C71" s="159">
        <v>0</v>
      </c>
      <c r="D71" s="139">
        <v>0</v>
      </c>
      <c r="E71" s="139">
        <v>0</v>
      </c>
      <c r="F71" s="160">
        <v>0</v>
      </c>
      <c r="G71" s="161">
        <f>C71*PreFinancingInstalledCostTotal</f>
        <v>0</v>
      </c>
      <c r="H71" s="162">
        <f t="shared" si="1"/>
        <v>0</v>
      </c>
      <c r="I71" s="163">
        <f t="shared" si="2"/>
        <v>0</v>
      </c>
      <c r="J71" s="22"/>
      <c r="K71" s="22"/>
      <c r="M71" s="319"/>
      <c r="N71" s="317"/>
      <c r="P71" s="20"/>
    </row>
    <row r="72" spans="2:16" x14ac:dyDescent="0.2">
      <c r="B72" s="139" t="s">
        <v>240</v>
      </c>
      <c r="C72" s="165">
        <v>0</v>
      </c>
      <c r="D72" s="28">
        <v>0</v>
      </c>
      <c r="E72" s="28">
        <v>0</v>
      </c>
      <c r="F72" s="166">
        <v>0</v>
      </c>
      <c r="G72" s="161">
        <f>C72*PreFinancingInstalledCostTotal</f>
        <v>0</v>
      </c>
      <c r="H72" s="162">
        <f t="shared" si="1"/>
        <v>0</v>
      </c>
      <c r="I72" s="163">
        <f t="shared" si="2"/>
        <v>0</v>
      </c>
      <c r="J72" s="22"/>
      <c r="K72" s="22"/>
      <c r="M72" s="319"/>
      <c r="N72" s="317"/>
      <c r="P72" s="20"/>
    </row>
    <row r="73" spans="2:16" x14ac:dyDescent="0.2">
      <c r="B73" s="164" t="s">
        <v>246</v>
      </c>
      <c r="C73" s="167"/>
      <c r="D73" s="110"/>
      <c r="E73" s="110"/>
      <c r="F73" s="168"/>
      <c r="G73" s="169">
        <f>SUM(G68:G72)</f>
        <v>38530001</v>
      </c>
      <c r="H73" s="170">
        <f>SUM(H68:H72)</f>
        <v>64216.668333333335</v>
      </c>
      <c r="I73" s="171">
        <f>SUM(I68:I72)</f>
        <v>38594217.668333337</v>
      </c>
      <c r="J73" s="22"/>
      <c r="K73" s="22"/>
      <c r="M73" s="319"/>
      <c r="N73" s="317"/>
      <c r="P73" s="20"/>
    </row>
    <row r="74" spans="2:16" x14ac:dyDescent="0.2">
      <c r="G74" s="20"/>
      <c r="H74" s="20"/>
      <c r="I74" s="22"/>
      <c r="J74" s="22"/>
      <c r="K74" s="22"/>
      <c r="M74" s="319"/>
      <c r="N74" s="317"/>
      <c r="P74" s="20"/>
    </row>
    <row r="75" spans="2:16" x14ac:dyDescent="0.2">
      <c r="B75" s="18" t="s">
        <v>248</v>
      </c>
      <c r="C75" s="21"/>
      <c r="D75" s="21"/>
      <c r="E75" s="21"/>
      <c r="F75" s="19"/>
      <c r="G75" s="20"/>
      <c r="H75" s="20"/>
      <c r="I75" s="22"/>
      <c r="J75" s="22"/>
      <c r="K75" s="22"/>
      <c r="M75" s="319"/>
      <c r="N75" s="317"/>
      <c r="P75" s="20"/>
    </row>
    <row r="76" spans="2:16" x14ac:dyDescent="0.2">
      <c r="B76" s="139" t="s">
        <v>249</v>
      </c>
      <c r="C76" s="24">
        <v>1.7500000000000002E-2</v>
      </c>
      <c r="D76" s="174"/>
      <c r="E76" s="174"/>
      <c r="F76" s="175"/>
      <c r="G76" s="20"/>
      <c r="H76" s="20"/>
      <c r="I76" s="22"/>
      <c r="J76" s="22"/>
      <c r="K76" s="22"/>
      <c r="M76" s="319"/>
      <c r="N76" s="317"/>
      <c r="P76" s="20"/>
    </row>
    <row r="77" spans="2:16" x14ac:dyDescent="0.2">
      <c r="B77" s="139" t="s">
        <v>259</v>
      </c>
      <c r="C77" s="279">
        <v>6</v>
      </c>
      <c r="D77" s="174"/>
      <c r="E77" s="174"/>
      <c r="F77" s="175"/>
      <c r="G77" s="20"/>
      <c r="H77" s="20"/>
      <c r="I77" s="22"/>
      <c r="J77" s="22"/>
      <c r="K77" s="22"/>
      <c r="M77" s="319"/>
      <c r="N77" s="317"/>
      <c r="P77" s="20"/>
    </row>
    <row r="78" spans="2:16" x14ac:dyDescent="0.2">
      <c r="B78" s="139" t="s">
        <v>250</v>
      </c>
      <c r="C78" s="279">
        <v>6</v>
      </c>
      <c r="D78" s="174"/>
      <c r="E78" s="174"/>
      <c r="F78" s="175"/>
      <c r="G78" s="20"/>
      <c r="H78" s="20"/>
      <c r="I78" s="22"/>
      <c r="J78" s="22"/>
      <c r="K78" s="22"/>
      <c r="M78" s="319"/>
      <c r="N78" s="317"/>
      <c r="P78" s="20"/>
    </row>
    <row r="79" spans="2:16" x14ac:dyDescent="0.2">
      <c r="B79" s="28" t="s">
        <v>251</v>
      </c>
      <c r="C79" s="28"/>
      <c r="D79" s="174"/>
      <c r="E79" s="174"/>
      <c r="F79" s="175"/>
      <c r="G79" s="20"/>
      <c r="H79" s="20"/>
      <c r="I79" s="22"/>
      <c r="J79" s="22"/>
      <c r="K79" s="22"/>
      <c r="M79" s="319"/>
      <c r="N79" s="317"/>
      <c r="P79" s="20"/>
    </row>
    <row r="80" spans="2:16" ht="25.5" x14ac:dyDescent="0.2">
      <c r="B80" s="208"/>
      <c r="C80" s="207" t="s">
        <v>255</v>
      </c>
      <c r="D80" s="172" t="s">
        <v>256</v>
      </c>
      <c r="E80" s="172" t="s">
        <v>257</v>
      </c>
      <c r="F80" s="175"/>
      <c r="G80" s="20"/>
      <c r="H80" s="20"/>
      <c r="I80" s="22"/>
      <c r="J80" s="22"/>
      <c r="K80" s="22"/>
      <c r="M80" s="319"/>
      <c r="N80" s="317"/>
      <c r="P80" s="20"/>
    </row>
    <row r="81" spans="2:16" x14ac:dyDescent="0.2">
      <c r="B81" s="183" t="s">
        <v>252</v>
      </c>
      <c r="C81" s="138">
        <v>0.25</v>
      </c>
      <c r="D81" s="170">
        <f>C81*CapacityDC</f>
        <v>2500</v>
      </c>
      <c r="E81" s="23">
        <v>12</v>
      </c>
      <c r="F81" s="175"/>
      <c r="G81" s="20"/>
      <c r="H81" s="20"/>
      <c r="I81" s="22"/>
      <c r="J81" s="22"/>
      <c r="K81" s="22"/>
      <c r="M81" s="319"/>
      <c r="N81" s="317"/>
      <c r="P81" s="20"/>
    </row>
    <row r="82" spans="2:16" x14ac:dyDescent="0.2">
      <c r="B82" s="142" t="s">
        <v>254</v>
      </c>
      <c r="C82" s="138">
        <v>0</v>
      </c>
      <c r="D82" s="136">
        <f>C82*CapacityDC</f>
        <v>0</v>
      </c>
      <c r="E82" s="23">
        <v>15</v>
      </c>
      <c r="F82" s="175"/>
      <c r="G82" s="20"/>
      <c r="H82" s="20"/>
      <c r="I82" s="22"/>
      <c r="J82" s="22"/>
      <c r="K82" s="22"/>
      <c r="M82" s="319"/>
      <c r="N82" s="317"/>
      <c r="P82" s="20"/>
    </row>
    <row r="83" spans="2:16" x14ac:dyDescent="0.2">
      <c r="B83" s="206" t="s">
        <v>253</v>
      </c>
      <c r="C83" s="138">
        <v>0</v>
      </c>
      <c r="D83" s="173">
        <f>C83*CapacityDC</f>
        <v>0</v>
      </c>
      <c r="E83" s="23">
        <v>5</v>
      </c>
      <c r="F83" s="175"/>
      <c r="G83" s="20"/>
      <c r="H83" s="20"/>
      <c r="I83" s="22"/>
      <c r="J83" s="22"/>
      <c r="K83" s="22"/>
      <c r="M83" s="319"/>
      <c r="N83" s="317"/>
      <c r="P83" s="20"/>
    </row>
    <row r="84" spans="2:16" x14ac:dyDescent="0.2">
      <c r="B84" s="152" t="s">
        <v>258</v>
      </c>
      <c r="C84" s="110"/>
      <c r="D84" s="110"/>
      <c r="E84" s="110"/>
      <c r="F84" s="111"/>
      <c r="G84" s="20"/>
      <c r="H84" s="20"/>
      <c r="I84" s="22"/>
      <c r="J84" s="22"/>
      <c r="K84" s="22"/>
      <c r="M84" s="319"/>
      <c r="N84" s="317"/>
      <c r="P84" s="20"/>
    </row>
    <row r="85" spans="2:16" x14ac:dyDescent="0.2">
      <c r="B85" s="181" t="s">
        <v>9</v>
      </c>
      <c r="C85" s="205" t="s">
        <v>72</v>
      </c>
      <c r="D85" s="174"/>
      <c r="E85" s="174"/>
      <c r="F85" s="175"/>
      <c r="G85" s="20"/>
      <c r="H85" s="20"/>
      <c r="I85" s="22"/>
      <c r="J85" s="22"/>
      <c r="K85" s="22"/>
      <c r="M85" s="319"/>
      <c r="N85" s="317"/>
      <c r="P85" s="20"/>
    </row>
    <row r="86" spans="2:16" x14ac:dyDescent="0.2">
      <c r="B86" s="181" t="s">
        <v>10</v>
      </c>
      <c r="C86" s="205" t="s">
        <v>72</v>
      </c>
      <c r="D86" s="176"/>
      <c r="E86" s="176"/>
      <c r="F86" s="177"/>
      <c r="G86" s="20"/>
      <c r="H86" s="20"/>
      <c r="I86" s="22"/>
      <c r="J86" s="22"/>
      <c r="K86" s="22"/>
      <c r="M86" s="319"/>
      <c r="N86" s="317"/>
      <c r="P86" s="20"/>
    </row>
    <row r="87" spans="2:16" x14ac:dyDescent="0.2">
      <c r="G87" s="20"/>
      <c r="H87" s="20"/>
      <c r="I87" s="22"/>
      <c r="J87" s="22"/>
      <c r="K87" s="22"/>
      <c r="M87" s="319"/>
      <c r="N87" s="317"/>
      <c r="P87" s="20"/>
    </row>
    <row r="88" spans="2:16" x14ac:dyDescent="0.2">
      <c r="B88" s="18" t="s">
        <v>260</v>
      </c>
      <c r="C88" s="21"/>
      <c r="D88" s="21"/>
      <c r="E88" s="21"/>
      <c r="F88" s="19"/>
      <c r="G88" s="20"/>
      <c r="H88" s="20"/>
      <c r="I88" s="22"/>
      <c r="J88" s="22"/>
      <c r="K88" s="22"/>
      <c r="M88" s="319"/>
      <c r="N88" s="317"/>
      <c r="P88" s="20"/>
    </row>
    <row r="89" spans="2:16" x14ac:dyDescent="0.2">
      <c r="B89" s="128"/>
      <c r="C89" s="110"/>
      <c r="D89" s="111"/>
      <c r="E89" s="327" t="s">
        <v>29</v>
      </c>
      <c r="F89" s="328"/>
      <c r="G89" s="20"/>
      <c r="I89" s="20"/>
      <c r="J89" s="20"/>
      <c r="K89" s="20"/>
      <c r="M89" s="319"/>
      <c r="N89" s="317"/>
    </row>
    <row r="90" spans="2:16" x14ac:dyDescent="0.2">
      <c r="B90" s="109" t="s">
        <v>7</v>
      </c>
      <c r="C90" s="110"/>
      <c r="D90" s="184"/>
      <c r="E90" s="185" t="s">
        <v>9</v>
      </c>
      <c r="F90" s="185" t="s">
        <v>10</v>
      </c>
      <c r="G90" s="20"/>
      <c r="I90" s="20"/>
      <c r="J90" s="20"/>
      <c r="K90" s="20"/>
      <c r="M90" s="319"/>
      <c r="N90" s="317"/>
    </row>
    <row r="91" spans="2:16" x14ac:dyDescent="0.2">
      <c r="B91" s="183" t="s">
        <v>262</v>
      </c>
      <c r="C91" s="27" t="s">
        <v>8</v>
      </c>
      <c r="D91" s="203"/>
      <c r="E91" s="188"/>
      <c r="F91" s="189"/>
      <c r="G91" s="20"/>
      <c r="I91" s="22"/>
      <c r="J91" s="22"/>
      <c r="K91" s="22"/>
      <c r="M91" s="319"/>
      <c r="N91" s="317"/>
    </row>
    <row r="92" spans="2:16" x14ac:dyDescent="0.2">
      <c r="B92" s="182" t="s">
        <v>263</v>
      </c>
      <c r="C92" s="200">
        <v>0</v>
      </c>
      <c r="D92" s="117"/>
      <c r="E92" s="201" t="s">
        <v>31</v>
      </c>
      <c r="F92" s="187" t="s">
        <v>31</v>
      </c>
      <c r="G92" s="20"/>
      <c r="I92" s="22"/>
      <c r="J92" s="22"/>
      <c r="K92" s="22"/>
      <c r="M92" s="319"/>
      <c r="N92" s="317"/>
    </row>
    <row r="93" spans="2:16" x14ac:dyDescent="0.2">
      <c r="B93" s="182" t="s">
        <v>264</v>
      </c>
      <c r="C93" s="200">
        <v>0</v>
      </c>
      <c r="D93" s="186"/>
      <c r="E93" s="202" t="s">
        <v>32</v>
      </c>
      <c r="F93" s="190" t="s">
        <v>31</v>
      </c>
      <c r="G93" s="20"/>
      <c r="I93" s="22"/>
      <c r="J93" s="22"/>
      <c r="K93" s="22"/>
      <c r="M93" s="319"/>
      <c r="N93" s="317"/>
    </row>
    <row r="94" spans="2:16" x14ac:dyDescent="0.2">
      <c r="B94" s="181" t="s">
        <v>267</v>
      </c>
      <c r="C94" s="29" t="s">
        <v>13</v>
      </c>
      <c r="D94" s="36" t="s">
        <v>14</v>
      </c>
      <c r="E94" s="191"/>
      <c r="F94" s="192"/>
      <c r="G94" s="20"/>
      <c r="H94" s="20"/>
      <c r="I94" s="22"/>
      <c r="J94" s="22"/>
      <c r="K94" s="22"/>
      <c r="M94" s="319"/>
      <c r="N94" s="317"/>
    </row>
    <row r="95" spans="2:16" x14ac:dyDescent="0.2">
      <c r="B95" s="182" t="s">
        <v>265</v>
      </c>
      <c r="C95" s="178">
        <v>0.3</v>
      </c>
      <c r="D95" s="179">
        <v>9.9999999999999997E+98</v>
      </c>
      <c r="E95" s="187" t="s">
        <v>31</v>
      </c>
      <c r="F95" s="187" t="s">
        <v>31</v>
      </c>
      <c r="G95" s="20"/>
      <c r="I95" s="22"/>
      <c r="J95" s="22"/>
      <c r="K95" s="22"/>
      <c r="M95" s="319"/>
      <c r="N95" s="317"/>
    </row>
    <row r="96" spans="2:16" x14ac:dyDescent="0.2">
      <c r="B96" s="182" t="s">
        <v>266</v>
      </c>
      <c r="C96" s="180">
        <v>0</v>
      </c>
      <c r="D96" s="179">
        <v>9.9999999999999997E+98</v>
      </c>
      <c r="E96" s="190" t="s">
        <v>32</v>
      </c>
      <c r="F96" s="190" t="s">
        <v>31</v>
      </c>
      <c r="G96" s="20"/>
      <c r="I96" s="22"/>
      <c r="J96" s="22"/>
      <c r="K96" s="22"/>
      <c r="M96" s="319"/>
      <c r="N96" s="317"/>
    </row>
    <row r="97" spans="2:17" x14ac:dyDescent="0.2">
      <c r="B97" s="243" t="s">
        <v>11</v>
      </c>
      <c r="C97" s="30" t="s">
        <v>15</v>
      </c>
      <c r="D97" s="194" t="s">
        <v>16</v>
      </c>
      <c r="E97" s="196"/>
      <c r="F97" s="197"/>
      <c r="G97" s="20"/>
      <c r="I97" s="22"/>
      <c r="J97" s="22"/>
      <c r="K97" s="22"/>
      <c r="M97" s="319"/>
      <c r="N97" s="317"/>
      <c r="Q97" s="20"/>
    </row>
    <row r="98" spans="2:17" x14ac:dyDescent="0.2">
      <c r="B98" s="181" t="s">
        <v>9</v>
      </c>
      <c r="C98" s="193">
        <v>0</v>
      </c>
      <c r="D98" s="195">
        <v>10</v>
      </c>
      <c r="E98" s="198"/>
      <c r="F98" s="175"/>
      <c r="G98" s="20"/>
      <c r="I98" s="22"/>
      <c r="J98" s="22"/>
      <c r="K98" s="22"/>
      <c r="M98" s="319"/>
      <c r="N98" s="317"/>
      <c r="Q98" s="20"/>
    </row>
    <row r="99" spans="2:17" x14ac:dyDescent="0.2">
      <c r="B99" s="181" t="s">
        <v>10</v>
      </c>
      <c r="C99" s="193">
        <v>0</v>
      </c>
      <c r="D99" s="195">
        <v>10</v>
      </c>
      <c r="E99" s="199"/>
      <c r="F99" s="177"/>
      <c r="G99" s="20"/>
      <c r="I99" s="22"/>
      <c r="J99" s="22"/>
      <c r="K99" s="22"/>
      <c r="M99" s="319"/>
      <c r="N99" s="317"/>
      <c r="Q99" s="20"/>
    </row>
    <row r="100" spans="2:17" x14ac:dyDescent="0.2">
      <c r="B100" s="127"/>
      <c r="C100" s="31"/>
      <c r="D100" s="32"/>
      <c r="E100" s="22"/>
      <c r="F100" s="22"/>
      <c r="G100" s="20"/>
      <c r="H100" s="20"/>
      <c r="I100" s="22"/>
      <c r="J100" s="22"/>
      <c r="K100" s="22"/>
      <c r="M100" s="319"/>
      <c r="N100" s="317"/>
      <c r="Q100" s="20"/>
    </row>
    <row r="101" spans="2:17" x14ac:dyDescent="0.2">
      <c r="B101" s="18" t="s">
        <v>261</v>
      </c>
      <c r="C101" s="21"/>
      <c r="D101" s="21"/>
      <c r="E101" s="21"/>
      <c r="F101" s="21"/>
      <c r="G101" s="21"/>
      <c r="H101" s="19"/>
      <c r="I101" s="133" t="s">
        <v>295</v>
      </c>
      <c r="K101" s="22"/>
      <c r="M101" s="319"/>
      <c r="N101" s="313"/>
      <c r="Q101" s="20"/>
    </row>
    <row r="102" spans="2:17" x14ac:dyDescent="0.2">
      <c r="B102" s="242" t="s">
        <v>26</v>
      </c>
      <c r="C102" s="240"/>
      <c r="D102" s="110"/>
      <c r="E102" s="241"/>
      <c r="F102" s="241"/>
      <c r="G102" s="241"/>
      <c r="H102" s="189"/>
      <c r="I102" s="22"/>
      <c r="K102" s="22"/>
      <c r="M102" s="319"/>
      <c r="N102" s="313"/>
    </row>
    <row r="103" spans="2:17" x14ac:dyDescent="0.2">
      <c r="B103" s="255" t="s">
        <v>262</v>
      </c>
      <c r="C103" s="231" t="s">
        <v>8</v>
      </c>
      <c r="D103" s="232"/>
      <c r="E103" s="201" t="s">
        <v>293</v>
      </c>
      <c r="F103" s="187" t="s">
        <v>294</v>
      </c>
      <c r="G103" s="187" t="s">
        <v>304</v>
      </c>
      <c r="H103" s="187" t="s">
        <v>305</v>
      </c>
      <c r="K103" s="239"/>
      <c r="M103" s="319"/>
      <c r="N103" s="318"/>
    </row>
    <row r="104" spans="2:17" x14ac:dyDescent="0.2">
      <c r="B104" s="218" t="s">
        <v>263</v>
      </c>
      <c r="C104" s="228">
        <v>0</v>
      </c>
      <c r="D104" s="230"/>
      <c r="E104" s="229" t="s">
        <v>31</v>
      </c>
      <c r="F104" s="29" t="s">
        <v>31</v>
      </c>
      <c r="G104" s="222" t="s">
        <v>32</v>
      </c>
      <c r="H104" s="222" t="s">
        <v>32</v>
      </c>
      <c r="K104" s="22"/>
      <c r="M104" s="319"/>
      <c r="N104" s="313"/>
    </row>
    <row r="105" spans="2:17" x14ac:dyDescent="0.2">
      <c r="B105" s="218" t="s">
        <v>264</v>
      </c>
      <c r="C105" s="228">
        <v>0</v>
      </c>
      <c r="D105" s="230"/>
      <c r="E105" s="229" t="s">
        <v>31</v>
      </c>
      <c r="F105" s="29" t="s">
        <v>31</v>
      </c>
      <c r="G105" s="222" t="s">
        <v>32</v>
      </c>
      <c r="H105" s="222" t="s">
        <v>32</v>
      </c>
      <c r="K105" s="22"/>
      <c r="M105" s="319"/>
      <c r="N105" s="313"/>
    </row>
    <row r="106" spans="2:17" x14ac:dyDescent="0.2">
      <c r="B106" s="218" t="s">
        <v>278</v>
      </c>
      <c r="C106" s="228">
        <v>0</v>
      </c>
      <c r="D106" s="230"/>
      <c r="E106" s="229" t="s">
        <v>31</v>
      </c>
      <c r="F106" s="29" t="s">
        <v>31</v>
      </c>
      <c r="G106" s="222" t="s">
        <v>32</v>
      </c>
      <c r="H106" s="222" t="s">
        <v>32</v>
      </c>
      <c r="K106" s="22"/>
      <c r="M106" s="319"/>
      <c r="N106" s="313"/>
    </row>
    <row r="107" spans="2:17" x14ac:dyDescent="0.2">
      <c r="B107" s="256" t="s">
        <v>279</v>
      </c>
      <c r="C107" s="233">
        <v>0</v>
      </c>
      <c r="D107" s="230"/>
      <c r="E107" s="234" t="s">
        <v>31</v>
      </c>
      <c r="F107" s="235" t="s">
        <v>31</v>
      </c>
      <c r="G107" s="190" t="s">
        <v>32</v>
      </c>
      <c r="H107" s="190" t="s">
        <v>32</v>
      </c>
      <c r="K107" s="22"/>
      <c r="M107" s="319"/>
      <c r="N107" s="313"/>
    </row>
    <row r="108" spans="2:17" x14ac:dyDescent="0.2">
      <c r="B108" s="221" t="s">
        <v>267</v>
      </c>
      <c r="C108" s="237" t="s">
        <v>144</v>
      </c>
      <c r="D108" s="222" t="s">
        <v>291</v>
      </c>
      <c r="E108" s="238"/>
      <c r="F108" s="244"/>
      <c r="G108" s="244"/>
      <c r="H108" s="245"/>
      <c r="I108" s="215" t="s">
        <v>306</v>
      </c>
      <c r="K108" s="34"/>
      <c r="M108" s="319"/>
      <c r="N108" s="317"/>
    </row>
    <row r="109" spans="2:17" x14ac:dyDescent="0.2">
      <c r="B109" s="218" t="s">
        <v>265</v>
      </c>
      <c r="C109" s="147">
        <v>0</v>
      </c>
      <c r="D109" s="223">
        <v>9.9999999999999997E+98</v>
      </c>
      <c r="E109" s="29" t="s">
        <v>31</v>
      </c>
      <c r="F109" s="29" t="s">
        <v>31</v>
      </c>
      <c r="G109" s="222" t="s">
        <v>32</v>
      </c>
      <c r="H109" s="222" t="s">
        <v>32</v>
      </c>
      <c r="I109" s="253">
        <f>MIN(C109*PreFinancingInstalledCostTotal,D109)</f>
        <v>0</v>
      </c>
      <c r="K109" s="22"/>
      <c r="L109" s="22"/>
      <c r="M109" s="34"/>
      <c r="N109" s="22"/>
    </row>
    <row r="110" spans="2:17" x14ac:dyDescent="0.2">
      <c r="B110" s="218" t="s">
        <v>266</v>
      </c>
      <c r="C110" s="147">
        <v>0</v>
      </c>
      <c r="D110" s="223">
        <v>9.9999999999999997E+98</v>
      </c>
      <c r="E110" s="29" t="s">
        <v>31</v>
      </c>
      <c r="F110" s="29" t="s">
        <v>31</v>
      </c>
      <c r="G110" s="222" t="s">
        <v>32</v>
      </c>
      <c r="H110" s="222" t="s">
        <v>32</v>
      </c>
      <c r="I110" s="253">
        <f>MIN(C110*PreFinancingInstalledCostTotal,D110)</f>
        <v>0</v>
      </c>
      <c r="K110" s="22"/>
      <c r="L110" s="22"/>
      <c r="M110" s="34"/>
      <c r="N110" s="22"/>
    </row>
    <row r="111" spans="2:17" x14ac:dyDescent="0.2">
      <c r="B111" s="218" t="s">
        <v>280</v>
      </c>
      <c r="C111" s="147">
        <v>0</v>
      </c>
      <c r="D111" s="223">
        <v>9.9999999999999997E+98</v>
      </c>
      <c r="E111" s="29" t="s">
        <v>31</v>
      </c>
      <c r="F111" s="29" t="s">
        <v>31</v>
      </c>
      <c r="G111" s="222" t="s">
        <v>32</v>
      </c>
      <c r="H111" s="222" t="s">
        <v>32</v>
      </c>
      <c r="I111" s="253">
        <f>MIN(C111*PreFinancingInstalledCostTotal,D111)</f>
        <v>0</v>
      </c>
      <c r="K111" s="22"/>
      <c r="L111" s="22"/>
      <c r="M111" s="34"/>
      <c r="N111" s="22"/>
    </row>
    <row r="112" spans="2:17" ht="13.5" thickBot="1" x14ac:dyDescent="0.25">
      <c r="B112" s="258" t="s">
        <v>281</v>
      </c>
      <c r="C112" s="224">
        <v>0</v>
      </c>
      <c r="D112" s="225">
        <v>9.9999999999999997E+98</v>
      </c>
      <c r="E112" s="226" t="s">
        <v>31</v>
      </c>
      <c r="F112" s="226" t="s">
        <v>31</v>
      </c>
      <c r="G112" s="227" t="s">
        <v>32</v>
      </c>
      <c r="H112" s="227" t="s">
        <v>32</v>
      </c>
      <c r="I112" s="280">
        <f>MIN(C112*PreFinancingInstalledCostTotal,D112)</f>
        <v>0</v>
      </c>
      <c r="K112" s="22"/>
      <c r="L112" s="22"/>
      <c r="M112" s="34"/>
      <c r="N112" s="22"/>
    </row>
    <row r="113" spans="2:17" x14ac:dyDescent="0.2">
      <c r="B113" s="257" t="s">
        <v>65</v>
      </c>
      <c r="C113" s="254" t="s">
        <v>286</v>
      </c>
      <c r="D113" s="187" t="s">
        <v>291</v>
      </c>
      <c r="E113" s="34"/>
      <c r="F113" s="34"/>
      <c r="G113" s="34"/>
      <c r="H113" s="34"/>
      <c r="I113" s="282"/>
      <c r="K113" s="216"/>
      <c r="L113" s="216"/>
      <c r="M113" s="34"/>
      <c r="N113" s="216"/>
      <c r="O113" s="35"/>
    </row>
    <row r="114" spans="2:17" x14ac:dyDescent="0.2">
      <c r="B114" s="221" t="s">
        <v>282</v>
      </c>
      <c r="C114" s="153">
        <v>0</v>
      </c>
      <c r="D114" s="223">
        <v>9.9999999999999997E+98</v>
      </c>
      <c r="E114" s="29" t="s">
        <v>31</v>
      </c>
      <c r="F114" s="29" t="s">
        <v>31</v>
      </c>
      <c r="G114" s="222" t="s">
        <v>32</v>
      </c>
      <c r="H114" s="222" t="s">
        <v>32</v>
      </c>
      <c r="I114" s="281">
        <f>MIN(C114*CapacityDC*1000,D114)</f>
        <v>0</v>
      </c>
      <c r="K114" s="22"/>
      <c r="L114" s="22"/>
      <c r="M114" s="34"/>
      <c r="N114" s="22"/>
    </row>
    <row r="115" spans="2:17" x14ac:dyDescent="0.2">
      <c r="B115" s="221" t="s">
        <v>283</v>
      </c>
      <c r="C115" s="153">
        <v>0</v>
      </c>
      <c r="D115" s="223">
        <v>9.9999999999999997E+98</v>
      </c>
      <c r="E115" s="29" t="s">
        <v>31</v>
      </c>
      <c r="F115" s="29" t="s">
        <v>31</v>
      </c>
      <c r="G115" s="222" t="s">
        <v>32</v>
      </c>
      <c r="H115" s="222" t="s">
        <v>32</v>
      </c>
      <c r="I115" s="253">
        <f>MIN(C115*CapacityDC*1000,D115)</f>
        <v>0</v>
      </c>
      <c r="K115" s="22"/>
      <c r="L115" s="22"/>
      <c r="M115" s="34"/>
      <c r="N115" s="22"/>
    </row>
    <row r="116" spans="2:17" x14ac:dyDescent="0.2">
      <c r="B116" s="221" t="s">
        <v>284</v>
      </c>
      <c r="C116" s="153">
        <v>0</v>
      </c>
      <c r="D116" s="223">
        <v>9.9999999999999997E+98</v>
      </c>
      <c r="E116" s="29" t="s">
        <v>31</v>
      </c>
      <c r="F116" s="29" t="s">
        <v>31</v>
      </c>
      <c r="G116" s="222" t="s">
        <v>32</v>
      </c>
      <c r="H116" s="222" t="s">
        <v>32</v>
      </c>
      <c r="I116" s="253">
        <f>MIN(C116*CapacityDC*1000,D116)</f>
        <v>0</v>
      </c>
      <c r="K116" s="22"/>
      <c r="L116" s="22"/>
      <c r="M116" s="34"/>
      <c r="N116" s="22"/>
    </row>
    <row r="117" spans="2:17" ht="13.5" thickBot="1" x14ac:dyDescent="0.25">
      <c r="B117" s="261" t="s">
        <v>285</v>
      </c>
      <c r="C117" s="236">
        <v>0</v>
      </c>
      <c r="D117" s="225">
        <v>9.9999999999999997E+98</v>
      </c>
      <c r="E117" s="226" t="s">
        <v>31</v>
      </c>
      <c r="F117" s="226" t="s">
        <v>31</v>
      </c>
      <c r="G117" s="227" t="s">
        <v>32</v>
      </c>
      <c r="H117" s="227" t="s">
        <v>32</v>
      </c>
      <c r="I117" s="253">
        <f>MIN(C117*CapacityDC*1000,D117)</f>
        <v>0</v>
      </c>
      <c r="K117" s="22"/>
      <c r="L117" s="22"/>
      <c r="M117" s="34"/>
      <c r="N117" s="22"/>
    </row>
    <row r="118" spans="2:17" ht="25.5" x14ac:dyDescent="0.2">
      <c r="B118" s="259" t="s">
        <v>62</v>
      </c>
      <c r="C118" s="254" t="s">
        <v>8</v>
      </c>
      <c r="D118" s="187" t="s">
        <v>292</v>
      </c>
      <c r="E118" s="187" t="s">
        <v>12</v>
      </c>
      <c r="F118" s="187" t="s">
        <v>293</v>
      </c>
      <c r="G118" s="187" t="s">
        <v>294</v>
      </c>
      <c r="H118" s="260" t="s">
        <v>30</v>
      </c>
      <c r="I118" s="34"/>
      <c r="J118" s="34"/>
      <c r="K118" s="34"/>
      <c r="L118" s="216"/>
      <c r="M118" s="34"/>
      <c r="N118" s="34"/>
      <c r="O118" s="35"/>
      <c r="P118" s="35"/>
      <c r="Q118" s="35"/>
    </row>
    <row r="119" spans="2:17" x14ac:dyDescent="0.2">
      <c r="B119" s="221" t="s">
        <v>287</v>
      </c>
      <c r="C119" s="246">
        <v>0</v>
      </c>
      <c r="D119" s="140">
        <v>0</v>
      </c>
      <c r="E119" s="147">
        <v>0</v>
      </c>
      <c r="F119" s="222" t="s">
        <v>31</v>
      </c>
      <c r="G119" s="222" t="s">
        <v>31</v>
      </c>
      <c r="H119" s="222" t="s">
        <v>32</v>
      </c>
      <c r="I119" s="34"/>
      <c r="J119" s="34"/>
      <c r="K119" s="34"/>
      <c r="L119" s="22"/>
      <c r="M119" s="34"/>
      <c r="N119" s="34"/>
      <c r="O119" s="35"/>
      <c r="P119" s="35"/>
      <c r="Q119" s="35"/>
    </row>
    <row r="120" spans="2:17" x14ac:dyDescent="0.2">
      <c r="B120" s="221" t="s">
        <v>288</v>
      </c>
      <c r="C120" s="246">
        <v>0</v>
      </c>
      <c r="D120" s="140">
        <v>0</v>
      </c>
      <c r="E120" s="147">
        <v>0</v>
      </c>
      <c r="F120" s="222" t="s">
        <v>31</v>
      </c>
      <c r="G120" s="222" t="s">
        <v>31</v>
      </c>
      <c r="H120" s="222" t="s">
        <v>32</v>
      </c>
      <c r="I120" s="34"/>
      <c r="J120" s="34"/>
      <c r="K120" s="34"/>
      <c r="L120" s="22"/>
      <c r="M120" s="34"/>
      <c r="N120" s="34"/>
      <c r="O120" s="35"/>
      <c r="P120" s="35"/>
      <c r="Q120" s="35"/>
    </row>
    <row r="121" spans="2:17" x14ac:dyDescent="0.2">
      <c r="B121" s="221" t="s">
        <v>289</v>
      </c>
      <c r="C121" s="246">
        <v>0</v>
      </c>
      <c r="D121" s="140">
        <v>0</v>
      </c>
      <c r="E121" s="147">
        <v>0</v>
      </c>
      <c r="F121" s="222" t="s">
        <v>31</v>
      </c>
      <c r="G121" s="222" t="s">
        <v>31</v>
      </c>
      <c r="H121" s="222" t="s">
        <v>32</v>
      </c>
      <c r="I121" s="34"/>
      <c r="J121" s="34"/>
      <c r="K121" s="34"/>
      <c r="L121" s="34"/>
      <c r="M121" s="34"/>
      <c r="N121" s="34"/>
      <c r="O121" s="35"/>
      <c r="P121" s="35"/>
      <c r="Q121" s="35"/>
    </row>
    <row r="122" spans="2:17" x14ac:dyDescent="0.2">
      <c r="B122" s="221" t="s">
        <v>290</v>
      </c>
      <c r="C122" s="246">
        <v>0</v>
      </c>
      <c r="D122" s="140">
        <v>0</v>
      </c>
      <c r="E122" s="147">
        <v>0</v>
      </c>
      <c r="F122" s="222" t="s">
        <v>31</v>
      </c>
      <c r="G122" s="222" t="s">
        <v>31</v>
      </c>
      <c r="H122" s="222" t="s">
        <v>32</v>
      </c>
      <c r="I122" s="22"/>
      <c r="J122" s="22"/>
      <c r="K122" s="22"/>
      <c r="L122" s="34"/>
      <c r="M122" s="22"/>
      <c r="N122" s="22"/>
      <c r="O122" s="35"/>
      <c r="P122" s="35"/>
      <c r="Q122" s="35"/>
    </row>
    <row r="123" spans="2:17" x14ac:dyDescent="0.2">
      <c r="B123" s="65"/>
      <c r="C123" s="217"/>
      <c r="D123" s="115"/>
      <c r="E123" s="118"/>
      <c r="F123" s="216"/>
      <c r="G123" s="216"/>
      <c r="H123" s="216"/>
      <c r="I123" s="22"/>
      <c r="J123" s="22"/>
      <c r="K123" s="22"/>
      <c r="L123" s="34"/>
      <c r="M123" s="22"/>
      <c r="N123" s="22"/>
      <c r="O123" s="35"/>
      <c r="P123" s="35"/>
      <c r="Q123" s="35"/>
    </row>
    <row r="124" spans="2:17" x14ac:dyDescent="0.2">
      <c r="B124" s="247" t="s">
        <v>183</v>
      </c>
      <c r="C124" s="248"/>
      <c r="I124" s="22"/>
      <c r="J124" s="22"/>
      <c r="K124" s="22"/>
      <c r="L124" s="34"/>
      <c r="M124" s="22"/>
      <c r="N124" s="22"/>
      <c r="O124" s="35"/>
      <c r="P124" s="35"/>
      <c r="Q124" s="35"/>
    </row>
    <row r="125" spans="2:17" x14ac:dyDescent="0.2">
      <c r="B125" s="249" t="s">
        <v>9</v>
      </c>
      <c r="C125" s="250" t="s">
        <v>184</v>
      </c>
      <c r="I125" s="22"/>
      <c r="J125" s="22"/>
      <c r="K125" s="22"/>
      <c r="L125" s="34"/>
      <c r="M125" s="22"/>
      <c r="N125" s="22"/>
      <c r="O125" s="35"/>
      <c r="P125" s="35"/>
      <c r="Q125" s="35"/>
    </row>
    <row r="126" spans="2:17" x14ac:dyDescent="0.2">
      <c r="B126" s="249" t="s">
        <v>10</v>
      </c>
      <c r="C126" s="250" t="s">
        <v>184</v>
      </c>
      <c r="I126" s="22"/>
      <c r="J126" s="22"/>
      <c r="K126" s="22"/>
      <c r="L126" s="34"/>
      <c r="M126" s="22"/>
      <c r="N126" s="22"/>
      <c r="O126" s="35"/>
      <c r="P126" s="35"/>
      <c r="Q126" s="35"/>
    </row>
    <row r="127" spans="2:17" x14ac:dyDescent="0.2">
      <c r="B127" s="65"/>
      <c r="C127" s="216"/>
      <c r="I127" s="22"/>
      <c r="J127" s="22"/>
      <c r="K127" s="22"/>
      <c r="L127" s="34"/>
      <c r="M127" s="22"/>
      <c r="N127" s="22"/>
      <c r="O127" s="35"/>
      <c r="P127" s="35"/>
      <c r="Q127" s="35"/>
    </row>
    <row r="128" spans="2:17" x14ac:dyDescent="0.2">
      <c r="B128" s="18" t="s">
        <v>299</v>
      </c>
      <c r="C128" s="21"/>
      <c r="D128" s="21"/>
      <c r="E128" s="21"/>
      <c r="F128" s="21"/>
      <c r="G128" s="19"/>
      <c r="H128" s="133" t="s">
        <v>295</v>
      </c>
      <c r="I128" s="22"/>
      <c r="J128" s="22"/>
      <c r="K128" s="22"/>
      <c r="L128" s="22"/>
      <c r="M128" s="22"/>
      <c r="N128" s="22"/>
      <c r="O128" s="35"/>
      <c r="P128" s="35"/>
      <c r="Q128" s="35"/>
    </row>
    <row r="129" spans="2:14" ht="12.75" customHeight="1" x14ac:dyDescent="0.2">
      <c r="B129" s="139" t="s">
        <v>296</v>
      </c>
      <c r="C129" s="263" t="s">
        <v>300</v>
      </c>
      <c r="D129" s="237" t="s">
        <v>297</v>
      </c>
      <c r="E129" s="237" t="s">
        <v>298</v>
      </c>
      <c r="F129" s="237" t="s">
        <v>307</v>
      </c>
      <c r="G129" s="237" t="s">
        <v>308</v>
      </c>
      <c r="H129" s="284" t="s">
        <v>309</v>
      </c>
      <c r="I129" s="251"/>
      <c r="J129" s="213"/>
      <c r="K129" s="213"/>
      <c r="L129" s="213"/>
      <c r="M129" s="22"/>
      <c r="N129" s="35"/>
    </row>
    <row r="130" spans="2:14" x14ac:dyDescent="0.2">
      <c r="B130" s="221" t="s">
        <v>72</v>
      </c>
      <c r="C130" s="147">
        <v>0.93000000000000038</v>
      </c>
      <c r="D130" s="222" t="s">
        <v>31</v>
      </c>
      <c r="E130" s="222" t="s">
        <v>31</v>
      </c>
      <c r="F130" s="222" t="s">
        <v>31</v>
      </c>
      <c r="G130" s="222" t="s">
        <v>31</v>
      </c>
      <c r="H130" s="41">
        <f t="shared" ref="H130:H137" si="3">SOInstalledCostTotal*C130</f>
        <v>35832900.930000015</v>
      </c>
      <c r="I130" s="213"/>
      <c r="J130" s="213"/>
      <c r="K130" s="213"/>
      <c r="L130" s="213"/>
      <c r="M130" s="22"/>
    </row>
    <row r="131" spans="2:14" ht="12.75" customHeight="1" x14ac:dyDescent="0.2">
      <c r="B131" s="221" t="s">
        <v>73</v>
      </c>
      <c r="C131" s="147">
        <v>1.4999999999999999E-2</v>
      </c>
      <c r="D131" s="222" t="s">
        <v>31</v>
      </c>
      <c r="E131" s="222" t="s">
        <v>31</v>
      </c>
      <c r="F131" s="222" t="s">
        <v>32</v>
      </c>
      <c r="G131" s="222" t="s">
        <v>32</v>
      </c>
      <c r="H131" s="41">
        <f t="shared" si="3"/>
        <v>577950.01500000001</v>
      </c>
      <c r="I131" s="213"/>
      <c r="J131" s="213"/>
      <c r="K131" s="213"/>
      <c r="L131" s="213"/>
      <c r="M131" s="22"/>
    </row>
    <row r="132" spans="2:14" x14ac:dyDescent="0.2">
      <c r="B132" s="221" t="s">
        <v>74</v>
      </c>
      <c r="C132" s="147">
        <v>0</v>
      </c>
      <c r="D132" s="222" t="s">
        <v>32</v>
      </c>
      <c r="E132" s="222" t="s">
        <v>32</v>
      </c>
      <c r="F132" s="222" t="s">
        <v>32</v>
      </c>
      <c r="G132" s="222" t="s">
        <v>32</v>
      </c>
      <c r="H132" s="41">
        <f t="shared" si="3"/>
        <v>0</v>
      </c>
      <c r="I132" s="213"/>
      <c r="J132" s="213"/>
      <c r="K132" s="213"/>
      <c r="L132" s="213"/>
      <c r="M132" s="22"/>
    </row>
    <row r="133" spans="2:14" x14ac:dyDescent="0.2">
      <c r="B133" s="221" t="s">
        <v>75</v>
      </c>
      <c r="C133" s="147">
        <v>2.5000000000000001E-2</v>
      </c>
      <c r="D133" s="222" t="s">
        <v>32</v>
      </c>
      <c r="E133" s="222" t="s">
        <v>32</v>
      </c>
      <c r="F133" s="222" t="s">
        <v>32</v>
      </c>
      <c r="G133" s="222" t="s">
        <v>32</v>
      </c>
      <c r="H133" s="41">
        <f t="shared" si="3"/>
        <v>963250.02500000002</v>
      </c>
      <c r="I133" s="213"/>
      <c r="J133" s="213"/>
      <c r="K133" s="213"/>
      <c r="L133" s="213"/>
      <c r="M133" s="22"/>
    </row>
    <row r="134" spans="2:14" x14ac:dyDescent="0.2">
      <c r="B134" s="221" t="s">
        <v>76</v>
      </c>
      <c r="C134" s="147">
        <v>2.5000000000000001E-2</v>
      </c>
      <c r="D134" s="222" t="s">
        <v>32</v>
      </c>
      <c r="E134" s="222" t="s">
        <v>32</v>
      </c>
      <c r="F134" s="222" t="s">
        <v>32</v>
      </c>
      <c r="G134" s="222" t="s">
        <v>32</v>
      </c>
      <c r="H134" s="41">
        <f t="shared" si="3"/>
        <v>963250.02500000002</v>
      </c>
      <c r="I134" s="213"/>
      <c r="J134" s="213"/>
      <c r="K134" s="213"/>
      <c r="L134" s="213"/>
      <c r="M134" s="22"/>
    </row>
    <row r="135" spans="2:14" x14ac:dyDescent="0.2">
      <c r="B135" s="221" t="s">
        <v>77</v>
      </c>
      <c r="C135" s="147">
        <v>5.0000000000000001E-3</v>
      </c>
      <c r="D135" s="222" t="s">
        <v>32</v>
      </c>
      <c r="E135" s="222" t="s">
        <v>32</v>
      </c>
      <c r="F135" s="190" t="s">
        <v>32</v>
      </c>
      <c r="G135" s="190" t="s">
        <v>32</v>
      </c>
      <c r="H135" s="41">
        <f t="shared" si="3"/>
        <v>192650.005</v>
      </c>
      <c r="I135" s="213"/>
      <c r="J135" s="213"/>
      <c r="K135" s="213"/>
      <c r="L135" s="213"/>
      <c r="M135" s="22"/>
    </row>
    <row r="136" spans="2:14" ht="12" customHeight="1" x14ac:dyDescent="0.2">
      <c r="B136" s="221" t="s">
        <v>155</v>
      </c>
      <c r="C136" s="143">
        <f>1-SUM(C130:C135)</f>
        <v>0</v>
      </c>
      <c r="D136" s="267">
        <v>0</v>
      </c>
      <c r="E136" s="268">
        <v>0</v>
      </c>
      <c r="F136" s="196"/>
      <c r="G136" s="197"/>
      <c r="H136" s="253">
        <f t="shared" si="3"/>
        <v>0</v>
      </c>
      <c r="I136" s="213"/>
      <c r="J136" s="213"/>
      <c r="K136" s="213"/>
      <c r="L136" s="213"/>
      <c r="M136" s="22"/>
    </row>
    <row r="137" spans="2:14" x14ac:dyDescent="0.2">
      <c r="B137" s="221" t="s">
        <v>23</v>
      </c>
      <c r="C137" s="264">
        <f t="shared" ref="C137" si="4">SUM(C130:C136)</f>
        <v>1.0000000000000004</v>
      </c>
      <c r="D137" s="265"/>
      <c r="E137" s="266"/>
      <c r="F137" s="176"/>
      <c r="G137" s="269"/>
      <c r="H137" s="253">
        <f t="shared" si="3"/>
        <v>38530001.000000015</v>
      </c>
      <c r="I137" s="213"/>
      <c r="J137" s="213"/>
      <c r="K137" s="213"/>
      <c r="L137" s="213"/>
      <c r="M137" s="22"/>
    </row>
    <row r="138" spans="2:14" x14ac:dyDescent="0.2">
      <c r="D138" s="213"/>
      <c r="E138" s="252"/>
      <c r="F138" s="213"/>
      <c r="G138" s="213"/>
      <c r="H138" s="213"/>
      <c r="I138" s="213"/>
      <c r="J138" s="213"/>
      <c r="K138" s="213"/>
      <c r="L138" s="213"/>
      <c r="M138" s="22"/>
    </row>
    <row r="139" spans="2:14" x14ac:dyDescent="0.2">
      <c r="D139" s="213"/>
      <c r="E139" s="252"/>
      <c r="F139" s="213"/>
      <c r="G139" s="213"/>
      <c r="H139" s="213"/>
      <c r="I139" s="213"/>
      <c r="J139" s="213"/>
      <c r="K139" s="213"/>
      <c r="L139" s="213"/>
      <c r="M139" s="22"/>
    </row>
    <row r="140" spans="2:14" x14ac:dyDescent="0.2">
      <c r="D140" s="213"/>
      <c r="E140" s="252"/>
      <c r="F140" s="213"/>
      <c r="G140" s="213"/>
      <c r="H140" s="213"/>
      <c r="I140" s="213"/>
      <c r="J140" s="213"/>
      <c r="K140" s="213"/>
      <c r="L140" s="213"/>
      <c r="M140" s="22"/>
    </row>
    <row r="141" spans="2:14" x14ac:dyDescent="0.2">
      <c r="D141" s="213"/>
      <c r="E141" s="252"/>
      <c r="F141" s="213"/>
      <c r="G141" s="213"/>
      <c r="H141" s="213"/>
      <c r="I141" s="213"/>
      <c r="J141" s="213"/>
      <c r="K141" s="213"/>
      <c r="L141" s="213"/>
      <c r="M141" s="22"/>
    </row>
    <row r="142" spans="2:14" ht="13.5" customHeight="1" x14ac:dyDescent="0.2">
      <c r="I142" s="22"/>
      <c r="J142" s="22"/>
      <c r="K142" s="22"/>
      <c r="L142" s="22"/>
      <c r="M142" s="22"/>
    </row>
    <row r="143" spans="2:14" x14ac:dyDescent="0.2">
      <c r="I143" s="22"/>
      <c r="J143" s="22"/>
      <c r="K143" s="22"/>
      <c r="L143" s="22"/>
      <c r="M143" s="22"/>
    </row>
    <row r="144" spans="2:14" ht="12" customHeight="1" x14ac:dyDescent="0.2">
      <c r="I144" s="212"/>
      <c r="J144" s="22"/>
      <c r="K144" s="22"/>
      <c r="L144" s="22"/>
      <c r="M144" s="22"/>
    </row>
    <row r="145" spans="4:13" x14ac:dyDescent="0.2">
      <c r="I145" s="212"/>
      <c r="J145" s="22"/>
      <c r="K145" s="22"/>
      <c r="L145" s="22"/>
      <c r="M145" s="22"/>
    </row>
    <row r="146" spans="4:13" x14ac:dyDescent="0.2">
      <c r="I146" s="212"/>
      <c r="J146" s="22"/>
      <c r="K146" s="22"/>
      <c r="L146" s="22"/>
      <c r="M146" s="22"/>
    </row>
    <row r="147" spans="4:13" x14ac:dyDescent="0.2">
      <c r="I147" s="212"/>
      <c r="J147" s="22"/>
      <c r="K147" s="22"/>
      <c r="L147" s="22"/>
      <c r="M147" s="22"/>
    </row>
    <row r="148" spans="4:13" x14ac:dyDescent="0.2">
      <c r="I148" s="214"/>
      <c r="J148" s="22"/>
      <c r="K148" s="22"/>
      <c r="L148" s="22"/>
      <c r="M148" s="22"/>
    </row>
    <row r="149" spans="4:13" x14ac:dyDescent="0.2">
      <c r="I149" s="212"/>
      <c r="J149" s="22"/>
      <c r="K149" s="22"/>
      <c r="L149" s="22"/>
      <c r="M149" s="22"/>
    </row>
    <row r="150" spans="4:13" x14ac:dyDescent="0.2">
      <c r="I150" s="22"/>
      <c r="J150" s="22"/>
      <c r="K150" s="22"/>
      <c r="L150" s="22"/>
      <c r="M150" s="22"/>
    </row>
    <row r="151" spans="4:13" x14ac:dyDescent="0.2">
      <c r="I151" s="22"/>
      <c r="J151" s="22"/>
      <c r="K151" s="22"/>
      <c r="L151" s="22"/>
      <c r="M151" s="22"/>
    </row>
    <row r="152" spans="4:13" x14ac:dyDescent="0.2">
      <c r="D152" s="22"/>
      <c r="E152" s="22"/>
      <c r="F152" s="22"/>
      <c r="G152" s="22"/>
      <c r="H152" s="22"/>
      <c r="I152" s="22"/>
      <c r="J152" s="22"/>
      <c r="K152" s="22"/>
      <c r="L152" s="22"/>
      <c r="M152" s="22"/>
    </row>
    <row r="153" spans="4:13" x14ac:dyDescent="0.2">
      <c r="D153" s="22"/>
      <c r="E153" s="22"/>
      <c r="F153" s="22"/>
      <c r="G153" s="22"/>
      <c r="H153" s="22"/>
      <c r="I153" s="22"/>
      <c r="J153" s="22"/>
      <c r="K153" s="22"/>
      <c r="L153" s="22"/>
      <c r="M153" s="22"/>
    </row>
    <row r="154" spans="4:13" x14ac:dyDescent="0.2">
      <c r="D154" s="22"/>
      <c r="E154" s="22"/>
      <c r="F154" s="22"/>
      <c r="G154" s="22"/>
      <c r="H154" s="22"/>
      <c r="I154" s="22"/>
      <c r="J154" s="22"/>
      <c r="K154" s="22"/>
      <c r="L154" s="22"/>
      <c r="M154" s="22"/>
    </row>
    <row r="155" spans="4:13" x14ac:dyDescent="0.2">
      <c r="D155" s="22"/>
      <c r="E155" s="22"/>
      <c r="F155" s="22"/>
      <c r="G155" s="22"/>
      <c r="H155" s="22"/>
      <c r="I155" s="22"/>
      <c r="J155" s="22"/>
      <c r="K155" s="22"/>
      <c r="L155" s="22"/>
      <c r="M155" s="22"/>
    </row>
    <row r="156" spans="4:13" x14ac:dyDescent="0.2">
      <c r="D156" s="22"/>
      <c r="E156" s="22"/>
      <c r="F156" s="22"/>
      <c r="G156" s="22"/>
      <c r="H156" s="22"/>
      <c r="I156" s="22"/>
      <c r="J156" s="22"/>
      <c r="K156" s="22"/>
      <c r="L156" s="22"/>
      <c r="M156" s="22"/>
    </row>
    <row r="157" spans="4:13" x14ac:dyDescent="0.2">
      <c r="D157" s="22"/>
      <c r="E157" s="22"/>
      <c r="F157" s="22"/>
      <c r="G157" s="22"/>
      <c r="H157" s="22"/>
      <c r="I157" s="22"/>
      <c r="J157" s="22"/>
      <c r="K157" s="22"/>
      <c r="L157" s="22"/>
      <c r="M157" s="22"/>
    </row>
    <row r="158" spans="4:13" x14ac:dyDescent="0.2">
      <c r="D158" s="22"/>
      <c r="E158" s="22"/>
      <c r="F158" s="22"/>
      <c r="G158" s="22"/>
      <c r="H158" s="22"/>
      <c r="I158" s="22"/>
      <c r="J158" s="22"/>
      <c r="K158" s="22"/>
      <c r="L158" s="22"/>
      <c r="M158" s="22"/>
    </row>
    <row r="159" spans="4:13" x14ac:dyDescent="0.2">
      <c r="D159" s="22"/>
      <c r="E159" s="22"/>
      <c r="F159" s="22"/>
      <c r="G159" s="22"/>
      <c r="H159" s="22"/>
      <c r="I159" s="22"/>
      <c r="J159" s="22"/>
      <c r="K159" s="22"/>
      <c r="L159" s="22"/>
      <c r="M159" s="22"/>
    </row>
    <row r="160" spans="4:13" x14ac:dyDescent="0.2">
      <c r="D160" s="22"/>
      <c r="E160" s="22"/>
      <c r="F160" s="22"/>
      <c r="G160" s="22"/>
      <c r="H160" s="22"/>
      <c r="I160" s="22"/>
      <c r="J160" s="22"/>
      <c r="K160" s="22"/>
      <c r="L160" s="22"/>
      <c r="M160" s="22"/>
    </row>
    <row r="161" spans="4:13" x14ac:dyDescent="0.2">
      <c r="D161" s="22"/>
      <c r="E161" s="22"/>
      <c r="F161" s="22"/>
      <c r="G161" s="22"/>
      <c r="H161" s="22"/>
      <c r="I161" s="22"/>
      <c r="J161" s="22"/>
      <c r="K161" s="22"/>
      <c r="L161" s="22"/>
      <c r="M161" s="22"/>
    </row>
    <row r="162" spans="4:13" x14ac:dyDescent="0.2">
      <c r="D162" s="22"/>
      <c r="E162" s="22"/>
      <c r="F162" s="22"/>
      <c r="G162" s="22"/>
      <c r="H162" s="22"/>
      <c r="I162" s="22"/>
      <c r="J162" s="22"/>
      <c r="K162" s="22"/>
      <c r="L162" s="22"/>
      <c r="M162" s="22"/>
    </row>
    <row r="163" spans="4:13" x14ac:dyDescent="0.2">
      <c r="D163" s="22"/>
      <c r="E163" s="22"/>
      <c r="F163" s="22"/>
      <c r="G163" s="22"/>
      <c r="H163" s="22"/>
      <c r="I163" s="22"/>
      <c r="J163" s="22"/>
      <c r="K163" s="22"/>
      <c r="L163" s="22"/>
      <c r="M163" s="22"/>
    </row>
    <row r="164" spans="4:13" x14ac:dyDescent="0.2">
      <c r="D164" s="22"/>
      <c r="E164" s="22"/>
      <c r="F164" s="22"/>
      <c r="G164" s="22"/>
      <c r="H164" s="22"/>
      <c r="I164" s="22"/>
      <c r="J164" s="22"/>
      <c r="K164" s="22"/>
      <c r="L164" s="22"/>
      <c r="M164" s="22"/>
    </row>
    <row r="165" spans="4:13" x14ac:dyDescent="0.2">
      <c r="D165" s="22"/>
      <c r="E165" s="22"/>
      <c r="F165" s="22"/>
      <c r="G165" s="22"/>
      <c r="H165" s="22"/>
      <c r="I165" s="22"/>
      <c r="J165" s="22"/>
      <c r="K165" s="22"/>
      <c r="L165" s="22"/>
      <c r="M165" s="22"/>
    </row>
    <row r="166" spans="4:13" x14ac:dyDescent="0.2">
      <c r="D166" s="22"/>
      <c r="E166" s="22"/>
      <c r="F166" s="22"/>
      <c r="G166" s="22"/>
      <c r="H166" s="22"/>
      <c r="I166" s="22"/>
      <c r="J166" s="22"/>
      <c r="K166" s="22"/>
      <c r="L166" s="22"/>
      <c r="M166" s="22"/>
    </row>
    <row r="167" spans="4:13" x14ac:dyDescent="0.2">
      <c r="D167" s="22"/>
      <c r="E167" s="22"/>
      <c r="F167" s="22"/>
      <c r="G167" s="22"/>
      <c r="H167" s="22"/>
      <c r="I167" s="22"/>
      <c r="J167" s="22"/>
      <c r="K167" s="22"/>
      <c r="L167" s="22"/>
      <c r="M167" s="22"/>
    </row>
    <row r="168" spans="4:13" x14ac:dyDescent="0.2">
      <c r="D168" s="22"/>
      <c r="E168" s="22"/>
      <c r="F168" s="22"/>
      <c r="G168" s="22"/>
      <c r="H168" s="22"/>
      <c r="I168" s="22"/>
      <c r="J168" s="22"/>
      <c r="K168" s="22"/>
      <c r="L168" s="22"/>
      <c r="M168" s="22"/>
    </row>
    <row r="169" spans="4:13" x14ac:dyDescent="0.2">
      <c r="D169" s="22"/>
      <c r="E169" s="22"/>
      <c r="F169" s="22"/>
      <c r="G169" s="22"/>
      <c r="H169" s="22"/>
      <c r="I169" s="22"/>
      <c r="J169" s="22"/>
      <c r="K169" s="22"/>
      <c r="L169" s="22"/>
      <c r="M169" s="22"/>
    </row>
    <row r="170" spans="4:13" x14ac:dyDescent="0.2">
      <c r="D170" s="22"/>
      <c r="E170" s="22"/>
      <c r="F170" s="22"/>
      <c r="G170" s="22"/>
      <c r="H170" s="22"/>
      <c r="I170" s="22"/>
      <c r="J170" s="22"/>
      <c r="K170" s="22"/>
      <c r="L170" s="22"/>
      <c r="M170" s="22"/>
    </row>
    <row r="171" spans="4:13" x14ac:dyDescent="0.2">
      <c r="D171" s="22"/>
      <c r="E171" s="22"/>
      <c r="F171" s="22"/>
      <c r="G171" s="22"/>
      <c r="H171" s="22"/>
      <c r="I171" s="22"/>
      <c r="J171" s="22"/>
      <c r="K171" s="22"/>
      <c r="L171" s="22"/>
      <c r="M171" s="22"/>
    </row>
    <row r="172" spans="4:13" x14ac:dyDescent="0.2">
      <c r="D172" s="22"/>
      <c r="E172" s="22"/>
      <c r="F172" s="22"/>
      <c r="G172" s="22"/>
      <c r="H172" s="22"/>
      <c r="I172" s="22"/>
      <c r="J172" s="22"/>
      <c r="K172" s="22"/>
      <c r="L172" s="22"/>
      <c r="M172" s="22"/>
    </row>
    <row r="173" spans="4:13" x14ac:dyDescent="0.2">
      <c r="D173" s="22"/>
      <c r="E173" s="22"/>
      <c r="F173" s="22"/>
      <c r="G173" s="22"/>
      <c r="H173" s="22"/>
      <c r="I173" s="22"/>
      <c r="J173" s="22"/>
      <c r="K173" s="22"/>
      <c r="L173" s="22"/>
      <c r="M173" s="22"/>
    </row>
    <row r="174" spans="4:13" x14ac:dyDescent="0.2">
      <c r="D174" s="22"/>
      <c r="E174" s="22"/>
      <c r="F174" s="22"/>
      <c r="G174" s="22"/>
      <c r="H174" s="22"/>
      <c r="I174" s="22"/>
      <c r="J174" s="22"/>
      <c r="K174" s="22"/>
      <c r="L174" s="22"/>
      <c r="M174" s="22"/>
    </row>
    <row r="175" spans="4:13" x14ac:dyDescent="0.2">
      <c r="D175" s="22"/>
      <c r="E175" s="22"/>
      <c r="F175" s="22"/>
      <c r="G175" s="22"/>
      <c r="H175" s="22"/>
      <c r="I175" s="22"/>
      <c r="J175" s="22"/>
      <c r="K175" s="22"/>
      <c r="L175" s="22"/>
      <c r="M175" s="22"/>
    </row>
    <row r="176" spans="4:13" x14ac:dyDescent="0.2">
      <c r="D176" s="22"/>
      <c r="E176" s="22"/>
      <c r="F176" s="22"/>
      <c r="G176" s="22"/>
      <c r="H176" s="22"/>
      <c r="I176" s="22"/>
      <c r="J176" s="22"/>
      <c r="K176" s="22"/>
      <c r="L176" s="22"/>
      <c r="M176" s="22"/>
    </row>
    <row r="177" spans="4:13" x14ac:dyDescent="0.2">
      <c r="D177" s="22"/>
      <c r="E177" s="22"/>
      <c r="F177" s="22"/>
      <c r="G177" s="22"/>
      <c r="H177" s="22"/>
      <c r="I177" s="22"/>
      <c r="J177" s="22"/>
      <c r="K177" s="22"/>
      <c r="L177" s="22"/>
      <c r="M177" s="22"/>
    </row>
    <row r="178" spans="4:13" x14ac:dyDescent="0.2">
      <c r="D178" s="22"/>
      <c r="E178" s="22"/>
      <c r="F178" s="22"/>
      <c r="G178" s="22"/>
      <c r="H178" s="22"/>
      <c r="I178" s="22"/>
      <c r="J178" s="22"/>
      <c r="K178" s="22"/>
      <c r="L178" s="22"/>
      <c r="M178" s="22"/>
    </row>
    <row r="179" spans="4:13" x14ac:dyDescent="0.2">
      <c r="D179" s="22"/>
      <c r="E179" s="22"/>
      <c r="F179" s="22"/>
      <c r="G179" s="22"/>
      <c r="H179" s="22"/>
      <c r="I179" s="22"/>
      <c r="J179" s="22"/>
      <c r="K179" s="22"/>
      <c r="L179" s="22"/>
      <c r="M179" s="22"/>
    </row>
    <row r="180" spans="4:13" x14ac:dyDescent="0.2">
      <c r="D180" s="22"/>
      <c r="E180" s="22"/>
      <c r="F180" s="22"/>
      <c r="G180" s="22"/>
      <c r="H180" s="22"/>
      <c r="I180" s="22"/>
      <c r="J180" s="22"/>
      <c r="K180" s="22"/>
      <c r="L180" s="22"/>
      <c r="M180" s="22"/>
    </row>
    <row r="181" spans="4:13" x14ac:dyDescent="0.2">
      <c r="D181" s="22"/>
      <c r="E181" s="22"/>
      <c r="F181" s="22"/>
      <c r="G181" s="22"/>
      <c r="H181" s="22"/>
      <c r="I181" s="22"/>
      <c r="J181" s="22"/>
      <c r="K181" s="22"/>
      <c r="L181" s="22"/>
      <c r="M181" s="22"/>
    </row>
    <row r="182" spans="4:13" x14ac:dyDescent="0.2">
      <c r="D182" s="22"/>
      <c r="E182" s="22"/>
      <c r="F182" s="22"/>
      <c r="G182" s="22"/>
      <c r="H182" s="22"/>
      <c r="I182" s="22"/>
      <c r="J182" s="22"/>
      <c r="K182" s="22"/>
      <c r="L182" s="22"/>
      <c r="M182" s="22"/>
    </row>
    <row r="183" spans="4:13" x14ac:dyDescent="0.2">
      <c r="D183" s="22"/>
      <c r="E183" s="22"/>
      <c r="F183" s="22"/>
      <c r="G183" s="22"/>
      <c r="H183" s="22"/>
      <c r="I183" s="22"/>
      <c r="J183" s="22"/>
      <c r="K183" s="22"/>
      <c r="L183" s="22"/>
      <c r="M183" s="22"/>
    </row>
    <row r="184" spans="4:13" x14ac:dyDescent="0.2">
      <c r="D184" s="22"/>
      <c r="E184" s="22"/>
      <c r="F184" s="22"/>
      <c r="G184" s="22"/>
      <c r="H184" s="22"/>
      <c r="I184" s="22"/>
      <c r="J184" s="22"/>
      <c r="K184" s="22"/>
      <c r="L184" s="22"/>
      <c r="M184" s="22"/>
    </row>
    <row r="185" spans="4:13" x14ac:dyDescent="0.2">
      <c r="D185" s="22"/>
      <c r="E185" s="22"/>
      <c r="F185" s="22"/>
      <c r="G185" s="22"/>
      <c r="H185" s="22"/>
      <c r="I185" s="22"/>
      <c r="J185" s="22"/>
      <c r="K185" s="22"/>
      <c r="L185" s="22"/>
      <c r="M185" s="22"/>
    </row>
    <row r="186" spans="4:13" x14ac:dyDescent="0.2">
      <c r="D186" s="22"/>
      <c r="E186" s="22"/>
      <c r="F186" s="22"/>
      <c r="G186" s="22"/>
      <c r="H186" s="22"/>
      <c r="I186" s="22"/>
      <c r="J186" s="22"/>
      <c r="K186" s="22"/>
      <c r="L186" s="22"/>
      <c r="M186" s="22"/>
    </row>
    <row r="187" spans="4:13" x14ac:dyDescent="0.2">
      <c r="D187" s="22"/>
      <c r="E187" s="22"/>
      <c r="F187" s="22"/>
      <c r="G187" s="22"/>
      <c r="H187" s="22"/>
      <c r="I187" s="22"/>
      <c r="J187" s="22"/>
      <c r="K187" s="22"/>
      <c r="L187" s="22"/>
      <c r="M187" s="22"/>
    </row>
    <row r="188" spans="4:13" x14ac:dyDescent="0.2">
      <c r="D188" s="22"/>
      <c r="E188" s="22"/>
      <c r="F188" s="22"/>
      <c r="G188" s="22"/>
      <c r="H188" s="22"/>
      <c r="I188" s="22"/>
      <c r="J188" s="22"/>
      <c r="K188" s="22"/>
      <c r="L188" s="22"/>
      <c r="M188" s="22"/>
    </row>
    <row r="189" spans="4:13" x14ac:dyDescent="0.2">
      <c r="D189" s="22"/>
      <c r="E189" s="22"/>
      <c r="F189" s="22"/>
      <c r="G189" s="22"/>
      <c r="H189" s="22"/>
      <c r="I189" s="22"/>
      <c r="J189" s="22"/>
      <c r="K189" s="22"/>
      <c r="L189" s="22"/>
      <c r="M189" s="22"/>
    </row>
    <row r="190" spans="4:13" x14ac:dyDescent="0.2">
      <c r="D190" s="22"/>
      <c r="E190" s="22"/>
      <c r="F190" s="22"/>
      <c r="G190" s="22"/>
      <c r="H190" s="22"/>
      <c r="I190" s="22"/>
      <c r="J190" s="22"/>
      <c r="K190" s="22"/>
      <c r="L190" s="22"/>
      <c r="M190" s="22"/>
    </row>
    <row r="191" spans="4:13" x14ac:dyDescent="0.2">
      <c r="D191" s="22"/>
      <c r="E191" s="22"/>
      <c r="F191" s="22"/>
      <c r="G191" s="22"/>
      <c r="H191" s="22"/>
      <c r="I191" s="22"/>
      <c r="J191" s="22"/>
      <c r="K191" s="22"/>
      <c r="L191" s="22"/>
      <c r="M191" s="22"/>
    </row>
    <row r="192" spans="4:13" x14ac:dyDescent="0.2">
      <c r="D192" s="22"/>
      <c r="E192" s="22"/>
      <c r="F192" s="22"/>
      <c r="G192" s="22"/>
      <c r="H192" s="22"/>
      <c r="I192" s="22"/>
      <c r="J192" s="22"/>
      <c r="K192" s="22"/>
      <c r="L192" s="22"/>
      <c r="M192" s="22"/>
    </row>
    <row r="193" spans="4:13" x14ac:dyDescent="0.2">
      <c r="D193" s="22"/>
      <c r="E193" s="22"/>
      <c r="F193" s="22"/>
      <c r="G193" s="22"/>
      <c r="H193" s="22"/>
      <c r="I193" s="22"/>
      <c r="J193" s="22"/>
      <c r="K193" s="22"/>
      <c r="L193" s="22"/>
      <c r="M193" s="22"/>
    </row>
    <row r="194" spans="4:13" x14ac:dyDescent="0.2">
      <c r="D194" s="22"/>
      <c r="E194" s="22"/>
      <c r="F194" s="22"/>
      <c r="G194" s="22"/>
      <c r="H194" s="22"/>
      <c r="I194" s="22"/>
      <c r="J194" s="22"/>
      <c r="K194" s="22"/>
      <c r="L194" s="22"/>
      <c r="M194" s="22"/>
    </row>
    <row r="195" spans="4:13" x14ac:dyDescent="0.2">
      <c r="D195" s="22"/>
      <c r="E195" s="22"/>
      <c r="F195" s="22"/>
      <c r="G195" s="22"/>
      <c r="H195" s="22"/>
      <c r="I195" s="22"/>
      <c r="J195" s="22"/>
      <c r="K195" s="22"/>
      <c r="L195" s="22"/>
      <c r="M195" s="22"/>
    </row>
    <row r="196" spans="4:13" x14ac:dyDescent="0.2">
      <c r="D196" s="22"/>
      <c r="E196" s="22"/>
      <c r="F196" s="22"/>
      <c r="G196" s="22"/>
      <c r="H196" s="22"/>
      <c r="I196" s="22"/>
      <c r="J196" s="22"/>
      <c r="K196" s="22"/>
      <c r="L196" s="22"/>
      <c r="M196" s="22"/>
    </row>
    <row r="197" spans="4:13" x14ac:dyDescent="0.2">
      <c r="D197" s="22"/>
      <c r="E197" s="22"/>
      <c r="F197" s="22"/>
      <c r="G197" s="22"/>
      <c r="H197" s="22"/>
      <c r="I197" s="22"/>
      <c r="J197" s="22"/>
      <c r="K197" s="22"/>
      <c r="L197" s="22"/>
      <c r="M197" s="22"/>
    </row>
    <row r="198" spans="4:13" x14ac:dyDescent="0.2">
      <c r="D198" s="22"/>
      <c r="E198" s="22"/>
      <c r="F198" s="22"/>
      <c r="G198" s="22"/>
      <c r="H198" s="22"/>
      <c r="I198" s="22"/>
      <c r="J198" s="22"/>
      <c r="K198" s="22"/>
      <c r="L198" s="22"/>
      <c r="M198" s="22"/>
    </row>
    <row r="199" spans="4:13" x14ac:dyDescent="0.2">
      <c r="D199" s="22"/>
      <c r="E199" s="22"/>
      <c r="F199" s="22"/>
      <c r="G199" s="22"/>
      <c r="H199" s="22"/>
      <c r="I199" s="22"/>
      <c r="J199" s="22"/>
      <c r="K199" s="22"/>
      <c r="L199" s="22"/>
      <c r="M199" s="22"/>
    </row>
    <row r="200" spans="4:13" x14ac:dyDescent="0.2">
      <c r="D200" s="22"/>
      <c r="E200" s="22"/>
      <c r="F200" s="22"/>
      <c r="G200" s="22"/>
      <c r="H200" s="22"/>
      <c r="I200" s="22"/>
      <c r="J200" s="22"/>
      <c r="K200" s="22"/>
      <c r="L200" s="22"/>
      <c r="M200" s="22"/>
    </row>
    <row r="201" spans="4:13" x14ac:dyDescent="0.2">
      <c r="D201" s="22"/>
      <c r="E201" s="22"/>
      <c r="F201" s="22"/>
      <c r="G201" s="22"/>
      <c r="H201" s="22"/>
      <c r="I201" s="22"/>
      <c r="J201" s="22"/>
      <c r="K201" s="22"/>
      <c r="L201" s="22"/>
      <c r="M201" s="22"/>
    </row>
    <row r="202" spans="4:13" x14ac:dyDescent="0.2">
      <c r="D202" s="22"/>
      <c r="E202" s="22"/>
      <c r="F202" s="22"/>
      <c r="G202" s="22"/>
      <c r="H202" s="22"/>
      <c r="I202" s="22"/>
      <c r="J202" s="22"/>
      <c r="K202" s="22"/>
      <c r="L202" s="22"/>
      <c r="M202" s="22"/>
    </row>
    <row r="203" spans="4:13" x14ac:dyDescent="0.2">
      <c r="D203" s="22"/>
      <c r="E203" s="22"/>
      <c r="F203" s="22"/>
      <c r="G203" s="22"/>
      <c r="H203" s="22"/>
      <c r="I203" s="22"/>
      <c r="J203" s="22"/>
      <c r="K203" s="22"/>
      <c r="L203" s="22"/>
      <c r="M203" s="22"/>
    </row>
    <row r="204" spans="4:13" x14ac:dyDescent="0.2">
      <c r="D204" s="22"/>
      <c r="E204" s="22"/>
      <c r="F204" s="22"/>
      <c r="G204" s="22"/>
      <c r="H204" s="22"/>
      <c r="I204" s="22"/>
      <c r="J204" s="22"/>
      <c r="K204" s="22"/>
      <c r="L204" s="22"/>
      <c r="M204" s="22"/>
    </row>
    <row r="205" spans="4:13" x14ac:dyDescent="0.2">
      <c r="D205" s="22"/>
      <c r="E205" s="22"/>
      <c r="F205" s="22"/>
      <c r="G205" s="22"/>
      <c r="H205" s="22"/>
      <c r="I205" s="22"/>
      <c r="J205" s="22"/>
      <c r="K205" s="22"/>
      <c r="L205" s="22"/>
      <c r="M205" s="22"/>
    </row>
    <row r="206" spans="4:13" x14ac:dyDescent="0.2">
      <c r="D206" s="22"/>
      <c r="E206" s="22"/>
      <c r="F206" s="22"/>
      <c r="G206" s="22"/>
      <c r="H206" s="22"/>
      <c r="I206" s="22"/>
      <c r="J206" s="22"/>
      <c r="K206" s="22"/>
      <c r="L206" s="22"/>
      <c r="M206" s="22"/>
    </row>
    <row r="207" spans="4:13" x14ac:dyDescent="0.2">
      <c r="D207" s="22"/>
      <c r="E207" s="22"/>
      <c r="F207" s="22"/>
      <c r="G207" s="22"/>
      <c r="H207" s="22"/>
      <c r="I207" s="22"/>
      <c r="J207" s="22"/>
      <c r="K207" s="22"/>
      <c r="L207" s="22"/>
      <c r="M207" s="22"/>
    </row>
    <row r="208" spans="4:13" x14ac:dyDescent="0.2">
      <c r="D208" s="22"/>
      <c r="E208" s="22"/>
      <c r="F208" s="22"/>
      <c r="G208" s="22"/>
      <c r="H208" s="22"/>
      <c r="I208" s="22"/>
      <c r="J208" s="22"/>
      <c r="K208" s="22"/>
      <c r="L208" s="22"/>
      <c r="M208" s="22"/>
    </row>
    <row r="209" spans="4:13" x14ac:dyDescent="0.2">
      <c r="D209" s="22"/>
      <c r="E209" s="22"/>
      <c r="F209" s="22"/>
      <c r="G209" s="22"/>
      <c r="H209" s="22"/>
      <c r="I209" s="22"/>
      <c r="J209" s="22"/>
      <c r="K209" s="22"/>
      <c r="L209" s="22"/>
      <c r="M209" s="22"/>
    </row>
    <row r="210" spans="4:13" x14ac:dyDescent="0.2">
      <c r="D210" s="22"/>
      <c r="E210" s="22"/>
      <c r="F210" s="22"/>
      <c r="G210" s="22"/>
      <c r="H210" s="22"/>
      <c r="I210" s="22"/>
      <c r="J210" s="22"/>
      <c r="K210" s="22"/>
      <c r="L210" s="22"/>
      <c r="M210" s="22"/>
    </row>
    <row r="211" spans="4:13" x14ac:dyDescent="0.2">
      <c r="D211" s="22"/>
      <c r="E211" s="22"/>
      <c r="F211" s="22"/>
      <c r="G211" s="22"/>
      <c r="H211" s="22"/>
      <c r="I211" s="22"/>
      <c r="J211" s="22"/>
      <c r="K211" s="22"/>
      <c r="L211" s="22"/>
      <c r="M211" s="22"/>
    </row>
    <row r="212" spans="4:13" x14ac:dyDescent="0.2">
      <c r="D212" s="22"/>
      <c r="E212" s="22"/>
      <c r="F212" s="22"/>
      <c r="G212" s="22"/>
      <c r="H212" s="22"/>
      <c r="I212" s="22"/>
      <c r="J212" s="22"/>
      <c r="K212" s="22"/>
      <c r="L212" s="22"/>
      <c r="M212" s="22"/>
    </row>
    <row r="213" spans="4:13" x14ac:dyDescent="0.2">
      <c r="D213" s="22"/>
      <c r="E213" s="22"/>
      <c r="F213" s="22"/>
      <c r="G213" s="22"/>
      <c r="H213" s="22"/>
      <c r="I213" s="22"/>
      <c r="J213" s="22"/>
      <c r="K213" s="22"/>
      <c r="L213" s="22"/>
      <c r="M213" s="22"/>
    </row>
    <row r="214" spans="4:13" x14ac:dyDescent="0.2">
      <c r="D214" s="22"/>
      <c r="E214" s="22"/>
      <c r="F214" s="22"/>
      <c r="G214" s="22"/>
      <c r="H214" s="22"/>
      <c r="I214" s="22"/>
      <c r="J214" s="22"/>
      <c r="K214" s="22"/>
      <c r="L214" s="22"/>
      <c r="M214" s="22"/>
    </row>
    <row r="215" spans="4:13" x14ac:dyDescent="0.2">
      <c r="D215" s="22"/>
      <c r="E215" s="22"/>
      <c r="F215" s="22"/>
      <c r="G215" s="22"/>
      <c r="H215" s="22"/>
      <c r="I215" s="22"/>
      <c r="J215" s="22"/>
      <c r="K215" s="22"/>
      <c r="L215" s="22"/>
      <c r="M215" s="22"/>
    </row>
    <row r="216" spans="4:13" x14ac:dyDescent="0.2">
      <c r="D216" s="22"/>
      <c r="E216" s="22"/>
      <c r="F216" s="22"/>
      <c r="G216" s="22"/>
      <c r="H216" s="22"/>
      <c r="I216" s="22"/>
      <c r="J216" s="22"/>
      <c r="K216" s="22"/>
      <c r="L216" s="22"/>
      <c r="M216" s="22"/>
    </row>
    <row r="217" spans="4:13" x14ac:dyDescent="0.2">
      <c r="D217" s="22"/>
      <c r="E217" s="22"/>
      <c r="F217" s="22"/>
      <c r="G217" s="22"/>
      <c r="H217" s="22"/>
      <c r="I217" s="22"/>
      <c r="J217" s="22"/>
      <c r="K217" s="22"/>
      <c r="L217" s="22"/>
      <c r="M217" s="22"/>
    </row>
    <row r="218" spans="4:13" x14ac:dyDescent="0.2">
      <c r="D218" s="22"/>
      <c r="E218" s="22"/>
      <c r="F218" s="22"/>
      <c r="G218" s="22"/>
      <c r="H218" s="22"/>
      <c r="I218" s="22"/>
      <c r="J218" s="22"/>
      <c r="K218" s="22"/>
      <c r="L218" s="22"/>
      <c r="M218" s="22"/>
    </row>
    <row r="219" spans="4:13" x14ac:dyDescent="0.2">
      <c r="D219" s="22"/>
      <c r="E219" s="22"/>
      <c r="F219" s="22"/>
      <c r="G219" s="22"/>
      <c r="H219" s="22"/>
      <c r="I219" s="22"/>
      <c r="J219" s="22"/>
      <c r="K219" s="22"/>
      <c r="L219" s="22"/>
      <c r="M219" s="22"/>
    </row>
    <row r="220" spans="4:13" x14ac:dyDescent="0.2">
      <c r="D220" s="22"/>
      <c r="E220" s="22"/>
      <c r="F220" s="22"/>
      <c r="G220" s="22"/>
      <c r="H220" s="22"/>
      <c r="I220" s="22"/>
      <c r="J220" s="22"/>
      <c r="K220" s="22"/>
      <c r="L220" s="22"/>
      <c r="M220" s="22"/>
    </row>
    <row r="221" spans="4:13" x14ac:dyDescent="0.2">
      <c r="D221" s="22"/>
      <c r="E221" s="22"/>
      <c r="F221" s="22"/>
      <c r="G221" s="22"/>
      <c r="H221" s="22"/>
      <c r="I221" s="22"/>
      <c r="J221" s="22"/>
      <c r="K221" s="22"/>
      <c r="L221" s="22"/>
      <c r="M221" s="22"/>
    </row>
    <row r="222" spans="4:13" x14ac:dyDescent="0.2">
      <c r="D222" s="22"/>
      <c r="E222" s="22"/>
      <c r="F222" s="22"/>
      <c r="G222" s="22"/>
      <c r="H222" s="22"/>
      <c r="I222" s="22"/>
      <c r="J222" s="22"/>
      <c r="K222" s="22"/>
      <c r="L222" s="22"/>
      <c r="M222" s="22"/>
    </row>
    <row r="223" spans="4:13" x14ac:dyDescent="0.2">
      <c r="D223" s="22"/>
      <c r="E223" s="22"/>
      <c r="F223" s="22"/>
      <c r="G223" s="22"/>
      <c r="H223" s="22"/>
      <c r="I223" s="22"/>
      <c r="J223" s="22"/>
      <c r="K223" s="22"/>
      <c r="L223" s="22"/>
      <c r="M223" s="22"/>
    </row>
    <row r="224" spans="4:13" x14ac:dyDescent="0.2">
      <c r="D224" s="22"/>
      <c r="E224" s="22"/>
      <c r="F224" s="22"/>
      <c r="G224" s="22"/>
      <c r="H224" s="22"/>
      <c r="I224" s="22"/>
      <c r="J224" s="22"/>
      <c r="K224" s="22"/>
      <c r="L224" s="22"/>
      <c r="M224" s="22"/>
    </row>
    <row r="225" spans="4:13" x14ac:dyDescent="0.2">
      <c r="D225" s="22"/>
      <c r="E225" s="22"/>
      <c r="F225" s="22"/>
      <c r="G225" s="22"/>
      <c r="H225" s="22"/>
      <c r="I225" s="22"/>
      <c r="J225" s="22"/>
      <c r="K225" s="22"/>
      <c r="L225" s="22"/>
      <c r="M225" s="22"/>
    </row>
    <row r="226" spans="4:13" x14ac:dyDescent="0.2">
      <c r="D226" s="22"/>
      <c r="E226" s="22"/>
      <c r="F226" s="22"/>
      <c r="G226" s="22"/>
      <c r="H226" s="22"/>
      <c r="I226" s="22"/>
      <c r="J226" s="22"/>
      <c r="K226" s="22"/>
      <c r="L226" s="22"/>
      <c r="M226" s="22"/>
    </row>
    <row r="227" spans="4:13" x14ac:dyDescent="0.2">
      <c r="D227" s="22"/>
      <c r="E227" s="22"/>
      <c r="F227" s="22"/>
      <c r="G227" s="22"/>
      <c r="H227" s="22"/>
      <c r="I227" s="22"/>
      <c r="J227" s="22"/>
      <c r="K227" s="22"/>
      <c r="L227" s="22"/>
      <c r="M227" s="22"/>
    </row>
    <row r="228" spans="4:13" x14ac:dyDescent="0.2">
      <c r="D228" s="22"/>
      <c r="E228" s="22"/>
      <c r="F228" s="22"/>
      <c r="G228" s="22"/>
      <c r="H228" s="22"/>
      <c r="I228" s="22"/>
      <c r="J228" s="22"/>
      <c r="K228" s="22"/>
      <c r="L228" s="22"/>
      <c r="M228" s="22"/>
    </row>
    <row r="229" spans="4:13" x14ac:dyDescent="0.2">
      <c r="D229" s="22"/>
      <c r="E229" s="22"/>
      <c r="F229" s="22"/>
      <c r="G229" s="22"/>
      <c r="H229" s="22"/>
      <c r="I229" s="22"/>
      <c r="J229" s="22"/>
      <c r="K229" s="22"/>
      <c r="L229" s="22"/>
      <c r="M229" s="22"/>
    </row>
    <row r="230" spans="4:13" x14ac:dyDescent="0.2">
      <c r="D230" s="22"/>
      <c r="E230" s="22"/>
      <c r="F230" s="22"/>
      <c r="G230" s="22"/>
      <c r="H230" s="22"/>
      <c r="I230" s="22"/>
      <c r="J230" s="22"/>
      <c r="K230" s="22"/>
      <c r="L230" s="22"/>
      <c r="M230" s="22"/>
    </row>
    <row r="231" spans="4:13" x14ac:dyDescent="0.2">
      <c r="D231" s="22"/>
      <c r="E231" s="22"/>
      <c r="F231" s="22"/>
      <c r="G231" s="22"/>
      <c r="H231" s="22"/>
      <c r="I231" s="22"/>
      <c r="J231" s="22"/>
      <c r="K231" s="22"/>
      <c r="L231" s="22"/>
      <c r="M231" s="22"/>
    </row>
    <row r="232" spans="4:13" x14ac:dyDescent="0.2">
      <c r="D232" s="22"/>
      <c r="E232" s="22"/>
      <c r="F232" s="22"/>
      <c r="G232" s="22"/>
      <c r="H232" s="22"/>
      <c r="I232" s="22"/>
      <c r="J232" s="22"/>
      <c r="K232" s="22"/>
      <c r="L232" s="22"/>
      <c r="M232" s="22"/>
    </row>
    <row r="233" spans="4:13" x14ac:dyDescent="0.2">
      <c r="D233" s="22"/>
      <c r="E233" s="22"/>
      <c r="F233" s="22"/>
      <c r="G233" s="22"/>
      <c r="H233" s="22"/>
      <c r="I233" s="22"/>
      <c r="J233" s="22"/>
      <c r="K233" s="22"/>
      <c r="L233" s="22"/>
      <c r="M233" s="22"/>
    </row>
    <row r="234" spans="4:13" x14ac:dyDescent="0.2">
      <c r="D234" s="22"/>
      <c r="E234" s="22"/>
      <c r="F234" s="22"/>
      <c r="G234" s="22"/>
      <c r="H234" s="22"/>
      <c r="I234" s="22"/>
      <c r="J234" s="22"/>
      <c r="K234" s="22"/>
      <c r="L234" s="22"/>
      <c r="M234" s="22"/>
    </row>
    <row r="235" spans="4:13" x14ac:dyDescent="0.2">
      <c r="D235" s="22"/>
      <c r="E235" s="22"/>
      <c r="F235" s="22"/>
      <c r="G235" s="22"/>
      <c r="H235" s="22"/>
      <c r="I235" s="22"/>
      <c r="J235" s="22"/>
      <c r="K235" s="22"/>
      <c r="L235" s="22"/>
      <c r="M235" s="22"/>
    </row>
    <row r="236" spans="4:13" x14ac:dyDescent="0.2">
      <c r="D236" s="22"/>
      <c r="E236" s="22"/>
      <c r="F236" s="22"/>
      <c r="G236" s="22"/>
      <c r="H236" s="22"/>
      <c r="I236" s="22"/>
      <c r="J236" s="22"/>
      <c r="K236" s="22"/>
      <c r="L236" s="22"/>
      <c r="M236" s="22"/>
    </row>
    <row r="237" spans="4:13" x14ac:dyDescent="0.2">
      <c r="D237" s="22"/>
      <c r="E237" s="22"/>
      <c r="F237" s="22"/>
      <c r="G237" s="22"/>
      <c r="H237" s="22"/>
      <c r="I237" s="22"/>
      <c r="J237" s="22"/>
      <c r="K237" s="22"/>
      <c r="L237" s="22"/>
      <c r="M237" s="22"/>
    </row>
    <row r="238" spans="4:13" x14ac:dyDescent="0.2">
      <c r="D238" s="22"/>
      <c r="E238" s="22"/>
      <c r="F238" s="22"/>
      <c r="G238" s="22"/>
      <c r="H238" s="22"/>
      <c r="I238" s="22"/>
      <c r="J238" s="22"/>
      <c r="K238" s="22"/>
      <c r="L238" s="22"/>
      <c r="M238" s="22"/>
    </row>
    <row r="239" spans="4:13" x14ac:dyDescent="0.2">
      <c r="D239" s="22"/>
      <c r="E239" s="22"/>
      <c r="F239" s="22"/>
      <c r="G239" s="22"/>
      <c r="H239" s="22"/>
      <c r="I239" s="22"/>
      <c r="J239" s="22"/>
      <c r="K239" s="22"/>
      <c r="L239" s="22"/>
      <c r="M239" s="22"/>
    </row>
    <row r="240" spans="4:13" x14ac:dyDescent="0.2">
      <c r="D240" s="22"/>
      <c r="E240" s="22"/>
      <c r="F240" s="22"/>
      <c r="G240" s="22"/>
      <c r="H240" s="22"/>
      <c r="I240" s="22"/>
      <c r="J240" s="22"/>
      <c r="K240" s="22"/>
      <c r="L240" s="22"/>
      <c r="M240" s="22"/>
    </row>
    <row r="241" spans="4:13" x14ac:dyDescent="0.2">
      <c r="D241" s="22"/>
      <c r="E241" s="22"/>
      <c r="F241" s="22"/>
      <c r="G241" s="22"/>
      <c r="H241" s="22"/>
      <c r="I241" s="22"/>
      <c r="J241" s="22"/>
      <c r="K241" s="22"/>
      <c r="L241" s="22"/>
      <c r="M241" s="22"/>
    </row>
    <row r="242" spans="4:13" x14ac:dyDescent="0.2">
      <c r="D242" s="22"/>
      <c r="E242" s="22"/>
      <c r="F242" s="22"/>
      <c r="G242" s="22"/>
      <c r="H242" s="22"/>
      <c r="I242" s="22"/>
      <c r="J242" s="22"/>
      <c r="K242" s="22"/>
      <c r="L242" s="22"/>
      <c r="M242" s="22"/>
    </row>
    <row r="243" spans="4:13" x14ac:dyDescent="0.2">
      <c r="D243" s="22"/>
      <c r="E243" s="22"/>
      <c r="F243" s="22"/>
      <c r="G243" s="22"/>
      <c r="H243" s="22"/>
      <c r="I243" s="22"/>
      <c r="J243" s="22"/>
      <c r="K243" s="22"/>
      <c r="L243" s="22"/>
      <c r="M243" s="22"/>
    </row>
    <row r="244" spans="4:13" x14ac:dyDescent="0.2">
      <c r="D244" s="22"/>
      <c r="E244" s="22"/>
      <c r="F244" s="22"/>
      <c r="G244" s="22"/>
      <c r="H244" s="22"/>
      <c r="I244" s="22"/>
      <c r="J244" s="22"/>
      <c r="K244" s="22"/>
      <c r="L244" s="22"/>
      <c r="M244" s="22"/>
    </row>
    <row r="245" spans="4:13" x14ac:dyDescent="0.2">
      <c r="D245" s="22"/>
      <c r="E245" s="22"/>
      <c r="F245" s="22"/>
      <c r="G245" s="22"/>
      <c r="H245" s="22"/>
      <c r="I245" s="22"/>
      <c r="J245" s="22"/>
      <c r="K245" s="22"/>
      <c r="L245" s="22"/>
      <c r="M245" s="22"/>
    </row>
    <row r="246" spans="4:13" x14ac:dyDescent="0.2">
      <c r="D246" s="22"/>
      <c r="E246" s="22"/>
      <c r="F246" s="22"/>
      <c r="G246" s="22"/>
      <c r="H246" s="22"/>
      <c r="I246" s="22"/>
      <c r="J246" s="22"/>
      <c r="K246" s="22"/>
      <c r="L246" s="22"/>
      <c r="M246" s="22"/>
    </row>
    <row r="247" spans="4:13" x14ac:dyDescent="0.2">
      <c r="D247" s="22"/>
      <c r="E247" s="22"/>
      <c r="F247" s="22"/>
      <c r="G247" s="22"/>
      <c r="H247" s="22"/>
      <c r="I247" s="22"/>
      <c r="J247" s="22"/>
      <c r="K247" s="22"/>
      <c r="L247" s="22"/>
      <c r="M247" s="22"/>
    </row>
    <row r="248" spans="4:13" x14ac:dyDescent="0.2">
      <c r="D248" s="22"/>
      <c r="E248" s="22"/>
      <c r="F248" s="22"/>
      <c r="G248" s="22"/>
      <c r="H248" s="22"/>
      <c r="I248" s="22"/>
      <c r="J248" s="22"/>
      <c r="K248" s="22"/>
      <c r="L248" s="22"/>
      <c r="M248" s="22"/>
    </row>
    <row r="249" spans="4:13" x14ac:dyDescent="0.2">
      <c r="D249" s="22"/>
      <c r="E249" s="22"/>
      <c r="F249" s="22"/>
      <c r="G249" s="22"/>
      <c r="H249" s="22"/>
      <c r="I249" s="22"/>
      <c r="J249" s="22"/>
      <c r="K249" s="22"/>
      <c r="L249" s="22"/>
      <c r="M249" s="22"/>
    </row>
    <row r="250" spans="4:13" x14ac:dyDescent="0.2">
      <c r="D250" s="22"/>
      <c r="E250" s="22"/>
      <c r="F250" s="22"/>
      <c r="G250" s="22"/>
      <c r="H250" s="22"/>
      <c r="I250" s="22"/>
      <c r="J250" s="22"/>
      <c r="K250" s="22"/>
      <c r="L250" s="22"/>
      <c r="M250" s="22"/>
    </row>
    <row r="251" spans="4:13" x14ac:dyDescent="0.2">
      <c r="D251" s="22"/>
      <c r="E251" s="22"/>
      <c r="F251" s="22"/>
      <c r="G251" s="22"/>
      <c r="H251" s="22"/>
      <c r="I251" s="22"/>
      <c r="J251" s="22"/>
      <c r="K251" s="22"/>
      <c r="L251" s="22"/>
      <c r="M251" s="22"/>
    </row>
    <row r="252" spans="4:13" x14ac:dyDescent="0.2">
      <c r="D252" s="22"/>
      <c r="E252" s="22"/>
      <c r="F252" s="22"/>
      <c r="G252" s="22"/>
      <c r="H252" s="22"/>
      <c r="I252" s="22"/>
      <c r="J252" s="22"/>
      <c r="K252" s="22"/>
      <c r="L252" s="22"/>
      <c r="M252" s="22"/>
    </row>
    <row r="253" spans="4:13" x14ac:dyDescent="0.2">
      <c r="D253" s="22"/>
      <c r="E253" s="22"/>
      <c r="F253" s="22"/>
      <c r="G253" s="22"/>
      <c r="H253" s="22"/>
      <c r="I253" s="22"/>
      <c r="J253" s="22"/>
      <c r="K253" s="22"/>
      <c r="L253" s="22"/>
      <c r="M253" s="22"/>
    </row>
    <row r="254" spans="4:13" x14ac:dyDescent="0.2">
      <c r="D254" s="22"/>
      <c r="E254" s="22"/>
      <c r="F254" s="22"/>
      <c r="G254" s="22"/>
      <c r="H254" s="22"/>
      <c r="I254" s="22"/>
      <c r="J254" s="22"/>
      <c r="K254" s="22"/>
      <c r="L254" s="22"/>
      <c r="M254" s="22"/>
    </row>
    <row r="255" spans="4:13" x14ac:dyDescent="0.2">
      <c r="D255" s="22"/>
      <c r="E255" s="22"/>
      <c r="F255" s="22"/>
      <c r="G255" s="22"/>
      <c r="H255" s="22"/>
      <c r="I255" s="22"/>
      <c r="J255" s="22"/>
      <c r="K255" s="22"/>
      <c r="L255" s="22"/>
      <c r="M255" s="22"/>
    </row>
    <row r="256" spans="4:13" x14ac:dyDescent="0.2">
      <c r="D256" s="22"/>
      <c r="E256" s="22"/>
      <c r="F256" s="22"/>
      <c r="G256" s="22"/>
      <c r="H256" s="22"/>
      <c r="I256" s="22"/>
      <c r="J256" s="22"/>
      <c r="K256" s="22"/>
      <c r="L256" s="22"/>
      <c r="M256" s="22"/>
    </row>
    <row r="257" spans="4:13" x14ac:dyDescent="0.2">
      <c r="D257" s="22"/>
      <c r="E257" s="22"/>
      <c r="F257" s="22"/>
      <c r="G257" s="22"/>
      <c r="H257" s="22"/>
      <c r="I257" s="22"/>
      <c r="J257" s="22"/>
      <c r="K257" s="22"/>
      <c r="L257" s="22"/>
      <c r="M257" s="22"/>
    </row>
    <row r="258" spans="4:13" x14ac:dyDescent="0.2">
      <c r="D258" s="22"/>
      <c r="E258" s="22"/>
      <c r="F258" s="22"/>
      <c r="G258" s="22"/>
      <c r="H258" s="22"/>
      <c r="I258" s="22"/>
      <c r="J258" s="22"/>
      <c r="K258" s="22"/>
      <c r="L258" s="22"/>
      <c r="M258" s="22"/>
    </row>
    <row r="259" spans="4:13" x14ac:dyDescent="0.2">
      <c r="D259" s="22"/>
      <c r="E259" s="22"/>
      <c r="F259" s="22"/>
      <c r="G259" s="22"/>
      <c r="H259" s="22"/>
      <c r="I259" s="22"/>
      <c r="J259" s="22"/>
      <c r="K259" s="22"/>
      <c r="L259" s="22"/>
      <c r="M259" s="22"/>
    </row>
    <row r="260" spans="4:13" x14ac:dyDescent="0.2">
      <c r="D260" s="22"/>
      <c r="E260" s="22"/>
      <c r="F260" s="22"/>
      <c r="G260" s="22"/>
      <c r="H260" s="22"/>
      <c r="I260" s="22"/>
      <c r="J260" s="22"/>
      <c r="K260" s="22"/>
      <c r="L260" s="22"/>
      <c r="M260" s="22"/>
    </row>
    <row r="261" spans="4:13" x14ac:dyDescent="0.2">
      <c r="D261" s="22"/>
      <c r="E261" s="22"/>
      <c r="F261" s="22"/>
      <c r="G261" s="22"/>
      <c r="H261" s="22"/>
      <c r="I261" s="22"/>
      <c r="J261" s="22"/>
      <c r="K261" s="22"/>
      <c r="L261" s="22"/>
      <c r="M261" s="22"/>
    </row>
    <row r="262" spans="4:13" x14ac:dyDescent="0.2">
      <c r="D262" s="22"/>
      <c r="E262" s="22"/>
      <c r="F262" s="22"/>
      <c r="G262" s="22"/>
      <c r="H262" s="22"/>
      <c r="I262" s="22"/>
      <c r="J262" s="22"/>
      <c r="K262" s="22"/>
      <c r="L262" s="22"/>
      <c r="M262" s="22"/>
    </row>
    <row r="263" spans="4:13" x14ac:dyDescent="0.2">
      <c r="D263" s="22"/>
      <c r="E263" s="22"/>
      <c r="F263" s="22"/>
      <c r="G263" s="22"/>
      <c r="H263" s="22"/>
      <c r="I263" s="22"/>
      <c r="J263" s="22"/>
      <c r="K263" s="22"/>
      <c r="L263" s="22"/>
      <c r="M263" s="22"/>
    </row>
    <row r="264" spans="4:13" x14ac:dyDescent="0.2">
      <c r="D264" s="22"/>
      <c r="E264" s="22"/>
      <c r="F264" s="22"/>
      <c r="G264" s="22"/>
      <c r="H264" s="22"/>
      <c r="I264" s="22"/>
      <c r="J264" s="22"/>
      <c r="K264" s="22"/>
      <c r="L264" s="22"/>
      <c r="M264" s="22"/>
    </row>
    <row r="265" spans="4:13" x14ac:dyDescent="0.2">
      <c r="D265" s="22"/>
      <c r="E265" s="22"/>
      <c r="F265" s="22"/>
      <c r="G265" s="22"/>
      <c r="H265" s="22"/>
      <c r="I265" s="22"/>
      <c r="J265" s="22"/>
      <c r="K265" s="22"/>
      <c r="L265" s="22"/>
      <c r="M265" s="22"/>
    </row>
    <row r="266" spans="4:13" x14ac:dyDescent="0.2">
      <c r="D266" s="22"/>
      <c r="E266" s="22"/>
      <c r="F266" s="22"/>
      <c r="G266" s="22"/>
      <c r="H266" s="22"/>
      <c r="I266" s="22"/>
      <c r="J266" s="22"/>
      <c r="K266" s="22"/>
      <c r="L266" s="22"/>
      <c r="M266" s="22"/>
    </row>
    <row r="267" spans="4:13" x14ac:dyDescent="0.2">
      <c r="D267" s="22"/>
      <c r="E267" s="22"/>
      <c r="F267" s="22"/>
      <c r="G267" s="22"/>
      <c r="H267" s="22"/>
      <c r="I267" s="22"/>
      <c r="J267" s="22"/>
      <c r="K267" s="22"/>
      <c r="L267" s="22"/>
      <c r="M267" s="22"/>
    </row>
    <row r="268" spans="4:13" x14ac:dyDescent="0.2">
      <c r="D268" s="22"/>
      <c r="E268" s="22"/>
      <c r="F268" s="22"/>
      <c r="G268" s="22"/>
      <c r="H268" s="22"/>
      <c r="I268" s="22"/>
      <c r="J268" s="22"/>
      <c r="K268" s="22"/>
      <c r="L268" s="22"/>
      <c r="M268" s="22"/>
    </row>
    <row r="269" spans="4:13" x14ac:dyDescent="0.2">
      <c r="D269" s="22"/>
      <c r="E269" s="22"/>
      <c r="F269" s="22"/>
      <c r="G269" s="22"/>
      <c r="H269" s="22"/>
      <c r="I269" s="22"/>
      <c r="J269" s="22"/>
      <c r="K269" s="22"/>
      <c r="L269" s="22"/>
      <c r="M269" s="22"/>
    </row>
    <row r="270" spans="4:13" x14ac:dyDescent="0.2">
      <c r="D270" s="22"/>
      <c r="E270" s="22"/>
      <c r="F270" s="22"/>
      <c r="G270" s="22"/>
      <c r="H270" s="22"/>
      <c r="I270" s="22"/>
      <c r="J270" s="22"/>
      <c r="K270" s="22"/>
      <c r="L270" s="22"/>
      <c r="M270" s="22"/>
    </row>
    <row r="271" spans="4:13" x14ac:dyDescent="0.2">
      <c r="D271" s="22"/>
      <c r="E271" s="22"/>
      <c r="F271" s="22"/>
      <c r="G271" s="22"/>
      <c r="H271" s="22"/>
      <c r="I271" s="22"/>
      <c r="J271" s="22"/>
      <c r="K271" s="22"/>
      <c r="L271" s="22"/>
      <c r="M271" s="22"/>
    </row>
    <row r="272" spans="4:13" x14ac:dyDescent="0.2">
      <c r="D272" s="22"/>
      <c r="E272" s="22"/>
      <c r="F272" s="22"/>
      <c r="G272" s="22"/>
      <c r="H272" s="22"/>
      <c r="I272" s="22"/>
      <c r="J272" s="22"/>
      <c r="K272" s="22"/>
      <c r="L272" s="22"/>
      <c r="M272" s="22"/>
    </row>
    <row r="273" spans="4:13" x14ac:dyDescent="0.2">
      <c r="D273" s="22"/>
      <c r="E273" s="22"/>
      <c r="F273" s="22"/>
      <c r="G273" s="22"/>
      <c r="H273" s="22"/>
      <c r="I273" s="22"/>
      <c r="J273" s="22"/>
      <c r="K273" s="22"/>
      <c r="L273" s="22"/>
      <c r="M273" s="22"/>
    </row>
    <row r="274" spans="4:13" x14ac:dyDescent="0.2">
      <c r="D274" s="22"/>
      <c r="E274" s="22"/>
      <c r="F274" s="22"/>
      <c r="G274" s="22"/>
      <c r="H274" s="22"/>
      <c r="I274" s="22"/>
      <c r="J274" s="22"/>
      <c r="K274" s="22"/>
      <c r="L274" s="22"/>
      <c r="M274" s="22"/>
    </row>
    <row r="275" spans="4:13" x14ac:dyDescent="0.2">
      <c r="D275" s="22"/>
      <c r="E275" s="22"/>
      <c r="F275" s="22"/>
      <c r="G275" s="22"/>
      <c r="H275" s="22"/>
      <c r="I275" s="22"/>
      <c r="J275" s="22"/>
      <c r="K275" s="22"/>
      <c r="L275" s="22"/>
      <c r="M275" s="22"/>
    </row>
    <row r="276" spans="4:13" x14ac:dyDescent="0.2">
      <c r="D276" s="22"/>
      <c r="E276" s="22"/>
      <c r="F276" s="22"/>
      <c r="G276" s="22"/>
      <c r="H276" s="22"/>
      <c r="I276" s="22"/>
      <c r="J276" s="22"/>
      <c r="K276" s="22"/>
      <c r="L276" s="22"/>
      <c r="M276" s="22"/>
    </row>
    <row r="277" spans="4:13" x14ac:dyDescent="0.2">
      <c r="D277" s="22"/>
      <c r="E277" s="22"/>
      <c r="F277" s="22"/>
      <c r="G277" s="22"/>
      <c r="H277" s="22"/>
      <c r="I277" s="22"/>
      <c r="J277" s="22"/>
      <c r="K277" s="22"/>
      <c r="L277" s="22"/>
      <c r="M277" s="22"/>
    </row>
    <row r="278" spans="4:13" x14ac:dyDescent="0.2">
      <c r="D278" s="22"/>
      <c r="E278" s="22"/>
      <c r="F278" s="22"/>
      <c r="G278" s="22"/>
      <c r="H278" s="22"/>
      <c r="I278" s="22"/>
      <c r="J278" s="22"/>
      <c r="K278" s="22"/>
      <c r="L278" s="22"/>
      <c r="M278" s="22"/>
    </row>
    <row r="279" spans="4:13" x14ac:dyDescent="0.2">
      <c r="D279" s="22"/>
      <c r="E279" s="22"/>
      <c r="F279" s="22"/>
      <c r="G279" s="22"/>
      <c r="H279" s="22"/>
      <c r="I279" s="22"/>
      <c r="J279" s="22"/>
      <c r="K279" s="22"/>
      <c r="L279" s="22"/>
      <c r="M279" s="22"/>
    </row>
    <row r="280" spans="4:13" x14ac:dyDescent="0.2">
      <c r="D280" s="22"/>
      <c r="E280" s="22"/>
      <c r="F280" s="22"/>
      <c r="G280" s="22"/>
      <c r="H280" s="22"/>
      <c r="I280" s="22"/>
      <c r="J280" s="22"/>
      <c r="K280" s="22"/>
      <c r="L280" s="22"/>
      <c r="M280" s="22"/>
    </row>
    <row r="281" spans="4:13" x14ac:dyDescent="0.2">
      <c r="D281" s="22"/>
      <c r="E281" s="22"/>
      <c r="F281" s="22"/>
      <c r="G281" s="22"/>
      <c r="H281" s="22"/>
      <c r="I281" s="22"/>
      <c r="J281" s="22"/>
      <c r="K281" s="22"/>
      <c r="L281" s="22"/>
      <c r="M281" s="22"/>
    </row>
    <row r="282" spans="4:13" x14ac:dyDescent="0.2">
      <c r="D282" s="22"/>
      <c r="E282" s="22"/>
      <c r="F282" s="22"/>
      <c r="G282" s="22"/>
      <c r="H282" s="22"/>
      <c r="I282" s="22"/>
      <c r="J282" s="22"/>
      <c r="K282" s="22"/>
      <c r="L282" s="22"/>
      <c r="M282" s="22"/>
    </row>
    <row r="283" spans="4:13" x14ac:dyDescent="0.2">
      <c r="D283" s="22"/>
      <c r="E283" s="22"/>
      <c r="F283" s="22"/>
      <c r="G283" s="22"/>
      <c r="H283" s="22"/>
      <c r="I283" s="22"/>
      <c r="J283" s="22"/>
      <c r="K283" s="22"/>
      <c r="L283" s="22"/>
      <c r="M283" s="22"/>
    </row>
    <row r="284" spans="4:13" x14ac:dyDescent="0.2">
      <c r="D284" s="22"/>
      <c r="E284" s="22"/>
      <c r="F284" s="22"/>
      <c r="G284" s="22"/>
      <c r="H284" s="22"/>
      <c r="I284" s="22"/>
      <c r="J284" s="22"/>
      <c r="K284" s="22"/>
      <c r="L284" s="22"/>
      <c r="M284" s="22"/>
    </row>
    <row r="285" spans="4:13" x14ac:dyDescent="0.2">
      <c r="D285" s="22"/>
      <c r="E285" s="22"/>
      <c r="F285" s="22"/>
      <c r="G285" s="22"/>
      <c r="H285" s="22"/>
      <c r="I285" s="22"/>
      <c r="J285" s="22"/>
      <c r="K285" s="22"/>
      <c r="L285" s="22"/>
      <c r="M285" s="22"/>
    </row>
    <row r="286" spans="4:13" x14ac:dyDescent="0.2">
      <c r="D286" s="22"/>
      <c r="E286" s="22"/>
      <c r="F286" s="22"/>
      <c r="G286" s="22"/>
      <c r="H286" s="22"/>
      <c r="I286" s="22"/>
      <c r="J286" s="22"/>
      <c r="K286" s="22"/>
      <c r="L286" s="22"/>
      <c r="M286" s="22"/>
    </row>
    <row r="287" spans="4:13" x14ac:dyDescent="0.2">
      <c r="D287" s="22"/>
      <c r="E287" s="22"/>
      <c r="F287" s="22"/>
      <c r="G287" s="22"/>
      <c r="H287" s="22"/>
      <c r="I287" s="22"/>
      <c r="J287" s="22"/>
      <c r="K287" s="22"/>
      <c r="L287" s="22"/>
      <c r="M287" s="22"/>
    </row>
    <row r="288" spans="4:13" x14ac:dyDescent="0.2">
      <c r="D288" s="22"/>
      <c r="E288" s="22"/>
      <c r="F288" s="22"/>
      <c r="G288" s="22"/>
      <c r="H288" s="22"/>
      <c r="I288" s="22"/>
      <c r="J288" s="22"/>
      <c r="K288" s="22"/>
      <c r="L288" s="22"/>
      <c r="M288" s="22"/>
    </row>
    <row r="289" spans="4:13" x14ac:dyDescent="0.2">
      <c r="D289" s="22"/>
      <c r="E289" s="22"/>
      <c r="F289" s="22"/>
      <c r="G289" s="22"/>
      <c r="H289" s="22"/>
      <c r="I289" s="22"/>
      <c r="J289" s="22"/>
      <c r="K289" s="22"/>
      <c r="L289" s="22"/>
      <c r="M289" s="22"/>
    </row>
    <row r="290" spans="4:13" x14ac:dyDescent="0.2">
      <c r="D290" s="22"/>
      <c r="E290" s="22"/>
      <c r="F290" s="22"/>
      <c r="G290" s="22"/>
      <c r="H290" s="22"/>
      <c r="I290" s="22"/>
      <c r="J290" s="22"/>
      <c r="K290" s="22"/>
      <c r="L290" s="22"/>
      <c r="M290" s="22"/>
    </row>
    <row r="291" spans="4:13" x14ac:dyDescent="0.2">
      <c r="D291" s="22"/>
      <c r="E291" s="22"/>
      <c r="F291" s="22"/>
      <c r="G291" s="22"/>
      <c r="H291" s="22"/>
      <c r="I291" s="22"/>
      <c r="J291" s="22"/>
      <c r="K291" s="22"/>
      <c r="L291" s="22"/>
      <c r="M291" s="22"/>
    </row>
    <row r="292" spans="4:13" x14ac:dyDescent="0.2">
      <c r="D292" s="22"/>
      <c r="E292" s="22"/>
      <c r="F292" s="22"/>
      <c r="G292" s="22"/>
      <c r="H292" s="22"/>
      <c r="I292" s="22"/>
      <c r="J292" s="22"/>
      <c r="K292" s="22"/>
      <c r="L292" s="22"/>
      <c r="M292" s="22"/>
    </row>
    <row r="293" spans="4:13" x14ac:dyDescent="0.2">
      <c r="D293" s="22"/>
      <c r="E293" s="22"/>
      <c r="F293" s="22"/>
      <c r="G293" s="22"/>
      <c r="H293" s="22"/>
      <c r="I293" s="22"/>
      <c r="J293" s="22"/>
      <c r="K293" s="22"/>
      <c r="L293" s="22"/>
      <c r="M293" s="22"/>
    </row>
    <row r="294" spans="4:13" x14ac:dyDescent="0.2">
      <c r="D294" s="22"/>
      <c r="E294" s="22"/>
      <c r="F294" s="22"/>
      <c r="G294" s="22"/>
      <c r="H294" s="22"/>
      <c r="I294" s="22"/>
      <c r="J294" s="22"/>
      <c r="K294" s="22"/>
      <c r="L294" s="22"/>
      <c r="M294" s="22"/>
    </row>
    <row r="295" spans="4:13" x14ac:dyDescent="0.2">
      <c r="D295" s="22"/>
      <c r="E295" s="22"/>
      <c r="F295" s="22"/>
      <c r="G295" s="22"/>
      <c r="H295" s="22"/>
      <c r="I295" s="22"/>
      <c r="J295" s="22"/>
      <c r="K295" s="22"/>
      <c r="L295" s="22"/>
      <c r="M295" s="22"/>
    </row>
    <row r="296" spans="4:13" x14ac:dyDescent="0.2">
      <c r="D296" s="22"/>
      <c r="E296" s="22"/>
      <c r="F296" s="22"/>
      <c r="G296" s="22"/>
      <c r="H296" s="22"/>
      <c r="I296" s="22"/>
      <c r="J296" s="22"/>
      <c r="K296" s="22"/>
      <c r="L296" s="22"/>
      <c r="M296" s="22"/>
    </row>
    <row r="297" spans="4:13" x14ac:dyDescent="0.2">
      <c r="D297" s="22"/>
      <c r="E297" s="22"/>
      <c r="F297" s="22"/>
      <c r="G297" s="22"/>
      <c r="H297" s="22"/>
      <c r="I297" s="22"/>
      <c r="J297" s="22"/>
      <c r="K297" s="22"/>
      <c r="L297" s="22"/>
      <c r="M297" s="22"/>
    </row>
    <row r="298" spans="4:13" x14ac:dyDescent="0.2">
      <c r="D298" s="22"/>
      <c r="E298" s="22"/>
      <c r="F298" s="22"/>
      <c r="G298" s="22"/>
      <c r="H298" s="22"/>
      <c r="I298" s="22"/>
      <c r="J298" s="22"/>
      <c r="K298" s="22"/>
      <c r="L298" s="22"/>
      <c r="M298" s="22"/>
    </row>
    <row r="299" spans="4:13" x14ac:dyDescent="0.2">
      <c r="D299" s="22"/>
      <c r="E299" s="22"/>
      <c r="F299" s="22"/>
      <c r="G299" s="22"/>
      <c r="H299" s="22"/>
      <c r="I299" s="22"/>
      <c r="J299" s="22"/>
      <c r="K299" s="22"/>
      <c r="L299" s="22"/>
      <c r="M299" s="22"/>
    </row>
    <row r="300" spans="4:13" x14ac:dyDescent="0.2">
      <c r="D300" s="22"/>
      <c r="E300" s="22"/>
      <c r="F300" s="22"/>
      <c r="G300" s="22"/>
      <c r="H300" s="22"/>
      <c r="I300" s="22"/>
      <c r="J300" s="22"/>
      <c r="K300" s="22"/>
      <c r="L300" s="22"/>
      <c r="M300" s="22"/>
    </row>
    <row r="301" spans="4:13" x14ac:dyDescent="0.2">
      <c r="D301" s="22"/>
      <c r="E301" s="22"/>
      <c r="F301" s="22"/>
      <c r="G301" s="22"/>
      <c r="H301" s="22"/>
      <c r="I301" s="22"/>
      <c r="J301" s="22"/>
      <c r="K301" s="22"/>
      <c r="L301" s="22"/>
      <c r="M301" s="22"/>
    </row>
    <row r="302" spans="4:13" x14ac:dyDescent="0.2">
      <c r="D302" s="22"/>
      <c r="E302" s="22"/>
      <c r="F302" s="22"/>
      <c r="G302" s="22"/>
      <c r="H302" s="22"/>
      <c r="I302" s="22"/>
      <c r="J302" s="22"/>
      <c r="K302" s="22"/>
      <c r="L302" s="22"/>
      <c r="M302" s="22"/>
    </row>
    <row r="303" spans="4:13" x14ac:dyDescent="0.2">
      <c r="D303" s="22"/>
      <c r="E303" s="22"/>
      <c r="F303" s="22"/>
      <c r="G303" s="22"/>
      <c r="H303" s="22"/>
      <c r="I303" s="22"/>
      <c r="J303" s="22"/>
      <c r="K303" s="22"/>
      <c r="L303" s="22"/>
      <c r="M303" s="22"/>
    </row>
    <row r="304" spans="4:13" x14ac:dyDescent="0.2">
      <c r="D304" s="22"/>
      <c r="E304" s="22"/>
      <c r="F304" s="22"/>
      <c r="G304" s="22"/>
      <c r="H304" s="22"/>
      <c r="I304" s="22"/>
      <c r="J304" s="22"/>
      <c r="K304" s="22"/>
      <c r="L304" s="22"/>
      <c r="M304" s="22"/>
    </row>
    <row r="305" spans="4:13" x14ac:dyDescent="0.2">
      <c r="D305" s="22"/>
      <c r="E305" s="22"/>
      <c r="F305" s="22"/>
      <c r="G305" s="22"/>
      <c r="H305" s="22"/>
      <c r="I305" s="22"/>
      <c r="J305" s="22"/>
      <c r="K305" s="22"/>
      <c r="L305" s="22"/>
      <c r="M305" s="22"/>
    </row>
    <row r="306" spans="4:13" x14ac:dyDescent="0.2">
      <c r="D306" s="22"/>
      <c r="E306" s="22"/>
      <c r="F306" s="22"/>
      <c r="G306" s="22"/>
      <c r="H306" s="22"/>
      <c r="I306" s="22"/>
      <c r="J306" s="22"/>
      <c r="K306" s="22"/>
      <c r="L306" s="22"/>
      <c r="M306" s="22"/>
    </row>
    <row r="307" spans="4:13" x14ac:dyDescent="0.2">
      <c r="D307" s="22"/>
      <c r="E307" s="22"/>
      <c r="F307" s="22"/>
      <c r="G307" s="22"/>
      <c r="H307" s="22"/>
      <c r="I307" s="22"/>
      <c r="J307" s="22"/>
      <c r="K307" s="22"/>
      <c r="L307" s="22"/>
      <c r="M307" s="22"/>
    </row>
    <row r="308" spans="4:13" x14ac:dyDescent="0.2">
      <c r="D308" s="22"/>
      <c r="E308" s="22"/>
      <c r="F308" s="22"/>
      <c r="G308" s="22"/>
      <c r="H308" s="22"/>
      <c r="I308" s="22"/>
      <c r="J308" s="22"/>
      <c r="K308" s="22"/>
      <c r="L308" s="22"/>
      <c r="M308" s="22"/>
    </row>
    <row r="309" spans="4:13" x14ac:dyDescent="0.2">
      <c r="D309" s="22"/>
      <c r="E309" s="22"/>
      <c r="F309" s="22"/>
      <c r="G309" s="22"/>
      <c r="H309" s="22"/>
      <c r="I309" s="22"/>
      <c r="J309" s="22"/>
      <c r="K309" s="22"/>
      <c r="L309" s="22"/>
      <c r="M309" s="22"/>
    </row>
    <row r="310" spans="4:13" x14ac:dyDescent="0.2">
      <c r="D310" s="22"/>
      <c r="E310" s="22"/>
      <c r="F310" s="22"/>
      <c r="G310" s="22"/>
      <c r="H310" s="22"/>
      <c r="I310" s="22"/>
      <c r="J310" s="22"/>
      <c r="K310" s="22"/>
      <c r="L310" s="22"/>
      <c r="M310" s="22"/>
    </row>
    <row r="311" spans="4:13" x14ac:dyDescent="0.2">
      <c r="D311" s="22"/>
      <c r="E311" s="22"/>
      <c r="F311" s="22"/>
      <c r="G311" s="22"/>
      <c r="H311" s="22"/>
      <c r="I311" s="22"/>
      <c r="J311" s="22"/>
      <c r="K311" s="22"/>
      <c r="L311" s="22"/>
      <c r="M311" s="22"/>
    </row>
    <row r="312" spans="4:13" x14ac:dyDescent="0.2">
      <c r="D312" s="22"/>
      <c r="E312" s="22"/>
      <c r="F312" s="22"/>
      <c r="G312" s="22"/>
      <c r="H312" s="22"/>
      <c r="I312" s="22"/>
      <c r="J312" s="22"/>
      <c r="K312" s="22"/>
      <c r="L312" s="22"/>
      <c r="M312" s="22"/>
    </row>
    <row r="313" spans="4:13" x14ac:dyDescent="0.2">
      <c r="D313" s="22"/>
      <c r="E313" s="22"/>
      <c r="F313" s="22"/>
      <c r="G313" s="22"/>
      <c r="H313" s="22"/>
      <c r="I313" s="22"/>
      <c r="J313" s="22"/>
      <c r="K313" s="22"/>
      <c r="L313" s="22"/>
      <c r="M313" s="22"/>
    </row>
    <row r="314" spans="4:13" x14ac:dyDescent="0.2">
      <c r="D314" s="22"/>
      <c r="E314" s="22"/>
      <c r="F314" s="22"/>
      <c r="G314" s="22"/>
      <c r="H314" s="22"/>
      <c r="I314" s="22"/>
      <c r="J314" s="22"/>
      <c r="K314" s="22"/>
      <c r="L314" s="22"/>
      <c r="M314" s="22"/>
    </row>
    <row r="315" spans="4:13" x14ac:dyDescent="0.2">
      <c r="D315" s="22"/>
      <c r="E315" s="22"/>
      <c r="F315" s="22"/>
      <c r="G315" s="22"/>
      <c r="H315" s="22"/>
      <c r="I315" s="22"/>
      <c r="J315" s="22"/>
      <c r="K315" s="22"/>
      <c r="L315" s="22"/>
      <c r="M315" s="22"/>
    </row>
    <row r="316" spans="4:13" x14ac:dyDescent="0.2">
      <c r="D316" s="22"/>
      <c r="E316" s="22"/>
      <c r="F316" s="22"/>
      <c r="G316" s="22"/>
      <c r="H316" s="22"/>
      <c r="I316" s="22"/>
      <c r="J316" s="22"/>
      <c r="K316" s="22"/>
      <c r="L316" s="22"/>
      <c r="M316" s="22"/>
    </row>
    <row r="317" spans="4:13" x14ac:dyDescent="0.2">
      <c r="D317" s="22"/>
      <c r="E317" s="22"/>
      <c r="F317" s="22"/>
      <c r="G317" s="22"/>
      <c r="H317" s="22"/>
      <c r="I317" s="22"/>
      <c r="J317" s="22"/>
      <c r="K317" s="22"/>
      <c r="L317" s="22"/>
      <c r="M317" s="22"/>
    </row>
    <row r="318" spans="4:13" x14ac:dyDescent="0.2">
      <c r="D318" s="22"/>
      <c r="E318" s="22"/>
      <c r="F318" s="22"/>
      <c r="G318" s="22"/>
      <c r="H318" s="22"/>
      <c r="I318" s="22"/>
      <c r="J318" s="22"/>
      <c r="K318" s="22"/>
      <c r="L318" s="22"/>
      <c r="M318" s="22"/>
    </row>
    <row r="319" spans="4:13" x14ac:dyDescent="0.2">
      <c r="D319" s="22"/>
      <c r="E319" s="22"/>
      <c r="F319" s="22"/>
      <c r="G319" s="22"/>
      <c r="H319" s="22"/>
      <c r="I319" s="22"/>
      <c r="J319" s="22"/>
      <c r="K319" s="22"/>
      <c r="L319" s="22"/>
      <c r="M319" s="22"/>
    </row>
    <row r="320" spans="4:13" x14ac:dyDescent="0.2">
      <c r="D320" s="22"/>
      <c r="E320" s="22"/>
      <c r="F320" s="22"/>
      <c r="G320" s="22"/>
      <c r="H320" s="22"/>
      <c r="I320" s="22"/>
      <c r="J320" s="22"/>
      <c r="K320" s="22"/>
      <c r="L320" s="22"/>
      <c r="M320" s="22"/>
    </row>
    <row r="321" spans="4:13" x14ac:dyDescent="0.2">
      <c r="D321" s="22"/>
      <c r="E321" s="22"/>
      <c r="F321" s="22"/>
      <c r="G321" s="22"/>
      <c r="H321" s="22"/>
      <c r="I321" s="22"/>
      <c r="J321" s="22"/>
      <c r="K321" s="22"/>
      <c r="L321" s="22"/>
      <c r="M321" s="22"/>
    </row>
    <row r="322" spans="4:13" x14ac:dyDescent="0.2">
      <c r="D322" s="22"/>
      <c r="E322" s="22"/>
      <c r="F322" s="22"/>
      <c r="G322" s="22"/>
      <c r="H322" s="22"/>
      <c r="I322" s="22"/>
      <c r="J322" s="22"/>
      <c r="K322" s="22"/>
      <c r="L322" s="22"/>
      <c r="M322" s="22"/>
    </row>
    <row r="323" spans="4:13" x14ac:dyDescent="0.2">
      <c r="D323" s="22"/>
      <c r="E323" s="22"/>
      <c r="F323" s="22"/>
      <c r="G323" s="22"/>
      <c r="H323" s="22"/>
      <c r="I323" s="22"/>
      <c r="J323" s="22"/>
      <c r="K323" s="22"/>
      <c r="L323" s="22"/>
      <c r="M323" s="22"/>
    </row>
    <row r="324" spans="4:13" x14ac:dyDescent="0.2">
      <c r="D324" s="22"/>
      <c r="E324" s="22"/>
      <c r="F324" s="22"/>
      <c r="G324" s="22"/>
      <c r="H324" s="22"/>
      <c r="I324" s="22"/>
      <c r="J324" s="22"/>
      <c r="K324" s="22"/>
      <c r="L324" s="22"/>
      <c r="M324" s="22"/>
    </row>
    <row r="325" spans="4:13" x14ac:dyDescent="0.2">
      <c r="D325" s="22"/>
      <c r="E325" s="22"/>
      <c r="F325" s="22"/>
      <c r="G325" s="22"/>
      <c r="H325" s="22"/>
      <c r="I325" s="22"/>
      <c r="J325" s="22"/>
      <c r="K325" s="22"/>
      <c r="L325" s="22"/>
      <c r="M325" s="22"/>
    </row>
    <row r="326" spans="4:13" x14ac:dyDescent="0.2">
      <c r="D326" s="22"/>
      <c r="E326" s="22"/>
      <c r="F326" s="22"/>
      <c r="G326" s="22"/>
      <c r="H326" s="22"/>
      <c r="I326" s="22"/>
      <c r="J326" s="22"/>
      <c r="K326" s="22"/>
      <c r="L326" s="22"/>
      <c r="M326" s="22"/>
    </row>
    <row r="327" spans="4:13" x14ac:dyDescent="0.2">
      <c r="D327" s="22"/>
      <c r="E327" s="22"/>
      <c r="F327" s="22"/>
      <c r="G327" s="22"/>
      <c r="H327" s="22"/>
      <c r="I327" s="22"/>
      <c r="J327" s="22"/>
      <c r="K327" s="22"/>
      <c r="L327" s="22"/>
      <c r="M327" s="22"/>
    </row>
    <row r="328" spans="4:13" x14ac:dyDescent="0.2">
      <c r="D328" s="22"/>
      <c r="E328" s="22"/>
      <c r="F328" s="22"/>
      <c r="G328" s="22"/>
      <c r="H328" s="22"/>
      <c r="I328" s="22"/>
      <c r="J328" s="22"/>
      <c r="K328" s="22"/>
      <c r="L328" s="22"/>
      <c r="M328" s="22"/>
    </row>
    <row r="329" spans="4:13" x14ac:dyDescent="0.2">
      <c r="D329" s="22"/>
      <c r="E329" s="22"/>
      <c r="F329" s="22"/>
      <c r="G329" s="22"/>
      <c r="H329" s="22"/>
      <c r="I329" s="22"/>
      <c r="J329" s="22"/>
      <c r="K329" s="22"/>
      <c r="L329" s="22"/>
      <c r="M329" s="22"/>
    </row>
    <row r="330" spans="4:13" x14ac:dyDescent="0.2">
      <c r="D330" s="22"/>
      <c r="E330" s="22"/>
      <c r="F330" s="22"/>
      <c r="G330" s="22"/>
      <c r="H330" s="22"/>
      <c r="I330" s="22"/>
      <c r="J330" s="22"/>
      <c r="K330" s="22"/>
      <c r="L330" s="22"/>
      <c r="M330" s="22"/>
    </row>
    <row r="331" spans="4:13" x14ac:dyDescent="0.2">
      <c r="D331" s="22"/>
      <c r="E331" s="22"/>
      <c r="F331" s="22"/>
      <c r="G331" s="22"/>
      <c r="H331" s="22"/>
      <c r="I331" s="22"/>
      <c r="J331" s="22"/>
      <c r="K331" s="22"/>
      <c r="L331" s="22"/>
      <c r="M331" s="22"/>
    </row>
    <row r="332" spans="4:13" x14ac:dyDescent="0.2">
      <c r="D332" s="22"/>
      <c r="E332" s="22"/>
      <c r="F332" s="22"/>
      <c r="G332" s="22"/>
      <c r="H332" s="22"/>
      <c r="I332" s="22"/>
      <c r="J332" s="22"/>
      <c r="K332" s="22"/>
      <c r="L332" s="22"/>
      <c r="M332" s="22"/>
    </row>
    <row r="333" spans="4:13" x14ac:dyDescent="0.2">
      <c r="D333" s="22"/>
      <c r="E333" s="22"/>
      <c r="F333" s="22"/>
      <c r="G333" s="22"/>
      <c r="H333" s="22"/>
      <c r="I333" s="22"/>
      <c r="J333" s="22"/>
      <c r="K333" s="22"/>
      <c r="L333" s="22"/>
      <c r="M333" s="22"/>
    </row>
    <row r="334" spans="4:13" x14ac:dyDescent="0.2">
      <c r="D334" s="22"/>
      <c r="E334" s="22"/>
      <c r="F334" s="22"/>
      <c r="G334" s="22"/>
      <c r="H334" s="22"/>
      <c r="I334" s="22"/>
      <c r="J334" s="22"/>
      <c r="K334" s="22"/>
      <c r="L334" s="22"/>
      <c r="M334" s="22"/>
    </row>
    <row r="335" spans="4:13" x14ac:dyDescent="0.2">
      <c r="D335" s="22"/>
      <c r="E335" s="22"/>
      <c r="F335" s="22"/>
      <c r="G335" s="22"/>
      <c r="H335" s="22"/>
      <c r="I335" s="22"/>
      <c r="J335" s="22"/>
      <c r="K335" s="22"/>
      <c r="L335" s="22"/>
      <c r="M335" s="22"/>
    </row>
    <row r="336" spans="4:13" x14ac:dyDescent="0.2">
      <c r="D336" s="22"/>
      <c r="E336" s="22"/>
      <c r="F336" s="22"/>
      <c r="G336" s="22"/>
      <c r="H336" s="22"/>
      <c r="I336" s="22"/>
      <c r="J336" s="22"/>
      <c r="K336" s="22"/>
      <c r="L336" s="22"/>
      <c r="M336" s="22"/>
    </row>
    <row r="337" spans="4:13" x14ac:dyDescent="0.2">
      <c r="D337" s="22"/>
      <c r="E337" s="22"/>
      <c r="F337" s="22"/>
      <c r="G337" s="22"/>
      <c r="H337" s="22"/>
      <c r="I337" s="22"/>
      <c r="J337" s="22"/>
      <c r="K337" s="22"/>
      <c r="L337" s="22"/>
      <c r="M337" s="22"/>
    </row>
    <row r="338" spans="4:13" x14ac:dyDescent="0.2">
      <c r="D338" s="22"/>
      <c r="E338" s="22"/>
      <c r="F338" s="22"/>
      <c r="G338" s="22"/>
      <c r="H338" s="22"/>
      <c r="I338" s="22"/>
      <c r="J338" s="22"/>
      <c r="K338" s="22"/>
      <c r="L338" s="22"/>
      <c r="M338" s="22"/>
    </row>
    <row r="339" spans="4:13" x14ac:dyDescent="0.2">
      <c r="D339" s="22"/>
      <c r="E339" s="22"/>
      <c r="F339" s="22"/>
      <c r="G339" s="22"/>
      <c r="H339" s="22"/>
      <c r="I339" s="22"/>
      <c r="J339" s="22"/>
      <c r="K339" s="22"/>
      <c r="L339" s="22"/>
      <c r="M339" s="22"/>
    </row>
    <row r="340" spans="4:13" x14ac:dyDescent="0.2">
      <c r="D340" s="22"/>
      <c r="E340" s="22"/>
      <c r="F340" s="22"/>
      <c r="G340" s="22"/>
      <c r="H340" s="22"/>
      <c r="I340" s="22"/>
      <c r="J340" s="22"/>
      <c r="K340" s="22"/>
      <c r="L340" s="22"/>
      <c r="M340" s="22"/>
    </row>
    <row r="341" spans="4:13" x14ac:dyDescent="0.2">
      <c r="D341" s="22"/>
      <c r="E341" s="22"/>
      <c r="F341" s="22"/>
      <c r="G341" s="22"/>
      <c r="H341" s="22"/>
      <c r="I341" s="22"/>
      <c r="J341" s="22"/>
      <c r="K341" s="22"/>
      <c r="L341" s="22"/>
      <c r="M341" s="22"/>
    </row>
    <row r="342" spans="4:13" x14ac:dyDescent="0.2">
      <c r="D342" s="22"/>
      <c r="E342" s="22"/>
      <c r="F342" s="22"/>
      <c r="G342" s="22"/>
      <c r="H342" s="22"/>
      <c r="I342" s="22"/>
      <c r="J342" s="22"/>
      <c r="K342" s="22"/>
      <c r="L342" s="22"/>
      <c r="M342" s="22"/>
    </row>
    <row r="343" spans="4:13" x14ac:dyDescent="0.2">
      <c r="D343" s="22"/>
      <c r="E343" s="22"/>
      <c r="F343" s="22"/>
      <c r="G343" s="22"/>
      <c r="H343" s="22"/>
      <c r="I343" s="22"/>
      <c r="J343" s="22"/>
      <c r="K343" s="22"/>
      <c r="L343" s="22"/>
      <c r="M343" s="22"/>
    </row>
    <row r="344" spans="4:13" x14ac:dyDescent="0.2">
      <c r="D344" s="22"/>
      <c r="E344" s="22"/>
      <c r="F344" s="22"/>
      <c r="G344" s="22"/>
      <c r="H344" s="22"/>
      <c r="I344" s="22"/>
      <c r="J344" s="22"/>
      <c r="K344" s="22"/>
      <c r="L344" s="22"/>
      <c r="M344" s="22"/>
    </row>
    <row r="345" spans="4:13" x14ac:dyDescent="0.2">
      <c r="D345" s="22"/>
      <c r="E345" s="22"/>
      <c r="F345" s="22"/>
      <c r="G345" s="22"/>
      <c r="H345" s="22"/>
      <c r="I345" s="22"/>
      <c r="J345" s="22"/>
      <c r="K345" s="22"/>
      <c r="L345" s="22"/>
      <c r="M345" s="22"/>
    </row>
    <row r="346" spans="4:13" x14ac:dyDescent="0.2">
      <c r="D346" s="22"/>
      <c r="E346" s="22"/>
      <c r="F346" s="22"/>
      <c r="G346" s="22"/>
      <c r="H346" s="22"/>
      <c r="I346" s="22"/>
      <c r="J346" s="22"/>
      <c r="K346" s="22"/>
      <c r="L346" s="22"/>
      <c r="M346" s="22"/>
    </row>
    <row r="347" spans="4:13" x14ac:dyDescent="0.2">
      <c r="D347" s="22"/>
      <c r="E347" s="22"/>
      <c r="F347" s="22"/>
      <c r="G347" s="22"/>
      <c r="H347" s="22"/>
      <c r="I347" s="22"/>
      <c r="J347" s="22"/>
      <c r="K347" s="22"/>
      <c r="L347" s="22"/>
      <c r="M347" s="22"/>
    </row>
    <row r="348" spans="4:13" x14ac:dyDescent="0.2">
      <c r="D348" s="22"/>
      <c r="E348" s="22"/>
      <c r="F348" s="22"/>
      <c r="G348" s="22"/>
      <c r="H348" s="22"/>
      <c r="I348" s="22"/>
      <c r="J348" s="22"/>
      <c r="K348" s="22"/>
      <c r="L348" s="22"/>
      <c r="M348" s="22"/>
    </row>
    <row r="349" spans="4:13" x14ac:dyDescent="0.2">
      <c r="D349" s="22"/>
      <c r="E349" s="22"/>
      <c r="F349" s="22"/>
      <c r="G349" s="22"/>
      <c r="H349" s="22"/>
      <c r="I349" s="22"/>
      <c r="J349" s="22"/>
      <c r="K349" s="22"/>
      <c r="L349" s="22"/>
      <c r="M349" s="22"/>
    </row>
    <row r="350" spans="4:13" x14ac:dyDescent="0.2">
      <c r="D350" s="22"/>
      <c r="E350" s="22"/>
      <c r="F350" s="22"/>
      <c r="G350" s="22"/>
      <c r="H350" s="22"/>
      <c r="I350" s="22"/>
      <c r="J350" s="22"/>
      <c r="K350" s="22"/>
      <c r="L350" s="22"/>
      <c r="M350" s="22"/>
    </row>
    <row r="351" spans="4:13" x14ac:dyDescent="0.2">
      <c r="D351" s="22"/>
      <c r="E351" s="22"/>
      <c r="F351" s="22"/>
      <c r="G351" s="22"/>
      <c r="H351" s="22"/>
      <c r="I351" s="22"/>
      <c r="J351" s="22"/>
      <c r="K351" s="22"/>
      <c r="L351" s="22"/>
      <c r="M351" s="22"/>
    </row>
    <row r="352" spans="4:13" x14ac:dyDescent="0.2">
      <c r="D352" s="22"/>
      <c r="E352" s="22"/>
      <c r="F352" s="22"/>
      <c r="G352" s="22"/>
      <c r="H352" s="22"/>
      <c r="I352" s="22"/>
      <c r="J352" s="22"/>
      <c r="K352" s="22"/>
      <c r="L352" s="22"/>
      <c r="M352" s="22"/>
    </row>
    <row r="353" spans="4:13" x14ac:dyDescent="0.2">
      <c r="D353" s="22"/>
      <c r="E353" s="22"/>
      <c r="F353" s="22"/>
      <c r="G353" s="22"/>
      <c r="H353" s="22"/>
      <c r="I353" s="22"/>
      <c r="J353" s="22"/>
      <c r="K353" s="22"/>
      <c r="L353" s="22"/>
      <c r="M353" s="22"/>
    </row>
    <row r="354" spans="4:13" x14ac:dyDescent="0.2">
      <c r="D354" s="22"/>
      <c r="E354" s="22"/>
      <c r="F354" s="22"/>
      <c r="G354" s="22"/>
      <c r="H354" s="22"/>
      <c r="I354" s="22"/>
      <c r="J354" s="22"/>
      <c r="K354" s="22"/>
      <c r="L354" s="22"/>
      <c r="M354" s="22"/>
    </row>
    <row r="355" spans="4:13" x14ac:dyDescent="0.2">
      <c r="D355" s="22"/>
      <c r="E355" s="22"/>
      <c r="F355" s="22"/>
      <c r="G355" s="22"/>
      <c r="H355" s="22"/>
      <c r="I355" s="22"/>
      <c r="J355" s="22"/>
      <c r="K355" s="22"/>
      <c r="L355" s="22"/>
      <c r="M355" s="22"/>
    </row>
    <row r="356" spans="4:13" x14ac:dyDescent="0.2">
      <c r="D356" s="22"/>
      <c r="E356" s="22"/>
      <c r="F356" s="22"/>
      <c r="G356" s="22"/>
      <c r="H356" s="22"/>
      <c r="I356" s="22"/>
      <c r="J356" s="22"/>
      <c r="K356" s="22"/>
      <c r="L356" s="22"/>
      <c r="M356" s="22"/>
    </row>
    <row r="357" spans="4:13" x14ac:dyDescent="0.2">
      <c r="D357" s="22"/>
      <c r="E357" s="22"/>
      <c r="F357" s="22"/>
      <c r="G357" s="22"/>
      <c r="H357" s="22"/>
      <c r="I357" s="22"/>
      <c r="J357" s="22"/>
      <c r="K357" s="22"/>
      <c r="L357" s="22"/>
      <c r="M357" s="22"/>
    </row>
    <row r="358" spans="4:13" x14ac:dyDescent="0.2">
      <c r="D358" s="22"/>
      <c r="E358" s="22"/>
      <c r="F358" s="22"/>
      <c r="G358" s="22"/>
      <c r="H358" s="22"/>
      <c r="I358" s="22"/>
      <c r="J358" s="22"/>
      <c r="K358" s="22"/>
      <c r="L358" s="22"/>
      <c r="M358" s="22"/>
    </row>
    <row r="359" spans="4:13" x14ac:dyDescent="0.2">
      <c r="D359" s="22"/>
      <c r="E359" s="22"/>
      <c r="F359" s="22"/>
      <c r="G359" s="22"/>
      <c r="H359" s="22"/>
      <c r="I359" s="22"/>
      <c r="J359" s="22"/>
      <c r="K359" s="22"/>
      <c r="L359" s="22"/>
      <c r="M359" s="22"/>
    </row>
    <row r="360" spans="4:13" x14ac:dyDescent="0.2">
      <c r="D360" s="22"/>
      <c r="E360" s="22"/>
      <c r="F360" s="22"/>
      <c r="G360" s="22"/>
      <c r="H360" s="22"/>
      <c r="I360" s="22"/>
      <c r="J360" s="22"/>
      <c r="K360" s="22"/>
      <c r="L360" s="22"/>
      <c r="M360" s="22"/>
    </row>
    <row r="361" spans="4:13" x14ac:dyDescent="0.2">
      <c r="D361" s="22"/>
      <c r="E361" s="22"/>
      <c r="F361" s="22"/>
      <c r="G361" s="22"/>
      <c r="H361" s="22"/>
      <c r="I361" s="22"/>
      <c r="J361" s="22"/>
      <c r="K361" s="22"/>
      <c r="L361" s="22"/>
      <c r="M361" s="22"/>
    </row>
    <row r="362" spans="4:13" x14ac:dyDescent="0.2">
      <c r="D362" s="22"/>
      <c r="E362" s="22"/>
      <c r="F362" s="22"/>
      <c r="G362" s="22"/>
      <c r="H362" s="22"/>
      <c r="I362" s="22"/>
      <c r="J362" s="22"/>
      <c r="K362" s="22"/>
      <c r="L362" s="22"/>
      <c r="M362" s="22"/>
    </row>
    <row r="363" spans="4:13" x14ac:dyDescent="0.2">
      <c r="D363" s="22"/>
      <c r="E363" s="22"/>
      <c r="F363" s="22"/>
      <c r="G363" s="22"/>
      <c r="H363" s="22"/>
      <c r="I363" s="22"/>
      <c r="J363" s="22"/>
      <c r="K363" s="22"/>
      <c r="L363" s="22"/>
      <c r="M363" s="22"/>
    </row>
    <row r="364" spans="4:13" x14ac:dyDescent="0.2">
      <c r="D364" s="22"/>
      <c r="E364" s="22"/>
      <c r="F364" s="22"/>
      <c r="G364" s="22"/>
      <c r="H364" s="22"/>
      <c r="I364" s="22"/>
      <c r="J364" s="22"/>
      <c r="K364" s="22"/>
      <c r="L364" s="22"/>
      <c r="M364" s="22"/>
    </row>
    <row r="365" spans="4:13" x14ac:dyDescent="0.2">
      <c r="D365" s="22"/>
      <c r="E365" s="22"/>
      <c r="F365" s="22"/>
      <c r="G365" s="22"/>
      <c r="H365" s="22"/>
      <c r="I365" s="22"/>
      <c r="J365" s="22"/>
      <c r="K365" s="22"/>
      <c r="L365" s="22"/>
      <c r="M365" s="22"/>
    </row>
    <row r="366" spans="4:13" x14ac:dyDescent="0.2">
      <c r="D366" s="22"/>
      <c r="E366" s="22"/>
      <c r="F366" s="22"/>
      <c r="G366" s="22"/>
      <c r="H366" s="22"/>
      <c r="I366" s="22"/>
      <c r="J366" s="22"/>
      <c r="K366" s="22"/>
      <c r="L366" s="22"/>
      <c r="M366" s="22"/>
    </row>
    <row r="367" spans="4:13" x14ac:dyDescent="0.2">
      <c r="D367" s="22"/>
      <c r="E367" s="22"/>
      <c r="F367" s="22"/>
      <c r="G367" s="22"/>
      <c r="H367" s="22"/>
      <c r="I367" s="22"/>
      <c r="J367" s="22"/>
      <c r="K367" s="22"/>
      <c r="L367" s="22"/>
      <c r="M367" s="22"/>
    </row>
    <row r="368" spans="4:13" x14ac:dyDescent="0.2">
      <c r="D368" s="22"/>
      <c r="E368" s="22"/>
      <c r="F368" s="22"/>
      <c r="G368" s="22"/>
      <c r="H368" s="22"/>
      <c r="I368" s="22"/>
      <c r="J368" s="22"/>
      <c r="K368" s="22"/>
      <c r="L368" s="22"/>
      <c r="M368" s="22"/>
    </row>
    <row r="369" spans="4:13" x14ac:dyDescent="0.2">
      <c r="D369" s="22"/>
      <c r="E369" s="22"/>
      <c r="F369" s="22"/>
      <c r="G369" s="22"/>
      <c r="H369" s="22"/>
      <c r="I369" s="22"/>
      <c r="J369" s="22"/>
      <c r="K369" s="22"/>
      <c r="L369" s="22"/>
      <c r="M369" s="22"/>
    </row>
    <row r="370" spans="4:13" x14ac:dyDescent="0.2">
      <c r="D370" s="22"/>
      <c r="E370" s="22"/>
      <c r="F370" s="22"/>
      <c r="G370" s="22"/>
      <c r="H370" s="22"/>
      <c r="I370" s="22"/>
      <c r="J370" s="22"/>
      <c r="K370" s="22"/>
      <c r="L370" s="22"/>
      <c r="M370" s="22"/>
    </row>
    <row r="371" spans="4:13" x14ac:dyDescent="0.2">
      <c r="D371" s="22"/>
      <c r="E371" s="22"/>
      <c r="F371" s="22"/>
      <c r="G371" s="22"/>
      <c r="H371" s="22"/>
      <c r="I371" s="22"/>
      <c r="J371" s="22"/>
      <c r="K371" s="22"/>
      <c r="L371" s="22"/>
      <c r="M371" s="22"/>
    </row>
    <row r="372" spans="4:13" x14ac:dyDescent="0.2">
      <c r="D372" s="22"/>
      <c r="E372" s="22"/>
      <c r="F372" s="22"/>
      <c r="G372" s="22"/>
      <c r="H372" s="22"/>
      <c r="I372" s="22"/>
      <c r="J372" s="22"/>
      <c r="K372" s="22"/>
      <c r="L372" s="22"/>
      <c r="M372" s="22"/>
    </row>
    <row r="373" spans="4:13" x14ac:dyDescent="0.2">
      <c r="D373" s="22"/>
      <c r="E373" s="22"/>
      <c r="F373" s="22"/>
      <c r="G373" s="22"/>
      <c r="H373" s="22"/>
      <c r="I373" s="22"/>
      <c r="J373" s="22"/>
      <c r="K373" s="22"/>
      <c r="L373" s="22"/>
      <c r="M373" s="22"/>
    </row>
    <row r="374" spans="4:13" x14ac:dyDescent="0.2">
      <c r="D374" s="22"/>
      <c r="E374" s="22"/>
      <c r="F374" s="22"/>
      <c r="G374" s="22"/>
      <c r="H374" s="22"/>
      <c r="I374" s="22"/>
      <c r="J374" s="22"/>
      <c r="K374" s="22"/>
      <c r="L374" s="22"/>
      <c r="M374" s="22"/>
    </row>
    <row r="375" spans="4:13" x14ac:dyDescent="0.2">
      <c r="D375" s="22"/>
      <c r="E375" s="22"/>
      <c r="F375" s="22"/>
      <c r="G375" s="22"/>
      <c r="H375" s="22"/>
      <c r="I375" s="22"/>
      <c r="J375" s="22"/>
      <c r="K375" s="22"/>
      <c r="L375" s="22"/>
      <c r="M375" s="22"/>
    </row>
    <row r="376" spans="4:13" x14ac:dyDescent="0.2">
      <c r="D376" s="22"/>
      <c r="E376" s="22"/>
      <c r="F376" s="22"/>
      <c r="G376" s="22"/>
      <c r="H376" s="22"/>
      <c r="I376" s="22"/>
      <c r="J376" s="22"/>
      <c r="K376" s="22"/>
      <c r="L376" s="22"/>
      <c r="M376" s="22"/>
    </row>
    <row r="377" spans="4:13" x14ac:dyDescent="0.2">
      <c r="D377" s="22"/>
      <c r="E377" s="22"/>
      <c r="F377" s="22"/>
      <c r="G377" s="22"/>
      <c r="H377" s="22"/>
      <c r="I377" s="22"/>
      <c r="J377" s="22"/>
      <c r="K377" s="22"/>
      <c r="L377" s="22"/>
      <c r="M377" s="22"/>
    </row>
    <row r="378" spans="4:13" x14ac:dyDescent="0.2">
      <c r="D378" s="22"/>
      <c r="E378" s="22"/>
      <c r="F378" s="22"/>
      <c r="G378" s="22"/>
      <c r="H378" s="22"/>
      <c r="I378" s="22"/>
      <c r="J378" s="22"/>
      <c r="K378" s="22"/>
      <c r="L378" s="22"/>
      <c r="M378" s="22"/>
    </row>
    <row r="379" spans="4:13" x14ac:dyDescent="0.2">
      <c r="D379" s="22"/>
      <c r="E379" s="22"/>
      <c r="F379" s="22"/>
      <c r="G379" s="22"/>
      <c r="H379" s="22"/>
      <c r="I379" s="22"/>
      <c r="J379" s="22"/>
      <c r="K379" s="22"/>
      <c r="L379" s="22"/>
      <c r="M379" s="22"/>
    </row>
    <row r="380" spans="4:13" x14ac:dyDescent="0.2">
      <c r="D380" s="22"/>
      <c r="E380" s="22"/>
      <c r="F380" s="22"/>
      <c r="G380" s="22"/>
      <c r="H380" s="22"/>
      <c r="I380" s="22"/>
      <c r="J380" s="22"/>
      <c r="K380" s="22"/>
      <c r="L380" s="22"/>
      <c r="M380" s="22"/>
    </row>
    <row r="381" spans="4:13" x14ac:dyDescent="0.2">
      <c r="D381" s="22"/>
      <c r="E381" s="22"/>
      <c r="F381" s="22"/>
      <c r="G381" s="22"/>
      <c r="H381" s="22"/>
      <c r="I381" s="22"/>
      <c r="J381" s="22"/>
      <c r="K381" s="22"/>
      <c r="L381" s="22"/>
      <c r="M381" s="22"/>
    </row>
    <row r="382" spans="4:13" x14ac:dyDescent="0.2">
      <c r="D382" s="22"/>
      <c r="E382" s="22"/>
      <c r="F382" s="22"/>
      <c r="G382" s="22"/>
      <c r="H382" s="22"/>
      <c r="I382" s="22"/>
      <c r="J382" s="22"/>
      <c r="K382" s="22"/>
      <c r="L382" s="22"/>
      <c r="M382" s="22"/>
    </row>
    <row r="383" spans="4:13" x14ac:dyDescent="0.2">
      <c r="D383" s="22"/>
      <c r="E383" s="22"/>
      <c r="F383" s="22"/>
      <c r="G383" s="22"/>
      <c r="H383" s="22"/>
      <c r="I383" s="22"/>
      <c r="J383" s="22"/>
      <c r="K383" s="22"/>
      <c r="L383" s="22"/>
      <c r="M383" s="22"/>
    </row>
    <row r="384" spans="4:13" x14ac:dyDescent="0.2">
      <c r="D384" s="22"/>
      <c r="E384" s="22"/>
      <c r="F384" s="22"/>
      <c r="G384" s="22"/>
      <c r="H384" s="22"/>
      <c r="I384" s="22"/>
      <c r="J384" s="22"/>
      <c r="K384" s="22"/>
      <c r="L384" s="22"/>
      <c r="M384" s="22"/>
    </row>
    <row r="385" spans="4:13" x14ac:dyDescent="0.2">
      <c r="D385" s="22"/>
      <c r="E385" s="22"/>
      <c r="F385" s="22"/>
      <c r="G385" s="22"/>
      <c r="H385" s="22"/>
      <c r="I385" s="22"/>
      <c r="J385" s="22"/>
      <c r="K385" s="22"/>
      <c r="L385" s="22"/>
      <c r="M385" s="22"/>
    </row>
    <row r="386" spans="4:13" x14ac:dyDescent="0.2">
      <c r="D386" s="22"/>
      <c r="E386" s="22"/>
      <c r="F386" s="22"/>
      <c r="G386" s="22"/>
      <c r="H386" s="22"/>
      <c r="I386" s="22"/>
      <c r="J386" s="22"/>
      <c r="K386" s="22"/>
      <c r="L386" s="22"/>
      <c r="M386" s="22"/>
    </row>
    <row r="387" spans="4:13" x14ac:dyDescent="0.2">
      <c r="D387" s="22"/>
      <c r="E387" s="22"/>
      <c r="F387" s="22"/>
      <c r="G387" s="22"/>
      <c r="H387" s="22"/>
      <c r="I387" s="22"/>
      <c r="J387" s="22"/>
      <c r="K387" s="22"/>
      <c r="L387" s="22"/>
      <c r="M387" s="22"/>
    </row>
    <row r="388" spans="4:13" x14ac:dyDescent="0.2">
      <c r="D388" s="22"/>
      <c r="E388" s="22"/>
      <c r="F388" s="22"/>
      <c r="G388" s="22"/>
      <c r="H388" s="22"/>
      <c r="I388" s="22"/>
      <c r="J388" s="22"/>
      <c r="K388" s="22"/>
      <c r="L388" s="22"/>
      <c r="M388" s="22"/>
    </row>
    <row r="389" spans="4:13" x14ac:dyDescent="0.2">
      <c r="D389" s="22"/>
      <c r="E389" s="22"/>
      <c r="F389" s="22"/>
      <c r="G389" s="22"/>
      <c r="H389" s="22"/>
      <c r="I389" s="22"/>
      <c r="J389" s="22"/>
      <c r="K389" s="22"/>
      <c r="L389" s="22"/>
      <c r="M389" s="22"/>
    </row>
    <row r="390" spans="4:13" x14ac:dyDescent="0.2">
      <c r="D390" s="22"/>
      <c r="E390" s="22"/>
      <c r="F390" s="22"/>
      <c r="G390" s="22"/>
      <c r="H390" s="22"/>
      <c r="I390" s="22"/>
      <c r="J390" s="22"/>
      <c r="K390" s="22"/>
      <c r="L390" s="22"/>
      <c r="M390" s="22"/>
    </row>
    <row r="391" spans="4:13" x14ac:dyDescent="0.2">
      <c r="D391" s="22"/>
      <c r="E391" s="22"/>
      <c r="F391" s="22"/>
      <c r="G391" s="22"/>
      <c r="H391" s="22"/>
      <c r="I391" s="22"/>
      <c r="J391" s="22"/>
      <c r="K391" s="22"/>
      <c r="L391" s="22"/>
      <c r="M391" s="22"/>
    </row>
    <row r="392" spans="4:13" x14ac:dyDescent="0.2">
      <c r="D392" s="22"/>
      <c r="E392" s="22"/>
      <c r="F392" s="22"/>
      <c r="G392" s="22"/>
      <c r="H392" s="22"/>
      <c r="I392" s="22"/>
      <c r="J392" s="22"/>
      <c r="K392" s="22"/>
      <c r="L392" s="22"/>
      <c r="M392" s="22"/>
    </row>
    <row r="393" spans="4:13" x14ac:dyDescent="0.2">
      <c r="D393" s="22"/>
      <c r="E393" s="22"/>
      <c r="F393" s="22"/>
      <c r="G393" s="22"/>
      <c r="H393" s="22"/>
      <c r="I393" s="22"/>
      <c r="J393" s="22"/>
      <c r="K393" s="22"/>
      <c r="L393" s="22"/>
      <c r="M393" s="22"/>
    </row>
    <row r="394" spans="4:13" x14ac:dyDescent="0.2">
      <c r="D394" s="22"/>
      <c r="E394" s="22"/>
      <c r="F394" s="22"/>
      <c r="G394" s="22"/>
      <c r="H394" s="22"/>
      <c r="I394" s="22"/>
      <c r="J394" s="22"/>
      <c r="K394" s="22"/>
      <c r="L394" s="22"/>
      <c r="M394" s="22"/>
    </row>
    <row r="395" spans="4:13" x14ac:dyDescent="0.2">
      <c r="D395" s="22"/>
      <c r="E395" s="22"/>
      <c r="F395" s="22"/>
      <c r="G395" s="22"/>
      <c r="H395" s="22"/>
      <c r="I395" s="22"/>
      <c r="J395" s="22"/>
      <c r="K395" s="22"/>
      <c r="L395" s="22"/>
      <c r="M395" s="22"/>
    </row>
    <row r="396" spans="4:13" x14ac:dyDescent="0.2">
      <c r="D396" s="22"/>
      <c r="E396" s="22"/>
      <c r="F396" s="22"/>
      <c r="G396" s="22"/>
      <c r="H396" s="22"/>
      <c r="I396" s="22"/>
      <c r="J396" s="22"/>
      <c r="K396" s="22"/>
      <c r="L396" s="22"/>
      <c r="M396" s="22"/>
    </row>
    <row r="397" spans="4:13" x14ac:dyDescent="0.2">
      <c r="D397" s="22"/>
      <c r="E397" s="22"/>
      <c r="F397" s="22"/>
      <c r="G397" s="22"/>
      <c r="H397" s="22"/>
      <c r="I397" s="22"/>
      <c r="J397" s="22"/>
      <c r="K397" s="22"/>
      <c r="L397" s="22"/>
      <c r="M397" s="22"/>
    </row>
    <row r="398" spans="4:13" x14ac:dyDescent="0.2">
      <c r="D398" s="22"/>
      <c r="E398" s="22"/>
      <c r="F398" s="22"/>
      <c r="G398" s="22"/>
      <c r="H398" s="22"/>
      <c r="I398" s="22"/>
      <c r="J398" s="22"/>
      <c r="K398" s="22"/>
      <c r="L398" s="22"/>
      <c r="M398" s="22"/>
    </row>
    <row r="399" spans="4:13" x14ac:dyDescent="0.2">
      <c r="D399" s="22"/>
      <c r="E399" s="22"/>
      <c r="F399" s="22"/>
      <c r="G399" s="22"/>
      <c r="H399" s="22"/>
      <c r="I399" s="22"/>
      <c r="J399" s="22"/>
      <c r="K399" s="22"/>
      <c r="L399" s="22"/>
      <c r="M399" s="22"/>
    </row>
    <row r="400" spans="4:13" x14ac:dyDescent="0.2">
      <c r="D400" s="22"/>
      <c r="E400" s="22"/>
      <c r="F400" s="22"/>
      <c r="G400" s="22"/>
      <c r="H400" s="22"/>
      <c r="I400" s="22"/>
      <c r="J400" s="22"/>
      <c r="K400" s="22"/>
      <c r="L400" s="22"/>
      <c r="M400" s="22"/>
    </row>
    <row r="401" spans="4:13" x14ac:dyDescent="0.2">
      <c r="D401" s="22"/>
      <c r="E401" s="22"/>
      <c r="F401" s="22"/>
      <c r="G401" s="22"/>
      <c r="H401" s="22"/>
      <c r="I401" s="22"/>
      <c r="J401" s="22"/>
      <c r="K401" s="22"/>
      <c r="L401" s="22"/>
      <c r="M401" s="22"/>
    </row>
    <row r="402" spans="4:13" x14ac:dyDescent="0.2">
      <c r="D402" s="22"/>
      <c r="E402" s="22"/>
      <c r="F402" s="22"/>
      <c r="G402" s="22"/>
      <c r="H402" s="22"/>
      <c r="I402" s="22"/>
      <c r="J402" s="22"/>
      <c r="K402" s="22"/>
      <c r="L402" s="22"/>
      <c r="M402" s="22"/>
    </row>
    <row r="403" spans="4:13" x14ac:dyDescent="0.2">
      <c r="D403" s="22"/>
      <c r="E403" s="22"/>
      <c r="F403" s="22"/>
      <c r="G403" s="22"/>
      <c r="H403" s="22"/>
      <c r="I403" s="22"/>
      <c r="J403" s="22"/>
      <c r="K403" s="22"/>
      <c r="L403" s="22"/>
      <c r="M403" s="22"/>
    </row>
    <row r="404" spans="4:13" x14ac:dyDescent="0.2">
      <c r="D404" s="22"/>
      <c r="E404" s="22"/>
      <c r="F404" s="22"/>
      <c r="G404" s="22"/>
      <c r="H404" s="22"/>
      <c r="I404" s="22"/>
      <c r="J404" s="22"/>
      <c r="K404" s="22"/>
      <c r="L404" s="22"/>
      <c r="M404" s="22"/>
    </row>
    <row r="405" spans="4:13" x14ac:dyDescent="0.2">
      <c r="D405" s="22"/>
      <c r="E405" s="22"/>
      <c r="F405" s="22"/>
      <c r="G405" s="22"/>
      <c r="H405" s="22"/>
      <c r="I405" s="22"/>
      <c r="J405" s="22"/>
      <c r="K405" s="22"/>
      <c r="L405" s="22"/>
      <c r="M405" s="22"/>
    </row>
    <row r="406" spans="4:13" x14ac:dyDescent="0.2">
      <c r="D406" s="22"/>
      <c r="E406" s="22"/>
      <c r="F406" s="22"/>
      <c r="G406" s="22"/>
      <c r="H406" s="22"/>
      <c r="I406" s="22"/>
      <c r="J406" s="22"/>
      <c r="K406" s="22"/>
      <c r="L406" s="22"/>
      <c r="M406" s="22"/>
    </row>
    <row r="407" spans="4:13" x14ac:dyDescent="0.2">
      <c r="D407" s="22"/>
      <c r="E407" s="22"/>
      <c r="F407" s="22"/>
      <c r="G407" s="22"/>
      <c r="H407" s="22"/>
      <c r="I407" s="22"/>
      <c r="J407" s="22"/>
      <c r="K407" s="22"/>
      <c r="L407" s="22"/>
      <c r="M407" s="22"/>
    </row>
    <row r="408" spans="4:13" x14ac:dyDescent="0.2">
      <c r="D408" s="22"/>
      <c r="E408" s="22"/>
      <c r="F408" s="22"/>
      <c r="G408" s="22"/>
      <c r="H408" s="22"/>
      <c r="I408" s="22"/>
      <c r="J408" s="22"/>
      <c r="K408" s="22"/>
      <c r="L408" s="22"/>
      <c r="M408" s="22"/>
    </row>
  </sheetData>
  <mergeCells count="1">
    <mergeCell ref="E89:F89"/>
  </mergeCells>
  <conditionalFormatting sqref="C136">
    <cfRule type="cellIs" dxfId="5" priority="7" operator="lessThan">
      <formula>0</formula>
    </cfRule>
  </conditionalFormatting>
  <conditionalFormatting sqref="M22:N22 N23:N24">
    <cfRule type="expression" dxfId="4" priority="8">
      <formula>$O$10="Annual Inputs"</formula>
    </cfRule>
  </conditionalFormatting>
  <conditionalFormatting sqref="N28:N100">
    <cfRule type="expression" dxfId="3" priority="9">
      <formula>$O$10="Initial Year Input"</formula>
    </cfRule>
  </conditionalFormatting>
  <conditionalFormatting sqref="M23:M108">
    <cfRule type="expression" dxfId="2" priority="1">
      <formula>$O$10="Annual Inputs"</formula>
    </cfRule>
  </conditionalFormatting>
  <dataValidations count="5">
    <dataValidation type="list" allowBlank="1" showInputMessage="1" showErrorMessage="1" sqref="F119:H123 E104:H107 E92:F93 E95:F96 E109:H112 E114:H117 D130:G135">
      <formula1>"Yes,No"</formula1>
    </dataValidation>
    <dataValidation type="list" allowBlank="1" showInputMessage="1" showErrorMessage="1" sqref="C125:C127">
      <formula1>"5-Yr MACRS,Proportionally"</formula1>
    </dataValidation>
    <dataValidation type="list" allowBlank="1" showInputMessage="1" showErrorMessage="1" sqref="N11:N21 N9">
      <formula1>"Initial Year Input, Annual Inputs"</formula1>
    </dataValidation>
    <dataValidation type="list" allowBlank="1" showInputMessage="1" showErrorMessage="1" sqref="C85:C86">
      <formula1>$B$130:$B$135</formula1>
    </dataValidation>
    <dataValidation allowBlank="1" showInputMessage="1" showErrorMessage="1" sqref="W10 AH10 F23:J23 F34:J34"/>
  </dataValidations>
  <pageMargins left="0.5" right="0.5" top="0.5" bottom="0.75" header="0.3" footer="0.3"/>
  <pageSetup scale="73" pageOrder="overThenDown" orientation="landscape" horizontalDpi="4294967294" verticalDpi="0" r:id="rId1"/>
  <rowBreaks count="1" manualBreakCount="1">
    <brk id="100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1" r:id="rId4" name="Button 27">
              <controlPr defaultSize="0" print="0" autoFill="0" autoPict="0" macro="[0]!Module1.SOPPAPrice">
                <anchor moveWithCells="1" sizeWithCells="1">
                  <from>
                    <xdr:col>6</xdr:col>
                    <xdr:colOff>1228725</xdr:colOff>
                    <xdr:row>3</xdr:row>
                    <xdr:rowOff>0</xdr:rowOff>
                  </from>
                  <to>
                    <xdr:col>9</xdr:col>
                    <xdr:colOff>9525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P354"/>
  <sheetViews>
    <sheetView topLeftCell="A88" workbookViewId="0">
      <selection activeCell="A113" sqref="A113:XFD114"/>
    </sheetView>
  </sheetViews>
  <sheetFormatPr defaultRowHeight="15" x14ac:dyDescent="0.25"/>
  <cols>
    <col min="3" max="3" width="15.85546875" bestFit="1" customWidth="1"/>
    <col min="4" max="4" width="13.42578125" customWidth="1"/>
    <col min="5" max="5" width="19.5703125" customWidth="1"/>
    <col min="6" max="6" width="15" customWidth="1"/>
    <col min="7" max="7" width="18.140625" customWidth="1"/>
    <col min="9" max="9" width="16.85546875" customWidth="1"/>
    <col min="10" max="10" width="16" customWidth="1"/>
  </cols>
  <sheetData>
    <row r="1" spans="1:10" x14ac:dyDescent="0.25">
      <c r="A1" s="347"/>
    </row>
    <row r="3" spans="1:10" x14ac:dyDescent="0.25">
      <c r="B3" s="57"/>
      <c r="C3" s="22"/>
      <c r="D3" s="272"/>
      <c r="E3" s="272"/>
      <c r="F3" s="307"/>
      <c r="G3" s="272"/>
      <c r="H3" s="272"/>
      <c r="I3" s="272"/>
      <c r="J3" s="272"/>
    </row>
    <row r="4" spans="1:10" x14ac:dyDescent="0.25">
      <c r="B4" s="22"/>
      <c r="C4" s="22"/>
      <c r="D4" s="34"/>
      <c r="E4" s="321" t="s">
        <v>317</v>
      </c>
      <c r="F4" s="118">
        <f>VLOOKUP(SOReturnTargetYear,'Results Summary'!B9:C49,2)</f>
        <v>3.9600000000000003E-2</v>
      </c>
      <c r="G4" s="272"/>
      <c r="H4" s="272"/>
      <c r="I4" s="272"/>
      <c r="J4" s="272"/>
    </row>
    <row r="5" spans="1:10" x14ac:dyDescent="0.25">
      <c r="B5" s="34"/>
      <c r="C5" s="22"/>
      <c r="D5" s="34"/>
      <c r="E5" s="321" t="s">
        <v>318</v>
      </c>
      <c r="F5" s="329">
        <v>21</v>
      </c>
      <c r="G5" s="272"/>
      <c r="H5" s="272"/>
      <c r="I5" s="272"/>
      <c r="J5" s="272"/>
    </row>
    <row r="6" spans="1:10" x14ac:dyDescent="0.25">
      <c r="B6" s="22"/>
      <c r="C6" s="22"/>
      <c r="D6" s="272"/>
      <c r="E6" s="272"/>
      <c r="F6" s="272"/>
      <c r="G6" s="272"/>
      <c r="H6" s="272"/>
      <c r="I6" s="272"/>
      <c r="J6" s="272"/>
    </row>
    <row r="7" spans="1:10" x14ac:dyDescent="0.25">
      <c r="B7" s="22"/>
      <c r="C7" s="34"/>
      <c r="D7" s="272"/>
      <c r="E7" s="272"/>
      <c r="F7" s="272"/>
      <c r="G7" s="272"/>
      <c r="H7" s="272"/>
      <c r="I7" s="272"/>
      <c r="J7" s="272"/>
    </row>
    <row r="8" spans="1:10" x14ac:dyDescent="0.25">
      <c r="B8" s="133" t="s">
        <v>127</v>
      </c>
      <c r="C8" s="306" t="s">
        <v>319</v>
      </c>
      <c r="E8" s="283"/>
      <c r="G8" s="133"/>
      <c r="H8" s="216"/>
      <c r="I8" s="306" t="s">
        <v>303</v>
      </c>
      <c r="J8" s="133" t="s">
        <v>320</v>
      </c>
    </row>
    <row r="9" spans="1:10" x14ac:dyDescent="0.25">
      <c r="B9" s="331">
        <v>1</v>
      </c>
      <c r="C9" s="118">
        <f>'Cash Flow'!$C$107</f>
        <v>-0.69210000000000005</v>
      </c>
      <c r="E9" s="52"/>
      <c r="G9" s="52"/>
      <c r="H9" s="17"/>
      <c r="I9" s="17">
        <v>1</v>
      </c>
      <c r="J9" s="47">
        <v>0</v>
      </c>
    </row>
    <row r="10" spans="1:10" x14ac:dyDescent="0.25">
      <c r="B10" s="331">
        <v>2</v>
      </c>
      <c r="C10" s="319">
        <f>'Cash Flow'!$D$107</f>
        <v>-0.50419999999999998</v>
      </c>
      <c r="E10" s="115"/>
      <c r="G10" s="115"/>
      <c r="H10" s="22"/>
      <c r="I10" s="17">
        <v>2</v>
      </c>
      <c r="J10" s="319">
        <v>0</v>
      </c>
    </row>
    <row r="11" spans="1:10" x14ac:dyDescent="0.25">
      <c r="B11" s="331">
        <v>3</v>
      </c>
      <c r="C11" s="319">
        <f>'Cash Flow'!$E$107</f>
        <v>-0.38719999999999999</v>
      </c>
      <c r="E11" s="38"/>
      <c r="G11" s="38"/>
      <c r="H11" s="289"/>
      <c r="I11" s="17">
        <v>3</v>
      </c>
      <c r="J11" s="320">
        <v>0</v>
      </c>
    </row>
    <row r="12" spans="1:10" x14ac:dyDescent="0.25">
      <c r="B12" s="331">
        <v>4</v>
      </c>
      <c r="C12" s="319">
        <f>'Cash Flow'!$F$107</f>
        <v>-0.31929999999999997</v>
      </c>
      <c r="E12" s="38"/>
      <c r="G12" s="38"/>
      <c r="H12" s="22"/>
      <c r="I12" s="17">
        <v>4</v>
      </c>
      <c r="J12" s="319">
        <v>-0.1195</v>
      </c>
    </row>
    <row r="13" spans="1:10" x14ac:dyDescent="0.25">
      <c r="B13" s="331">
        <v>5</v>
      </c>
      <c r="C13" s="320">
        <f>'Cash Flow'!$G$107</f>
        <v>-0.26050000000000001</v>
      </c>
      <c r="E13" s="38"/>
      <c r="G13" s="38"/>
      <c r="H13" s="22"/>
      <c r="I13" s="17">
        <v>5</v>
      </c>
      <c r="J13" s="319">
        <v>-6.7500000000000004E-2</v>
      </c>
    </row>
    <row r="14" spans="1:10" x14ac:dyDescent="0.25">
      <c r="B14" s="331">
        <v>6</v>
      </c>
      <c r="C14" s="319">
        <f>'Cash Flow'!$H$107</f>
        <v>-0.23319999999999999</v>
      </c>
      <c r="E14" s="52"/>
      <c r="G14" s="52"/>
      <c r="H14" s="22"/>
      <c r="I14" s="17">
        <v>6</v>
      </c>
      <c r="J14" s="319">
        <v>-4.5199999999999997E-2</v>
      </c>
    </row>
    <row r="15" spans="1:10" x14ac:dyDescent="0.25">
      <c r="B15" s="331">
        <v>7</v>
      </c>
      <c r="C15" s="346">
        <f>'Cash Flow'!$I$107</f>
        <v>-0.2341</v>
      </c>
      <c r="E15" s="38"/>
      <c r="G15" s="38"/>
      <c r="H15" s="22"/>
      <c r="I15" s="17">
        <v>7</v>
      </c>
      <c r="J15" s="319">
        <v>-3.0599999999999999E-2</v>
      </c>
    </row>
    <row r="16" spans="1:10" x14ac:dyDescent="0.25">
      <c r="B16" s="331">
        <v>8</v>
      </c>
      <c r="C16" s="47">
        <f>'Cash Flow'!$J$107</f>
        <v>-0.24010000000000001</v>
      </c>
      <c r="E16" s="271"/>
      <c r="G16" s="271"/>
      <c r="H16" s="22"/>
      <c r="I16" s="17">
        <v>8</v>
      </c>
      <c r="J16" s="319">
        <v>-1.9599999999999999E-2</v>
      </c>
    </row>
    <row r="17" spans="2:10" x14ac:dyDescent="0.25">
      <c r="B17" s="331">
        <v>9</v>
      </c>
      <c r="C17" s="319">
        <f>'Cash Flow'!$K$107</f>
        <v>-0.2581</v>
      </c>
      <c r="E17" s="39"/>
      <c r="G17" s="39"/>
      <c r="H17" s="22"/>
      <c r="I17" s="17">
        <v>9</v>
      </c>
      <c r="J17" s="319">
        <v>-1.09E-2</v>
      </c>
    </row>
    <row r="18" spans="2:10" x14ac:dyDescent="0.25">
      <c r="B18" s="331">
        <v>10</v>
      </c>
      <c r="C18" s="47">
        <f>'Cash Flow'!$L$107</f>
        <v>0</v>
      </c>
      <c r="E18" s="38"/>
      <c r="G18" s="38"/>
      <c r="H18" s="22"/>
      <c r="I18" s="17">
        <v>10</v>
      </c>
      <c r="J18" s="319">
        <v>-3.5999999999999999E-3</v>
      </c>
    </row>
    <row r="19" spans="2:10" x14ac:dyDescent="0.25">
      <c r="B19" s="331">
        <v>11</v>
      </c>
      <c r="C19" s="47">
        <f>'Cash Flow'!$M$107</f>
        <v>0</v>
      </c>
      <c r="E19" s="39"/>
      <c r="G19" s="39"/>
      <c r="H19" s="22"/>
      <c r="I19" s="17">
        <v>11</v>
      </c>
      <c r="J19" s="319">
        <v>2.7000000000000001E-3</v>
      </c>
    </row>
    <row r="20" spans="2:10" x14ac:dyDescent="0.25">
      <c r="B20" s="331">
        <v>12</v>
      </c>
      <c r="C20" s="47">
        <f>'Cash Flow'!$N$107</f>
        <v>0</v>
      </c>
      <c r="E20" s="39"/>
      <c r="G20" s="39"/>
      <c r="H20" s="22"/>
      <c r="I20" s="17">
        <v>12</v>
      </c>
      <c r="J20" s="319">
        <v>8.2000000000000007E-3</v>
      </c>
    </row>
    <row r="21" spans="2:10" x14ac:dyDescent="0.25">
      <c r="B21" s="331">
        <v>13</v>
      </c>
      <c r="C21" s="47">
        <f>'Cash Flow'!$O$107</f>
        <v>-0.15190000000000001</v>
      </c>
      <c r="E21" s="39"/>
      <c r="G21" s="39"/>
      <c r="H21" s="22"/>
      <c r="I21" s="17">
        <v>13</v>
      </c>
      <c r="J21" s="319">
        <v>1.2999999999999999E-2</v>
      </c>
    </row>
    <row r="22" spans="2:10" x14ac:dyDescent="0.25">
      <c r="B22" s="331">
        <v>14</v>
      </c>
      <c r="C22" s="47">
        <f>'Cash Flow'!$P$107</f>
        <v>-8.0799999999999997E-2</v>
      </c>
      <c r="E22" s="39"/>
      <c r="G22" s="39"/>
      <c r="H22" s="22"/>
      <c r="I22" s="17">
        <v>14</v>
      </c>
      <c r="J22" s="319">
        <v>1.7399999999999999E-2</v>
      </c>
    </row>
    <row r="23" spans="2:10" x14ac:dyDescent="0.25">
      <c r="B23" s="331">
        <v>15</v>
      </c>
      <c r="C23" s="47">
        <f>'Cash Flow'!$Q$107</f>
        <v>-4.87E-2</v>
      </c>
      <c r="E23" s="39"/>
      <c r="G23" s="39"/>
      <c r="H23" s="22"/>
      <c r="I23" s="17">
        <v>15</v>
      </c>
      <c r="J23" s="319">
        <v>2.1399999999999999E-2</v>
      </c>
    </row>
    <row r="24" spans="2:10" x14ac:dyDescent="0.25">
      <c r="B24" s="331">
        <v>16</v>
      </c>
      <c r="C24" s="47">
        <f>'Cash Flow'!$R$107</f>
        <v>-2.7799999999999998E-2</v>
      </c>
      <c r="E24" s="39"/>
      <c r="G24" s="39"/>
      <c r="H24" s="22"/>
      <c r="I24" s="17">
        <v>16</v>
      </c>
      <c r="J24" s="319">
        <v>2.5000000000000001E-2</v>
      </c>
    </row>
    <row r="25" spans="2:10" x14ac:dyDescent="0.25">
      <c r="B25" s="331">
        <v>17</v>
      </c>
      <c r="C25" s="47">
        <f>'Cash Flow'!$S$107</f>
        <v>-1.2800000000000001E-2</v>
      </c>
      <c r="E25" s="39"/>
      <c r="G25" s="39"/>
      <c r="H25" s="22"/>
      <c r="I25" s="17">
        <v>17</v>
      </c>
      <c r="J25" s="319">
        <v>2.8400000000000002E-2</v>
      </c>
    </row>
    <row r="26" spans="2:10" x14ac:dyDescent="0.25">
      <c r="B26" s="331">
        <v>18</v>
      </c>
      <c r="C26" s="47">
        <f>'Cash Flow'!$T$107</f>
        <v>-1.4E-3</v>
      </c>
      <c r="E26" s="39"/>
      <c r="G26" s="39"/>
      <c r="H26" s="22"/>
      <c r="I26" s="17">
        <v>18</v>
      </c>
      <c r="J26" s="319">
        <v>3.15E-2</v>
      </c>
    </row>
    <row r="27" spans="2:10" x14ac:dyDescent="0.25">
      <c r="B27" s="331">
        <v>19</v>
      </c>
      <c r="C27" s="47">
        <f>'Cash Flow'!$U$107</f>
        <v>7.7999999999999996E-3</v>
      </c>
      <c r="E27" s="39"/>
      <c r="G27" s="39"/>
      <c r="H27" s="22"/>
      <c r="I27" s="17">
        <v>19</v>
      </c>
      <c r="J27" s="319">
        <v>3.44E-2</v>
      </c>
    </row>
    <row r="28" spans="2:10" x14ac:dyDescent="0.25">
      <c r="B28" s="331">
        <v>20</v>
      </c>
      <c r="C28" s="47">
        <f>'Cash Flow'!$V$107</f>
        <v>1.54E-2</v>
      </c>
      <c r="E28" s="39"/>
      <c r="G28" s="39"/>
      <c r="H28" s="22"/>
      <c r="I28" s="17">
        <v>20</v>
      </c>
      <c r="J28" s="319">
        <v>3.7100000000000001E-2</v>
      </c>
    </row>
    <row r="29" spans="2:10" x14ac:dyDescent="0.25">
      <c r="B29" s="331">
        <v>21</v>
      </c>
      <c r="C29" s="47">
        <f>'Cash Flow'!$W$107</f>
        <v>2.1700000000000001E-2</v>
      </c>
      <c r="E29" s="39"/>
      <c r="G29" s="39"/>
      <c r="H29" s="22"/>
      <c r="I29" s="17">
        <v>21</v>
      </c>
      <c r="J29" s="319">
        <v>3.9600000000000003E-2</v>
      </c>
    </row>
    <row r="30" spans="2:10" x14ac:dyDescent="0.25">
      <c r="B30" s="331">
        <v>22</v>
      </c>
      <c r="C30" s="47">
        <f>'Cash Flow'!$X$107</f>
        <v>2.7E-2</v>
      </c>
      <c r="E30" s="39"/>
      <c r="G30" s="39"/>
      <c r="H30" s="22"/>
      <c r="I30" s="17">
        <v>22</v>
      </c>
      <c r="J30" s="319">
        <v>4.2000000000000003E-2</v>
      </c>
    </row>
    <row r="31" spans="2:10" x14ac:dyDescent="0.25">
      <c r="B31" s="331">
        <v>23</v>
      </c>
      <c r="C31" s="47">
        <f>'Cash Flow'!$Y$107</f>
        <v>3.1600000000000003E-2</v>
      </c>
      <c r="E31" s="39"/>
      <c r="G31" s="39"/>
      <c r="H31" s="22"/>
      <c r="I31" s="17">
        <v>23</v>
      </c>
      <c r="J31" s="319">
        <v>4.4299999999999999E-2</v>
      </c>
    </row>
    <row r="32" spans="2:10" x14ac:dyDescent="0.25">
      <c r="B32" s="331">
        <v>24</v>
      </c>
      <c r="C32" s="47">
        <f>'Cash Flow'!$Z$107</f>
        <v>3.5900000000000001E-2</v>
      </c>
      <c r="E32" s="39"/>
      <c r="G32" s="39"/>
      <c r="H32" s="20"/>
      <c r="I32" s="17">
        <v>24</v>
      </c>
      <c r="J32" s="319">
        <v>4.6399999999999997E-2</v>
      </c>
    </row>
    <row r="33" spans="2:10" x14ac:dyDescent="0.25">
      <c r="B33" s="331">
        <v>25</v>
      </c>
      <c r="C33" s="47">
        <f>'Cash Flow'!$AA$107</f>
        <v>3.9600000000000003E-2</v>
      </c>
      <c r="E33" s="39"/>
      <c r="G33" s="39"/>
      <c r="H33" s="22"/>
      <c r="I33" s="17">
        <v>25</v>
      </c>
      <c r="J33" s="319">
        <v>4.8399999999999999E-2</v>
      </c>
    </row>
    <row r="34" spans="2:10" x14ac:dyDescent="0.25">
      <c r="B34" s="331">
        <v>26</v>
      </c>
      <c r="C34" s="47">
        <f>'Cash Flow'!$AB$107</f>
        <v>4.2700000000000002E-2</v>
      </c>
      <c r="E34" s="39"/>
      <c r="G34" s="39"/>
      <c r="H34" s="22"/>
      <c r="I34" s="17">
        <v>26</v>
      </c>
      <c r="J34" s="319">
        <v>5.04E-2</v>
      </c>
    </row>
    <row r="35" spans="2:10" x14ac:dyDescent="0.25">
      <c r="B35" s="331">
        <v>27</v>
      </c>
      <c r="C35" s="47">
        <f>'Cash Flow'!$AC$107</f>
        <v>4.53E-2</v>
      </c>
      <c r="E35" s="39"/>
      <c r="G35" s="39"/>
      <c r="H35" s="204"/>
      <c r="I35" s="17">
        <v>27</v>
      </c>
      <c r="J35" s="319">
        <v>5.2200000000000003E-2</v>
      </c>
    </row>
    <row r="36" spans="2:10" x14ac:dyDescent="0.25">
      <c r="B36" s="331">
        <v>28</v>
      </c>
      <c r="C36" s="47">
        <f>'Cash Flow'!$AD$107</f>
        <v>4.7600000000000003E-2</v>
      </c>
      <c r="E36" s="39"/>
      <c r="G36" s="39"/>
      <c r="H36" s="115"/>
      <c r="I36" s="17">
        <v>28</v>
      </c>
      <c r="J36" s="319">
        <v>5.3999999999999999E-2</v>
      </c>
    </row>
    <row r="37" spans="2:10" x14ac:dyDescent="0.25">
      <c r="B37" s="331">
        <v>29</v>
      </c>
      <c r="C37" s="47">
        <f>'Cash Flow'!$AE$107</f>
        <v>4.9599999999999998E-2</v>
      </c>
      <c r="E37" s="39"/>
      <c r="G37" s="39"/>
      <c r="H37" s="115"/>
      <c r="I37" s="17">
        <v>29</v>
      </c>
      <c r="J37" s="319">
        <v>5.5599999999999997E-2</v>
      </c>
    </row>
    <row r="38" spans="2:10" x14ac:dyDescent="0.25">
      <c r="B38" s="331">
        <v>30</v>
      </c>
      <c r="C38" s="47">
        <f>'Cash Flow'!$AF$107</f>
        <v>5.1299999999999998E-2</v>
      </c>
      <c r="E38" s="39"/>
      <c r="G38" s="39"/>
      <c r="H38" s="22"/>
      <c r="I38" s="17">
        <v>30</v>
      </c>
      <c r="J38" s="319">
        <v>5.7200000000000001E-2</v>
      </c>
    </row>
    <row r="39" spans="2:10" x14ac:dyDescent="0.25">
      <c r="B39" s="331">
        <v>31</v>
      </c>
      <c r="C39" s="47">
        <f>'Cash Flow'!$AG$107</f>
        <v>5.2900000000000003E-2</v>
      </c>
      <c r="E39" s="39"/>
      <c r="G39" s="39"/>
      <c r="H39" s="204"/>
      <c r="I39" s="17">
        <v>31</v>
      </c>
      <c r="J39" s="319">
        <v>5.8799999999999998E-2</v>
      </c>
    </row>
    <row r="40" spans="2:10" x14ac:dyDescent="0.25">
      <c r="B40" s="331">
        <v>32</v>
      </c>
      <c r="C40" s="47">
        <f>'Cash Flow'!$AH$107</f>
        <v>5.4300000000000001E-2</v>
      </c>
      <c r="E40" s="39"/>
      <c r="G40" s="39"/>
      <c r="H40" s="115"/>
      <c r="I40" s="17">
        <v>32</v>
      </c>
      <c r="J40" s="319">
        <v>6.0199999999999997E-2</v>
      </c>
    </row>
    <row r="41" spans="2:10" x14ac:dyDescent="0.25">
      <c r="B41" s="331">
        <v>33</v>
      </c>
      <c r="C41" s="47">
        <f>'Cash Flow'!$AI$107</f>
        <v>5.5500000000000001E-2</v>
      </c>
      <c r="E41" s="39"/>
      <c r="G41" s="39"/>
      <c r="H41" s="115"/>
      <c r="I41" s="17">
        <v>33</v>
      </c>
      <c r="J41" s="319">
        <v>6.1699999999999998E-2</v>
      </c>
    </row>
    <row r="42" spans="2:10" x14ac:dyDescent="0.25">
      <c r="B42" s="331">
        <v>34</v>
      </c>
      <c r="C42" s="47">
        <f>'Cash Flow'!$AJ$107</f>
        <v>5.67E-2</v>
      </c>
      <c r="E42" s="39"/>
      <c r="G42" s="39"/>
      <c r="H42" s="22"/>
      <c r="I42" s="17">
        <v>34</v>
      </c>
      <c r="J42" s="319">
        <v>6.3E-2</v>
      </c>
    </row>
    <row r="43" spans="2:10" x14ac:dyDescent="0.25">
      <c r="B43" s="331">
        <v>35</v>
      </c>
      <c r="C43" s="47">
        <f>'Cash Flow'!$AK$107</f>
        <v>5.7700000000000001E-2</v>
      </c>
      <c r="E43" s="39"/>
      <c r="G43" s="39"/>
      <c r="H43" s="204"/>
      <c r="I43" s="17">
        <v>35</v>
      </c>
      <c r="J43" s="319">
        <v>6.4299999999999996E-2</v>
      </c>
    </row>
    <row r="44" spans="2:10" x14ac:dyDescent="0.25">
      <c r="B44" s="331">
        <v>36</v>
      </c>
      <c r="C44" s="47">
        <f>'Cash Flow'!$AL$107</f>
        <v>5.8799999999999998E-2</v>
      </c>
      <c r="E44" s="39"/>
      <c r="G44" s="39"/>
      <c r="H44" s="115"/>
      <c r="I44" s="17">
        <v>36</v>
      </c>
      <c r="J44" s="319">
        <v>6.5600000000000006E-2</v>
      </c>
    </row>
    <row r="45" spans="2:10" x14ac:dyDescent="0.25">
      <c r="B45" s="331">
        <v>37</v>
      </c>
      <c r="C45" s="47">
        <f>'Cash Flow'!$AM$107</f>
        <v>5.9900000000000002E-2</v>
      </c>
      <c r="E45" s="39"/>
      <c r="G45" s="39"/>
      <c r="H45" s="22"/>
      <c r="I45" s="17">
        <v>37</v>
      </c>
      <c r="J45" s="319">
        <v>6.6799999999999998E-2</v>
      </c>
    </row>
    <row r="46" spans="2:10" x14ac:dyDescent="0.25">
      <c r="B46" s="331">
        <v>38</v>
      </c>
      <c r="C46" s="47">
        <f>'Cash Flow'!$AN$107</f>
        <v>6.08E-2</v>
      </c>
      <c r="E46" s="39"/>
      <c r="G46" s="39"/>
      <c r="H46" s="34"/>
      <c r="I46" s="17">
        <v>38</v>
      </c>
      <c r="J46" s="319">
        <v>6.8000000000000005E-2</v>
      </c>
    </row>
    <row r="47" spans="2:10" x14ac:dyDescent="0.25">
      <c r="B47" s="331">
        <v>39</v>
      </c>
      <c r="C47" s="47">
        <f>'Cash Flow'!$AO$107</f>
        <v>6.1600000000000002E-2</v>
      </c>
      <c r="E47" s="39"/>
      <c r="G47" s="39"/>
      <c r="H47" s="22"/>
      <c r="I47" s="17">
        <v>39</v>
      </c>
      <c r="J47" s="319">
        <v>6.9199999999999998E-2</v>
      </c>
    </row>
    <row r="48" spans="2:10" x14ac:dyDescent="0.25">
      <c r="B48" s="331">
        <v>40</v>
      </c>
      <c r="C48" s="47">
        <f>'Cash Flow'!$AP$107</f>
        <v>6.2899999999999998E-2</v>
      </c>
      <c r="E48" s="39"/>
      <c r="G48" s="39"/>
      <c r="H48" s="22"/>
      <c r="I48" s="17">
        <v>40</v>
      </c>
      <c r="J48" s="319">
        <v>7.0300000000000001E-2</v>
      </c>
    </row>
    <row r="49" spans="1:10" x14ac:dyDescent="0.25">
      <c r="B49" s="331"/>
      <c r="C49" s="336"/>
      <c r="E49" s="39"/>
      <c r="G49" s="39"/>
      <c r="H49" s="20"/>
      <c r="I49" s="17">
        <v>41</v>
      </c>
      <c r="J49" s="319">
        <v>7.1400000000000005E-2</v>
      </c>
    </row>
    <row r="50" spans="1:10" x14ac:dyDescent="0.25">
      <c r="B50" s="335"/>
      <c r="C50" s="336"/>
      <c r="D50" s="291"/>
      <c r="E50" s="20"/>
      <c r="F50" s="57"/>
      <c r="G50" s="22"/>
      <c r="H50" s="22"/>
      <c r="I50" s="17">
        <v>42</v>
      </c>
      <c r="J50" s="319">
        <v>7.2400000000000006E-2</v>
      </c>
    </row>
    <row r="51" spans="1:10" x14ac:dyDescent="0.25">
      <c r="B51" s="335"/>
      <c r="C51" s="337"/>
      <c r="D51" s="20"/>
      <c r="E51" s="20"/>
      <c r="F51" s="57"/>
      <c r="G51" s="22"/>
      <c r="H51" s="22"/>
      <c r="I51" s="17">
        <v>43</v>
      </c>
      <c r="J51" s="319">
        <v>7.3400000000000007E-2</v>
      </c>
    </row>
    <row r="52" spans="1:10" x14ac:dyDescent="0.25">
      <c r="A52" s="322"/>
      <c r="B52" s="331"/>
      <c r="C52" s="337"/>
      <c r="D52" s="22"/>
      <c r="E52" s="22"/>
      <c r="F52" s="57"/>
      <c r="G52" s="22"/>
      <c r="H52" s="22"/>
      <c r="I52" s="17">
        <v>44</v>
      </c>
      <c r="J52" s="319">
        <v>7.4399999999999994E-2</v>
      </c>
    </row>
    <row r="53" spans="1:10" x14ac:dyDescent="0.25">
      <c r="A53" s="322"/>
      <c r="B53" s="338"/>
      <c r="C53" s="337"/>
      <c r="D53" s="22"/>
      <c r="E53" s="22"/>
      <c r="F53" s="57"/>
      <c r="G53" s="22"/>
      <c r="H53" s="22"/>
      <c r="I53" s="17">
        <v>45</v>
      </c>
      <c r="J53" s="319">
        <v>7.5300000000000006E-2</v>
      </c>
    </row>
    <row r="54" spans="1:10" x14ac:dyDescent="0.25">
      <c r="A54" s="322"/>
      <c r="B54" s="338"/>
      <c r="C54" s="337"/>
      <c r="D54" s="22"/>
      <c r="E54" s="22"/>
      <c r="F54" s="57"/>
      <c r="G54" s="22"/>
      <c r="H54" s="22"/>
      <c r="I54" s="17">
        <v>46</v>
      </c>
      <c r="J54" s="319">
        <v>7.6300000000000007E-2</v>
      </c>
    </row>
    <row r="55" spans="1:10" x14ac:dyDescent="0.25">
      <c r="A55" s="322"/>
      <c r="B55" s="338"/>
      <c r="C55" s="337"/>
      <c r="D55" s="22"/>
      <c r="E55" s="22"/>
      <c r="F55" s="57"/>
      <c r="G55" s="22"/>
      <c r="H55" s="22"/>
      <c r="I55" s="17">
        <v>47</v>
      </c>
      <c r="J55" s="319">
        <v>7.7200000000000005E-2</v>
      </c>
    </row>
    <row r="56" spans="1:10" x14ac:dyDescent="0.25">
      <c r="A56" s="322"/>
      <c r="B56" s="338"/>
      <c r="C56" s="337"/>
      <c r="D56" s="22"/>
      <c r="E56" s="22"/>
      <c r="F56" s="57"/>
      <c r="G56" s="22"/>
      <c r="H56" s="22"/>
      <c r="I56" s="17">
        <v>48</v>
      </c>
      <c r="J56" s="319">
        <v>7.8E-2</v>
      </c>
    </row>
    <row r="57" spans="1:10" x14ac:dyDescent="0.25">
      <c r="A57" s="322"/>
      <c r="B57" s="338"/>
      <c r="C57" s="337"/>
      <c r="D57" s="22"/>
      <c r="E57" s="22"/>
      <c r="F57" s="57"/>
      <c r="G57" s="22"/>
      <c r="H57" s="22"/>
      <c r="I57" s="17">
        <v>49</v>
      </c>
      <c r="J57" s="319">
        <v>7.8899999999999998E-2</v>
      </c>
    </row>
    <row r="58" spans="1:10" x14ac:dyDescent="0.25">
      <c r="A58" s="322"/>
      <c r="B58" s="338"/>
      <c r="C58" s="337"/>
      <c r="D58" s="22"/>
      <c r="E58" s="22"/>
      <c r="F58" s="57"/>
      <c r="G58" s="22"/>
      <c r="H58" s="22"/>
      <c r="I58" s="17">
        <v>50</v>
      </c>
      <c r="J58" s="319">
        <v>7.9699999999999993E-2</v>
      </c>
    </row>
    <row r="59" spans="1:10" x14ac:dyDescent="0.25">
      <c r="A59" s="322"/>
      <c r="B59" s="331"/>
      <c r="C59" s="337"/>
      <c r="D59" s="22"/>
      <c r="E59" s="22"/>
      <c r="F59" s="57"/>
      <c r="G59" s="22"/>
      <c r="H59" s="22"/>
      <c r="I59" s="17">
        <v>51</v>
      </c>
      <c r="J59" s="319">
        <v>8.0500000000000002E-2</v>
      </c>
    </row>
    <row r="60" spans="1:10" x14ac:dyDescent="0.25">
      <c r="A60" s="322"/>
      <c r="B60" s="331"/>
      <c r="C60" s="337"/>
      <c r="D60" s="22"/>
      <c r="E60" s="22"/>
      <c r="F60" s="57"/>
      <c r="G60" s="22"/>
      <c r="H60" s="22"/>
      <c r="I60" s="17">
        <v>52</v>
      </c>
      <c r="J60" s="319">
        <v>8.1299999999999997E-2</v>
      </c>
    </row>
    <row r="61" spans="1:10" x14ac:dyDescent="0.25">
      <c r="A61" s="322"/>
      <c r="B61" s="331"/>
      <c r="C61" s="337"/>
      <c r="D61" s="22"/>
      <c r="E61" s="22"/>
      <c r="F61" s="57"/>
      <c r="G61" s="22"/>
      <c r="H61" s="22"/>
      <c r="I61" s="17">
        <v>53</v>
      </c>
      <c r="J61" s="319">
        <v>8.2100000000000006E-2</v>
      </c>
    </row>
    <row r="62" spans="1:10" x14ac:dyDescent="0.25">
      <c r="A62" s="322"/>
      <c r="B62" s="331"/>
      <c r="C62" s="337"/>
      <c r="D62" s="22"/>
      <c r="E62" s="22"/>
      <c r="F62" s="57"/>
      <c r="G62" s="22"/>
      <c r="H62" s="22"/>
      <c r="I62" s="17">
        <v>54</v>
      </c>
      <c r="J62" s="319">
        <v>8.2799999999999999E-2</v>
      </c>
    </row>
    <row r="63" spans="1:10" x14ac:dyDescent="0.25">
      <c r="A63" s="322"/>
      <c r="B63" s="331"/>
      <c r="C63" s="337"/>
      <c r="D63" s="22"/>
      <c r="E63" s="22"/>
      <c r="F63" s="57"/>
      <c r="G63" s="22"/>
      <c r="H63" s="22"/>
      <c r="I63" s="17">
        <v>55</v>
      </c>
      <c r="J63" s="319">
        <v>8.3599999999999994E-2</v>
      </c>
    </row>
    <row r="64" spans="1:10" x14ac:dyDescent="0.25">
      <c r="A64" s="322"/>
      <c r="B64" s="331"/>
      <c r="C64" s="337"/>
      <c r="D64" s="22"/>
      <c r="E64" s="22"/>
      <c r="F64" s="57"/>
      <c r="G64" s="22"/>
      <c r="H64" s="22"/>
      <c r="I64" s="17">
        <v>56</v>
      </c>
      <c r="J64" s="319">
        <v>8.43E-2</v>
      </c>
    </row>
    <row r="65" spans="1:10" x14ac:dyDescent="0.25">
      <c r="A65" s="322"/>
      <c r="B65" s="331"/>
      <c r="C65" s="337"/>
      <c r="D65" s="22"/>
      <c r="E65" s="22"/>
      <c r="F65" s="57"/>
      <c r="G65" s="22"/>
      <c r="H65" s="22"/>
      <c r="I65" s="17">
        <v>57</v>
      </c>
      <c r="J65" s="319">
        <v>8.5000000000000006E-2</v>
      </c>
    </row>
    <row r="66" spans="1:10" x14ac:dyDescent="0.25">
      <c r="A66" s="322"/>
      <c r="B66" s="331"/>
      <c r="C66" s="337"/>
      <c r="D66" s="22"/>
      <c r="E66" s="22"/>
      <c r="F66" s="57"/>
      <c r="G66" s="22"/>
      <c r="H66" s="22"/>
      <c r="I66" s="17">
        <v>58</v>
      </c>
      <c r="J66" s="319">
        <v>8.5699999999999998E-2</v>
      </c>
    </row>
    <row r="67" spans="1:10" x14ac:dyDescent="0.25">
      <c r="A67" s="322"/>
      <c r="B67" s="331"/>
      <c r="C67" s="339"/>
      <c r="D67" s="22"/>
      <c r="E67" s="22"/>
      <c r="F67" s="22"/>
      <c r="G67" s="22"/>
      <c r="H67" s="22"/>
      <c r="I67" s="17">
        <v>59</v>
      </c>
      <c r="J67" s="319">
        <v>8.6300000000000002E-2</v>
      </c>
    </row>
    <row r="68" spans="1:10" x14ac:dyDescent="0.25">
      <c r="A68" s="322"/>
      <c r="B68" s="330"/>
      <c r="C68" s="337"/>
      <c r="D68" s="212"/>
      <c r="E68" s="212"/>
      <c r="F68" s="212"/>
      <c r="G68" s="22"/>
      <c r="H68" s="22"/>
      <c r="I68" s="17">
        <v>60</v>
      </c>
      <c r="J68" s="319">
        <v>8.6999999999999994E-2</v>
      </c>
    </row>
    <row r="69" spans="1:10" x14ac:dyDescent="0.25">
      <c r="A69" s="322"/>
      <c r="B69" s="331"/>
      <c r="C69" s="337"/>
      <c r="D69" s="323"/>
      <c r="E69" s="324"/>
      <c r="F69" s="324"/>
      <c r="G69" s="22"/>
      <c r="H69" s="22"/>
      <c r="I69" s="17">
        <v>61</v>
      </c>
      <c r="J69" s="319">
        <v>8.7599999999999997E-2</v>
      </c>
    </row>
    <row r="70" spans="1:10" x14ac:dyDescent="0.25">
      <c r="A70" s="322"/>
      <c r="B70" s="331"/>
      <c r="C70" s="337"/>
      <c r="D70" s="323"/>
      <c r="E70" s="324"/>
      <c r="F70" s="324"/>
      <c r="G70" s="22"/>
      <c r="H70" s="22"/>
      <c r="I70" s="17">
        <v>62</v>
      </c>
      <c r="J70" s="319">
        <v>8.8200000000000001E-2</v>
      </c>
    </row>
    <row r="71" spans="1:10" x14ac:dyDescent="0.25">
      <c r="A71" s="322"/>
      <c r="B71" s="331"/>
      <c r="C71" s="337"/>
      <c r="D71" s="323"/>
      <c r="E71" s="324"/>
      <c r="F71" s="324"/>
      <c r="G71" s="22"/>
      <c r="H71" s="22"/>
      <c r="I71" s="17">
        <v>63</v>
      </c>
      <c r="J71" s="319">
        <v>8.8900000000000007E-2</v>
      </c>
    </row>
    <row r="72" spans="1:10" x14ac:dyDescent="0.25">
      <c r="A72" s="322"/>
      <c r="B72" s="331"/>
      <c r="C72" s="337"/>
      <c r="D72" s="323"/>
      <c r="E72" s="324"/>
      <c r="F72" s="324"/>
      <c r="G72" s="22"/>
      <c r="H72" s="22"/>
      <c r="I72" s="17">
        <v>64</v>
      </c>
      <c r="J72" s="319">
        <v>8.9499999999999996E-2</v>
      </c>
    </row>
    <row r="73" spans="1:10" x14ac:dyDescent="0.25">
      <c r="A73" s="322"/>
      <c r="B73" s="331"/>
      <c r="C73" s="337"/>
      <c r="D73" s="323"/>
      <c r="E73" s="324"/>
      <c r="F73" s="324"/>
      <c r="G73" s="22"/>
      <c r="H73" s="22"/>
      <c r="I73" s="17">
        <v>65</v>
      </c>
      <c r="J73" s="319">
        <v>0.09</v>
      </c>
    </row>
    <row r="74" spans="1:10" x14ac:dyDescent="0.25">
      <c r="A74" s="322"/>
      <c r="B74" s="331"/>
      <c r="C74" s="337"/>
      <c r="D74" s="323"/>
      <c r="E74" s="324"/>
      <c r="F74" s="325"/>
      <c r="G74" s="22"/>
      <c r="H74" s="22"/>
      <c r="I74" s="17">
        <v>66</v>
      </c>
      <c r="J74" s="319">
        <v>9.06E-2</v>
      </c>
    </row>
    <row r="75" spans="1:10" x14ac:dyDescent="0.25">
      <c r="A75" s="322"/>
      <c r="B75" s="331"/>
      <c r="C75" s="337"/>
      <c r="D75" s="22"/>
      <c r="E75" s="22"/>
      <c r="F75" s="22"/>
      <c r="G75" s="22"/>
      <c r="H75" s="22"/>
      <c r="I75" s="17">
        <v>67</v>
      </c>
      <c r="J75" s="319">
        <v>9.1200000000000003E-2</v>
      </c>
    </row>
    <row r="76" spans="1:10" x14ac:dyDescent="0.25">
      <c r="A76" s="322"/>
      <c r="B76" s="331"/>
      <c r="C76" s="337"/>
      <c r="D76" s="22"/>
      <c r="E76" s="22"/>
      <c r="F76" s="22"/>
      <c r="G76" s="22"/>
      <c r="H76" s="22"/>
      <c r="I76" s="17">
        <v>68</v>
      </c>
      <c r="J76" s="319">
        <v>9.1700000000000004E-2</v>
      </c>
    </row>
    <row r="77" spans="1:10" x14ac:dyDescent="0.25">
      <c r="A77" s="322"/>
      <c r="B77" s="331"/>
      <c r="C77" s="337"/>
      <c r="D77" s="22"/>
      <c r="E77" s="22"/>
      <c r="F77" s="22"/>
      <c r="G77" s="22"/>
      <c r="H77" s="22"/>
      <c r="I77" s="17">
        <v>69</v>
      </c>
      <c r="J77" s="319">
        <v>9.2299999999999993E-2</v>
      </c>
    </row>
    <row r="78" spans="1:10" x14ac:dyDescent="0.25">
      <c r="A78" s="322"/>
      <c r="B78" s="331"/>
      <c r="C78" s="337"/>
      <c r="D78" s="22"/>
      <c r="E78" s="22"/>
      <c r="F78" s="22"/>
      <c r="G78" s="22"/>
      <c r="H78" s="22"/>
      <c r="I78" s="17">
        <v>70</v>
      </c>
      <c r="J78" s="319">
        <v>9.2799999999999994E-2</v>
      </c>
    </row>
    <row r="79" spans="1:10" x14ac:dyDescent="0.25">
      <c r="A79" s="322"/>
      <c r="B79" s="331"/>
      <c r="C79" s="337"/>
      <c r="D79" s="22"/>
      <c r="E79" s="22"/>
      <c r="F79" s="22"/>
      <c r="G79" s="22"/>
      <c r="H79" s="22"/>
      <c r="I79" s="17">
        <v>71</v>
      </c>
      <c r="J79" s="319">
        <v>9.3299999999999994E-2</v>
      </c>
    </row>
    <row r="80" spans="1:10" x14ac:dyDescent="0.25">
      <c r="A80" s="322"/>
      <c r="B80" s="331"/>
      <c r="C80" s="337"/>
      <c r="D80" s="22"/>
      <c r="E80" s="22"/>
      <c r="F80" s="22"/>
      <c r="G80" s="22"/>
      <c r="H80" s="22"/>
      <c r="I80" s="17">
        <v>72</v>
      </c>
      <c r="J80" s="319">
        <v>9.3799999999999994E-2</v>
      </c>
    </row>
    <row r="81" spans="1:10" x14ac:dyDescent="0.25">
      <c r="A81" s="322"/>
      <c r="B81" s="330"/>
      <c r="C81" s="337"/>
      <c r="D81" s="22"/>
      <c r="E81" s="22"/>
      <c r="F81" s="22"/>
      <c r="G81" s="22"/>
      <c r="H81" s="22"/>
      <c r="I81" s="17">
        <v>73</v>
      </c>
      <c r="J81" s="319">
        <v>9.4299999999999995E-2</v>
      </c>
    </row>
    <row r="82" spans="1:10" x14ac:dyDescent="0.25">
      <c r="A82" s="322"/>
      <c r="B82" s="338"/>
      <c r="C82" s="337"/>
      <c r="D82" s="22"/>
      <c r="E82" s="22"/>
      <c r="F82" s="22"/>
      <c r="G82" s="22"/>
      <c r="H82" s="22"/>
      <c r="I82" s="17">
        <v>74</v>
      </c>
      <c r="J82" s="319">
        <v>9.4799999999999995E-2</v>
      </c>
    </row>
    <row r="83" spans="1:10" x14ac:dyDescent="0.25">
      <c r="A83" s="322"/>
      <c r="B83" s="338"/>
      <c r="C83" s="337"/>
      <c r="D83" s="22"/>
      <c r="E83" s="22"/>
      <c r="F83" s="22"/>
      <c r="G83" s="22"/>
      <c r="H83" s="22"/>
      <c r="I83" s="17">
        <v>75</v>
      </c>
      <c r="J83" s="319">
        <v>9.5299999999999996E-2</v>
      </c>
    </row>
    <row r="84" spans="1:10" x14ac:dyDescent="0.25">
      <c r="A84" s="322"/>
      <c r="B84" s="338"/>
      <c r="C84" s="337"/>
      <c r="D84" s="22"/>
      <c r="E84" s="22"/>
      <c r="F84" s="22"/>
      <c r="G84" s="22"/>
      <c r="H84" s="22"/>
      <c r="I84" s="17">
        <v>76</v>
      </c>
      <c r="J84" s="319">
        <v>9.5799999999999996E-2</v>
      </c>
    </row>
    <row r="85" spans="1:10" x14ac:dyDescent="0.25">
      <c r="A85" s="322"/>
      <c r="B85" s="331"/>
      <c r="C85" s="337"/>
      <c r="D85" s="22"/>
      <c r="E85" s="22"/>
      <c r="F85" s="22"/>
      <c r="G85" s="22"/>
      <c r="H85" s="22"/>
      <c r="I85" s="17">
        <v>77</v>
      </c>
      <c r="J85" s="319">
        <v>9.6199999999999994E-2</v>
      </c>
    </row>
    <row r="86" spans="1:10" x14ac:dyDescent="0.25">
      <c r="A86" s="322"/>
      <c r="B86" s="331"/>
      <c r="C86" s="337"/>
      <c r="D86" s="22"/>
      <c r="E86" s="22"/>
      <c r="F86" s="22"/>
      <c r="G86" s="22"/>
      <c r="H86" s="22"/>
      <c r="I86" s="17">
        <v>78</v>
      </c>
      <c r="J86" s="319">
        <v>9.6699999999999994E-2</v>
      </c>
    </row>
    <row r="87" spans="1:10" x14ac:dyDescent="0.25">
      <c r="A87" s="322"/>
      <c r="B87" s="331"/>
      <c r="C87" s="337"/>
      <c r="D87" s="22"/>
      <c r="E87" s="22"/>
      <c r="F87" s="22"/>
      <c r="G87" s="22"/>
      <c r="H87" s="22"/>
      <c r="I87" s="17">
        <v>79</v>
      </c>
      <c r="J87" s="319">
        <v>9.7100000000000006E-2</v>
      </c>
    </row>
    <row r="88" spans="1:10" x14ac:dyDescent="0.25">
      <c r="A88" s="322"/>
      <c r="B88" s="331"/>
      <c r="C88" s="337"/>
      <c r="D88" s="22"/>
      <c r="E88" s="22"/>
      <c r="F88" s="22"/>
      <c r="G88" s="22"/>
      <c r="H88" s="22"/>
      <c r="I88" s="17">
        <v>80</v>
      </c>
      <c r="J88" s="319">
        <v>9.7600000000000006E-2</v>
      </c>
    </row>
    <row r="89" spans="1:10" x14ac:dyDescent="0.25">
      <c r="A89" s="322"/>
      <c r="B89" s="331"/>
      <c r="C89" s="331"/>
      <c r="D89" s="22"/>
      <c r="E89" s="22"/>
      <c r="F89" s="22"/>
      <c r="G89" s="22"/>
      <c r="H89" s="22"/>
      <c r="I89" s="17">
        <v>81</v>
      </c>
      <c r="J89" s="319">
        <v>9.8000000000000004E-2</v>
      </c>
    </row>
    <row r="90" spans="1:10" x14ac:dyDescent="0.25">
      <c r="A90" s="322"/>
      <c r="B90" s="331"/>
      <c r="C90" s="330"/>
      <c r="D90" s="22"/>
      <c r="E90" s="22"/>
      <c r="F90" s="22"/>
      <c r="G90" s="22"/>
      <c r="H90" s="20"/>
      <c r="I90" s="17">
        <v>82</v>
      </c>
      <c r="J90" s="319">
        <v>9.8400000000000001E-2</v>
      </c>
    </row>
    <row r="91" spans="1:10" x14ac:dyDescent="0.25">
      <c r="A91" s="322"/>
      <c r="B91" s="330"/>
      <c r="C91" s="338"/>
      <c r="D91" s="22"/>
      <c r="E91" s="22"/>
      <c r="F91" s="22"/>
      <c r="G91" s="22"/>
      <c r="H91" s="20"/>
      <c r="I91" s="17">
        <v>83</v>
      </c>
      <c r="J91" s="319">
        <v>9.8799999999999999E-2</v>
      </c>
    </row>
    <row r="92" spans="1:10" x14ac:dyDescent="0.25">
      <c r="A92" s="322"/>
      <c r="B92" s="338"/>
      <c r="C92" s="338"/>
      <c r="D92" s="22"/>
      <c r="E92" s="22"/>
      <c r="F92" s="22"/>
      <c r="G92" s="22"/>
      <c r="H92" s="22"/>
      <c r="I92" s="17">
        <v>84</v>
      </c>
      <c r="J92" s="319">
        <v>9.9199999999999997E-2</v>
      </c>
    </row>
    <row r="93" spans="1:10" x14ac:dyDescent="0.25">
      <c r="A93" s="322"/>
      <c r="B93" s="338"/>
      <c r="C93" s="338"/>
      <c r="D93" s="22"/>
      <c r="E93" s="22"/>
      <c r="F93" s="22"/>
      <c r="G93" s="22"/>
      <c r="H93" s="22"/>
      <c r="I93" s="17">
        <v>85</v>
      </c>
      <c r="J93" s="319">
        <v>9.9599999999999994E-2</v>
      </c>
    </row>
    <row r="94" spans="1:10" x14ac:dyDescent="0.25">
      <c r="A94" s="322"/>
      <c r="B94" s="338"/>
      <c r="C94" s="338"/>
      <c r="D94" s="22"/>
      <c r="E94" s="22"/>
      <c r="F94" s="22"/>
      <c r="G94" s="22"/>
      <c r="H94" s="22"/>
      <c r="I94" s="17">
        <v>86</v>
      </c>
      <c r="J94" s="319">
        <v>0.1</v>
      </c>
    </row>
    <row r="95" spans="1:10" x14ac:dyDescent="0.25">
      <c r="A95" s="322"/>
      <c r="B95" s="338"/>
      <c r="C95" s="338"/>
      <c r="D95" s="22"/>
      <c r="E95" s="22"/>
      <c r="F95" s="22"/>
      <c r="G95" s="22"/>
      <c r="H95" s="22"/>
      <c r="I95" s="17">
        <v>87</v>
      </c>
      <c r="J95" s="319">
        <v>0.1004</v>
      </c>
    </row>
    <row r="96" spans="1:10" x14ac:dyDescent="0.25">
      <c r="A96" s="322"/>
      <c r="B96" s="338"/>
      <c r="C96" s="338"/>
      <c r="D96" s="22"/>
      <c r="E96" s="22"/>
      <c r="F96" s="22"/>
      <c r="G96" s="22"/>
      <c r="H96" s="22"/>
      <c r="I96" s="17">
        <v>88</v>
      </c>
      <c r="J96" s="319">
        <v>0.1008</v>
      </c>
    </row>
    <row r="97" spans="1:10" x14ac:dyDescent="0.25">
      <c r="A97" s="322"/>
      <c r="B97" s="338"/>
      <c r="C97" s="331"/>
      <c r="D97" s="22"/>
      <c r="E97" s="22"/>
      <c r="F97" s="22"/>
      <c r="G97" s="22"/>
      <c r="H97" s="22"/>
      <c r="I97" s="17">
        <v>89</v>
      </c>
      <c r="J97" s="319">
        <v>0.1012</v>
      </c>
    </row>
    <row r="98" spans="1:10" x14ac:dyDescent="0.25">
      <c r="A98" s="322"/>
      <c r="B98" s="331"/>
      <c r="C98" s="331"/>
      <c r="D98" s="22"/>
      <c r="E98" s="22"/>
      <c r="F98" s="22"/>
      <c r="G98" s="22"/>
      <c r="H98" s="22"/>
      <c r="I98" s="17">
        <v>90</v>
      </c>
      <c r="J98" s="319">
        <v>0.1016</v>
      </c>
    </row>
    <row r="99" spans="1:10" x14ac:dyDescent="0.25">
      <c r="A99" s="322"/>
      <c r="B99" s="331"/>
      <c r="C99" s="331"/>
      <c r="D99" s="22"/>
      <c r="E99" s="22"/>
      <c r="F99" s="22"/>
      <c r="G99" s="22"/>
      <c r="H99" s="22"/>
      <c r="I99" s="17">
        <v>91</v>
      </c>
      <c r="J99" s="319">
        <v>0.1019</v>
      </c>
    </row>
    <row r="100" spans="1:10" x14ac:dyDescent="0.25">
      <c r="A100" s="322"/>
      <c r="B100" s="331"/>
      <c r="C100" s="331"/>
      <c r="D100" s="22"/>
      <c r="E100" s="22"/>
      <c r="F100" s="22"/>
      <c r="G100" s="22"/>
      <c r="H100" s="22"/>
      <c r="I100" s="17">
        <v>92</v>
      </c>
      <c r="J100" s="319">
        <v>0.1023</v>
      </c>
    </row>
    <row r="101" spans="1:10" x14ac:dyDescent="0.25">
      <c r="A101" s="322"/>
      <c r="B101" s="331"/>
      <c r="C101" s="331"/>
      <c r="D101" s="22"/>
      <c r="E101" s="22"/>
      <c r="F101" s="22"/>
      <c r="G101" s="22"/>
      <c r="H101" s="22"/>
      <c r="I101" s="17">
        <v>93</v>
      </c>
      <c r="J101" s="319">
        <v>0.1027</v>
      </c>
    </row>
    <row r="102" spans="1:10" x14ac:dyDescent="0.25">
      <c r="A102" s="322"/>
      <c r="B102" s="331"/>
      <c r="C102" s="338"/>
      <c r="D102" s="22"/>
      <c r="E102" s="22"/>
      <c r="F102" s="133"/>
      <c r="G102" s="22"/>
      <c r="H102" s="22"/>
      <c r="I102" s="17">
        <v>94</v>
      </c>
      <c r="J102" s="319">
        <v>0.10299999999999999</v>
      </c>
    </row>
    <row r="103" spans="1:10" x14ac:dyDescent="0.25">
      <c r="A103" s="322"/>
      <c r="B103" s="338"/>
      <c r="C103" s="338"/>
      <c r="D103" s="34"/>
      <c r="E103" s="34"/>
      <c r="F103" s="22"/>
      <c r="G103" s="22"/>
      <c r="H103" s="22"/>
      <c r="I103" s="17">
        <v>95</v>
      </c>
      <c r="J103" s="319">
        <v>0.1033</v>
      </c>
    </row>
    <row r="104" spans="1:10" x14ac:dyDescent="0.25">
      <c r="A104" s="322"/>
      <c r="B104" s="338"/>
      <c r="C104" s="338"/>
      <c r="D104" s="216"/>
      <c r="E104" s="216"/>
      <c r="F104" s="22"/>
      <c r="G104" s="22"/>
      <c r="H104" s="239"/>
      <c r="I104" s="17">
        <v>96</v>
      </c>
      <c r="J104" s="319">
        <v>0.1037</v>
      </c>
    </row>
    <row r="105" spans="1:10" x14ac:dyDescent="0.25">
      <c r="A105" s="322"/>
      <c r="B105" s="338"/>
      <c r="C105" s="338"/>
      <c r="D105" s="216"/>
      <c r="E105" s="216"/>
      <c r="F105" s="22"/>
      <c r="G105" s="22"/>
      <c r="H105" s="22"/>
      <c r="I105" s="17">
        <v>97</v>
      </c>
      <c r="J105" s="319">
        <v>0.104</v>
      </c>
    </row>
    <row r="106" spans="1:10" x14ac:dyDescent="0.25">
      <c r="A106" s="322"/>
      <c r="B106" s="338"/>
      <c r="C106" s="338"/>
      <c r="D106" s="216"/>
      <c r="E106" s="216"/>
      <c r="F106" s="22"/>
      <c r="G106" s="22"/>
      <c r="H106" s="22"/>
      <c r="I106" s="17">
        <v>98</v>
      </c>
      <c r="J106" s="319">
        <v>0.10440000000000001</v>
      </c>
    </row>
    <row r="107" spans="1:10" x14ac:dyDescent="0.25">
      <c r="A107" s="322"/>
      <c r="B107" s="338"/>
      <c r="C107" s="338"/>
      <c r="D107" s="216"/>
      <c r="E107" s="216"/>
      <c r="F107" s="22"/>
      <c r="G107" s="22"/>
      <c r="H107" s="22"/>
      <c r="I107" s="17">
        <v>99</v>
      </c>
      <c r="J107" s="319">
        <v>0.1047</v>
      </c>
    </row>
    <row r="108" spans="1:10" x14ac:dyDescent="0.25">
      <c r="A108" s="322"/>
      <c r="B108" s="338"/>
      <c r="C108" s="332"/>
      <c r="D108" s="216"/>
      <c r="E108" s="216"/>
      <c r="F108" s="22"/>
      <c r="G108" s="22"/>
      <c r="H108" s="22"/>
      <c r="I108" s="17">
        <v>100</v>
      </c>
      <c r="J108" s="319">
        <v>0.105</v>
      </c>
    </row>
    <row r="109" spans="1:10" x14ac:dyDescent="0.25">
      <c r="A109" s="322"/>
      <c r="B109" s="332"/>
      <c r="C109" s="332"/>
      <c r="D109" s="216"/>
      <c r="E109" s="216"/>
      <c r="F109" s="133"/>
      <c r="G109" s="22"/>
      <c r="H109" s="34"/>
      <c r="I109" s="17"/>
      <c r="J109" s="319"/>
    </row>
    <row r="110" spans="1:10" x14ac:dyDescent="0.25">
      <c r="A110" s="322"/>
      <c r="B110" s="332"/>
      <c r="C110" s="216"/>
      <c r="D110" s="216"/>
      <c r="E110" s="216"/>
      <c r="F110" s="115"/>
      <c r="G110" s="22"/>
      <c r="H110" s="22"/>
      <c r="I110" s="22"/>
      <c r="J110" s="34"/>
    </row>
    <row r="111" spans="1:10" x14ac:dyDescent="0.25">
      <c r="A111" s="322"/>
      <c r="B111" s="216"/>
      <c r="C111" s="216"/>
      <c r="D111" s="216"/>
      <c r="E111" s="216"/>
      <c r="F111" s="115"/>
      <c r="G111" s="22"/>
      <c r="H111" s="22"/>
      <c r="I111" s="22"/>
      <c r="J111" s="34"/>
    </row>
    <row r="112" spans="1:10" x14ac:dyDescent="0.25">
      <c r="A112" s="322"/>
      <c r="B112" s="216"/>
      <c r="C112" s="216"/>
      <c r="D112" s="216"/>
      <c r="E112" s="216"/>
      <c r="F112" s="115"/>
      <c r="G112" s="22"/>
      <c r="H112" s="22"/>
      <c r="I112" s="22"/>
      <c r="J112" s="34"/>
    </row>
    <row r="113" spans="1:42" x14ac:dyDescent="0.25">
      <c r="A113" s="322"/>
      <c r="B113" s="216"/>
      <c r="C113" s="288"/>
      <c r="D113" s="216"/>
      <c r="E113" s="216"/>
      <c r="F113" s="115"/>
      <c r="G113" s="22"/>
      <c r="H113" s="22"/>
      <c r="I113" s="22"/>
      <c r="J113" s="34"/>
    </row>
    <row r="114" spans="1:42" x14ac:dyDescent="0.25">
      <c r="A114" s="322"/>
      <c r="B114" s="288"/>
      <c r="C114" s="216"/>
      <c r="D114" s="288"/>
      <c r="E114" s="288"/>
      <c r="F114" s="289"/>
      <c r="G114" s="289"/>
      <c r="H114" s="334"/>
      <c r="I114" s="334"/>
      <c r="J114" s="288"/>
      <c r="K114" s="333"/>
      <c r="L114" s="333"/>
      <c r="M114" s="333"/>
      <c r="N114" s="333"/>
      <c r="O114" s="333"/>
      <c r="P114" s="333"/>
      <c r="Q114" s="333"/>
      <c r="R114" s="333"/>
      <c r="S114" s="333"/>
      <c r="T114" s="333"/>
      <c r="U114" s="333"/>
      <c r="V114" s="333"/>
      <c r="W114" s="333"/>
      <c r="X114" s="333"/>
      <c r="Y114" s="333"/>
      <c r="Z114" s="333"/>
      <c r="AA114" s="333"/>
      <c r="AB114" s="333"/>
      <c r="AC114" s="333"/>
      <c r="AD114" s="333"/>
      <c r="AE114" s="333"/>
      <c r="AF114" s="333"/>
      <c r="AG114" s="333"/>
      <c r="AH114" s="333"/>
      <c r="AI114" s="333"/>
      <c r="AJ114" s="333"/>
      <c r="AK114" s="333"/>
      <c r="AL114" s="333"/>
      <c r="AM114" s="333"/>
      <c r="AN114" s="333"/>
      <c r="AO114" s="333"/>
      <c r="AP114" s="333"/>
    </row>
    <row r="115" spans="1:42" x14ac:dyDescent="0.25">
      <c r="A115" s="322"/>
      <c r="B115" s="216"/>
      <c r="C115" s="216"/>
      <c r="D115" s="216"/>
      <c r="E115" s="216"/>
      <c r="F115" s="115"/>
      <c r="G115" s="22"/>
      <c r="H115" s="22"/>
      <c r="I115" s="22"/>
      <c r="J115" s="34"/>
    </row>
    <row r="116" spans="1:42" x14ac:dyDescent="0.25">
      <c r="A116" s="322"/>
      <c r="B116" s="216"/>
      <c r="C116" s="216"/>
      <c r="D116" s="216"/>
      <c r="E116" s="216"/>
      <c r="F116" s="115"/>
      <c r="G116" s="22"/>
      <c r="H116" s="22"/>
      <c r="I116" s="22"/>
      <c r="J116" s="34"/>
    </row>
    <row r="117" spans="1:42" x14ac:dyDescent="0.25">
      <c r="A117" s="322"/>
      <c r="B117" s="216"/>
      <c r="C117" s="216"/>
      <c r="D117" s="216"/>
      <c r="E117" s="216"/>
      <c r="F117" s="115"/>
      <c r="G117" s="22"/>
      <c r="H117" s="22"/>
      <c r="I117" s="22"/>
      <c r="J117" s="34"/>
    </row>
    <row r="118" spans="1:42" x14ac:dyDescent="0.25">
      <c r="A118" s="322"/>
      <c r="B118" s="216"/>
      <c r="C118" s="216"/>
      <c r="D118" s="216"/>
      <c r="E118" s="216"/>
      <c r="F118" s="115"/>
      <c r="G118" s="22"/>
      <c r="H118" s="22"/>
      <c r="I118" s="22"/>
      <c r="J118" s="34"/>
    </row>
    <row r="119" spans="1:42" x14ac:dyDescent="0.25">
      <c r="A119" s="322"/>
      <c r="B119" s="216"/>
      <c r="C119" s="216"/>
      <c r="D119" s="216"/>
      <c r="E119" s="326"/>
      <c r="F119" s="34"/>
      <c r="G119" s="34"/>
      <c r="H119" s="34"/>
      <c r="I119" s="216"/>
      <c r="J119" s="34"/>
    </row>
    <row r="120" spans="1:42" x14ac:dyDescent="0.25">
      <c r="A120" s="322"/>
      <c r="B120" s="118"/>
      <c r="C120" s="216"/>
      <c r="D120" s="216"/>
      <c r="E120" s="216"/>
      <c r="F120" s="34"/>
      <c r="G120" s="34"/>
      <c r="H120" s="34"/>
      <c r="I120" s="22"/>
      <c r="J120" s="34"/>
    </row>
    <row r="121" spans="1:42" x14ac:dyDescent="0.25">
      <c r="A121" s="322"/>
      <c r="B121" s="118"/>
      <c r="C121" s="216"/>
      <c r="D121" s="216"/>
      <c r="E121" s="216"/>
      <c r="F121" s="34"/>
      <c r="G121" s="34"/>
      <c r="H121" s="34"/>
      <c r="I121" s="22"/>
      <c r="J121" s="34"/>
    </row>
    <row r="122" spans="1:42" x14ac:dyDescent="0.25">
      <c r="A122" s="322"/>
      <c r="B122" s="118"/>
      <c r="C122" s="216"/>
      <c r="D122" s="216"/>
      <c r="E122" s="216"/>
      <c r="F122" s="34"/>
      <c r="G122" s="34"/>
      <c r="H122" s="34"/>
      <c r="I122" s="34"/>
      <c r="J122" s="34"/>
    </row>
    <row r="123" spans="1:42" x14ac:dyDescent="0.25">
      <c r="A123" s="322"/>
      <c r="B123" s="118"/>
      <c r="C123" s="216"/>
      <c r="D123" s="216"/>
      <c r="E123" s="216"/>
      <c r="F123" s="22"/>
      <c r="G123" s="22"/>
      <c r="H123" s="22"/>
      <c r="I123" s="34"/>
      <c r="J123" s="22"/>
    </row>
    <row r="124" spans="1:42" x14ac:dyDescent="0.25">
      <c r="A124" s="322"/>
      <c r="B124" s="118"/>
      <c r="C124" s="22"/>
      <c r="D124" s="216"/>
      <c r="E124" s="216"/>
      <c r="F124" s="22"/>
      <c r="G124" s="22"/>
      <c r="H124" s="22"/>
      <c r="I124" s="34"/>
      <c r="J124" s="22"/>
    </row>
    <row r="125" spans="1:42" x14ac:dyDescent="0.25">
      <c r="A125" s="322"/>
      <c r="B125" s="22"/>
      <c r="C125" s="22"/>
      <c r="D125" s="22"/>
      <c r="E125" s="22"/>
      <c r="F125" s="22"/>
      <c r="G125" s="22"/>
      <c r="H125" s="22"/>
      <c r="I125" s="34"/>
      <c r="J125" s="22"/>
    </row>
    <row r="126" spans="1:42" x14ac:dyDescent="0.25">
      <c r="A126" s="322"/>
      <c r="B126" s="22"/>
      <c r="C126" s="22"/>
      <c r="D126" s="22"/>
      <c r="E126" s="22"/>
      <c r="F126" s="22"/>
      <c r="G126" s="22"/>
      <c r="H126" s="22"/>
      <c r="I126" s="34"/>
      <c r="J126" s="22"/>
    </row>
    <row r="127" spans="1:42" x14ac:dyDescent="0.25">
      <c r="A127" s="322"/>
      <c r="B127" s="22"/>
      <c r="C127" s="22"/>
      <c r="D127" s="22"/>
      <c r="E127" s="22"/>
      <c r="F127" s="22"/>
      <c r="G127" s="22"/>
      <c r="H127" s="22"/>
      <c r="I127" s="34"/>
      <c r="J127" s="22"/>
    </row>
    <row r="128" spans="1:42" x14ac:dyDescent="0.25">
      <c r="A128" s="322"/>
      <c r="B128" s="22"/>
      <c r="C128" s="22"/>
      <c r="D128" s="22"/>
      <c r="E128" s="22"/>
      <c r="F128" s="22"/>
      <c r="G128" s="22"/>
      <c r="H128" s="22"/>
      <c r="I128" s="34"/>
      <c r="J128" s="22"/>
    </row>
    <row r="129" spans="1:10" x14ac:dyDescent="0.25">
      <c r="A129" s="322"/>
      <c r="B129" s="22"/>
      <c r="C129" s="322"/>
      <c r="D129" s="22"/>
      <c r="E129" s="133"/>
      <c r="F129" s="22"/>
      <c r="G129" s="22"/>
      <c r="H129" s="22"/>
      <c r="I129" s="22"/>
      <c r="J129" s="22"/>
    </row>
    <row r="130" spans="1:10" x14ac:dyDescent="0.25">
      <c r="A130" s="322"/>
      <c r="B130" s="322"/>
      <c r="C130" s="322"/>
      <c r="D130" s="322"/>
      <c r="E130" s="322"/>
      <c r="F130" s="322"/>
      <c r="G130" s="322"/>
    </row>
    <row r="131" spans="1:10" x14ac:dyDescent="0.25">
      <c r="A131" s="322"/>
      <c r="B131" s="322"/>
      <c r="C131" s="322"/>
      <c r="D131" s="322"/>
      <c r="E131" s="322"/>
      <c r="F131" s="322"/>
      <c r="G131" s="322"/>
    </row>
    <row r="132" spans="1:10" x14ac:dyDescent="0.25">
      <c r="A132" s="322"/>
      <c r="B132" s="322"/>
      <c r="C132" s="322"/>
      <c r="D132" s="322"/>
      <c r="E132" s="322"/>
      <c r="F132" s="322"/>
      <c r="G132" s="322"/>
    </row>
    <row r="133" spans="1:10" x14ac:dyDescent="0.25">
      <c r="A133" s="322"/>
      <c r="B133" s="322"/>
      <c r="C133" s="322"/>
      <c r="D133" s="322"/>
      <c r="E133" s="322"/>
      <c r="F133" s="322"/>
      <c r="G133" s="322"/>
    </row>
    <row r="134" spans="1:10" x14ac:dyDescent="0.25">
      <c r="A134" s="322"/>
      <c r="B134" s="322"/>
      <c r="C134" s="322"/>
      <c r="D134" s="322"/>
      <c r="E134" s="322"/>
      <c r="F134" s="322"/>
      <c r="G134" s="322"/>
    </row>
    <row r="135" spans="1:10" x14ac:dyDescent="0.25">
      <c r="A135" s="322"/>
      <c r="B135" s="322"/>
      <c r="C135" s="322"/>
      <c r="D135" s="322"/>
      <c r="E135" s="322"/>
      <c r="F135" s="322"/>
      <c r="G135" s="322"/>
    </row>
    <row r="136" spans="1:10" x14ac:dyDescent="0.25">
      <c r="A136" s="322"/>
      <c r="B136" s="322"/>
      <c r="C136" s="322"/>
      <c r="D136" s="322"/>
      <c r="E136" s="322"/>
      <c r="F136" s="322"/>
      <c r="G136" s="322"/>
    </row>
    <row r="137" spans="1:10" x14ac:dyDescent="0.25">
      <c r="A137" s="322"/>
      <c r="B137" s="322"/>
      <c r="C137" s="322"/>
      <c r="D137" s="322"/>
      <c r="E137" s="322"/>
      <c r="F137" s="322"/>
      <c r="G137" s="322"/>
    </row>
    <row r="138" spans="1:10" x14ac:dyDescent="0.25">
      <c r="A138" s="322"/>
      <c r="B138" s="322"/>
      <c r="C138" s="322"/>
      <c r="D138" s="322"/>
      <c r="E138" s="322"/>
      <c r="F138" s="322"/>
      <c r="G138" s="322"/>
    </row>
    <row r="139" spans="1:10" x14ac:dyDescent="0.25">
      <c r="A139" s="322"/>
      <c r="B139" s="322"/>
      <c r="C139" s="322"/>
      <c r="D139" s="322"/>
      <c r="E139" s="322"/>
      <c r="F139" s="322"/>
      <c r="G139" s="322"/>
    </row>
    <row r="140" spans="1:10" x14ac:dyDescent="0.25">
      <c r="A140" s="322"/>
      <c r="B140" s="322"/>
      <c r="C140" s="322"/>
      <c r="D140" s="322"/>
      <c r="E140" s="322"/>
      <c r="F140" s="322"/>
      <c r="G140" s="322"/>
    </row>
    <row r="141" spans="1:10" x14ac:dyDescent="0.25">
      <c r="A141" s="322"/>
      <c r="B141" s="322"/>
      <c r="C141" s="322"/>
      <c r="D141" s="322"/>
      <c r="E141" s="322"/>
      <c r="F141" s="322"/>
      <c r="G141" s="322"/>
    </row>
    <row r="142" spans="1:10" x14ac:dyDescent="0.25">
      <c r="A142" s="322"/>
      <c r="B142" s="322"/>
      <c r="C142" s="322"/>
      <c r="D142" s="322"/>
      <c r="E142" s="322"/>
      <c r="F142" s="322"/>
      <c r="G142" s="322"/>
    </row>
    <row r="143" spans="1:10" x14ac:dyDescent="0.25">
      <c r="A143" s="322"/>
      <c r="B143" s="322"/>
      <c r="C143" s="322"/>
      <c r="D143" s="322"/>
      <c r="E143" s="322"/>
      <c r="F143" s="322"/>
      <c r="G143" s="322"/>
    </row>
    <row r="144" spans="1:10" x14ac:dyDescent="0.25">
      <c r="A144" s="322"/>
      <c r="B144" s="322"/>
      <c r="C144" s="322"/>
      <c r="D144" s="322"/>
      <c r="E144" s="322"/>
      <c r="F144" s="322"/>
      <c r="G144" s="322"/>
    </row>
    <row r="145" spans="1:7" x14ac:dyDescent="0.25">
      <c r="A145" s="322"/>
      <c r="B145" s="322"/>
      <c r="C145" s="322"/>
      <c r="D145" s="322"/>
      <c r="E145" s="322"/>
      <c r="F145" s="322"/>
      <c r="G145" s="322"/>
    </row>
    <row r="146" spans="1:7" x14ac:dyDescent="0.25">
      <c r="A146" s="322"/>
      <c r="B146" s="322"/>
      <c r="C146" s="322"/>
      <c r="D146" s="322"/>
      <c r="E146" s="322"/>
      <c r="F146" s="322"/>
      <c r="G146" s="322"/>
    </row>
    <row r="147" spans="1:7" x14ac:dyDescent="0.25">
      <c r="A147" s="322"/>
      <c r="B147" s="322"/>
      <c r="C147" s="322"/>
      <c r="D147" s="322"/>
      <c r="E147" s="322"/>
      <c r="F147" s="322"/>
      <c r="G147" s="322"/>
    </row>
    <row r="148" spans="1:7" x14ac:dyDescent="0.25">
      <c r="A148" s="322"/>
      <c r="B148" s="322"/>
      <c r="C148" s="322"/>
      <c r="D148" s="322"/>
      <c r="E148" s="322"/>
      <c r="F148" s="322"/>
      <c r="G148" s="322"/>
    </row>
    <row r="149" spans="1:7" x14ac:dyDescent="0.25">
      <c r="A149" s="322"/>
      <c r="B149" s="322"/>
      <c r="C149" s="322"/>
      <c r="D149" s="322"/>
      <c r="E149" s="322"/>
      <c r="F149" s="322"/>
      <c r="G149" s="322"/>
    </row>
    <row r="150" spans="1:7" x14ac:dyDescent="0.25">
      <c r="A150" s="322"/>
      <c r="B150" s="322"/>
      <c r="C150" s="322"/>
      <c r="D150" s="322"/>
      <c r="E150" s="322"/>
      <c r="F150" s="322"/>
      <c r="G150" s="322"/>
    </row>
    <row r="151" spans="1:7" x14ac:dyDescent="0.25">
      <c r="A151" s="322"/>
      <c r="B151" s="322"/>
      <c r="C151" s="322"/>
      <c r="D151" s="322"/>
      <c r="E151" s="322"/>
      <c r="F151" s="322"/>
      <c r="G151" s="322"/>
    </row>
    <row r="152" spans="1:7" x14ac:dyDescent="0.25">
      <c r="A152" s="322"/>
      <c r="B152" s="322"/>
      <c r="C152" s="322"/>
      <c r="D152" s="322"/>
      <c r="E152" s="322"/>
      <c r="F152" s="322"/>
      <c r="G152" s="322"/>
    </row>
    <row r="153" spans="1:7" x14ac:dyDescent="0.25">
      <c r="A153" s="322"/>
      <c r="B153" s="322"/>
      <c r="C153" s="322"/>
      <c r="D153" s="322"/>
      <c r="E153" s="322"/>
      <c r="F153" s="322"/>
      <c r="G153" s="322"/>
    </row>
    <row r="154" spans="1:7" x14ac:dyDescent="0.25">
      <c r="A154" s="322"/>
      <c r="B154" s="322"/>
      <c r="C154" s="322"/>
      <c r="D154" s="322"/>
      <c r="E154" s="322"/>
      <c r="F154" s="322"/>
      <c r="G154" s="322"/>
    </row>
    <row r="155" spans="1:7" x14ac:dyDescent="0.25">
      <c r="A155" s="322"/>
      <c r="B155" s="322"/>
      <c r="C155" s="322"/>
      <c r="D155" s="322"/>
      <c r="E155" s="322"/>
      <c r="F155" s="322"/>
      <c r="G155" s="322"/>
    </row>
    <row r="156" spans="1:7" x14ac:dyDescent="0.25">
      <c r="A156" s="322"/>
      <c r="B156" s="322"/>
      <c r="C156" s="322"/>
      <c r="D156" s="322"/>
      <c r="E156" s="322"/>
      <c r="F156" s="322"/>
      <c r="G156" s="322"/>
    </row>
    <row r="157" spans="1:7" x14ac:dyDescent="0.25">
      <c r="A157" s="322"/>
      <c r="B157" s="322"/>
      <c r="C157" s="322"/>
      <c r="D157" s="322"/>
      <c r="E157" s="322"/>
      <c r="F157" s="322"/>
      <c r="G157" s="322"/>
    </row>
    <row r="158" spans="1:7" x14ac:dyDescent="0.25">
      <c r="A158" s="322"/>
      <c r="B158" s="322"/>
      <c r="C158" s="322"/>
      <c r="D158" s="322"/>
      <c r="E158" s="322"/>
      <c r="F158" s="322"/>
      <c r="G158" s="322"/>
    </row>
    <row r="159" spans="1:7" x14ac:dyDescent="0.25">
      <c r="A159" s="322"/>
      <c r="B159" s="322"/>
      <c r="C159" s="322"/>
      <c r="D159" s="322"/>
      <c r="E159" s="322"/>
      <c r="F159" s="322"/>
      <c r="G159" s="322"/>
    </row>
    <row r="160" spans="1:7" x14ac:dyDescent="0.25">
      <c r="A160" s="322"/>
      <c r="B160" s="322"/>
      <c r="C160" s="322"/>
      <c r="D160" s="322"/>
      <c r="E160" s="322"/>
      <c r="F160" s="322"/>
      <c r="G160" s="322"/>
    </row>
    <row r="161" spans="1:7" x14ac:dyDescent="0.25">
      <c r="A161" s="322"/>
      <c r="B161" s="322"/>
      <c r="C161" s="322"/>
      <c r="D161" s="322"/>
      <c r="E161" s="322"/>
      <c r="F161" s="322"/>
      <c r="G161" s="322"/>
    </row>
    <row r="162" spans="1:7" x14ac:dyDescent="0.25">
      <c r="A162" s="322"/>
      <c r="B162" s="322"/>
      <c r="C162" s="322"/>
      <c r="D162" s="322"/>
      <c r="E162" s="322"/>
      <c r="F162" s="322"/>
      <c r="G162" s="322"/>
    </row>
    <row r="163" spans="1:7" x14ac:dyDescent="0.25">
      <c r="A163" s="322"/>
      <c r="B163" s="322"/>
      <c r="C163" s="322"/>
      <c r="D163" s="322"/>
      <c r="E163" s="322"/>
      <c r="F163" s="322"/>
      <c r="G163" s="322"/>
    </row>
    <row r="164" spans="1:7" x14ac:dyDescent="0.25">
      <c r="A164" s="322"/>
      <c r="B164" s="322"/>
      <c r="C164" s="322"/>
      <c r="D164" s="322"/>
      <c r="E164" s="322"/>
      <c r="F164" s="322"/>
      <c r="G164" s="322"/>
    </row>
    <row r="165" spans="1:7" x14ac:dyDescent="0.25">
      <c r="A165" s="322"/>
      <c r="B165" s="322"/>
      <c r="C165" s="322"/>
      <c r="D165" s="322"/>
      <c r="E165" s="322"/>
      <c r="F165" s="322"/>
      <c r="G165" s="322"/>
    </row>
    <row r="166" spans="1:7" x14ac:dyDescent="0.25">
      <c r="A166" s="322"/>
      <c r="B166" s="322"/>
      <c r="C166" s="322"/>
      <c r="D166" s="322"/>
      <c r="E166" s="322"/>
      <c r="F166" s="322"/>
      <c r="G166" s="322"/>
    </row>
    <row r="167" spans="1:7" x14ac:dyDescent="0.25">
      <c r="A167" s="322"/>
      <c r="B167" s="322"/>
      <c r="C167" s="322"/>
      <c r="D167" s="322"/>
      <c r="E167" s="322"/>
      <c r="F167" s="322"/>
      <c r="G167" s="322"/>
    </row>
    <row r="168" spans="1:7" x14ac:dyDescent="0.25">
      <c r="A168" s="322"/>
      <c r="B168" s="322"/>
      <c r="C168" s="322"/>
      <c r="D168" s="322"/>
      <c r="E168" s="322"/>
      <c r="F168" s="322"/>
      <c r="G168" s="322"/>
    </row>
    <row r="169" spans="1:7" x14ac:dyDescent="0.25">
      <c r="A169" s="322"/>
      <c r="B169" s="322"/>
      <c r="C169" s="322"/>
      <c r="D169" s="322"/>
      <c r="E169" s="322"/>
      <c r="F169" s="322"/>
      <c r="G169" s="322"/>
    </row>
    <row r="170" spans="1:7" x14ac:dyDescent="0.25">
      <c r="A170" s="322"/>
      <c r="B170" s="322"/>
      <c r="C170" s="322"/>
      <c r="D170" s="322"/>
      <c r="E170" s="322"/>
      <c r="F170" s="322"/>
      <c r="G170" s="322"/>
    </row>
    <row r="171" spans="1:7" x14ac:dyDescent="0.25">
      <c r="A171" s="322"/>
      <c r="B171" s="322"/>
      <c r="C171" s="322"/>
      <c r="D171" s="322"/>
      <c r="E171" s="322"/>
      <c r="F171" s="322"/>
      <c r="G171" s="322"/>
    </row>
    <row r="172" spans="1:7" x14ac:dyDescent="0.25">
      <c r="A172" s="322"/>
      <c r="B172" s="322"/>
      <c r="C172" s="322"/>
      <c r="D172" s="322"/>
      <c r="E172" s="322"/>
      <c r="F172" s="322"/>
      <c r="G172" s="322"/>
    </row>
    <row r="173" spans="1:7" x14ac:dyDescent="0.25">
      <c r="A173" s="322"/>
      <c r="B173" s="322"/>
      <c r="C173" s="322"/>
      <c r="D173" s="322"/>
      <c r="E173" s="322"/>
      <c r="F173" s="322"/>
      <c r="G173" s="322"/>
    </row>
    <row r="174" spans="1:7" x14ac:dyDescent="0.25">
      <c r="A174" s="322"/>
      <c r="B174" s="322"/>
      <c r="C174" s="322"/>
      <c r="D174" s="322"/>
      <c r="E174" s="322"/>
      <c r="F174" s="322"/>
      <c r="G174" s="322"/>
    </row>
    <row r="175" spans="1:7" x14ac:dyDescent="0.25">
      <c r="A175" s="322"/>
      <c r="B175" s="322"/>
      <c r="C175" s="322"/>
      <c r="D175" s="322"/>
      <c r="E175" s="322"/>
      <c r="F175" s="322"/>
      <c r="G175" s="322"/>
    </row>
    <row r="176" spans="1:7" x14ac:dyDescent="0.25">
      <c r="A176" s="322"/>
      <c r="B176" s="322"/>
      <c r="C176" s="322"/>
      <c r="D176" s="322"/>
      <c r="E176" s="322"/>
      <c r="F176" s="322"/>
      <c r="G176" s="322"/>
    </row>
    <row r="177" spans="1:7" x14ac:dyDescent="0.25">
      <c r="A177" s="322"/>
      <c r="B177" s="322"/>
      <c r="C177" s="322"/>
      <c r="D177" s="322"/>
      <c r="E177" s="322"/>
      <c r="F177" s="322"/>
      <c r="G177" s="322"/>
    </row>
    <row r="178" spans="1:7" x14ac:dyDescent="0.25">
      <c r="A178" s="322"/>
      <c r="B178" s="322"/>
      <c r="C178" s="322"/>
      <c r="D178" s="322"/>
      <c r="E178" s="322"/>
      <c r="F178" s="322"/>
      <c r="G178" s="322"/>
    </row>
    <row r="179" spans="1:7" x14ac:dyDescent="0.25">
      <c r="A179" s="322"/>
      <c r="B179" s="322"/>
      <c r="C179" s="322"/>
      <c r="D179" s="322"/>
      <c r="E179" s="322"/>
      <c r="F179" s="322"/>
      <c r="G179" s="322"/>
    </row>
    <row r="180" spans="1:7" x14ac:dyDescent="0.25">
      <c r="A180" s="322"/>
      <c r="B180" s="322"/>
      <c r="C180" s="322"/>
      <c r="D180" s="322"/>
      <c r="E180" s="322"/>
      <c r="F180" s="322"/>
      <c r="G180" s="322"/>
    </row>
    <row r="181" spans="1:7" x14ac:dyDescent="0.25">
      <c r="A181" s="322"/>
      <c r="B181" s="322"/>
      <c r="C181" s="322"/>
      <c r="D181" s="322"/>
      <c r="E181" s="322"/>
      <c r="F181" s="322"/>
      <c r="G181" s="322"/>
    </row>
    <row r="182" spans="1:7" x14ac:dyDescent="0.25">
      <c r="A182" s="322"/>
      <c r="B182" s="322"/>
      <c r="C182" s="322"/>
      <c r="D182" s="322"/>
      <c r="E182" s="322"/>
      <c r="F182" s="322"/>
      <c r="G182" s="322"/>
    </row>
    <row r="183" spans="1:7" x14ac:dyDescent="0.25">
      <c r="A183" s="322"/>
      <c r="B183" s="322"/>
      <c r="C183" s="322"/>
      <c r="D183" s="322"/>
      <c r="E183" s="322"/>
      <c r="F183" s="322"/>
      <c r="G183" s="322"/>
    </row>
    <row r="184" spans="1:7" x14ac:dyDescent="0.25">
      <c r="A184" s="322"/>
      <c r="B184" s="322"/>
      <c r="C184" s="322"/>
      <c r="D184" s="322"/>
      <c r="E184" s="322"/>
      <c r="F184" s="322"/>
      <c r="G184" s="322"/>
    </row>
    <row r="185" spans="1:7" x14ac:dyDescent="0.25">
      <c r="A185" s="322"/>
      <c r="B185" s="322"/>
      <c r="C185" s="322"/>
      <c r="D185" s="322"/>
      <c r="E185" s="322"/>
      <c r="F185" s="322"/>
      <c r="G185" s="322"/>
    </row>
    <row r="186" spans="1:7" x14ac:dyDescent="0.25">
      <c r="A186" s="322"/>
      <c r="B186" s="322"/>
      <c r="C186" s="322"/>
      <c r="D186" s="322"/>
      <c r="E186" s="322"/>
      <c r="F186" s="322"/>
      <c r="G186" s="322"/>
    </row>
    <row r="187" spans="1:7" x14ac:dyDescent="0.25">
      <c r="A187" s="322"/>
      <c r="B187" s="322"/>
      <c r="C187" s="322"/>
      <c r="D187" s="322"/>
      <c r="E187" s="322"/>
      <c r="F187" s="322"/>
      <c r="G187" s="322"/>
    </row>
    <row r="188" spans="1:7" x14ac:dyDescent="0.25">
      <c r="A188" s="322"/>
      <c r="B188" s="322"/>
      <c r="C188" s="322"/>
      <c r="D188" s="322"/>
      <c r="E188" s="322"/>
      <c r="F188" s="322"/>
      <c r="G188" s="322"/>
    </row>
    <row r="189" spans="1:7" x14ac:dyDescent="0.25">
      <c r="A189" s="322"/>
      <c r="B189" s="322"/>
      <c r="C189" s="322"/>
      <c r="D189" s="322"/>
      <c r="E189" s="322"/>
      <c r="F189" s="322"/>
      <c r="G189" s="322"/>
    </row>
    <row r="190" spans="1:7" x14ac:dyDescent="0.25">
      <c r="A190" s="322"/>
      <c r="B190" s="322"/>
      <c r="C190" s="322"/>
      <c r="D190" s="322"/>
      <c r="E190" s="322"/>
      <c r="F190" s="322"/>
      <c r="G190" s="322"/>
    </row>
    <row r="191" spans="1:7" x14ac:dyDescent="0.25">
      <c r="A191" s="322"/>
      <c r="B191" s="322"/>
      <c r="C191" s="322"/>
      <c r="D191" s="322"/>
      <c r="E191" s="322"/>
      <c r="F191" s="322"/>
      <c r="G191" s="322"/>
    </row>
    <row r="192" spans="1:7" x14ac:dyDescent="0.25">
      <c r="A192" s="322"/>
      <c r="B192" s="322"/>
      <c r="C192" s="322"/>
      <c r="D192" s="322"/>
      <c r="E192" s="322"/>
      <c r="F192" s="322"/>
      <c r="G192" s="322"/>
    </row>
    <row r="193" spans="1:7" x14ac:dyDescent="0.25">
      <c r="A193" s="322"/>
      <c r="B193" s="322"/>
      <c r="C193" s="322"/>
      <c r="D193" s="322"/>
      <c r="E193" s="322"/>
      <c r="F193" s="322"/>
      <c r="G193" s="322"/>
    </row>
    <row r="194" spans="1:7" x14ac:dyDescent="0.25">
      <c r="A194" s="322"/>
      <c r="B194" s="322"/>
      <c r="C194" s="322"/>
      <c r="D194" s="322"/>
      <c r="E194" s="322"/>
      <c r="F194" s="322"/>
      <c r="G194" s="322"/>
    </row>
    <row r="195" spans="1:7" x14ac:dyDescent="0.25">
      <c r="A195" s="322"/>
      <c r="B195" s="322"/>
      <c r="C195" s="322"/>
      <c r="D195" s="322"/>
      <c r="E195" s="322"/>
      <c r="F195" s="322"/>
      <c r="G195" s="322"/>
    </row>
    <row r="196" spans="1:7" x14ac:dyDescent="0.25">
      <c r="A196" s="322"/>
      <c r="B196" s="322"/>
      <c r="C196" s="322"/>
      <c r="D196" s="322"/>
      <c r="E196" s="322"/>
      <c r="F196" s="322"/>
      <c r="G196" s="322"/>
    </row>
    <row r="197" spans="1:7" x14ac:dyDescent="0.25">
      <c r="A197" s="322"/>
      <c r="B197" s="322"/>
      <c r="C197" s="322"/>
      <c r="D197" s="322"/>
      <c r="E197" s="322"/>
      <c r="F197" s="322"/>
      <c r="G197" s="322"/>
    </row>
    <row r="198" spans="1:7" x14ac:dyDescent="0.25">
      <c r="A198" s="322"/>
      <c r="B198" s="322"/>
      <c r="C198" s="322"/>
      <c r="D198" s="322"/>
      <c r="E198" s="322"/>
      <c r="F198" s="322"/>
      <c r="G198" s="322"/>
    </row>
    <row r="199" spans="1:7" x14ac:dyDescent="0.25">
      <c r="A199" s="322"/>
      <c r="B199" s="322"/>
      <c r="C199" s="322"/>
      <c r="D199" s="322"/>
      <c r="E199" s="322"/>
      <c r="F199" s="322"/>
      <c r="G199" s="322"/>
    </row>
    <row r="200" spans="1:7" x14ac:dyDescent="0.25">
      <c r="A200" s="322"/>
      <c r="B200" s="322"/>
      <c r="C200" s="322"/>
      <c r="D200" s="322"/>
      <c r="E200" s="322"/>
      <c r="F200" s="322"/>
      <c r="G200" s="322"/>
    </row>
    <row r="201" spans="1:7" x14ac:dyDescent="0.25">
      <c r="A201" s="322"/>
      <c r="B201" s="322"/>
      <c r="C201" s="322"/>
      <c r="D201" s="322"/>
      <c r="E201" s="322"/>
      <c r="F201" s="322"/>
      <c r="G201" s="322"/>
    </row>
    <row r="202" spans="1:7" x14ac:dyDescent="0.25">
      <c r="A202" s="322"/>
      <c r="B202" s="322"/>
      <c r="C202" s="322"/>
      <c r="D202" s="322"/>
      <c r="E202" s="322"/>
      <c r="F202" s="322"/>
      <c r="G202" s="322"/>
    </row>
    <row r="203" spans="1:7" x14ac:dyDescent="0.25">
      <c r="A203" s="322"/>
      <c r="B203" s="322"/>
      <c r="C203" s="322"/>
      <c r="D203" s="322"/>
      <c r="E203" s="322"/>
      <c r="F203" s="322"/>
      <c r="G203" s="322"/>
    </row>
    <row r="204" spans="1:7" x14ac:dyDescent="0.25">
      <c r="A204" s="322"/>
      <c r="B204" s="322"/>
      <c r="C204" s="322"/>
      <c r="D204" s="322"/>
      <c r="E204" s="322"/>
      <c r="F204" s="322"/>
      <c r="G204" s="322"/>
    </row>
    <row r="205" spans="1:7" x14ac:dyDescent="0.25">
      <c r="A205" s="322"/>
      <c r="B205" s="322"/>
      <c r="C205" s="322"/>
      <c r="D205" s="322"/>
      <c r="E205" s="322"/>
      <c r="F205" s="322"/>
      <c r="G205" s="322"/>
    </row>
    <row r="206" spans="1:7" x14ac:dyDescent="0.25">
      <c r="A206" s="322"/>
      <c r="B206" s="322"/>
      <c r="C206" s="322"/>
      <c r="D206" s="322"/>
      <c r="E206" s="322"/>
      <c r="F206" s="322"/>
      <c r="G206" s="322"/>
    </row>
    <row r="207" spans="1:7" x14ac:dyDescent="0.25">
      <c r="A207" s="322"/>
      <c r="B207" s="322"/>
      <c r="C207" s="322"/>
      <c r="D207" s="322"/>
      <c r="E207" s="322"/>
      <c r="F207" s="322"/>
      <c r="G207" s="322"/>
    </row>
    <row r="208" spans="1:7" x14ac:dyDescent="0.25">
      <c r="A208" s="322"/>
      <c r="B208" s="322"/>
      <c r="C208" s="322"/>
      <c r="D208" s="322"/>
      <c r="E208" s="322"/>
      <c r="F208" s="322"/>
      <c r="G208" s="322"/>
    </row>
    <row r="209" spans="1:7" x14ac:dyDescent="0.25">
      <c r="A209" s="322"/>
      <c r="B209" s="322"/>
      <c r="C209" s="322"/>
      <c r="D209" s="322"/>
      <c r="E209" s="322"/>
      <c r="F209" s="322"/>
      <c r="G209" s="322"/>
    </row>
    <row r="210" spans="1:7" x14ac:dyDescent="0.25">
      <c r="A210" s="322"/>
      <c r="B210" s="322"/>
      <c r="C210" s="322"/>
      <c r="D210" s="322"/>
      <c r="E210" s="322"/>
      <c r="F210" s="322"/>
      <c r="G210" s="322"/>
    </row>
    <row r="211" spans="1:7" x14ac:dyDescent="0.25">
      <c r="A211" s="322"/>
      <c r="B211" s="322"/>
      <c r="C211" s="322"/>
      <c r="D211" s="322"/>
      <c r="E211" s="322"/>
      <c r="F211" s="322"/>
      <c r="G211" s="322"/>
    </row>
    <row r="212" spans="1:7" x14ac:dyDescent="0.25">
      <c r="A212" s="322"/>
      <c r="B212" s="322"/>
      <c r="C212" s="322"/>
      <c r="D212" s="322"/>
      <c r="E212" s="322"/>
      <c r="F212" s="322"/>
      <c r="G212" s="322"/>
    </row>
    <row r="213" spans="1:7" x14ac:dyDescent="0.25">
      <c r="A213" s="322"/>
      <c r="B213" s="322"/>
      <c r="C213" s="322"/>
      <c r="D213" s="322"/>
      <c r="E213" s="322"/>
      <c r="F213" s="322"/>
      <c r="G213" s="322"/>
    </row>
    <row r="214" spans="1:7" x14ac:dyDescent="0.25">
      <c r="A214" s="322"/>
      <c r="B214" s="322"/>
      <c r="C214" s="322"/>
      <c r="D214" s="322"/>
      <c r="E214" s="322"/>
      <c r="F214" s="322"/>
      <c r="G214" s="322"/>
    </row>
    <row r="215" spans="1:7" x14ac:dyDescent="0.25">
      <c r="A215" s="322"/>
      <c r="B215" s="322"/>
      <c r="C215" s="322"/>
      <c r="D215" s="322"/>
      <c r="E215" s="322"/>
      <c r="F215" s="322"/>
      <c r="G215" s="322"/>
    </row>
    <row r="216" spans="1:7" x14ac:dyDescent="0.25">
      <c r="A216" s="322"/>
      <c r="B216" s="322"/>
      <c r="C216" s="322"/>
      <c r="D216" s="322"/>
      <c r="E216" s="322"/>
      <c r="F216" s="322"/>
      <c r="G216" s="322"/>
    </row>
    <row r="217" spans="1:7" x14ac:dyDescent="0.25">
      <c r="A217" s="322"/>
      <c r="B217" s="322"/>
      <c r="C217" s="322"/>
      <c r="D217" s="322"/>
      <c r="E217" s="322"/>
      <c r="F217" s="322"/>
      <c r="G217" s="322"/>
    </row>
    <row r="218" spans="1:7" x14ac:dyDescent="0.25">
      <c r="A218" s="322"/>
      <c r="B218" s="322"/>
      <c r="C218" s="322"/>
      <c r="D218" s="322"/>
      <c r="E218" s="322"/>
      <c r="F218" s="322"/>
      <c r="G218" s="322"/>
    </row>
    <row r="219" spans="1:7" x14ac:dyDescent="0.25">
      <c r="A219" s="322"/>
      <c r="B219" s="322"/>
      <c r="C219" s="322"/>
      <c r="D219" s="322"/>
      <c r="E219" s="322"/>
      <c r="F219" s="322"/>
      <c r="G219" s="322"/>
    </row>
    <row r="220" spans="1:7" x14ac:dyDescent="0.25">
      <c r="A220" s="322"/>
      <c r="B220" s="322"/>
      <c r="C220" s="322"/>
      <c r="D220" s="322"/>
      <c r="E220" s="322"/>
      <c r="F220" s="322"/>
      <c r="G220" s="322"/>
    </row>
    <row r="221" spans="1:7" x14ac:dyDescent="0.25">
      <c r="A221" s="322"/>
      <c r="B221" s="322"/>
      <c r="C221" s="322"/>
      <c r="D221" s="322"/>
      <c r="E221" s="322"/>
      <c r="F221" s="322"/>
      <c r="G221" s="322"/>
    </row>
    <row r="222" spans="1:7" x14ac:dyDescent="0.25">
      <c r="A222" s="322"/>
      <c r="B222" s="322"/>
      <c r="C222" s="322"/>
      <c r="D222" s="322"/>
      <c r="E222" s="322"/>
      <c r="F222" s="322"/>
      <c r="G222" s="322"/>
    </row>
    <row r="223" spans="1:7" x14ac:dyDescent="0.25">
      <c r="A223" s="322"/>
      <c r="B223" s="322"/>
      <c r="C223" s="322"/>
      <c r="D223" s="322"/>
      <c r="E223" s="322"/>
      <c r="F223" s="322"/>
      <c r="G223" s="322"/>
    </row>
    <row r="224" spans="1:7" x14ac:dyDescent="0.25">
      <c r="A224" s="322"/>
      <c r="B224" s="322"/>
      <c r="C224" s="322"/>
      <c r="D224" s="322"/>
      <c r="E224" s="322"/>
      <c r="F224" s="322"/>
      <c r="G224" s="322"/>
    </row>
    <row r="225" spans="1:7" x14ac:dyDescent="0.25">
      <c r="A225" s="322"/>
      <c r="B225" s="322"/>
      <c r="C225" s="322"/>
      <c r="D225" s="322"/>
      <c r="E225" s="322"/>
      <c r="F225" s="322"/>
      <c r="G225" s="322"/>
    </row>
    <row r="226" spans="1:7" x14ac:dyDescent="0.25">
      <c r="A226" s="322"/>
      <c r="B226" s="322"/>
      <c r="C226" s="322"/>
      <c r="D226" s="322"/>
      <c r="E226" s="322"/>
      <c r="F226" s="322"/>
      <c r="G226" s="322"/>
    </row>
    <row r="227" spans="1:7" x14ac:dyDescent="0.25">
      <c r="A227" s="322"/>
      <c r="B227" s="322"/>
      <c r="C227" s="322"/>
      <c r="D227" s="322"/>
      <c r="E227" s="322"/>
      <c r="F227" s="322"/>
      <c r="G227" s="322"/>
    </row>
    <row r="228" spans="1:7" x14ac:dyDescent="0.25">
      <c r="A228" s="322"/>
      <c r="B228" s="322"/>
      <c r="C228" s="322"/>
      <c r="D228" s="322"/>
      <c r="E228" s="322"/>
      <c r="F228" s="322"/>
      <c r="G228" s="322"/>
    </row>
    <row r="229" spans="1:7" x14ac:dyDescent="0.25">
      <c r="A229" s="322"/>
      <c r="B229" s="322"/>
      <c r="C229" s="322"/>
      <c r="D229" s="322"/>
      <c r="E229" s="322"/>
      <c r="F229" s="322"/>
      <c r="G229" s="322"/>
    </row>
    <row r="230" spans="1:7" x14ac:dyDescent="0.25">
      <c r="A230" s="322"/>
      <c r="B230" s="322"/>
      <c r="C230" s="322"/>
      <c r="D230" s="322"/>
      <c r="E230" s="322"/>
      <c r="F230" s="322"/>
      <c r="G230" s="322"/>
    </row>
    <row r="231" spans="1:7" x14ac:dyDescent="0.25">
      <c r="A231" s="322"/>
      <c r="B231" s="322"/>
      <c r="C231" s="322"/>
      <c r="D231" s="322"/>
      <c r="E231" s="322"/>
      <c r="F231" s="322"/>
      <c r="G231" s="322"/>
    </row>
    <row r="232" spans="1:7" x14ac:dyDescent="0.25">
      <c r="A232" s="322"/>
      <c r="B232" s="322"/>
      <c r="C232" s="322"/>
      <c r="D232" s="322"/>
      <c r="E232" s="322"/>
      <c r="F232" s="322"/>
      <c r="G232" s="322"/>
    </row>
    <row r="233" spans="1:7" x14ac:dyDescent="0.25">
      <c r="A233" s="322"/>
      <c r="B233" s="322"/>
      <c r="C233" s="322"/>
      <c r="D233" s="322"/>
      <c r="E233" s="322"/>
      <c r="F233" s="322"/>
      <c r="G233" s="322"/>
    </row>
    <row r="234" spans="1:7" x14ac:dyDescent="0.25">
      <c r="A234" s="322"/>
      <c r="B234" s="322"/>
      <c r="C234" s="322"/>
      <c r="D234" s="322"/>
      <c r="E234" s="322"/>
      <c r="F234" s="322"/>
      <c r="G234" s="322"/>
    </row>
    <row r="235" spans="1:7" x14ac:dyDescent="0.25">
      <c r="A235" s="322"/>
      <c r="B235" s="322"/>
      <c r="C235" s="322"/>
      <c r="D235" s="322"/>
      <c r="E235" s="322"/>
      <c r="F235" s="322"/>
      <c r="G235" s="322"/>
    </row>
    <row r="236" spans="1:7" x14ac:dyDescent="0.25">
      <c r="A236" s="322"/>
      <c r="B236" s="322"/>
      <c r="C236" s="322"/>
      <c r="D236" s="322"/>
      <c r="E236" s="322"/>
      <c r="F236" s="322"/>
      <c r="G236" s="322"/>
    </row>
    <row r="237" spans="1:7" x14ac:dyDescent="0.25">
      <c r="A237" s="322"/>
      <c r="B237" s="322"/>
      <c r="C237" s="322"/>
      <c r="D237" s="322"/>
      <c r="E237" s="322"/>
      <c r="F237" s="322"/>
      <c r="G237" s="322"/>
    </row>
    <row r="238" spans="1:7" x14ac:dyDescent="0.25">
      <c r="A238" s="322"/>
      <c r="B238" s="322"/>
      <c r="C238" s="322"/>
      <c r="D238" s="322"/>
      <c r="E238" s="322"/>
      <c r="F238" s="322"/>
      <c r="G238" s="322"/>
    </row>
    <row r="239" spans="1:7" x14ac:dyDescent="0.25">
      <c r="A239" s="322"/>
      <c r="B239" s="322"/>
      <c r="C239" s="322"/>
      <c r="D239" s="322"/>
      <c r="E239" s="322"/>
      <c r="F239" s="322"/>
      <c r="G239" s="322"/>
    </row>
    <row r="240" spans="1:7" x14ac:dyDescent="0.25">
      <c r="A240" s="322"/>
      <c r="B240" s="322"/>
      <c r="C240" s="322"/>
      <c r="D240" s="322"/>
      <c r="E240" s="322"/>
      <c r="F240" s="322"/>
      <c r="G240" s="322"/>
    </row>
    <row r="241" spans="1:7" x14ac:dyDescent="0.25">
      <c r="A241" s="322"/>
      <c r="B241" s="322"/>
      <c r="C241" s="322"/>
      <c r="D241" s="322"/>
      <c r="E241" s="322"/>
      <c r="F241" s="322"/>
      <c r="G241" s="322"/>
    </row>
    <row r="242" spans="1:7" x14ac:dyDescent="0.25">
      <c r="A242" s="322"/>
      <c r="B242" s="322"/>
      <c r="C242" s="322"/>
      <c r="D242" s="322"/>
      <c r="E242" s="322"/>
      <c r="F242" s="322"/>
      <c r="G242" s="322"/>
    </row>
    <row r="243" spans="1:7" x14ac:dyDescent="0.25">
      <c r="A243" s="322"/>
      <c r="B243" s="322"/>
      <c r="C243" s="322"/>
      <c r="D243" s="322"/>
      <c r="E243" s="322"/>
      <c r="F243" s="322"/>
      <c r="G243" s="322"/>
    </row>
    <row r="244" spans="1:7" x14ac:dyDescent="0.25">
      <c r="A244" s="322"/>
      <c r="B244" s="322"/>
      <c r="C244" s="322"/>
      <c r="D244" s="322"/>
      <c r="E244" s="322"/>
      <c r="F244" s="322"/>
      <c r="G244" s="322"/>
    </row>
    <row r="245" spans="1:7" x14ac:dyDescent="0.25">
      <c r="A245" s="322"/>
      <c r="B245" s="322"/>
      <c r="C245" s="322"/>
      <c r="D245" s="322"/>
      <c r="E245" s="322"/>
      <c r="F245" s="322"/>
      <c r="G245" s="322"/>
    </row>
    <row r="246" spans="1:7" x14ac:dyDescent="0.25">
      <c r="A246" s="322"/>
      <c r="B246" s="322"/>
      <c r="C246" s="322"/>
      <c r="D246" s="322"/>
      <c r="E246" s="322"/>
      <c r="F246" s="322"/>
      <c r="G246" s="322"/>
    </row>
    <row r="247" spans="1:7" x14ac:dyDescent="0.25">
      <c r="A247" s="322"/>
      <c r="B247" s="322"/>
      <c r="C247" s="322"/>
      <c r="D247" s="322"/>
      <c r="E247" s="322"/>
      <c r="F247" s="322"/>
      <c r="G247" s="322"/>
    </row>
    <row r="248" spans="1:7" x14ac:dyDescent="0.25">
      <c r="A248" s="322"/>
      <c r="B248" s="322"/>
      <c r="C248" s="322"/>
      <c r="D248" s="322"/>
      <c r="E248" s="322"/>
      <c r="F248" s="322"/>
      <c r="G248" s="322"/>
    </row>
    <row r="249" spans="1:7" x14ac:dyDescent="0.25">
      <c r="A249" s="322"/>
      <c r="B249" s="322"/>
      <c r="C249" s="322"/>
      <c r="D249" s="322"/>
      <c r="E249" s="322"/>
      <c r="F249" s="322"/>
      <c r="G249" s="322"/>
    </row>
    <row r="250" spans="1:7" x14ac:dyDescent="0.25">
      <c r="A250" s="322"/>
      <c r="B250" s="322"/>
      <c r="C250" s="322"/>
      <c r="D250" s="322"/>
      <c r="E250" s="322"/>
      <c r="F250" s="322"/>
      <c r="G250" s="322"/>
    </row>
    <row r="251" spans="1:7" x14ac:dyDescent="0.25">
      <c r="A251" s="322"/>
      <c r="B251" s="322"/>
      <c r="C251" s="322"/>
      <c r="D251" s="322"/>
      <c r="E251" s="322"/>
      <c r="F251" s="322"/>
      <c r="G251" s="322"/>
    </row>
    <row r="252" spans="1:7" x14ac:dyDescent="0.25">
      <c r="A252" s="322"/>
      <c r="B252" s="322"/>
      <c r="C252" s="322"/>
      <c r="D252" s="322"/>
      <c r="E252" s="322"/>
      <c r="F252" s="322"/>
      <c r="G252" s="322"/>
    </row>
    <row r="253" spans="1:7" x14ac:dyDescent="0.25">
      <c r="A253" s="322"/>
      <c r="B253" s="322"/>
      <c r="C253" s="322"/>
      <c r="D253" s="322"/>
      <c r="E253" s="322"/>
      <c r="F253" s="322"/>
      <c r="G253" s="322"/>
    </row>
    <row r="254" spans="1:7" x14ac:dyDescent="0.25">
      <c r="A254" s="322"/>
      <c r="B254" s="322"/>
      <c r="C254" s="322"/>
      <c r="D254" s="322"/>
      <c r="E254" s="322"/>
      <c r="F254" s="322"/>
      <c r="G254" s="322"/>
    </row>
    <row r="255" spans="1:7" x14ac:dyDescent="0.25">
      <c r="A255" s="322"/>
      <c r="B255" s="322"/>
      <c r="C255" s="322"/>
      <c r="D255" s="322"/>
      <c r="E255" s="322"/>
      <c r="F255" s="322"/>
      <c r="G255" s="322"/>
    </row>
    <row r="256" spans="1:7" x14ac:dyDescent="0.25">
      <c r="A256" s="322"/>
      <c r="B256" s="322"/>
      <c r="C256" s="322"/>
      <c r="D256" s="322"/>
      <c r="E256" s="322"/>
      <c r="F256" s="322"/>
      <c r="G256" s="322"/>
    </row>
    <row r="257" spans="1:7" x14ac:dyDescent="0.25">
      <c r="A257" s="322"/>
      <c r="B257" s="322"/>
      <c r="C257" s="322"/>
      <c r="D257" s="322"/>
      <c r="E257" s="322"/>
      <c r="F257" s="322"/>
      <c r="G257" s="322"/>
    </row>
    <row r="258" spans="1:7" x14ac:dyDescent="0.25">
      <c r="A258" s="322"/>
      <c r="B258" s="322"/>
      <c r="C258" s="322"/>
      <c r="D258" s="322"/>
      <c r="E258" s="322"/>
      <c r="F258" s="322"/>
      <c r="G258" s="322"/>
    </row>
    <row r="259" spans="1:7" x14ac:dyDescent="0.25">
      <c r="A259" s="322"/>
      <c r="B259" s="322"/>
      <c r="C259" s="322"/>
      <c r="D259" s="322"/>
      <c r="E259" s="322"/>
      <c r="F259" s="322"/>
      <c r="G259" s="322"/>
    </row>
    <row r="260" spans="1:7" x14ac:dyDescent="0.25">
      <c r="A260" s="322"/>
      <c r="B260" s="322"/>
      <c r="C260" s="322"/>
      <c r="D260" s="322"/>
      <c r="E260" s="322"/>
      <c r="F260" s="322"/>
      <c r="G260" s="322"/>
    </row>
    <row r="261" spans="1:7" x14ac:dyDescent="0.25">
      <c r="A261" s="322"/>
      <c r="B261" s="322"/>
      <c r="C261" s="322"/>
      <c r="D261" s="322"/>
      <c r="E261" s="322"/>
      <c r="F261" s="322"/>
      <c r="G261" s="322"/>
    </row>
    <row r="262" spans="1:7" x14ac:dyDescent="0.25">
      <c r="A262" s="322"/>
      <c r="B262" s="322"/>
      <c r="C262" s="322"/>
      <c r="D262" s="322"/>
      <c r="E262" s="322"/>
      <c r="F262" s="322"/>
      <c r="G262" s="322"/>
    </row>
    <row r="263" spans="1:7" x14ac:dyDescent="0.25">
      <c r="A263" s="322"/>
      <c r="B263" s="322"/>
      <c r="C263" s="322"/>
      <c r="D263" s="322"/>
      <c r="E263" s="322"/>
      <c r="F263" s="322"/>
      <c r="G263" s="322"/>
    </row>
    <row r="264" spans="1:7" x14ac:dyDescent="0.25">
      <c r="A264" s="322"/>
      <c r="B264" s="322"/>
      <c r="C264" s="322"/>
      <c r="D264" s="322"/>
      <c r="E264" s="322"/>
      <c r="F264" s="322"/>
      <c r="G264" s="322"/>
    </row>
    <row r="265" spans="1:7" x14ac:dyDescent="0.25">
      <c r="A265" s="322"/>
      <c r="B265" s="322"/>
      <c r="C265" s="322"/>
      <c r="D265" s="322"/>
      <c r="E265" s="322"/>
      <c r="F265" s="322"/>
      <c r="G265" s="322"/>
    </row>
    <row r="266" spans="1:7" x14ac:dyDescent="0.25">
      <c r="A266" s="322"/>
      <c r="B266" s="322"/>
      <c r="C266" s="322"/>
      <c r="D266" s="322"/>
      <c r="E266" s="322"/>
      <c r="F266" s="322"/>
      <c r="G266" s="322"/>
    </row>
    <row r="267" spans="1:7" x14ac:dyDescent="0.25">
      <c r="A267" s="322"/>
      <c r="B267" s="322"/>
      <c r="C267" s="322"/>
      <c r="D267" s="322"/>
      <c r="E267" s="322"/>
      <c r="F267" s="322"/>
      <c r="G267" s="322"/>
    </row>
    <row r="268" spans="1:7" x14ac:dyDescent="0.25">
      <c r="A268" s="322"/>
      <c r="B268" s="322"/>
      <c r="C268" s="322"/>
      <c r="D268" s="322"/>
      <c r="E268" s="322"/>
      <c r="F268" s="322"/>
      <c r="G268" s="322"/>
    </row>
    <row r="269" spans="1:7" x14ac:dyDescent="0.25">
      <c r="A269" s="322"/>
      <c r="B269" s="322"/>
      <c r="C269" s="322"/>
      <c r="D269" s="322"/>
      <c r="E269" s="322"/>
      <c r="F269" s="322"/>
      <c r="G269" s="322"/>
    </row>
    <row r="270" spans="1:7" x14ac:dyDescent="0.25">
      <c r="A270" s="322"/>
      <c r="B270" s="322"/>
      <c r="C270" s="322"/>
      <c r="D270" s="322"/>
      <c r="E270" s="322"/>
      <c r="F270" s="322"/>
      <c r="G270" s="322"/>
    </row>
    <row r="271" spans="1:7" x14ac:dyDescent="0.25">
      <c r="A271" s="322"/>
      <c r="B271" s="322"/>
      <c r="C271" s="322"/>
      <c r="D271" s="322"/>
      <c r="E271" s="322"/>
      <c r="F271" s="322"/>
      <c r="G271" s="322"/>
    </row>
    <row r="272" spans="1:7" x14ac:dyDescent="0.25">
      <c r="A272" s="322"/>
      <c r="B272" s="322"/>
      <c r="C272" s="322"/>
      <c r="D272" s="322"/>
      <c r="E272" s="322"/>
      <c r="F272" s="322"/>
      <c r="G272" s="322"/>
    </row>
    <row r="273" spans="1:7" x14ac:dyDescent="0.25">
      <c r="A273" s="322"/>
      <c r="B273" s="322"/>
      <c r="C273" s="322"/>
      <c r="D273" s="322"/>
      <c r="E273" s="322"/>
      <c r="F273" s="322"/>
      <c r="G273" s="322"/>
    </row>
    <row r="274" spans="1:7" x14ac:dyDescent="0.25">
      <c r="A274" s="322"/>
      <c r="B274" s="322"/>
      <c r="C274" s="322"/>
      <c r="D274" s="322"/>
      <c r="E274" s="322"/>
      <c r="F274" s="322"/>
      <c r="G274" s="322"/>
    </row>
    <row r="275" spans="1:7" x14ac:dyDescent="0.25">
      <c r="A275" s="322"/>
      <c r="B275" s="322"/>
      <c r="C275" s="322"/>
      <c r="D275" s="322"/>
      <c r="E275" s="322"/>
      <c r="F275" s="322"/>
      <c r="G275" s="322"/>
    </row>
    <row r="276" spans="1:7" x14ac:dyDescent="0.25">
      <c r="A276" s="322"/>
      <c r="B276" s="322"/>
      <c r="C276" s="322"/>
      <c r="D276" s="322"/>
      <c r="E276" s="322"/>
      <c r="F276" s="322"/>
      <c r="G276" s="322"/>
    </row>
    <row r="277" spans="1:7" x14ac:dyDescent="0.25">
      <c r="A277" s="322"/>
      <c r="B277" s="322"/>
      <c r="C277" s="322"/>
      <c r="D277" s="322"/>
      <c r="E277" s="322"/>
      <c r="F277" s="322"/>
      <c r="G277" s="322"/>
    </row>
    <row r="278" spans="1:7" x14ac:dyDescent="0.25">
      <c r="A278" s="322"/>
      <c r="B278" s="322"/>
      <c r="C278" s="322"/>
      <c r="D278" s="322"/>
      <c r="E278" s="322"/>
      <c r="F278" s="322"/>
      <c r="G278" s="322"/>
    </row>
    <row r="279" spans="1:7" x14ac:dyDescent="0.25">
      <c r="A279" s="322"/>
      <c r="B279" s="322"/>
      <c r="C279" s="322"/>
      <c r="D279" s="322"/>
      <c r="E279" s="322"/>
      <c r="F279" s="322"/>
      <c r="G279" s="322"/>
    </row>
    <row r="280" spans="1:7" x14ac:dyDescent="0.25">
      <c r="A280" s="322"/>
      <c r="B280" s="322"/>
      <c r="C280" s="322"/>
      <c r="D280" s="322"/>
      <c r="E280" s="322"/>
      <c r="F280" s="322"/>
      <c r="G280" s="322"/>
    </row>
    <row r="281" spans="1:7" x14ac:dyDescent="0.25">
      <c r="A281" s="322"/>
      <c r="B281" s="322"/>
      <c r="C281" s="322"/>
      <c r="D281" s="322"/>
      <c r="E281" s="322"/>
      <c r="F281" s="322"/>
      <c r="G281" s="322"/>
    </row>
    <row r="282" spans="1:7" x14ac:dyDescent="0.25">
      <c r="A282" s="322"/>
      <c r="B282" s="322"/>
      <c r="C282" s="322"/>
      <c r="D282" s="322"/>
      <c r="E282" s="322"/>
      <c r="F282" s="322"/>
      <c r="G282" s="322"/>
    </row>
    <row r="283" spans="1:7" x14ac:dyDescent="0.25">
      <c r="A283" s="322"/>
      <c r="B283" s="322"/>
      <c r="C283" s="322"/>
      <c r="D283" s="322"/>
      <c r="E283" s="322"/>
      <c r="F283" s="322"/>
      <c r="G283" s="322"/>
    </row>
    <row r="284" spans="1:7" x14ac:dyDescent="0.25">
      <c r="A284" s="322"/>
      <c r="B284" s="322"/>
      <c r="C284" s="322"/>
      <c r="D284" s="322"/>
      <c r="E284" s="322"/>
      <c r="F284" s="322"/>
      <c r="G284" s="322"/>
    </row>
    <row r="285" spans="1:7" x14ac:dyDescent="0.25">
      <c r="A285" s="322"/>
      <c r="B285" s="322"/>
      <c r="C285" s="322"/>
      <c r="D285" s="322"/>
      <c r="E285" s="322"/>
      <c r="F285" s="322"/>
      <c r="G285" s="322"/>
    </row>
    <row r="286" spans="1:7" x14ac:dyDescent="0.25">
      <c r="A286" s="322"/>
      <c r="B286" s="322"/>
      <c r="C286" s="322"/>
      <c r="D286" s="322"/>
      <c r="E286" s="322"/>
      <c r="F286" s="322"/>
      <c r="G286" s="322"/>
    </row>
    <row r="287" spans="1:7" x14ac:dyDescent="0.25">
      <c r="A287" s="322"/>
      <c r="B287" s="322"/>
      <c r="C287" s="322"/>
      <c r="D287" s="322"/>
      <c r="E287" s="322"/>
      <c r="F287" s="322"/>
      <c r="G287" s="322"/>
    </row>
    <row r="288" spans="1:7" x14ac:dyDescent="0.25">
      <c r="A288" s="322"/>
      <c r="B288" s="322"/>
      <c r="C288" s="322"/>
      <c r="D288" s="322"/>
      <c r="E288" s="322"/>
      <c r="F288" s="322"/>
      <c r="G288" s="322"/>
    </row>
    <row r="289" spans="1:7" x14ac:dyDescent="0.25">
      <c r="A289" s="322"/>
      <c r="B289" s="322"/>
      <c r="C289" s="322"/>
      <c r="D289" s="322"/>
      <c r="E289" s="322"/>
      <c r="F289" s="322"/>
      <c r="G289" s="322"/>
    </row>
    <row r="290" spans="1:7" x14ac:dyDescent="0.25">
      <c r="A290" s="322"/>
      <c r="B290" s="322"/>
      <c r="C290" s="322"/>
      <c r="D290" s="322"/>
      <c r="E290" s="322"/>
      <c r="F290" s="322"/>
      <c r="G290" s="322"/>
    </row>
    <row r="291" spans="1:7" x14ac:dyDescent="0.25">
      <c r="A291" s="322"/>
      <c r="B291" s="322"/>
      <c r="C291" s="322"/>
      <c r="D291" s="322"/>
      <c r="E291" s="322"/>
      <c r="F291" s="322"/>
      <c r="G291" s="322"/>
    </row>
    <row r="292" spans="1:7" x14ac:dyDescent="0.25">
      <c r="A292" s="322"/>
      <c r="B292" s="322"/>
      <c r="C292" s="322"/>
      <c r="D292" s="322"/>
      <c r="E292" s="322"/>
      <c r="F292" s="322"/>
      <c r="G292" s="322"/>
    </row>
    <row r="293" spans="1:7" x14ac:dyDescent="0.25">
      <c r="A293" s="322"/>
      <c r="B293" s="322"/>
      <c r="C293" s="322"/>
      <c r="D293" s="322"/>
      <c r="E293" s="322"/>
      <c r="F293" s="322"/>
      <c r="G293" s="322"/>
    </row>
    <row r="294" spans="1:7" x14ac:dyDescent="0.25">
      <c r="A294" s="322"/>
      <c r="B294" s="322"/>
      <c r="C294" s="322"/>
      <c r="D294" s="322"/>
      <c r="E294" s="322"/>
      <c r="F294" s="322"/>
      <c r="G294" s="322"/>
    </row>
    <row r="295" spans="1:7" x14ac:dyDescent="0.25">
      <c r="A295" s="322"/>
      <c r="B295" s="322"/>
      <c r="C295" s="322"/>
      <c r="D295" s="322"/>
      <c r="E295" s="322"/>
      <c r="F295" s="322"/>
      <c r="G295" s="322"/>
    </row>
    <row r="296" spans="1:7" x14ac:dyDescent="0.25">
      <c r="A296" s="322"/>
      <c r="B296" s="322"/>
      <c r="C296" s="322"/>
      <c r="D296" s="322"/>
      <c r="E296" s="322"/>
      <c r="F296" s="322"/>
      <c r="G296" s="322"/>
    </row>
    <row r="297" spans="1:7" x14ac:dyDescent="0.25">
      <c r="A297" s="322"/>
      <c r="B297" s="322"/>
      <c r="C297" s="322"/>
      <c r="D297" s="322"/>
      <c r="E297" s="322"/>
      <c r="F297" s="322"/>
      <c r="G297" s="322"/>
    </row>
    <row r="298" spans="1:7" x14ac:dyDescent="0.25">
      <c r="A298" s="322"/>
      <c r="B298" s="322"/>
      <c r="C298" s="322"/>
      <c r="D298" s="322"/>
      <c r="E298" s="322"/>
      <c r="F298" s="322"/>
      <c r="G298" s="322"/>
    </row>
    <row r="299" spans="1:7" x14ac:dyDescent="0.25">
      <c r="A299" s="322"/>
      <c r="B299" s="322"/>
      <c r="C299" s="322"/>
      <c r="D299" s="322"/>
      <c r="E299" s="322"/>
      <c r="F299" s="322"/>
      <c r="G299" s="322"/>
    </row>
    <row r="300" spans="1:7" x14ac:dyDescent="0.25">
      <c r="A300" s="322"/>
      <c r="B300" s="322"/>
      <c r="C300" s="322"/>
      <c r="D300" s="322"/>
      <c r="E300" s="322"/>
      <c r="F300" s="322"/>
      <c r="G300" s="322"/>
    </row>
    <row r="301" spans="1:7" x14ac:dyDescent="0.25">
      <c r="A301" s="322"/>
      <c r="B301" s="322"/>
      <c r="C301" s="322"/>
      <c r="D301" s="322"/>
      <c r="E301" s="322"/>
      <c r="F301" s="322"/>
      <c r="G301" s="322"/>
    </row>
    <row r="302" spans="1:7" x14ac:dyDescent="0.25">
      <c r="A302" s="322"/>
      <c r="B302" s="322"/>
      <c r="C302" s="322"/>
      <c r="D302" s="322"/>
      <c r="E302" s="322"/>
      <c r="F302" s="322"/>
      <c r="G302" s="322"/>
    </row>
    <row r="303" spans="1:7" x14ac:dyDescent="0.25">
      <c r="A303" s="322"/>
      <c r="B303" s="322"/>
      <c r="C303" s="322"/>
      <c r="D303" s="322"/>
      <c r="E303" s="322"/>
      <c r="F303" s="322"/>
      <c r="G303" s="322"/>
    </row>
    <row r="304" spans="1:7" x14ac:dyDescent="0.25">
      <c r="A304" s="322"/>
      <c r="B304" s="322"/>
      <c r="C304" s="322"/>
      <c r="D304" s="322"/>
      <c r="E304" s="322"/>
      <c r="F304" s="322"/>
      <c r="G304" s="322"/>
    </row>
    <row r="305" spans="1:7" x14ac:dyDescent="0.25">
      <c r="A305" s="322"/>
      <c r="B305" s="322"/>
      <c r="C305" s="322"/>
      <c r="D305" s="322"/>
      <c r="E305" s="322"/>
      <c r="F305" s="322"/>
      <c r="G305" s="322"/>
    </row>
    <row r="306" spans="1:7" x14ac:dyDescent="0.25">
      <c r="A306" s="322"/>
      <c r="B306" s="322"/>
      <c r="C306" s="322"/>
      <c r="D306" s="322"/>
      <c r="E306" s="322"/>
      <c r="F306" s="322"/>
      <c r="G306" s="322"/>
    </row>
    <row r="307" spans="1:7" x14ac:dyDescent="0.25">
      <c r="A307" s="322"/>
      <c r="B307" s="322"/>
      <c r="C307" s="322"/>
      <c r="D307" s="322"/>
      <c r="E307" s="322"/>
      <c r="F307" s="322"/>
      <c r="G307" s="322"/>
    </row>
    <row r="308" spans="1:7" x14ac:dyDescent="0.25">
      <c r="A308" s="322"/>
      <c r="B308" s="322"/>
      <c r="C308" s="322"/>
      <c r="D308" s="322"/>
      <c r="E308" s="322"/>
      <c r="F308" s="322"/>
      <c r="G308" s="322"/>
    </row>
    <row r="309" spans="1:7" x14ac:dyDescent="0.25">
      <c r="A309" s="322"/>
      <c r="B309" s="322"/>
      <c r="C309" s="322"/>
      <c r="D309" s="322"/>
      <c r="E309" s="322"/>
      <c r="F309" s="322"/>
      <c r="G309" s="322"/>
    </row>
    <row r="310" spans="1:7" x14ac:dyDescent="0.25">
      <c r="A310" s="322"/>
      <c r="B310" s="322"/>
      <c r="C310" s="322"/>
      <c r="D310" s="322"/>
      <c r="E310" s="322"/>
      <c r="F310" s="322"/>
      <c r="G310" s="322"/>
    </row>
    <row r="311" spans="1:7" x14ac:dyDescent="0.25">
      <c r="A311" s="322"/>
      <c r="B311" s="322"/>
      <c r="C311" s="322"/>
      <c r="D311" s="322"/>
      <c r="E311" s="322"/>
      <c r="F311" s="322"/>
      <c r="G311" s="322"/>
    </row>
    <row r="312" spans="1:7" x14ac:dyDescent="0.25">
      <c r="A312" s="322"/>
      <c r="B312" s="322"/>
      <c r="C312" s="322"/>
      <c r="D312" s="322"/>
      <c r="E312" s="322"/>
      <c r="F312" s="322"/>
      <c r="G312" s="322"/>
    </row>
    <row r="313" spans="1:7" x14ac:dyDescent="0.25">
      <c r="A313" s="322"/>
      <c r="B313" s="322"/>
      <c r="C313" s="322"/>
      <c r="D313" s="322"/>
      <c r="E313" s="322"/>
      <c r="F313" s="322"/>
      <c r="G313" s="322"/>
    </row>
    <row r="314" spans="1:7" x14ac:dyDescent="0.25">
      <c r="A314" s="322"/>
      <c r="B314" s="322"/>
      <c r="C314" s="322"/>
      <c r="D314" s="322"/>
      <c r="E314" s="322"/>
      <c r="F314" s="322"/>
      <c r="G314" s="322"/>
    </row>
    <row r="315" spans="1:7" x14ac:dyDescent="0.25">
      <c r="A315" s="322"/>
      <c r="B315" s="322"/>
      <c r="C315" s="322"/>
      <c r="D315" s="322"/>
      <c r="E315" s="322"/>
      <c r="F315" s="322"/>
      <c r="G315" s="322"/>
    </row>
    <row r="316" spans="1:7" x14ac:dyDescent="0.25">
      <c r="A316" s="322"/>
      <c r="B316" s="322"/>
      <c r="C316" s="322"/>
      <c r="D316" s="322"/>
      <c r="E316" s="322"/>
      <c r="F316" s="322"/>
      <c r="G316" s="322"/>
    </row>
    <row r="317" spans="1:7" x14ac:dyDescent="0.25">
      <c r="A317" s="322"/>
      <c r="B317" s="322"/>
      <c r="C317" s="322"/>
      <c r="D317" s="322"/>
      <c r="E317" s="322"/>
      <c r="F317" s="322"/>
      <c r="G317" s="322"/>
    </row>
    <row r="318" spans="1:7" x14ac:dyDescent="0.25">
      <c r="A318" s="322"/>
      <c r="B318" s="322"/>
      <c r="C318" s="322"/>
      <c r="D318" s="322"/>
      <c r="E318" s="322"/>
      <c r="F318" s="322"/>
      <c r="G318" s="322"/>
    </row>
    <row r="319" spans="1:7" x14ac:dyDescent="0.25">
      <c r="A319" s="322"/>
      <c r="B319" s="322"/>
      <c r="C319" s="322"/>
      <c r="D319" s="322"/>
      <c r="E319" s="322"/>
      <c r="F319" s="322"/>
      <c r="G319" s="322"/>
    </row>
    <row r="320" spans="1:7" x14ac:dyDescent="0.25">
      <c r="A320" s="322"/>
      <c r="B320" s="322"/>
      <c r="C320" s="322"/>
      <c r="D320" s="322"/>
      <c r="E320" s="322"/>
      <c r="F320" s="322"/>
      <c r="G320" s="322"/>
    </row>
    <row r="321" spans="1:7" x14ac:dyDescent="0.25">
      <c r="A321" s="322"/>
      <c r="B321" s="322"/>
      <c r="C321" s="322"/>
      <c r="D321" s="322"/>
      <c r="E321" s="322"/>
      <c r="F321" s="322"/>
      <c r="G321" s="322"/>
    </row>
    <row r="322" spans="1:7" x14ac:dyDescent="0.25">
      <c r="A322" s="322"/>
      <c r="B322" s="322"/>
      <c r="C322" s="322"/>
      <c r="D322" s="322"/>
      <c r="E322" s="322"/>
      <c r="F322" s="322"/>
      <c r="G322" s="322"/>
    </row>
    <row r="323" spans="1:7" x14ac:dyDescent="0.25">
      <c r="A323" s="322"/>
      <c r="B323" s="322"/>
      <c r="C323" s="322"/>
      <c r="D323" s="322"/>
      <c r="E323" s="322"/>
      <c r="F323" s="322"/>
      <c r="G323" s="322"/>
    </row>
    <row r="324" spans="1:7" x14ac:dyDescent="0.25">
      <c r="A324" s="322"/>
      <c r="B324" s="322"/>
      <c r="C324" s="322"/>
      <c r="D324" s="322"/>
      <c r="E324" s="322"/>
      <c r="F324" s="322"/>
      <c r="G324" s="322"/>
    </row>
    <row r="325" spans="1:7" x14ac:dyDescent="0.25">
      <c r="A325" s="322"/>
      <c r="B325" s="322"/>
      <c r="C325" s="322"/>
      <c r="D325" s="322"/>
      <c r="E325" s="322"/>
      <c r="F325" s="322"/>
      <c r="G325" s="322"/>
    </row>
    <row r="326" spans="1:7" x14ac:dyDescent="0.25">
      <c r="A326" s="322"/>
      <c r="B326" s="322"/>
      <c r="C326" s="322"/>
      <c r="D326" s="322"/>
      <c r="E326" s="322"/>
      <c r="F326" s="322"/>
      <c r="G326" s="322"/>
    </row>
    <row r="327" spans="1:7" x14ac:dyDescent="0.25">
      <c r="A327" s="322"/>
      <c r="B327" s="322"/>
      <c r="C327" s="322"/>
      <c r="D327" s="322"/>
      <c r="E327" s="322"/>
      <c r="F327" s="322"/>
      <c r="G327" s="322"/>
    </row>
    <row r="328" spans="1:7" x14ac:dyDescent="0.25">
      <c r="A328" s="322"/>
      <c r="B328" s="322"/>
      <c r="C328" s="322"/>
      <c r="D328" s="322"/>
      <c r="E328" s="322"/>
      <c r="F328" s="322"/>
      <c r="G328" s="322"/>
    </row>
    <row r="329" spans="1:7" x14ac:dyDescent="0.25">
      <c r="A329" s="322"/>
      <c r="B329" s="322"/>
      <c r="C329" s="322"/>
      <c r="D329" s="322"/>
      <c r="E329" s="322"/>
      <c r="F329" s="322"/>
      <c r="G329" s="322"/>
    </row>
    <row r="330" spans="1:7" x14ac:dyDescent="0.25">
      <c r="A330" s="322"/>
      <c r="B330" s="322"/>
      <c r="C330" s="322"/>
      <c r="D330" s="322"/>
      <c r="E330" s="322"/>
      <c r="F330" s="322"/>
      <c r="G330" s="322"/>
    </row>
    <row r="331" spans="1:7" x14ac:dyDescent="0.25">
      <c r="A331" s="322"/>
      <c r="B331" s="322"/>
      <c r="C331" s="322"/>
      <c r="D331" s="322"/>
      <c r="E331" s="322"/>
      <c r="F331" s="322"/>
      <c r="G331" s="322"/>
    </row>
    <row r="332" spans="1:7" x14ac:dyDescent="0.25">
      <c r="A332" s="322"/>
      <c r="B332" s="322"/>
      <c r="C332" s="322"/>
      <c r="D332" s="322"/>
      <c r="E332" s="322"/>
      <c r="F332" s="322"/>
      <c r="G332" s="322"/>
    </row>
    <row r="333" spans="1:7" x14ac:dyDescent="0.25">
      <c r="A333" s="322"/>
      <c r="B333" s="322"/>
      <c r="C333" s="322"/>
      <c r="D333" s="322"/>
      <c r="E333" s="322"/>
      <c r="F333" s="322"/>
      <c r="G333" s="322"/>
    </row>
    <row r="334" spans="1:7" x14ac:dyDescent="0.25">
      <c r="A334" s="322"/>
      <c r="B334" s="322"/>
      <c r="C334" s="322"/>
      <c r="D334" s="322"/>
      <c r="E334" s="322"/>
      <c r="F334" s="322"/>
      <c r="G334" s="322"/>
    </row>
    <row r="335" spans="1:7" x14ac:dyDescent="0.25">
      <c r="A335" s="322"/>
      <c r="B335" s="322"/>
      <c r="C335" s="322"/>
      <c r="D335" s="322"/>
      <c r="E335" s="322"/>
      <c r="F335" s="322"/>
      <c r="G335" s="322"/>
    </row>
    <row r="336" spans="1:7" x14ac:dyDescent="0.25">
      <c r="A336" s="322"/>
      <c r="B336" s="322"/>
      <c r="C336" s="322"/>
      <c r="D336" s="322"/>
      <c r="E336" s="322"/>
      <c r="F336" s="322"/>
      <c r="G336" s="322"/>
    </row>
    <row r="337" spans="1:7" x14ac:dyDescent="0.25">
      <c r="A337" s="322"/>
      <c r="B337" s="322"/>
      <c r="C337" s="322"/>
      <c r="D337" s="322"/>
      <c r="E337" s="322"/>
      <c r="F337" s="322"/>
      <c r="G337" s="322"/>
    </row>
    <row r="338" spans="1:7" x14ac:dyDescent="0.25">
      <c r="A338" s="322"/>
      <c r="B338" s="322"/>
      <c r="C338" s="322"/>
      <c r="D338" s="322"/>
      <c r="E338" s="322"/>
      <c r="F338" s="322"/>
      <c r="G338" s="322"/>
    </row>
    <row r="339" spans="1:7" x14ac:dyDescent="0.25">
      <c r="A339" s="322"/>
      <c r="B339" s="322"/>
      <c r="C339" s="322"/>
      <c r="D339" s="322"/>
      <c r="E339" s="322"/>
      <c r="F339" s="322"/>
      <c r="G339" s="322"/>
    </row>
    <row r="340" spans="1:7" x14ac:dyDescent="0.25">
      <c r="A340" s="322"/>
      <c r="B340" s="322"/>
      <c r="C340" s="322"/>
      <c r="D340" s="322"/>
      <c r="E340" s="322"/>
      <c r="F340" s="322"/>
      <c r="G340" s="322"/>
    </row>
    <row r="341" spans="1:7" x14ac:dyDescent="0.25">
      <c r="A341" s="322"/>
      <c r="B341" s="322"/>
      <c r="C341" s="322"/>
      <c r="D341" s="322"/>
      <c r="E341" s="322"/>
      <c r="F341" s="322"/>
      <c r="G341" s="322"/>
    </row>
    <row r="342" spans="1:7" x14ac:dyDescent="0.25">
      <c r="A342" s="322"/>
      <c r="B342" s="322"/>
      <c r="C342" s="322"/>
      <c r="D342" s="322"/>
      <c r="E342" s="322"/>
      <c r="F342" s="322"/>
      <c r="G342" s="322"/>
    </row>
    <row r="343" spans="1:7" x14ac:dyDescent="0.25">
      <c r="A343" s="322"/>
      <c r="B343" s="322"/>
      <c r="C343" s="322"/>
      <c r="D343" s="322"/>
      <c r="E343" s="322"/>
      <c r="F343" s="322"/>
      <c r="G343" s="322"/>
    </row>
    <row r="344" spans="1:7" x14ac:dyDescent="0.25">
      <c r="A344" s="322"/>
      <c r="B344" s="322"/>
      <c r="C344" s="322"/>
      <c r="D344" s="322"/>
      <c r="E344" s="322"/>
      <c r="F344" s="322"/>
      <c r="G344" s="322"/>
    </row>
    <row r="345" spans="1:7" x14ac:dyDescent="0.25">
      <c r="A345" s="322"/>
      <c r="B345" s="322"/>
      <c r="C345" s="322"/>
      <c r="D345" s="322"/>
      <c r="E345" s="322"/>
      <c r="F345" s="322"/>
      <c r="G345" s="322"/>
    </row>
    <row r="346" spans="1:7" x14ac:dyDescent="0.25">
      <c r="A346" s="322"/>
      <c r="B346" s="322"/>
      <c r="C346" s="322"/>
      <c r="D346" s="322"/>
      <c r="E346" s="322"/>
      <c r="F346" s="322"/>
      <c r="G346" s="322"/>
    </row>
    <row r="347" spans="1:7" x14ac:dyDescent="0.25">
      <c r="A347" s="322"/>
      <c r="B347" s="322"/>
      <c r="C347" s="322"/>
      <c r="D347" s="322"/>
      <c r="E347" s="322"/>
      <c r="F347" s="322"/>
      <c r="G347" s="322"/>
    </row>
    <row r="348" spans="1:7" x14ac:dyDescent="0.25">
      <c r="A348" s="322"/>
      <c r="B348" s="322"/>
      <c r="C348" s="322"/>
      <c r="D348" s="322"/>
      <c r="E348" s="322"/>
      <c r="F348" s="322"/>
      <c r="G348" s="322"/>
    </row>
    <row r="349" spans="1:7" x14ac:dyDescent="0.25">
      <c r="A349" s="322"/>
      <c r="B349" s="322"/>
      <c r="C349" s="322"/>
      <c r="D349" s="322"/>
      <c r="E349" s="322"/>
      <c r="F349" s="322"/>
      <c r="G349" s="322"/>
    </row>
    <row r="350" spans="1:7" x14ac:dyDescent="0.25">
      <c r="A350" s="322"/>
      <c r="B350" s="322"/>
      <c r="C350" s="322"/>
      <c r="D350" s="322"/>
      <c r="E350" s="322"/>
      <c r="F350" s="322"/>
      <c r="G350" s="322"/>
    </row>
    <row r="351" spans="1:7" x14ac:dyDescent="0.25">
      <c r="A351" s="322"/>
      <c r="B351" s="322"/>
      <c r="C351" s="322"/>
      <c r="D351" s="322"/>
      <c r="E351" s="322"/>
      <c r="F351" s="322"/>
      <c r="G351" s="322"/>
    </row>
    <row r="352" spans="1:7" x14ac:dyDescent="0.25">
      <c r="A352" s="322"/>
      <c r="B352" s="322"/>
      <c r="C352" s="322"/>
      <c r="D352" s="322"/>
      <c r="E352" s="322"/>
      <c r="F352" s="322"/>
      <c r="G352" s="322"/>
    </row>
    <row r="353" spans="1:7" x14ac:dyDescent="0.25">
      <c r="A353" s="322"/>
      <c r="B353" s="322"/>
      <c r="C353" s="322"/>
      <c r="D353" s="322"/>
      <c r="E353" s="322"/>
      <c r="F353" s="322"/>
      <c r="G353" s="322"/>
    </row>
    <row r="354" spans="1:7" x14ac:dyDescent="0.25">
      <c r="A354" s="322"/>
      <c r="B354" s="322"/>
      <c r="D354" s="322"/>
      <c r="E354" s="322"/>
      <c r="F354" s="322"/>
      <c r="G354" s="322"/>
    </row>
  </sheetData>
  <conditionalFormatting sqref="J23">
    <cfRule type="expression" dxfId="1" priority="2">
      <formula>$O$10="Annual Inputs"</formula>
    </cfRule>
  </conditionalFormatting>
  <conditionalFormatting sqref="J24:J109">
    <cfRule type="expression" dxfId="0" priority="1">
      <formula>$O$10="Annual Inputs"</formula>
    </cfRule>
  </conditionalFormatting>
  <dataValidations count="2">
    <dataValidation allowBlank="1" showInputMessage="1" showErrorMessage="1" sqref="G24 G35 E35 E24 C23 C34"/>
    <dataValidation type="list" allowBlank="1" showInputMessage="1" showErrorMessage="1" sqref="D120:E124 C114:C117 B115:B118 D115:E118 C109:C112 B110:B113 D110:E113 C95:C96 B96:B97 C92:C93 B93:B94 C104:C107 B105:B108 D105:E108 C119:C123">
      <formula1>"Yes,No"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76"/>
  <sheetViews>
    <sheetView zoomScale="90" zoomScaleNormal="90" workbookViewId="0">
      <pane xSplit="1" ySplit="2" topLeftCell="B81" activePane="bottomRight" state="frozen"/>
      <selection pane="topRight" activeCell="B1" sqref="B1"/>
      <selection pane="bottomLeft" activeCell="A3" sqref="A3"/>
      <selection pane="bottomRight" activeCell="B107" sqref="B107"/>
    </sheetView>
  </sheetViews>
  <sheetFormatPr defaultRowHeight="12.75" x14ac:dyDescent="0.2"/>
  <cols>
    <col min="1" max="1" width="41.28515625" style="17" customWidth="1"/>
    <col min="2" max="2" width="14.85546875" style="17" customWidth="1"/>
    <col min="3" max="3" width="12.5703125" style="17" customWidth="1"/>
    <col min="4" max="9" width="11.5703125" style="17" customWidth="1"/>
    <col min="10" max="10" width="12.7109375" style="17" customWidth="1"/>
    <col min="11" max="31" width="11.5703125" style="17" customWidth="1"/>
    <col min="32" max="32" width="11.42578125" style="17" customWidth="1"/>
    <col min="33" max="42" width="11.5703125" style="17" customWidth="1"/>
    <col min="43" max="16384" width="9.140625" style="17"/>
  </cols>
  <sheetData>
    <row r="1" spans="1:42" ht="21" x14ac:dyDescent="0.35">
      <c r="A1" s="42" t="s">
        <v>5</v>
      </c>
    </row>
    <row r="2" spans="1:42" x14ac:dyDescent="0.2">
      <c r="A2" s="17" t="s">
        <v>6</v>
      </c>
      <c r="B2" s="43">
        <v>0</v>
      </c>
      <c r="C2" s="43">
        <f>B2+1</f>
        <v>1</v>
      </c>
      <c r="D2" s="43">
        <f t="shared" ref="D2:AP2" si="0">C2+1</f>
        <v>2</v>
      </c>
      <c r="E2" s="43">
        <f t="shared" si="0"/>
        <v>3</v>
      </c>
      <c r="F2" s="43">
        <f t="shared" si="0"/>
        <v>4</v>
      </c>
      <c r="G2" s="43">
        <f t="shared" si="0"/>
        <v>5</v>
      </c>
      <c r="H2" s="43">
        <f t="shared" si="0"/>
        <v>6</v>
      </c>
      <c r="I2" s="43">
        <f t="shared" si="0"/>
        <v>7</v>
      </c>
      <c r="J2" s="43">
        <f t="shared" si="0"/>
        <v>8</v>
      </c>
      <c r="K2" s="43">
        <f t="shared" si="0"/>
        <v>9</v>
      </c>
      <c r="L2" s="43">
        <f t="shared" si="0"/>
        <v>10</v>
      </c>
      <c r="M2" s="43">
        <f t="shared" si="0"/>
        <v>11</v>
      </c>
      <c r="N2" s="43">
        <f t="shared" si="0"/>
        <v>12</v>
      </c>
      <c r="O2" s="43">
        <f t="shared" si="0"/>
        <v>13</v>
      </c>
      <c r="P2" s="43">
        <f t="shared" si="0"/>
        <v>14</v>
      </c>
      <c r="Q2" s="43">
        <f t="shared" si="0"/>
        <v>15</v>
      </c>
      <c r="R2" s="43">
        <f t="shared" si="0"/>
        <v>16</v>
      </c>
      <c r="S2" s="43">
        <f t="shared" si="0"/>
        <v>17</v>
      </c>
      <c r="T2" s="43">
        <f t="shared" si="0"/>
        <v>18</v>
      </c>
      <c r="U2" s="43">
        <f t="shared" si="0"/>
        <v>19</v>
      </c>
      <c r="V2" s="43">
        <f t="shared" si="0"/>
        <v>20</v>
      </c>
      <c r="W2" s="43">
        <f t="shared" si="0"/>
        <v>21</v>
      </c>
      <c r="X2" s="43">
        <f t="shared" si="0"/>
        <v>22</v>
      </c>
      <c r="Y2" s="43">
        <f t="shared" si="0"/>
        <v>23</v>
      </c>
      <c r="Z2" s="43">
        <f t="shared" si="0"/>
        <v>24</v>
      </c>
      <c r="AA2" s="43">
        <f t="shared" si="0"/>
        <v>25</v>
      </c>
      <c r="AB2" s="43">
        <f t="shared" si="0"/>
        <v>26</v>
      </c>
      <c r="AC2" s="43">
        <f t="shared" si="0"/>
        <v>27</v>
      </c>
      <c r="AD2" s="43">
        <f t="shared" si="0"/>
        <v>28</v>
      </c>
      <c r="AE2" s="43">
        <f t="shared" si="0"/>
        <v>29</v>
      </c>
      <c r="AF2" s="43">
        <f>AE2+1</f>
        <v>30</v>
      </c>
      <c r="AG2" s="43">
        <f t="shared" si="0"/>
        <v>31</v>
      </c>
      <c r="AH2" s="43">
        <f t="shared" si="0"/>
        <v>32</v>
      </c>
      <c r="AI2" s="43">
        <f t="shared" si="0"/>
        <v>33</v>
      </c>
      <c r="AJ2" s="43">
        <f t="shared" si="0"/>
        <v>34</v>
      </c>
      <c r="AK2" s="43">
        <f t="shared" si="0"/>
        <v>35</v>
      </c>
      <c r="AL2" s="43">
        <f t="shared" si="0"/>
        <v>36</v>
      </c>
      <c r="AM2" s="43">
        <f>AL2+1</f>
        <v>37</v>
      </c>
      <c r="AN2" s="43">
        <f t="shared" si="0"/>
        <v>38</v>
      </c>
      <c r="AO2" s="43">
        <f t="shared" si="0"/>
        <v>39</v>
      </c>
      <c r="AP2" s="43">
        <f t="shared" si="0"/>
        <v>40</v>
      </c>
    </row>
    <row r="3" spans="1:42" x14ac:dyDescent="0.2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</row>
    <row r="4" spans="1:42" s="35" customFormat="1" x14ac:dyDescent="0.2">
      <c r="A4" s="45" t="s">
        <v>17</v>
      </c>
    </row>
    <row r="5" spans="1:42" x14ac:dyDescent="0.2">
      <c r="A5" s="46" t="s">
        <v>218</v>
      </c>
      <c r="B5" s="275"/>
      <c r="C5" s="275">
        <f>Inputs!C4</f>
        <v>32344836</v>
      </c>
      <c r="D5" s="275">
        <f>C5-(C5*Inputs!$C$5)</f>
        <v>32183111.82</v>
      </c>
      <c r="E5" s="275">
        <f>D5-(D5*Inputs!$C$5)</f>
        <v>32022196.260900002</v>
      </c>
      <c r="F5" s="275">
        <f>E5-(E5*Inputs!$C$5)</f>
        <v>31862085.279595502</v>
      </c>
      <c r="G5" s="275">
        <f>F5-(F5*Inputs!$C$5)</f>
        <v>31702774.853197522</v>
      </c>
      <c r="H5" s="275">
        <f>G5-(G5*Inputs!$C$5)</f>
        <v>31544260.978931535</v>
      </c>
      <c r="I5" s="275">
        <f>H5-(H5*Inputs!$C$5)</f>
        <v>31386539.674036879</v>
      </c>
      <c r="J5" s="275">
        <f>I5-(I5*Inputs!$C$5)</f>
        <v>31229606.975666694</v>
      </c>
      <c r="K5" s="275">
        <f>J5-(J5*Inputs!$C$5)</f>
        <v>31073458.940788362</v>
      </c>
      <c r="L5" s="275">
        <f>K5-(K5*Inputs!$C$5)</f>
        <v>30918091.64608442</v>
      </c>
      <c r="M5" s="275">
        <f>L5-(L5*Inputs!$C$5)</f>
        <v>30763501.187853999</v>
      </c>
      <c r="N5" s="275">
        <f>M5-(M5*Inputs!$C$5)</f>
        <v>30609683.681914728</v>
      </c>
      <c r="O5" s="275">
        <f>N5-(N5*Inputs!$C$5)</f>
        <v>30456635.263505153</v>
      </c>
      <c r="P5" s="275">
        <f>O5-(O5*Inputs!$C$5)</f>
        <v>30304352.087187629</v>
      </c>
      <c r="Q5" s="275">
        <f>P5-(P5*Inputs!$C$5)</f>
        <v>30152830.32675169</v>
      </c>
      <c r="R5" s="275">
        <f>Q5-(Q5*Inputs!$C$5)</f>
        <v>30002066.175117932</v>
      </c>
      <c r="S5" s="275">
        <f>R5-(R5*Inputs!$C$5)</f>
        <v>29852055.844242342</v>
      </c>
      <c r="T5" s="275">
        <f>S5-(S5*Inputs!$C$5)</f>
        <v>29702795.565021131</v>
      </c>
      <c r="U5" s="275">
        <f>T5-(T5*Inputs!$C$5)</f>
        <v>29554281.587196026</v>
      </c>
      <c r="V5" s="275">
        <f>U5-(U5*Inputs!$C$5)</f>
        <v>29406510.179260045</v>
      </c>
      <c r="W5" s="275">
        <f>V5-(V5*Inputs!$C$5)</f>
        <v>29259477.628363743</v>
      </c>
      <c r="X5" s="275">
        <f>W5-(W5*Inputs!$C$5)</f>
        <v>29113180.240221925</v>
      </c>
      <c r="Y5" s="275">
        <f>X5-(X5*Inputs!$C$5)</f>
        <v>28967614.339020815</v>
      </c>
      <c r="Z5" s="275">
        <f>Y5-(Y5*Inputs!$C$5)</f>
        <v>28822776.267325711</v>
      </c>
      <c r="AA5" s="275">
        <f>Z5-(Z5*Inputs!$C$5)</f>
        <v>28678662.385989081</v>
      </c>
      <c r="AB5" s="275">
        <f>AA5-(AA5*Inputs!$C$5)</f>
        <v>28535269.074059136</v>
      </c>
      <c r="AC5" s="275">
        <f>AB5-(AB5*Inputs!$C$5)</f>
        <v>28392592.72868884</v>
      </c>
      <c r="AD5" s="275">
        <f>AC5-(AC5*Inputs!$C$5)</f>
        <v>28250629.765045397</v>
      </c>
      <c r="AE5" s="275">
        <f>AD5-(AD5*Inputs!$C$5)</f>
        <v>28109376.616220169</v>
      </c>
      <c r="AF5" s="275">
        <f>AE5-(AE5*Inputs!$C$5)</f>
        <v>27968829.733139068</v>
      </c>
      <c r="AG5" s="275">
        <f>AF5-(AF5*Inputs!$C$5)</f>
        <v>27828985.584473372</v>
      </c>
      <c r="AH5" s="275">
        <f>AG5-(AG5*Inputs!$C$5)</f>
        <v>27689840.656551003</v>
      </c>
      <c r="AI5" s="275">
        <f>AH5-(AH5*Inputs!$C$5)</f>
        <v>27551391.453268249</v>
      </c>
      <c r="AJ5" s="275">
        <f>AI5-(AI5*Inputs!$C$5)</f>
        <v>27413634.496001907</v>
      </c>
      <c r="AK5" s="275">
        <f>AJ5-(AJ5*Inputs!$C$5)</f>
        <v>27276566.323521897</v>
      </c>
      <c r="AL5" s="275">
        <f>AK5-(AK5*Inputs!$C$5)</f>
        <v>27140183.491904289</v>
      </c>
      <c r="AM5" s="275">
        <f>AL5-(AL5*Inputs!$C$5)</f>
        <v>27004482.574444767</v>
      </c>
      <c r="AN5" s="275">
        <f>AM5-(AM5*Inputs!$C$5)</f>
        <v>26869460.161572542</v>
      </c>
      <c r="AO5" s="275">
        <f>AN5-(AN5*Inputs!$C$5)</f>
        <v>26735112.860764679</v>
      </c>
      <c r="AP5" s="275">
        <f>AO5-(AO5*Inputs!$C$5)</f>
        <v>26601437.296460856</v>
      </c>
    </row>
    <row r="6" spans="1:42" x14ac:dyDescent="0.2"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  <c r="AG6" s="39"/>
      <c r="AH6" s="39"/>
      <c r="AI6" s="39"/>
      <c r="AJ6" s="39"/>
      <c r="AK6" s="39"/>
      <c r="AL6" s="39"/>
      <c r="AM6" s="39"/>
      <c r="AN6" s="39"/>
      <c r="AO6" s="39"/>
      <c r="AP6" s="39"/>
    </row>
    <row r="7" spans="1:42" x14ac:dyDescent="0.2">
      <c r="A7" s="45" t="s">
        <v>145</v>
      </c>
      <c r="C7" s="47"/>
      <c r="D7" s="47"/>
      <c r="E7" s="47"/>
      <c r="F7" s="47"/>
      <c r="G7" s="47"/>
      <c r="H7" s="47"/>
      <c r="I7" s="47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  <c r="AG7" s="39"/>
      <c r="AH7" s="39"/>
      <c r="AI7" s="39"/>
      <c r="AJ7" s="39"/>
      <c r="AK7" s="39"/>
      <c r="AL7" s="39"/>
      <c r="AM7" s="39"/>
      <c r="AN7" s="39"/>
      <c r="AO7" s="39"/>
      <c r="AP7" s="39"/>
    </row>
    <row r="8" spans="1:42" x14ac:dyDescent="0.2">
      <c r="A8" s="48" t="s">
        <v>35</v>
      </c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39"/>
      <c r="AO8" s="39"/>
      <c r="AP8" s="39"/>
    </row>
    <row r="9" spans="1:42" x14ac:dyDescent="0.2">
      <c r="A9" s="17" t="s">
        <v>36</v>
      </c>
      <c r="C9" s="39"/>
      <c r="D9" s="4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</row>
    <row r="10" spans="1:42" x14ac:dyDescent="0.2">
      <c r="A10" s="50" t="s">
        <v>18</v>
      </c>
      <c r="C10" s="39">
        <f>C5</f>
        <v>32344836</v>
      </c>
      <c r="D10" s="39">
        <f>D5</f>
        <v>32183111.82</v>
      </c>
      <c r="E10" s="39">
        <f>E5</f>
        <v>32022196.260900002</v>
      </c>
      <c r="F10" s="39">
        <f t="shared" ref="F10:AP10" si="1">F5</f>
        <v>31862085.279595502</v>
      </c>
      <c r="G10" s="39">
        <f t="shared" si="1"/>
        <v>31702774.853197522</v>
      </c>
      <c r="H10" s="39">
        <f t="shared" si="1"/>
        <v>31544260.978931535</v>
      </c>
      <c r="I10" s="39">
        <f t="shared" si="1"/>
        <v>31386539.674036879</v>
      </c>
      <c r="J10" s="39">
        <f t="shared" si="1"/>
        <v>31229606.975666694</v>
      </c>
      <c r="K10" s="39">
        <f t="shared" si="1"/>
        <v>31073458.940788362</v>
      </c>
      <c r="L10" s="39">
        <f t="shared" si="1"/>
        <v>30918091.64608442</v>
      </c>
      <c r="M10" s="39">
        <f t="shared" si="1"/>
        <v>30763501.187853999</v>
      </c>
      <c r="N10" s="39">
        <f t="shared" si="1"/>
        <v>30609683.681914728</v>
      </c>
      <c r="O10" s="39">
        <f t="shared" si="1"/>
        <v>30456635.263505153</v>
      </c>
      <c r="P10" s="39">
        <f t="shared" si="1"/>
        <v>30304352.087187629</v>
      </c>
      <c r="Q10" s="39">
        <f t="shared" si="1"/>
        <v>30152830.32675169</v>
      </c>
      <c r="R10" s="39">
        <f t="shared" si="1"/>
        <v>30002066.175117932</v>
      </c>
      <c r="S10" s="39">
        <f t="shared" si="1"/>
        <v>29852055.844242342</v>
      </c>
      <c r="T10" s="39">
        <f t="shared" si="1"/>
        <v>29702795.565021131</v>
      </c>
      <c r="U10" s="39">
        <f t="shared" si="1"/>
        <v>29554281.587196026</v>
      </c>
      <c r="V10" s="39">
        <f t="shared" si="1"/>
        <v>29406510.179260045</v>
      </c>
      <c r="W10" s="39">
        <f t="shared" si="1"/>
        <v>29259477.628363743</v>
      </c>
      <c r="X10" s="39">
        <f t="shared" si="1"/>
        <v>29113180.240221925</v>
      </c>
      <c r="Y10" s="39">
        <f t="shared" si="1"/>
        <v>28967614.339020815</v>
      </c>
      <c r="Z10" s="39">
        <f t="shared" si="1"/>
        <v>28822776.267325711</v>
      </c>
      <c r="AA10" s="39">
        <f t="shared" si="1"/>
        <v>28678662.385989081</v>
      </c>
      <c r="AB10" s="39">
        <f t="shared" si="1"/>
        <v>28535269.074059136</v>
      </c>
      <c r="AC10" s="39">
        <f t="shared" si="1"/>
        <v>28392592.72868884</v>
      </c>
      <c r="AD10" s="39">
        <f t="shared" si="1"/>
        <v>28250629.765045397</v>
      </c>
      <c r="AE10" s="39">
        <f t="shared" si="1"/>
        <v>28109376.616220169</v>
      </c>
      <c r="AF10" s="39">
        <f t="shared" si="1"/>
        <v>27968829.733139068</v>
      </c>
      <c r="AG10" s="39">
        <f t="shared" si="1"/>
        <v>27828985.584473372</v>
      </c>
      <c r="AH10" s="39">
        <f t="shared" si="1"/>
        <v>27689840.656551003</v>
      </c>
      <c r="AI10" s="39">
        <f t="shared" si="1"/>
        <v>27551391.453268249</v>
      </c>
      <c r="AJ10" s="39">
        <f t="shared" si="1"/>
        <v>27413634.496001907</v>
      </c>
      <c r="AK10" s="39">
        <f t="shared" si="1"/>
        <v>27276566.323521897</v>
      </c>
      <c r="AL10" s="39">
        <f t="shared" si="1"/>
        <v>27140183.491904289</v>
      </c>
      <c r="AM10" s="39">
        <f t="shared" si="1"/>
        <v>27004482.574444767</v>
      </c>
      <c r="AN10" s="39">
        <f t="shared" si="1"/>
        <v>26869460.161572542</v>
      </c>
      <c r="AO10" s="39">
        <f t="shared" si="1"/>
        <v>26735112.860764679</v>
      </c>
      <c r="AP10" s="39">
        <f t="shared" si="1"/>
        <v>26601437.296460856</v>
      </c>
    </row>
    <row r="11" spans="1:42" x14ac:dyDescent="0.2">
      <c r="A11" s="50" t="s">
        <v>19</v>
      </c>
      <c r="C11" s="292">
        <f t="shared" ref="C11:AP11" si="2">SOPPAPrice*(1+SOPPAPriceEsc)^B2</f>
        <v>21</v>
      </c>
      <c r="D11" s="292">
        <f t="shared" si="2"/>
        <v>21.21</v>
      </c>
      <c r="E11" s="292">
        <f t="shared" si="2"/>
        <v>21.4221</v>
      </c>
      <c r="F11" s="292">
        <f t="shared" si="2"/>
        <v>21.636320999999999</v>
      </c>
      <c r="G11" s="292">
        <f t="shared" si="2"/>
        <v>21.85268421</v>
      </c>
      <c r="H11" s="292">
        <f t="shared" si="2"/>
        <v>22.071211052099997</v>
      </c>
      <c r="I11" s="292">
        <f t="shared" si="2"/>
        <v>22.291923162621003</v>
      </c>
      <c r="J11" s="292">
        <f t="shared" si="2"/>
        <v>22.514842394247207</v>
      </c>
      <c r="K11" s="292">
        <f t="shared" si="2"/>
        <v>22.739990818189685</v>
      </c>
      <c r="L11" s="292">
        <f t="shared" si="2"/>
        <v>22.967390726371583</v>
      </c>
      <c r="M11" s="292">
        <f t="shared" si="2"/>
        <v>23.1970646336353</v>
      </c>
      <c r="N11" s="292">
        <f t="shared" si="2"/>
        <v>23.429035279971647</v>
      </c>
      <c r="O11" s="292">
        <f t="shared" si="2"/>
        <v>23.663325632771365</v>
      </c>
      <c r="P11" s="292">
        <f t="shared" si="2"/>
        <v>23.899958889099079</v>
      </c>
      <c r="Q11" s="292">
        <f t="shared" si="2"/>
        <v>24.138958477990073</v>
      </c>
      <c r="R11" s="292">
        <f t="shared" si="2"/>
        <v>24.380348062769968</v>
      </c>
      <c r="S11" s="292">
        <f t="shared" si="2"/>
        <v>24.624151543397673</v>
      </c>
      <c r="T11" s="292">
        <f t="shared" si="2"/>
        <v>24.870393058831652</v>
      </c>
      <c r="U11" s="292">
        <f t="shared" si="2"/>
        <v>25.119096989419969</v>
      </c>
      <c r="V11" s="292">
        <f t="shared" si="2"/>
        <v>25.370287959314165</v>
      </c>
      <c r="W11" s="292">
        <f t="shared" si="2"/>
        <v>25.623990838907307</v>
      </c>
      <c r="X11" s="292">
        <f t="shared" si="2"/>
        <v>25.880230747296377</v>
      </c>
      <c r="Y11" s="292">
        <f t="shared" si="2"/>
        <v>26.139033054769349</v>
      </c>
      <c r="Z11" s="292">
        <f t="shared" si="2"/>
        <v>26.400423385317037</v>
      </c>
      <c r="AA11" s="292">
        <f t="shared" si="2"/>
        <v>26.664427619170215</v>
      </c>
      <c r="AB11" s="292">
        <f t="shared" si="2"/>
        <v>26.931071895361921</v>
      </c>
      <c r="AC11" s="292">
        <f t="shared" si="2"/>
        <v>27.200382614315537</v>
      </c>
      <c r="AD11" s="292">
        <f t="shared" si="2"/>
        <v>27.472386440458685</v>
      </c>
      <c r="AE11" s="292">
        <f t="shared" si="2"/>
        <v>27.747110304863273</v>
      </c>
      <c r="AF11" s="292">
        <f t="shared" si="2"/>
        <v>28.024581407911906</v>
      </c>
      <c r="AG11" s="292">
        <f t="shared" si="2"/>
        <v>28.304827221991033</v>
      </c>
      <c r="AH11" s="292">
        <f t="shared" si="2"/>
        <v>28.587875494210934</v>
      </c>
      <c r="AI11" s="292">
        <f t="shared" si="2"/>
        <v>28.873754249153048</v>
      </c>
      <c r="AJ11" s="292">
        <f t="shared" si="2"/>
        <v>29.16249179164458</v>
      </c>
      <c r="AK11" s="292">
        <f t="shared" si="2"/>
        <v>29.454116709561028</v>
      </c>
      <c r="AL11" s="292">
        <f t="shared" si="2"/>
        <v>29.748657876656633</v>
      </c>
      <c r="AM11" s="292">
        <f t="shared" si="2"/>
        <v>30.0461444554232</v>
      </c>
      <c r="AN11" s="292">
        <f t="shared" si="2"/>
        <v>30.346605899977433</v>
      </c>
      <c r="AO11" s="292">
        <f t="shared" si="2"/>
        <v>30.650071958977211</v>
      </c>
      <c r="AP11" s="292">
        <f t="shared" si="2"/>
        <v>30.956572678566975</v>
      </c>
    </row>
    <row r="12" spans="1:42" x14ac:dyDescent="0.2">
      <c r="A12" s="50" t="s">
        <v>34</v>
      </c>
      <c r="C12" s="39">
        <f>C10*C11/100</f>
        <v>6792415.5599999996</v>
      </c>
      <c r="D12" s="39">
        <f t="shared" ref="D12:AP12" si="3">D10*D11/100</f>
        <v>6826038.0170220006</v>
      </c>
      <c r="E12" s="39">
        <f t="shared" si="3"/>
        <v>6859826.9052062593</v>
      </c>
      <c r="F12" s="39">
        <f t="shared" si="3"/>
        <v>6893783.0483870301</v>
      </c>
      <c r="G12" s="39">
        <f t="shared" si="3"/>
        <v>6927907.2744765459</v>
      </c>
      <c r="H12" s="39">
        <f t="shared" si="3"/>
        <v>6962200.4154852033</v>
      </c>
      <c r="I12" s="39">
        <f t="shared" si="3"/>
        <v>6996663.3075418584</v>
      </c>
      <c r="J12" s="39">
        <f t="shared" si="3"/>
        <v>7031296.7909141872</v>
      </c>
      <c r="K12" s="39">
        <f t="shared" si="3"/>
        <v>7066101.7100292156</v>
      </c>
      <c r="L12" s="39">
        <f t="shared" si="3"/>
        <v>7101078.9134938605</v>
      </c>
      <c r="M12" s="39">
        <f t="shared" si="3"/>
        <v>7136229.2541156551</v>
      </c>
      <c r="N12" s="39">
        <f t="shared" si="3"/>
        <v>7171553.588923526</v>
      </c>
      <c r="O12" s="39">
        <f t="shared" si="3"/>
        <v>7207052.7791886972</v>
      </c>
      <c r="P12" s="39">
        <f t="shared" si="3"/>
        <v>7242727.690445682</v>
      </c>
      <c r="Q12" s="39">
        <f t="shared" si="3"/>
        <v>7278579.1925133886</v>
      </c>
      <c r="R12" s="39">
        <f t="shared" si="3"/>
        <v>7314608.1595163289</v>
      </c>
      <c r="S12" s="39">
        <f t="shared" si="3"/>
        <v>7350815.4699059352</v>
      </c>
      <c r="T12" s="39">
        <f t="shared" si="3"/>
        <v>7387202.0064819716</v>
      </c>
      <c r="U12" s="39">
        <f t="shared" si="3"/>
        <v>7423768.6564140571</v>
      </c>
      <c r="V12" s="39">
        <f t="shared" si="3"/>
        <v>7460516.3112633061</v>
      </c>
      <c r="W12" s="39">
        <f t="shared" si="3"/>
        <v>7497445.8670040583</v>
      </c>
      <c r="X12" s="39">
        <f t="shared" si="3"/>
        <v>7534558.2240457274</v>
      </c>
      <c r="Y12" s="39">
        <f t="shared" si="3"/>
        <v>7571854.2872547563</v>
      </c>
      <c r="Z12" s="39">
        <f t="shared" si="3"/>
        <v>7609334.9659766667</v>
      </c>
      <c r="AA12" s="39">
        <f t="shared" si="3"/>
        <v>7647001.1740582529</v>
      </c>
      <c r="AB12" s="39">
        <f t="shared" si="3"/>
        <v>7684853.8298698412</v>
      </c>
      <c r="AC12" s="39">
        <f t="shared" si="3"/>
        <v>7722893.8563276958</v>
      </c>
      <c r="AD12" s="39">
        <f t="shared" si="3"/>
        <v>7761122.180916517</v>
      </c>
      <c r="AE12" s="39">
        <f t="shared" si="3"/>
        <v>7799539.7357120542</v>
      </c>
      <c r="AF12" s="39">
        <f t="shared" si="3"/>
        <v>7838147.4574038275</v>
      </c>
      <c r="AG12" s="39">
        <f t="shared" si="3"/>
        <v>7876946.2873179791</v>
      </c>
      <c r="AH12" s="39">
        <f t="shared" si="3"/>
        <v>7915937.1714402009</v>
      </c>
      <c r="AI12" s="39">
        <f t="shared" si="3"/>
        <v>7955121.0604388304</v>
      </c>
      <c r="AJ12" s="39">
        <f t="shared" si="3"/>
        <v>7994498.9096880034</v>
      </c>
      <c r="AK12" s="39">
        <f t="shared" si="3"/>
        <v>8034071.6792909587</v>
      </c>
      <c r="AL12" s="39">
        <f t="shared" si="3"/>
        <v>8073840.3341034483</v>
      </c>
      <c r="AM12" s="39">
        <f t="shared" si="3"/>
        <v>8113805.8437572606</v>
      </c>
      <c r="AN12" s="39">
        <f t="shared" si="3"/>
        <v>8153969.182683859</v>
      </c>
      <c r="AO12" s="39">
        <f t="shared" si="3"/>
        <v>8194331.3301381441</v>
      </c>
      <c r="AP12" s="39">
        <f t="shared" si="3"/>
        <v>8234893.2702223267</v>
      </c>
    </row>
    <row r="13" spans="1:42" x14ac:dyDescent="0.2">
      <c r="A13" s="17" t="s">
        <v>37</v>
      </c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</row>
    <row r="14" spans="1:42" x14ac:dyDescent="0.2">
      <c r="A14" s="50" t="str">
        <f>Inputs!B114</f>
        <v>Federal ($/W)</v>
      </c>
      <c r="C14" s="52">
        <f t="shared" ref="C14:AP14" si="4">IF(PBIFedDebtSwitch="Yes",C508,0)</f>
        <v>0</v>
      </c>
      <c r="D14" s="52">
        <f t="shared" si="4"/>
        <v>0</v>
      </c>
      <c r="E14" s="52">
        <f t="shared" si="4"/>
        <v>0</v>
      </c>
      <c r="F14" s="52">
        <f t="shared" si="4"/>
        <v>0</v>
      </c>
      <c r="G14" s="52">
        <f t="shared" si="4"/>
        <v>0</v>
      </c>
      <c r="H14" s="52">
        <f t="shared" si="4"/>
        <v>0</v>
      </c>
      <c r="I14" s="52">
        <f t="shared" si="4"/>
        <v>0</v>
      </c>
      <c r="J14" s="52">
        <f t="shared" si="4"/>
        <v>0</v>
      </c>
      <c r="K14" s="52">
        <f t="shared" si="4"/>
        <v>0</v>
      </c>
      <c r="L14" s="52">
        <f t="shared" si="4"/>
        <v>0</v>
      </c>
      <c r="M14" s="52">
        <f t="shared" si="4"/>
        <v>0</v>
      </c>
      <c r="N14" s="52">
        <f t="shared" si="4"/>
        <v>0</v>
      </c>
      <c r="O14" s="52">
        <f t="shared" si="4"/>
        <v>0</v>
      </c>
      <c r="P14" s="52">
        <f t="shared" si="4"/>
        <v>0</v>
      </c>
      <c r="Q14" s="52">
        <f t="shared" si="4"/>
        <v>0</v>
      </c>
      <c r="R14" s="52">
        <f t="shared" si="4"/>
        <v>0</v>
      </c>
      <c r="S14" s="52">
        <f t="shared" si="4"/>
        <v>0</v>
      </c>
      <c r="T14" s="52">
        <f t="shared" si="4"/>
        <v>0</v>
      </c>
      <c r="U14" s="52">
        <f t="shared" si="4"/>
        <v>0</v>
      </c>
      <c r="V14" s="52">
        <f t="shared" si="4"/>
        <v>0</v>
      </c>
      <c r="W14" s="52">
        <f t="shared" si="4"/>
        <v>0</v>
      </c>
      <c r="X14" s="52">
        <f t="shared" si="4"/>
        <v>0</v>
      </c>
      <c r="Y14" s="52">
        <f t="shared" si="4"/>
        <v>0</v>
      </c>
      <c r="Z14" s="52">
        <f t="shared" si="4"/>
        <v>0</v>
      </c>
      <c r="AA14" s="52">
        <f t="shared" si="4"/>
        <v>0</v>
      </c>
      <c r="AB14" s="52">
        <f t="shared" si="4"/>
        <v>0</v>
      </c>
      <c r="AC14" s="52">
        <f t="shared" si="4"/>
        <v>0</v>
      </c>
      <c r="AD14" s="52">
        <f t="shared" si="4"/>
        <v>0</v>
      </c>
      <c r="AE14" s="52">
        <f t="shared" si="4"/>
        <v>0</v>
      </c>
      <c r="AF14" s="52">
        <f t="shared" si="4"/>
        <v>0</v>
      </c>
      <c r="AG14" s="52">
        <f t="shared" si="4"/>
        <v>0</v>
      </c>
      <c r="AH14" s="52">
        <f t="shared" si="4"/>
        <v>0</v>
      </c>
      <c r="AI14" s="52">
        <f t="shared" si="4"/>
        <v>0</v>
      </c>
      <c r="AJ14" s="52">
        <f t="shared" si="4"/>
        <v>0</v>
      </c>
      <c r="AK14" s="52">
        <f t="shared" si="4"/>
        <v>0</v>
      </c>
      <c r="AL14" s="52">
        <f t="shared" si="4"/>
        <v>0</v>
      </c>
      <c r="AM14" s="52">
        <f t="shared" si="4"/>
        <v>0</v>
      </c>
      <c r="AN14" s="52">
        <f t="shared" si="4"/>
        <v>0</v>
      </c>
      <c r="AO14" s="52">
        <f t="shared" si="4"/>
        <v>0</v>
      </c>
      <c r="AP14" s="52">
        <f t="shared" si="4"/>
        <v>0</v>
      </c>
    </row>
    <row r="15" spans="1:42" x14ac:dyDescent="0.2">
      <c r="A15" s="50" t="str">
        <f>Inputs!B115</f>
        <v>State ($/W)</v>
      </c>
      <c r="C15" s="52">
        <f t="shared" ref="C15:AP15" si="5">IF(PBIStateDebtSwitch="Yes",C512,0)</f>
        <v>0</v>
      </c>
      <c r="D15" s="52">
        <f t="shared" si="5"/>
        <v>0</v>
      </c>
      <c r="E15" s="52">
        <f t="shared" si="5"/>
        <v>0</v>
      </c>
      <c r="F15" s="52">
        <f t="shared" si="5"/>
        <v>0</v>
      </c>
      <c r="G15" s="52">
        <f t="shared" si="5"/>
        <v>0</v>
      </c>
      <c r="H15" s="52">
        <f t="shared" si="5"/>
        <v>0</v>
      </c>
      <c r="I15" s="52">
        <f t="shared" si="5"/>
        <v>0</v>
      </c>
      <c r="J15" s="52">
        <f t="shared" si="5"/>
        <v>0</v>
      </c>
      <c r="K15" s="52">
        <f t="shared" si="5"/>
        <v>0</v>
      </c>
      <c r="L15" s="52">
        <f t="shared" si="5"/>
        <v>0</v>
      </c>
      <c r="M15" s="52">
        <f t="shared" si="5"/>
        <v>0</v>
      </c>
      <c r="N15" s="52">
        <f t="shared" si="5"/>
        <v>0</v>
      </c>
      <c r="O15" s="52">
        <f t="shared" si="5"/>
        <v>0</v>
      </c>
      <c r="P15" s="52">
        <f t="shared" si="5"/>
        <v>0</v>
      </c>
      <c r="Q15" s="52">
        <f t="shared" si="5"/>
        <v>0</v>
      </c>
      <c r="R15" s="52">
        <f t="shared" si="5"/>
        <v>0</v>
      </c>
      <c r="S15" s="52">
        <f t="shared" si="5"/>
        <v>0</v>
      </c>
      <c r="T15" s="52">
        <f t="shared" si="5"/>
        <v>0</v>
      </c>
      <c r="U15" s="52">
        <f t="shared" si="5"/>
        <v>0</v>
      </c>
      <c r="V15" s="52">
        <f t="shared" si="5"/>
        <v>0</v>
      </c>
      <c r="W15" s="52">
        <f t="shared" si="5"/>
        <v>0</v>
      </c>
      <c r="X15" s="52">
        <f t="shared" si="5"/>
        <v>0</v>
      </c>
      <c r="Y15" s="52">
        <f t="shared" si="5"/>
        <v>0</v>
      </c>
      <c r="Z15" s="52">
        <f t="shared" si="5"/>
        <v>0</v>
      </c>
      <c r="AA15" s="52">
        <f t="shared" si="5"/>
        <v>0</v>
      </c>
      <c r="AB15" s="52">
        <f t="shared" si="5"/>
        <v>0</v>
      </c>
      <c r="AC15" s="52">
        <f t="shared" si="5"/>
        <v>0</v>
      </c>
      <c r="AD15" s="52">
        <f t="shared" si="5"/>
        <v>0</v>
      </c>
      <c r="AE15" s="52">
        <f t="shared" si="5"/>
        <v>0</v>
      </c>
      <c r="AF15" s="52">
        <f t="shared" si="5"/>
        <v>0</v>
      </c>
      <c r="AG15" s="52">
        <f t="shared" si="5"/>
        <v>0</v>
      </c>
      <c r="AH15" s="52">
        <f t="shared" si="5"/>
        <v>0</v>
      </c>
      <c r="AI15" s="52">
        <f t="shared" si="5"/>
        <v>0</v>
      </c>
      <c r="AJ15" s="52">
        <f t="shared" si="5"/>
        <v>0</v>
      </c>
      <c r="AK15" s="52">
        <f t="shared" si="5"/>
        <v>0</v>
      </c>
      <c r="AL15" s="52">
        <f t="shared" si="5"/>
        <v>0</v>
      </c>
      <c r="AM15" s="52">
        <f t="shared" si="5"/>
        <v>0</v>
      </c>
      <c r="AN15" s="52">
        <f t="shared" si="5"/>
        <v>0</v>
      </c>
      <c r="AO15" s="52">
        <f t="shared" si="5"/>
        <v>0</v>
      </c>
      <c r="AP15" s="52">
        <f t="shared" si="5"/>
        <v>0</v>
      </c>
    </row>
    <row r="16" spans="1:42" x14ac:dyDescent="0.2">
      <c r="A16" s="50" t="str">
        <f>Inputs!B116</f>
        <v>Utility ($/W)</v>
      </c>
      <c r="C16" s="52">
        <f t="shared" ref="C16:AP16" si="6">IF(PBIUtilityDebtSwitch="Yes",C516,0)</f>
        <v>0</v>
      </c>
      <c r="D16" s="52">
        <f t="shared" si="6"/>
        <v>0</v>
      </c>
      <c r="E16" s="52">
        <f t="shared" si="6"/>
        <v>0</v>
      </c>
      <c r="F16" s="52">
        <f t="shared" si="6"/>
        <v>0</v>
      </c>
      <c r="G16" s="52">
        <f t="shared" si="6"/>
        <v>0</v>
      </c>
      <c r="H16" s="52">
        <f t="shared" si="6"/>
        <v>0</v>
      </c>
      <c r="I16" s="52">
        <f t="shared" si="6"/>
        <v>0</v>
      </c>
      <c r="J16" s="52">
        <f t="shared" si="6"/>
        <v>0</v>
      </c>
      <c r="K16" s="52">
        <f t="shared" si="6"/>
        <v>0</v>
      </c>
      <c r="L16" s="52">
        <f t="shared" si="6"/>
        <v>0</v>
      </c>
      <c r="M16" s="52">
        <f t="shared" si="6"/>
        <v>0</v>
      </c>
      <c r="N16" s="52">
        <f t="shared" si="6"/>
        <v>0</v>
      </c>
      <c r="O16" s="52">
        <f t="shared" si="6"/>
        <v>0</v>
      </c>
      <c r="P16" s="52">
        <f t="shared" si="6"/>
        <v>0</v>
      </c>
      <c r="Q16" s="52">
        <f t="shared" si="6"/>
        <v>0</v>
      </c>
      <c r="R16" s="52">
        <f t="shared" si="6"/>
        <v>0</v>
      </c>
      <c r="S16" s="52">
        <f t="shared" si="6"/>
        <v>0</v>
      </c>
      <c r="T16" s="52">
        <f t="shared" si="6"/>
        <v>0</v>
      </c>
      <c r="U16" s="52">
        <f t="shared" si="6"/>
        <v>0</v>
      </c>
      <c r="V16" s="52">
        <f t="shared" si="6"/>
        <v>0</v>
      </c>
      <c r="W16" s="52">
        <f t="shared" si="6"/>
        <v>0</v>
      </c>
      <c r="X16" s="52">
        <f t="shared" si="6"/>
        <v>0</v>
      </c>
      <c r="Y16" s="52">
        <f t="shared" si="6"/>
        <v>0</v>
      </c>
      <c r="Z16" s="52">
        <f t="shared" si="6"/>
        <v>0</v>
      </c>
      <c r="AA16" s="52">
        <f t="shared" si="6"/>
        <v>0</v>
      </c>
      <c r="AB16" s="52">
        <f t="shared" si="6"/>
        <v>0</v>
      </c>
      <c r="AC16" s="52">
        <f t="shared" si="6"/>
        <v>0</v>
      </c>
      <c r="AD16" s="52">
        <f t="shared" si="6"/>
        <v>0</v>
      </c>
      <c r="AE16" s="52">
        <f t="shared" si="6"/>
        <v>0</v>
      </c>
      <c r="AF16" s="52">
        <f t="shared" si="6"/>
        <v>0</v>
      </c>
      <c r="AG16" s="52">
        <f t="shared" si="6"/>
        <v>0</v>
      </c>
      <c r="AH16" s="52">
        <f t="shared" si="6"/>
        <v>0</v>
      </c>
      <c r="AI16" s="52">
        <f t="shared" si="6"/>
        <v>0</v>
      </c>
      <c r="AJ16" s="52">
        <f t="shared" si="6"/>
        <v>0</v>
      </c>
      <c r="AK16" s="52">
        <f t="shared" si="6"/>
        <v>0</v>
      </c>
      <c r="AL16" s="52">
        <f t="shared" si="6"/>
        <v>0</v>
      </c>
      <c r="AM16" s="52">
        <f t="shared" si="6"/>
        <v>0</v>
      </c>
      <c r="AN16" s="52">
        <f t="shared" si="6"/>
        <v>0</v>
      </c>
      <c r="AO16" s="52">
        <f t="shared" si="6"/>
        <v>0</v>
      </c>
      <c r="AP16" s="52">
        <f t="shared" si="6"/>
        <v>0</v>
      </c>
    </row>
    <row r="17" spans="1:42" x14ac:dyDescent="0.2">
      <c r="A17" s="50" t="str">
        <f>Inputs!B117</f>
        <v>Other ($/W)</v>
      </c>
      <c r="C17" s="53">
        <f t="shared" ref="C17:AP17" si="7">IF(PBIOtherDebtSwitch="Yes",C520,0)</f>
        <v>0</v>
      </c>
      <c r="D17" s="53">
        <f t="shared" si="7"/>
        <v>0</v>
      </c>
      <c r="E17" s="53">
        <f t="shared" si="7"/>
        <v>0</v>
      </c>
      <c r="F17" s="53">
        <f t="shared" si="7"/>
        <v>0</v>
      </c>
      <c r="G17" s="53">
        <f t="shared" si="7"/>
        <v>0</v>
      </c>
      <c r="H17" s="53">
        <f t="shared" si="7"/>
        <v>0</v>
      </c>
      <c r="I17" s="53">
        <f t="shared" si="7"/>
        <v>0</v>
      </c>
      <c r="J17" s="53">
        <f t="shared" si="7"/>
        <v>0</v>
      </c>
      <c r="K17" s="53">
        <f t="shared" si="7"/>
        <v>0</v>
      </c>
      <c r="L17" s="53">
        <f t="shared" si="7"/>
        <v>0</v>
      </c>
      <c r="M17" s="53">
        <f t="shared" si="7"/>
        <v>0</v>
      </c>
      <c r="N17" s="53">
        <f t="shared" si="7"/>
        <v>0</v>
      </c>
      <c r="O17" s="53">
        <f t="shared" si="7"/>
        <v>0</v>
      </c>
      <c r="P17" s="53">
        <f t="shared" si="7"/>
        <v>0</v>
      </c>
      <c r="Q17" s="53">
        <f t="shared" si="7"/>
        <v>0</v>
      </c>
      <c r="R17" s="53">
        <f t="shared" si="7"/>
        <v>0</v>
      </c>
      <c r="S17" s="53">
        <f t="shared" si="7"/>
        <v>0</v>
      </c>
      <c r="T17" s="53">
        <f t="shared" si="7"/>
        <v>0</v>
      </c>
      <c r="U17" s="53">
        <f t="shared" si="7"/>
        <v>0</v>
      </c>
      <c r="V17" s="53">
        <f t="shared" si="7"/>
        <v>0</v>
      </c>
      <c r="W17" s="53">
        <f t="shared" si="7"/>
        <v>0</v>
      </c>
      <c r="X17" s="53">
        <f t="shared" si="7"/>
        <v>0</v>
      </c>
      <c r="Y17" s="53">
        <f t="shared" si="7"/>
        <v>0</v>
      </c>
      <c r="Z17" s="53">
        <f t="shared" si="7"/>
        <v>0</v>
      </c>
      <c r="AA17" s="53">
        <f t="shared" si="7"/>
        <v>0</v>
      </c>
      <c r="AB17" s="53">
        <f t="shared" si="7"/>
        <v>0</v>
      </c>
      <c r="AC17" s="53">
        <f t="shared" si="7"/>
        <v>0</v>
      </c>
      <c r="AD17" s="53">
        <f t="shared" si="7"/>
        <v>0</v>
      </c>
      <c r="AE17" s="53">
        <f t="shared" si="7"/>
        <v>0</v>
      </c>
      <c r="AF17" s="53">
        <f t="shared" si="7"/>
        <v>0</v>
      </c>
      <c r="AG17" s="53">
        <f t="shared" si="7"/>
        <v>0</v>
      </c>
      <c r="AH17" s="53">
        <f t="shared" si="7"/>
        <v>0</v>
      </c>
      <c r="AI17" s="53">
        <f t="shared" si="7"/>
        <v>0</v>
      </c>
      <c r="AJ17" s="53">
        <f t="shared" si="7"/>
        <v>0</v>
      </c>
      <c r="AK17" s="53">
        <f t="shared" si="7"/>
        <v>0</v>
      </c>
      <c r="AL17" s="53">
        <f t="shared" si="7"/>
        <v>0</v>
      </c>
      <c r="AM17" s="53">
        <f t="shared" si="7"/>
        <v>0</v>
      </c>
      <c r="AN17" s="53">
        <f t="shared" si="7"/>
        <v>0</v>
      </c>
      <c r="AO17" s="53">
        <f t="shared" si="7"/>
        <v>0</v>
      </c>
      <c r="AP17" s="53">
        <f t="shared" si="7"/>
        <v>0</v>
      </c>
    </row>
    <row r="18" spans="1:42" x14ac:dyDescent="0.2">
      <c r="A18" s="50" t="s">
        <v>38</v>
      </c>
      <c r="C18" s="54">
        <f>SUM(C14:C17)</f>
        <v>0</v>
      </c>
      <c r="D18" s="54">
        <f t="shared" ref="D18:AP18" si="8">SUM(D14:D17)</f>
        <v>0</v>
      </c>
      <c r="E18" s="54">
        <f t="shared" si="8"/>
        <v>0</v>
      </c>
      <c r="F18" s="54">
        <f t="shared" si="8"/>
        <v>0</v>
      </c>
      <c r="G18" s="54">
        <f t="shared" si="8"/>
        <v>0</v>
      </c>
      <c r="H18" s="54">
        <f t="shared" si="8"/>
        <v>0</v>
      </c>
      <c r="I18" s="54">
        <f t="shared" si="8"/>
        <v>0</v>
      </c>
      <c r="J18" s="54">
        <f t="shared" si="8"/>
        <v>0</v>
      </c>
      <c r="K18" s="54">
        <f t="shared" si="8"/>
        <v>0</v>
      </c>
      <c r="L18" s="54">
        <f t="shared" si="8"/>
        <v>0</v>
      </c>
      <c r="M18" s="54">
        <f t="shared" si="8"/>
        <v>0</v>
      </c>
      <c r="N18" s="54">
        <f t="shared" si="8"/>
        <v>0</v>
      </c>
      <c r="O18" s="54">
        <f t="shared" si="8"/>
        <v>0</v>
      </c>
      <c r="P18" s="54">
        <f t="shared" si="8"/>
        <v>0</v>
      </c>
      <c r="Q18" s="54">
        <f t="shared" si="8"/>
        <v>0</v>
      </c>
      <c r="R18" s="54">
        <f t="shared" si="8"/>
        <v>0</v>
      </c>
      <c r="S18" s="54">
        <f t="shared" si="8"/>
        <v>0</v>
      </c>
      <c r="T18" s="54">
        <f t="shared" si="8"/>
        <v>0</v>
      </c>
      <c r="U18" s="54">
        <f t="shared" si="8"/>
        <v>0</v>
      </c>
      <c r="V18" s="54">
        <f t="shared" si="8"/>
        <v>0</v>
      </c>
      <c r="W18" s="54">
        <f t="shared" si="8"/>
        <v>0</v>
      </c>
      <c r="X18" s="54">
        <f t="shared" si="8"/>
        <v>0</v>
      </c>
      <c r="Y18" s="54">
        <f t="shared" si="8"/>
        <v>0</v>
      </c>
      <c r="Z18" s="54">
        <f t="shared" si="8"/>
        <v>0</v>
      </c>
      <c r="AA18" s="54">
        <f t="shared" si="8"/>
        <v>0</v>
      </c>
      <c r="AB18" s="54">
        <f t="shared" si="8"/>
        <v>0</v>
      </c>
      <c r="AC18" s="54">
        <f t="shared" si="8"/>
        <v>0</v>
      </c>
      <c r="AD18" s="54">
        <f t="shared" si="8"/>
        <v>0</v>
      </c>
      <c r="AE18" s="54">
        <f t="shared" si="8"/>
        <v>0</v>
      </c>
      <c r="AF18" s="54">
        <f t="shared" si="8"/>
        <v>0</v>
      </c>
      <c r="AG18" s="54">
        <f t="shared" si="8"/>
        <v>0</v>
      </c>
      <c r="AH18" s="54">
        <f t="shared" si="8"/>
        <v>0</v>
      </c>
      <c r="AI18" s="54">
        <f t="shared" si="8"/>
        <v>0</v>
      </c>
      <c r="AJ18" s="54">
        <f t="shared" si="8"/>
        <v>0</v>
      </c>
      <c r="AK18" s="54">
        <f t="shared" si="8"/>
        <v>0</v>
      </c>
      <c r="AL18" s="54">
        <f t="shared" si="8"/>
        <v>0</v>
      </c>
      <c r="AM18" s="54">
        <f t="shared" si="8"/>
        <v>0</v>
      </c>
      <c r="AN18" s="54">
        <f t="shared" si="8"/>
        <v>0</v>
      </c>
      <c r="AO18" s="54">
        <f t="shared" si="8"/>
        <v>0</v>
      </c>
      <c r="AP18" s="54">
        <f t="shared" si="8"/>
        <v>0</v>
      </c>
    </row>
    <row r="19" spans="1:42" x14ac:dyDescent="0.2">
      <c r="A19" s="46" t="s">
        <v>79</v>
      </c>
      <c r="C19" s="53">
        <f t="shared" ref="C19:AP19" si="9">IF(C2=AnalysisPeriod,SalvageValue*PreFinancingInstalledCostTotal,0)</f>
        <v>0</v>
      </c>
      <c r="D19" s="53">
        <f t="shared" si="9"/>
        <v>0</v>
      </c>
      <c r="E19" s="53">
        <f t="shared" si="9"/>
        <v>0</v>
      </c>
      <c r="F19" s="53">
        <f t="shared" si="9"/>
        <v>0</v>
      </c>
      <c r="G19" s="53">
        <f t="shared" si="9"/>
        <v>0</v>
      </c>
      <c r="H19" s="53">
        <f t="shared" si="9"/>
        <v>0</v>
      </c>
      <c r="I19" s="53">
        <f t="shared" si="9"/>
        <v>0</v>
      </c>
      <c r="J19" s="53">
        <f t="shared" si="9"/>
        <v>0</v>
      </c>
      <c r="K19" s="53">
        <f t="shared" si="9"/>
        <v>0</v>
      </c>
      <c r="L19" s="53">
        <f t="shared" si="9"/>
        <v>0</v>
      </c>
      <c r="M19" s="53">
        <f t="shared" si="9"/>
        <v>0</v>
      </c>
      <c r="N19" s="53">
        <f t="shared" si="9"/>
        <v>0</v>
      </c>
      <c r="O19" s="53">
        <f t="shared" si="9"/>
        <v>0</v>
      </c>
      <c r="P19" s="53">
        <f t="shared" si="9"/>
        <v>0</v>
      </c>
      <c r="Q19" s="53">
        <f t="shared" si="9"/>
        <v>0</v>
      </c>
      <c r="R19" s="53">
        <f t="shared" si="9"/>
        <v>0</v>
      </c>
      <c r="S19" s="53">
        <f t="shared" si="9"/>
        <v>0</v>
      </c>
      <c r="T19" s="53">
        <f t="shared" si="9"/>
        <v>0</v>
      </c>
      <c r="U19" s="53">
        <f t="shared" si="9"/>
        <v>0</v>
      </c>
      <c r="V19" s="53">
        <f t="shared" si="9"/>
        <v>0</v>
      </c>
      <c r="W19" s="53">
        <f t="shared" si="9"/>
        <v>0</v>
      </c>
      <c r="X19" s="53">
        <f t="shared" si="9"/>
        <v>0</v>
      </c>
      <c r="Y19" s="53">
        <f t="shared" si="9"/>
        <v>0</v>
      </c>
      <c r="Z19" s="53">
        <f t="shared" si="9"/>
        <v>0</v>
      </c>
      <c r="AA19" s="53">
        <f t="shared" si="9"/>
        <v>0</v>
      </c>
      <c r="AB19" s="53">
        <f t="shared" si="9"/>
        <v>0</v>
      </c>
      <c r="AC19" s="53">
        <f t="shared" si="9"/>
        <v>0</v>
      </c>
      <c r="AD19" s="53">
        <f t="shared" si="9"/>
        <v>0</v>
      </c>
      <c r="AE19" s="53">
        <f t="shared" si="9"/>
        <v>0</v>
      </c>
      <c r="AF19" s="53">
        <f t="shared" si="9"/>
        <v>0</v>
      </c>
      <c r="AG19" s="53">
        <f t="shared" si="9"/>
        <v>0</v>
      </c>
      <c r="AH19" s="53">
        <f t="shared" si="9"/>
        <v>0</v>
      </c>
      <c r="AI19" s="53">
        <f t="shared" si="9"/>
        <v>0</v>
      </c>
      <c r="AJ19" s="53">
        <f t="shared" si="9"/>
        <v>0</v>
      </c>
      <c r="AK19" s="53">
        <f t="shared" si="9"/>
        <v>0</v>
      </c>
      <c r="AL19" s="53">
        <f t="shared" si="9"/>
        <v>0</v>
      </c>
      <c r="AM19" s="53">
        <f t="shared" si="9"/>
        <v>0</v>
      </c>
      <c r="AN19" s="53">
        <f t="shared" si="9"/>
        <v>0</v>
      </c>
      <c r="AO19" s="53">
        <f t="shared" si="9"/>
        <v>0</v>
      </c>
      <c r="AP19" s="53">
        <f t="shared" si="9"/>
        <v>3853000.1</v>
      </c>
    </row>
    <row r="20" spans="1:42" x14ac:dyDescent="0.2">
      <c r="A20" s="46" t="s">
        <v>143</v>
      </c>
      <c r="C20" s="39">
        <f>C12+C18+C19</f>
        <v>6792415.5599999996</v>
      </c>
      <c r="D20" s="39">
        <f t="shared" ref="D20:AP20" si="10">D12+D18+D19</f>
        <v>6826038.0170220006</v>
      </c>
      <c r="E20" s="39">
        <f t="shared" si="10"/>
        <v>6859826.9052062593</v>
      </c>
      <c r="F20" s="39">
        <f t="shared" si="10"/>
        <v>6893783.0483870301</v>
      </c>
      <c r="G20" s="39">
        <f t="shared" si="10"/>
        <v>6927907.2744765459</v>
      </c>
      <c r="H20" s="39">
        <f t="shared" si="10"/>
        <v>6962200.4154852033</v>
      </c>
      <c r="I20" s="39">
        <f t="shared" si="10"/>
        <v>6996663.3075418584</v>
      </c>
      <c r="J20" s="39">
        <f t="shared" si="10"/>
        <v>7031296.7909141872</v>
      </c>
      <c r="K20" s="39">
        <f t="shared" si="10"/>
        <v>7066101.7100292156</v>
      </c>
      <c r="L20" s="39">
        <f t="shared" si="10"/>
        <v>7101078.9134938605</v>
      </c>
      <c r="M20" s="39">
        <f t="shared" si="10"/>
        <v>7136229.2541156551</v>
      </c>
      <c r="N20" s="39">
        <f t="shared" si="10"/>
        <v>7171553.588923526</v>
      </c>
      <c r="O20" s="39">
        <f t="shared" si="10"/>
        <v>7207052.7791886972</v>
      </c>
      <c r="P20" s="39">
        <f t="shared" si="10"/>
        <v>7242727.690445682</v>
      </c>
      <c r="Q20" s="39">
        <f t="shared" si="10"/>
        <v>7278579.1925133886</v>
      </c>
      <c r="R20" s="39">
        <f t="shared" si="10"/>
        <v>7314608.1595163289</v>
      </c>
      <c r="S20" s="39">
        <f t="shared" si="10"/>
        <v>7350815.4699059352</v>
      </c>
      <c r="T20" s="39">
        <f t="shared" si="10"/>
        <v>7387202.0064819716</v>
      </c>
      <c r="U20" s="39">
        <f t="shared" si="10"/>
        <v>7423768.6564140571</v>
      </c>
      <c r="V20" s="39">
        <f t="shared" si="10"/>
        <v>7460516.3112633061</v>
      </c>
      <c r="W20" s="39">
        <f t="shared" si="10"/>
        <v>7497445.8670040583</v>
      </c>
      <c r="X20" s="39">
        <f t="shared" si="10"/>
        <v>7534558.2240457274</v>
      </c>
      <c r="Y20" s="39">
        <f t="shared" si="10"/>
        <v>7571854.2872547563</v>
      </c>
      <c r="Z20" s="39">
        <f t="shared" si="10"/>
        <v>7609334.9659766667</v>
      </c>
      <c r="AA20" s="39">
        <f t="shared" si="10"/>
        <v>7647001.1740582529</v>
      </c>
      <c r="AB20" s="39">
        <f t="shared" si="10"/>
        <v>7684853.8298698412</v>
      </c>
      <c r="AC20" s="39">
        <f t="shared" si="10"/>
        <v>7722893.8563276958</v>
      </c>
      <c r="AD20" s="39">
        <f t="shared" si="10"/>
        <v>7761122.180916517</v>
      </c>
      <c r="AE20" s="39">
        <f t="shared" si="10"/>
        <v>7799539.7357120542</v>
      </c>
      <c r="AF20" s="39">
        <f t="shared" si="10"/>
        <v>7838147.4574038275</v>
      </c>
      <c r="AG20" s="39">
        <f t="shared" si="10"/>
        <v>7876946.2873179791</v>
      </c>
      <c r="AH20" s="39">
        <f t="shared" si="10"/>
        <v>7915937.1714402009</v>
      </c>
      <c r="AI20" s="39">
        <f t="shared" si="10"/>
        <v>7955121.0604388304</v>
      </c>
      <c r="AJ20" s="39">
        <f t="shared" si="10"/>
        <v>7994498.9096880034</v>
      </c>
      <c r="AK20" s="39">
        <f t="shared" si="10"/>
        <v>8034071.6792909587</v>
      </c>
      <c r="AL20" s="39">
        <f t="shared" si="10"/>
        <v>8073840.3341034483</v>
      </c>
      <c r="AM20" s="39">
        <f t="shared" si="10"/>
        <v>8113805.8437572606</v>
      </c>
      <c r="AN20" s="39">
        <f t="shared" si="10"/>
        <v>8153969.182683859</v>
      </c>
      <c r="AO20" s="39">
        <f t="shared" si="10"/>
        <v>8194331.3301381441</v>
      </c>
      <c r="AP20" s="39">
        <f t="shared" si="10"/>
        <v>12087893.370222326</v>
      </c>
    </row>
    <row r="21" spans="1:42" x14ac:dyDescent="0.2">
      <c r="A21" s="46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  <c r="AO21" s="39"/>
      <c r="AP21" s="39"/>
    </row>
    <row r="22" spans="1:42" x14ac:dyDescent="0.2">
      <c r="A22" s="46" t="s">
        <v>219</v>
      </c>
      <c r="C22" s="39">
        <f>PropertyTaxAssessedValue*(100%-PropertyTaxDecline)^('Cash Flow'!C2-1)</f>
        <v>36603500.949999996</v>
      </c>
      <c r="D22" s="39">
        <f>PropertyTaxAssessedValue*(100%-PropertyTaxDecline)^('Cash Flow'!D2-1)</f>
        <v>34773325.902499996</v>
      </c>
      <c r="E22" s="39">
        <f>PropertyTaxAssessedValue*(100%-PropertyTaxDecline)^('Cash Flow'!E2-1)</f>
        <v>33034659.607374996</v>
      </c>
      <c r="F22" s="39">
        <f>PropertyTaxAssessedValue*(100%-PropertyTaxDecline)^('Cash Flow'!F2-1)</f>
        <v>31382926.62700624</v>
      </c>
      <c r="G22" s="39">
        <f>PropertyTaxAssessedValue*(100%-PropertyTaxDecline)^('Cash Flow'!G2-1)</f>
        <v>29813780.295655932</v>
      </c>
      <c r="H22" s="39">
        <f>PropertyTaxAssessedValue*(100%-PropertyTaxDecline)^('Cash Flow'!H2-1)</f>
        <v>28323091.280873138</v>
      </c>
      <c r="I22" s="39">
        <f>PropertyTaxAssessedValue*(100%-PropertyTaxDecline)^('Cash Flow'!I2-1)</f>
        <v>26906936.716829479</v>
      </c>
      <c r="J22" s="39">
        <f>PropertyTaxAssessedValue*(100%-PropertyTaxDecline)^('Cash Flow'!J2-1)</f>
        <v>25561589.880988006</v>
      </c>
      <c r="K22" s="39">
        <f>PropertyTaxAssessedValue*(100%-PropertyTaxDecline)^('Cash Flow'!K2-1)</f>
        <v>24283510.386938605</v>
      </c>
      <c r="L22" s="39">
        <f>PropertyTaxAssessedValue*(100%-PropertyTaxDecline)^('Cash Flow'!L2-1)</f>
        <v>23069334.867591672</v>
      </c>
      <c r="M22" s="39">
        <f>PropertyTaxAssessedValue*(100%-PropertyTaxDecline)^('Cash Flow'!M2-1)</f>
        <v>21915868.12421209</v>
      </c>
      <c r="N22" s="39">
        <f>PropertyTaxAssessedValue*(100%-PropertyTaxDecline)^('Cash Flow'!N2-1)</f>
        <v>20820074.718001485</v>
      </c>
      <c r="O22" s="39">
        <f>PropertyTaxAssessedValue*(100%-PropertyTaxDecline)^('Cash Flow'!O2-1)</f>
        <v>19779070.982101411</v>
      </c>
      <c r="P22" s="39">
        <f>PropertyTaxAssessedValue*(100%-PropertyTaxDecline)^('Cash Flow'!P2-1)</f>
        <v>18790117.43299634</v>
      </c>
      <c r="Q22" s="39">
        <f>PropertyTaxAssessedValue*(100%-PropertyTaxDecline)^('Cash Flow'!Q2-1)</f>
        <v>17850611.56134652</v>
      </c>
      <c r="R22" s="39">
        <f>PropertyTaxAssessedValue*(100%-PropertyTaxDecline)^('Cash Flow'!R2-1)</f>
        <v>16958080.983279198</v>
      </c>
      <c r="S22" s="39">
        <f>PropertyTaxAssessedValue*(100%-PropertyTaxDecline)^('Cash Flow'!S2-1)</f>
        <v>16110176.934115237</v>
      </c>
      <c r="T22" s="39">
        <f>PropertyTaxAssessedValue*(100%-PropertyTaxDecline)^('Cash Flow'!T2-1)</f>
        <v>15304668.087409474</v>
      </c>
      <c r="U22" s="39">
        <f>PropertyTaxAssessedValue*(100%-PropertyTaxDecline)^('Cash Flow'!U2-1)</f>
        <v>14539434.683039</v>
      </c>
      <c r="V22" s="39">
        <f>PropertyTaxAssessedValue*(100%-PropertyTaxDecline)^('Cash Flow'!V2-1)</f>
        <v>13812462.94888705</v>
      </c>
      <c r="W22" s="39">
        <f>PropertyTaxAssessedValue*(100%-PropertyTaxDecline)^('Cash Flow'!W2-1)</f>
        <v>13121839.801442698</v>
      </c>
      <c r="X22" s="39">
        <f>PropertyTaxAssessedValue*(100%-PropertyTaxDecline)^('Cash Flow'!X2-1)</f>
        <v>12465747.811370565</v>
      </c>
      <c r="Y22" s="39">
        <f>PropertyTaxAssessedValue*(100%-PropertyTaxDecline)^('Cash Flow'!Y2-1)</f>
        <v>11842460.420802034</v>
      </c>
      <c r="Z22" s="39">
        <f>PropertyTaxAssessedValue*(100%-PropertyTaxDecline)^('Cash Flow'!Z2-1)</f>
        <v>11250337.399761934</v>
      </c>
      <c r="AA22" s="39">
        <f>PropertyTaxAssessedValue*(100%-PropertyTaxDecline)^('Cash Flow'!AA2-1)</f>
        <v>10687820.529773837</v>
      </c>
      <c r="AB22" s="39">
        <f>PropertyTaxAssessedValue*(100%-PropertyTaxDecline)^('Cash Flow'!AB2-1)</f>
        <v>10153429.503285144</v>
      </c>
      <c r="AC22" s="39">
        <f>PropertyTaxAssessedValue*(100%-PropertyTaxDecline)^('Cash Flow'!AC2-1)</f>
        <v>9645758.0281208865</v>
      </c>
      <c r="AD22" s="39">
        <f>PropertyTaxAssessedValue*(100%-PropertyTaxDecline)^('Cash Flow'!AD2-1)</f>
        <v>9163470.1267148424</v>
      </c>
      <c r="AE22" s="39">
        <f>PropertyTaxAssessedValue*(100%-PropertyTaxDecline)^('Cash Flow'!AE2-1)</f>
        <v>8705296.6203790996</v>
      </c>
      <c r="AF22" s="39">
        <f>PropertyTaxAssessedValue*(100%-PropertyTaxDecline)^('Cash Flow'!AF2-1)</f>
        <v>8270031.7893601451</v>
      </c>
      <c r="AG22" s="39">
        <f>PropertyTaxAssessedValue*(100%-PropertyTaxDecline)^('Cash Flow'!AG2-1)</f>
        <v>7856530.1998921372</v>
      </c>
      <c r="AH22" s="39">
        <f>PropertyTaxAssessedValue*(100%-PropertyTaxDecline)^('Cash Flow'!AH2-1)</f>
        <v>7463703.6898975307</v>
      </c>
      <c r="AI22" s="39">
        <f>PropertyTaxAssessedValue*(100%-PropertyTaxDecline)^('Cash Flow'!AI2-1)</f>
        <v>7090518.5054026553</v>
      </c>
      <c r="AJ22" s="39">
        <f>PropertyTaxAssessedValue*(100%-PropertyTaxDecline)^('Cash Flow'!AJ2-1)</f>
        <v>6735992.5801325217</v>
      </c>
      <c r="AK22" s="39">
        <f>PropertyTaxAssessedValue*(100%-PropertyTaxDecline)^('Cash Flow'!AK2-1)</f>
        <v>6399192.9511258965</v>
      </c>
      <c r="AL22" s="39">
        <f>PropertyTaxAssessedValue*(100%-PropertyTaxDecline)^('Cash Flow'!AL2-1)</f>
        <v>6079233.3035696</v>
      </c>
      <c r="AM22" s="39">
        <f>PropertyTaxAssessedValue*(100%-PropertyTaxDecline)^('Cash Flow'!AM2-1)</f>
        <v>5775271.6383911204</v>
      </c>
      <c r="AN22" s="39">
        <f>PropertyTaxAssessedValue*(100%-PropertyTaxDecline)^('Cash Flow'!AN2-1)</f>
        <v>5486508.0564715648</v>
      </c>
      <c r="AO22" s="39">
        <f>PropertyTaxAssessedValue*(100%-PropertyTaxDecline)^('Cash Flow'!AO2-1)</f>
        <v>5212182.6536479862</v>
      </c>
      <c r="AP22" s="39">
        <f>PropertyTaxAssessedValue*(100%-PropertyTaxDecline)^('Cash Flow'!AP2-1)</f>
        <v>4951573.5209655873</v>
      </c>
    </row>
    <row r="23" spans="1:42" x14ac:dyDescent="0.2">
      <c r="A23" s="50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  <c r="AO23" s="39"/>
      <c r="AP23" s="39"/>
    </row>
    <row r="24" spans="1:42" x14ac:dyDescent="0.2">
      <c r="A24" s="48" t="s">
        <v>20</v>
      </c>
      <c r="C24" s="39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</row>
    <row r="25" spans="1:42" x14ac:dyDescent="0.2">
      <c r="A25" s="17" t="s">
        <v>220</v>
      </c>
      <c r="C25" s="39">
        <f t="shared" ref="C25:AP25" si="11">IF(C$2&lt;=AnalysisPeriod,OMFixedAnnual*(1+Inflation+OMFixedAnnualRealEsc)^B$2,0)</f>
        <v>10000</v>
      </c>
      <c r="D25" s="39">
        <f t="shared" si="11"/>
        <v>10350</v>
      </c>
      <c r="E25" s="39">
        <f t="shared" si="11"/>
        <v>10712.249999999998</v>
      </c>
      <c r="F25" s="39">
        <f t="shared" si="11"/>
        <v>11087.178749999997</v>
      </c>
      <c r="G25" s="39">
        <f t="shared" si="11"/>
        <v>11475.230006249996</v>
      </c>
      <c r="H25" s="39">
        <f t="shared" si="11"/>
        <v>11876.863056468745</v>
      </c>
      <c r="I25" s="39">
        <f t="shared" si="11"/>
        <v>12292.553263445152</v>
      </c>
      <c r="J25" s="39">
        <f t="shared" si="11"/>
        <v>12722.792627665731</v>
      </c>
      <c r="K25" s="39">
        <f t="shared" si="11"/>
        <v>13168.090369634028</v>
      </c>
      <c r="L25" s="39">
        <f t="shared" si="11"/>
        <v>13628.973532571217</v>
      </c>
      <c r="M25" s="39">
        <f t="shared" si="11"/>
        <v>14105.987606211211</v>
      </c>
      <c r="N25" s="39">
        <f t="shared" si="11"/>
        <v>14599.697172428603</v>
      </c>
      <c r="O25" s="39">
        <f t="shared" si="11"/>
        <v>15110.686573463603</v>
      </c>
      <c r="P25" s="39">
        <f t="shared" si="11"/>
        <v>15639.560603534826</v>
      </c>
      <c r="Q25" s="39">
        <f t="shared" si="11"/>
        <v>16186.945224658546</v>
      </c>
      <c r="R25" s="39">
        <f t="shared" si="11"/>
        <v>16753.488307521595</v>
      </c>
      <c r="S25" s="39">
        <f t="shared" si="11"/>
        <v>17339.860398284847</v>
      </c>
      <c r="T25" s="39">
        <f t="shared" si="11"/>
        <v>17946.755512224816</v>
      </c>
      <c r="U25" s="39">
        <f t="shared" si="11"/>
        <v>18574.891955152681</v>
      </c>
      <c r="V25" s="39">
        <f t="shared" si="11"/>
        <v>19225.013173583022</v>
      </c>
      <c r="W25" s="39">
        <f t="shared" si="11"/>
        <v>19897.888634658426</v>
      </c>
      <c r="X25" s="39">
        <f t="shared" si="11"/>
        <v>20594.314736871467</v>
      </c>
      <c r="Y25" s="39">
        <f t="shared" si="11"/>
        <v>21315.115752661972</v>
      </c>
      <c r="Z25" s="39">
        <f t="shared" si="11"/>
        <v>22061.14480400514</v>
      </c>
      <c r="AA25" s="39">
        <f t="shared" si="11"/>
        <v>22833.284872145316</v>
      </c>
      <c r="AB25" s="39">
        <f t="shared" si="11"/>
        <v>23632.449842670398</v>
      </c>
      <c r="AC25" s="39">
        <f t="shared" si="11"/>
        <v>24459.58558716386</v>
      </c>
      <c r="AD25" s="39">
        <f t="shared" si="11"/>
        <v>25315.671082714598</v>
      </c>
      <c r="AE25" s="39">
        <f t="shared" si="11"/>
        <v>26201.719570609606</v>
      </c>
      <c r="AF25" s="39">
        <f t="shared" si="11"/>
        <v>27118.779755580937</v>
      </c>
      <c r="AG25" s="39">
        <f t="shared" si="11"/>
        <v>28067.937047026273</v>
      </c>
      <c r="AH25" s="39">
        <f t="shared" si="11"/>
        <v>29050.314843672189</v>
      </c>
      <c r="AI25" s="39">
        <f t="shared" si="11"/>
        <v>30067.075863200709</v>
      </c>
      <c r="AJ25" s="39">
        <f t="shared" si="11"/>
        <v>31119.423518412728</v>
      </c>
      <c r="AK25" s="39">
        <f t="shared" si="11"/>
        <v>32208.603341557173</v>
      </c>
      <c r="AL25" s="39">
        <f t="shared" si="11"/>
        <v>33335.904458511672</v>
      </c>
      <c r="AM25" s="39">
        <f t="shared" si="11"/>
        <v>34502.661114559582</v>
      </c>
      <c r="AN25" s="39">
        <f t="shared" si="11"/>
        <v>35710.254253569161</v>
      </c>
      <c r="AO25" s="39">
        <f t="shared" si="11"/>
        <v>36960.113152444086</v>
      </c>
      <c r="AP25" s="39">
        <f t="shared" si="11"/>
        <v>38253.717112779617</v>
      </c>
    </row>
    <row r="26" spans="1:42" x14ac:dyDescent="0.2">
      <c r="A26" s="17" t="s">
        <v>1</v>
      </c>
    </row>
    <row r="27" spans="1:42" x14ac:dyDescent="0.2">
      <c r="A27" s="50" t="s">
        <v>21</v>
      </c>
      <c r="C27" s="39">
        <f t="shared" ref="C27:AP27" si="12">IF(C$2&lt;=AnalysisPeriod,CapacityDC,0)</f>
        <v>10000</v>
      </c>
      <c r="D27" s="39">
        <f t="shared" si="12"/>
        <v>10000</v>
      </c>
      <c r="E27" s="39">
        <f t="shared" si="12"/>
        <v>10000</v>
      </c>
      <c r="F27" s="39">
        <f t="shared" si="12"/>
        <v>10000</v>
      </c>
      <c r="G27" s="39">
        <f t="shared" si="12"/>
        <v>10000</v>
      </c>
      <c r="H27" s="39">
        <f t="shared" si="12"/>
        <v>10000</v>
      </c>
      <c r="I27" s="39">
        <f t="shared" si="12"/>
        <v>10000</v>
      </c>
      <c r="J27" s="39">
        <f t="shared" si="12"/>
        <v>10000</v>
      </c>
      <c r="K27" s="39">
        <f t="shared" si="12"/>
        <v>10000</v>
      </c>
      <c r="L27" s="39">
        <f t="shared" si="12"/>
        <v>10000</v>
      </c>
      <c r="M27" s="39">
        <f t="shared" si="12"/>
        <v>10000</v>
      </c>
      <c r="N27" s="39">
        <f t="shared" si="12"/>
        <v>10000</v>
      </c>
      <c r="O27" s="39">
        <f t="shared" si="12"/>
        <v>10000</v>
      </c>
      <c r="P27" s="39">
        <f t="shared" si="12"/>
        <v>10000</v>
      </c>
      <c r="Q27" s="39">
        <f t="shared" si="12"/>
        <v>10000</v>
      </c>
      <c r="R27" s="39">
        <f t="shared" si="12"/>
        <v>10000</v>
      </c>
      <c r="S27" s="39">
        <f t="shared" si="12"/>
        <v>10000</v>
      </c>
      <c r="T27" s="39">
        <f t="shared" si="12"/>
        <v>10000</v>
      </c>
      <c r="U27" s="39">
        <f t="shared" si="12"/>
        <v>10000</v>
      </c>
      <c r="V27" s="39">
        <f t="shared" si="12"/>
        <v>10000</v>
      </c>
      <c r="W27" s="39">
        <f t="shared" si="12"/>
        <v>10000</v>
      </c>
      <c r="X27" s="39">
        <f t="shared" si="12"/>
        <v>10000</v>
      </c>
      <c r="Y27" s="39">
        <f t="shared" si="12"/>
        <v>10000</v>
      </c>
      <c r="Z27" s="39">
        <f t="shared" si="12"/>
        <v>10000</v>
      </c>
      <c r="AA27" s="39">
        <f t="shared" si="12"/>
        <v>10000</v>
      </c>
      <c r="AB27" s="39">
        <f t="shared" si="12"/>
        <v>10000</v>
      </c>
      <c r="AC27" s="39">
        <f t="shared" si="12"/>
        <v>10000</v>
      </c>
      <c r="AD27" s="39">
        <f t="shared" si="12"/>
        <v>10000</v>
      </c>
      <c r="AE27" s="39">
        <f t="shared" si="12"/>
        <v>10000</v>
      </c>
      <c r="AF27" s="39">
        <f t="shared" si="12"/>
        <v>10000</v>
      </c>
      <c r="AG27" s="39">
        <f t="shared" si="12"/>
        <v>10000</v>
      </c>
      <c r="AH27" s="39">
        <f t="shared" si="12"/>
        <v>10000</v>
      </c>
      <c r="AI27" s="39">
        <f t="shared" si="12"/>
        <v>10000</v>
      </c>
      <c r="AJ27" s="39">
        <f t="shared" si="12"/>
        <v>10000</v>
      </c>
      <c r="AK27" s="39">
        <f t="shared" si="12"/>
        <v>10000</v>
      </c>
      <c r="AL27" s="39">
        <f t="shared" si="12"/>
        <v>10000</v>
      </c>
      <c r="AM27" s="39">
        <f t="shared" si="12"/>
        <v>10000</v>
      </c>
      <c r="AN27" s="39">
        <f t="shared" si="12"/>
        <v>10000</v>
      </c>
      <c r="AO27" s="39">
        <f t="shared" si="12"/>
        <v>10000</v>
      </c>
      <c r="AP27" s="39">
        <f t="shared" si="12"/>
        <v>10000</v>
      </c>
    </row>
    <row r="28" spans="1:42" x14ac:dyDescent="0.2">
      <c r="A28" s="50" t="s">
        <v>22</v>
      </c>
      <c r="C28" s="51">
        <f t="shared" ref="C28:AP28" si="13">IF(C$2&lt;=AnalysisPeriod,OMCapacity*(1+Inflation+OMCapacityRealEsc)^B$2,0)</f>
        <v>22</v>
      </c>
      <c r="D28" s="51">
        <f t="shared" si="13"/>
        <v>22.715</v>
      </c>
      <c r="E28" s="51">
        <f t="shared" si="13"/>
        <v>23.4532375</v>
      </c>
      <c r="F28" s="51">
        <f t="shared" si="13"/>
        <v>24.215467718749995</v>
      </c>
      <c r="G28" s="51">
        <f t="shared" si="13"/>
        <v>25.002470419609374</v>
      </c>
      <c r="H28" s="51">
        <f t="shared" si="13"/>
        <v>25.815050708246677</v>
      </c>
      <c r="I28" s="51">
        <f t="shared" si="13"/>
        <v>26.654039856264689</v>
      </c>
      <c r="J28" s="51">
        <f t="shared" si="13"/>
        <v>27.520296151593293</v>
      </c>
      <c r="K28" s="51">
        <f t="shared" si="13"/>
        <v>28.41470577652008</v>
      </c>
      <c r="L28" s="51">
        <f t="shared" si="13"/>
        <v>29.338183714256981</v>
      </c>
      <c r="M28" s="51">
        <f t="shared" si="13"/>
        <v>30.291674684970332</v>
      </c>
      <c r="N28" s="51">
        <f t="shared" si="13"/>
        <v>31.276154112231865</v>
      </c>
      <c r="O28" s="51">
        <f t="shared" si="13"/>
        <v>32.292629120879404</v>
      </c>
      <c r="P28" s="51">
        <f t="shared" si="13"/>
        <v>33.342139567307981</v>
      </c>
      <c r="Q28" s="51">
        <f t="shared" si="13"/>
        <v>34.425759103245483</v>
      </c>
      <c r="R28" s="51">
        <f t="shared" si="13"/>
        <v>35.544596274100968</v>
      </c>
      <c r="S28" s="51">
        <f t="shared" si="13"/>
        <v>36.699795653009254</v>
      </c>
      <c r="T28" s="51">
        <f t="shared" si="13"/>
        <v>37.892539011732048</v>
      </c>
      <c r="U28" s="51">
        <f t="shared" si="13"/>
        <v>39.124046529613338</v>
      </c>
      <c r="V28" s="51">
        <f t="shared" si="13"/>
        <v>40.395578041825772</v>
      </c>
      <c r="W28" s="51">
        <f t="shared" si="13"/>
        <v>41.708434328185113</v>
      </c>
      <c r="X28" s="51">
        <f t="shared" si="13"/>
        <v>43.063958443851128</v>
      </c>
      <c r="Y28" s="51">
        <f t="shared" si="13"/>
        <v>44.463537093276287</v>
      </c>
      <c r="Z28" s="51">
        <f t="shared" si="13"/>
        <v>45.908602048807765</v>
      </c>
      <c r="AA28" s="51">
        <f t="shared" si="13"/>
        <v>47.400631615394026</v>
      </c>
      <c r="AB28" s="51">
        <f t="shared" si="13"/>
        <v>48.941152142894325</v>
      </c>
      <c r="AC28" s="51">
        <f t="shared" si="13"/>
        <v>50.531739587538389</v>
      </c>
      <c r="AD28" s="51">
        <f t="shared" si="13"/>
        <v>52.174021124133382</v>
      </c>
      <c r="AE28" s="51">
        <f t="shared" si="13"/>
        <v>53.869676810667727</v>
      </c>
      <c r="AF28" s="51">
        <f t="shared" si="13"/>
        <v>55.620441307014417</v>
      </c>
      <c r="AG28" s="51">
        <f t="shared" si="13"/>
        <v>57.42810564949238</v>
      </c>
      <c r="AH28" s="51">
        <f t="shared" si="13"/>
        <v>59.29451908310088</v>
      </c>
      <c r="AI28" s="51">
        <f t="shared" si="13"/>
        <v>61.221590953301678</v>
      </c>
      <c r="AJ28" s="51">
        <f t="shared" si="13"/>
        <v>63.211292659283977</v>
      </c>
      <c r="AK28" s="51">
        <f t="shared" si="13"/>
        <v>65.265659670710704</v>
      </c>
      <c r="AL28" s="51">
        <f t="shared" si="13"/>
        <v>67.386793610008795</v>
      </c>
      <c r="AM28" s="51">
        <f t="shared" si="13"/>
        <v>69.576864402334081</v>
      </c>
      <c r="AN28" s="51">
        <f t="shared" si="13"/>
        <v>71.838112495409945</v>
      </c>
      <c r="AO28" s="51">
        <f t="shared" si="13"/>
        <v>74.172851151510756</v>
      </c>
      <c r="AP28" s="51">
        <f t="shared" si="13"/>
        <v>76.583468813934857</v>
      </c>
    </row>
    <row r="29" spans="1:42" x14ac:dyDescent="0.2">
      <c r="A29" s="50" t="s">
        <v>221</v>
      </c>
      <c r="C29" s="39">
        <f>C27*C28</f>
        <v>220000</v>
      </c>
      <c r="D29" s="39">
        <f t="shared" ref="D29:AP29" si="14">D27*D28</f>
        <v>227150</v>
      </c>
      <c r="E29" s="39">
        <f t="shared" si="14"/>
        <v>234532.375</v>
      </c>
      <c r="F29" s="39">
        <f t="shared" si="14"/>
        <v>242154.67718749994</v>
      </c>
      <c r="G29" s="39">
        <f t="shared" si="14"/>
        <v>250024.70419609375</v>
      </c>
      <c r="H29" s="39">
        <f t="shared" si="14"/>
        <v>258150.50708246676</v>
      </c>
      <c r="I29" s="39">
        <f t="shared" si="14"/>
        <v>266540.39856264688</v>
      </c>
      <c r="J29" s="39">
        <f t="shared" si="14"/>
        <v>275202.96151593293</v>
      </c>
      <c r="K29" s="39">
        <f t="shared" si="14"/>
        <v>284147.05776520079</v>
      </c>
      <c r="L29" s="39">
        <f t="shared" si="14"/>
        <v>293381.83714256983</v>
      </c>
      <c r="M29" s="39">
        <f t="shared" si="14"/>
        <v>302916.74684970331</v>
      </c>
      <c r="N29" s="39">
        <f t="shared" si="14"/>
        <v>312761.54112231865</v>
      </c>
      <c r="O29" s="39">
        <f t="shared" si="14"/>
        <v>322926.29120879405</v>
      </c>
      <c r="P29" s="39">
        <f t="shared" si="14"/>
        <v>333421.39567307982</v>
      </c>
      <c r="Q29" s="39">
        <f t="shared" si="14"/>
        <v>344257.5910324548</v>
      </c>
      <c r="R29" s="39">
        <f t="shared" si="14"/>
        <v>355445.96274100966</v>
      </c>
      <c r="S29" s="39">
        <f t="shared" si="14"/>
        <v>366997.95653009252</v>
      </c>
      <c r="T29" s="39">
        <f t="shared" si="14"/>
        <v>378925.39011732046</v>
      </c>
      <c r="U29" s="39">
        <f t="shared" si="14"/>
        <v>391240.46529613336</v>
      </c>
      <c r="V29" s="39">
        <f t="shared" si="14"/>
        <v>403955.78041825769</v>
      </c>
      <c r="W29" s="39">
        <f t="shared" si="14"/>
        <v>417084.34328185115</v>
      </c>
      <c r="X29" s="39">
        <f t="shared" si="14"/>
        <v>430639.58443851129</v>
      </c>
      <c r="Y29" s="39">
        <f t="shared" si="14"/>
        <v>444635.37093276286</v>
      </c>
      <c r="Z29" s="39">
        <f t="shared" si="14"/>
        <v>459086.02048807766</v>
      </c>
      <c r="AA29" s="39">
        <f t="shared" si="14"/>
        <v>474006.31615394028</v>
      </c>
      <c r="AB29" s="39">
        <f t="shared" si="14"/>
        <v>489411.52142894326</v>
      </c>
      <c r="AC29" s="39">
        <f t="shared" si="14"/>
        <v>505317.39587538387</v>
      </c>
      <c r="AD29" s="39">
        <f t="shared" si="14"/>
        <v>521740.2112413338</v>
      </c>
      <c r="AE29" s="39">
        <f t="shared" si="14"/>
        <v>538696.76810667722</v>
      </c>
      <c r="AF29" s="39">
        <f t="shared" si="14"/>
        <v>556204.41307014413</v>
      </c>
      <c r="AG29" s="39">
        <f t="shared" si="14"/>
        <v>574281.05649492377</v>
      </c>
      <c r="AH29" s="39">
        <f t="shared" si="14"/>
        <v>592945.19083100883</v>
      </c>
      <c r="AI29" s="39">
        <f t="shared" si="14"/>
        <v>612215.90953301673</v>
      </c>
      <c r="AJ29" s="39">
        <f t="shared" si="14"/>
        <v>632112.92659283977</v>
      </c>
      <c r="AK29" s="39">
        <f t="shared" si="14"/>
        <v>652656.59670710703</v>
      </c>
      <c r="AL29" s="39">
        <f t="shared" si="14"/>
        <v>673867.93610008794</v>
      </c>
      <c r="AM29" s="39">
        <f t="shared" si="14"/>
        <v>695768.64402334078</v>
      </c>
      <c r="AN29" s="39">
        <f t="shared" si="14"/>
        <v>718381.12495409942</v>
      </c>
      <c r="AO29" s="39">
        <f t="shared" si="14"/>
        <v>741728.51151510759</v>
      </c>
      <c r="AP29" s="39">
        <f t="shared" si="14"/>
        <v>765834.68813934852</v>
      </c>
    </row>
    <row r="30" spans="1:42" x14ac:dyDescent="0.2">
      <c r="A30" s="17" t="s">
        <v>2</v>
      </c>
    </row>
    <row r="31" spans="1:42" x14ac:dyDescent="0.2">
      <c r="A31" s="50" t="s">
        <v>24</v>
      </c>
      <c r="C31" s="39">
        <f>C5/1000</f>
        <v>32344.835999999999</v>
      </c>
      <c r="D31" s="39">
        <f t="shared" ref="D31:AP31" si="15">D5/1000</f>
        <v>32183.111820000002</v>
      </c>
      <c r="E31" s="39">
        <f t="shared" si="15"/>
        <v>32022.1962609</v>
      </c>
      <c r="F31" s="39">
        <f t="shared" si="15"/>
        <v>31862.085279595503</v>
      </c>
      <c r="G31" s="39">
        <f t="shared" si="15"/>
        <v>31702.774853197523</v>
      </c>
      <c r="H31" s="39">
        <f t="shared" si="15"/>
        <v>31544.260978931536</v>
      </c>
      <c r="I31" s="39">
        <f t="shared" si="15"/>
        <v>31386.539674036878</v>
      </c>
      <c r="J31" s="39">
        <f t="shared" si="15"/>
        <v>31229.606975666695</v>
      </c>
      <c r="K31" s="39">
        <f t="shared" si="15"/>
        <v>31073.458940788361</v>
      </c>
      <c r="L31" s="39">
        <f t="shared" si="15"/>
        <v>30918.09164608442</v>
      </c>
      <c r="M31" s="39">
        <f t="shared" si="15"/>
        <v>30763.501187853999</v>
      </c>
      <c r="N31" s="39">
        <f t="shared" si="15"/>
        <v>30609.683681914728</v>
      </c>
      <c r="O31" s="39">
        <f t="shared" si="15"/>
        <v>30456.635263505152</v>
      </c>
      <c r="P31" s="39">
        <f t="shared" si="15"/>
        <v>30304.352087187628</v>
      </c>
      <c r="Q31" s="39">
        <f t="shared" si="15"/>
        <v>30152.830326751689</v>
      </c>
      <c r="R31" s="39">
        <f t="shared" si="15"/>
        <v>30002.066175117932</v>
      </c>
      <c r="S31" s="39">
        <f t="shared" si="15"/>
        <v>29852.055844242343</v>
      </c>
      <c r="T31" s="39">
        <f t="shared" si="15"/>
        <v>29702.79556502113</v>
      </c>
      <c r="U31" s="39">
        <f t="shared" si="15"/>
        <v>29554.281587196027</v>
      </c>
      <c r="V31" s="39">
        <f t="shared" si="15"/>
        <v>29406.510179260044</v>
      </c>
      <c r="W31" s="39">
        <f t="shared" si="15"/>
        <v>29259.477628363744</v>
      </c>
      <c r="X31" s="39">
        <f t="shared" si="15"/>
        <v>29113.180240221925</v>
      </c>
      <c r="Y31" s="39">
        <f t="shared" si="15"/>
        <v>28967.614339020816</v>
      </c>
      <c r="Z31" s="39">
        <f t="shared" si="15"/>
        <v>28822.776267325709</v>
      </c>
      <c r="AA31" s="39">
        <f t="shared" si="15"/>
        <v>28678.662385989082</v>
      </c>
      <c r="AB31" s="39">
        <f t="shared" si="15"/>
        <v>28535.269074059135</v>
      </c>
      <c r="AC31" s="39">
        <f t="shared" si="15"/>
        <v>28392.59272868884</v>
      </c>
      <c r="AD31" s="39">
        <f t="shared" si="15"/>
        <v>28250.629765045396</v>
      </c>
      <c r="AE31" s="39">
        <f t="shared" si="15"/>
        <v>28109.376616220168</v>
      </c>
      <c r="AF31" s="39">
        <f t="shared" si="15"/>
        <v>27968.829733139068</v>
      </c>
      <c r="AG31" s="39">
        <f t="shared" si="15"/>
        <v>27828.985584473372</v>
      </c>
      <c r="AH31" s="39">
        <f t="shared" si="15"/>
        <v>27689.840656551005</v>
      </c>
      <c r="AI31" s="39">
        <f t="shared" si="15"/>
        <v>27551.39145326825</v>
      </c>
      <c r="AJ31" s="39">
        <f t="shared" si="15"/>
        <v>27413.634496001905</v>
      </c>
      <c r="AK31" s="39">
        <f t="shared" si="15"/>
        <v>27276.566323521896</v>
      </c>
      <c r="AL31" s="39">
        <f t="shared" si="15"/>
        <v>27140.183491904289</v>
      </c>
      <c r="AM31" s="39">
        <f t="shared" si="15"/>
        <v>27004.482574444766</v>
      </c>
      <c r="AN31" s="39">
        <f t="shared" si="15"/>
        <v>26869.460161572541</v>
      </c>
      <c r="AO31" s="39">
        <f t="shared" si="15"/>
        <v>26735.112860764679</v>
      </c>
      <c r="AP31" s="39">
        <f t="shared" si="15"/>
        <v>26601.437296460856</v>
      </c>
    </row>
    <row r="32" spans="1:42" x14ac:dyDescent="0.2">
      <c r="A32" s="50" t="s">
        <v>25</v>
      </c>
      <c r="C32" s="51">
        <f t="shared" ref="C32:AP32" si="16">IF(C$2&lt;=AnalysisPeriod,OMVariable*(1+Inflation+OMVariableRealEsc)^B$2,0)</f>
        <v>3.5</v>
      </c>
      <c r="D32" s="51">
        <f t="shared" si="16"/>
        <v>3.5874999999999995</v>
      </c>
      <c r="E32" s="51">
        <f t="shared" si="16"/>
        <v>3.6771874999999996</v>
      </c>
      <c r="F32" s="51">
        <f t="shared" si="16"/>
        <v>3.7691171874999996</v>
      </c>
      <c r="G32" s="51">
        <f t="shared" si="16"/>
        <v>3.8633451171874991</v>
      </c>
      <c r="H32" s="51">
        <f t="shared" si="16"/>
        <v>3.9599287451171863</v>
      </c>
      <c r="I32" s="51">
        <f t="shared" si="16"/>
        <v>4.0589269637451153</v>
      </c>
      <c r="J32" s="51">
        <f t="shared" si="16"/>
        <v>4.1604001378387441</v>
      </c>
      <c r="K32" s="51">
        <f t="shared" si="16"/>
        <v>4.2644101412847117</v>
      </c>
      <c r="L32" s="51">
        <f t="shared" si="16"/>
        <v>4.3710203948168287</v>
      </c>
      <c r="M32" s="51">
        <f t="shared" si="16"/>
        <v>4.4802959046872495</v>
      </c>
      <c r="N32" s="51">
        <f t="shared" si="16"/>
        <v>4.5923033023044306</v>
      </c>
      <c r="O32" s="51">
        <f t="shared" si="16"/>
        <v>4.7071108848620415</v>
      </c>
      <c r="P32" s="51">
        <f t="shared" si="16"/>
        <v>4.8247886569835918</v>
      </c>
      <c r="Q32" s="51">
        <f t="shared" si="16"/>
        <v>4.9454083734081813</v>
      </c>
      <c r="R32" s="51">
        <f t="shared" si="16"/>
        <v>5.0690435827433866</v>
      </c>
      <c r="S32" s="51">
        <f t="shared" si="16"/>
        <v>5.1957696723119708</v>
      </c>
      <c r="T32" s="51">
        <f t="shared" si="16"/>
        <v>5.3256639141197697</v>
      </c>
      <c r="U32" s="51">
        <f t="shared" si="16"/>
        <v>5.4588055119727636</v>
      </c>
      <c r="V32" s="51">
        <f t="shared" si="16"/>
        <v>5.5952756497720832</v>
      </c>
      <c r="W32" s="51">
        <f t="shared" si="16"/>
        <v>5.7351575410163846</v>
      </c>
      <c r="X32" s="51">
        <f t="shared" si="16"/>
        <v>5.8785364795417934</v>
      </c>
      <c r="Y32" s="51">
        <f t="shared" si="16"/>
        <v>6.0254998915303384</v>
      </c>
      <c r="Z32" s="51">
        <f t="shared" si="16"/>
        <v>6.1761373888185966</v>
      </c>
      <c r="AA32" s="51">
        <f t="shared" si="16"/>
        <v>6.330540823539061</v>
      </c>
      <c r="AB32" s="51">
        <f t="shared" si="16"/>
        <v>6.4888043441275371</v>
      </c>
      <c r="AC32" s="51">
        <f t="shared" si="16"/>
        <v>6.6510244527307245</v>
      </c>
      <c r="AD32" s="51">
        <f t="shared" si="16"/>
        <v>6.8173000640489922</v>
      </c>
      <c r="AE32" s="51">
        <f t="shared" si="16"/>
        <v>6.9877325656502167</v>
      </c>
      <c r="AF32" s="51">
        <f t="shared" si="16"/>
        <v>7.1624258797914733</v>
      </c>
      <c r="AG32" s="51">
        <f t="shared" si="16"/>
        <v>7.3414865267862579</v>
      </c>
      <c r="AH32" s="51">
        <f t="shared" si="16"/>
        <v>7.5250236899559164</v>
      </c>
      <c r="AI32" s="51">
        <f t="shared" si="16"/>
        <v>7.7131492822048129</v>
      </c>
      <c r="AJ32" s="51">
        <f t="shared" si="16"/>
        <v>7.905978014259933</v>
      </c>
      <c r="AK32" s="51">
        <f t="shared" si="16"/>
        <v>8.1036274646164301</v>
      </c>
      <c r="AL32" s="51">
        <f t="shared" si="16"/>
        <v>8.3062181512318407</v>
      </c>
      <c r="AM32" s="51">
        <f t="shared" si="16"/>
        <v>8.5138736050126376</v>
      </c>
      <c r="AN32" s="51">
        <f t="shared" si="16"/>
        <v>8.7267204451379516</v>
      </c>
      <c r="AO32" s="51">
        <f t="shared" si="16"/>
        <v>8.9448884562663995</v>
      </c>
      <c r="AP32" s="51">
        <f t="shared" si="16"/>
        <v>9.1685106676730594</v>
      </c>
    </row>
    <row r="33" spans="1:42" x14ac:dyDescent="0.2">
      <c r="A33" s="50" t="s">
        <v>222</v>
      </c>
      <c r="C33" s="54">
        <f>C31*C32</f>
        <v>113206.92599999999</v>
      </c>
      <c r="D33" s="54">
        <f t="shared" ref="D33:AP33" si="17">D31*D32</f>
        <v>115456.91365424999</v>
      </c>
      <c r="E33" s="54">
        <f t="shared" si="17"/>
        <v>117751.6198131282</v>
      </c>
      <c r="F33" s="54">
        <f t="shared" si="17"/>
        <v>120091.93325691414</v>
      </c>
      <c r="G33" s="54">
        <f t="shared" si="17"/>
        <v>122478.76043039528</v>
      </c>
      <c r="H33" s="54">
        <f t="shared" si="17"/>
        <v>124913.02579394939</v>
      </c>
      <c r="I33" s="54">
        <f t="shared" si="17"/>
        <v>127395.67218160411</v>
      </c>
      <c r="J33" s="54">
        <f t="shared" si="17"/>
        <v>129927.66116621353</v>
      </c>
      <c r="K33" s="54">
        <f t="shared" si="17"/>
        <v>132509.97343189199</v>
      </c>
      <c r="L33" s="54">
        <f t="shared" si="17"/>
        <v>135143.60915385082</v>
      </c>
      <c r="M33" s="54">
        <f t="shared" si="17"/>
        <v>137829.5883857836</v>
      </c>
      <c r="N33" s="54">
        <f t="shared" si="17"/>
        <v>140568.95145495105</v>
      </c>
      <c r="O33" s="54">
        <f t="shared" si="17"/>
        <v>143362.7593651182</v>
      </c>
      <c r="P33" s="54">
        <f t="shared" si="17"/>
        <v>146212.0942074999</v>
      </c>
      <c r="Q33" s="54">
        <f t="shared" si="17"/>
        <v>149118.05957987395</v>
      </c>
      <c r="R33" s="54">
        <f t="shared" si="17"/>
        <v>152081.78101402399</v>
      </c>
      <c r="S33" s="54">
        <f t="shared" si="17"/>
        <v>155104.40641167769</v>
      </c>
      <c r="T33" s="54">
        <f t="shared" si="17"/>
        <v>158187.10648910978</v>
      </c>
      <c r="U33" s="54">
        <f t="shared" si="17"/>
        <v>161331.07523058081</v>
      </c>
      <c r="V33" s="54">
        <f t="shared" si="17"/>
        <v>164537.53035078861</v>
      </c>
      <c r="W33" s="54">
        <f t="shared" si="17"/>
        <v>167807.71376651054</v>
      </c>
      <c r="X33" s="54">
        <f t="shared" si="17"/>
        <v>171142.89207761991</v>
      </c>
      <c r="Y33" s="54">
        <f t="shared" si="17"/>
        <v>174544.35705766259</v>
      </c>
      <c r="Z33" s="54">
        <f t="shared" si="17"/>
        <v>178013.42615418363</v>
      </c>
      <c r="AA33" s="54">
        <f t="shared" si="17"/>
        <v>181551.44299899801</v>
      </c>
      <c r="AB33" s="54">
        <f t="shared" si="17"/>
        <v>185159.77792860309</v>
      </c>
      <c r="AC33" s="54">
        <f t="shared" si="17"/>
        <v>188839.82851493405</v>
      </c>
      <c r="AD33" s="54">
        <f t="shared" si="17"/>
        <v>192593.02010666835</v>
      </c>
      <c r="AE33" s="54">
        <f t="shared" si="17"/>
        <v>196420.80638128836</v>
      </c>
      <c r="AF33" s="54">
        <f t="shared" si="17"/>
        <v>200324.66990811651</v>
      </c>
      <c r="AG33" s="54">
        <f t="shared" si="17"/>
        <v>204306.12272254025</v>
      </c>
      <c r="AH33" s="54">
        <f t="shared" si="17"/>
        <v>208366.70691165081</v>
      </c>
      <c r="AI33" s="54">
        <f t="shared" si="17"/>
        <v>212507.99521151982</v>
      </c>
      <c r="AJ33" s="54">
        <f t="shared" si="17"/>
        <v>216731.59161634874</v>
      </c>
      <c r="AK33" s="54">
        <f t="shared" si="17"/>
        <v>221039.13199972364</v>
      </c>
      <c r="AL33" s="54">
        <f t="shared" si="17"/>
        <v>225432.28474821817</v>
      </c>
      <c r="AM33" s="54">
        <f t="shared" si="17"/>
        <v>229912.75140758901</v>
      </c>
      <c r="AN33" s="54">
        <f t="shared" si="17"/>
        <v>234482.26734181479</v>
      </c>
      <c r="AO33" s="54">
        <f t="shared" si="17"/>
        <v>239142.60240523334</v>
      </c>
      <c r="AP33" s="54">
        <f t="shared" si="17"/>
        <v>243895.56162803734</v>
      </c>
    </row>
    <row r="34" spans="1:42" x14ac:dyDescent="0.2">
      <c r="A34" s="46" t="s">
        <v>4</v>
      </c>
      <c r="C34" s="93">
        <f t="shared" ref="C34:AP34" si="18">C22*PropertyTaxRate</f>
        <v>274526.25712499995</v>
      </c>
      <c r="D34" s="93">
        <f t="shared" si="18"/>
        <v>260799.94426874997</v>
      </c>
      <c r="E34" s="93">
        <f t="shared" si="18"/>
        <v>247759.94705531246</v>
      </c>
      <c r="F34" s="93">
        <f t="shared" si="18"/>
        <v>235371.94970254679</v>
      </c>
      <c r="G34" s="93">
        <f t="shared" si="18"/>
        <v>223603.35221741948</v>
      </c>
      <c r="H34" s="93">
        <f t="shared" si="18"/>
        <v>212423.18460654854</v>
      </c>
      <c r="I34" s="93">
        <f t="shared" si="18"/>
        <v>201802.02537622108</v>
      </c>
      <c r="J34" s="93">
        <f t="shared" si="18"/>
        <v>191711.92410741004</v>
      </c>
      <c r="K34" s="93">
        <f t="shared" si="18"/>
        <v>182126.32790203954</v>
      </c>
      <c r="L34" s="93">
        <f t="shared" si="18"/>
        <v>173020.01150693753</v>
      </c>
      <c r="M34" s="93">
        <f t="shared" si="18"/>
        <v>164369.01093159066</v>
      </c>
      <c r="N34" s="93">
        <f t="shared" si="18"/>
        <v>156150.56038501114</v>
      </c>
      <c r="O34" s="93">
        <f t="shared" si="18"/>
        <v>148343.03236576056</v>
      </c>
      <c r="P34" s="93">
        <f t="shared" si="18"/>
        <v>140925.88074747255</v>
      </c>
      <c r="Q34" s="93">
        <f t="shared" si="18"/>
        <v>133879.5867100989</v>
      </c>
      <c r="R34" s="93">
        <f t="shared" si="18"/>
        <v>127185.60737459398</v>
      </c>
      <c r="S34" s="93">
        <f t="shared" si="18"/>
        <v>120826.32700586427</v>
      </c>
      <c r="T34" s="93">
        <f t="shared" si="18"/>
        <v>114785.01065557105</v>
      </c>
      <c r="U34" s="93">
        <f t="shared" si="18"/>
        <v>109045.7601227925</v>
      </c>
      <c r="V34" s="93">
        <f t="shared" si="18"/>
        <v>103593.47211665288</v>
      </c>
      <c r="W34" s="93">
        <f t="shared" si="18"/>
        <v>98413.798510820227</v>
      </c>
      <c r="X34" s="93">
        <f t="shared" si="18"/>
        <v>93493.108585279231</v>
      </c>
      <c r="Y34" s="93">
        <f t="shared" si="18"/>
        <v>88818.453156015254</v>
      </c>
      <c r="Z34" s="93">
        <f t="shared" si="18"/>
        <v>84377.530498214503</v>
      </c>
      <c r="AA34" s="93">
        <f t="shared" si="18"/>
        <v>80158.653973303779</v>
      </c>
      <c r="AB34" s="93">
        <f t="shared" si="18"/>
        <v>76150.721274638578</v>
      </c>
      <c r="AC34" s="93">
        <f t="shared" si="18"/>
        <v>72343.185210906653</v>
      </c>
      <c r="AD34" s="93">
        <f t="shared" si="18"/>
        <v>68726.02595036132</v>
      </c>
      <c r="AE34" s="93">
        <f t="shared" si="18"/>
        <v>65289.724652843244</v>
      </c>
      <c r="AF34" s="93">
        <f t="shared" si="18"/>
        <v>62025.238420201087</v>
      </c>
      <c r="AG34" s="93">
        <f t="shared" si="18"/>
        <v>58923.976499191027</v>
      </c>
      <c r="AH34" s="93">
        <f t="shared" si="18"/>
        <v>55977.777674231482</v>
      </c>
      <c r="AI34" s="93">
        <f t="shared" si="18"/>
        <v>53178.888790519915</v>
      </c>
      <c r="AJ34" s="93">
        <f t="shared" si="18"/>
        <v>50519.944350993908</v>
      </c>
      <c r="AK34" s="93">
        <f t="shared" si="18"/>
        <v>47993.947133444221</v>
      </c>
      <c r="AL34" s="93">
        <f t="shared" si="18"/>
        <v>45594.249776771998</v>
      </c>
      <c r="AM34" s="93">
        <f t="shared" si="18"/>
        <v>43314.537287933403</v>
      </c>
      <c r="AN34" s="93">
        <f t="shared" si="18"/>
        <v>41148.810423536735</v>
      </c>
      <c r="AO34" s="93">
        <f t="shared" si="18"/>
        <v>39091.369902359897</v>
      </c>
      <c r="AP34" s="93">
        <f t="shared" si="18"/>
        <v>37136.801407241903</v>
      </c>
    </row>
    <row r="35" spans="1:42" x14ac:dyDescent="0.2">
      <c r="A35" s="46" t="s">
        <v>71</v>
      </c>
      <c r="C35" s="53">
        <f>IF(C$2&lt;=AnalysisPeriod,PreFinancingInstalledCostTotal*Inputs!$C$41*(1+Inflation)^B$2,0)</f>
        <v>192650.005</v>
      </c>
      <c r="D35" s="53">
        <f>IF(D$2&lt;=AnalysisPeriod,PreFinancingInstalledCostTotal*Inputs!$C$41*(1+Inflation)^C$2,0)</f>
        <v>197466.255125</v>
      </c>
      <c r="E35" s="53">
        <f>IF(E$2&lt;=AnalysisPeriod,PreFinancingInstalledCostTotal*Inputs!$C$41*(1+Inflation)^D$2,0)</f>
        <v>202402.91150312498</v>
      </c>
      <c r="F35" s="53">
        <f>IF(F$2&lt;=AnalysisPeriod,PreFinancingInstalledCostTotal*Inputs!$C$41*(1+Inflation)^E$2,0)</f>
        <v>207462.98429070311</v>
      </c>
      <c r="G35" s="53">
        <f>IF(G$2&lt;=AnalysisPeriod,PreFinancingInstalledCostTotal*Inputs!$C$41*(1+Inflation)^F$2,0)</f>
        <v>212649.55889797065</v>
      </c>
      <c r="H35" s="53">
        <f>IF(H$2&lt;=AnalysisPeriod,PreFinancingInstalledCostTotal*Inputs!$C$41*(1+Inflation)^G$2,0)</f>
        <v>217965.79787041992</v>
      </c>
      <c r="I35" s="53">
        <f>IF(I$2&lt;=AnalysisPeriod,PreFinancingInstalledCostTotal*Inputs!$C$41*(1+Inflation)^H$2,0)</f>
        <v>223414.94281718039</v>
      </c>
      <c r="J35" s="53">
        <f>IF(J$2&lt;=AnalysisPeriod,PreFinancingInstalledCostTotal*Inputs!$C$41*(1+Inflation)^I$2,0)</f>
        <v>229000.3163876099</v>
      </c>
      <c r="K35" s="53">
        <f>IF(K$2&lt;=AnalysisPeriod,PreFinancingInstalledCostTotal*Inputs!$C$41*(1+Inflation)^J$2,0)</f>
        <v>234725.32429730013</v>
      </c>
      <c r="L35" s="53">
        <f>IF(L$2&lt;=AnalysisPeriod,PreFinancingInstalledCostTotal*Inputs!$C$41*(1+Inflation)^K$2,0)</f>
        <v>240593.45740473259</v>
      </c>
      <c r="M35" s="53">
        <f>IF(M$2&lt;=AnalysisPeriod,PreFinancingInstalledCostTotal*Inputs!$C$41*(1+Inflation)^L$2,0)</f>
        <v>246608.29383985093</v>
      </c>
      <c r="N35" s="53">
        <f>IF(N$2&lt;=AnalysisPeriod,PreFinancingInstalledCostTotal*Inputs!$C$41*(1+Inflation)^M$2,0)</f>
        <v>252773.50118584718</v>
      </c>
      <c r="O35" s="53">
        <f>IF(O$2&lt;=AnalysisPeriod,PreFinancingInstalledCostTotal*Inputs!$C$41*(1+Inflation)^N$2,0)</f>
        <v>259092.83871549336</v>
      </c>
      <c r="P35" s="53">
        <f>IF(P$2&lt;=AnalysisPeriod,PreFinancingInstalledCostTotal*Inputs!$C$41*(1+Inflation)^O$2,0)</f>
        <v>265570.15968338068</v>
      </c>
      <c r="Q35" s="53">
        <f>IF(Q$2&lt;=AnalysisPeriod,PreFinancingInstalledCostTotal*Inputs!$C$41*(1+Inflation)^P$2,0)</f>
        <v>272209.41367546516</v>
      </c>
      <c r="R35" s="53">
        <f>IF(R$2&lt;=AnalysisPeriod,PreFinancingInstalledCostTotal*Inputs!$C$41*(1+Inflation)^Q$2,0)</f>
        <v>279014.64901735185</v>
      </c>
      <c r="S35" s="53">
        <f>IF(S$2&lt;=AnalysisPeriod,PreFinancingInstalledCostTotal*Inputs!$C$41*(1+Inflation)^R$2,0)</f>
        <v>285990.01524278562</v>
      </c>
      <c r="T35" s="53">
        <f>IF(T$2&lt;=AnalysisPeriod,PreFinancingInstalledCostTotal*Inputs!$C$41*(1+Inflation)^S$2,0)</f>
        <v>293139.76562385517</v>
      </c>
      <c r="U35" s="53">
        <f>IF(U$2&lt;=AnalysisPeriod,PreFinancingInstalledCostTotal*Inputs!$C$41*(1+Inflation)^T$2,0)</f>
        <v>300468.25976445159</v>
      </c>
      <c r="V35" s="53">
        <f>IF(V$2&lt;=AnalysisPeriod,PreFinancingInstalledCostTotal*Inputs!$C$41*(1+Inflation)^U$2,0)</f>
        <v>307979.96625856287</v>
      </c>
      <c r="W35" s="53">
        <f>IF(W$2&lt;=AnalysisPeriod,PreFinancingInstalledCostTotal*Inputs!$C$41*(1+Inflation)^V$2,0)</f>
        <v>315679.46541502693</v>
      </c>
      <c r="X35" s="53">
        <f>IF(X$2&lt;=AnalysisPeriod,PreFinancingInstalledCostTotal*Inputs!$C$41*(1+Inflation)^W$2,0)</f>
        <v>323571.45205040253</v>
      </c>
      <c r="Y35" s="53">
        <f>IF(Y$2&lt;=AnalysisPeriod,PreFinancingInstalledCostTotal*Inputs!$C$41*(1+Inflation)^X$2,0)</f>
        <v>331660.73835166259</v>
      </c>
      <c r="Z35" s="53">
        <f>IF(Z$2&lt;=AnalysisPeriod,PreFinancingInstalledCostTotal*Inputs!$C$41*(1+Inflation)^Y$2,0)</f>
        <v>339952.25681045419</v>
      </c>
      <c r="AA35" s="53">
        <f>IF(AA$2&lt;=AnalysisPeriod,PreFinancingInstalledCostTotal*Inputs!$C$41*(1+Inflation)^Z$2,0)</f>
        <v>348451.06323071552</v>
      </c>
      <c r="AB35" s="53">
        <f>IF(AB$2&lt;=AnalysisPeriod,PreFinancingInstalledCostTotal*Inputs!$C$41*(1+Inflation)^AA$2,0)</f>
        <v>357162.33981148334</v>
      </c>
      <c r="AC35" s="53">
        <f>IF(AC$2&lt;=AnalysisPeriod,PreFinancingInstalledCostTotal*Inputs!$C$41*(1+Inflation)^AB$2,0)</f>
        <v>366091.39830677042</v>
      </c>
      <c r="AD35" s="53">
        <f>IF(AD$2&lt;=AnalysisPeriod,PreFinancingInstalledCostTotal*Inputs!$C$41*(1+Inflation)^AC$2,0)</f>
        <v>375243.68326443963</v>
      </c>
      <c r="AE35" s="53">
        <f>IF(AE$2&lt;=AnalysisPeriod,PreFinancingInstalledCostTotal*Inputs!$C$41*(1+Inflation)^AD$2,0)</f>
        <v>384624.77534605062</v>
      </c>
      <c r="AF35" s="53">
        <f>IF(AF$2&lt;=AnalysisPeriod,PreFinancingInstalledCostTotal*Inputs!$C$41*(1+Inflation)^AE$2,0)</f>
        <v>394240.39472970192</v>
      </c>
      <c r="AG35" s="53">
        <f>IF(AG$2&lt;=AnalysisPeriod,PreFinancingInstalledCostTotal*Inputs!$C$41*(1+Inflation)^AF$2,0)</f>
        <v>404096.40459794435</v>
      </c>
      <c r="AH35" s="53">
        <f>IF(AH$2&lt;=AnalysisPeriod,PreFinancingInstalledCostTotal*Inputs!$C$41*(1+Inflation)^AG$2,0)</f>
        <v>414198.8147128931</v>
      </c>
      <c r="AI35" s="53">
        <f>IF(AI$2&lt;=AnalysisPeriod,PreFinancingInstalledCostTotal*Inputs!$C$41*(1+Inflation)^AH$2,0)</f>
        <v>424553.78508071532</v>
      </c>
      <c r="AJ35" s="53">
        <f>IF(AJ$2&lt;=AnalysisPeriod,PreFinancingInstalledCostTotal*Inputs!$C$41*(1+Inflation)^AI$2,0)</f>
        <v>435167.62970773317</v>
      </c>
      <c r="AK35" s="53">
        <f>IF(AK$2&lt;=AnalysisPeriod,PreFinancingInstalledCostTotal*Inputs!$C$41*(1+Inflation)^AJ$2,0)</f>
        <v>446046.82045042649</v>
      </c>
      <c r="AL35" s="53">
        <f>IF(AL$2&lt;=AnalysisPeriod,PreFinancingInstalledCostTotal*Inputs!$C$41*(1+Inflation)^AK$2,0)</f>
        <v>457197.99096168712</v>
      </c>
      <c r="AM35" s="53">
        <f>IF(AM$2&lt;=AnalysisPeriod,PreFinancingInstalledCostTotal*Inputs!$C$41*(1+Inflation)^AL$2,0)</f>
        <v>468627.94073572935</v>
      </c>
      <c r="AN35" s="53">
        <f>IF(AN$2&lt;=AnalysisPeriod,PreFinancingInstalledCostTotal*Inputs!$C$41*(1+Inflation)^AM$2,0)</f>
        <v>480343.63925412251</v>
      </c>
      <c r="AO35" s="53">
        <f>IF(AO$2&lt;=AnalysisPeriod,PreFinancingInstalledCostTotal*Inputs!$C$41*(1+Inflation)^AN$2,0)</f>
        <v>492352.23023547546</v>
      </c>
      <c r="AP35" s="53">
        <f>IF(AP$2&lt;=AnalysisPeriod,PreFinancingInstalledCostTotal*Inputs!$C$41*(1+Inflation)^AO$2,0)</f>
        <v>504661.03599136241</v>
      </c>
    </row>
    <row r="36" spans="1:42" x14ac:dyDescent="0.2">
      <c r="A36" s="17" t="s">
        <v>33</v>
      </c>
      <c r="C36" s="39">
        <f t="shared" ref="C36:AP36" si="19">C25+C29+C33+C34+C35</f>
        <v>810383.18812499999</v>
      </c>
      <c r="D36" s="39">
        <f t="shared" si="19"/>
        <v>811223.11304799991</v>
      </c>
      <c r="E36" s="39">
        <f t="shared" si="19"/>
        <v>813159.1033715657</v>
      </c>
      <c r="F36" s="39">
        <f t="shared" si="19"/>
        <v>816168.72318766394</v>
      </c>
      <c r="G36" s="39">
        <f t="shared" si="19"/>
        <v>820231.60574812931</v>
      </c>
      <c r="H36" s="39">
        <f t="shared" si="19"/>
        <v>825329.37840985332</v>
      </c>
      <c r="I36" s="39">
        <f t="shared" si="19"/>
        <v>831445.59220109764</v>
      </c>
      <c r="J36" s="39">
        <f t="shared" si="19"/>
        <v>838565.65580483212</v>
      </c>
      <c r="K36" s="39">
        <f t="shared" si="19"/>
        <v>846676.77376606641</v>
      </c>
      <c r="L36" s="39">
        <f t="shared" si="19"/>
        <v>855767.88874066202</v>
      </c>
      <c r="M36" s="39">
        <f t="shared" si="19"/>
        <v>865829.62761313969</v>
      </c>
      <c r="N36" s="39">
        <f t="shared" si="19"/>
        <v>876854.25132055662</v>
      </c>
      <c r="O36" s="39">
        <f t="shared" si="19"/>
        <v>888835.60822862969</v>
      </c>
      <c r="P36" s="39">
        <f t="shared" si="19"/>
        <v>901769.0909149677</v>
      </c>
      <c r="Q36" s="39">
        <f t="shared" si="19"/>
        <v>915651.59622255131</v>
      </c>
      <c r="R36" s="39">
        <f t="shared" si="19"/>
        <v>930481.48845450114</v>
      </c>
      <c r="S36" s="39">
        <f t="shared" si="19"/>
        <v>946258.56558870501</v>
      </c>
      <c r="T36" s="39">
        <f t="shared" si="19"/>
        <v>962984.02839808119</v>
      </c>
      <c r="U36" s="39">
        <f t="shared" si="19"/>
        <v>980660.45236911089</v>
      </c>
      <c r="V36" s="39">
        <f t="shared" si="19"/>
        <v>999291.76231784513</v>
      </c>
      <c r="W36" s="39">
        <f t="shared" si="19"/>
        <v>1018883.2096088673</v>
      </c>
      <c r="X36" s="39">
        <f t="shared" si="19"/>
        <v>1039441.3518886843</v>
      </c>
      <c r="Y36" s="39">
        <f t="shared" si="19"/>
        <v>1060974.0352507653</v>
      </c>
      <c r="Z36" s="39">
        <f t="shared" si="19"/>
        <v>1083490.3787549352</v>
      </c>
      <c r="AA36" s="39">
        <f t="shared" si="19"/>
        <v>1107000.761229103</v>
      </c>
      <c r="AB36" s="39">
        <f t="shared" si="19"/>
        <v>1131516.8102863387</v>
      </c>
      <c r="AC36" s="39">
        <f t="shared" si="19"/>
        <v>1157051.3934951588</v>
      </c>
      <c r="AD36" s="39">
        <f t="shared" si="19"/>
        <v>1183618.6116455176</v>
      </c>
      <c r="AE36" s="39">
        <f t="shared" si="19"/>
        <v>1211233.7940574689</v>
      </c>
      <c r="AF36" s="39">
        <f t="shared" si="19"/>
        <v>1239913.4958837447</v>
      </c>
      <c r="AG36" s="39">
        <f t="shared" si="19"/>
        <v>1269675.4973616255</v>
      </c>
      <c r="AH36" s="39">
        <f t="shared" si="19"/>
        <v>1300538.8049734565</v>
      </c>
      <c r="AI36" s="39">
        <f t="shared" si="19"/>
        <v>1332523.6544789725</v>
      </c>
      <c r="AJ36" s="39">
        <f t="shared" si="19"/>
        <v>1365651.5157863284</v>
      </c>
      <c r="AK36" s="39">
        <f t="shared" si="19"/>
        <v>1399945.0996322585</v>
      </c>
      <c r="AL36" s="39">
        <f t="shared" si="19"/>
        <v>1435428.3660452769</v>
      </c>
      <c r="AM36" s="39">
        <f t="shared" si="19"/>
        <v>1472126.5345691522</v>
      </c>
      <c r="AN36" s="39">
        <f t="shared" si="19"/>
        <v>1510066.0962271425</v>
      </c>
      <c r="AO36" s="39">
        <f t="shared" si="19"/>
        <v>1549274.8272106205</v>
      </c>
      <c r="AP36" s="39">
        <f t="shared" si="19"/>
        <v>1589781.80427877</v>
      </c>
    </row>
    <row r="38" spans="1:42" ht="13.5" thickBot="1" x14ac:dyDescent="0.25">
      <c r="A38" s="48" t="s">
        <v>39</v>
      </c>
      <c r="C38" s="55">
        <f t="shared" ref="C38:AP38" si="20">C20-C36</f>
        <v>5982032.3718749993</v>
      </c>
      <c r="D38" s="55">
        <f t="shared" si="20"/>
        <v>6014814.9039740004</v>
      </c>
      <c r="E38" s="55">
        <f t="shared" si="20"/>
        <v>6046667.8018346932</v>
      </c>
      <c r="F38" s="55">
        <f t="shared" si="20"/>
        <v>6077614.3251993665</v>
      </c>
      <c r="G38" s="55">
        <f t="shared" si="20"/>
        <v>6107675.6687284168</v>
      </c>
      <c r="H38" s="55">
        <f t="shared" si="20"/>
        <v>6136871.0370753501</v>
      </c>
      <c r="I38" s="55">
        <f t="shared" si="20"/>
        <v>6165217.7153407605</v>
      </c>
      <c r="J38" s="55">
        <f t="shared" si="20"/>
        <v>6192731.1351093547</v>
      </c>
      <c r="K38" s="55">
        <f t="shared" si="20"/>
        <v>6219424.9362631496</v>
      </c>
      <c r="L38" s="55">
        <f t="shared" si="20"/>
        <v>6245311.024753198</v>
      </c>
      <c r="M38" s="55">
        <f t="shared" si="20"/>
        <v>6270399.6265025157</v>
      </c>
      <c r="N38" s="55">
        <f t="shared" si="20"/>
        <v>6294699.3376029693</v>
      </c>
      <c r="O38" s="55">
        <f t="shared" si="20"/>
        <v>6318217.1709600678</v>
      </c>
      <c r="P38" s="55">
        <f t="shared" si="20"/>
        <v>6340958.5995307146</v>
      </c>
      <c r="Q38" s="55">
        <f t="shared" si="20"/>
        <v>6362927.596290837</v>
      </c>
      <c r="R38" s="55">
        <f t="shared" si="20"/>
        <v>6384126.6710618278</v>
      </c>
      <c r="S38" s="55">
        <f t="shared" si="20"/>
        <v>6404556.90431723</v>
      </c>
      <c r="T38" s="55">
        <f t="shared" si="20"/>
        <v>6424217.9780838899</v>
      </c>
      <c r="U38" s="55">
        <f t="shared" si="20"/>
        <v>6443108.2040449465</v>
      </c>
      <c r="V38" s="55">
        <f t="shared" si="20"/>
        <v>6461224.5489454605</v>
      </c>
      <c r="W38" s="55">
        <f t="shared" si="20"/>
        <v>6478562.6573951915</v>
      </c>
      <c r="X38" s="55">
        <f t="shared" si="20"/>
        <v>6495116.8721570428</v>
      </c>
      <c r="Y38" s="55">
        <f t="shared" si="20"/>
        <v>6510880.252003991</v>
      </c>
      <c r="Z38" s="55">
        <f t="shared" si="20"/>
        <v>6525844.5872217314</v>
      </c>
      <c r="AA38" s="55">
        <f t="shared" si="20"/>
        <v>6540000.4128291495</v>
      </c>
      <c r="AB38" s="55">
        <f t="shared" si="20"/>
        <v>6553337.0195835028</v>
      </c>
      <c r="AC38" s="55">
        <f t="shared" si="20"/>
        <v>6565842.4628325365</v>
      </c>
      <c r="AD38" s="55">
        <f t="shared" si="20"/>
        <v>6577503.5692709992</v>
      </c>
      <c r="AE38" s="55">
        <f t="shared" si="20"/>
        <v>6588305.9416545853</v>
      </c>
      <c r="AF38" s="55">
        <f t="shared" si="20"/>
        <v>6598233.9615200832</v>
      </c>
      <c r="AG38" s="55">
        <f t="shared" si="20"/>
        <v>6607270.7899563536</v>
      </c>
      <c r="AH38" s="55">
        <f t="shared" si="20"/>
        <v>6615398.3664667439</v>
      </c>
      <c r="AI38" s="55">
        <f t="shared" si="20"/>
        <v>6622597.4059598576</v>
      </c>
      <c r="AJ38" s="55">
        <f t="shared" si="20"/>
        <v>6628847.393901675</v>
      </c>
      <c r="AK38" s="55">
        <f t="shared" si="20"/>
        <v>6634126.5796587002</v>
      </c>
      <c r="AL38" s="55">
        <f t="shared" si="20"/>
        <v>6638411.9680581717</v>
      </c>
      <c r="AM38" s="55">
        <f t="shared" si="20"/>
        <v>6641679.3091881089</v>
      </c>
      <c r="AN38" s="55">
        <f t="shared" si="20"/>
        <v>6643903.0864567161</v>
      </c>
      <c r="AO38" s="55">
        <f t="shared" si="20"/>
        <v>6645056.5029275231</v>
      </c>
      <c r="AP38" s="55">
        <f t="shared" si="20"/>
        <v>10498111.565943556</v>
      </c>
    </row>
    <row r="39" spans="1:42" ht="13.5" thickTop="1" x14ac:dyDescent="0.2"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</row>
    <row r="40" spans="1:42" x14ac:dyDescent="0.2">
      <c r="A40" s="45" t="s">
        <v>146</v>
      </c>
      <c r="B40" s="35"/>
      <c r="C40" s="38"/>
      <c r="D40" s="38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</row>
    <row r="41" spans="1:42" x14ac:dyDescent="0.2">
      <c r="A41" s="48" t="s">
        <v>111</v>
      </c>
      <c r="B41" s="39"/>
      <c r="C41" s="39"/>
      <c r="D41" s="39"/>
      <c r="E41" s="39"/>
      <c r="F41" s="39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</row>
    <row r="42" spans="1:42" x14ac:dyDescent="0.2">
      <c r="A42" s="46" t="s">
        <v>57</v>
      </c>
      <c r="B42" s="39">
        <v>0</v>
      </c>
      <c r="C42" s="39">
        <f>C38</f>
        <v>5982032.3718749993</v>
      </c>
      <c r="D42" s="39">
        <f t="shared" ref="D42:AP42" si="21">D38</f>
        <v>6014814.9039740004</v>
      </c>
      <c r="E42" s="39">
        <f t="shared" si="21"/>
        <v>6046667.8018346932</v>
      </c>
      <c r="F42" s="39">
        <f t="shared" si="21"/>
        <v>6077614.3251993665</v>
      </c>
      <c r="G42" s="39">
        <f t="shared" si="21"/>
        <v>6107675.6687284168</v>
      </c>
      <c r="H42" s="39">
        <f t="shared" si="21"/>
        <v>6136871.0370753501</v>
      </c>
      <c r="I42" s="39">
        <f t="shared" si="21"/>
        <v>6165217.7153407605</v>
      </c>
      <c r="J42" s="39">
        <f t="shared" si="21"/>
        <v>6192731.1351093547</v>
      </c>
      <c r="K42" s="39">
        <f t="shared" si="21"/>
        <v>6219424.9362631496</v>
      </c>
      <c r="L42" s="39">
        <f t="shared" si="21"/>
        <v>6245311.024753198</v>
      </c>
      <c r="M42" s="39">
        <f t="shared" si="21"/>
        <v>6270399.6265025157</v>
      </c>
      <c r="N42" s="39">
        <f t="shared" si="21"/>
        <v>6294699.3376029693</v>
      </c>
      <c r="O42" s="39">
        <f t="shared" si="21"/>
        <v>6318217.1709600678</v>
      </c>
      <c r="P42" s="39">
        <f t="shared" si="21"/>
        <v>6340958.5995307146</v>
      </c>
      <c r="Q42" s="39">
        <f t="shared" si="21"/>
        <v>6362927.596290837</v>
      </c>
      <c r="R42" s="39">
        <f t="shared" si="21"/>
        <v>6384126.6710618278</v>
      </c>
      <c r="S42" s="39">
        <f t="shared" si="21"/>
        <v>6404556.90431723</v>
      </c>
      <c r="T42" s="39">
        <f t="shared" si="21"/>
        <v>6424217.9780838899</v>
      </c>
      <c r="U42" s="39">
        <f t="shared" si="21"/>
        <v>6443108.2040449465</v>
      </c>
      <c r="V42" s="39">
        <f t="shared" si="21"/>
        <v>6461224.5489454605</v>
      </c>
      <c r="W42" s="39">
        <f t="shared" si="21"/>
        <v>6478562.6573951915</v>
      </c>
      <c r="X42" s="39">
        <f t="shared" si="21"/>
        <v>6495116.8721570428</v>
      </c>
      <c r="Y42" s="39">
        <f t="shared" si="21"/>
        <v>6510880.252003991</v>
      </c>
      <c r="Z42" s="39">
        <f t="shared" si="21"/>
        <v>6525844.5872217314</v>
      </c>
      <c r="AA42" s="39">
        <f t="shared" si="21"/>
        <v>6540000.4128291495</v>
      </c>
      <c r="AB42" s="39">
        <f t="shared" si="21"/>
        <v>6553337.0195835028</v>
      </c>
      <c r="AC42" s="39">
        <f t="shared" si="21"/>
        <v>6565842.4628325365</v>
      </c>
      <c r="AD42" s="39">
        <f t="shared" si="21"/>
        <v>6577503.5692709992</v>
      </c>
      <c r="AE42" s="39">
        <f t="shared" si="21"/>
        <v>6588305.9416545853</v>
      </c>
      <c r="AF42" s="39">
        <f t="shared" si="21"/>
        <v>6598233.9615200832</v>
      </c>
      <c r="AG42" s="39">
        <f t="shared" si="21"/>
        <v>6607270.7899563536</v>
      </c>
      <c r="AH42" s="39">
        <f t="shared" si="21"/>
        <v>6615398.3664667439</v>
      </c>
      <c r="AI42" s="39">
        <f t="shared" si="21"/>
        <v>6622597.4059598576</v>
      </c>
      <c r="AJ42" s="39">
        <f t="shared" si="21"/>
        <v>6628847.393901675</v>
      </c>
      <c r="AK42" s="39">
        <f t="shared" si="21"/>
        <v>6634126.5796587002</v>
      </c>
      <c r="AL42" s="39">
        <f t="shared" si="21"/>
        <v>6638411.9680581717</v>
      </c>
      <c r="AM42" s="39">
        <f t="shared" si="21"/>
        <v>6641679.3091881089</v>
      </c>
      <c r="AN42" s="39">
        <f t="shared" si="21"/>
        <v>6643903.0864567161</v>
      </c>
      <c r="AO42" s="39">
        <f t="shared" si="21"/>
        <v>6645056.5029275231</v>
      </c>
      <c r="AP42" s="39">
        <f t="shared" si="21"/>
        <v>10498111.565943556</v>
      </c>
    </row>
    <row r="43" spans="1:42" x14ac:dyDescent="0.2">
      <c r="A43" s="46" t="s">
        <v>130</v>
      </c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39"/>
      <c r="W43" s="39"/>
      <c r="X43" s="39"/>
      <c r="Y43" s="39"/>
      <c r="Z43" s="39"/>
      <c r="AA43" s="39"/>
      <c r="AB43" s="39"/>
      <c r="AC43" s="39"/>
      <c r="AD43" s="39"/>
      <c r="AE43" s="39"/>
      <c r="AF43" s="39"/>
      <c r="AG43" s="39"/>
      <c r="AH43" s="39"/>
      <c r="AI43" s="39"/>
      <c r="AJ43" s="39"/>
      <c r="AK43" s="39"/>
      <c r="AL43" s="39"/>
      <c r="AM43" s="39"/>
      <c r="AN43" s="39"/>
      <c r="AO43" s="39"/>
      <c r="AP43" s="39"/>
    </row>
    <row r="44" spans="1:42" x14ac:dyDescent="0.2">
      <c r="A44" s="50" t="str">
        <f>A14</f>
        <v>Federal ($/W)</v>
      </c>
      <c r="B44" s="39">
        <v>0</v>
      </c>
      <c r="C44" s="52">
        <f t="shared" ref="C44:AP44" si="22">IF(PBIFedDebtSwitch="Yes",0,C508)</f>
        <v>0</v>
      </c>
      <c r="D44" s="52">
        <f t="shared" si="22"/>
        <v>0</v>
      </c>
      <c r="E44" s="52">
        <f t="shared" si="22"/>
        <v>0</v>
      </c>
      <c r="F44" s="52">
        <f t="shared" si="22"/>
        <v>0</v>
      </c>
      <c r="G44" s="52">
        <f t="shared" si="22"/>
        <v>0</v>
      </c>
      <c r="H44" s="52">
        <f t="shared" si="22"/>
        <v>0</v>
      </c>
      <c r="I44" s="52">
        <f t="shared" si="22"/>
        <v>0</v>
      </c>
      <c r="J44" s="52">
        <f t="shared" si="22"/>
        <v>0</v>
      </c>
      <c r="K44" s="52">
        <f t="shared" si="22"/>
        <v>0</v>
      </c>
      <c r="L44" s="52">
        <f t="shared" si="22"/>
        <v>0</v>
      </c>
      <c r="M44" s="52">
        <f t="shared" si="22"/>
        <v>0</v>
      </c>
      <c r="N44" s="52">
        <f t="shared" si="22"/>
        <v>0</v>
      </c>
      <c r="O44" s="52">
        <f t="shared" si="22"/>
        <v>0</v>
      </c>
      <c r="P44" s="52">
        <f t="shared" si="22"/>
        <v>0</v>
      </c>
      <c r="Q44" s="52">
        <f t="shared" si="22"/>
        <v>0</v>
      </c>
      <c r="R44" s="52">
        <f t="shared" si="22"/>
        <v>0</v>
      </c>
      <c r="S44" s="52">
        <f t="shared" si="22"/>
        <v>0</v>
      </c>
      <c r="T44" s="52">
        <f t="shared" si="22"/>
        <v>0</v>
      </c>
      <c r="U44" s="52">
        <f t="shared" si="22"/>
        <v>0</v>
      </c>
      <c r="V44" s="52">
        <f t="shared" si="22"/>
        <v>0</v>
      </c>
      <c r="W44" s="52">
        <f t="shared" si="22"/>
        <v>0</v>
      </c>
      <c r="X44" s="52">
        <f t="shared" si="22"/>
        <v>0</v>
      </c>
      <c r="Y44" s="52">
        <f t="shared" si="22"/>
        <v>0</v>
      </c>
      <c r="Z44" s="52">
        <f t="shared" si="22"/>
        <v>0</v>
      </c>
      <c r="AA44" s="52">
        <f t="shared" si="22"/>
        <v>0</v>
      </c>
      <c r="AB44" s="52">
        <f t="shared" si="22"/>
        <v>0</v>
      </c>
      <c r="AC44" s="52">
        <f t="shared" si="22"/>
        <v>0</v>
      </c>
      <c r="AD44" s="52">
        <f t="shared" si="22"/>
        <v>0</v>
      </c>
      <c r="AE44" s="52">
        <f t="shared" si="22"/>
        <v>0</v>
      </c>
      <c r="AF44" s="52">
        <f t="shared" si="22"/>
        <v>0</v>
      </c>
      <c r="AG44" s="52">
        <f t="shared" si="22"/>
        <v>0</v>
      </c>
      <c r="AH44" s="52">
        <f t="shared" si="22"/>
        <v>0</v>
      </c>
      <c r="AI44" s="52">
        <f t="shared" si="22"/>
        <v>0</v>
      </c>
      <c r="AJ44" s="52">
        <f t="shared" si="22"/>
        <v>0</v>
      </c>
      <c r="AK44" s="52">
        <f t="shared" si="22"/>
        <v>0</v>
      </c>
      <c r="AL44" s="52">
        <f t="shared" si="22"/>
        <v>0</v>
      </c>
      <c r="AM44" s="52">
        <f t="shared" si="22"/>
        <v>0</v>
      </c>
      <c r="AN44" s="52">
        <f t="shared" si="22"/>
        <v>0</v>
      </c>
      <c r="AO44" s="52">
        <f t="shared" si="22"/>
        <v>0</v>
      </c>
      <c r="AP44" s="52">
        <f t="shared" si="22"/>
        <v>0</v>
      </c>
    </row>
    <row r="45" spans="1:42" x14ac:dyDescent="0.2">
      <c r="A45" s="50" t="str">
        <f>A15</f>
        <v>State ($/W)</v>
      </c>
      <c r="B45" s="39">
        <v>0</v>
      </c>
      <c r="C45" s="52">
        <f t="shared" ref="C45:AP45" si="23">IF(PBIStateDebtSwitch="Yes",0,C512)</f>
        <v>0</v>
      </c>
      <c r="D45" s="52">
        <f t="shared" si="23"/>
        <v>0</v>
      </c>
      <c r="E45" s="52">
        <f t="shared" si="23"/>
        <v>0</v>
      </c>
      <c r="F45" s="52">
        <f t="shared" si="23"/>
        <v>0</v>
      </c>
      <c r="G45" s="52">
        <f t="shared" si="23"/>
        <v>0</v>
      </c>
      <c r="H45" s="52">
        <f t="shared" si="23"/>
        <v>0</v>
      </c>
      <c r="I45" s="52">
        <f t="shared" si="23"/>
        <v>0</v>
      </c>
      <c r="J45" s="52">
        <f t="shared" si="23"/>
        <v>0</v>
      </c>
      <c r="K45" s="52">
        <f t="shared" si="23"/>
        <v>0</v>
      </c>
      <c r="L45" s="52">
        <f t="shared" si="23"/>
        <v>0</v>
      </c>
      <c r="M45" s="52">
        <f t="shared" si="23"/>
        <v>0</v>
      </c>
      <c r="N45" s="52">
        <f t="shared" si="23"/>
        <v>0</v>
      </c>
      <c r="O45" s="52">
        <f t="shared" si="23"/>
        <v>0</v>
      </c>
      <c r="P45" s="52">
        <f t="shared" si="23"/>
        <v>0</v>
      </c>
      <c r="Q45" s="52">
        <f t="shared" si="23"/>
        <v>0</v>
      </c>
      <c r="R45" s="52">
        <f t="shared" si="23"/>
        <v>0</v>
      </c>
      <c r="S45" s="52">
        <f t="shared" si="23"/>
        <v>0</v>
      </c>
      <c r="T45" s="52">
        <f t="shared" si="23"/>
        <v>0</v>
      </c>
      <c r="U45" s="52">
        <f t="shared" si="23"/>
        <v>0</v>
      </c>
      <c r="V45" s="52">
        <f t="shared" si="23"/>
        <v>0</v>
      </c>
      <c r="W45" s="52">
        <f t="shared" si="23"/>
        <v>0</v>
      </c>
      <c r="X45" s="52">
        <f t="shared" si="23"/>
        <v>0</v>
      </c>
      <c r="Y45" s="52">
        <f t="shared" si="23"/>
        <v>0</v>
      </c>
      <c r="Z45" s="52">
        <f t="shared" si="23"/>
        <v>0</v>
      </c>
      <c r="AA45" s="52">
        <f t="shared" si="23"/>
        <v>0</v>
      </c>
      <c r="AB45" s="52">
        <f t="shared" si="23"/>
        <v>0</v>
      </c>
      <c r="AC45" s="52">
        <f t="shared" si="23"/>
        <v>0</v>
      </c>
      <c r="AD45" s="52">
        <f t="shared" si="23"/>
        <v>0</v>
      </c>
      <c r="AE45" s="52">
        <f t="shared" si="23"/>
        <v>0</v>
      </c>
      <c r="AF45" s="52">
        <f t="shared" si="23"/>
        <v>0</v>
      </c>
      <c r="AG45" s="52">
        <f t="shared" si="23"/>
        <v>0</v>
      </c>
      <c r="AH45" s="52">
        <f t="shared" si="23"/>
        <v>0</v>
      </c>
      <c r="AI45" s="52">
        <f t="shared" si="23"/>
        <v>0</v>
      </c>
      <c r="AJ45" s="52">
        <f t="shared" si="23"/>
        <v>0</v>
      </c>
      <c r="AK45" s="52">
        <f t="shared" si="23"/>
        <v>0</v>
      </c>
      <c r="AL45" s="52">
        <f t="shared" si="23"/>
        <v>0</v>
      </c>
      <c r="AM45" s="52">
        <f t="shared" si="23"/>
        <v>0</v>
      </c>
      <c r="AN45" s="52">
        <f t="shared" si="23"/>
        <v>0</v>
      </c>
      <c r="AO45" s="52">
        <f t="shared" si="23"/>
        <v>0</v>
      </c>
      <c r="AP45" s="52">
        <f t="shared" si="23"/>
        <v>0</v>
      </c>
    </row>
    <row r="46" spans="1:42" x14ac:dyDescent="0.2">
      <c r="A46" s="50" t="str">
        <f>A16</f>
        <v>Utility ($/W)</v>
      </c>
      <c r="B46" s="39">
        <v>0</v>
      </c>
      <c r="C46" s="52">
        <f t="shared" ref="C46:AP46" si="24">IF(PBIUtilityDebtSwitch="Yes",0,C516)</f>
        <v>0</v>
      </c>
      <c r="D46" s="52">
        <f t="shared" si="24"/>
        <v>0</v>
      </c>
      <c r="E46" s="52">
        <f t="shared" si="24"/>
        <v>0</v>
      </c>
      <c r="F46" s="52">
        <f t="shared" si="24"/>
        <v>0</v>
      </c>
      <c r="G46" s="52">
        <f t="shared" si="24"/>
        <v>0</v>
      </c>
      <c r="H46" s="52">
        <f t="shared" si="24"/>
        <v>0</v>
      </c>
      <c r="I46" s="52">
        <f t="shared" si="24"/>
        <v>0</v>
      </c>
      <c r="J46" s="52">
        <f t="shared" si="24"/>
        <v>0</v>
      </c>
      <c r="K46" s="52">
        <f t="shared" si="24"/>
        <v>0</v>
      </c>
      <c r="L46" s="52">
        <f t="shared" si="24"/>
        <v>0</v>
      </c>
      <c r="M46" s="52">
        <f t="shared" si="24"/>
        <v>0</v>
      </c>
      <c r="N46" s="52">
        <f t="shared" si="24"/>
        <v>0</v>
      </c>
      <c r="O46" s="52">
        <f t="shared" si="24"/>
        <v>0</v>
      </c>
      <c r="P46" s="52">
        <f t="shared" si="24"/>
        <v>0</v>
      </c>
      <c r="Q46" s="52">
        <f t="shared" si="24"/>
        <v>0</v>
      </c>
      <c r="R46" s="52">
        <f t="shared" si="24"/>
        <v>0</v>
      </c>
      <c r="S46" s="52">
        <f t="shared" si="24"/>
        <v>0</v>
      </c>
      <c r="T46" s="52">
        <f t="shared" si="24"/>
        <v>0</v>
      </c>
      <c r="U46" s="52">
        <f t="shared" si="24"/>
        <v>0</v>
      </c>
      <c r="V46" s="52">
        <f t="shared" si="24"/>
        <v>0</v>
      </c>
      <c r="W46" s="52">
        <f t="shared" si="24"/>
        <v>0</v>
      </c>
      <c r="X46" s="52">
        <f t="shared" si="24"/>
        <v>0</v>
      </c>
      <c r="Y46" s="52">
        <f t="shared" si="24"/>
        <v>0</v>
      </c>
      <c r="Z46" s="52">
        <f t="shared" si="24"/>
        <v>0</v>
      </c>
      <c r="AA46" s="52">
        <f t="shared" si="24"/>
        <v>0</v>
      </c>
      <c r="AB46" s="52">
        <f t="shared" si="24"/>
        <v>0</v>
      </c>
      <c r="AC46" s="52">
        <f t="shared" si="24"/>
        <v>0</v>
      </c>
      <c r="AD46" s="52">
        <f t="shared" si="24"/>
        <v>0</v>
      </c>
      <c r="AE46" s="52">
        <f t="shared" si="24"/>
        <v>0</v>
      </c>
      <c r="AF46" s="52">
        <f t="shared" si="24"/>
        <v>0</v>
      </c>
      <c r="AG46" s="52">
        <f t="shared" si="24"/>
        <v>0</v>
      </c>
      <c r="AH46" s="52">
        <f t="shared" si="24"/>
        <v>0</v>
      </c>
      <c r="AI46" s="52">
        <f t="shared" si="24"/>
        <v>0</v>
      </c>
      <c r="AJ46" s="52">
        <f t="shared" si="24"/>
        <v>0</v>
      </c>
      <c r="AK46" s="52">
        <f t="shared" si="24"/>
        <v>0</v>
      </c>
      <c r="AL46" s="52">
        <f t="shared" si="24"/>
        <v>0</v>
      </c>
      <c r="AM46" s="52">
        <f t="shared" si="24"/>
        <v>0</v>
      </c>
      <c r="AN46" s="52">
        <f t="shared" si="24"/>
        <v>0</v>
      </c>
      <c r="AO46" s="52">
        <f t="shared" si="24"/>
        <v>0</v>
      </c>
      <c r="AP46" s="52">
        <f t="shared" si="24"/>
        <v>0</v>
      </c>
    </row>
    <row r="47" spans="1:42" x14ac:dyDescent="0.2">
      <c r="A47" s="50" t="str">
        <f>A17</f>
        <v>Other ($/W)</v>
      </c>
      <c r="B47" s="53">
        <v>0</v>
      </c>
      <c r="C47" s="53">
        <f t="shared" ref="C47:AP47" si="25">IF(PBIOtherDebtSwitch="Yes",0,C520)</f>
        <v>0</v>
      </c>
      <c r="D47" s="53">
        <f t="shared" si="25"/>
        <v>0</v>
      </c>
      <c r="E47" s="53">
        <f t="shared" si="25"/>
        <v>0</v>
      </c>
      <c r="F47" s="53">
        <f t="shared" si="25"/>
        <v>0</v>
      </c>
      <c r="G47" s="53">
        <f t="shared" si="25"/>
        <v>0</v>
      </c>
      <c r="H47" s="53">
        <f t="shared" si="25"/>
        <v>0</v>
      </c>
      <c r="I47" s="53">
        <f t="shared" si="25"/>
        <v>0</v>
      </c>
      <c r="J47" s="53">
        <f t="shared" si="25"/>
        <v>0</v>
      </c>
      <c r="K47" s="53">
        <f t="shared" si="25"/>
        <v>0</v>
      </c>
      <c r="L47" s="53">
        <f t="shared" si="25"/>
        <v>0</v>
      </c>
      <c r="M47" s="53">
        <f t="shared" si="25"/>
        <v>0</v>
      </c>
      <c r="N47" s="53">
        <f t="shared" si="25"/>
        <v>0</v>
      </c>
      <c r="O47" s="53">
        <f t="shared" si="25"/>
        <v>0</v>
      </c>
      <c r="P47" s="53">
        <f t="shared" si="25"/>
        <v>0</v>
      </c>
      <c r="Q47" s="53">
        <f t="shared" si="25"/>
        <v>0</v>
      </c>
      <c r="R47" s="53">
        <f t="shared" si="25"/>
        <v>0</v>
      </c>
      <c r="S47" s="53">
        <f t="shared" si="25"/>
        <v>0</v>
      </c>
      <c r="T47" s="53">
        <f t="shared" si="25"/>
        <v>0</v>
      </c>
      <c r="U47" s="53">
        <f t="shared" si="25"/>
        <v>0</v>
      </c>
      <c r="V47" s="53">
        <f t="shared" si="25"/>
        <v>0</v>
      </c>
      <c r="W47" s="53">
        <f t="shared" si="25"/>
        <v>0</v>
      </c>
      <c r="X47" s="53">
        <f t="shared" si="25"/>
        <v>0</v>
      </c>
      <c r="Y47" s="53">
        <f t="shared" si="25"/>
        <v>0</v>
      </c>
      <c r="Z47" s="53">
        <f t="shared" si="25"/>
        <v>0</v>
      </c>
      <c r="AA47" s="53">
        <f t="shared" si="25"/>
        <v>0</v>
      </c>
      <c r="AB47" s="53">
        <f t="shared" si="25"/>
        <v>0</v>
      </c>
      <c r="AC47" s="53">
        <f t="shared" si="25"/>
        <v>0</v>
      </c>
      <c r="AD47" s="53">
        <f t="shared" si="25"/>
        <v>0</v>
      </c>
      <c r="AE47" s="53">
        <f t="shared" si="25"/>
        <v>0</v>
      </c>
      <c r="AF47" s="53">
        <f t="shared" si="25"/>
        <v>0</v>
      </c>
      <c r="AG47" s="53">
        <f t="shared" si="25"/>
        <v>0</v>
      </c>
      <c r="AH47" s="53">
        <f t="shared" si="25"/>
        <v>0</v>
      </c>
      <c r="AI47" s="53">
        <f t="shared" si="25"/>
        <v>0</v>
      </c>
      <c r="AJ47" s="53">
        <f t="shared" si="25"/>
        <v>0</v>
      </c>
      <c r="AK47" s="53">
        <f t="shared" si="25"/>
        <v>0</v>
      </c>
      <c r="AL47" s="53">
        <f t="shared" si="25"/>
        <v>0</v>
      </c>
      <c r="AM47" s="53">
        <f t="shared" si="25"/>
        <v>0</v>
      </c>
      <c r="AN47" s="53">
        <f t="shared" si="25"/>
        <v>0</v>
      </c>
      <c r="AO47" s="53">
        <f t="shared" si="25"/>
        <v>0</v>
      </c>
      <c r="AP47" s="53">
        <f t="shared" si="25"/>
        <v>0</v>
      </c>
    </row>
    <row r="48" spans="1:42" x14ac:dyDescent="0.2">
      <c r="A48" s="50" t="s">
        <v>23</v>
      </c>
      <c r="B48" s="39">
        <f>SUM(B44:B47)</f>
        <v>0</v>
      </c>
      <c r="C48" s="39">
        <f>SUM(C44:C47)</f>
        <v>0</v>
      </c>
      <c r="D48" s="39">
        <f t="shared" ref="D48:AP48" si="26">SUM(D44:D47)</f>
        <v>0</v>
      </c>
      <c r="E48" s="39">
        <f t="shared" si="26"/>
        <v>0</v>
      </c>
      <c r="F48" s="39">
        <f t="shared" si="26"/>
        <v>0</v>
      </c>
      <c r="G48" s="39">
        <f t="shared" si="26"/>
        <v>0</v>
      </c>
      <c r="H48" s="39">
        <f t="shared" si="26"/>
        <v>0</v>
      </c>
      <c r="I48" s="39">
        <f t="shared" si="26"/>
        <v>0</v>
      </c>
      <c r="J48" s="39">
        <f t="shared" si="26"/>
        <v>0</v>
      </c>
      <c r="K48" s="39">
        <f t="shared" si="26"/>
        <v>0</v>
      </c>
      <c r="L48" s="39">
        <f t="shared" si="26"/>
        <v>0</v>
      </c>
      <c r="M48" s="39">
        <f t="shared" si="26"/>
        <v>0</v>
      </c>
      <c r="N48" s="39">
        <f t="shared" si="26"/>
        <v>0</v>
      </c>
      <c r="O48" s="39">
        <f t="shared" si="26"/>
        <v>0</v>
      </c>
      <c r="P48" s="39">
        <f t="shared" si="26"/>
        <v>0</v>
      </c>
      <c r="Q48" s="39">
        <f t="shared" si="26"/>
        <v>0</v>
      </c>
      <c r="R48" s="39">
        <f t="shared" si="26"/>
        <v>0</v>
      </c>
      <c r="S48" s="39">
        <f t="shared" si="26"/>
        <v>0</v>
      </c>
      <c r="T48" s="39">
        <f t="shared" si="26"/>
        <v>0</v>
      </c>
      <c r="U48" s="39">
        <f t="shared" si="26"/>
        <v>0</v>
      </c>
      <c r="V48" s="39">
        <f t="shared" si="26"/>
        <v>0</v>
      </c>
      <c r="W48" s="39">
        <f t="shared" si="26"/>
        <v>0</v>
      </c>
      <c r="X48" s="39">
        <f t="shared" si="26"/>
        <v>0</v>
      </c>
      <c r="Y48" s="39">
        <f t="shared" si="26"/>
        <v>0</v>
      </c>
      <c r="Z48" s="39">
        <f t="shared" si="26"/>
        <v>0</v>
      </c>
      <c r="AA48" s="39">
        <f t="shared" si="26"/>
        <v>0</v>
      </c>
      <c r="AB48" s="39">
        <f t="shared" si="26"/>
        <v>0</v>
      </c>
      <c r="AC48" s="39">
        <f t="shared" si="26"/>
        <v>0</v>
      </c>
      <c r="AD48" s="39">
        <f t="shared" si="26"/>
        <v>0</v>
      </c>
      <c r="AE48" s="39">
        <f t="shared" si="26"/>
        <v>0</v>
      </c>
      <c r="AF48" s="39">
        <f t="shared" si="26"/>
        <v>0</v>
      </c>
      <c r="AG48" s="39">
        <f t="shared" si="26"/>
        <v>0</v>
      </c>
      <c r="AH48" s="39">
        <f t="shared" si="26"/>
        <v>0</v>
      </c>
      <c r="AI48" s="39">
        <f t="shared" si="26"/>
        <v>0</v>
      </c>
      <c r="AJ48" s="39">
        <f t="shared" si="26"/>
        <v>0</v>
      </c>
      <c r="AK48" s="39">
        <f t="shared" si="26"/>
        <v>0</v>
      </c>
      <c r="AL48" s="39">
        <f t="shared" si="26"/>
        <v>0</v>
      </c>
      <c r="AM48" s="39">
        <f t="shared" si="26"/>
        <v>0</v>
      </c>
      <c r="AN48" s="39">
        <f t="shared" si="26"/>
        <v>0</v>
      </c>
      <c r="AO48" s="39">
        <f t="shared" si="26"/>
        <v>0</v>
      </c>
      <c r="AP48" s="39">
        <f t="shared" si="26"/>
        <v>0</v>
      </c>
    </row>
    <row r="49" spans="1:42" x14ac:dyDescent="0.2">
      <c r="A49" s="46" t="s">
        <v>66</v>
      </c>
      <c r="B49" s="39">
        <v>0</v>
      </c>
      <c r="C49" s="39">
        <f t="shared" ref="C49:AP49" si="27">C676</f>
        <v>44091.562982974756</v>
      </c>
      <c r="D49" s="39">
        <f t="shared" si="27"/>
        <v>49095.040974000542</v>
      </c>
      <c r="E49" s="39">
        <f t="shared" si="27"/>
        <v>54102.084130181123</v>
      </c>
      <c r="F49" s="39">
        <f t="shared" si="27"/>
        <v>59112.646894910125</v>
      </c>
      <c r="G49" s="39">
        <f t="shared" si="27"/>
        <v>64126.688431939969</v>
      </c>
      <c r="H49" s="39">
        <f t="shared" si="27"/>
        <v>69144.172455249514</v>
      </c>
      <c r="I49" s="39">
        <f t="shared" si="27"/>
        <v>74165.06706939546</v>
      </c>
      <c r="J49" s="39">
        <f t="shared" si="27"/>
        <v>79189.344619884287</v>
      </c>
      <c r="K49" s="39">
        <f t="shared" si="27"/>
        <v>84216.981553127553</v>
      </c>
      <c r="L49" s="39">
        <f t="shared" si="27"/>
        <v>89247.958285565284</v>
      </c>
      <c r="M49" s="39">
        <f t="shared" si="27"/>
        <v>94282.25908156771</v>
      </c>
      <c r="N49" s="39">
        <f t="shared" si="27"/>
        <v>99319.87193974432</v>
      </c>
      <c r="O49" s="39">
        <f t="shared" si="27"/>
        <v>46345.950107228346</v>
      </c>
      <c r="P49" s="39">
        <f t="shared" si="27"/>
        <v>14323.955992192006</v>
      </c>
      <c r="Q49" s="39">
        <f t="shared" si="27"/>
        <v>20878.904360319404</v>
      </c>
      <c r="R49" s="39">
        <f t="shared" si="27"/>
        <v>27442.142364035004</v>
      </c>
      <c r="S49" s="39">
        <f t="shared" si="27"/>
        <v>34013.668235645324</v>
      </c>
      <c r="T49" s="39">
        <f t="shared" si="27"/>
        <v>40593.49248191341</v>
      </c>
      <c r="U49" s="39">
        <f t="shared" si="27"/>
        <v>47181.63763834595</v>
      </c>
      <c r="V49" s="39">
        <f t="shared" si="27"/>
        <v>53778.138047083419</v>
      </c>
      <c r="W49" s="39">
        <f t="shared" si="27"/>
        <v>60383.039657565896</v>
      </c>
      <c r="X49" s="39">
        <f t="shared" si="27"/>
        <v>66996.39984920033</v>
      </c>
      <c r="Y49" s="39">
        <f t="shared" si="27"/>
        <v>73618.287275304581</v>
      </c>
      <c r="Z49" s="39">
        <f t="shared" si="27"/>
        <v>80248.781727652109</v>
      </c>
      <c r="AA49" s="39">
        <f t="shared" si="27"/>
        <v>9686.2566607546523</v>
      </c>
      <c r="AB49" s="39">
        <f t="shared" si="27"/>
        <v>18553.0826642053</v>
      </c>
      <c r="AC49" s="39">
        <f t="shared" si="27"/>
        <v>27428.820841482309</v>
      </c>
      <c r="AD49" s="39">
        <f t="shared" si="27"/>
        <v>36313.594574497787</v>
      </c>
      <c r="AE49" s="39">
        <f t="shared" si="27"/>
        <v>45207.537994802187</v>
      </c>
      <c r="AF49" s="39">
        <f t="shared" si="27"/>
        <v>54110.795959981944</v>
      </c>
      <c r="AG49" s="39">
        <f t="shared" si="27"/>
        <v>63023.524047113235</v>
      </c>
      <c r="AH49" s="39">
        <f t="shared" si="27"/>
        <v>71945.888562916574</v>
      </c>
      <c r="AI49" s="39">
        <f t="shared" si="27"/>
        <v>80878.06657028968</v>
      </c>
      <c r="AJ49" s="39">
        <f t="shared" si="27"/>
        <v>89820.245930928882</v>
      </c>
      <c r="AK49" s="39">
        <f t="shared" si="27"/>
        <v>98772.625363780608</v>
      </c>
      <c r="AL49" s="39">
        <f t="shared" si="27"/>
        <v>107735.41451909437</v>
      </c>
      <c r="AM49" s="39">
        <f t="shared" si="27"/>
        <v>12881.107177480082</v>
      </c>
      <c r="AN49" s="39">
        <f t="shared" si="27"/>
        <v>13213.078341987499</v>
      </c>
      <c r="AO49" s="39">
        <f t="shared" si="27"/>
        <v>13556.154738092931</v>
      </c>
      <c r="AP49" s="39">
        <f t="shared" si="27"/>
        <v>13910.59078743924</v>
      </c>
    </row>
    <row r="50" spans="1:42" x14ac:dyDescent="0.2">
      <c r="A50" s="46" t="s">
        <v>112</v>
      </c>
      <c r="B50" s="53">
        <v>0</v>
      </c>
      <c r="C50" s="53">
        <f>-C533</f>
        <v>-2832919.8747028136</v>
      </c>
      <c r="D50" s="53">
        <f t="shared" ref="D50:AP50" si="28">-D533</f>
        <v>-2714282.5946371374</v>
      </c>
      <c r="E50" s="53">
        <f t="shared" si="28"/>
        <v>-2583497.060411497</v>
      </c>
      <c r="F50" s="53">
        <f t="shared" si="28"/>
        <v>-2439589.2029484115</v>
      </c>
      <c r="G50" s="53">
        <f t="shared" si="28"/>
        <v>-2281500.6927965214</v>
      </c>
      <c r="H50" s="53">
        <f t="shared" si="28"/>
        <v>-2108081.9080224838</v>
      </c>
      <c r="I50" s="53">
        <f t="shared" si="28"/>
        <v>-1918084.2996467352</v>
      </c>
      <c r="J50" s="53">
        <f t="shared" si="28"/>
        <v>-1710152.1037052998</v>
      </c>
      <c r="K50" s="53">
        <f t="shared" si="28"/>
        <v>-1482813.344678968</v>
      </c>
      <c r="L50" s="53">
        <f t="shared" si="28"/>
        <v>-1234470.0703220109</v>
      </c>
      <c r="M50" s="53">
        <f t="shared" si="28"/>
        <v>-963387.75281385751</v>
      </c>
      <c r="N50" s="53">
        <f t="shared" si="28"/>
        <v>-667683.78561477631</v>
      </c>
      <c r="O50" s="53">
        <f t="shared" si="28"/>
        <v>-345314.99939374469</v>
      </c>
      <c r="P50" s="53">
        <f t="shared" si="28"/>
        <v>0</v>
      </c>
      <c r="Q50" s="53">
        <f t="shared" si="28"/>
        <v>0</v>
      </c>
      <c r="R50" s="53">
        <f t="shared" si="28"/>
        <v>0</v>
      </c>
      <c r="S50" s="53">
        <f t="shared" si="28"/>
        <v>0</v>
      </c>
      <c r="T50" s="53">
        <f t="shared" si="28"/>
        <v>0</v>
      </c>
      <c r="U50" s="53">
        <f t="shared" si="28"/>
        <v>0</v>
      </c>
      <c r="V50" s="53">
        <f t="shared" si="28"/>
        <v>0</v>
      </c>
      <c r="W50" s="53">
        <f t="shared" si="28"/>
        <v>0</v>
      </c>
      <c r="X50" s="53">
        <f t="shared" si="28"/>
        <v>0</v>
      </c>
      <c r="Y50" s="53">
        <f t="shared" si="28"/>
        <v>0</v>
      </c>
      <c r="Z50" s="53">
        <f t="shared" si="28"/>
        <v>0</v>
      </c>
      <c r="AA50" s="53">
        <f t="shared" si="28"/>
        <v>0</v>
      </c>
      <c r="AB50" s="53">
        <f t="shared" si="28"/>
        <v>0</v>
      </c>
      <c r="AC50" s="53">
        <f t="shared" si="28"/>
        <v>0</v>
      </c>
      <c r="AD50" s="53">
        <f t="shared" si="28"/>
        <v>0</v>
      </c>
      <c r="AE50" s="53">
        <f t="shared" si="28"/>
        <v>0</v>
      </c>
      <c r="AF50" s="53">
        <f t="shared" si="28"/>
        <v>0</v>
      </c>
      <c r="AG50" s="53">
        <f t="shared" si="28"/>
        <v>0</v>
      </c>
      <c r="AH50" s="53">
        <f t="shared" si="28"/>
        <v>0</v>
      </c>
      <c r="AI50" s="53">
        <f t="shared" si="28"/>
        <v>0</v>
      </c>
      <c r="AJ50" s="53">
        <f t="shared" si="28"/>
        <v>0</v>
      </c>
      <c r="AK50" s="53">
        <f t="shared" si="28"/>
        <v>0</v>
      </c>
      <c r="AL50" s="53">
        <f t="shared" si="28"/>
        <v>0</v>
      </c>
      <c r="AM50" s="53">
        <f t="shared" si="28"/>
        <v>0</v>
      </c>
      <c r="AN50" s="53">
        <f t="shared" si="28"/>
        <v>0</v>
      </c>
      <c r="AO50" s="53">
        <f t="shared" si="28"/>
        <v>0</v>
      </c>
      <c r="AP50" s="53">
        <f t="shared" si="28"/>
        <v>0</v>
      </c>
    </row>
    <row r="51" spans="1:42" x14ac:dyDescent="0.2">
      <c r="A51" s="46" t="s">
        <v>23</v>
      </c>
      <c r="B51" s="39">
        <f>B42+B48+B49+B50</f>
        <v>0</v>
      </c>
      <c r="C51" s="39">
        <f t="shared" ref="C51:AP51" si="29">C42+C48+C49+C50</f>
        <v>3193204.0601551603</v>
      </c>
      <c r="D51" s="39">
        <f t="shared" si="29"/>
        <v>3349627.3503108635</v>
      </c>
      <c r="E51" s="39">
        <f t="shared" si="29"/>
        <v>3517272.8255533772</v>
      </c>
      <c r="F51" s="39">
        <f t="shared" si="29"/>
        <v>3697137.7691458655</v>
      </c>
      <c r="G51" s="39">
        <f t="shared" si="29"/>
        <v>3890301.6643638355</v>
      </c>
      <c r="H51" s="39">
        <f t="shared" si="29"/>
        <v>4097933.3015081156</v>
      </c>
      <c r="I51" s="39">
        <f t="shared" si="29"/>
        <v>4321298.4827634208</v>
      </c>
      <c r="J51" s="39">
        <f t="shared" si="29"/>
        <v>4561768.3760239389</v>
      </c>
      <c r="K51" s="39">
        <f t="shared" si="29"/>
        <v>4820828.5731373094</v>
      </c>
      <c r="L51" s="39">
        <f t="shared" si="29"/>
        <v>5100088.9127167528</v>
      </c>
      <c r="M51" s="39">
        <f t="shared" si="29"/>
        <v>5401294.1327702254</v>
      </c>
      <c r="N51" s="39">
        <f t="shared" si="29"/>
        <v>5726335.4239279367</v>
      </c>
      <c r="O51" s="39">
        <f t="shared" si="29"/>
        <v>6019248.1216735514</v>
      </c>
      <c r="P51" s="39">
        <f t="shared" si="29"/>
        <v>6355282.5555229066</v>
      </c>
      <c r="Q51" s="39">
        <f t="shared" si="29"/>
        <v>6383806.5006511565</v>
      </c>
      <c r="R51" s="39">
        <f t="shared" si="29"/>
        <v>6411568.8134258632</v>
      </c>
      <c r="S51" s="39">
        <f t="shared" si="29"/>
        <v>6438570.5725528756</v>
      </c>
      <c r="T51" s="39">
        <f t="shared" si="29"/>
        <v>6464811.4705658033</v>
      </c>
      <c r="U51" s="39">
        <f t="shared" si="29"/>
        <v>6490289.8416832928</v>
      </c>
      <c r="V51" s="39">
        <f t="shared" si="29"/>
        <v>6515002.6869925437</v>
      </c>
      <c r="W51" s="39">
        <f t="shared" si="29"/>
        <v>6538945.6970527573</v>
      </c>
      <c r="X51" s="39">
        <f t="shared" si="29"/>
        <v>6562113.2720062435</v>
      </c>
      <c r="Y51" s="39">
        <f t="shared" si="29"/>
        <v>6584498.5392792961</v>
      </c>
      <c r="Z51" s="39">
        <f t="shared" si="29"/>
        <v>6606093.3689493835</v>
      </c>
      <c r="AA51" s="39">
        <f t="shared" si="29"/>
        <v>6549686.6694899043</v>
      </c>
      <c r="AB51" s="39">
        <f t="shared" si="29"/>
        <v>6571890.1022477085</v>
      </c>
      <c r="AC51" s="39">
        <f t="shared" si="29"/>
        <v>6593271.2836740185</v>
      </c>
      <c r="AD51" s="39">
        <f t="shared" si="29"/>
        <v>6613817.1638454972</v>
      </c>
      <c r="AE51" s="39">
        <f t="shared" si="29"/>
        <v>6633513.4796493873</v>
      </c>
      <c r="AF51" s="39">
        <f t="shared" si="29"/>
        <v>6652344.7574800653</v>
      </c>
      <c r="AG51" s="39">
        <f t="shared" si="29"/>
        <v>6670294.3140034666</v>
      </c>
      <c r="AH51" s="39">
        <f t="shared" si="29"/>
        <v>6687344.2550296606</v>
      </c>
      <c r="AI51" s="39">
        <f t="shared" si="29"/>
        <v>6703475.4725301471</v>
      </c>
      <c r="AJ51" s="39">
        <f t="shared" si="29"/>
        <v>6718667.6398326037</v>
      </c>
      <c r="AK51" s="39">
        <f t="shared" si="29"/>
        <v>6732899.2050224803</v>
      </c>
      <c r="AL51" s="39">
        <f t="shared" si="29"/>
        <v>6746147.3825772656</v>
      </c>
      <c r="AM51" s="39">
        <f t="shared" si="29"/>
        <v>6654560.416365589</v>
      </c>
      <c r="AN51" s="39">
        <f t="shared" si="29"/>
        <v>6657116.164798704</v>
      </c>
      <c r="AO51" s="39">
        <f t="shared" si="29"/>
        <v>6658612.6576656159</v>
      </c>
      <c r="AP51" s="39">
        <f t="shared" si="29"/>
        <v>10512022.156730995</v>
      </c>
    </row>
    <row r="52" spans="1:42" x14ac:dyDescent="0.2">
      <c r="A52" s="46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</row>
    <row r="53" spans="1:42" x14ac:dyDescent="0.2">
      <c r="A53" s="48" t="s">
        <v>104</v>
      </c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</row>
    <row r="54" spans="1:42" x14ac:dyDescent="0.2">
      <c r="A54" s="46" t="s">
        <v>105</v>
      </c>
      <c r="B54" s="39">
        <f>-SOInstalledCostTotal+B56+B57</f>
        <v>-41049518.884741411</v>
      </c>
      <c r="C54" s="39">
        <v>0</v>
      </c>
      <c r="D54" s="39">
        <v>0</v>
      </c>
      <c r="E54" s="39">
        <v>0</v>
      </c>
      <c r="F54" s="39">
        <v>0</v>
      </c>
      <c r="G54" s="39">
        <v>0</v>
      </c>
      <c r="H54" s="39">
        <v>0</v>
      </c>
      <c r="I54" s="39">
        <v>0</v>
      </c>
      <c r="J54" s="39">
        <v>0</v>
      </c>
      <c r="K54" s="39">
        <v>0</v>
      </c>
      <c r="L54" s="39">
        <v>0</v>
      </c>
      <c r="M54" s="39">
        <v>0</v>
      </c>
      <c r="N54" s="39">
        <v>0</v>
      </c>
      <c r="O54" s="39">
        <v>0</v>
      </c>
      <c r="P54" s="39">
        <v>0</v>
      </c>
      <c r="Q54" s="39">
        <v>0</v>
      </c>
      <c r="R54" s="39">
        <v>0</v>
      </c>
      <c r="S54" s="39">
        <v>0</v>
      </c>
      <c r="T54" s="39">
        <v>0</v>
      </c>
      <c r="U54" s="39">
        <v>0</v>
      </c>
      <c r="V54" s="39">
        <v>0</v>
      </c>
      <c r="W54" s="39">
        <v>0</v>
      </c>
      <c r="X54" s="39">
        <v>0</v>
      </c>
      <c r="Y54" s="39">
        <v>0</v>
      </c>
      <c r="Z54" s="39">
        <v>0</v>
      </c>
      <c r="AA54" s="39">
        <v>0</v>
      </c>
      <c r="AB54" s="39">
        <v>0</v>
      </c>
      <c r="AC54" s="39">
        <v>0</v>
      </c>
      <c r="AD54" s="39">
        <v>0</v>
      </c>
      <c r="AE54" s="39">
        <v>0</v>
      </c>
      <c r="AF54" s="39">
        <v>0</v>
      </c>
      <c r="AG54" s="39">
        <v>0</v>
      </c>
      <c r="AH54" s="39">
        <v>0</v>
      </c>
      <c r="AI54" s="39">
        <v>0</v>
      </c>
      <c r="AJ54" s="39">
        <v>0</v>
      </c>
      <c r="AK54" s="39">
        <v>0</v>
      </c>
      <c r="AL54" s="39">
        <v>0</v>
      </c>
      <c r="AM54" s="39">
        <v>0</v>
      </c>
      <c r="AN54" s="39">
        <v>0</v>
      </c>
      <c r="AO54" s="39">
        <v>0</v>
      </c>
      <c r="AP54" s="39">
        <v>0</v>
      </c>
    </row>
    <row r="55" spans="1:42" x14ac:dyDescent="0.2">
      <c r="A55" s="46" t="s">
        <v>106</v>
      </c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</row>
    <row r="56" spans="1:42" x14ac:dyDescent="0.2">
      <c r="A56" s="50" t="s">
        <v>107</v>
      </c>
      <c r="B56" s="39">
        <f t="shared" ref="B56:AP56" si="30">-B568-B569</f>
        <v>-2114326.2906789142</v>
      </c>
      <c r="C56" s="39">
        <f t="shared" si="30"/>
        <v>-12141.678555185907</v>
      </c>
      <c r="D56" s="39">
        <f t="shared" si="30"/>
        <v>-11797.369578034151</v>
      </c>
      <c r="E56" s="39">
        <f t="shared" si="30"/>
        <v>-11461.675320249517</v>
      </c>
      <c r="F56" s="39">
        <f t="shared" si="30"/>
        <v>-11133.830936685205</v>
      </c>
      <c r="G56" s="39">
        <f t="shared" si="30"/>
        <v>-10813.099387753289</v>
      </c>
      <c r="H56" s="39">
        <f t="shared" si="30"/>
        <v>-10498.769727929495</v>
      </c>
      <c r="I56" s="39">
        <f t="shared" si="30"/>
        <v>-10190.155469849706</v>
      </c>
      <c r="J56" s="39">
        <f t="shared" si="30"/>
        <v>-9886.5930199241266</v>
      </c>
      <c r="K56" s="39">
        <f t="shared" si="30"/>
        <v>-9587.4401814993471</v>
      </c>
      <c r="L56" s="39">
        <f t="shared" si="30"/>
        <v>-9292.0747219696641</v>
      </c>
      <c r="M56" s="39">
        <f t="shared" si="30"/>
        <v>-8999.8930001677945</v>
      </c>
      <c r="N56" s="39">
        <f t="shared" si="30"/>
        <v>26206.668565143365</v>
      </c>
      <c r="O56" s="39">
        <f t="shared" si="30"/>
        <v>2203922.202013019</v>
      </c>
      <c r="P56" s="39">
        <f t="shared" si="30"/>
        <v>0</v>
      </c>
      <c r="Q56" s="39">
        <f t="shared" si="30"/>
        <v>0</v>
      </c>
      <c r="R56" s="39">
        <f t="shared" si="30"/>
        <v>0</v>
      </c>
      <c r="S56" s="39">
        <f t="shared" si="30"/>
        <v>0</v>
      </c>
      <c r="T56" s="39">
        <f t="shared" si="30"/>
        <v>0</v>
      </c>
      <c r="U56" s="39">
        <f t="shared" si="30"/>
        <v>0</v>
      </c>
      <c r="V56" s="39">
        <f t="shared" si="30"/>
        <v>0</v>
      </c>
      <c r="W56" s="39">
        <f t="shared" si="30"/>
        <v>0</v>
      </c>
      <c r="X56" s="39">
        <f t="shared" si="30"/>
        <v>0</v>
      </c>
      <c r="Y56" s="39">
        <f t="shared" si="30"/>
        <v>0</v>
      </c>
      <c r="Z56" s="39">
        <f t="shared" si="30"/>
        <v>0</v>
      </c>
      <c r="AA56" s="39">
        <f t="shared" si="30"/>
        <v>0</v>
      </c>
      <c r="AB56" s="39">
        <f t="shared" si="30"/>
        <v>0</v>
      </c>
      <c r="AC56" s="39">
        <f t="shared" si="30"/>
        <v>0</v>
      </c>
      <c r="AD56" s="39">
        <f t="shared" si="30"/>
        <v>0</v>
      </c>
      <c r="AE56" s="39">
        <f t="shared" si="30"/>
        <v>0</v>
      </c>
      <c r="AF56" s="39">
        <f t="shared" si="30"/>
        <v>0</v>
      </c>
      <c r="AG56" s="39">
        <f t="shared" si="30"/>
        <v>0</v>
      </c>
      <c r="AH56" s="39">
        <f t="shared" si="30"/>
        <v>0</v>
      </c>
      <c r="AI56" s="39">
        <f t="shared" si="30"/>
        <v>0</v>
      </c>
      <c r="AJ56" s="39">
        <f t="shared" si="30"/>
        <v>0</v>
      </c>
      <c r="AK56" s="39">
        <f t="shared" si="30"/>
        <v>0</v>
      </c>
      <c r="AL56" s="39">
        <f t="shared" si="30"/>
        <v>0</v>
      </c>
      <c r="AM56" s="39">
        <f t="shared" si="30"/>
        <v>0</v>
      </c>
      <c r="AN56" s="39">
        <f t="shared" si="30"/>
        <v>0</v>
      </c>
      <c r="AO56" s="39">
        <f t="shared" si="30"/>
        <v>0</v>
      </c>
      <c r="AP56" s="39">
        <f t="shared" si="30"/>
        <v>0</v>
      </c>
    </row>
    <row r="57" spans="1:42" x14ac:dyDescent="0.2">
      <c r="A57" s="50" t="s">
        <v>113</v>
      </c>
      <c r="B57" s="39">
        <f t="shared" ref="B57:AP57" si="31">-B574-B575</f>
        <v>-405191.59406249999</v>
      </c>
      <c r="C57" s="39">
        <f t="shared" si="31"/>
        <v>-419.96246149996296</v>
      </c>
      <c r="D57" s="39">
        <f t="shared" si="31"/>
        <v>-967.99516178289196</v>
      </c>
      <c r="E57" s="39">
        <f t="shared" si="31"/>
        <v>-1504.8099080491229</v>
      </c>
      <c r="F57" s="39">
        <f t="shared" si="31"/>
        <v>-2031.4412802326842</v>
      </c>
      <c r="G57" s="39">
        <f t="shared" si="31"/>
        <v>-2548.8863308620057</v>
      </c>
      <c r="H57" s="39">
        <f t="shared" si="31"/>
        <v>-3058.106895622157</v>
      </c>
      <c r="I57" s="39">
        <f t="shared" si="31"/>
        <v>-3560.0318018672406</v>
      </c>
      <c r="J57" s="39">
        <f t="shared" si="31"/>
        <v>-4055.5589806171483</v>
      </c>
      <c r="K57" s="39">
        <f t="shared" si="31"/>
        <v>-4545.5574872978032</v>
      </c>
      <c r="L57" s="39">
        <f t="shared" si="31"/>
        <v>-5030.8694362388342</v>
      </c>
      <c r="M57" s="39">
        <f t="shared" si="31"/>
        <v>-5512.3118537084665</v>
      </c>
      <c r="N57" s="39">
        <f t="shared" si="31"/>
        <v>-5990.6784540365334</v>
      </c>
      <c r="O57" s="39">
        <f t="shared" si="31"/>
        <v>-6466.7413431690075</v>
      </c>
      <c r="P57" s="39">
        <f t="shared" si="31"/>
        <v>-6941.252653791802</v>
      </c>
      <c r="Q57" s="39">
        <f t="shared" si="31"/>
        <v>-7414.9461159749189</v>
      </c>
      <c r="R57" s="39">
        <f t="shared" si="31"/>
        <v>-7888.5385671019321</v>
      </c>
      <c r="S57" s="39">
        <f t="shared" si="31"/>
        <v>-8362.7314046880929</v>
      </c>
      <c r="T57" s="39">
        <f t="shared" si="31"/>
        <v>-8838.2119855148485</v>
      </c>
      <c r="U57" s="39">
        <f t="shared" si="31"/>
        <v>-9315.6549743671203</v>
      </c>
      <c r="V57" s="39">
        <f t="shared" si="31"/>
        <v>-9795.7236455110833</v>
      </c>
      <c r="W57" s="39">
        <f t="shared" si="31"/>
        <v>-10279.071139908512</v>
      </c>
      <c r="X57" s="39">
        <f t="shared" si="31"/>
        <v>-10766.341681040474</v>
      </c>
      <c r="Y57" s="39">
        <f t="shared" si="31"/>
        <v>-11258.171752084978</v>
      </c>
      <c r="Z57" s="39">
        <f t="shared" si="31"/>
        <v>-11755.191237083869</v>
      </c>
      <c r="AA57" s="39">
        <f t="shared" si="31"/>
        <v>-12258.024528617854</v>
      </c>
      <c r="AB57" s="39">
        <f t="shared" si="31"/>
        <v>-12767.291604410042</v>
      </c>
      <c r="AC57" s="39">
        <f t="shared" si="31"/>
        <v>-13283.60907517944</v>
      </c>
      <c r="AD57" s="39">
        <f t="shared" si="31"/>
        <v>-13807.591205975623</v>
      </c>
      <c r="AE57" s="39">
        <f t="shared" si="31"/>
        <v>-14339.850913137896</v>
      </c>
      <c r="AF57" s="39">
        <f t="shared" si="31"/>
        <v>-14881.000738940435</v>
      </c>
      <c r="AG57" s="39">
        <f t="shared" si="31"/>
        <v>-15431.653805915499</v>
      </c>
      <c r="AH57" s="39">
        <f t="shared" si="31"/>
        <v>-15992.424752758001</v>
      </c>
      <c r="AI57" s="39">
        <f t="shared" si="31"/>
        <v>-16563.930653677904</v>
      </c>
      <c r="AJ57" s="39">
        <f t="shared" si="31"/>
        <v>-17146.791922965087</v>
      </c>
      <c r="AK57" s="39">
        <f t="shared" si="31"/>
        <v>-17741.63320650917</v>
      </c>
      <c r="AL57" s="39">
        <f t="shared" si="31"/>
        <v>-18349.084261937649</v>
      </c>
      <c r="AM57" s="39">
        <f t="shared" si="31"/>
        <v>-18969.780828995164</v>
      </c>
      <c r="AN57" s="39">
        <f t="shared" si="31"/>
        <v>-19604.365491739009</v>
      </c>
      <c r="AO57" s="39">
        <f t="shared" si="31"/>
        <v>-20253.488534074742</v>
      </c>
      <c r="AP57" s="39">
        <f t="shared" si="31"/>
        <v>794890.902139385</v>
      </c>
    </row>
    <row r="58" spans="1:42" x14ac:dyDescent="0.2">
      <c r="A58" s="50" t="s">
        <v>156</v>
      </c>
      <c r="B58" s="52">
        <f>-B580-B581</f>
        <v>0</v>
      </c>
      <c r="C58" s="52">
        <f t="shared" ref="C58:AP58" si="32">-C580-C581</f>
        <v>-273351.3870419304</v>
      </c>
      <c r="D58" s="52">
        <f t="shared" si="32"/>
        <v>-273351.3870419304</v>
      </c>
      <c r="E58" s="52">
        <f t="shared" si="32"/>
        <v>-273351.3870419304</v>
      </c>
      <c r="F58" s="52">
        <f t="shared" si="32"/>
        <v>-273351.3870419304</v>
      </c>
      <c r="G58" s="52">
        <f t="shared" si="32"/>
        <v>-273351.3870419304</v>
      </c>
      <c r="H58" s="52">
        <f t="shared" si="32"/>
        <v>-273351.3870419304</v>
      </c>
      <c r="I58" s="52">
        <f t="shared" si="32"/>
        <v>-273351.3870419304</v>
      </c>
      <c r="J58" s="52">
        <f t="shared" si="32"/>
        <v>-273351.3870419304</v>
      </c>
      <c r="K58" s="52">
        <f t="shared" si="32"/>
        <v>-273351.3870419304</v>
      </c>
      <c r="L58" s="52">
        <f t="shared" si="32"/>
        <v>-273351.3870419304</v>
      </c>
      <c r="M58" s="52">
        <f t="shared" si="32"/>
        <v>-273351.3870419304</v>
      </c>
      <c r="N58" s="52">
        <f t="shared" si="32"/>
        <v>3006865.2574612345</v>
      </c>
      <c r="O58" s="52">
        <f t="shared" si="32"/>
        <v>-367627.22552491649</v>
      </c>
      <c r="P58" s="52">
        <f t="shared" si="32"/>
        <v>-367627.22552491649</v>
      </c>
      <c r="Q58" s="52">
        <f t="shared" si="32"/>
        <v>-367627.22552491649</v>
      </c>
      <c r="R58" s="52">
        <f t="shared" si="32"/>
        <v>-367627.22552491649</v>
      </c>
      <c r="S58" s="52">
        <f t="shared" si="32"/>
        <v>-367627.22552491649</v>
      </c>
      <c r="T58" s="52">
        <f t="shared" si="32"/>
        <v>-367627.22552491649</v>
      </c>
      <c r="U58" s="52">
        <f t="shared" si="32"/>
        <v>-367627.22552491649</v>
      </c>
      <c r="V58" s="52">
        <f t="shared" si="32"/>
        <v>-367627.22552491649</v>
      </c>
      <c r="W58" s="52">
        <f t="shared" si="32"/>
        <v>-367627.22552491649</v>
      </c>
      <c r="X58" s="52">
        <f t="shared" si="32"/>
        <v>-367627.22552491649</v>
      </c>
      <c r="Y58" s="52">
        <f t="shared" si="32"/>
        <v>-367627.22552491649</v>
      </c>
      <c r="Z58" s="52">
        <f t="shared" si="32"/>
        <v>4043899.4807740813</v>
      </c>
      <c r="AA58" s="52">
        <f t="shared" si="32"/>
        <v>-494417.74709713337</v>
      </c>
      <c r="AB58" s="52">
        <f t="shared" si="32"/>
        <v>-494417.74709713337</v>
      </c>
      <c r="AC58" s="52">
        <f t="shared" si="32"/>
        <v>-494417.74709713337</v>
      </c>
      <c r="AD58" s="52">
        <f t="shared" si="32"/>
        <v>-494417.74709713337</v>
      </c>
      <c r="AE58" s="52">
        <f t="shared" si="32"/>
        <v>-494417.74709713337</v>
      </c>
      <c r="AF58" s="52">
        <f t="shared" si="32"/>
        <v>-494417.74709713337</v>
      </c>
      <c r="AG58" s="52">
        <f t="shared" si="32"/>
        <v>-494417.74709713337</v>
      </c>
      <c r="AH58" s="52">
        <f t="shared" si="32"/>
        <v>-494417.74709713337</v>
      </c>
      <c r="AI58" s="52">
        <f t="shared" si="32"/>
        <v>-494417.74709713337</v>
      </c>
      <c r="AJ58" s="52">
        <f t="shared" si="32"/>
        <v>-494417.74709713337</v>
      </c>
      <c r="AK58" s="52">
        <f t="shared" si="32"/>
        <v>-494417.74709713337</v>
      </c>
      <c r="AL58" s="52">
        <f t="shared" si="32"/>
        <v>5438595.2180684665</v>
      </c>
      <c r="AM58" s="52">
        <f t="shared" si="32"/>
        <v>0</v>
      </c>
      <c r="AN58" s="52">
        <f t="shared" si="32"/>
        <v>0</v>
      </c>
      <c r="AO58" s="52">
        <f t="shared" si="32"/>
        <v>0</v>
      </c>
      <c r="AP58" s="52">
        <f t="shared" si="32"/>
        <v>0</v>
      </c>
    </row>
    <row r="59" spans="1:42" x14ac:dyDescent="0.2">
      <c r="A59" s="50" t="s">
        <v>157</v>
      </c>
      <c r="B59" s="52">
        <f>-B612-B613</f>
        <v>0</v>
      </c>
      <c r="C59" s="52">
        <f t="shared" ref="C59:AP59" si="33">-C612-C613</f>
        <v>0</v>
      </c>
      <c r="D59" s="52">
        <f t="shared" si="33"/>
        <v>0</v>
      </c>
      <c r="E59" s="52">
        <f t="shared" si="33"/>
        <v>0</v>
      </c>
      <c r="F59" s="52">
        <f t="shared" si="33"/>
        <v>0</v>
      </c>
      <c r="G59" s="52">
        <f t="shared" si="33"/>
        <v>0</v>
      </c>
      <c r="H59" s="52">
        <f t="shared" si="33"/>
        <v>0</v>
      </c>
      <c r="I59" s="52">
        <f t="shared" si="33"/>
        <v>0</v>
      </c>
      <c r="J59" s="52">
        <f t="shared" si="33"/>
        <v>0</v>
      </c>
      <c r="K59" s="52">
        <f t="shared" si="33"/>
        <v>0</v>
      </c>
      <c r="L59" s="52">
        <f t="shared" si="33"/>
        <v>0</v>
      </c>
      <c r="M59" s="52">
        <f t="shared" si="33"/>
        <v>0</v>
      </c>
      <c r="N59" s="52">
        <f t="shared" si="33"/>
        <v>0</v>
      </c>
      <c r="O59" s="52">
        <f t="shared" si="33"/>
        <v>0</v>
      </c>
      <c r="P59" s="52">
        <f t="shared" si="33"/>
        <v>0</v>
      </c>
      <c r="Q59" s="52">
        <f t="shared" si="33"/>
        <v>0</v>
      </c>
      <c r="R59" s="52">
        <f t="shared" si="33"/>
        <v>0</v>
      </c>
      <c r="S59" s="52">
        <f t="shared" si="33"/>
        <v>0</v>
      </c>
      <c r="T59" s="52">
        <f t="shared" si="33"/>
        <v>0</v>
      </c>
      <c r="U59" s="52">
        <f t="shared" si="33"/>
        <v>0</v>
      </c>
      <c r="V59" s="52">
        <f t="shared" si="33"/>
        <v>0</v>
      </c>
      <c r="W59" s="52">
        <f t="shared" si="33"/>
        <v>0</v>
      </c>
      <c r="X59" s="52">
        <f t="shared" si="33"/>
        <v>0</v>
      </c>
      <c r="Y59" s="52">
        <f t="shared" si="33"/>
        <v>0</v>
      </c>
      <c r="Z59" s="52">
        <f t="shared" si="33"/>
        <v>0</v>
      </c>
      <c r="AA59" s="52">
        <f t="shared" si="33"/>
        <v>0</v>
      </c>
      <c r="AB59" s="52">
        <f t="shared" si="33"/>
        <v>0</v>
      </c>
      <c r="AC59" s="52">
        <f t="shared" si="33"/>
        <v>0</v>
      </c>
      <c r="AD59" s="52">
        <f t="shared" si="33"/>
        <v>0</v>
      </c>
      <c r="AE59" s="52">
        <f t="shared" si="33"/>
        <v>0</v>
      </c>
      <c r="AF59" s="52">
        <f t="shared" si="33"/>
        <v>0</v>
      </c>
      <c r="AG59" s="52">
        <f t="shared" si="33"/>
        <v>0</v>
      </c>
      <c r="AH59" s="52">
        <f t="shared" si="33"/>
        <v>0</v>
      </c>
      <c r="AI59" s="52">
        <f t="shared" si="33"/>
        <v>0</v>
      </c>
      <c r="AJ59" s="52">
        <f t="shared" si="33"/>
        <v>0</v>
      </c>
      <c r="AK59" s="52">
        <f t="shared" si="33"/>
        <v>0</v>
      </c>
      <c r="AL59" s="52">
        <f t="shared" si="33"/>
        <v>0</v>
      </c>
      <c r="AM59" s="52">
        <f t="shared" si="33"/>
        <v>0</v>
      </c>
      <c r="AN59" s="52">
        <f t="shared" si="33"/>
        <v>0</v>
      </c>
      <c r="AO59" s="52">
        <f t="shared" si="33"/>
        <v>0</v>
      </c>
      <c r="AP59" s="52">
        <f t="shared" si="33"/>
        <v>0</v>
      </c>
    </row>
    <row r="60" spans="1:42" x14ac:dyDescent="0.2">
      <c r="A60" s="50" t="s">
        <v>158</v>
      </c>
      <c r="B60" s="53">
        <f>-B644-B645</f>
        <v>0</v>
      </c>
      <c r="C60" s="53">
        <f t="shared" ref="C60:AP60" si="34">-C644-C645</f>
        <v>0</v>
      </c>
      <c r="D60" s="53">
        <f t="shared" si="34"/>
        <v>0</v>
      </c>
      <c r="E60" s="53">
        <f t="shared" si="34"/>
        <v>0</v>
      </c>
      <c r="F60" s="53">
        <f t="shared" si="34"/>
        <v>0</v>
      </c>
      <c r="G60" s="53">
        <f t="shared" si="34"/>
        <v>0</v>
      </c>
      <c r="H60" s="53">
        <f t="shared" si="34"/>
        <v>0</v>
      </c>
      <c r="I60" s="53">
        <f t="shared" si="34"/>
        <v>0</v>
      </c>
      <c r="J60" s="53">
        <f t="shared" si="34"/>
        <v>0</v>
      </c>
      <c r="K60" s="53">
        <f t="shared" si="34"/>
        <v>0</v>
      </c>
      <c r="L60" s="53">
        <f t="shared" si="34"/>
        <v>0</v>
      </c>
      <c r="M60" s="53">
        <f t="shared" si="34"/>
        <v>0</v>
      </c>
      <c r="N60" s="53">
        <f t="shared" si="34"/>
        <v>0</v>
      </c>
      <c r="O60" s="53">
        <f t="shared" si="34"/>
        <v>0</v>
      </c>
      <c r="P60" s="53">
        <f t="shared" si="34"/>
        <v>0</v>
      </c>
      <c r="Q60" s="53">
        <f t="shared" si="34"/>
        <v>0</v>
      </c>
      <c r="R60" s="53">
        <f t="shared" si="34"/>
        <v>0</v>
      </c>
      <c r="S60" s="53">
        <f t="shared" si="34"/>
        <v>0</v>
      </c>
      <c r="T60" s="53">
        <f t="shared" si="34"/>
        <v>0</v>
      </c>
      <c r="U60" s="53">
        <f t="shared" si="34"/>
        <v>0</v>
      </c>
      <c r="V60" s="53">
        <f t="shared" si="34"/>
        <v>0</v>
      </c>
      <c r="W60" s="53">
        <f t="shared" si="34"/>
        <v>0</v>
      </c>
      <c r="X60" s="53">
        <f t="shared" si="34"/>
        <v>0</v>
      </c>
      <c r="Y60" s="53">
        <f t="shared" si="34"/>
        <v>0</v>
      </c>
      <c r="Z60" s="53">
        <f t="shared" si="34"/>
        <v>0</v>
      </c>
      <c r="AA60" s="53">
        <f t="shared" si="34"/>
        <v>0</v>
      </c>
      <c r="AB60" s="53">
        <f t="shared" si="34"/>
        <v>0</v>
      </c>
      <c r="AC60" s="53">
        <f t="shared" si="34"/>
        <v>0</v>
      </c>
      <c r="AD60" s="53">
        <f t="shared" si="34"/>
        <v>0</v>
      </c>
      <c r="AE60" s="53">
        <f t="shared" si="34"/>
        <v>0</v>
      </c>
      <c r="AF60" s="53">
        <f t="shared" si="34"/>
        <v>0</v>
      </c>
      <c r="AG60" s="53">
        <f t="shared" si="34"/>
        <v>0</v>
      </c>
      <c r="AH60" s="53">
        <f t="shared" si="34"/>
        <v>0</v>
      </c>
      <c r="AI60" s="53">
        <f t="shared" si="34"/>
        <v>0</v>
      </c>
      <c r="AJ60" s="53">
        <f t="shared" si="34"/>
        <v>0</v>
      </c>
      <c r="AK60" s="53">
        <f t="shared" si="34"/>
        <v>0</v>
      </c>
      <c r="AL60" s="53">
        <f t="shared" si="34"/>
        <v>0</v>
      </c>
      <c r="AM60" s="53">
        <f t="shared" si="34"/>
        <v>0</v>
      </c>
      <c r="AN60" s="53">
        <f t="shared" si="34"/>
        <v>0</v>
      </c>
      <c r="AO60" s="53">
        <f t="shared" si="34"/>
        <v>0</v>
      </c>
      <c r="AP60" s="53">
        <f t="shared" si="34"/>
        <v>0</v>
      </c>
    </row>
    <row r="61" spans="1:42" x14ac:dyDescent="0.2">
      <c r="A61" s="50" t="s">
        <v>23</v>
      </c>
      <c r="B61" s="39">
        <f>SUM(B56:B60)</f>
        <v>-2519517.8847414143</v>
      </c>
      <c r="C61" s="39">
        <f t="shared" ref="C61:AP61" si="35">SUM(C56:C60)</f>
        <v>-285913.02805861627</v>
      </c>
      <c r="D61" s="39">
        <f t="shared" si="35"/>
        <v>-286116.75178174744</v>
      </c>
      <c r="E61" s="39">
        <f t="shared" si="35"/>
        <v>-286317.87227022904</v>
      </c>
      <c r="F61" s="39">
        <f t="shared" si="35"/>
        <v>-286516.65925884829</v>
      </c>
      <c r="G61" s="39">
        <f t="shared" si="35"/>
        <v>-286713.3727605457</v>
      </c>
      <c r="H61" s="39">
        <f t="shared" si="35"/>
        <v>-286908.26366548205</v>
      </c>
      <c r="I61" s="39">
        <f t="shared" si="35"/>
        <v>-287101.57431364735</v>
      </c>
      <c r="J61" s="39">
        <f t="shared" si="35"/>
        <v>-287293.53904247168</v>
      </c>
      <c r="K61" s="39">
        <f t="shared" si="35"/>
        <v>-287484.38471072755</v>
      </c>
      <c r="L61" s="39">
        <f t="shared" si="35"/>
        <v>-287674.3312001389</v>
      </c>
      <c r="M61" s="39">
        <f t="shared" si="35"/>
        <v>-287863.59189580666</v>
      </c>
      <c r="N61" s="39">
        <f t="shared" si="35"/>
        <v>3027081.2475723415</v>
      </c>
      <c r="O61" s="39">
        <f t="shared" si="35"/>
        <v>1829828.2351449335</v>
      </c>
      <c r="P61" s="39">
        <f t="shared" si="35"/>
        <v>-374568.47817870829</v>
      </c>
      <c r="Q61" s="39">
        <f t="shared" si="35"/>
        <v>-375042.17164089141</v>
      </c>
      <c r="R61" s="39">
        <f t="shared" si="35"/>
        <v>-375515.76409201842</v>
      </c>
      <c r="S61" s="39">
        <f t="shared" si="35"/>
        <v>-375989.95692960458</v>
      </c>
      <c r="T61" s="39">
        <f t="shared" si="35"/>
        <v>-376465.43751043134</v>
      </c>
      <c r="U61" s="39">
        <f t="shared" si="35"/>
        <v>-376942.88049928361</v>
      </c>
      <c r="V61" s="39">
        <f t="shared" si="35"/>
        <v>-377422.94917042757</v>
      </c>
      <c r="W61" s="39">
        <f t="shared" si="35"/>
        <v>-377906.296664825</v>
      </c>
      <c r="X61" s="39">
        <f t="shared" si="35"/>
        <v>-378393.56720595696</v>
      </c>
      <c r="Y61" s="39">
        <f t="shared" si="35"/>
        <v>-378885.39727700147</v>
      </c>
      <c r="Z61" s="39">
        <f t="shared" si="35"/>
        <v>4032144.2895369977</v>
      </c>
      <c r="AA61" s="39">
        <f t="shared" si="35"/>
        <v>-506675.77162575122</v>
      </c>
      <c r="AB61" s="39">
        <f t="shared" si="35"/>
        <v>-507185.03870154341</v>
      </c>
      <c r="AC61" s="39">
        <f t="shared" si="35"/>
        <v>-507701.35617231281</v>
      </c>
      <c r="AD61" s="39">
        <f t="shared" si="35"/>
        <v>-508225.33830310899</v>
      </c>
      <c r="AE61" s="39">
        <f t="shared" si="35"/>
        <v>-508757.59801027126</v>
      </c>
      <c r="AF61" s="39">
        <f t="shared" si="35"/>
        <v>-509298.7478360738</v>
      </c>
      <c r="AG61" s="39">
        <f t="shared" si="35"/>
        <v>-509849.40090304887</v>
      </c>
      <c r="AH61" s="39">
        <f t="shared" si="35"/>
        <v>-510410.17184989137</v>
      </c>
      <c r="AI61" s="39">
        <f t="shared" si="35"/>
        <v>-510981.67775081127</v>
      </c>
      <c r="AJ61" s="39">
        <f t="shared" si="35"/>
        <v>-511564.53902009845</v>
      </c>
      <c r="AK61" s="39">
        <f t="shared" si="35"/>
        <v>-512159.38030364254</v>
      </c>
      <c r="AL61" s="39">
        <f t="shared" si="35"/>
        <v>5420246.1338065285</v>
      </c>
      <c r="AM61" s="39">
        <f t="shared" si="35"/>
        <v>-18969.780828995164</v>
      </c>
      <c r="AN61" s="39">
        <f t="shared" si="35"/>
        <v>-19604.365491739009</v>
      </c>
      <c r="AO61" s="39">
        <f t="shared" si="35"/>
        <v>-20253.488534074742</v>
      </c>
      <c r="AP61" s="39">
        <f t="shared" si="35"/>
        <v>794890.902139385</v>
      </c>
    </row>
    <row r="62" spans="1:42" x14ac:dyDescent="0.2">
      <c r="A62" s="46" t="s">
        <v>121</v>
      </c>
    </row>
    <row r="63" spans="1:42" x14ac:dyDescent="0.2">
      <c r="A63" s="50" t="s">
        <v>162</v>
      </c>
      <c r="B63" s="52">
        <f>B581</f>
        <v>0</v>
      </c>
      <c r="C63" s="52">
        <f t="shared" ref="C63:AP63" si="36">C581</f>
        <v>0</v>
      </c>
      <c r="D63" s="52">
        <f t="shared" si="36"/>
        <v>0</v>
      </c>
      <c r="E63" s="52">
        <f t="shared" si="36"/>
        <v>0</v>
      </c>
      <c r="F63" s="52">
        <f t="shared" si="36"/>
        <v>0</v>
      </c>
      <c r="G63" s="52">
        <f t="shared" si="36"/>
        <v>0</v>
      </c>
      <c r="H63" s="52">
        <f t="shared" si="36"/>
        <v>0</v>
      </c>
      <c r="I63" s="52">
        <f t="shared" si="36"/>
        <v>0</v>
      </c>
      <c r="J63" s="52">
        <f t="shared" si="36"/>
        <v>0</v>
      </c>
      <c r="K63" s="52">
        <f t="shared" si="36"/>
        <v>0</v>
      </c>
      <c r="L63" s="52">
        <f t="shared" si="36"/>
        <v>0</v>
      </c>
      <c r="M63" s="52">
        <f t="shared" si="36"/>
        <v>0</v>
      </c>
      <c r="N63" s="52">
        <f t="shared" si="36"/>
        <v>-3280216.644503165</v>
      </c>
      <c r="O63" s="52">
        <f t="shared" si="36"/>
        <v>0</v>
      </c>
      <c r="P63" s="52">
        <f t="shared" si="36"/>
        <v>0</v>
      </c>
      <c r="Q63" s="52">
        <f t="shared" si="36"/>
        <v>0</v>
      </c>
      <c r="R63" s="52">
        <f t="shared" si="36"/>
        <v>0</v>
      </c>
      <c r="S63" s="52">
        <f t="shared" si="36"/>
        <v>0</v>
      </c>
      <c r="T63" s="52">
        <f t="shared" si="36"/>
        <v>0</v>
      </c>
      <c r="U63" s="52">
        <f t="shared" si="36"/>
        <v>0</v>
      </c>
      <c r="V63" s="52">
        <f t="shared" si="36"/>
        <v>0</v>
      </c>
      <c r="W63" s="52">
        <f t="shared" si="36"/>
        <v>0</v>
      </c>
      <c r="X63" s="52">
        <f t="shared" si="36"/>
        <v>0</v>
      </c>
      <c r="Y63" s="52">
        <f t="shared" si="36"/>
        <v>0</v>
      </c>
      <c r="Z63" s="52">
        <f t="shared" si="36"/>
        <v>-4411526.7062989976</v>
      </c>
      <c r="AA63" s="52">
        <f t="shared" si="36"/>
        <v>0</v>
      </c>
      <c r="AB63" s="52">
        <f t="shared" si="36"/>
        <v>0</v>
      </c>
      <c r="AC63" s="52">
        <f t="shared" si="36"/>
        <v>0</v>
      </c>
      <c r="AD63" s="52">
        <f t="shared" si="36"/>
        <v>0</v>
      </c>
      <c r="AE63" s="52">
        <f t="shared" si="36"/>
        <v>0</v>
      </c>
      <c r="AF63" s="52">
        <f t="shared" si="36"/>
        <v>0</v>
      </c>
      <c r="AG63" s="52">
        <f t="shared" si="36"/>
        <v>0</v>
      </c>
      <c r="AH63" s="52">
        <f t="shared" si="36"/>
        <v>0</v>
      </c>
      <c r="AI63" s="52">
        <f t="shared" si="36"/>
        <v>0</v>
      </c>
      <c r="AJ63" s="52">
        <f t="shared" si="36"/>
        <v>0</v>
      </c>
      <c r="AK63" s="52">
        <f t="shared" si="36"/>
        <v>0</v>
      </c>
      <c r="AL63" s="52">
        <f t="shared" si="36"/>
        <v>-5933012.9651656002</v>
      </c>
      <c r="AM63" s="52">
        <f t="shared" si="36"/>
        <v>0</v>
      </c>
      <c r="AN63" s="52">
        <f t="shared" si="36"/>
        <v>0</v>
      </c>
      <c r="AO63" s="52">
        <f t="shared" si="36"/>
        <v>0</v>
      </c>
      <c r="AP63" s="52">
        <f t="shared" si="36"/>
        <v>0</v>
      </c>
    </row>
    <row r="64" spans="1:42" x14ac:dyDescent="0.2">
      <c r="A64" s="50" t="s">
        <v>163</v>
      </c>
      <c r="B64" s="52">
        <f>B613</f>
        <v>0</v>
      </c>
      <c r="C64" s="52">
        <f t="shared" ref="C64:AP64" si="37">C613</f>
        <v>0</v>
      </c>
      <c r="D64" s="52">
        <f t="shared" si="37"/>
        <v>0</v>
      </c>
      <c r="E64" s="52">
        <f t="shared" si="37"/>
        <v>0</v>
      </c>
      <c r="F64" s="52">
        <f t="shared" si="37"/>
        <v>0</v>
      </c>
      <c r="G64" s="52">
        <f t="shared" si="37"/>
        <v>0</v>
      </c>
      <c r="H64" s="52">
        <f t="shared" si="37"/>
        <v>0</v>
      </c>
      <c r="I64" s="52">
        <f t="shared" si="37"/>
        <v>0</v>
      </c>
      <c r="J64" s="52">
        <f t="shared" si="37"/>
        <v>0</v>
      </c>
      <c r="K64" s="52">
        <f t="shared" si="37"/>
        <v>0</v>
      </c>
      <c r="L64" s="52">
        <f t="shared" si="37"/>
        <v>0</v>
      </c>
      <c r="M64" s="52">
        <f t="shared" si="37"/>
        <v>0</v>
      </c>
      <c r="N64" s="52">
        <f t="shared" si="37"/>
        <v>0</v>
      </c>
      <c r="O64" s="52">
        <f t="shared" si="37"/>
        <v>0</v>
      </c>
      <c r="P64" s="52">
        <f t="shared" si="37"/>
        <v>0</v>
      </c>
      <c r="Q64" s="52">
        <f t="shared" si="37"/>
        <v>0</v>
      </c>
      <c r="R64" s="52">
        <f t="shared" si="37"/>
        <v>0</v>
      </c>
      <c r="S64" s="52">
        <f t="shared" si="37"/>
        <v>0</v>
      </c>
      <c r="T64" s="52">
        <f t="shared" si="37"/>
        <v>0</v>
      </c>
      <c r="U64" s="52">
        <f t="shared" si="37"/>
        <v>0</v>
      </c>
      <c r="V64" s="52">
        <f t="shared" si="37"/>
        <v>0</v>
      </c>
      <c r="W64" s="52">
        <f t="shared" si="37"/>
        <v>0</v>
      </c>
      <c r="X64" s="52">
        <f t="shared" si="37"/>
        <v>0</v>
      </c>
      <c r="Y64" s="52">
        <f t="shared" si="37"/>
        <v>0</v>
      </c>
      <c r="Z64" s="52">
        <f t="shared" si="37"/>
        <v>0</v>
      </c>
      <c r="AA64" s="52">
        <f t="shared" si="37"/>
        <v>0</v>
      </c>
      <c r="AB64" s="52">
        <f t="shared" si="37"/>
        <v>0</v>
      </c>
      <c r="AC64" s="52">
        <f t="shared" si="37"/>
        <v>0</v>
      </c>
      <c r="AD64" s="52">
        <f t="shared" si="37"/>
        <v>0</v>
      </c>
      <c r="AE64" s="52">
        <f t="shared" si="37"/>
        <v>0</v>
      </c>
      <c r="AF64" s="52">
        <f t="shared" si="37"/>
        <v>0</v>
      </c>
      <c r="AG64" s="52">
        <f t="shared" si="37"/>
        <v>0</v>
      </c>
      <c r="AH64" s="52">
        <f t="shared" si="37"/>
        <v>0</v>
      </c>
      <c r="AI64" s="52">
        <f t="shared" si="37"/>
        <v>0</v>
      </c>
      <c r="AJ64" s="52">
        <f t="shared" si="37"/>
        <v>0</v>
      </c>
      <c r="AK64" s="52">
        <f t="shared" si="37"/>
        <v>0</v>
      </c>
      <c r="AL64" s="52">
        <f t="shared" si="37"/>
        <v>0</v>
      </c>
      <c r="AM64" s="52">
        <f t="shared" si="37"/>
        <v>0</v>
      </c>
      <c r="AN64" s="52">
        <f t="shared" si="37"/>
        <v>0</v>
      </c>
      <c r="AO64" s="52">
        <f t="shared" si="37"/>
        <v>0</v>
      </c>
      <c r="AP64" s="52">
        <f t="shared" si="37"/>
        <v>0</v>
      </c>
    </row>
    <row r="65" spans="1:42" x14ac:dyDescent="0.2">
      <c r="A65" s="50" t="s">
        <v>164</v>
      </c>
      <c r="B65" s="53">
        <f>B645</f>
        <v>0</v>
      </c>
      <c r="C65" s="53">
        <f t="shared" ref="C65:AP65" si="38">C645</f>
        <v>0</v>
      </c>
      <c r="D65" s="53">
        <f t="shared" si="38"/>
        <v>0</v>
      </c>
      <c r="E65" s="53">
        <f t="shared" si="38"/>
        <v>0</v>
      </c>
      <c r="F65" s="53">
        <f t="shared" si="38"/>
        <v>0</v>
      </c>
      <c r="G65" s="53">
        <f t="shared" si="38"/>
        <v>0</v>
      </c>
      <c r="H65" s="53">
        <f t="shared" si="38"/>
        <v>0</v>
      </c>
      <c r="I65" s="53">
        <f t="shared" si="38"/>
        <v>0</v>
      </c>
      <c r="J65" s="53">
        <f t="shared" si="38"/>
        <v>0</v>
      </c>
      <c r="K65" s="53">
        <f t="shared" si="38"/>
        <v>0</v>
      </c>
      <c r="L65" s="53">
        <f t="shared" si="38"/>
        <v>0</v>
      </c>
      <c r="M65" s="53">
        <f t="shared" si="38"/>
        <v>0</v>
      </c>
      <c r="N65" s="53">
        <f t="shared" si="38"/>
        <v>0</v>
      </c>
      <c r="O65" s="53">
        <f t="shared" si="38"/>
        <v>0</v>
      </c>
      <c r="P65" s="53">
        <f t="shared" si="38"/>
        <v>0</v>
      </c>
      <c r="Q65" s="53">
        <f t="shared" si="38"/>
        <v>0</v>
      </c>
      <c r="R65" s="53">
        <f t="shared" si="38"/>
        <v>0</v>
      </c>
      <c r="S65" s="53">
        <f t="shared" si="38"/>
        <v>0</v>
      </c>
      <c r="T65" s="53">
        <f t="shared" si="38"/>
        <v>0</v>
      </c>
      <c r="U65" s="53">
        <f t="shared" si="38"/>
        <v>0</v>
      </c>
      <c r="V65" s="53">
        <f t="shared" si="38"/>
        <v>0</v>
      </c>
      <c r="W65" s="53">
        <f t="shared" si="38"/>
        <v>0</v>
      </c>
      <c r="X65" s="53">
        <f t="shared" si="38"/>
        <v>0</v>
      </c>
      <c r="Y65" s="53">
        <f t="shared" si="38"/>
        <v>0</v>
      </c>
      <c r="Z65" s="53">
        <f t="shared" si="38"/>
        <v>0</v>
      </c>
      <c r="AA65" s="53">
        <f t="shared" si="38"/>
        <v>0</v>
      </c>
      <c r="AB65" s="53">
        <f t="shared" si="38"/>
        <v>0</v>
      </c>
      <c r="AC65" s="53">
        <f t="shared" si="38"/>
        <v>0</v>
      </c>
      <c r="AD65" s="53">
        <f t="shared" si="38"/>
        <v>0</v>
      </c>
      <c r="AE65" s="53">
        <f t="shared" si="38"/>
        <v>0</v>
      </c>
      <c r="AF65" s="53">
        <f t="shared" si="38"/>
        <v>0</v>
      </c>
      <c r="AG65" s="53">
        <f t="shared" si="38"/>
        <v>0</v>
      </c>
      <c r="AH65" s="53">
        <f t="shared" si="38"/>
        <v>0</v>
      </c>
      <c r="AI65" s="53">
        <f t="shared" si="38"/>
        <v>0</v>
      </c>
      <c r="AJ65" s="53">
        <f t="shared" si="38"/>
        <v>0</v>
      </c>
      <c r="AK65" s="53">
        <f t="shared" si="38"/>
        <v>0</v>
      </c>
      <c r="AL65" s="53">
        <f t="shared" si="38"/>
        <v>0</v>
      </c>
      <c r="AM65" s="53">
        <f t="shared" si="38"/>
        <v>0</v>
      </c>
      <c r="AN65" s="53">
        <f t="shared" si="38"/>
        <v>0</v>
      </c>
      <c r="AO65" s="53">
        <f t="shared" si="38"/>
        <v>0</v>
      </c>
      <c r="AP65" s="53">
        <f t="shared" si="38"/>
        <v>0</v>
      </c>
    </row>
    <row r="66" spans="1:42" x14ac:dyDescent="0.2">
      <c r="A66" s="50" t="s">
        <v>23</v>
      </c>
      <c r="B66" s="101">
        <f>SUM(B63:B65)</f>
        <v>0</v>
      </c>
      <c r="C66" s="101">
        <f t="shared" ref="C66:AP66" si="39">SUM(C63:C65)</f>
        <v>0</v>
      </c>
      <c r="D66" s="101">
        <f t="shared" si="39"/>
        <v>0</v>
      </c>
      <c r="E66" s="101">
        <f t="shared" si="39"/>
        <v>0</v>
      </c>
      <c r="F66" s="101">
        <f t="shared" si="39"/>
        <v>0</v>
      </c>
      <c r="G66" s="101">
        <f t="shared" si="39"/>
        <v>0</v>
      </c>
      <c r="H66" s="101">
        <f t="shared" si="39"/>
        <v>0</v>
      </c>
      <c r="I66" s="101">
        <f t="shared" si="39"/>
        <v>0</v>
      </c>
      <c r="J66" s="101">
        <f t="shared" si="39"/>
        <v>0</v>
      </c>
      <c r="K66" s="101">
        <f t="shared" si="39"/>
        <v>0</v>
      </c>
      <c r="L66" s="101">
        <f t="shared" si="39"/>
        <v>0</v>
      </c>
      <c r="M66" s="101">
        <f t="shared" si="39"/>
        <v>0</v>
      </c>
      <c r="N66" s="101">
        <f t="shared" si="39"/>
        <v>-3280216.644503165</v>
      </c>
      <c r="O66" s="101">
        <f t="shared" si="39"/>
        <v>0</v>
      </c>
      <c r="P66" s="101">
        <f t="shared" si="39"/>
        <v>0</v>
      </c>
      <c r="Q66" s="101">
        <f t="shared" si="39"/>
        <v>0</v>
      </c>
      <c r="R66" s="101">
        <f t="shared" si="39"/>
        <v>0</v>
      </c>
      <c r="S66" s="101">
        <f t="shared" si="39"/>
        <v>0</v>
      </c>
      <c r="T66" s="101">
        <f t="shared" si="39"/>
        <v>0</v>
      </c>
      <c r="U66" s="101">
        <f t="shared" si="39"/>
        <v>0</v>
      </c>
      <c r="V66" s="101">
        <f t="shared" si="39"/>
        <v>0</v>
      </c>
      <c r="W66" s="101">
        <f t="shared" si="39"/>
        <v>0</v>
      </c>
      <c r="X66" s="101">
        <f t="shared" si="39"/>
        <v>0</v>
      </c>
      <c r="Y66" s="101">
        <f t="shared" si="39"/>
        <v>0</v>
      </c>
      <c r="Z66" s="101">
        <f t="shared" si="39"/>
        <v>-4411526.7062989976</v>
      </c>
      <c r="AA66" s="101">
        <f t="shared" si="39"/>
        <v>0</v>
      </c>
      <c r="AB66" s="101">
        <f t="shared" si="39"/>
        <v>0</v>
      </c>
      <c r="AC66" s="101">
        <f t="shared" si="39"/>
        <v>0</v>
      </c>
      <c r="AD66" s="101">
        <f t="shared" si="39"/>
        <v>0</v>
      </c>
      <c r="AE66" s="101">
        <f t="shared" si="39"/>
        <v>0</v>
      </c>
      <c r="AF66" s="101">
        <f t="shared" si="39"/>
        <v>0</v>
      </c>
      <c r="AG66" s="101">
        <f t="shared" si="39"/>
        <v>0</v>
      </c>
      <c r="AH66" s="101">
        <f t="shared" si="39"/>
        <v>0</v>
      </c>
      <c r="AI66" s="101">
        <f t="shared" si="39"/>
        <v>0</v>
      </c>
      <c r="AJ66" s="101">
        <f t="shared" si="39"/>
        <v>0</v>
      </c>
      <c r="AK66" s="101">
        <f t="shared" si="39"/>
        <v>0</v>
      </c>
      <c r="AL66" s="101">
        <f t="shared" si="39"/>
        <v>-5933012.9651656002</v>
      </c>
      <c r="AM66" s="101">
        <f t="shared" si="39"/>
        <v>0</v>
      </c>
      <c r="AN66" s="101">
        <f t="shared" si="39"/>
        <v>0</v>
      </c>
      <c r="AO66" s="101">
        <f t="shared" si="39"/>
        <v>0</v>
      </c>
      <c r="AP66" s="101">
        <f t="shared" si="39"/>
        <v>0</v>
      </c>
    </row>
    <row r="67" spans="1:42" x14ac:dyDescent="0.2">
      <c r="A67" s="46" t="s">
        <v>23</v>
      </c>
      <c r="B67" s="39">
        <f>B54+B61+B66</f>
        <v>-43569036.769482821</v>
      </c>
      <c r="C67" s="39">
        <f t="shared" ref="C67:AP67" si="40">C54+C61+C66</f>
        <v>-285913.02805861627</v>
      </c>
      <c r="D67" s="39">
        <f t="shared" si="40"/>
        <v>-286116.75178174744</v>
      </c>
      <c r="E67" s="39">
        <f t="shared" si="40"/>
        <v>-286317.87227022904</v>
      </c>
      <c r="F67" s="39">
        <f t="shared" si="40"/>
        <v>-286516.65925884829</v>
      </c>
      <c r="G67" s="39">
        <f t="shared" si="40"/>
        <v>-286713.3727605457</v>
      </c>
      <c r="H67" s="39">
        <f t="shared" si="40"/>
        <v>-286908.26366548205</v>
      </c>
      <c r="I67" s="39">
        <f t="shared" si="40"/>
        <v>-287101.57431364735</v>
      </c>
      <c r="J67" s="39">
        <f t="shared" si="40"/>
        <v>-287293.53904247168</v>
      </c>
      <c r="K67" s="39">
        <f t="shared" si="40"/>
        <v>-287484.38471072755</v>
      </c>
      <c r="L67" s="39">
        <f t="shared" si="40"/>
        <v>-287674.3312001389</v>
      </c>
      <c r="M67" s="39">
        <f t="shared" si="40"/>
        <v>-287863.59189580666</v>
      </c>
      <c r="N67" s="39">
        <f t="shared" si="40"/>
        <v>-253135.39693082357</v>
      </c>
      <c r="O67" s="39">
        <f t="shared" si="40"/>
        <v>1829828.2351449335</v>
      </c>
      <c r="P67" s="39">
        <f t="shared" si="40"/>
        <v>-374568.47817870829</v>
      </c>
      <c r="Q67" s="39">
        <f t="shared" si="40"/>
        <v>-375042.17164089141</v>
      </c>
      <c r="R67" s="39">
        <f t="shared" si="40"/>
        <v>-375515.76409201842</v>
      </c>
      <c r="S67" s="39">
        <f t="shared" si="40"/>
        <v>-375989.95692960458</v>
      </c>
      <c r="T67" s="39">
        <f t="shared" si="40"/>
        <v>-376465.43751043134</v>
      </c>
      <c r="U67" s="39">
        <f t="shared" si="40"/>
        <v>-376942.88049928361</v>
      </c>
      <c r="V67" s="39">
        <f t="shared" si="40"/>
        <v>-377422.94917042757</v>
      </c>
      <c r="W67" s="39">
        <f t="shared" si="40"/>
        <v>-377906.296664825</v>
      </c>
      <c r="X67" s="39">
        <f t="shared" si="40"/>
        <v>-378393.56720595696</v>
      </c>
      <c r="Y67" s="39">
        <f t="shared" si="40"/>
        <v>-378885.39727700147</v>
      </c>
      <c r="Z67" s="39">
        <f t="shared" si="40"/>
        <v>-379382.41676199995</v>
      </c>
      <c r="AA67" s="39">
        <f t="shared" si="40"/>
        <v>-506675.77162575122</v>
      </c>
      <c r="AB67" s="39">
        <f t="shared" si="40"/>
        <v>-507185.03870154341</v>
      </c>
      <c r="AC67" s="39">
        <f t="shared" si="40"/>
        <v>-507701.35617231281</v>
      </c>
      <c r="AD67" s="39">
        <f t="shared" si="40"/>
        <v>-508225.33830310899</v>
      </c>
      <c r="AE67" s="39">
        <f t="shared" si="40"/>
        <v>-508757.59801027126</v>
      </c>
      <c r="AF67" s="39">
        <f t="shared" si="40"/>
        <v>-509298.7478360738</v>
      </c>
      <c r="AG67" s="39">
        <f t="shared" si="40"/>
        <v>-509849.40090304887</v>
      </c>
      <c r="AH67" s="39">
        <f t="shared" si="40"/>
        <v>-510410.17184989137</v>
      </c>
      <c r="AI67" s="39">
        <f t="shared" si="40"/>
        <v>-510981.67775081127</v>
      </c>
      <c r="AJ67" s="39">
        <f t="shared" si="40"/>
        <v>-511564.53902009845</v>
      </c>
      <c r="AK67" s="39">
        <f t="shared" si="40"/>
        <v>-512159.38030364254</v>
      </c>
      <c r="AL67" s="39">
        <f t="shared" si="40"/>
        <v>-512766.83135907166</v>
      </c>
      <c r="AM67" s="39">
        <f t="shared" si="40"/>
        <v>-18969.780828995164</v>
      </c>
      <c r="AN67" s="39">
        <f t="shared" si="40"/>
        <v>-19604.365491739009</v>
      </c>
      <c r="AO67" s="39">
        <f t="shared" si="40"/>
        <v>-20253.488534074742</v>
      </c>
      <c r="AP67" s="39">
        <f t="shared" si="40"/>
        <v>794890.902139385</v>
      </c>
    </row>
    <row r="68" spans="1:42" x14ac:dyDescent="0.2">
      <c r="A68" s="46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</row>
    <row r="69" spans="1:42" x14ac:dyDescent="0.2">
      <c r="A69" s="48" t="s">
        <v>108</v>
      </c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</row>
    <row r="70" spans="1:42" x14ac:dyDescent="0.2">
      <c r="A70" s="46" t="s">
        <v>122</v>
      </c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</row>
    <row r="71" spans="1:42" x14ac:dyDescent="0.2">
      <c r="A71" s="50" t="s">
        <v>123</v>
      </c>
      <c r="B71" s="39">
        <f>Inputs!$E$55+Inputs!$E$56</f>
        <v>0</v>
      </c>
      <c r="C71" s="39">
        <v>0</v>
      </c>
      <c r="D71" s="39">
        <v>0</v>
      </c>
      <c r="E71" s="39">
        <v>0</v>
      </c>
      <c r="F71" s="39">
        <v>0</v>
      </c>
      <c r="G71" s="39">
        <v>0</v>
      </c>
      <c r="H71" s="39">
        <v>0</v>
      </c>
      <c r="I71" s="39">
        <v>0</v>
      </c>
      <c r="J71" s="39">
        <v>0</v>
      </c>
      <c r="K71" s="39">
        <v>0</v>
      </c>
      <c r="L71" s="39">
        <v>0</v>
      </c>
      <c r="M71" s="39">
        <v>0</v>
      </c>
      <c r="N71" s="39">
        <v>0</v>
      </c>
      <c r="O71" s="39">
        <v>0</v>
      </c>
      <c r="P71" s="39">
        <v>0</v>
      </c>
      <c r="Q71" s="39">
        <v>0</v>
      </c>
      <c r="R71" s="39">
        <v>0</v>
      </c>
      <c r="S71" s="39">
        <v>0</v>
      </c>
      <c r="T71" s="39">
        <v>0</v>
      </c>
      <c r="U71" s="39">
        <v>0</v>
      </c>
      <c r="V71" s="39">
        <v>0</v>
      </c>
      <c r="W71" s="39">
        <v>0</v>
      </c>
      <c r="X71" s="39">
        <v>0</v>
      </c>
      <c r="Y71" s="39">
        <v>0</v>
      </c>
      <c r="Z71" s="39">
        <v>0</v>
      </c>
      <c r="AA71" s="39">
        <v>0</v>
      </c>
      <c r="AB71" s="39">
        <v>0</v>
      </c>
      <c r="AC71" s="39">
        <v>0</v>
      </c>
      <c r="AD71" s="39">
        <v>0</v>
      </c>
      <c r="AE71" s="39">
        <v>0</v>
      </c>
      <c r="AF71" s="39">
        <v>0</v>
      </c>
      <c r="AG71" s="39">
        <v>0</v>
      </c>
      <c r="AH71" s="39">
        <v>0</v>
      </c>
      <c r="AI71" s="39">
        <v>0</v>
      </c>
      <c r="AJ71" s="39">
        <v>0</v>
      </c>
      <c r="AK71" s="39">
        <v>0</v>
      </c>
      <c r="AL71" s="39">
        <v>0</v>
      </c>
      <c r="AM71" s="39">
        <v>0</v>
      </c>
      <c r="AN71" s="39">
        <v>0</v>
      </c>
      <c r="AO71" s="39">
        <v>0</v>
      </c>
      <c r="AP71" s="39">
        <v>0</v>
      </c>
    </row>
    <row r="72" spans="1:42" x14ac:dyDescent="0.2">
      <c r="A72" s="50" t="s">
        <v>103</v>
      </c>
      <c r="B72" s="53">
        <f>Inputs!$E$57</f>
        <v>0</v>
      </c>
      <c r="C72" s="53">
        <v>0</v>
      </c>
      <c r="D72" s="53">
        <v>0</v>
      </c>
      <c r="E72" s="53">
        <v>0</v>
      </c>
      <c r="F72" s="53">
        <v>0</v>
      </c>
      <c r="G72" s="53">
        <v>0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0</v>
      </c>
      <c r="AD72" s="53">
        <v>0</v>
      </c>
      <c r="AE72" s="53">
        <v>0</v>
      </c>
      <c r="AF72" s="53">
        <v>0</v>
      </c>
      <c r="AG72" s="53">
        <v>0</v>
      </c>
      <c r="AH72" s="53">
        <v>0</v>
      </c>
      <c r="AI72" s="53">
        <v>0</v>
      </c>
      <c r="AJ72" s="53">
        <v>0</v>
      </c>
      <c r="AK72" s="53">
        <v>0</v>
      </c>
      <c r="AL72" s="53">
        <v>0</v>
      </c>
      <c r="AM72" s="53">
        <v>0</v>
      </c>
      <c r="AN72" s="53">
        <v>0</v>
      </c>
      <c r="AO72" s="53">
        <v>0</v>
      </c>
      <c r="AP72" s="53">
        <v>0</v>
      </c>
    </row>
    <row r="73" spans="1:42" x14ac:dyDescent="0.2">
      <c r="A73" s="50" t="s">
        <v>23</v>
      </c>
      <c r="B73" s="39">
        <f>SUM(B71:B72)</f>
        <v>0</v>
      </c>
      <c r="C73" s="39">
        <f t="shared" ref="C73:AP73" si="41">SUM(C71:C72)</f>
        <v>0</v>
      </c>
      <c r="D73" s="39">
        <f t="shared" si="41"/>
        <v>0</v>
      </c>
      <c r="E73" s="39">
        <f t="shared" si="41"/>
        <v>0</v>
      </c>
      <c r="F73" s="39">
        <f t="shared" si="41"/>
        <v>0</v>
      </c>
      <c r="G73" s="39">
        <f t="shared" si="41"/>
        <v>0</v>
      </c>
      <c r="H73" s="39">
        <f t="shared" si="41"/>
        <v>0</v>
      </c>
      <c r="I73" s="39">
        <f t="shared" si="41"/>
        <v>0</v>
      </c>
      <c r="J73" s="39">
        <f t="shared" si="41"/>
        <v>0</v>
      </c>
      <c r="K73" s="39">
        <f t="shared" si="41"/>
        <v>0</v>
      </c>
      <c r="L73" s="39">
        <f t="shared" si="41"/>
        <v>0</v>
      </c>
      <c r="M73" s="39">
        <f t="shared" si="41"/>
        <v>0</v>
      </c>
      <c r="N73" s="39">
        <f t="shared" si="41"/>
        <v>0</v>
      </c>
      <c r="O73" s="39">
        <f t="shared" si="41"/>
        <v>0</v>
      </c>
      <c r="P73" s="39">
        <f t="shared" si="41"/>
        <v>0</v>
      </c>
      <c r="Q73" s="39">
        <f t="shared" si="41"/>
        <v>0</v>
      </c>
      <c r="R73" s="39">
        <f t="shared" si="41"/>
        <v>0</v>
      </c>
      <c r="S73" s="39">
        <f t="shared" si="41"/>
        <v>0</v>
      </c>
      <c r="T73" s="39">
        <f t="shared" si="41"/>
        <v>0</v>
      </c>
      <c r="U73" s="39">
        <f t="shared" si="41"/>
        <v>0</v>
      </c>
      <c r="V73" s="39">
        <f t="shared" si="41"/>
        <v>0</v>
      </c>
      <c r="W73" s="39">
        <f t="shared" si="41"/>
        <v>0</v>
      </c>
      <c r="X73" s="39">
        <f t="shared" si="41"/>
        <v>0</v>
      </c>
      <c r="Y73" s="39">
        <f t="shared" si="41"/>
        <v>0</v>
      </c>
      <c r="Z73" s="39">
        <f t="shared" si="41"/>
        <v>0</v>
      </c>
      <c r="AA73" s="39">
        <f t="shared" si="41"/>
        <v>0</v>
      </c>
      <c r="AB73" s="39">
        <f t="shared" si="41"/>
        <v>0</v>
      </c>
      <c r="AC73" s="39">
        <f t="shared" si="41"/>
        <v>0</v>
      </c>
      <c r="AD73" s="39">
        <f t="shared" si="41"/>
        <v>0</v>
      </c>
      <c r="AE73" s="39">
        <f t="shared" si="41"/>
        <v>0</v>
      </c>
      <c r="AF73" s="39">
        <f t="shared" si="41"/>
        <v>0</v>
      </c>
      <c r="AG73" s="39">
        <f t="shared" si="41"/>
        <v>0</v>
      </c>
      <c r="AH73" s="39">
        <f t="shared" si="41"/>
        <v>0</v>
      </c>
      <c r="AI73" s="39">
        <f t="shared" si="41"/>
        <v>0</v>
      </c>
      <c r="AJ73" s="39">
        <f t="shared" si="41"/>
        <v>0</v>
      </c>
      <c r="AK73" s="39">
        <f t="shared" si="41"/>
        <v>0</v>
      </c>
      <c r="AL73" s="39">
        <f t="shared" si="41"/>
        <v>0</v>
      </c>
      <c r="AM73" s="39">
        <f t="shared" si="41"/>
        <v>0</v>
      </c>
      <c r="AN73" s="39">
        <f t="shared" si="41"/>
        <v>0</v>
      </c>
      <c r="AO73" s="39">
        <f t="shared" si="41"/>
        <v>0</v>
      </c>
      <c r="AP73" s="39">
        <f t="shared" si="41"/>
        <v>0</v>
      </c>
    </row>
    <row r="74" spans="1:42" x14ac:dyDescent="0.2">
      <c r="A74" s="46" t="s">
        <v>171</v>
      </c>
      <c r="B74" s="39">
        <f>Inputs!$E$53</f>
        <v>38530001</v>
      </c>
      <c r="C74" s="39">
        <v>0</v>
      </c>
      <c r="D74" s="39">
        <v>0</v>
      </c>
      <c r="E74" s="39">
        <v>0</v>
      </c>
      <c r="F74" s="39">
        <v>0</v>
      </c>
      <c r="G74" s="39">
        <v>0</v>
      </c>
      <c r="H74" s="39">
        <v>0</v>
      </c>
      <c r="I74" s="39">
        <v>0</v>
      </c>
      <c r="J74" s="39">
        <v>0</v>
      </c>
      <c r="K74" s="39">
        <v>0</v>
      </c>
      <c r="L74" s="39">
        <v>0</v>
      </c>
      <c r="M74" s="39">
        <v>0</v>
      </c>
      <c r="N74" s="39">
        <v>0</v>
      </c>
      <c r="O74" s="39">
        <v>0</v>
      </c>
      <c r="P74" s="39">
        <v>0</v>
      </c>
      <c r="Q74" s="39">
        <v>0</v>
      </c>
      <c r="R74" s="39">
        <v>0</v>
      </c>
      <c r="S74" s="39">
        <v>0</v>
      </c>
      <c r="T74" s="39">
        <v>0</v>
      </c>
      <c r="U74" s="39">
        <v>0</v>
      </c>
      <c r="V74" s="39">
        <v>0</v>
      </c>
      <c r="W74" s="39">
        <v>0</v>
      </c>
      <c r="X74" s="39">
        <v>0</v>
      </c>
      <c r="Y74" s="39">
        <v>0</v>
      </c>
      <c r="Z74" s="39">
        <v>0</v>
      </c>
      <c r="AA74" s="39">
        <v>0</v>
      </c>
      <c r="AB74" s="39">
        <v>0</v>
      </c>
      <c r="AC74" s="39">
        <v>0</v>
      </c>
      <c r="AD74" s="39">
        <v>0</v>
      </c>
      <c r="AE74" s="39">
        <v>0</v>
      </c>
      <c r="AF74" s="39">
        <v>0</v>
      </c>
      <c r="AG74" s="39">
        <v>0</v>
      </c>
      <c r="AH74" s="39">
        <v>0</v>
      </c>
      <c r="AI74" s="39">
        <v>0</v>
      </c>
      <c r="AJ74" s="39">
        <v>0</v>
      </c>
      <c r="AK74" s="39">
        <v>0</v>
      </c>
      <c r="AL74" s="39">
        <v>0</v>
      </c>
      <c r="AM74" s="39">
        <v>0</v>
      </c>
      <c r="AN74" s="39">
        <v>0</v>
      </c>
      <c r="AO74" s="39">
        <v>0</v>
      </c>
      <c r="AP74" s="39">
        <v>0</v>
      </c>
    </row>
    <row r="75" spans="1:42" x14ac:dyDescent="0.2">
      <c r="A75" s="46" t="s">
        <v>109</v>
      </c>
      <c r="B75" s="53">
        <f>Inputs!E54</f>
        <v>0</v>
      </c>
      <c r="C75" s="53">
        <f>-C532</f>
        <v>-1395732.7066550148</v>
      </c>
      <c r="D75" s="53">
        <f t="shared" ref="D75:AP75" si="42">-D532</f>
        <v>-1538653.3438310628</v>
      </c>
      <c r="E75" s="53">
        <f t="shared" si="42"/>
        <v>-1693033.6172127714</v>
      </c>
      <c r="F75" s="53">
        <f t="shared" si="42"/>
        <v>-1859864.825316356</v>
      </c>
      <c r="G75" s="53">
        <f t="shared" si="42"/>
        <v>-2040220.9973416165</v>
      </c>
      <c r="H75" s="53">
        <f t="shared" si="42"/>
        <v>-2235265.9808911607</v>
      </c>
      <c r="I75" s="53">
        <f t="shared" si="42"/>
        <v>-2446261.1287227683</v>
      </c>
      <c r="J75" s="53">
        <f t="shared" si="42"/>
        <v>-2674573.6356039029</v>
      </c>
      <c r="K75" s="53">
        <f t="shared" si="42"/>
        <v>-2921685.5806700829</v>
      </c>
      <c r="L75" s="53">
        <f t="shared" si="42"/>
        <v>-3189203.7353900392</v>
      </c>
      <c r="M75" s="53">
        <f t="shared" si="42"/>
        <v>-3478870.2023421316</v>
      </c>
      <c r="N75" s="53">
        <f t="shared" si="42"/>
        <v>-3792573.9555415483</v>
      </c>
      <c r="O75" s="53">
        <f t="shared" si="42"/>
        <v>-4062529.4046322932</v>
      </c>
      <c r="P75" s="53">
        <f t="shared" si="42"/>
        <v>0</v>
      </c>
      <c r="Q75" s="53">
        <f t="shared" si="42"/>
        <v>0</v>
      </c>
      <c r="R75" s="53">
        <f t="shared" si="42"/>
        <v>0</v>
      </c>
      <c r="S75" s="53">
        <f t="shared" si="42"/>
        <v>0</v>
      </c>
      <c r="T75" s="53">
        <f t="shared" si="42"/>
        <v>0</v>
      </c>
      <c r="U75" s="53">
        <f t="shared" si="42"/>
        <v>0</v>
      </c>
      <c r="V75" s="53">
        <f t="shared" si="42"/>
        <v>0</v>
      </c>
      <c r="W75" s="53">
        <f t="shared" si="42"/>
        <v>0</v>
      </c>
      <c r="X75" s="53">
        <f t="shared" si="42"/>
        <v>0</v>
      </c>
      <c r="Y75" s="53">
        <f t="shared" si="42"/>
        <v>0</v>
      </c>
      <c r="Z75" s="53">
        <f t="shared" si="42"/>
        <v>0</v>
      </c>
      <c r="AA75" s="53">
        <f t="shared" si="42"/>
        <v>0</v>
      </c>
      <c r="AB75" s="53">
        <f t="shared" si="42"/>
        <v>0</v>
      </c>
      <c r="AC75" s="53">
        <f t="shared" si="42"/>
        <v>0</v>
      </c>
      <c r="AD75" s="53">
        <f t="shared" si="42"/>
        <v>0</v>
      </c>
      <c r="AE75" s="53">
        <f t="shared" si="42"/>
        <v>0</v>
      </c>
      <c r="AF75" s="53">
        <f t="shared" si="42"/>
        <v>0</v>
      </c>
      <c r="AG75" s="53">
        <f t="shared" si="42"/>
        <v>0</v>
      </c>
      <c r="AH75" s="53">
        <f t="shared" si="42"/>
        <v>0</v>
      </c>
      <c r="AI75" s="53">
        <f t="shared" si="42"/>
        <v>0</v>
      </c>
      <c r="AJ75" s="53">
        <f t="shared" si="42"/>
        <v>0</v>
      </c>
      <c r="AK75" s="53">
        <f t="shared" si="42"/>
        <v>0</v>
      </c>
      <c r="AL75" s="53">
        <f t="shared" si="42"/>
        <v>0</v>
      </c>
      <c r="AM75" s="53">
        <f t="shared" si="42"/>
        <v>0</v>
      </c>
      <c r="AN75" s="53">
        <f t="shared" si="42"/>
        <v>0</v>
      </c>
      <c r="AO75" s="53">
        <f t="shared" si="42"/>
        <v>0</v>
      </c>
      <c r="AP75" s="53">
        <f t="shared" si="42"/>
        <v>0</v>
      </c>
    </row>
    <row r="76" spans="1:42" x14ac:dyDescent="0.2">
      <c r="A76" s="46" t="s">
        <v>23</v>
      </c>
      <c r="B76" s="53">
        <f>SUM(B73:B75)</f>
        <v>38530001</v>
      </c>
      <c r="C76" s="56">
        <f>SUM(C73:C75)</f>
        <v>-1395732.7066550148</v>
      </c>
      <c r="D76" s="56">
        <f t="shared" ref="D76:AP76" si="43">SUM(D73:D75)</f>
        <v>-1538653.3438310628</v>
      </c>
      <c r="E76" s="56">
        <f t="shared" si="43"/>
        <v>-1693033.6172127714</v>
      </c>
      <c r="F76" s="56">
        <f t="shared" si="43"/>
        <v>-1859864.825316356</v>
      </c>
      <c r="G76" s="56">
        <f t="shared" si="43"/>
        <v>-2040220.9973416165</v>
      </c>
      <c r="H76" s="56">
        <f t="shared" si="43"/>
        <v>-2235265.9808911607</v>
      </c>
      <c r="I76" s="56">
        <f t="shared" si="43"/>
        <v>-2446261.1287227683</v>
      </c>
      <c r="J76" s="56">
        <f t="shared" si="43"/>
        <v>-2674573.6356039029</v>
      </c>
      <c r="K76" s="56">
        <f t="shared" si="43"/>
        <v>-2921685.5806700829</v>
      </c>
      <c r="L76" s="56">
        <f t="shared" si="43"/>
        <v>-3189203.7353900392</v>
      </c>
      <c r="M76" s="56">
        <f t="shared" si="43"/>
        <v>-3478870.2023421316</v>
      </c>
      <c r="N76" s="56">
        <f t="shared" si="43"/>
        <v>-3792573.9555415483</v>
      </c>
      <c r="O76" s="56">
        <f t="shared" si="43"/>
        <v>-4062529.4046322932</v>
      </c>
      <c r="P76" s="56">
        <f t="shared" si="43"/>
        <v>0</v>
      </c>
      <c r="Q76" s="56">
        <f t="shared" si="43"/>
        <v>0</v>
      </c>
      <c r="R76" s="56">
        <f t="shared" si="43"/>
        <v>0</v>
      </c>
      <c r="S76" s="56">
        <f t="shared" si="43"/>
        <v>0</v>
      </c>
      <c r="T76" s="56">
        <f t="shared" si="43"/>
        <v>0</v>
      </c>
      <c r="U76" s="56">
        <f t="shared" si="43"/>
        <v>0</v>
      </c>
      <c r="V76" s="56">
        <f t="shared" si="43"/>
        <v>0</v>
      </c>
      <c r="W76" s="56">
        <f t="shared" si="43"/>
        <v>0</v>
      </c>
      <c r="X76" s="56">
        <f t="shared" si="43"/>
        <v>0</v>
      </c>
      <c r="Y76" s="56">
        <f t="shared" si="43"/>
        <v>0</v>
      </c>
      <c r="Z76" s="56">
        <f t="shared" si="43"/>
        <v>0</v>
      </c>
      <c r="AA76" s="56">
        <f t="shared" si="43"/>
        <v>0</v>
      </c>
      <c r="AB76" s="56">
        <f t="shared" si="43"/>
        <v>0</v>
      </c>
      <c r="AC76" s="56">
        <f t="shared" si="43"/>
        <v>0</v>
      </c>
      <c r="AD76" s="56">
        <f t="shared" si="43"/>
        <v>0</v>
      </c>
      <c r="AE76" s="56">
        <f t="shared" si="43"/>
        <v>0</v>
      </c>
      <c r="AF76" s="56">
        <f t="shared" si="43"/>
        <v>0</v>
      </c>
      <c r="AG76" s="56">
        <f t="shared" si="43"/>
        <v>0</v>
      </c>
      <c r="AH76" s="56">
        <f t="shared" si="43"/>
        <v>0</v>
      </c>
      <c r="AI76" s="56">
        <f t="shared" si="43"/>
        <v>0</v>
      </c>
      <c r="AJ76" s="56">
        <f t="shared" si="43"/>
        <v>0</v>
      </c>
      <c r="AK76" s="56">
        <f t="shared" si="43"/>
        <v>0</v>
      </c>
      <c r="AL76" s="56">
        <f t="shared" si="43"/>
        <v>0</v>
      </c>
      <c r="AM76" s="56">
        <f t="shared" si="43"/>
        <v>0</v>
      </c>
      <c r="AN76" s="56">
        <f t="shared" si="43"/>
        <v>0</v>
      </c>
      <c r="AO76" s="56">
        <f t="shared" si="43"/>
        <v>0</v>
      </c>
      <c r="AP76" s="56">
        <f t="shared" si="43"/>
        <v>0</v>
      </c>
    </row>
    <row r="77" spans="1:42" ht="13.5" thickBot="1" x14ac:dyDescent="0.25">
      <c r="A77" s="48" t="s">
        <v>110</v>
      </c>
      <c r="B77" s="55">
        <f t="shared" ref="B77:AP77" si="44">B51+B67+B76</f>
        <v>-5039035.7694828212</v>
      </c>
      <c r="C77" s="55">
        <f t="shared" si="44"/>
        <v>1511558.325441529</v>
      </c>
      <c r="D77" s="55">
        <f t="shared" si="44"/>
        <v>1524857.2546980535</v>
      </c>
      <c r="E77" s="55">
        <f t="shared" si="44"/>
        <v>1537921.3360703764</v>
      </c>
      <c r="F77" s="55">
        <f t="shared" si="44"/>
        <v>1550756.2845706609</v>
      </c>
      <c r="G77" s="55">
        <f t="shared" si="44"/>
        <v>1563367.294261673</v>
      </c>
      <c r="H77" s="55">
        <f t="shared" si="44"/>
        <v>1575759.056951473</v>
      </c>
      <c r="I77" s="55">
        <f t="shared" si="44"/>
        <v>1587935.7797270054</v>
      </c>
      <c r="J77" s="55">
        <f t="shared" si="44"/>
        <v>1599901.2013775641</v>
      </c>
      <c r="K77" s="55">
        <f t="shared" si="44"/>
        <v>1611658.6077564992</v>
      </c>
      <c r="L77" s="55">
        <f t="shared" si="44"/>
        <v>1623210.846126575</v>
      </c>
      <c r="M77" s="55">
        <f t="shared" si="44"/>
        <v>1634560.3385322872</v>
      </c>
      <c r="N77" s="55">
        <f t="shared" si="44"/>
        <v>1680626.0714555653</v>
      </c>
      <c r="O77" s="55">
        <f t="shared" si="44"/>
        <v>3786546.9521861919</v>
      </c>
      <c r="P77" s="55">
        <f t="shared" si="44"/>
        <v>5980714.0773441987</v>
      </c>
      <c r="Q77" s="55">
        <f t="shared" si="44"/>
        <v>6008764.3290102649</v>
      </c>
      <c r="R77" s="55">
        <f t="shared" si="44"/>
        <v>6036053.0493338443</v>
      </c>
      <c r="S77" s="55">
        <f t="shared" si="44"/>
        <v>6062580.6156232711</v>
      </c>
      <c r="T77" s="55">
        <f t="shared" si="44"/>
        <v>6088346.0330553716</v>
      </c>
      <c r="U77" s="55">
        <f t="shared" si="44"/>
        <v>6113346.961184009</v>
      </c>
      <c r="V77" s="55">
        <f t="shared" si="44"/>
        <v>6137579.7378221164</v>
      </c>
      <c r="W77" s="55">
        <f t="shared" si="44"/>
        <v>6161039.4003879325</v>
      </c>
      <c r="X77" s="55">
        <f t="shared" si="44"/>
        <v>6183719.7048002863</v>
      </c>
      <c r="Y77" s="55">
        <f t="shared" si="44"/>
        <v>6205613.1420022948</v>
      </c>
      <c r="Z77" s="55">
        <f t="shared" si="44"/>
        <v>6226710.9521873835</v>
      </c>
      <c r="AA77" s="55">
        <f t="shared" si="44"/>
        <v>6043010.8978641527</v>
      </c>
      <c r="AB77" s="55">
        <f t="shared" si="44"/>
        <v>6064705.0635461649</v>
      </c>
      <c r="AC77" s="55">
        <f t="shared" si="44"/>
        <v>6085569.9275017055</v>
      </c>
      <c r="AD77" s="55">
        <f t="shared" si="44"/>
        <v>6105591.8255423885</v>
      </c>
      <c r="AE77" s="55">
        <f t="shared" si="44"/>
        <v>6124755.8816391164</v>
      </c>
      <c r="AF77" s="55">
        <f t="shared" si="44"/>
        <v>6143046.0096439915</v>
      </c>
      <c r="AG77" s="55">
        <f t="shared" si="44"/>
        <v>6160444.9131004177</v>
      </c>
      <c r="AH77" s="55">
        <f t="shared" si="44"/>
        <v>6176934.0831797691</v>
      </c>
      <c r="AI77" s="55">
        <f t="shared" si="44"/>
        <v>6192493.7947793361</v>
      </c>
      <c r="AJ77" s="55">
        <f t="shared" si="44"/>
        <v>6207103.100812505</v>
      </c>
      <c r="AK77" s="55">
        <f t="shared" si="44"/>
        <v>6220739.8247188376</v>
      </c>
      <c r="AL77" s="55">
        <f t="shared" si="44"/>
        <v>6233380.551218194</v>
      </c>
      <c r="AM77" s="55">
        <f t="shared" si="44"/>
        <v>6635590.6355365943</v>
      </c>
      <c r="AN77" s="55">
        <f t="shared" si="44"/>
        <v>6637511.7993069645</v>
      </c>
      <c r="AO77" s="55">
        <f t="shared" si="44"/>
        <v>6638359.1691315416</v>
      </c>
      <c r="AP77" s="55">
        <f t="shared" si="44"/>
        <v>11306913.058870379</v>
      </c>
    </row>
    <row r="78" spans="1:42" ht="13.5" thickTop="1" x14ac:dyDescent="0.2">
      <c r="B78" s="39"/>
      <c r="C78" s="39"/>
      <c r="D78" s="39"/>
      <c r="E78" s="39"/>
      <c r="F78" s="39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</row>
    <row r="79" spans="1:42" x14ac:dyDescent="0.2">
      <c r="A79" s="45" t="s">
        <v>139</v>
      </c>
      <c r="B79" s="39"/>
      <c r="C79" s="39"/>
      <c r="D79" s="39"/>
      <c r="E79" s="39"/>
      <c r="F79" s="39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52"/>
    </row>
    <row r="80" spans="1:42" x14ac:dyDescent="0.2">
      <c r="A80" s="57" t="s">
        <v>131</v>
      </c>
      <c r="B80" s="39"/>
      <c r="C80" s="39"/>
      <c r="D80" s="39"/>
      <c r="E80" s="39"/>
      <c r="F80" s="39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52"/>
    </row>
    <row r="81" spans="1:42" x14ac:dyDescent="0.2">
      <c r="A81" s="300" t="s">
        <v>132</v>
      </c>
      <c r="B81" s="52">
        <f>-B74</f>
        <v>-38530001</v>
      </c>
      <c r="C81" s="52">
        <f t="shared" ref="C81:AP81" si="45">-C74</f>
        <v>0</v>
      </c>
      <c r="D81" s="52">
        <f t="shared" si="45"/>
        <v>0</v>
      </c>
      <c r="E81" s="52">
        <f t="shared" si="45"/>
        <v>0</v>
      </c>
      <c r="F81" s="52">
        <f t="shared" si="45"/>
        <v>0</v>
      </c>
      <c r="G81" s="52">
        <f t="shared" si="45"/>
        <v>0</v>
      </c>
      <c r="H81" s="52">
        <f t="shared" si="45"/>
        <v>0</v>
      </c>
      <c r="I81" s="52">
        <f t="shared" si="45"/>
        <v>0</v>
      </c>
      <c r="J81" s="52">
        <f t="shared" si="45"/>
        <v>0</v>
      </c>
      <c r="K81" s="52">
        <f t="shared" si="45"/>
        <v>0</v>
      </c>
      <c r="L81" s="52">
        <f t="shared" si="45"/>
        <v>0</v>
      </c>
      <c r="M81" s="52">
        <f t="shared" si="45"/>
        <v>0</v>
      </c>
      <c r="N81" s="52">
        <f t="shared" si="45"/>
        <v>0</v>
      </c>
      <c r="O81" s="52">
        <f t="shared" si="45"/>
        <v>0</v>
      </c>
      <c r="P81" s="52">
        <f t="shared" si="45"/>
        <v>0</v>
      </c>
      <c r="Q81" s="52">
        <f t="shared" si="45"/>
        <v>0</v>
      </c>
      <c r="R81" s="52">
        <f t="shared" si="45"/>
        <v>0</v>
      </c>
      <c r="S81" s="52">
        <f t="shared" si="45"/>
        <v>0</v>
      </c>
      <c r="T81" s="52">
        <f t="shared" si="45"/>
        <v>0</v>
      </c>
      <c r="U81" s="52">
        <f t="shared" si="45"/>
        <v>0</v>
      </c>
      <c r="V81" s="52">
        <f t="shared" si="45"/>
        <v>0</v>
      </c>
      <c r="W81" s="52">
        <f t="shared" si="45"/>
        <v>0</v>
      </c>
      <c r="X81" s="52">
        <f t="shared" si="45"/>
        <v>0</v>
      </c>
      <c r="Y81" s="52">
        <f t="shared" si="45"/>
        <v>0</v>
      </c>
      <c r="Z81" s="52">
        <f t="shared" si="45"/>
        <v>0</v>
      </c>
      <c r="AA81" s="52">
        <f t="shared" si="45"/>
        <v>0</v>
      </c>
      <c r="AB81" s="52">
        <f t="shared" si="45"/>
        <v>0</v>
      </c>
      <c r="AC81" s="52">
        <f t="shared" si="45"/>
        <v>0</v>
      </c>
      <c r="AD81" s="52">
        <f t="shared" si="45"/>
        <v>0</v>
      </c>
      <c r="AE81" s="52">
        <f t="shared" si="45"/>
        <v>0</v>
      </c>
      <c r="AF81" s="52">
        <f t="shared" si="45"/>
        <v>0</v>
      </c>
      <c r="AG81" s="52">
        <f t="shared" si="45"/>
        <v>0</v>
      </c>
      <c r="AH81" s="52">
        <f t="shared" si="45"/>
        <v>0</v>
      </c>
      <c r="AI81" s="52">
        <f t="shared" si="45"/>
        <v>0</v>
      </c>
      <c r="AJ81" s="52">
        <f t="shared" si="45"/>
        <v>0</v>
      </c>
      <c r="AK81" s="52">
        <f t="shared" si="45"/>
        <v>0</v>
      </c>
      <c r="AL81" s="52">
        <f t="shared" si="45"/>
        <v>0</v>
      </c>
      <c r="AM81" s="52">
        <f t="shared" si="45"/>
        <v>0</v>
      </c>
      <c r="AN81" s="52">
        <f t="shared" si="45"/>
        <v>0</v>
      </c>
      <c r="AO81" s="52">
        <f t="shared" si="45"/>
        <v>0</v>
      </c>
      <c r="AP81" s="52">
        <f t="shared" si="45"/>
        <v>0</v>
      </c>
    </row>
    <row r="82" spans="1:42" x14ac:dyDescent="0.2">
      <c r="A82" s="300" t="s">
        <v>133</v>
      </c>
      <c r="B82" s="53">
        <f>B77</f>
        <v>-5039035.7694828212</v>
      </c>
      <c r="C82" s="53">
        <f t="shared" ref="C82:AP82" si="46">C77</f>
        <v>1511558.325441529</v>
      </c>
      <c r="D82" s="53">
        <f t="shared" si="46"/>
        <v>1524857.2546980535</v>
      </c>
      <c r="E82" s="53">
        <f t="shared" si="46"/>
        <v>1537921.3360703764</v>
      </c>
      <c r="F82" s="53">
        <f t="shared" si="46"/>
        <v>1550756.2845706609</v>
      </c>
      <c r="G82" s="53">
        <f t="shared" si="46"/>
        <v>1563367.294261673</v>
      </c>
      <c r="H82" s="53">
        <f t="shared" si="46"/>
        <v>1575759.056951473</v>
      </c>
      <c r="I82" s="53">
        <f t="shared" si="46"/>
        <v>1587935.7797270054</v>
      </c>
      <c r="J82" s="53">
        <f t="shared" si="46"/>
        <v>1599901.2013775641</v>
      </c>
      <c r="K82" s="53">
        <f t="shared" si="46"/>
        <v>1611658.6077564992</v>
      </c>
      <c r="L82" s="53">
        <f t="shared" si="46"/>
        <v>1623210.846126575</v>
      </c>
      <c r="M82" s="53">
        <f t="shared" si="46"/>
        <v>1634560.3385322872</v>
      </c>
      <c r="N82" s="53">
        <f t="shared" si="46"/>
        <v>1680626.0714555653</v>
      </c>
      <c r="O82" s="53">
        <f t="shared" si="46"/>
        <v>3786546.9521861919</v>
      </c>
      <c r="P82" s="53">
        <f t="shared" si="46"/>
        <v>5980714.0773441987</v>
      </c>
      <c r="Q82" s="53">
        <f t="shared" si="46"/>
        <v>6008764.3290102649</v>
      </c>
      <c r="R82" s="53">
        <f t="shared" si="46"/>
        <v>6036053.0493338443</v>
      </c>
      <c r="S82" s="53">
        <f t="shared" si="46"/>
        <v>6062580.6156232711</v>
      </c>
      <c r="T82" s="53">
        <f t="shared" si="46"/>
        <v>6088346.0330553716</v>
      </c>
      <c r="U82" s="53">
        <f t="shared" si="46"/>
        <v>6113346.961184009</v>
      </c>
      <c r="V82" s="53">
        <f t="shared" si="46"/>
        <v>6137579.7378221164</v>
      </c>
      <c r="W82" s="53">
        <f t="shared" si="46"/>
        <v>6161039.4003879325</v>
      </c>
      <c r="X82" s="53">
        <f t="shared" si="46"/>
        <v>6183719.7048002863</v>
      </c>
      <c r="Y82" s="53">
        <f t="shared" si="46"/>
        <v>6205613.1420022948</v>
      </c>
      <c r="Z82" s="53">
        <f t="shared" si="46"/>
        <v>6226710.9521873835</v>
      </c>
      <c r="AA82" s="53">
        <f t="shared" si="46"/>
        <v>6043010.8978641527</v>
      </c>
      <c r="AB82" s="53">
        <f t="shared" si="46"/>
        <v>6064705.0635461649</v>
      </c>
      <c r="AC82" s="53">
        <f t="shared" si="46"/>
        <v>6085569.9275017055</v>
      </c>
      <c r="AD82" s="53">
        <f t="shared" si="46"/>
        <v>6105591.8255423885</v>
      </c>
      <c r="AE82" s="53">
        <f t="shared" si="46"/>
        <v>6124755.8816391164</v>
      </c>
      <c r="AF82" s="53">
        <f t="shared" si="46"/>
        <v>6143046.0096439915</v>
      </c>
      <c r="AG82" s="53">
        <f t="shared" si="46"/>
        <v>6160444.9131004177</v>
      </c>
      <c r="AH82" s="53">
        <f t="shared" si="46"/>
        <v>6176934.0831797691</v>
      </c>
      <c r="AI82" s="53">
        <f t="shared" si="46"/>
        <v>6192493.7947793361</v>
      </c>
      <c r="AJ82" s="53">
        <f t="shared" si="46"/>
        <v>6207103.100812505</v>
      </c>
      <c r="AK82" s="53">
        <f t="shared" si="46"/>
        <v>6220739.8247188376</v>
      </c>
      <c r="AL82" s="53">
        <f t="shared" si="46"/>
        <v>6233380.551218194</v>
      </c>
      <c r="AM82" s="53">
        <f t="shared" si="46"/>
        <v>6635590.6355365943</v>
      </c>
      <c r="AN82" s="53">
        <f t="shared" si="46"/>
        <v>6637511.7993069645</v>
      </c>
      <c r="AO82" s="53">
        <f t="shared" si="46"/>
        <v>6638359.1691315416</v>
      </c>
      <c r="AP82" s="53">
        <f t="shared" si="46"/>
        <v>11306913.058870379</v>
      </c>
    </row>
    <row r="83" spans="1:42" x14ac:dyDescent="0.2">
      <c r="A83" s="300" t="s">
        <v>23</v>
      </c>
      <c r="B83" s="39">
        <f>SUM(B81:B82)</f>
        <v>-43569036.769482821</v>
      </c>
      <c r="C83" s="39">
        <f t="shared" ref="C83:AP83" si="47">SUM(C81:C82)</f>
        <v>1511558.325441529</v>
      </c>
      <c r="D83" s="39">
        <f t="shared" si="47"/>
        <v>1524857.2546980535</v>
      </c>
      <c r="E83" s="39">
        <f t="shared" si="47"/>
        <v>1537921.3360703764</v>
      </c>
      <c r="F83" s="39">
        <f t="shared" si="47"/>
        <v>1550756.2845706609</v>
      </c>
      <c r="G83" s="39">
        <f t="shared" si="47"/>
        <v>1563367.294261673</v>
      </c>
      <c r="H83" s="39">
        <f t="shared" si="47"/>
        <v>1575759.056951473</v>
      </c>
      <c r="I83" s="39">
        <f t="shared" si="47"/>
        <v>1587935.7797270054</v>
      </c>
      <c r="J83" s="39">
        <f t="shared" si="47"/>
        <v>1599901.2013775641</v>
      </c>
      <c r="K83" s="39">
        <f t="shared" si="47"/>
        <v>1611658.6077564992</v>
      </c>
      <c r="L83" s="39">
        <f t="shared" si="47"/>
        <v>1623210.846126575</v>
      </c>
      <c r="M83" s="39">
        <f t="shared" si="47"/>
        <v>1634560.3385322872</v>
      </c>
      <c r="N83" s="39">
        <f t="shared" si="47"/>
        <v>1680626.0714555653</v>
      </c>
      <c r="O83" s="39">
        <f t="shared" si="47"/>
        <v>3786546.9521861919</v>
      </c>
      <c r="P83" s="39">
        <f t="shared" si="47"/>
        <v>5980714.0773441987</v>
      </c>
      <c r="Q83" s="39">
        <f t="shared" si="47"/>
        <v>6008764.3290102649</v>
      </c>
      <c r="R83" s="39">
        <f t="shared" si="47"/>
        <v>6036053.0493338443</v>
      </c>
      <c r="S83" s="39">
        <f t="shared" si="47"/>
        <v>6062580.6156232711</v>
      </c>
      <c r="T83" s="39">
        <f t="shared" si="47"/>
        <v>6088346.0330553716</v>
      </c>
      <c r="U83" s="39">
        <f t="shared" si="47"/>
        <v>6113346.961184009</v>
      </c>
      <c r="V83" s="39">
        <f t="shared" si="47"/>
        <v>6137579.7378221164</v>
      </c>
      <c r="W83" s="39">
        <f t="shared" si="47"/>
        <v>6161039.4003879325</v>
      </c>
      <c r="X83" s="39">
        <f t="shared" si="47"/>
        <v>6183719.7048002863</v>
      </c>
      <c r="Y83" s="39">
        <f t="shared" si="47"/>
        <v>6205613.1420022948</v>
      </c>
      <c r="Z83" s="39">
        <f t="shared" si="47"/>
        <v>6226710.9521873835</v>
      </c>
      <c r="AA83" s="39">
        <f t="shared" si="47"/>
        <v>6043010.8978641527</v>
      </c>
      <c r="AB83" s="39">
        <f t="shared" si="47"/>
        <v>6064705.0635461649</v>
      </c>
      <c r="AC83" s="39">
        <f t="shared" si="47"/>
        <v>6085569.9275017055</v>
      </c>
      <c r="AD83" s="39">
        <f t="shared" si="47"/>
        <v>6105591.8255423885</v>
      </c>
      <c r="AE83" s="39">
        <f t="shared" si="47"/>
        <v>6124755.8816391164</v>
      </c>
      <c r="AF83" s="39">
        <f t="shared" si="47"/>
        <v>6143046.0096439915</v>
      </c>
      <c r="AG83" s="39">
        <f t="shared" si="47"/>
        <v>6160444.9131004177</v>
      </c>
      <c r="AH83" s="39">
        <f t="shared" si="47"/>
        <v>6176934.0831797691</v>
      </c>
      <c r="AI83" s="39">
        <f t="shared" si="47"/>
        <v>6192493.7947793361</v>
      </c>
      <c r="AJ83" s="39">
        <f t="shared" si="47"/>
        <v>6207103.100812505</v>
      </c>
      <c r="AK83" s="39">
        <f t="shared" si="47"/>
        <v>6220739.8247188376</v>
      </c>
      <c r="AL83" s="39">
        <f t="shared" si="47"/>
        <v>6233380.551218194</v>
      </c>
      <c r="AM83" s="39">
        <f t="shared" si="47"/>
        <v>6635590.6355365943</v>
      </c>
      <c r="AN83" s="39">
        <f t="shared" si="47"/>
        <v>6637511.7993069645</v>
      </c>
      <c r="AO83" s="39">
        <f t="shared" si="47"/>
        <v>6638359.1691315416</v>
      </c>
      <c r="AP83" s="39">
        <f t="shared" si="47"/>
        <v>11306913.058870379</v>
      </c>
    </row>
    <row r="84" spans="1:42" x14ac:dyDescent="0.2">
      <c r="A84" s="300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</row>
    <row r="85" spans="1:42" x14ac:dyDescent="0.2">
      <c r="A85" s="300" t="s">
        <v>175</v>
      </c>
      <c r="B85" s="63">
        <f>ROUND(IF(ISERROR(IRR($B83:B$83)),0,IRR($B83:B$83)),4)</f>
        <v>0</v>
      </c>
      <c r="C85" s="63">
        <f>ROUND(IF(ISERROR(IRR($B83:C$83)),0,IRR($B83:C$83)),4)</f>
        <v>-0.96530000000000005</v>
      </c>
      <c r="D85" s="63">
        <f>ROUND(IF(ISERROR(IRR($B83:D$83)),0,IRR($B83:D$83)),4)</f>
        <v>-0.79479999999999995</v>
      </c>
      <c r="E85" s="63">
        <f>ROUND(IF(ISERROR(IRR($B83:E$83)),0,IRR($B83:E$83)),4)</f>
        <v>-0.62339999999999995</v>
      </c>
      <c r="F85" s="63">
        <f>ROUND(IF(ISERROR(IRR($B83:F$83)),0,IRR($B83:F$83)),4)</f>
        <v>-0.49080000000000001</v>
      </c>
      <c r="G85" s="63">
        <f>ROUND(IF(ISERROR(IRR($B83:G$83)),0,IRR($B83:G$83)),4)</f>
        <v>-0.39179999999999998</v>
      </c>
      <c r="H85" s="63">
        <f>ROUND(IF(ISERROR(IRR($B83:H$83)),0,IRR($B83:H$83)),4)</f>
        <v>-0.31730000000000003</v>
      </c>
      <c r="I85" s="63">
        <f>ROUND(IF(ISERROR(IRR($B83:I$83)),0,IRR($B83:I$83)),4)</f>
        <v>-0.26019999999999999</v>
      </c>
      <c r="J85" s="63">
        <f>ROUND(IF(ISERROR(IRR($B83:J$83)),0,IRR($B83:J$83)),4)</f>
        <v>-0.21560000000000001</v>
      </c>
      <c r="K85" s="63">
        <f>ROUND(IF(ISERROR(IRR($B83:K$83)),0,IRR($B83:K$83)),4)</f>
        <v>-0.18010000000000001</v>
      </c>
      <c r="L85" s="63">
        <f>ROUND(IF(ISERROR(IRR($B83:L$83)),0,IRR($B83:L$83)),4)</f>
        <v>-0.15140000000000001</v>
      </c>
      <c r="M85" s="63">
        <f>ROUND(IF(ISERROR(IRR($B83:M$83)),0,IRR($B83:M$83)),4)</f>
        <v>-0.1278</v>
      </c>
      <c r="N85" s="63">
        <f>ROUND(IF(ISERROR(IRR($B83:N$83)),0,IRR($B83:N$83)),4)</f>
        <v>-0.1079</v>
      </c>
      <c r="O85" s="63">
        <f>ROUND(IF(ISERROR(IRR($B83:O$83)),0,IRR($B83:O$83)),4)</f>
        <v>-7.5399999999999995E-2</v>
      </c>
      <c r="P85" s="63">
        <f>ROUND(IF(ISERROR(IRR($B83:P$83)),0,IRR($B83:P$83)),4)</f>
        <v>-4.3200000000000002E-2</v>
      </c>
      <c r="Q85" s="63">
        <f>ROUND(IF(ISERROR(IRR($B83:Q$83)),0,IRR($B83:Q$83)),4)</f>
        <v>-2.18E-2</v>
      </c>
      <c r="R85" s="63">
        <f>ROUND(IF(ISERROR(IRR($B83:R$83)),0,IRR($B83:R$83)),4)</f>
        <v>-5.8999999999999999E-3</v>
      </c>
      <c r="S85" s="63">
        <f>ROUND(IF(ISERROR(IRR($B83:S$83)),0,IRR($B83:S$83)),4)</f>
        <v>6.3E-3</v>
      </c>
      <c r="T85" s="63">
        <f>ROUND(IF(ISERROR(IRR($B83:T$83)),0,IRR($B83:T$83)),4)</f>
        <v>1.61E-2</v>
      </c>
      <c r="U85" s="63">
        <f>ROUND(IF(ISERROR(IRR($B83:U$83)),0,IRR($B83:U$83)),4)</f>
        <v>2.41E-2</v>
      </c>
      <c r="V85" s="63">
        <f>ROUND(IF(ISERROR(IRR($B83:V$83)),0,IRR($B83:V$83)),4)</f>
        <v>3.0800000000000001E-2</v>
      </c>
      <c r="W85" s="63">
        <f>ROUND(IF(ISERROR(IRR($B83:W$83)),0,IRR($B83:W$83)),4)</f>
        <v>3.6400000000000002E-2</v>
      </c>
      <c r="X85" s="63">
        <f>ROUND(IF(ISERROR(IRR($B83:X$83)),0,IRR($B83:X$83)),4)</f>
        <v>4.1099999999999998E-2</v>
      </c>
      <c r="Y85" s="63">
        <f>ROUND(IF(ISERROR(IRR($B83:Y$83)),0,IRR($B83:Y$83)),4)</f>
        <v>4.5199999999999997E-2</v>
      </c>
      <c r="Z85" s="63">
        <f>ROUND(IF(ISERROR(IRR($B83:Z$83)),0,IRR($B83:Z$83)),4)</f>
        <v>4.87E-2</v>
      </c>
      <c r="AA85" s="63">
        <f>ROUND(IF(ISERROR(IRR($B83:AA$83)),0,IRR($B83:AA$83)),4)</f>
        <v>5.1700000000000003E-2</v>
      </c>
      <c r="AB85" s="63">
        <f>ROUND(IF(ISERROR(IRR($B83:AB$83)),0,IRR($B83:AB$83)),4)</f>
        <v>5.4300000000000001E-2</v>
      </c>
      <c r="AC85" s="63">
        <f>ROUND(IF(ISERROR(IRR($B83:AC$83)),0,IRR($B83:AC$83)),4)</f>
        <v>5.6599999999999998E-2</v>
      </c>
      <c r="AD85" s="63">
        <f>ROUND(IF(ISERROR(IRR($B83:AD$83)),0,IRR($B83:AD$83)),4)</f>
        <v>5.8599999999999999E-2</v>
      </c>
      <c r="AE85" s="63">
        <f>ROUND(IF(ISERROR(IRR($B83:AE$83)),0,IRR($B83:AE$83)),4)</f>
        <v>6.0400000000000002E-2</v>
      </c>
      <c r="AF85" s="63">
        <f>ROUND(IF(ISERROR(IRR($B83:AF$83)),0,IRR($B83:AF$83)),4)</f>
        <v>6.2E-2</v>
      </c>
      <c r="AG85" s="63">
        <f>ROUND(IF(ISERROR(IRR($B83:AG$83)),0,IRR($B83:AG$83)),4)</f>
        <v>6.3399999999999998E-2</v>
      </c>
      <c r="AH85" s="63">
        <f>ROUND(IF(ISERROR(IRR($B83:AH$83)),0,IRR($B83:AH$83)),4)</f>
        <v>6.4699999999999994E-2</v>
      </c>
      <c r="AI85" s="63">
        <f>ROUND(IF(ISERROR(IRR($B83:AI$83)),0,IRR($B83:AI$83)),4)</f>
        <v>6.59E-2</v>
      </c>
      <c r="AJ85" s="63">
        <f>ROUND(IF(ISERROR(IRR($B83:AJ$83)),0,IRR($B83:AJ$83)),4)</f>
        <v>6.6900000000000001E-2</v>
      </c>
      <c r="AK85" s="63">
        <f>ROUND(IF(ISERROR(IRR($B83:AK$83)),0,IRR($B83:AK$83)),4)</f>
        <v>6.7799999999999999E-2</v>
      </c>
      <c r="AL85" s="63">
        <f>ROUND(IF(ISERROR(IRR($B83:AL$83)),0,IRR($B83:AL$83)),4)</f>
        <v>6.8599999999999994E-2</v>
      </c>
      <c r="AM85" s="63">
        <f>ROUND(IF(ISERROR(IRR($B83:AM$83)),0,IRR($B83:AM$83)),4)</f>
        <v>6.9400000000000003E-2</v>
      </c>
      <c r="AN85" s="63">
        <f>ROUND(IF(ISERROR(IRR($B83:AN$83)),0,IRR($B83:AN$83)),4)</f>
        <v>7.0099999999999996E-2</v>
      </c>
      <c r="AO85" s="63">
        <f>ROUND(IF(ISERROR(IRR($B83:AO$83)),0,IRR($B83:AO$83)),4)</f>
        <v>7.0800000000000002E-2</v>
      </c>
      <c r="AP85" s="63">
        <f>ROUND(IF(ISERROR(IRR($B83:AP$83)),0,IRR($B83:AP$83)),4)</f>
        <v>7.1800000000000003E-2</v>
      </c>
    </row>
    <row r="86" spans="1:42" x14ac:dyDescent="0.2">
      <c r="A86" s="300" t="s">
        <v>176</v>
      </c>
      <c r="B86" s="101">
        <f>B83</f>
        <v>-43569036.769482821</v>
      </c>
      <c r="C86" s="101">
        <f>NPV(DiscountRate,$C83:C83)+$B$83</f>
        <v>-42203607.380016685</v>
      </c>
      <c r="D86" s="101">
        <f>NPV(DiscountRate,$C83:D83)+$B$83</f>
        <v>-40959328.115786083</v>
      </c>
      <c r="E86" s="101">
        <f>NPV(DiscountRate,$C83:E83)+$B$83</f>
        <v>-39825709.074249923</v>
      </c>
      <c r="F86" s="101">
        <f>NPV(DiscountRate,$C83:F83)+$B$83</f>
        <v>-38793135.760723099</v>
      </c>
      <c r="G86" s="101">
        <f>NPV(DiscountRate,$C83:G83)+$B$83</f>
        <v>-37852800.534268513</v>
      </c>
      <c r="H86" s="101">
        <f>NPV(DiscountRate,$C83:H83)+$B$83</f>
        <v>-36996638.762802593</v>
      </c>
      <c r="I86" s="101">
        <f>NPV(DiscountRate,$C83:I83)+$B$83</f>
        <v>-36217269.468537711</v>
      </c>
      <c r="J86" s="101">
        <f>NPV(DiscountRate,$C83:J83)+$B$83</f>
        <v>-35507940.235990182</v>
      </c>
      <c r="K86" s="101">
        <f>NPV(DiscountRate,$C83:K83)+$B$83</f>
        <v>-34862476.150675558</v>
      </c>
      <c r="L86" s="101">
        <f>NPV(DiscountRate,$C83:L83)+$B$83</f>
        <v>-34275232.536306016</v>
      </c>
      <c r="M86" s="101">
        <f>NPV(DiscountRate,$C83:M83)+$B$83</f>
        <v>-33741051.260976329</v>
      </c>
      <c r="N86" s="101">
        <f>NPV(DiscountRate,$C83:N83)+$B$83</f>
        <v>-33244912.523793943</v>
      </c>
      <c r="O86" s="101">
        <f>NPV(DiscountRate,$C83:O83)+$B$83</f>
        <v>-32235148.895138782</v>
      </c>
      <c r="P86" s="101">
        <f>NPV(DiscountRate,$C83:P83)+$B$83</f>
        <v>-30794448.237969883</v>
      </c>
      <c r="Q86" s="101">
        <f>NPV(DiscountRate,$C83:Q83)+$B$83</f>
        <v>-29486922.575607263</v>
      </c>
      <c r="R86" s="101">
        <f>NPV(DiscountRate,$C83:R83)+$B$83</f>
        <v>-28300437.075000897</v>
      </c>
      <c r="S86" s="101">
        <f>NPV(DiscountRate,$C83:S83)+$B$83</f>
        <v>-27223943.974779069</v>
      </c>
      <c r="T86" s="101">
        <f>NPV(DiscountRate,$C83:T83)+$B$83</f>
        <v>-26247387.44470118</v>
      </c>
      <c r="U86" s="101">
        <f>NPV(DiscountRate,$C83:U83)+$B$83</f>
        <v>-25361616.475918096</v>
      </c>
      <c r="V86" s="101">
        <f>NPV(DiscountRate,$C83:V83)+$B$83</f>
        <v>-24558305.16595846</v>
      </c>
      <c r="W86" s="101">
        <f>NPV(DiscountRate,$C83:W83)+$B$83</f>
        <v>-23829879.806471795</v>
      </c>
      <c r="X86" s="101">
        <f>NPV(DiscountRate,$C83:X83)+$B$83</f>
        <v>-23169452.22382601</v>
      </c>
      <c r="Y86" s="101">
        <f>NPV(DiscountRate,$C83:Y83)+$B$83</f>
        <v>-22570758.862584356</v>
      </c>
      <c r="Z86" s="101">
        <f>NPV(DiscountRate,$C83:Z83)+$B$83</f>
        <v>-22028105.139630452</v>
      </c>
      <c r="AA86" s="101">
        <f>NPV(DiscountRate,$C83:AA83)+$B$83</f>
        <v>-21552373.764054965</v>
      </c>
      <c r="AB86" s="101">
        <f>NPV(DiscountRate,$C83:AB83)+$B$83</f>
        <v>-21121090.664917175</v>
      </c>
      <c r="AC86" s="101">
        <f>NPV(DiscountRate,$C83:AC83)+$B$83</f>
        <v>-20730161.25120369</v>
      </c>
      <c r="AD86" s="101">
        <f>NPV(DiscountRate,$C83:AD83)+$B$83</f>
        <v>-20375862.848017558</v>
      </c>
      <c r="AE86" s="101">
        <f>NPV(DiscountRate,$C83:AE83)+$B$83</f>
        <v>-20054811.462945126</v>
      </c>
      <c r="AF86" s="101">
        <f>NPV(DiscountRate,$C83:AF83)+$B$83</f>
        <v>-19763931.457794376</v>
      </c>
      <c r="AG86" s="101">
        <f>NPV(DiscountRate,$C83:AG83)+$B$83</f>
        <v>-19500427.880017176</v>
      </c>
      <c r="AH86" s="101">
        <f>NPV(DiscountRate,$C83:AH83)+$B$83</f>
        <v>-19261761.227751721</v>
      </c>
      <c r="AI86" s="101">
        <f>NPV(DiscountRate,$C83:AI83)+$B$83</f>
        <v>-19045624.440647662</v>
      </c>
      <c r="AJ86" s="101">
        <f>NPV(DiscountRate,$C83:AJ83)+$B$83</f>
        <v>-18849921.925537791</v>
      </c>
      <c r="AK86" s="101">
        <f>NPV(DiscountRate,$C83:AK83)+$B$83</f>
        <v>-18672750.441670191</v>
      </c>
      <c r="AL86" s="101">
        <f>NPV(DiscountRate,$C83:AL83)+$B$83</f>
        <v>-18512381.684687097</v>
      </c>
      <c r="AM86" s="101">
        <f>NPV(DiscountRate,$C83:AM83)+$B$83</f>
        <v>-18358169.019239902</v>
      </c>
      <c r="AN86" s="101">
        <f>NPV(DiscountRate,$C83:AN83)+$B$83</f>
        <v>-18218824.432812806</v>
      </c>
      <c r="AO86" s="101">
        <f>NPV(DiscountRate,$C83:AO83)+$B$83</f>
        <v>-18092934.825815223</v>
      </c>
      <c r="AP86" s="101">
        <f>NPV(DiscountRate,$C83:AP83)+$B$83</f>
        <v>-17899240.222336762</v>
      </c>
    </row>
    <row r="87" spans="1:42" x14ac:dyDescent="0.2">
      <c r="A87" s="46"/>
      <c r="B87" s="39"/>
      <c r="C87" s="39"/>
      <c r="D87" s="39"/>
      <c r="E87" s="39"/>
      <c r="F87" s="39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52"/>
    </row>
    <row r="88" spans="1:42" x14ac:dyDescent="0.2">
      <c r="A88" s="57" t="s">
        <v>134</v>
      </c>
      <c r="B88" s="39"/>
      <c r="C88" s="39"/>
      <c r="D88" s="39"/>
      <c r="E88" s="39"/>
      <c r="F88" s="39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</row>
    <row r="89" spans="1:42" s="35" customFormat="1" x14ac:dyDescent="0.2">
      <c r="A89" s="301" t="s">
        <v>135</v>
      </c>
      <c r="B89" s="60"/>
      <c r="C89" s="60"/>
      <c r="D89" s="60"/>
      <c r="E89" s="60"/>
      <c r="F89" s="60"/>
      <c r="G89" s="38"/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  <c r="AF89" s="38"/>
      <c r="AG89" s="38"/>
      <c r="AH89" s="38"/>
      <c r="AI89" s="38"/>
      <c r="AJ89" s="38"/>
      <c r="AK89" s="38"/>
      <c r="AL89" s="38"/>
      <c r="AM89" s="38"/>
      <c r="AN89" s="38"/>
      <c r="AO89" s="38"/>
      <c r="AP89" s="38"/>
    </row>
    <row r="90" spans="1:42" x14ac:dyDescent="0.2">
      <c r="A90" s="302" t="s">
        <v>132</v>
      </c>
      <c r="B90" s="52">
        <f>B81</f>
        <v>-38530001</v>
      </c>
      <c r="C90" s="52">
        <f t="shared" ref="C90:AP91" si="48">C81</f>
        <v>0</v>
      </c>
      <c r="D90" s="52">
        <f t="shared" si="48"/>
        <v>0</v>
      </c>
      <c r="E90" s="52">
        <f t="shared" si="48"/>
        <v>0</v>
      </c>
      <c r="F90" s="52">
        <f t="shared" si="48"/>
        <v>0</v>
      </c>
      <c r="G90" s="52">
        <f t="shared" si="48"/>
        <v>0</v>
      </c>
      <c r="H90" s="52">
        <f t="shared" si="48"/>
        <v>0</v>
      </c>
      <c r="I90" s="52">
        <f t="shared" si="48"/>
        <v>0</v>
      </c>
      <c r="J90" s="52">
        <f t="shared" si="48"/>
        <v>0</v>
      </c>
      <c r="K90" s="52">
        <f t="shared" si="48"/>
        <v>0</v>
      </c>
      <c r="L90" s="52">
        <f t="shared" si="48"/>
        <v>0</v>
      </c>
      <c r="M90" s="52">
        <f t="shared" si="48"/>
        <v>0</v>
      </c>
      <c r="N90" s="52">
        <f t="shared" si="48"/>
        <v>0</v>
      </c>
      <c r="O90" s="52">
        <f t="shared" si="48"/>
        <v>0</v>
      </c>
      <c r="P90" s="52">
        <f t="shared" si="48"/>
        <v>0</v>
      </c>
      <c r="Q90" s="52">
        <f t="shared" si="48"/>
        <v>0</v>
      </c>
      <c r="R90" s="52">
        <f t="shared" si="48"/>
        <v>0</v>
      </c>
      <c r="S90" s="52">
        <f t="shared" si="48"/>
        <v>0</v>
      </c>
      <c r="T90" s="52">
        <f t="shared" si="48"/>
        <v>0</v>
      </c>
      <c r="U90" s="52">
        <f t="shared" si="48"/>
        <v>0</v>
      </c>
      <c r="V90" s="52">
        <f t="shared" si="48"/>
        <v>0</v>
      </c>
      <c r="W90" s="52">
        <f t="shared" si="48"/>
        <v>0</v>
      </c>
      <c r="X90" s="52">
        <f t="shared" si="48"/>
        <v>0</v>
      </c>
      <c r="Y90" s="52">
        <f t="shared" si="48"/>
        <v>0</v>
      </c>
      <c r="Z90" s="52">
        <f t="shared" si="48"/>
        <v>0</v>
      </c>
      <c r="AA90" s="52">
        <f t="shared" si="48"/>
        <v>0</v>
      </c>
      <c r="AB90" s="52">
        <f t="shared" si="48"/>
        <v>0</v>
      </c>
      <c r="AC90" s="52">
        <f t="shared" si="48"/>
        <v>0</v>
      </c>
      <c r="AD90" s="52">
        <f t="shared" si="48"/>
        <v>0</v>
      </c>
      <c r="AE90" s="52">
        <f t="shared" si="48"/>
        <v>0</v>
      </c>
      <c r="AF90" s="52">
        <f t="shared" si="48"/>
        <v>0</v>
      </c>
      <c r="AG90" s="52">
        <f t="shared" si="48"/>
        <v>0</v>
      </c>
      <c r="AH90" s="52">
        <f t="shared" si="48"/>
        <v>0</v>
      </c>
      <c r="AI90" s="52">
        <f t="shared" si="48"/>
        <v>0</v>
      </c>
      <c r="AJ90" s="52">
        <f t="shared" si="48"/>
        <v>0</v>
      </c>
      <c r="AK90" s="52">
        <f t="shared" si="48"/>
        <v>0</v>
      </c>
      <c r="AL90" s="52">
        <f t="shared" si="48"/>
        <v>0</v>
      </c>
      <c r="AM90" s="52">
        <f t="shared" si="48"/>
        <v>0</v>
      </c>
      <c r="AN90" s="52">
        <f t="shared" si="48"/>
        <v>0</v>
      </c>
      <c r="AO90" s="52">
        <f t="shared" si="48"/>
        <v>0</v>
      </c>
      <c r="AP90" s="52">
        <f t="shared" si="48"/>
        <v>0</v>
      </c>
    </row>
    <row r="91" spans="1:42" x14ac:dyDescent="0.2">
      <c r="A91" s="302" t="s">
        <v>133</v>
      </c>
      <c r="B91" s="53">
        <f>B82</f>
        <v>-5039035.7694828212</v>
      </c>
      <c r="C91" s="53">
        <f t="shared" si="48"/>
        <v>1511558.325441529</v>
      </c>
      <c r="D91" s="53">
        <f t="shared" si="48"/>
        <v>1524857.2546980535</v>
      </c>
      <c r="E91" s="53">
        <f t="shared" si="48"/>
        <v>1537921.3360703764</v>
      </c>
      <c r="F91" s="53">
        <f t="shared" si="48"/>
        <v>1550756.2845706609</v>
      </c>
      <c r="G91" s="53">
        <f t="shared" si="48"/>
        <v>1563367.294261673</v>
      </c>
      <c r="H91" s="53">
        <f t="shared" si="48"/>
        <v>1575759.056951473</v>
      </c>
      <c r="I91" s="53">
        <f t="shared" si="48"/>
        <v>1587935.7797270054</v>
      </c>
      <c r="J91" s="53">
        <f t="shared" si="48"/>
        <v>1599901.2013775641</v>
      </c>
      <c r="K91" s="53">
        <f t="shared" si="48"/>
        <v>1611658.6077564992</v>
      </c>
      <c r="L91" s="53">
        <f t="shared" si="48"/>
        <v>1623210.846126575</v>
      </c>
      <c r="M91" s="53">
        <f t="shared" si="48"/>
        <v>1634560.3385322872</v>
      </c>
      <c r="N91" s="53">
        <f t="shared" si="48"/>
        <v>1680626.0714555653</v>
      </c>
      <c r="O91" s="53">
        <f t="shared" si="48"/>
        <v>3786546.9521861919</v>
      </c>
      <c r="P91" s="53">
        <f t="shared" si="48"/>
        <v>5980714.0773441987</v>
      </c>
      <c r="Q91" s="53">
        <f t="shared" si="48"/>
        <v>6008764.3290102649</v>
      </c>
      <c r="R91" s="53">
        <f t="shared" si="48"/>
        <v>6036053.0493338443</v>
      </c>
      <c r="S91" s="53">
        <f t="shared" si="48"/>
        <v>6062580.6156232711</v>
      </c>
      <c r="T91" s="53">
        <f t="shared" si="48"/>
        <v>6088346.0330553716</v>
      </c>
      <c r="U91" s="53">
        <f t="shared" si="48"/>
        <v>6113346.961184009</v>
      </c>
      <c r="V91" s="53">
        <f t="shared" si="48"/>
        <v>6137579.7378221164</v>
      </c>
      <c r="W91" s="53">
        <f t="shared" si="48"/>
        <v>6161039.4003879325</v>
      </c>
      <c r="X91" s="53">
        <f t="shared" si="48"/>
        <v>6183719.7048002863</v>
      </c>
      <c r="Y91" s="53">
        <f t="shared" si="48"/>
        <v>6205613.1420022948</v>
      </c>
      <c r="Z91" s="53">
        <f t="shared" si="48"/>
        <v>6226710.9521873835</v>
      </c>
      <c r="AA91" s="53">
        <f t="shared" si="48"/>
        <v>6043010.8978641527</v>
      </c>
      <c r="AB91" s="53">
        <f t="shared" si="48"/>
        <v>6064705.0635461649</v>
      </c>
      <c r="AC91" s="53">
        <f t="shared" si="48"/>
        <v>6085569.9275017055</v>
      </c>
      <c r="AD91" s="53">
        <f t="shared" si="48"/>
        <v>6105591.8255423885</v>
      </c>
      <c r="AE91" s="53">
        <f t="shared" si="48"/>
        <v>6124755.8816391164</v>
      </c>
      <c r="AF91" s="53">
        <f t="shared" si="48"/>
        <v>6143046.0096439915</v>
      </c>
      <c r="AG91" s="53">
        <f t="shared" si="48"/>
        <v>6160444.9131004177</v>
      </c>
      <c r="AH91" s="53">
        <f t="shared" si="48"/>
        <v>6176934.0831797691</v>
      </c>
      <c r="AI91" s="53">
        <f t="shared" si="48"/>
        <v>6192493.7947793361</v>
      </c>
      <c r="AJ91" s="53">
        <f t="shared" si="48"/>
        <v>6207103.100812505</v>
      </c>
      <c r="AK91" s="53">
        <f t="shared" si="48"/>
        <v>6220739.8247188376</v>
      </c>
      <c r="AL91" s="53">
        <f t="shared" si="48"/>
        <v>6233380.551218194</v>
      </c>
      <c r="AM91" s="53">
        <f t="shared" si="48"/>
        <v>6635590.6355365943</v>
      </c>
      <c r="AN91" s="53">
        <f t="shared" si="48"/>
        <v>6637511.7993069645</v>
      </c>
      <c r="AO91" s="53">
        <f t="shared" si="48"/>
        <v>6638359.1691315416</v>
      </c>
      <c r="AP91" s="53">
        <f t="shared" si="48"/>
        <v>11306913.058870379</v>
      </c>
    </row>
    <row r="92" spans="1:42" x14ac:dyDescent="0.2">
      <c r="A92" s="302" t="s">
        <v>136</v>
      </c>
      <c r="B92" s="39">
        <f>SUM(B90:B91)</f>
        <v>-43569036.769482821</v>
      </c>
      <c r="C92" s="39">
        <f t="shared" ref="C92:AP92" si="49">SUM(C90:C91)</f>
        <v>1511558.325441529</v>
      </c>
      <c r="D92" s="39">
        <f t="shared" si="49"/>
        <v>1524857.2546980535</v>
      </c>
      <c r="E92" s="39">
        <f t="shared" si="49"/>
        <v>1537921.3360703764</v>
      </c>
      <c r="F92" s="39">
        <f t="shared" si="49"/>
        <v>1550756.2845706609</v>
      </c>
      <c r="G92" s="39">
        <f t="shared" si="49"/>
        <v>1563367.294261673</v>
      </c>
      <c r="H92" s="39">
        <f t="shared" si="49"/>
        <v>1575759.056951473</v>
      </c>
      <c r="I92" s="39">
        <f t="shared" si="49"/>
        <v>1587935.7797270054</v>
      </c>
      <c r="J92" s="39">
        <f t="shared" si="49"/>
        <v>1599901.2013775641</v>
      </c>
      <c r="K92" s="39">
        <f t="shared" si="49"/>
        <v>1611658.6077564992</v>
      </c>
      <c r="L92" s="39">
        <f t="shared" si="49"/>
        <v>1623210.846126575</v>
      </c>
      <c r="M92" s="39">
        <f t="shared" si="49"/>
        <v>1634560.3385322872</v>
      </c>
      <c r="N92" s="39">
        <f t="shared" si="49"/>
        <v>1680626.0714555653</v>
      </c>
      <c r="O92" s="39">
        <f t="shared" si="49"/>
        <v>3786546.9521861919</v>
      </c>
      <c r="P92" s="39">
        <f t="shared" si="49"/>
        <v>5980714.0773441987</v>
      </c>
      <c r="Q92" s="39">
        <f t="shared" si="49"/>
        <v>6008764.3290102649</v>
      </c>
      <c r="R92" s="39">
        <f t="shared" si="49"/>
        <v>6036053.0493338443</v>
      </c>
      <c r="S92" s="39">
        <f t="shared" si="49"/>
        <v>6062580.6156232711</v>
      </c>
      <c r="T92" s="39">
        <f t="shared" si="49"/>
        <v>6088346.0330553716</v>
      </c>
      <c r="U92" s="39">
        <f t="shared" si="49"/>
        <v>6113346.961184009</v>
      </c>
      <c r="V92" s="39">
        <f t="shared" si="49"/>
        <v>6137579.7378221164</v>
      </c>
      <c r="W92" s="39">
        <f t="shared" si="49"/>
        <v>6161039.4003879325</v>
      </c>
      <c r="X92" s="39">
        <f t="shared" si="49"/>
        <v>6183719.7048002863</v>
      </c>
      <c r="Y92" s="39">
        <f t="shared" si="49"/>
        <v>6205613.1420022948</v>
      </c>
      <c r="Z92" s="39">
        <f t="shared" si="49"/>
        <v>6226710.9521873835</v>
      </c>
      <c r="AA92" s="39">
        <f t="shared" si="49"/>
        <v>6043010.8978641527</v>
      </c>
      <c r="AB92" s="39">
        <f t="shared" si="49"/>
        <v>6064705.0635461649</v>
      </c>
      <c r="AC92" s="39">
        <f t="shared" si="49"/>
        <v>6085569.9275017055</v>
      </c>
      <c r="AD92" s="39">
        <f t="shared" si="49"/>
        <v>6105591.8255423885</v>
      </c>
      <c r="AE92" s="39">
        <f t="shared" si="49"/>
        <v>6124755.8816391164</v>
      </c>
      <c r="AF92" s="39">
        <f t="shared" si="49"/>
        <v>6143046.0096439915</v>
      </c>
      <c r="AG92" s="39">
        <f t="shared" si="49"/>
        <v>6160444.9131004177</v>
      </c>
      <c r="AH92" s="39">
        <f t="shared" si="49"/>
        <v>6176934.0831797691</v>
      </c>
      <c r="AI92" s="39">
        <f t="shared" si="49"/>
        <v>6192493.7947793361</v>
      </c>
      <c r="AJ92" s="39">
        <f t="shared" si="49"/>
        <v>6207103.100812505</v>
      </c>
      <c r="AK92" s="39">
        <f t="shared" si="49"/>
        <v>6220739.8247188376</v>
      </c>
      <c r="AL92" s="39">
        <f t="shared" si="49"/>
        <v>6233380.551218194</v>
      </c>
      <c r="AM92" s="39">
        <f t="shared" si="49"/>
        <v>6635590.6355365943</v>
      </c>
      <c r="AN92" s="39">
        <f t="shared" si="49"/>
        <v>6637511.7993069645</v>
      </c>
      <c r="AO92" s="39">
        <f t="shared" si="49"/>
        <v>6638359.1691315416</v>
      </c>
      <c r="AP92" s="39">
        <f t="shared" si="49"/>
        <v>11306913.058870379</v>
      </c>
    </row>
    <row r="93" spans="1:42" x14ac:dyDescent="0.2">
      <c r="A93" s="300" t="s">
        <v>7</v>
      </c>
      <c r="B93" s="39"/>
      <c r="C93" s="39"/>
      <c r="D93" s="39"/>
      <c r="E93" s="39"/>
      <c r="F93" s="39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52"/>
    </row>
    <row r="94" spans="1:42" x14ac:dyDescent="0.2">
      <c r="A94" s="302" t="s">
        <v>10</v>
      </c>
      <c r="B94" s="39">
        <v>0</v>
      </c>
      <c r="C94" s="39">
        <f>I212+K212</f>
        <v>0</v>
      </c>
      <c r="D94" s="39">
        <v>0</v>
      </c>
      <c r="E94" s="39">
        <v>0</v>
      </c>
      <c r="F94" s="39">
        <v>0</v>
      </c>
      <c r="G94" s="39">
        <v>0</v>
      </c>
      <c r="H94" s="39">
        <v>0</v>
      </c>
      <c r="I94" s="39">
        <v>0</v>
      </c>
      <c r="J94" s="39">
        <v>0</v>
      </c>
      <c r="K94" s="39">
        <v>0</v>
      </c>
      <c r="L94" s="39">
        <v>0</v>
      </c>
      <c r="M94" s="39">
        <v>0</v>
      </c>
      <c r="N94" s="39">
        <v>0</v>
      </c>
      <c r="O94" s="39">
        <v>0</v>
      </c>
      <c r="P94" s="39">
        <v>0</v>
      </c>
      <c r="Q94" s="39">
        <v>0</v>
      </c>
      <c r="R94" s="39">
        <v>0</v>
      </c>
      <c r="S94" s="39">
        <v>0</v>
      </c>
      <c r="T94" s="39">
        <v>0</v>
      </c>
      <c r="U94" s="39">
        <v>0</v>
      </c>
      <c r="V94" s="39">
        <v>0</v>
      </c>
      <c r="W94" s="39">
        <v>0</v>
      </c>
      <c r="X94" s="39">
        <v>0</v>
      </c>
      <c r="Y94" s="39">
        <v>0</v>
      </c>
      <c r="Z94" s="39">
        <v>0</v>
      </c>
      <c r="AA94" s="39">
        <v>0</v>
      </c>
      <c r="AB94" s="39">
        <v>0</v>
      </c>
      <c r="AC94" s="39">
        <v>0</v>
      </c>
      <c r="AD94" s="39">
        <v>0</v>
      </c>
      <c r="AE94" s="39">
        <v>0</v>
      </c>
      <c r="AF94" s="39">
        <v>0</v>
      </c>
      <c r="AG94" s="39">
        <v>0</v>
      </c>
      <c r="AH94" s="39">
        <v>0</v>
      </c>
      <c r="AI94" s="39">
        <v>0</v>
      </c>
      <c r="AJ94" s="39">
        <v>0</v>
      </c>
      <c r="AK94" s="39">
        <v>0</v>
      </c>
      <c r="AL94" s="39">
        <v>0</v>
      </c>
      <c r="AM94" s="39">
        <v>0</v>
      </c>
      <c r="AN94" s="39">
        <v>0</v>
      </c>
      <c r="AO94" s="39">
        <v>0</v>
      </c>
      <c r="AP94" s="39">
        <v>0</v>
      </c>
    </row>
    <row r="95" spans="1:42" x14ac:dyDescent="0.2">
      <c r="A95" s="302" t="s">
        <v>9</v>
      </c>
      <c r="B95" s="53">
        <v>0</v>
      </c>
      <c r="C95" s="53">
        <f>I346+K346</f>
        <v>10749870.279000005</v>
      </c>
      <c r="D95" s="53">
        <v>0</v>
      </c>
      <c r="E95" s="53">
        <v>0</v>
      </c>
      <c r="F95" s="53">
        <v>0</v>
      </c>
      <c r="G95" s="53">
        <v>0</v>
      </c>
      <c r="H95" s="53">
        <v>0</v>
      </c>
      <c r="I95" s="53">
        <v>0</v>
      </c>
      <c r="J95" s="53">
        <v>0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0</v>
      </c>
      <c r="AB95" s="53">
        <v>0</v>
      </c>
      <c r="AC95" s="53">
        <v>0</v>
      </c>
      <c r="AD95" s="53">
        <v>0</v>
      </c>
      <c r="AE95" s="53">
        <v>0</v>
      </c>
      <c r="AF95" s="53">
        <v>0</v>
      </c>
      <c r="AG95" s="53">
        <v>0</v>
      </c>
      <c r="AH95" s="53">
        <v>0</v>
      </c>
      <c r="AI95" s="53">
        <v>0</v>
      </c>
      <c r="AJ95" s="53">
        <v>0</v>
      </c>
      <c r="AK95" s="53">
        <v>0</v>
      </c>
      <c r="AL95" s="53">
        <v>0</v>
      </c>
      <c r="AM95" s="53">
        <v>0</v>
      </c>
      <c r="AN95" s="53">
        <v>0</v>
      </c>
      <c r="AO95" s="53">
        <v>0</v>
      </c>
      <c r="AP95" s="53">
        <v>0</v>
      </c>
    </row>
    <row r="96" spans="1:42" x14ac:dyDescent="0.2">
      <c r="A96" s="302" t="s">
        <v>23</v>
      </c>
      <c r="B96" s="39">
        <f>SUM(B94:B95)</f>
        <v>0</v>
      </c>
      <c r="C96" s="39">
        <f>SUM(C94:C95)</f>
        <v>10749870.279000005</v>
      </c>
      <c r="D96" s="39">
        <f>SUM(D94:D95)</f>
        <v>0</v>
      </c>
      <c r="E96" s="39">
        <f t="shared" ref="E96:AP96" si="50">SUM(E94:E95)</f>
        <v>0</v>
      </c>
      <c r="F96" s="39">
        <f t="shared" si="50"/>
        <v>0</v>
      </c>
      <c r="G96" s="39">
        <f t="shared" si="50"/>
        <v>0</v>
      </c>
      <c r="H96" s="39">
        <f t="shared" si="50"/>
        <v>0</v>
      </c>
      <c r="I96" s="39">
        <f t="shared" si="50"/>
        <v>0</v>
      </c>
      <c r="J96" s="39">
        <f t="shared" si="50"/>
        <v>0</v>
      </c>
      <c r="K96" s="39">
        <f t="shared" si="50"/>
        <v>0</v>
      </c>
      <c r="L96" s="39">
        <f t="shared" si="50"/>
        <v>0</v>
      </c>
      <c r="M96" s="39">
        <f t="shared" si="50"/>
        <v>0</v>
      </c>
      <c r="N96" s="39">
        <f t="shared" si="50"/>
        <v>0</v>
      </c>
      <c r="O96" s="39">
        <f t="shared" si="50"/>
        <v>0</v>
      </c>
      <c r="P96" s="39">
        <f t="shared" si="50"/>
        <v>0</v>
      </c>
      <c r="Q96" s="39">
        <f t="shared" si="50"/>
        <v>0</v>
      </c>
      <c r="R96" s="39">
        <f t="shared" si="50"/>
        <v>0</v>
      </c>
      <c r="S96" s="39">
        <f t="shared" si="50"/>
        <v>0</v>
      </c>
      <c r="T96" s="39">
        <f t="shared" si="50"/>
        <v>0</v>
      </c>
      <c r="U96" s="39">
        <f t="shared" si="50"/>
        <v>0</v>
      </c>
      <c r="V96" s="39">
        <f t="shared" si="50"/>
        <v>0</v>
      </c>
      <c r="W96" s="39">
        <f t="shared" si="50"/>
        <v>0</v>
      </c>
      <c r="X96" s="39">
        <f t="shared" si="50"/>
        <v>0</v>
      </c>
      <c r="Y96" s="39">
        <f t="shared" si="50"/>
        <v>0</v>
      </c>
      <c r="Z96" s="39">
        <f t="shared" si="50"/>
        <v>0</v>
      </c>
      <c r="AA96" s="39">
        <f t="shared" si="50"/>
        <v>0</v>
      </c>
      <c r="AB96" s="39">
        <f t="shared" si="50"/>
        <v>0</v>
      </c>
      <c r="AC96" s="39">
        <f t="shared" si="50"/>
        <v>0</v>
      </c>
      <c r="AD96" s="39">
        <f t="shared" si="50"/>
        <v>0</v>
      </c>
      <c r="AE96" s="39">
        <f t="shared" si="50"/>
        <v>0</v>
      </c>
      <c r="AF96" s="39">
        <f t="shared" si="50"/>
        <v>0</v>
      </c>
      <c r="AG96" s="39">
        <f t="shared" si="50"/>
        <v>0</v>
      </c>
      <c r="AH96" s="39">
        <f t="shared" si="50"/>
        <v>0</v>
      </c>
      <c r="AI96" s="39">
        <f t="shared" si="50"/>
        <v>0</v>
      </c>
      <c r="AJ96" s="39">
        <f t="shared" si="50"/>
        <v>0</v>
      </c>
      <c r="AK96" s="39">
        <f t="shared" si="50"/>
        <v>0</v>
      </c>
      <c r="AL96" s="39">
        <f t="shared" si="50"/>
        <v>0</v>
      </c>
      <c r="AM96" s="39">
        <f t="shared" si="50"/>
        <v>0</v>
      </c>
      <c r="AN96" s="39">
        <f t="shared" si="50"/>
        <v>0</v>
      </c>
      <c r="AO96" s="39">
        <f t="shared" si="50"/>
        <v>0</v>
      </c>
      <c r="AP96" s="39">
        <f t="shared" si="50"/>
        <v>0</v>
      </c>
    </row>
    <row r="97" spans="1:42" x14ac:dyDescent="0.2">
      <c r="A97" s="300" t="s">
        <v>11</v>
      </c>
      <c r="B97" s="39"/>
      <c r="C97" s="39"/>
      <c r="D97" s="39"/>
      <c r="E97" s="39"/>
      <c r="F97" s="39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52"/>
    </row>
    <row r="98" spans="1:42" x14ac:dyDescent="0.2">
      <c r="A98" s="302" t="s">
        <v>10</v>
      </c>
      <c r="B98" s="39">
        <f>B476</f>
        <v>0</v>
      </c>
      <c r="C98" s="39">
        <f t="shared" ref="C98:AO98" si="51">C476</f>
        <v>0</v>
      </c>
      <c r="D98" s="39">
        <f t="shared" si="51"/>
        <v>0</v>
      </c>
      <c r="E98" s="39">
        <f t="shared" si="51"/>
        <v>0</v>
      </c>
      <c r="F98" s="39">
        <f t="shared" si="51"/>
        <v>0</v>
      </c>
      <c r="G98" s="39">
        <f t="shared" si="51"/>
        <v>0</v>
      </c>
      <c r="H98" s="39">
        <f t="shared" si="51"/>
        <v>0</v>
      </c>
      <c r="I98" s="39">
        <f t="shared" si="51"/>
        <v>0</v>
      </c>
      <c r="J98" s="39">
        <f t="shared" si="51"/>
        <v>0</v>
      </c>
      <c r="K98" s="39">
        <f t="shared" si="51"/>
        <v>0</v>
      </c>
      <c r="L98" s="39">
        <f t="shared" si="51"/>
        <v>0</v>
      </c>
      <c r="M98" s="39">
        <f t="shared" si="51"/>
        <v>0</v>
      </c>
      <c r="N98" s="39">
        <f t="shared" si="51"/>
        <v>0</v>
      </c>
      <c r="O98" s="39">
        <f t="shared" si="51"/>
        <v>0</v>
      </c>
      <c r="P98" s="39">
        <f t="shared" si="51"/>
        <v>0</v>
      </c>
      <c r="Q98" s="39">
        <f t="shared" si="51"/>
        <v>0</v>
      </c>
      <c r="R98" s="39">
        <f t="shared" si="51"/>
        <v>0</v>
      </c>
      <c r="S98" s="39">
        <f t="shared" si="51"/>
        <v>0</v>
      </c>
      <c r="T98" s="39">
        <f t="shared" si="51"/>
        <v>0</v>
      </c>
      <c r="U98" s="39">
        <f t="shared" si="51"/>
        <v>0</v>
      </c>
      <c r="V98" s="39">
        <f t="shared" si="51"/>
        <v>0</v>
      </c>
      <c r="W98" s="39">
        <f t="shared" si="51"/>
        <v>0</v>
      </c>
      <c r="X98" s="39">
        <f t="shared" si="51"/>
        <v>0</v>
      </c>
      <c r="Y98" s="39">
        <f t="shared" si="51"/>
        <v>0</v>
      </c>
      <c r="Z98" s="39">
        <f t="shared" si="51"/>
        <v>0</v>
      </c>
      <c r="AA98" s="39">
        <f t="shared" si="51"/>
        <v>0</v>
      </c>
      <c r="AB98" s="39">
        <f t="shared" si="51"/>
        <v>0</v>
      </c>
      <c r="AC98" s="39">
        <f t="shared" si="51"/>
        <v>0</v>
      </c>
      <c r="AD98" s="39">
        <f t="shared" si="51"/>
        <v>0</v>
      </c>
      <c r="AE98" s="39">
        <f t="shared" si="51"/>
        <v>0</v>
      </c>
      <c r="AF98" s="39">
        <f t="shared" si="51"/>
        <v>0</v>
      </c>
      <c r="AG98" s="39">
        <f t="shared" si="51"/>
        <v>0</v>
      </c>
      <c r="AH98" s="39">
        <f t="shared" si="51"/>
        <v>0</v>
      </c>
      <c r="AI98" s="39">
        <f t="shared" si="51"/>
        <v>0</v>
      </c>
      <c r="AJ98" s="39">
        <f t="shared" si="51"/>
        <v>0</v>
      </c>
      <c r="AK98" s="39">
        <f t="shared" si="51"/>
        <v>0</v>
      </c>
      <c r="AL98" s="39">
        <f t="shared" si="51"/>
        <v>0</v>
      </c>
      <c r="AM98" s="39">
        <f t="shared" si="51"/>
        <v>0</v>
      </c>
      <c r="AN98" s="39">
        <f t="shared" si="51"/>
        <v>0</v>
      </c>
      <c r="AO98" s="39">
        <f t="shared" si="51"/>
        <v>0</v>
      </c>
      <c r="AP98" s="39">
        <f>AP476</f>
        <v>0</v>
      </c>
    </row>
    <row r="99" spans="1:42" x14ac:dyDescent="0.2">
      <c r="A99" s="302" t="s">
        <v>9</v>
      </c>
      <c r="B99" s="53">
        <f>B482</f>
        <v>0</v>
      </c>
      <c r="C99" s="53">
        <f t="shared" ref="C99:AO99" si="52">C482</f>
        <v>0</v>
      </c>
      <c r="D99" s="53">
        <f t="shared" si="52"/>
        <v>0</v>
      </c>
      <c r="E99" s="53">
        <f t="shared" si="52"/>
        <v>0</v>
      </c>
      <c r="F99" s="53">
        <f t="shared" si="52"/>
        <v>0</v>
      </c>
      <c r="G99" s="53">
        <f t="shared" si="52"/>
        <v>0</v>
      </c>
      <c r="H99" s="53">
        <f t="shared" si="52"/>
        <v>0</v>
      </c>
      <c r="I99" s="53">
        <f t="shared" si="52"/>
        <v>0</v>
      </c>
      <c r="J99" s="53">
        <f t="shared" si="52"/>
        <v>0</v>
      </c>
      <c r="K99" s="53">
        <f t="shared" si="52"/>
        <v>0</v>
      </c>
      <c r="L99" s="53">
        <f t="shared" si="52"/>
        <v>0</v>
      </c>
      <c r="M99" s="53">
        <f t="shared" si="52"/>
        <v>0</v>
      </c>
      <c r="N99" s="53">
        <f t="shared" si="52"/>
        <v>0</v>
      </c>
      <c r="O99" s="53">
        <f t="shared" si="52"/>
        <v>0</v>
      </c>
      <c r="P99" s="53">
        <f t="shared" si="52"/>
        <v>0</v>
      </c>
      <c r="Q99" s="53">
        <f t="shared" si="52"/>
        <v>0</v>
      </c>
      <c r="R99" s="53">
        <f t="shared" si="52"/>
        <v>0</v>
      </c>
      <c r="S99" s="53">
        <f t="shared" si="52"/>
        <v>0</v>
      </c>
      <c r="T99" s="53">
        <f t="shared" si="52"/>
        <v>0</v>
      </c>
      <c r="U99" s="53">
        <f t="shared" si="52"/>
        <v>0</v>
      </c>
      <c r="V99" s="53">
        <f t="shared" si="52"/>
        <v>0</v>
      </c>
      <c r="W99" s="53">
        <f t="shared" si="52"/>
        <v>0</v>
      </c>
      <c r="X99" s="53">
        <f t="shared" si="52"/>
        <v>0</v>
      </c>
      <c r="Y99" s="53">
        <f t="shared" si="52"/>
        <v>0</v>
      </c>
      <c r="Z99" s="53">
        <f t="shared" si="52"/>
        <v>0</v>
      </c>
      <c r="AA99" s="53">
        <f t="shared" si="52"/>
        <v>0</v>
      </c>
      <c r="AB99" s="53">
        <f t="shared" si="52"/>
        <v>0</v>
      </c>
      <c r="AC99" s="53">
        <f t="shared" si="52"/>
        <v>0</v>
      </c>
      <c r="AD99" s="53">
        <f t="shared" si="52"/>
        <v>0</v>
      </c>
      <c r="AE99" s="53">
        <f t="shared" si="52"/>
        <v>0</v>
      </c>
      <c r="AF99" s="53">
        <f t="shared" si="52"/>
        <v>0</v>
      </c>
      <c r="AG99" s="53">
        <f t="shared" si="52"/>
        <v>0</v>
      </c>
      <c r="AH99" s="53">
        <f t="shared" si="52"/>
        <v>0</v>
      </c>
      <c r="AI99" s="53">
        <f t="shared" si="52"/>
        <v>0</v>
      </c>
      <c r="AJ99" s="53">
        <f t="shared" si="52"/>
        <v>0</v>
      </c>
      <c r="AK99" s="53">
        <f t="shared" si="52"/>
        <v>0</v>
      </c>
      <c r="AL99" s="53">
        <f t="shared" si="52"/>
        <v>0</v>
      </c>
      <c r="AM99" s="53">
        <f t="shared" si="52"/>
        <v>0</v>
      </c>
      <c r="AN99" s="53">
        <f t="shared" si="52"/>
        <v>0</v>
      </c>
      <c r="AO99" s="53">
        <f t="shared" si="52"/>
        <v>0</v>
      </c>
      <c r="AP99" s="53">
        <f>AP482</f>
        <v>0</v>
      </c>
    </row>
    <row r="100" spans="1:42" x14ac:dyDescent="0.2">
      <c r="A100" s="302" t="s">
        <v>23</v>
      </c>
      <c r="B100" s="39">
        <f>SUM(B98:B99)</f>
        <v>0</v>
      </c>
      <c r="C100" s="39">
        <f>SUM(C98:C99)</f>
        <v>0</v>
      </c>
      <c r="D100" s="39">
        <f>SUM(D98:D99)</f>
        <v>0</v>
      </c>
      <c r="E100" s="39">
        <f t="shared" ref="E100:AP100" si="53">SUM(E98:E99)</f>
        <v>0</v>
      </c>
      <c r="F100" s="39">
        <f t="shared" si="53"/>
        <v>0</v>
      </c>
      <c r="G100" s="39">
        <f t="shared" si="53"/>
        <v>0</v>
      </c>
      <c r="H100" s="39">
        <f t="shared" si="53"/>
        <v>0</v>
      </c>
      <c r="I100" s="39">
        <f t="shared" si="53"/>
        <v>0</v>
      </c>
      <c r="J100" s="39">
        <f t="shared" si="53"/>
        <v>0</v>
      </c>
      <c r="K100" s="39">
        <f t="shared" si="53"/>
        <v>0</v>
      </c>
      <c r="L100" s="39">
        <f t="shared" si="53"/>
        <v>0</v>
      </c>
      <c r="M100" s="39">
        <f t="shared" si="53"/>
        <v>0</v>
      </c>
      <c r="N100" s="39">
        <f t="shared" si="53"/>
        <v>0</v>
      </c>
      <c r="O100" s="39">
        <f t="shared" si="53"/>
        <v>0</v>
      </c>
      <c r="P100" s="39">
        <f t="shared" si="53"/>
        <v>0</v>
      </c>
      <c r="Q100" s="39">
        <f t="shared" si="53"/>
        <v>0</v>
      </c>
      <c r="R100" s="39">
        <f t="shared" si="53"/>
        <v>0</v>
      </c>
      <c r="S100" s="39">
        <f t="shared" si="53"/>
        <v>0</v>
      </c>
      <c r="T100" s="39">
        <f t="shared" si="53"/>
        <v>0</v>
      </c>
      <c r="U100" s="39">
        <f t="shared" si="53"/>
        <v>0</v>
      </c>
      <c r="V100" s="39">
        <f t="shared" si="53"/>
        <v>0</v>
      </c>
      <c r="W100" s="39">
        <f t="shared" si="53"/>
        <v>0</v>
      </c>
      <c r="X100" s="39">
        <f t="shared" si="53"/>
        <v>0</v>
      </c>
      <c r="Y100" s="39">
        <f t="shared" si="53"/>
        <v>0</v>
      </c>
      <c r="Z100" s="39">
        <f t="shared" si="53"/>
        <v>0</v>
      </c>
      <c r="AA100" s="39">
        <f t="shared" si="53"/>
        <v>0</v>
      </c>
      <c r="AB100" s="39">
        <f t="shared" si="53"/>
        <v>0</v>
      </c>
      <c r="AC100" s="39">
        <f t="shared" si="53"/>
        <v>0</v>
      </c>
      <c r="AD100" s="39">
        <f t="shared" si="53"/>
        <v>0</v>
      </c>
      <c r="AE100" s="39">
        <f t="shared" si="53"/>
        <v>0</v>
      </c>
      <c r="AF100" s="39">
        <f t="shared" si="53"/>
        <v>0</v>
      </c>
      <c r="AG100" s="39">
        <f t="shared" si="53"/>
        <v>0</v>
      </c>
      <c r="AH100" s="39">
        <f t="shared" si="53"/>
        <v>0</v>
      </c>
      <c r="AI100" s="39">
        <f t="shared" si="53"/>
        <v>0</v>
      </c>
      <c r="AJ100" s="39">
        <f t="shared" si="53"/>
        <v>0</v>
      </c>
      <c r="AK100" s="39">
        <f t="shared" si="53"/>
        <v>0</v>
      </c>
      <c r="AL100" s="39">
        <f t="shared" si="53"/>
        <v>0</v>
      </c>
      <c r="AM100" s="39">
        <f t="shared" si="53"/>
        <v>0</v>
      </c>
      <c r="AN100" s="39">
        <f t="shared" si="53"/>
        <v>0</v>
      </c>
      <c r="AO100" s="39">
        <f t="shared" si="53"/>
        <v>0</v>
      </c>
      <c r="AP100" s="39">
        <f t="shared" si="53"/>
        <v>0</v>
      </c>
    </row>
    <row r="101" spans="1:42" x14ac:dyDescent="0.2">
      <c r="A101" s="300" t="s">
        <v>137</v>
      </c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</row>
    <row r="102" spans="1:42" x14ac:dyDescent="0.2">
      <c r="A102" s="302" t="s">
        <v>10</v>
      </c>
      <c r="B102" s="39">
        <f>B160</f>
        <v>0</v>
      </c>
      <c r="C102" s="39">
        <f>C160</f>
        <v>164225.26708562236</v>
      </c>
      <c r="D102" s="39">
        <f t="shared" ref="D102:AP102" si="54">D160</f>
        <v>361304.78866402741</v>
      </c>
      <c r="E102" s="39">
        <f t="shared" si="54"/>
        <v>137358.22947773154</v>
      </c>
      <c r="F102" s="39">
        <f t="shared" si="54"/>
        <v>-1458.9815509398211</v>
      </c>
      <c r="G102" s="39">
        <f t="shared" si="54"/>
        <v>-12327.757619280681</v>
      </c>
      <c r="H102" s="39">
        <f t="shared" si="54"/>
        <v>-120460.84404229515</v>
      </c>
      <c r="I102" s="39">
        <f t="shared" si="54"/>
        <v>-229341.66256336347</v>
      </c>
      <c r="J102" s="39">
        <f t="shared" si="54"/>
        <v>-242572.80456782944</v>
      </c>
      <c r="K102" s="39">
        <f t="shared" si="54"/>
        <v>-256812.63880884481</v>
      </c>
      <c r="L102" s="39">
        <f t="shared" si="54"/>
        <v>-272180.43408593419</v>
      </c>
      <c r="M102" s="39">
        <f t="shared" si="54"/>
        <v>-288738.24458865519</v>
      </c>
      <c r="N102" s="39">
        <f t="shared" si="54"/>
        <v>-270541.60911301454</v>
      </c>
      <c r="O102" s="39">
        <f t="shared" si="54"/>
        <v>-264993.90103508241</v>
      </c>
      <c r="P102" s="39">
        <f t="shared" si="54"/>
        <v>-306576.99667431926</v>
      </c>
      <c r="Q102" s="39">
        <f t="shared" si="54"/>
        <v>-321992.97216253437</v>
      </c>
      <c r="R102" s="39">
        <f t="shared" si="54"/>
        <v>-326230.29228548828</v>
      </c>
      <c r="S102" s="39">
        <f t="shared" si="54"/>
        <v>-340809.03168738494</v>
      </c>
      <c r="T102" s="39">
        <f t="shared" si="54"/>
        <v>-352644.00740788202</v>
      </c>
      <c r="U102" s="39">
        <f t="shared" si="54"/>
        <v>-354045.31781934394</v>
      </c>
      <c r="V102" s="39">
        <f t="shared" si="54"/>
        <v>-355404.52431135275</v>
      </c>
      <c r="W102" s="39">
        <f t="shared" si="54"/>
        <v>-358045.85864903947</v>
      </c>
      <c r="X102" s="39">
        <f t="shared" si="54"/>
        <v>-360644.54405585618</v>
      </c>
      <c r="Y102" s="39">
        <f t="shared" si="54"/>
        <v>-361875.7337558741</v>
      </c>
      <c r="Z102" s="39">
        <f t="shared" si="54"/>
        <v>-314536.65561843995</v>
      </c>
      <c r="AA102" s="39">
        <f t="shared" si="54"/>
        <v>-282318.21088659519</v>
      </c>
      <c r="AB102" s="39">
        <f t="shared" si="54"/>
        <v>-314596.54770061938</v>
      </c>
      <c r="AC102" s="39">
        <f t="shared" si="54"/>
        <v>-334406.80148647336</v>
      </c>
      <c r="AD102" s="39">
        <f t="shared" si="54"/>
        <v>-335536.82489590469</v>
      </c>
      <c r="AE102" s="39">
        <f t="shared" si="54"/>
        <v>-350595.83887067391</v>
      </c>
      <c r="AF102" s="39">
        <f t="shared" si="54"/>
        <v>-365607.27575691638</v>
      </c>
      <c r="AG102" s="39">
        <f t="shared" si="54"/>
        <v>-366594.50136570347</v>
      </c>
      <c r="AH102" s="39">
        <f t="shared" si="54"/>
        <v>-367532.24812214414</v>
      </c>
      <c r="AI102" s="39">
        <f t="shared" si="54"/>
        <v>-368419.46508467093</v>
      </c>
      <c r="AJ102" s="39">
        <f t="shared" si="54"/>
        <v>-369255.03428630601</v>
      </c>
      <c r="AK102" s="39">
        <f t="shared" si="54"/>
        <v>-370037.77037174924</v>
      </c>
      <c r="AL102" s="39">
        <f t="shared" si="54"/>
        <v>-305503.27752044081</v>
      </c>
      <c r="AM102" s="39">
        <f t="shared" si="54"/>
        <v>-261308.10880870564</v>
      </c>
      <c r="AN102" s="39">
        <f t="shared" si="54"/>
        <v>-303217.08624729281</v>
      </c>
      <c r="AO102" s="39">
        <f t="shared" si="54"/>
        <v>-328360.44011983246</v>
      </c>
      <c r="AP102" s="39">
        <f t="shared" si="54"/>
        <v>-540433.80552067189</v>
      </c>
    </row>
    <row r="103" spans="1:42" x14ac:dyDescent="0.2">
      <c r="A103" s="302" t="s">
        <v>9</v>
      </c>
      <c r="B103" s="53">
        <f>B199</f>
        <v>0</v>
      </c>
      <c r="C103" s="53">
        <f>C199</f>
        <v>987591.03797399253</v>
      </c>
      <c r="D103" s="53">
        <f t="shared" ref="D103:AP103" si="55">D199</f>
        <v>2172755.6154659465</v>
      </c>
      <c r="E103" s="53">
        <f t="shared" si="55"/>
        <v>826022.44363199454</v>
      </c>
      <c r="F103" s="53">
        <f t="shared" si="55"/>
        <v>-8773.784508606288</v>
      </c>
      <c r="G103" s="53">
        <f t="shared" si="55"/>
        <v>-74134.651501401531</v>
      </c>
      <c r="H103" s="53">
        <f t="shared" si="55"/>
        <v>-724407.71212707495</v>
      </c>
      <c r="I103" s="53">
        <f t="shared" si="55"/>
        <v>-1379177.3616878628</v>
      </c>
      <c r="J103" s="53">
        <f t="shared" si="55"/>
        <v>-1458744.6383783561</v>
      </c>
      <c r="K103" s="53">
        <f t="shared" si="55"/>
        <v>-1544377.8233822803</v>
      </c>
      <c r="L103" s="53">
        <f t="shared" si="55"/>
        <v>-1636794.1558895041</v>
      </c>
      <c r="M103" s="53">
        <f t="shared" si="55"/>
        <v>-1736366.8072308672</v>
      </c>
      <c r="N103" s="53">
        <f t="shared" si="55"/>
        <v>-1626938.8584387193</v>
      </c>
      <c r="O103" s="53">
        <f t="shared" si="55"/>
        <v>-1593576.9594064273</v>
      </c>
      <c r="P103" s="53">
        <f t="shared" si="55"/>
        <v>-1843642.5754551108</v>
      </c>
      <c r="Q103" s="53">
        <f t="shared" si="55"/>
        <v>-1936348.646231968</v>
      </c>
      <c r="R103" s="53">
        <f t="shared" si="55"/>
        <v>-1961830.3486077315</v>
      </c>
      <c r="S103" s="53">
        <f t="shared" si="55"/>
        <v>-2049501.5860109555</v>
      </c>
      <c r="T103" s="53">
        <f t="shared" si="55"/>
        <v>-2120672.8263664902</v>
      </c>
      <c r="U103" s="53">
        <f t="shared" si="55"/>
        <v>-2129099.7976135998</v>
      </c>
      <c r="V103" s="53">
        <f t="shared" si="55"/>
        <v>-2137273.5711996346</v>
      </c>
      <c r="W103" s="53">
        <f t="shared" si="55"/>
        <v>-2153157.5954212691</v>
      </c>
      <c r="X103" s="53">
        <f t="shared" si="55"/>
        <v>-2168785.1444813535</v>
      </c>
      <c r="Y103" s="53">
        <f t="shared" si="55"/>
        <v>-2176189.0716319154</v>
      </c>
      <c r="Z103" s="53">
        <f t="shared" si="55"/>
        <v>-1891509.0699236181</v>
      </c>
      <c r="AA103" s="53">
        <f t="shared" si="55"/>
        <v>-1697759.0591043886</v>
      </c>
      <c r="AB103" s="53">
        <f t="shared" si="55"/>
        <v>-1891869.2391269063</v>
      </c>
      <c r="AC103" s="53">
        <f t="shared" si="55"/>
        <v>-2011000.9016663828</v>
      </c>
      <c r="AD103" s="53">
        <f t="shared" si="55"/>
        <v>-2017796.4515330996</v>
      </c>
      <c r="AE103" s="53">
        <f t="shared" si="55"/>
        <v>-2108355.8855722793</v>
      </c>
      <c r="AF103" s="53">
        <f t="shared" si="55"/>
        <v>-2198629.2083018199</v>
      </c>
      <c r="AG103" s="53">
        <f t="shared" si="55"/>
        <v>-2204566.024121935</v>
      </c>
      <c r="AH103" s="53">
        <f t="shared" si="55"/>
        <v>-2210205.2921163482</v>
      </c>
      <c r="AI103" s="53">
        <f t="shared" si="55"/>
        <v>-2215540.6923046345</v>
      </c>
      <c r="AJ103" s="53">
        <f t="shared" si="55"/>
        <v>-2220565.5016399217</v>
      </c>
      <c r="AK103" s="53">
        <f t="shared" si="55"/>
        <v>-2225272.5918264738</v>
      </c>
      <c r="AL103" s="53">
        <f t="shared" si="55"/>
        <v>-1837185.6189070146</v>
      </c>
      <c r="AM103" s="53">
        <f t="shared" si="55"/>
        <v>-1571411.9452450799</v>
      </c>
      <c r="AN103" s="53">
        <f t="shared" si="55"/>
        <v>-1823437.2959325837</v>
      </c>
      <c r="AO103" s="53">
        <f t="shared" si="55"/>
        <v>-1974640.2830842647</v>
      </c>
      <c r="AP103" s="53">
        <f t="shared" si="55"/>
        <v>-3249972.3850174947</v>
      </c>
    </row>
    <row r="104" spans="1:42" x14ac:dyDescent="0.2">
      <c r="A104" s="302" t="s">
        <v>23</v>
      </c>
      <c r="B104" s="56">
        <f>SUM(B102:B103)</f>
        <v>0</v>
      </c>
      <c r="C104" s="56">
        <f>SUM(C102:C103)</f>
        <v>1151816.3050596148</v>
      </c>
      <c r="D104" s="56">
        <f>SUM(D102:D103)</f>
        <v>2534060.4041299741</v>
      </c>
      <c r="E104" s="56">
        <f t="shared" ref="E104:AP104" si="56">SUM(E102:E103)</f>
        <v>963380.67310972605</v>
      </c>
      <c r="F104" s="56">
        <f t="shared" si="56"/>
        <v>-10232.766059546109</v>
      </c>
      <c r="G104" s="56">
        <f t="shared" si="56"/>
        <v>-86462.40912068222</v>
      </c>
      <c r="H104" s="56">
        <f t="shared" si="56"/>
        <v>-844868.55616937007</v>
      </c>
      <c r="I104" s="56">
        <f t="shared" si="56"/>
        <v>-1608519.0242512263</v>
      </c>
      <c r="J104" s="56">
        <f t="shared" si="56"/>
        <v>-1701317.4429461856</v>
      </c>
      <c r="K104" s="56">
        <f t="shared" si="56"/>
        <v>-1801190.4621911251</v>
      </c>
      <c r="L104" s="56">
        <f t="shared" si="56"/>
        <v>-1908974.5899754383</v>
      </c>
      <c r="M104" s="56">
        <f t="shared" si="56"/>
        <v>-2025105.0518195224</v>
      </c>
      <c r="N104" s="56">
        <f t="shared" si="56"/>
        <v>-1897480.4675517338</v>
      </c>
      <c r="O104" s="56">
        <f t="shared" si="56"/>
        <v>-1858570.8604415096</v>
      </c>
      <c r="P104" s="56">
        <f t="shared" si="56"/>
        <v>-2150219.5721294302</v>
      </c>
      <c r="Q104" s="56">
        <f t="shared" si="56"/>
        <v>-2258341.6183945024</v>
      </c>
      <c r="R104" s="56">
        <f t="shared" si="56"/>
        <v>-2288060.64089322</v>
      </c>
      <c r="S104" s="56">
        <f t="shared" si="56"/>
        <v>-2390310.6176983407</v>
      </c>
      <c r="T104" s="56">
        <f t="shared" si="56"/>
        <v>-2473316.833774372</v>
      </c>
      <c r="U104" s="56">
        <f t="shared" si="56"/>
        <v>-2483145.1154329437</v>
      </c>
      <c r="V104" s="56">
        <f t="shared" si="56"/>
        <v>-2492678.0955109876</v>
      </c>
      <c r="W104" s="56">
        <f t="shared" si="56"/>
        <v>-2511203.4540703087</v>
      </c>
      <c r="X104" s="56">
        <f t="shared" si="56"/>
        <v>-2529429.6885372098</v>
      </c>
      <c r="Y104" s="56">
        <f t="shared" si="56"/>
        <v>-2538064.8053877894</v>
      </c>
      <c r="Z104" s="56">
        <f t="shared" si="56"/>
        <v>-2206045.7255420582</v>
      </c>
      <c r="AA104" s="56">
        <f t="shared" si="56"/>
        <v>-1980077.2699909839</v>
      </c>
      <c r="AB104" s="56">
        <f t="shared" si="56"/>
        <v>-2206465.7868275256</v>
      </c>
      <c r="AC104" s="56">
        <f t="shared" si="56"/>
        <v>-2345407.7031528563</v>
      </c>
      <c r="AD104" s="56">
        <f t="shared" si="56"/>
        <v>-2353333.2764290045</v>
      </c>
      <c r="AE104" s="56">
        <f t="shared" si="56"/>
        <v>-2458951.7244429532</v>
      </c>
      <c r="AF104" s="56">
        <f t="shared" si="56"/>
        <v>-2564236.4840587364</v>
      </c>
      <c r="AG104" s="56">
        <f t="shared" si="56"/>
        <v>-2571160.5254876385</v>
      </c>
      <c r="AH104" s="56">
        <f t="shared" si="56"/>
        <v>-2577737.5402384922</v>
      </c>
      <c r="AI104" s="56">
        <f t="shared" si="56"/>
        <v>-2583960.1573893055</v>
      </c>
      <c r="AJ104" s="56">
        <f t="shared" si="56"/>
        <v>-2589820.5359262275</v>
      </c>
      <c r="AK104" s="56">
        <f t="shared" si="56"/>
        <v>-2595310.3621982229</v>
      </c>
      <c r="AL104" s="56">
        <f t="shared" si="56"/>
        <v>-2142688.8964274554</v>
      </c>
      <c r="AM104" s="56">
        <f t="shared" si="56"/>
        <v>-1832720.0540537855</v>
      </c>
      <c r="AN104" s="56">
        <f t="shared" si="56"/>
        <v>-2126654.3821798768</v>
      </c>
      <c r="AO104" s="56">
        <f t="shared" si="56"/>
        <v>-2303000.7232040972</v>
      </c>
      <c r="AP104" s="56">
        <f t="shared" si="56"/>
        <v>-3790406.1905381666</v>
      </c>
    </row>
    <row r="105" spans="1:42" x14ac:dyDescent="0.2">
      <c r="A105" s="300" t="s">
        <v>23</v>
      </c>
      <c r="B105" s="39">
        <f>B92+B96+B100+B104</f>
        <v>-43569036.769482821</v>
      </c>
      <c r="C105" s="39">
        <f t="shared" ref="C105:AP105" si="57">C92+C96+C100+C104</f>
        <v>13413244.90950115</v>
      </c>
      <c r="D105" s="39">
        <f t="shared" si="57"/>
        <v>4058917.6588280275</v>
      </c>
      <c r="E105" s="39">
        <f t="shared" si="57"/>
        <v>2501302.0091801025</v>
      </c>
      <c r="F105" s="39">
        <f t="shared" si="57"/>
        <v>1540523.5185111149</v>
      </c>
      <c r="G105" s="39">
        <f t="shared" si="57"/>
        <v>1476904.8851409908</v>
      </c>
      <c r="H105" s="39">
        <f t="shared" si="57"/>
        <v>730890.50078210293</v>
      </c>
      <c r="I105" s="39">
        <f t="shared" si="57"/>
        <v>-20583.244524220936</v>
      </c>
      <c r="J105" s="39">
        <f t="shared" si="57"/>
        <v>-101416.24156862148</v>
      </c>
      <c r="K105" s="39">
        <f t="shared" si="57"/>
        <v>-189531.85443462594</v>
      </c>
      <c r="L105" s="39">
        <f t="shared" si="57"/>
        <v>-285763.74384886329</v>
      </c>
      <c r="M105" s="39">
        <f t="shared" si="57"/>
        <v>-390544.71328723524</v>
      </c>
      <c r="N105" s="39">
        <f t="shared" si="57"/>
        <v>-216854.39609616855</v>
      </c>
      <c r="O105" s="39">
        <f t="shared" si="57"/>
        <v>1927976.0917446823</v>
      </c>
      <c r="P105" s="39">
        <f t="shared" si="57"/>
        <v>3830494.5052147685</v>
      </c>
      <c r="Q105" s="39">
        <f t="shared" si="57"/>
        <v>3750422.7106157625</v>
      </c>
      <c r="R105" s="39">
        <f t="shared" si="57"/>
        <v>3747992.4084406244</v>
      </c>
      <c r="S105" s="39">
        <f t="shared" si="57"/>
        <v>3672269.9979249304</v>
      </c>
      <c r="T105" s="39">
        <f t="shared" si="57"/>
        <v>3615029.1992809996</v>
      </c>
      <c r="U105" s="39">
        <f t="shared" si="57"/>
        <v>3630201.8457510653</v>
      </c>
      <c r="V105" s="39">
        <f t="shared" si="57"/>
        <v>3644901.6423111288</v>
      </c>
      <c r="W105" s="39">
        <f t="shared" si="57"/>
        <v>3649835.9463176238</v>
      </c>
      <c r="X105" s="39">
        <f t="shared" si="57"/>
        <v>3654290.0162630766</v>
      </c>
      <c r="Y105" s="39">
        <f t="shared" si="57"/>
        <v>3667548.3366145054</v>
      </c>
      <c r="Z105" s="39">
        <f t="shared" si="57"/>
        <v>4020665.2266453253</v>
      </c>
      <c r="AA105" s="39">
        <f t="shared" si="57"/>
        <v>4062933.6278731688</v>
      </c>
      <c r="AB105" s="39">
        <f t="shared" si="57"/>
        <v>3858239.2767186393</v>
      </c>
      <c r="AC105" s="39">
        <f t="shared" si="57"/>
        <v>3740162.2243488492</v>
      </c>
      <c r="AD105" s="39">
        <f t="shared" si="57"/>
        <v>3752258.549113384</v>
      </c>
      <c r="AE105" s="39">
        <f t="shared" si="57"/>
        <v>3665804.1571961632</v>
      </c>
      <c r="AF105" s="39">
        <f t="shared" si="57"/>
        <v>3578809.5255852551</v>
      </c>
      <c r="AG105" s="39">
        <f t="shared" si="57"/>
        <v>3589284.3876127792</v>
      </c>
      <c r="AH105" s="39">
        <f t="shared" si="57"/>
        <v>3599196.5429412769</v>
      </c>
      <c r="AI105" s="39">
        <f t="shared" si="57"/>
        <v>3608533.6373900305</v>
      </c>
      <c r="AJ105" s="39">
        <f t="shared" si="57"/>
        <v>3617282.5648862775</v>
      </c>
      <c r="AK105" s="39">
        <f t="shared" si="57"/>
        <v>3625429.4625206147</v>
      </c>
      <c r="AL105" s="39">
        <f t="shared" si="57"/>
        <v>4090691.6547907386</v>
      </c>
      <c r="AM105" s="39">
        <f t="shared" si="57"/>
        <v>4802870.581482809</v>
      </c>
      <c r="AN105" s="39">
        <f t="shared" si="57"/>
        <v>4510857.4171270877</v>
      </c>
      <c r="AO105" s="39">
        <f t="shared" si="57"/>
        <v>4335358.4459274448</v>
      </c>
      <c r="AP105" s="39">
        <f t="shared" si="57"/>
        <v>7516506.8683322128</v>
      </c>
    </row>
    <row r="106" spans="1:42" x14ac:dyDescent="0.2">
      <c r="A106" s="302"/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</row>
    <row r="107" spans="1:42" x14ac:dyDescent="0.2">
      <c r="A107" s="300" t="s">
        <v>175</v>
      </c>
      <c r="B107" s="107">
        <f>ROUND(IF(ISERROR(IRR($B105:B105)),0,IRR($B105:B105)),4)</f>
        <v>0</v>
      </c>
      <c r="C107" s="107">
        <f>ROUND(IF(ISERROR(IRR($B105:C105)),0,IRR($B105:C105)),4)</f>
        <v>-0.69210000000000005</v>
      </c>
      <c r="D107" s="107">
        <f>ROUND(IF(ISERROR(IRR($B105:D105)),0,IRR($B105:D105)),4)</f>
        <v>-0.50419999999999998</v>
      </c>
      <c r="E107" s="107">
        <f>ROUND(IF(ISERROR(IRR($B105:E105)),0,IRR($B105:E105)),4)</f>
        <v>-0.38719999999999999</v>
      </c>
      <c r="F107" s="107">
        <f>ROUND(IF(ISERROR(IRR($B105:F105)),0,IRR($B105:F105)),4)</f>
        <v>-0.31929999999999997</v>
      </c>
      <c r="G107" s="107">
        <f>ROUND(IF(ISERROR(IRR($B105:G105)),0,IRR($B105:G105)),4)</f>
        <v>-0.26050000000000001</v>
      </c>
      <c r="H107" s="107">
        <f>ROUND(IF(ISERROR(IRR($B105:H105)),0,IRR($B105:H105)),4)</f>
        <v>-0.23319999999999999</v>
      </c>
      <c r="I107" s="107">
        <f>ROUND(IF(ISERROR(IRR($B105:I105)),0,IRR($B105:I105)),4)</f>
        <v>-0.2341</v>
      </c>
      <c r="J107" s="107">
        <f>ROUND(IF(ISERROR(IRR($B105:J105)),0,IRR($B105:J105)),4)</f>
        <v>-0.24010000000000001</v>
      </c>
      <c r="K107" s="107">
        <f>ROUND(IF(ISERROR(IRR($B105:K105)),0,IRR($B105:K105)),4)</f>
        <v>-0.2581</v>
      </c>
      <c r="L107" s="107">
        <f>ROUND(IF(ISERROR(IRR($B105:L105)),0,IRR($B105:L105)),4)</f>
        <v>0</v>
      </c>
      <c r="M107" s="107">
        <f>ROUND(IF(ISERROR(IRR($B105:M105)),0,IRR($B105:M105)),4)</f>
        <v>0</v>
      </c>
      <c r="N107" s="107">
        <f>ROUND(IF(ISERROR(IRR($B105:N105)),0,IRR($B105:N105)),4)</f>
        <v>0</v>
      </c>
      <c r="O107" s="107">
        <f>ROUND(IF(ISERROR(IRR($B105:O105)),0,IRR($B105:O105)),4)</f>
        <v>-0.15190000000000001</v>
      </c>
      <c r="P107" s="107">
        <f>ROUND(IF(ISERROR(IRR($B105:P105)),0,IRR($B105:P105)),4)</f>
        <v>-8.0799999999999997E-2</v>
      </c>
      <c r="Q107" s="107">
        <f>ROUND(IF(ISERROR(IRR($B105:Q105)),0,IRR($B105:Q105)),4)</f>
        <v>-4.87E-2</v>
      </c>
      <c r="R107" s="107">
        <f>ROUND(IF(ISERROR(IRR($B105:R105)),0,IRR($B105:R105)),4)</f>
        <v>-2.7799999999999998E-2</v>
      </c>
      <c r="S107" s="107">
        <f>ROUND(IF(ISERROR(IRR($B105:S105)),0,IRR($B105:S105)),4)</f>
        <v>-1.2800000000000001E-2</v>
      </c>
      <c r="T107" s="107">
        <f>ROUND(IF(ISERROR(IRR($B105:T105)),0,IRR($B105:T105)),4)</f>
        <v>-1.4E-3</v>
      </c>
      <c r="U107" s="107">
        <f>ROUND(IF(ISERROR(IRR($B105:U105)),0,IRR($B105:U105)),4)</f>
        <v>7.7999999999999996E-3</v>
      </c>
      <c r="V107" s="107">
        <f>ROUND(IF(ISERROR(IRR($B105:V105)),0,IRR($B105:V105)),4)</f>
        <v>1.54E-2</v>
      </c>
      <c r="W107" s="107">
        <f>ROUND(IF(ISERROR(IRR($B105:W105)),0,IRR($B105:W105)),4)</f>
        <v>2.1700000000000001E-2</v>
      </c>
      <c r="X107" s="107">
        <f>ROUND(IF(ISERROR(IRR($B105:X105)),0,IRR($B105:X105)),4)</f>
        <v>2.7E-2</v>
      </c>
      <c r="Y107" s="107">
        <f>ROUND(IF(ISERROR(IRR($B105:Y105)),0,IRR($B105:Y105)),4)</f>
        <v>3.1600000000000003E-2</v>
      </c>
      <c r="Z107" s="107">
        <f>ROUND(IF(ISERROR(IRR($B105:Z105)),0,IRR($B105:Z105)),4)</f>
        <v>3.5900000000000001E-2</v>
      </c>
      <c r="AA107" s="107">
        <f>ROUND(IF(ISERROR(IRR($B105:AA105)),0,IRR($B105:AA105)),4)</f>
        <v>3.9600000000000003E-2</v>
      </c>
      <c r="AB107" s="107">
        <f>ROUND(IF(ISERROR(IRR($B105:AB105)),0,IRR($B105:AB105)),4)</f>
        <v>4.2700000000000002E-2</v>
      </c>
      <c r="AC107" s="107">
        <f>ROUND(IF(ISERROR(IRR($B105:AC105)),0,IRR($B105:AC105)),4)</f>
        <v>4.53E-2</v>
      </c>
      <c r="AD107" s="107">
        <f>ROUND(IF(ISERROR(IRR($B105:AD105)),0,IRR($B105:AD105)),4)</f>
        <v>4.7600000000000003E-2</v>
      </c>
      <c r="AE107" s="107">
        <f>ROUND(IF(ISERROR(IRR($B105:AE105)),0,IRR($B105:AE105)),4)</f>
        <v>4.9599999999999998E-2</v>
      </c>
      <c r="AF107" s="107">
        <f>ROUND(IF(ISERROR(IRR($B105:AF105)),0,IRR($B105:AF105)),4)</f>
        <v>5.1299999999999998E-2</v>
      </c>
      <c r="AG107" s="107">
        <f>ROUND(IF(ISERROR(IRR($B105:AG105)),0,IRR($B105:AG105)),4)</f>
        <v>5.2900000000000003E-2</v>
      </c>
      <c r="AH107" s="107">
        <f>ROUND(IF(ISERROR(IRR($B105:AH105)),0,IRR($B105:AH105)),4)</f>
        <v>5.4300000000000001E-2</v>
      </c>
      <c r="AI107" s="107">
        <f>ROUND(IF(ISERROR(IRR($B105:AI105)),0,IRR($B105:AI105)),4)</f>
        <v>5.5500000000000001E-2</v>
      </c>
      <c r="AJ107" s="107">
        <f>ROUND(IF(ISERROR(IRR($B105:AJ105)),0,IRR($B105:AJ105)),4)</f>
        <v>5.67E-2</v>
      </c>
      <c r="AK107" s="107">
        <f>ROUND(IF(ISERROR(IRR($B105:AK105)),0,IRR($B105:AK105)),4)</f>
        <v>5.7700000000000001E-2</v>
      </c>
      <c r="AL107" s="107">
        <f>ROUND(IF(ISERROR(IRR($B105:AL105)),0,IRR($B105:AL105)),4)</f>
        <v>5.8799999999999998E-2</v>
      </c>
      <c r="AM107" s="107">
        <f>ROUND(IF(ISERROR(IRR($B105:AM105)),0,IRR($B105:AM105)),4)</f>
        <v>5.9900000000000002E-2</v>
      </c>
      <c r="AN107" s="107">
        <f>ROUND(IF(ISERROR(IRR($B105:AN105)),0,IRR($B105:AN105)),4)</f>
        <v>6.08E-2</v>
      </c>
      <c r="AO107" s="107">
        <f>ROUND(IF(ISERROR(IRR($B105:AO105)),0,IRR($B105:AO105)),4)</f>
        <v>6.1600000000000002E-2</v>
      </c>
      <c r="AP107" s="107">
        <f>ROUND(IF(ISERROR(IRR($B105:AP105)),0,IRR($B105:AP105)),4)</f>
        <v>6.2899999999999998E-2</v>
      </c>
    </row>
    <row r="108" spans="1:42" s="35" customFormat="1" x14ac:dyDescent="0.2">
      <c r="A108" s="303" t="s">
        <v>174</v>
      </c>
      <c r="B108" s="113">
        <f>MAX($B$107:B107)</f>
        <v>0</v>
      </c>
      <c r="C108" s="113">
        <f>MAX($B$107:C107)</f>
        <v>0</v>
      </c>
      <c r="D108" s="113">
        <f>MAX($B$107:D107)</f>
        <v>0</v>
      </c>
      <c r="E108" s="113">
        <f>MAX($B$107:E107)</f>
        <v>0</v>
      </c>
      <c r="F108" s="113">
        <f>MAX($B$107:F107)</f>
        <v>0</v>
      </c>
      <c r="G108" s="113">
        <f>MAX($B$107:G107)</f>
        <v>0</v>
      </c>
      <c r="H108" s="113">
        <f>MAX($B$107:H107)</f>
        <v>0</v>
      </c>
      <c r="I108" s="113">
        <f>MAX($B$107:I107)</f>
        <v>0</v>
      </c>
      <c r="J108" s="113">
        <f>MAX($B$107:J107)</f>
        <v>0</v>
      </c>
      <c r="K108" s="113">
        <f>MAX($B$107:K107)</f>
        <v>0</v>
      </c>
      <c r="L108" s="113">
        <f>MAX($B$107:L107)</f>
        <v>0</v>
      </c>
      <c r="M108" s="113">
        <f>MAX($B$107:M107)</f>
        <v>0</v>
      </c>
      <c r="N108" s="113">
        <f>MAX($B$107:N107)</f>
        <v>0</v>
      </c>
      <c r="O108" s="113">
        <f>MAX($B$107:O107)</f>
        <v>0</v>
      </c>
      <c r="P108" s="113">
        <f>MAX($B$107:P107)</f>
        <v>0</v>
      </c>
      <c r="Q108" s="113">
        <f>MAX($B$107:Q107)</f>
        <v>0</v>
      </c>
      <c r="R108" s="113">
        <f>MAX($B$107:R107)</f>
        <v>0</v>
      </c>
      <c r="S108" s="113">
        <f>MAX($B$107:S107)</f>
        <v>0</v>
      </c>
      <c r="T108" s="113">
        <f>MAX($B$107:T107)</f>
        <v>0</v>
      </c>
      <c r="U108" s="113">
        <f>MAX($B$107:U107)</f>
        <v>7.7999999999999996E-3</v>
      </c>
      <c r="V108" s="113">
        <f>MAX($B$107:V107)</f>
        <v>1.54E-2</v>
      </c>
      <c r="W108" s="113">
        <f>MAX($B$107:W107)</f>
        <v>2.1700000000000001E-2</v>
      </c>
      <c r="X108" s="113">
        <f>MAX($B$107:X107)</f>
        <v>2.7E-2</v>
      </c>
      <c r="Y108" s="113">
        <f>MAX($B$107:Y107)</f>
        <v>3.1600000000000003E-2</v>
      </c>
      <c r="Z108" s="113">
        <f>MAX($B$107:Z107)</f>
        <v>3.5900000000000001E-2</v>
      </c>
      <c r="AA108" s="113">
        <f>MAX($B$107:AA107)</f>
        <v>3.9600000000000003E-2</v>
      </c>
      <c r="AB108" s="113">
        <f>MAX($B$107:AB107)</f>
        <v>4.2700000000000002E-2</v>
      </c>
      <c r="AC108" s="113">
        <f>MAX($B$107:AC107)</f>
        <v>4.53E-2</v>
      </c>
      <c r="AD108" s="113">
        <f>MAX($B$107:AD107)</f>
        <v>4.7600000000000003E-2</v>
      </c>
      <c r="AE108" s="113">
        <f>MAX($B$107:AE107)</f>
        <v>4.9599999999999998E-2</v>
      </c>
      <c r="AF108" s="113">
        <f>MAX($B$107:AF107)</f>
        <v>5.1299999999999998E-2</v>
      </c>
      <c r="AG108" s="113">
        <f>MAX($B$107:AG107)</f>
        <v>5.2900000000000003E-2</v>
      </c>
      <c r="AH108" s="113">
        <f>MAX($B$107:AH107)</f>
        <v>5.4300000000000001E-2</v>
      </c>
      <c r="AI108" s="113">
        <f>MAX($B$107:AI107)</f>
        <v>5.5500000000000001E-2</v>
      </c>
      <c r="AJ108" s="113">
        <f>MAX($B$107:AJ107)</f>
        <v>5.67E-2</v>
      </c>
      <c r="AK108" s="113">
        <f>MAX($B$107:AK107)</f>
        <v>5.7700000000000001E-2</v>
      </c>
      <c r="AL108" s="113">
        <f>MAX($B$107:AL107)</f>
        <v>5.8799999999999998E-2</v>
      </c>
      <c r="AM108" s="113">
        <f>MAX($B$107:AM107)</f>
        <v>5.9900000000000002E-2</v>
      </c>
      <c r="AN108" s="113">
        <f>MAX($B$107:AN107)</f>
        <v>6.08E-2</v>
      </c>
      <c r="AO108" s="113">
        <f>MAX($B$107:AO107)</f>
        <v>6.1600000000000002E-2</v>
      </c>
      <c r="AP108" s="113">
        <f>MAX($B$107:AP107)</f>
        <v>6.2899999999999998E-2</v>
      </c>
    </row>
    <row r="109" spans="1:42" x14ac:dyDescent="0.2">
      <c r="A109" s="300" t="s">
        <v>176</v>
      </c>
      <c r="B109" s="101">
        <f>B105</f>
        <v>-43569036.769482821</v>
      </c>
      <c r="C109" s="101">
        <f>NPV(DiscountRate,$C105:C105)+$B105</f>
        <v>-31452508.747191552</v>
      </c>
      <c r="D109" s="101">
        <f>NPV(DiscountRate,$C105:D105)+$B105</f>
        <v>-28140443.265298836</v>
      </c>
      <c r="E109" s="101">
        <f>NPV(DiscountRate,$C105:E105)+$B105</f>
        <v>-26296705.539750129</v>
      </c>
      <c r="F109" s="101">
        <f>NPV(DiscountRate,$C105:F105)+$B105</f>
        <v>-25270945.72829438</v>
      </c>
      <c r="G109" s="101">
        <f>NPV(DiscountRate,$C105:G105)+$B105</f>
        <v>-24382615.970649797</v>
      </c>
      <c r="H109" s="101">
        <f>NPV(DiscountRate,$C105:H105)+$B105</f>
        <v>-23985499.099807981</v>
      </c>
      <c r="I109" s="101">
        <f>NPV(DiscountRate,$C105:I105)+$B105</f>
        <v>-23995601.491203986</v>
      </c>
      <c r="J109" s="101">
        <f>NPV(DiscountRate,$C105:J105)+$B105</f>
        <v>-24040565.208174624</v>
      </c>
      <c r="K109" s="101">
        <f>NPV(DiscountRate,$C105:K105)+$B105</f>
        <v>-24116472.105871107</v>
      </c>
      <c r="L109" s="101">
        <f>NPV(DiscountRate,$C105:L105)+$B105</f>
        <v>-24219855.430467557</v>
      </c>
      <c r="M109" s="101">
        <f>NPV(DiscountRate,$C105:M105)+$B105</f>
        <v>-24347487.104930166</v>
      </c>
      <c r="N109" s="101">
        <f>NPV(DiscountRate,$C105:N105)+$B105</f>
        <v>-24411504.835024294</v>
      </c>
      <c r="O109" s="101">
        <f>NPV(DiscountRate,$C105:O105)+$B105</f>
        <v>-23897368.826955911</v>
      </c>
      <c r="P109" s="101">
        <f>NPV(DiscountRate,$C105:P105)+$B105</f>
        <v>-22974636.878968295</v>
      </c>
      <c r="Q109" s="101">
        <f>NPV(DiscountRate,$C105:Q105)+$B105</f>
        <v>-22158533.322507892</v>
      </c>
      <c r="R109" s="101">
        <f>NPV(DiscountRate,$C105:R105)+$B105</f>
        <v>-21421803.772145789</v>
      </c>
      <c r="S109" s="101">
        <f>NPV(DiscountRate,$C105:S105)+$B105</f>
        <v>-20769742.617737304</v>
      </c>
      <c r="T109" s="101">
        <f>NPV(DiscountRate,$C105:T105)+$B105</f>
        <v>-20189900.349933665</v>
      </c>
      <c r="U109" s="101">
        <f>NPV(DiscountRate,$C105:U105)+$B105</f>
        <v>-19663915.578219306</v>
      </c>
      <c r="V109" s="101">
        <f>NPV(DiscountRate,$C105:V105)+$B105</f>
        <v>-19186856.079518933</v>
      </c>
      <c r="W109" s="101">
        <f>NPV(DiscountRate,$C105:W105)+$B105</f>
        <v>-18755332.615946151</v>
      </c>
      <c r="X109" s="101">
        <f>NPV(DiscountRate,$C105:X105)+$B105</f>
        <v>-18365050.708463546</v>
      </c>
      <c r="Y109" s="101">
        <f>NPV(DiscountRate,$C105:Y105)+$B105</f>
        <v>-18011219.944134668</v>
      </c>
      <c r="Z109" s="101">
        <f>NPV(DiscountRate,$C105:Z105)+$B105</f>
        <v>-17660821.640641246</v>
      </c>
      <c r="AA109" s="101">
        <f>NPV(DiscountRate,$C105:AA105)+$B105</f>
        <v>-17340970.322096847</v>
      </c>
      <c r="AB109" s="101">
        <f>NPV(DiscountRate,$C105:AB105)+$B105</f>
        <v>-17066596.980764832</v>
      </c>
      <c r="AC109" s="101">
        <f>NPV(DiscountRate,$C105:AC105)+$B105</f>
        <v>-16826333.629430987</v>
      </c>
      <c r="AD109" s="101">
        <f>NPV(DiscountRate,$C105:AD105)+$B105</f>
        <v>-16608595.652461931</v>
      </c>
      <c r="AE109" s="101">
        <f>NPV(DiscountRate,$C105:AE105)+$B105</f>
        <v>-16416439.1771973</v>
      </c>
      <c r="AF109" s="101">
        <f>NPV(DiscountRate,$C105:AF105)+$B105</f>
        <v>-16246978.598259505</v>
      </c>
      <c r="AG109" s="101">
        <f>NPV(DiscountRate,$C105:AG105)+$B105</f>
        <v>-16093452.466439944</v>
      </c>
      <c r="AH109" s="101">
        <f>NPV(DiscountRate,$C105:AH105)+$B105</f>
        <v>-15954385.385881592</v>
      </c>
      <c r="AI109" s="101">
        <f>NPV(DiscountRate,$C105:AI105)+$B105</f>
        <v>-15828436.633668073</v>
      </c>
      <c r="AJ109" s="101">
        <f>NPV(DiscountRate,$C105:AJ105)+$B105</f>
        <v>-15714388.053466681</v>
      </c>
      <c r="AK109" s="101">
        <f>NPV(DiscountRate,$C105:AK105)+$B105</f>
        <v>-15611133.016986974</v>
      </c>
      <c r="AL109" s="101">
        <f>NPV(DiscountRate,$C105:AL105)+$B105</f>
        <v>-15505890.102570061</v>
      </c>
      <c r="AM109" s="101">
        <f>NPV(DiscountRate,$C105:AM105)+$B105</f>
        <v>-15394270.276265256</v>
      </c>
      <c r="AN109" s="101">
        <f>NPV(DiscountRate,$C105:AN105)+$B105</f>
        <v>-15299571.602993324</v>
      </c>
      <c r="AO109" s="101">
        <f>NPV(DiscountRate,$C105:AO105)+$B105</f>
        <v>-15217356.019737553</v>
      </c>
      <c r="AP109" s="101">
        <f>NPV(DiscountRate,$C105:AP105)+$B105</f>
        <v>-15088593.482179828</v>
      </c>
    </row>
    <row r="110" spans="1:42" x14ac:dyDescent="0.2">
      <c r="A110" s="302"/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</row>
    <row r="111" spans="1:42" x14ac:dyDescent="0.2">
      <c r="A111" s="300" t="s">
        <v>173</v>
      </c>
      <c r="B111" s="58">
        <f>SUM(C111:AP111)</f>
        <v>26</v>
      </c>
      <c r="C111" s="39">
        <f t="shared" ref="C111:AP111" si="58">IF(AND(B108&lt;SOReturnTarget,C108&gt;=SOReturnTarget),C$2,0)</f>
        <v>0</v>
      </c>
      <c r="D111" s="39">
        <f t="shared" si="58"/>
        <v>0</v>
      </c>
      <c r="E111" s="39">
        <f t="shared" si="58"/>
        <v>0</v>
      </c>
      <c r="F111" s="39">
        <f t="shared" si="58"/>
        <v>0</v>
      </c>
      <c r="G111" s="39">
        <f t="shared" si="58"/>
        <v>0</v>
      </c>
      <c r="H111" s="39">
        <f t="shared" si="58"/>
        <v>0</v>
      </c>
      <c r="I111" s="39">
        <f t="shared" si="58"/>
        <v>0</v>
      </c>
      <c r="J111" s="39">
        <f t="shared" si="58"/>
        <v>0</v>
      </c>
      <c r="K111" s="39">
        <f t="shared" si="58"/>
        <v>0</v>
      </c>
      <c r="L111" s="39">
        <f t="shared" si="58"/>
        <v>0</v>
      </c>
      <c r="M111" s="39">
        <f t="shared" si="58"/>
        <v>0</v>
      </c>
      <c r="N111" s="39">
        <f t="shared" si="58"/>
        <v>0</v>
      </c>
      <c r="O111" s="39">
        <f t="shared" si="58"/>
        <v>0</v>
      </c>
      <c r="P111" s="39">
        <f t="shared" si="58"/>
        <v>0</v>
      </c>
      <c r="Q111" s="39">
        <f t="shared" si="58"/>
        <v>0</v>
      </c>
      <c r="R111" s="39">
        <f t="shared" si="58"/>
        <v>0</v>
      </c>
      <c r="S111" s="39">
        <f t="shared" si="58"/>
        <v>0</v>
      </c>
      <c r="T111" s="39">
        <f t="shared" si="58"/>
        <v>0</v>
      </c>
      <c r="U111" s="39">
        <f t="shared" si="58"/>
        <v>0</v>
      </c>
      <c r="V111" s="39">
        <f t="shared" si="58"/>
        <v>0</v>
      </c>
      <c r="W111" s="39">
        <f t="shared" si="58"/>
        <v>0</v>
      </c>
      <c r="X111" s="39">
        <f t="shared" si="58"/>
        <v>0</v>
      </c>
      <c r="Y111" s="39">
        <f t="shared" si="58"/>
        <v>0</v>
      </c>
      <c r="Z111" s="39">
        <f t="shared" si="58"/>
        <v>0</v>
      </c>
      <c r="AA111" s="39">
        <f t="shared" si="58"/>
        <v>0</v>
      </c>
      <c r="AB111" s="39">
        <f t="shared" si="58"/>
        <v>26</v>
      </c>
      <c r="AC111" s="39">
        <f t="shared" si="58"/>
        <v>0</v>
      </c>
      <c r="AD111" s="39">
        <f t="shared" si="58"/>
        <v>0</v>
      </c>
      <c r="AE111" s="39">
        <f t="shared" si="58"/>
        <v>0</v>
      </c>
      <c r="AF111" s="39">
        <f t="shared" si="58"/>
        <v>0</v>
      </c>
      <c r="AG111" s="39">
        <f t="shared" si="58"/>
        <v>0</v>
      </c>
      <c r="AH111" s="39">
        <f t="shared" si="58"/>
        <v>0</v>
      </c>
      <c r="AI111" s="39">
        <f t="shared" si="58"/>
        <v>0</v>
      </c>
      <c r="AJ111" s="39">
        <f t="shared" si="58"/>
        <v>0</v>
      </c>
      <c r="AK111" s="39">
        <f t="shared" si="58"/>
        <v>0</v>
      </c>
      <c r="AL111" s="39">
        <f t="shared" si="58"/>
        <v>0</v>
      </c>
      <c r="AM111" s="39">
        <f t="shared" si="58"/>
        <v>0</v>
      </c>
      <c r="AN111" s="39">
        <f t="shared" si="58"/>
        <v>0</v>
      </c>
      <c r="AO111" s="39">
        <f t="shared" si="58"/>
        <v>0</v>
      </c>
      <c r="AP111" s="39">
        <f t="shared" si="58"/>
        <v>0</v>
      </c>
    </row>
    <row r="112" spans="1:42" x14ac:dyDescent="0.2">
      <c r="B112" s="52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</row>
    <row r="113" spans="1:42" x14ac:dyDescent="0.2">
      <c r="A113" s="45" t="s">
        <v>191</v>
      </c>
      <c r="B113" s="39"/>
      <c r="C113" s="39"/>
      <c r="D113" s="39"/>
      <c r="E113" s="39"/>
      <c r="F113" s="39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52"/>
    </row>
    <row r="114" spans="1:42" x14ac:dyDescent="0.2">
      <c r="A114" s="46" t="s">
        <v>192</v>
      </c>
      <c r="B114" s="102">
        <f>SUM(C114:AP114)</f>
        <v>6</v>
      </c>
      <c r="C114" s="52">
        <f>IF(C105&lt;0,1,0)</f>
        <v>0</v>
      </c>
      <c r="D114" s="52">
        <f t="shared" ref="D114:L114" si="59">IF(D105&lt;0,1,0)</f>
        <v>0</v>
      </c>
      <c r="E114" s="52">
        <f t="shared" si="59"/>
        <v>0</v>
      </c>
      <c r="F114" s="52">
        <f t="shared" si="59"/>
        <v>0</v>
      </c>
      <c r="G114" s="52">
        <f t="shared" si="59"/>
        <v>0</v>
      </c>
      <c r="H114" s="52">
        <f t="shared" si="59"/>
        <v>0</v>
      </c>
      <c r="I114" s="52">
        <f t="shared" si="59"/>
        <v>1</v>
      </c>
      <c r="J114" s="52">
        <f t="shared" si="59"/>
        <v>1</v>
      </c>
      <c r="K114" s="52">
        <f t="shared" si="59"/>
        <v>1</v>
      </c>
      <c r="L114" s="52">
        <f t="shared" si="59"/>
        <v>1</v>
      </c>
      <c r="M114" s="52">
        <f t="shared" ref="M114:AP114" si="60">IF(M105&lt;0,1,0)</f>
        <v>1</v>
      </c>
      <c r="N114" s="52">
        <f t="shared" si="60"/>
        <v>1</v>
      </c>
      <c r="O114" s="52">
        <f t="shared" si="60"/>
        <v>0</v>
      </c>
      <c r="P114" s="52">
        <f t="shared" si="60"/>
        <v>0</v>
      </c>
      <c r="Q114" s="52">
        <f t="shared" si="60"/>
        <v>0</v>
      </c>
      <c r="R114" s="52">
        <f t="shared" si="60"/>
        <v>0</v>
      </c>
      <c r="S114" s="52">
        <f t="shared" si="60"/>
        <v>0</v>
      </c>
      <c r="T114" s="52">
        <f t="shared" si="60"/>
        <v>0</v>
      </c>
      <c r="U114" s="52">
        <f t="shared" si="60"/>
        <v>0</v>
      </c>
      <c r="V114" s="52">
        <f t="shared" si="60"/>
        <v>0</v>
      </c>
      <c r="W114" s="52">
        <f t="shared" si="60"/>
        <v>0</v>
      </c>
      <c r="X114" s="52">
        <f t="shared" si="60"/>
        <v>0</v>
      </c>
      <c r="Y114" s="52">
        <f t="shared" si="60"/>
        <v>0</v>
      </c>
      <c r="Z114" s="52">
        <f t="shared" si="60"/>
        <v>0</v>
      </c>
      <c r="AA114" s="52">
        <f t="shared" si="60"/>
        <v>0</v>
      </c>
      <c r="AB114" s="52">
        <f t="shared" si="60"/>
        <v>0</v>
      </c>
      <c r="AC114" s="52">
        <f t="shared" si="60"/>
        <v>0</v>
      </c>
      <c r="AD114" s="52">
        <f t="shared" si="60"/>
        <v>0</v>
      </c>
      <c r="AE114" s="52">
        <f t="shared" si="60"/>
        <v>0</v>
      </c>
      <c r="AF114" s="52">
        <f t="shared" si="60"/>
        <v>0</v>
      </c>
      <c r="AG114" s="52">
        <f t="shared" si="60"/>
        <v>0</v>
      </c>
      <c r="AH114" s="52">
        <f t="shared" si="60"/>
        <v>0</v>
      </c>
      <c r="AI114" s="52">
        <f t="shared" si="60"/>
        <v>0</v>
      </c>
      <c r="AJ114" s="52">
        <f t="shared" si="60"/>
        <v>0</v>
      </c>
      <c r="AK114" s="52">
        <f t="shared" si="60"/>
        <v>0</v>
      </c>
      <c r="AL114" s="52">
        <f t="shared" si="60"/>
        <v>0</v>
      </c>
      <c r="AM114" s="52">
        <f t="shared" si="60"/>
        <v>0</v>
      </c>
      <c r="AN114" s="52">
        <f t="shared" si="60"/>
        <v>0</v>
      </c>
      <c r="AO114" s="52">
        <f t="shared" si="60"/>
        <v>0</v>
      </c>
      <c r="AP114" s="52">
        <f t="shared" si="60"/>
        <v>0</v>
      </c>
    </row>
    <row r="115" spans="1:42" x14ac:dyDescent="0.2">
      <c r="A115" s="46" t="s">
        <v>193</v>
      </c>
      <c r="B115" s="130">
        <f>IF(B114&gt;0,SUM(C115:AP115),"N/A")</f>
        <v>7</v>
      </c>
      <c r="C115" s="52">
        <f>IF(AND(B105&gt;=0,C105&lt;0),C$2,0)</f>
        <v>0</v>
      </c>
      <c r="D115" s="52">
        <f t="shared" ref="D115:L115" si="61">IF(AND(C105&gt;=0,D105&lt;0),D$2,0)</f>
        <v>0</v>
      </c>
      <c r="E115" s="52">
        <f t="shared" si="61"/>
        <v>0</v>
      </c>
      <c r="F115" s="52">
        <f t="shared" si="61"/>
        <v>0</v>
      </c>
      <c r="G115" s="52">
        <f t="shared" si="61"/>
        <v>0</v>
      </c>
      <c r="H115" s="52">
        <f t="shared" si="61"/>
        <v>0</v>
      </c>
      <c r="I115" s="52">
        <f t="shared" si="61"/>
        <v>7</v>
      </c>
      <c r="J115" s="52">
        <f t="shared" si="61"/>
        <v>0</v>
      </c>
      <c r="K115" s="52">
        <f t="shared" si="61"/>
        <v>0</v>
      </c>
      <c r="L115" s="52">
        <f t="shared" si="61"/>
        <v>0</v>
      </c>
      <c r="M115" s="52">
        <f t="shared" ref="M115:AP115" si="62">IF(AND(L105&gt;=0,M105&lt;0),M$2,0)</f>
        <v>0</v>
      </c>
      <c r="N115" s="52">
        <f t="shared" si="62"/>
        <v>0</v>
      </c>
      <c r="O115" s="52">
        <f t="shared" si="62"/>
        <v>0</v>
      </c>
      <c r="P115" s="52">
        <f t="shared" si="62"/>
        <v>0</v>
      </c>
      <c r="Q115" s="52">
        <f t="shared" si="62"/>
        <v>0</v>
      </c>
      <c r="R115" s="52">
        <f t="shared" si="62"/>
        <v>0</v>
      </c>
      <c r="S115" s="52">
        <f t="shared" si="62"/>
        <v>0</v>
      </c>
      <c r="T115" s="52">
        <f t="shared" si="62"/>
        <v>0</v>
      </c>
      <c r="U115" s="52">
        <f t="shared" si="62"/>
        <v>0</v>
      </c>
      <c r="V115" s="52">
        <f t="shared" si="62"/>
        <v>0</v>
      </c>
      <c r="W115" s="52">
        <f t="shared" si="62"/>
        <v>0</v>
      </c>
      <c r="X115" s="52">
        <f t="shared" si="62"/>
        <v>0</v>
      </c>
      <c r="Y115" s="52">
        <f t="shared" si="62"/>
        <v>0</v>
      </c>
      <c r="Z115" s="52">
        <f t="shared" si="62"/>
        <v>0</v>
      </c>
      <c r="AA115" s="52">
        <f t="shared" si="62"/>
        <v>0</v>
      </c>
      <c r="AB115" s="52">
        <f t="shared" si="62"/>
        <v>0</v>
      </c>
      <c r="AC115" s="52">
        <f t="shared" si="62"/>
        <v>0</v>
      </c>
      <c r="AD115" s="52">
        <f t="shared" si="62"/>
        <v>0</v>
      </c>
      <c r="AE115" s="52">
        <f t="shared" si="62"/>
        <v>0</v>
      </c>
      <c r="AF115" s="52">
        <f t="shared" si="62"/>
        <v>0</v>
      </c>
      <c r="AG115" s="52">
        <f t="shared" si="62"/>
        <v>0</v>
      </c>
      <c r="AH115" s="52">
        <f t="shared" si="62"/>
        <v>0</v>
      </c>
      <c r="AI115" s="52">
        <f t="shared" si="62"/>
        <v>0</v>
      </c>
      <c r="AJ115" s="52">
        <f t="shared" si="62"/>
        <v>0</v>
      </c>
      <c r="AK115" s="52">
        <f t="shared" si="62"/>
        <v>0</v>
      </c>
      <c r="AL115" s="52">
        <f t="shared" si="62"/>
        <v>0</v>
      </c>
      <c r="AM115" s="52">
        <f t="shared" si="62"/>
        <v>0</v>
      </c>
      <c r="AN115" s="52">
        <f t="shared" si="62"/>
        <v>0</v>
      </c>
      <c r="AO115" s="52">
        <f t="shared" si="62"/>
        <v>0</v>
      </c>
      <c r="AP115" s="52">
        <f t="shared" si="62"/>
        <v>0</v>
      </c>
    </row>
    <row r="116" spans="1:42" x14ac:dyDescent="0.2">
      <c r="B116" s="52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</row>
    <row r="117" spans="1:42" x14ac:dyDescent="0.2">
      <c r="A117" s="45" t="s">
        <v>140</v>
      </c>
      <c r="B117" s="39"/>
      <c r="C117" s="39"/>
      <c r="D117" s="39"/>
      <c r="E117" s="39"/>
      <c r="F117" s="39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52"/>
    </row>
    <row r="118" spans="1:42" x14ac:dyDescent="0.2">
      <c r="A118" s="46" t="s">
        <v>181</v>
      </c>
      <c r="B118" s="58">
        <f>SUM(C118:AP118)</f>
        <v>299644531.69897509</v>
      </c>
      <c r="C118" s="39">
        <f t="shared" ref="C118:AP118" si="63">C12</f>
        <v>6792415.5599999996</v>
      </c>
      <c r="D118" s="39">
        <f t="shared" si="63"/>
        <v>6826038.0170220006</v>
      </c>
      <c r="E118" s="39">
        <f t="shared" si="63"/>
        <v>6859826.9052062593</v>
      </c>
      <c r="F118" s="39">
        <f t="shared" si="63"/>
        <v>6893783.0483870301</v>
      </c>
      <c r="G118" s="39">
        <f t="shared" si="63"/>
        <v>6927907.2744765459</v>
      </c>
      <c r="H118" s="39">
        <f t="shared" si="63"/>
        <v>6962200.4154852033</v>
      </c>
      <c r="I118" s="39">
        <f t="shared" si="63"/>
        <v>6996663.3075418584</v>
      </c>
      <c r="J118" s="39">
        <f t="shared" si="63"/>
        <v>7031296.7909141872</v>
      </c>
      <c r="K118" s="39">
        <f t="shared" si="63"/>
        <v>7066101.7100292156</v>
      </c>
      <c r="L118" s="39">
        <f t="shared" si="63"/>
        <v>7101078.9134938605</v>
      </c>
      <c r="M118" s="39">
        <f t="shared" si="63"/>
        <v>7136229.2541156551</v>
      </c>
      <c r="N118" s="39">
        <f t="shared" si="63"/>
        <v>7171553.588923526</v>
      </c>
      <c r="O118" s="39">
        <f t="shared" si="63"/>
        <v>7207052.7791886972</v>
      </c>
      <c r="P118" s="39">
        <f t="shared" si="63"/>
        <v>7242727.690445682</v>
      </c>
      <c r="Q118" s="39">
        <f t="shared" si="63"/>
        <v>7278579.1925133886</v>
      </c>
      <c r="R118" s="39">
        <f t="shared" si="63"/>
        <v>7314608.1595163289</v>
      </c>
      <c r="S118" s="39">
        <f t="shared" si="63"/>
        <v>7350815.4699059352</v>
      </c>
      <c r="T118" s="39">
        <f t="shared" si="63"/>
        <v>7387202.0064819716</v>
      </c>
      <c r="U118" s="39">
        <f t="shared" si="63"/>
        <v>7423768.6564140571</v>
      </c>
      <c r="V118" s="39">
        <f t="shared" si="63"/>
        <v>7460516.3112633061</v>
      </c>
      <c r="W118" s="39">
        <f t="shared" si="63"/>
        <v>7497445.8670040583</v>
      </c>
      <c r="X118" s="39">
        <f t="shared" si="63"/>
        <v>7534558.2240457274</v>
      </c>
      <c r="Y118" s="39">
        <f t="shared" si="63"/>
        <v>7571854.2872547563</v>
      </c>
      <c r="Z118" s="39">
        <f t="shared" si="63"/>
        <v>7609334.9659766667</v>
      </c>
      <c r="AA118" s="39">
        <f t="shared" si="63"/>
        <v>7647001.1740582529</v>
      </c>
      <c r="AB118" s="39">
        <f t="shared" si="63"/>
        <v>7684853.8298698412</v>
      </c>
      <c r="AC118" s="39">
        <f t="shared" si="63"/>
        <v>7722893.8563276958</v>
      </c>
      <c r="AD118" s="39">
        <f t="shared" si="63"/>
        <v>7761122.180916517</v>
      </c>
      <c r="AE118" s="39">
        <f t="shared" si="63"/>
        <v>7799539.7357120542</v>
      </c>
      <c r="AF118" s="39">
        <f t="shared" si="63"/>
        <v>7838147.4574038275</v>
      </c>
      <c r="AG118" s="39">
        <f t="shared" si="63"/>
        <v>7876946.2873179791</v>
      </c>
      <c r="AH118" s="39">
        <f t="shared" si="63"/>
        <v>7915937.1714402009</v>
      </c>
      <c r="AI118" s="39">
        <f t="shared" si="63"/>
        <v>7955121.0604388304</v>
      </c>
      <c r="AJ118" s="39">
        <f t="shared" si="63"/>
        <v>7994498.9096880034</v>
      </c>
      <c r="AK118" s="39">
        <f t="shared" si="63"/>
        <v>8034071.6792909587</v>
      </c>
      <c r="AL118" s="39">
        <f t="shared" si="63"/>
        <v>8073840.3341034483</v>
      </c>
      <c r="AM118" s="39">
        <f t="shared" si="63"/>
        <v>8113805.8437572606</v>
      </c>
      <c r="AN118" s="39">
        <f t="shared" si="63"/>
        <v>8153969.182683859</v>
      </c>
      <c r="AO118" s="39">
        <f t="shared" si="63"/>
        <v>8194331.3301381441</v>
      </c>
      <c r="AP118" s="39">
        <f t="shared" si="63"/>
        <v>8234893.2702223267</v>
      </c>
    </row>
    <row r="119" spans="1:42" x14ac:dyDescent="0.2">
      <c r="A119" s="46" t="s">
        <v>64</v>
      </c>
      <c r="B119" s="58">
        <f>SUM(C119:AP119)</f>
        <v>1175281178.0042889</v>
      </c>
      <c r="C119" s="39">
        <f t="shared" ref="C119:AP119" si="64">C5</f>
        <v>32344836</v>
      </c>
      <c r="D119" s="39">
        <f t="shared" si="64"/>
        <v>32183111.82</v>
      </c>
      <c r="E119" s="39">
        <f t="shared" si="64"/>
        <v>32022196.260900002</v>
      </c>
      <c r="F119" s="39">
        <f t="shared" si="64"/>
        <v>31862085.279595502</v>
      </c>
      <c r="G119" s="39">
        <f t="shared" si="64"/>
        <v>31702774.853197522</v>
      </c>
      <c r="H119" s="39">
        <f t="shared" si="64"/>
        <v>31544260.978931535</v>
      </c>
      <c r="I119" s="39">
        <f t="shared" si="64"/>
        <v>31386539.674036879</v>
      </c>
      <c r="J119" s="39">
        <f t="shared" si="64"/>
        <v>31229606.975666694</v>
      </c>
      <c r="K119" s="39">
        <f t="shared" si="64"/>
        <v>31073458.940788362</v>
      </c>
      <c r="L119" s="39">
        <f t="shared" si="64"/>
        <v>30918091.64608442</v>
      </c>
      <c r="M119" s="39">
        <f t="shared" si="64"/>
        <v>30763501.187853999</v>
      </c>
      <c r="N119" s="39">
        <f t="shared" si="64"/>
        <v>30609683.681914728</v>
      </c>
      <c r="O119" s="39">
        <f t="shared" si="64"/>
        <v>30456635.263505153</v>
      </c>
      <c r="P119" s="39">
        <f t="shared" si="64"/>
        <v>30304352.087187629</v>
      </c>
      <c r="Q119" s="39">
        <f t="shared" si="64"/>
        <v>30152830.32675169</v>
      </c>
      <c r="R119" s="39">
        <f t="shared" si="64"/>
        <v>30002066.175117932</v>
      </c>
      <c r="S119" s="39">
        <f t="shared" si="64"/>
        <v>29852055.844242342</v>
      </c>
      <c r="T119" s="39">
        <f t="shared" si="64"/>
        <v>29702795.565021131</v>
      </c>
      <c r="U119" s="39">
        <f t="shared" si="64"/>
        <v>29554281.587196026</v>
      </c>
      <c r="V119" s="39">
        <f t="shared" si="64"/>
        <v>29406510.179260045</v>
      </c>
      <c r="W119" s="39">
        <f t="shared" si="64"/>
        <v>29259477.628363743</v>
      </c>
      <c r="X119" s="39">
        <f t="shared" si="64"/>
        <v>29113180.240221925</v>
      </c>
      <c r="Y119" s="39">
        <f t="shared" si="64"/>
        <v>28967614.339020815</v>
      </c>
      <c r="Z119" s="39">
        <f t="shared" si="64"/>
        <v>28822776.267325711</v>
      </c>
      <c r="AA119" s="39">
        <f t="shared" si="64"/>
        <v>28678662.385989081</v>
      </c>
      <c r="AB119" s="39">
        <f t="shared" si="64"/>
        <v>28535269.074059136</v>
      </c>
      <c r="AC119" s="39">
        <f t="shared" si="64"/>
        <v>28392592.72868884</v>
      </c>
      <c r="AD119" s="39">
        <f t="shared" si="64"/>
        <v>28250629.765045397</v>
      </c>
      <c r="AE119" s="39">
        <f t="shared" si="64"/>
        <v>28109376.616220169</v>
      </c>
      <c r="AF119" s="39">
        <f t="shared" si="64"/>
        <v>27968829.733139068</v>
      </c>
      <c r="AG119" s="39">
        <f t="shared" si="64"/>
        <v>27828985.584473372</v>
      </c>
      <c r="AH119" s="39">
        <f t="shared" si="64"/>
        <v>27689840.656551003</v>
      </c>
      <c r="AI119" s="39">
        <f t="shared" si="64"/>
        <v>27551391.453268249</v>
      </c>
      <c r="AJ119" s="39">
        <f t="shared" si="64"/>
        <v>27413634.496001907</v>
      </c>
      <c r="AK119" s="39">
        <f t="shared" si="64"/>
        <v>27276566.323521897</v>
      </c>
      <c r="AL119" s="39">
        <f t="shared" si="64"/>
        <v>27140183.491904289</v>
      </c>
      <c r="AM119" s="39">
        <f t="shared" si="64"/>
        <v>27004482.574444767</v>
      </c>
      <c r="AN119" s="39">
        <f t="shared" si="64"/>
        <v>26869460.161572542</v>
      </c>
      <c r="AO119" s="39">
        <f t="shared" si="64"/>
        <v>26735112.860764679</v>
      </c>
      <c r="AP119" s="39">
        <f t="shared" si="64"/>
        <v>26601437.296460856</v>
      </c>
    </row>
    <row r="120" spans="1:42" x14ac:dyDescent="0.2">
      <c r="B120" s="39"/>
      <c r="C120" s="39"/>
      <c r="D120" s="39"/>
      <c r="E120" s="39"/>
      <c r="F120" s="39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52"/>
    </row>
    <row r="121" spans="1:42" x14ac:dyDescent="0.2">
      <c r="A121" s="17" t="s">
        <v>179</v>
      </c>
      <c r="B121" s="299">
        <f>NPV(DiscountRate,C118:AP118)</f>
        <v>65157399.206433423</v>
      </c>
      <c r="C121" s="39"/>
      <c r="D121" s="39"/>
      <c r="E121" s="39"/>
      <c r="F121" s="39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52"/>
    </row>
    <row r="122" spans="1:42" x14ac:dyDescent="0.2">
      <c r="A122" s="17" t="s">
        <v>180</v>
      </c>
      <c r="B122" s="134">
        <f>NPV(DiscountRate,C119:AP119)</f>
        <v>284692667.66342908</v>
      </c>
      <c r="C122" s="39"/>
      <c r="D122" s="39"/>
      <c r="E122" s="39"/>
      <c r="F122" s="39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52"/>
    </row>
    <row r="123" spans="1:42" x14ac:dyDescent="0.2">
      <c r="A123" s="17" t="s">
        <v>170</v>
      </c>
      <c r="B123" s="61">
        <f>B121/B122</f>
        <v>0.22886925659590276</v>
      </c>
      <c r="C123" s="39"/>
      <c r="D123" s="39"/>
      <c r="E123" s="39"/>
      <c r="F123" s="39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52"/>
    </row>
    <row r="124" spans="1:42" x14ac:dyDescent="0.2">
      <c r="B124" s="39"/>
      <c r="C124" s="39"/>
      <c r="D124" s="39"/>
      <c r="E124" s="39"/>
      <c r="F124" s="39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52"/>
    </row>
    <row r="125" spans="1:42" x14ac:dyDescent="0.2">
      <c r="A125" s="45" t="s">
        <v>56</v>
      </c>
    </row>
    <row r="126" spans="1:42" s="35" customFormat="1" x14ac:dyDescent="0.2">
      <c r="A126" s="57" t="s">
        <v>70</v>
      </c>
    </row>
    <row r="127" spans="1:42" s="35" customFormat="1" x14ac:dyDescent="0.2">
      <c r="A127" s="301" t="s">
        <v>57</v>
      </c>
      <c r="C127" s="60">
        <f t="shared" ref="C127:AP127" si="65">C38</f>
        <v>5982032.3718749993</v>
      </c>
      <c r="D127" s="60">
        <f t="shared" si="65"/>
        <v>6014814.9039740004</v>
      </c>
      <c r="E127" s="60">
        <f t="shared" si="65"/>
        <v>6046667.8018346932</v>
      </c>
      <c r="F127" s="60">
        <f t="shared" si="65"/>
        <v>6077614.3251993665</v>
      </c>
      <c r="G127" s="60">
        <f t="shared" si="65"/>
        <v>6107675.6687284168</v>
      </c>
      <c r="H127" s="60">
        <f t="shared" si="65"/>
        <v>6136871.0370753501</v>
      </c>
      <c r="I127" s="60">
        <f t="shared" si="65"/>
        <v>6165217.7153407605</v>
      </c>
      <c r="J127" s="60">
        <f t="shared" si="65"/>
        <v>6192731.1351093547</v>
      </c>
      <c r="K127" s="60">
        <f t="shared" si="65"/>
        <v>6219424.9362631496</v>
      </c>
      <c r="L127" s="60">
        <f t="shared" si="65"/>
        <v>6245311.024753198</v>
      </c>
      <c r="M127" s="60">
        <f t="shared" si="65"/>
        <v>6270399.6265025157</v>
      </c>
      <c r="N127" s="60">
        <f t="shared" si="65"/>
        <v>6294699.3376029693</v>
      </c>
      <c r="O127" s="60">
        <f t="shared" si="65"/>
        <v>6318217.1709600678</v>
      </c>
      <c r="P127" s="60">
        <f t="shared" si="65"/>
        <v>6340958.5995307146</v>
      </c>
      <c r="Q127" s="60">
        <f t="shared" si="65"/>
        <v>6362927.596290837</v>
      </c>
      <c r="R127" s="60">
        <f t="shared" si="65"/>
        <v>6384126.6710618278</v>
      </c>
      <c r="S127" s="60">
        <f t="shared" si="65"/>
        <v>6404556.90431723</v>
      </c>
      <c r="T127" s="60">
        <f t="shared" si="65"/>
        <v>6424217.9780838899</v>
      </c>
      <c r="U127" s="60">
        <f t="shared" si="65"/>
        <v>6443108.2040449465</v>
      </c>
      <c r="V127" s="60">
        <f t="shared" si="65"/>
        <v>6461224.5489454605</v>
      </c>
      <c r="W127" s="60">
        <f t="shared" si="65"/>
        <v>6478562.6573951915</v>
      </c>
      <c r="X127" s="60">
        <f t="shared" si="65"/>
        <v>6495116.8721570428</v>
      </c>
      <c r="Y127" s="60">
        <f t="shared" si="65"/>
        <v>6510880.252003991</v>
      </c>
      <c r="Z127" s="60">
        <f t="shared" si="65"/>
        <v>6525844.5872217314</v>
      </c>
      <c r="AA127" s="60">
        <f t="shared" si="65"/>
        <v>6540000.4128291495</v>
      </c>
      <c r="AB127" s="60">
        <f t="shared" si="65"/>
        <v>6553337.0195835028</v>
      </c>
      <c r="AC127" s="60">
        <f t="shared" si="65"/>
        <v>6565842.4628325365</v>
      </c>
      <c r="AD127" s="60">
        <f t="shared" si="65"/>
        <v>6577503.5692709992</v>
      </c>
      <c r="AE127" s="60">
        <f t="shared" si="65"/>
        <v>6588305.9416545853</v>
      </c>
      <c r="AF127" s="60">
        <f t="shared" si="65"/>
        <v>6598233.9615200832</v>
      </c>
      <c r="AG127" s="60">
        <f t="shared" si="65"/>
        <v>6607270.7899563536</v>
      </c>
      <c r="AH127" s="60">
        <f t="shared" si="65"/>
        <v>6615398.3664667439</v>
      </c>
      <c r="AI127" s="60">
        <f t="shared" si="65"/>
        <v>6622597.4059598576</v>
      </c>
      <c r="AJ127" s="60">
        <f t="shared" si="65"/>
        <v>6628847.393901675</v>
      </c>
      <c r="AK127" s="60">
        <f t="shared" si="65"/>
        <v>6634126.5796587002</v>
      </c>
      <c r="AL127" s="60">
        <f t="shared" si="65"/>
        <v>6638411.9680581717</v>
      </c>
      <c r="AM127" s="60">
        <f t="shared" si="65"/>
        <v>6641679.3091881089</v>
      </c>
      <c r="AN127" s="60">
        <f t="shared" si="65"/>
        <v>6643903.0864567161</v>
      </c>
      <c r="AO127" s="60">
        <f t="shared" si="65"/>
        <v>6645056.5029275231</v>
      </c>
      <c r="AP127" s="60">
        <f t="shared" si="65"/>
        <v>10498111.565943556</v>
      </c>
    </row>
    <row r="128" spans="1:42" s="35" customFormat="1" x14ac:dyDescent="0.2">
      <c r="A128" s="301" t="s">
        <v>66</v>
      </c>
      <c r="C128" s="60">
        <f t="shared" ref="C128:AP128" si="66">C676</f>
        <v>44091.562982974756</v>
      </c>
      <c r="D128" s="60">
        <f t="shared" si="66"/>
        <v>49095.040974000542</v>
      </c>
      <c r="E128" s="60">
        <f t="shared" si="66"/>
        <v>54102.084130181123</v>
      </c>
      <c r="F128" s="60">
        <f t="shared" si="66"/>
        <v>59112.646894910125</v>
      </c>
      <c r="G128" s="60">
        <f t="shared" si="66"/>
        <v>64126.688431939969</v>
      </c>
      <c r="H128" s="60">
        <f t="shared" si="66"/>
        <v>69144.172455249514</v>
      </c>
      <c r="I128" s="60">
        <f t="shared" si="66"/>
        <v>74165.06706939546</v>
      </c>
      <c r="J128" s="60">
        <f t="shared" si="66"/>
        <v>79189.344619884287</v>
      </c>
      <c r="K128" s="60">
        <f t="shared" si="66"/>
        <v>84216.981553127553</v>
      </c>
      <c r="L128" s="60">
        <f t="shared" si="66"/>
        <v>89247.958285565284</v>
      </c>
      <c r="M128" s="60">
        <f t="shared" si="66"/>
        <v>94282.25908156771</v>
      </c>
      <c r="N128" s="60">
        <f t="shared" si="66"/>
        <v>99319.87193974432</v>
      </c>
      <c r="O128" s="60">
        <f t="shared" si="66"/>
        <v>46345.950107228346</v>
      </c>
      <c r="P128" s="60">
        <f t="shared" si="66"/>
        <v>14323.955992192006</v>
      </c>
      <c r="Q128" s="60">
        <f t="shared" si="66"/>
        <v>20878.904360319404</v>
      </c>
      <c r="R128" s="60">
        <f t="shared" si="66"/>
        <v>27442.142364035004</v>
      </c>
      <c r="S128" s="60">
        <f t="shared" si="66"/>
        <v>34013.668235645324</v>
      </c>
      <c r="T128" s="60">
        <f t="shared" si="66"/>
        <v>40593.49248191341</v>
      </c>
      <c r="U128" s="60">
        <f t="shared" si="66"/>
        <v>47181.63763834595</v>
      </c>
      <c r="V128" s="60">
        <f t="shared" si="66"/>
        <v>53778.138047083419</v>
      </c>
      <c r="W128" s="60">
        <f t="shared" si="66"/>
        <v>60383.039657565896</v>
      </c>
      <c r="X128" s="60">
        <f t="shared" si="66"/>
        <v>66996.39984920033</v>
      </c>
      <c r="Y128" s="60">
        <f t="shared" si="66"/>
        <v>73618.287275304581</v>
      </c>
      <c r="Z128" s="60">
        <f t="shared" si="66"/>
        <v>80248.781727652109</v>
      </c>
      <c r="AA128" s="60">
        <f t="shared" si="66"/>
        <v>9686.2566607546523</v>
      </c>
      <c r="AB128" s="60">
        <f t="shared" si="66"/>
        <v>18553.0826642053</v>
      </c>
      <c r="AC128" s="60">
        <f t="shared" si="66"/>
        <v>27428.820841482309</v>
      </c>
      <c r="AD128" s="60">
        <f t="shared" si="66"/>
        <v>36313.594574497787</v>
      </c>
      <c r="AE128" s="60">
        <f t="shared" si="66"/>
        <v>45207.537994802187</v>
      </c>
      <c r="AF128" s="60">
        <f t="shared" si="66"/>
        <v>54110.795959981944</v>
      </c>
      <c r="AG128" s="60">
        <f t="shared" si="66"/>
        <v>63023.524047113235</v>
      </c>
      <c r="AH128" s="60">
        <f t="shared" si="66"/>
        <v>71945.888562916574</v>
      </c>
      <c r="AI128" s="60">
        <f t="shared" si="66"/>
        <v>80878.06657028968</v>
      </c>
      <c r="AJ128" s="60">
        <f t="shared" si="66"/>
        <v>89820.245930928882</v>
      </c>
      <c r="AK128" s="60">
        <f t="shared" si="66"/>
        <v>98772.625363780608</v>
      </c>
      <c r="AL128" s="60">
        <f t="shared" si="66"/>
        <v>107735.41451909437</v>
      </c>
      <c r="AM128" s="60">
        <f t="shared" si="66"/>
        <v>12881.107177480082</v>
      </c>
      <c r="AN128" s="60">
        <f t="shared" si="66"/>
        <v>13213.078341987499</v>
      </c>
      <c r="AO128" s="60">
        <f t="shared" si="66"/>
        <v>13556.154738092931</v>
      </c>
      <c r="AP128" s="60">
        <f t="shared" si="66"/>
        <v>13910.59078743924</v>
      </c>
    </row>
    <row r="129" spans="1:42" s="35" customFormat="1" x14ac:dyDescent="0.2">
      <c r="A129" s="301" t="s">
        <v>58</v>
      </c>
      <c r="C129" s="60">
        <f>-C533</f>
        <v>-2832919.8747028136</v>
      </c>
      <c r="D129" s="60">
        <f t="shared" ref="D129:AP129" si="67">-D533</f>
        <v>-2714282.5946371374</v>
      </c>
      <c r="E129" s="60">
        <f t="shared" si="67"/>
        <v>-2583497.060411497</v>
      </c>
      <c r="F129" s="60">
        <f t="shared" si="67"/>
        <v>-2439589.2029484115</v>
      </c>
      <c r="G129" s="60">
        <f t="shared" si="67"/>
        <v>-2281500.6927965214</v>
      </c>
      <c r="H129" s="60">
        <f t="shared" si="67"/>
        <v>-2108081.9080224838</v>
      </c>
      <c r="I129" s="60">
        <f t="shared" si="67"/>
        <v>-1918084.2996467352</v>
      </c>
      <c r="J129" s="60">
        <f t="shared" si="67"/>
        <v>-1710152.1037052998</v>
      </c>
      <c r="K129" s="60">
        <f t="shared" si="67"/>
        <v>-1482813.344678968</v>
      </c>
      <c r="L129" s="60">
        <f t="shared" si="67"/>
        <v>-1234470.0703220109</v>
      </c>
      <c r="M129" s="60">
        <f t="shared" si="67"/>
        <v>-963387.75281385751</v>
      </c>
      <c r="N129" s="60">
        <f t="shared" si="67"/>
        <v>-667683.78561477631</v>
      </c>
      <c r="O129" s="60">
        <f t="shared" si="67"/>
        <v>-345314.99939374469</v>
      </c>
      <c r="P129" s="60">
        <f t="shared" si="67"/>
        <v>0</v>
      </c>
      <c r="Q129" s="60">
        <f t="shared" si="67"/>
        <v>0</v>
      </c>
      <c r="R129" s="60">
        <f t="shared" si="67"/>
        <v>0</v>
      </c>
      <c r="S129" s="60">
        <f t="shared" si="67"/>
        <v>0</v>
      </c>
      <c r="T129" s="60">
        <f t="shared" si="67"/>
        <v>0</v>
      </c>
      <c r="U129" s="60">
        <f t="shared" si="67"/>
        <v>0</v>
      </c>
      <c r="V129" s="60">
        <f t="shared" si="67"/>
        <v>0</v>
      </c>
      <c r="W129" s="60">
        <f t="shared" si="67"/>
        <v>0</v>
      </c>
      <c r="X129" s="60">
        <f t="shared" si="67"/>
        <v>0</v>
      </c>
      <c r="Y129" s="60">
        <f t="shared" si="67"/>
        <v>0</v>
      </c>
      <c r="Z129" s="60">
        <f t="shared" si="67"/>
        <v>0</v>
      </c>
      <c r="AA129" s="60">
        <f t="shared" si="67"/>
        <v>0</v>
      </c>
      <c r="AB129" s="60">
        <f t="shared" si="67"/>
        <v>0</v>
      </c>
      <c r="AC129" s="60">
        <f t="shared" si="67"/>
        <v>0</v>
      </c>
      <c r="AD129" s="60">
        <f t="shared" si="67"/>
        <v>0</v>
      </c>
      <c r="AE129" s="60">
        <f t="shared" si="67"/>
        <v>0</v>
      </c>
      <c r="AF129" s="60">
        <f t="shared" si="67"/>
        <v>0</v>
      </c>
      <c r="AG129" s="60">
        <f t="shared" si="67"/>
        <v>0</v>
      </c>
      <c r="AH129" s="60">
        <f t="shared" si="67"/>
        <v>0</v>
      </c>
      <c r="AI129" s="60">
        <f t="shared" si="67"/>
        <v>0</v>
      </c>
      <c r="AJ129" s="60">
        <f t="shared" si="67"/>
        <v>0</v>
      </c>
      <c r="AK129" s="60">
        <f t="shared" si="67"/>
        <v>0</v>
      </c>
      <c r="AL129" s="60">
        <f t="shared" si="67"/>
        <v>0</v>
      </c>
      <c r="AM129" s="60">
        <f t="shared" si="67"/>
        <v>0</v>
      </c>
      <c r="AN129" s="60">
        <f t="shared" si="67"/>
        <v>0</v>
      </c>
      <c r="AO129" s="60">
        <f t="shared" si="67"/>
        <v>0</v>
      </c>
      <c r="AP129" s="60">
        <f t="shared" si="67"/>
        <v>0</v>
      </c>
    </row>
    <row r="130" spans="1:42" s="22" customFormat="1" x14ac:dyDescent="0.2">
      <c r="A130" s="301" t="s">
        <v>61</v>
      </c>
      <c r="B130" s="35"/>
      <c r="C130" s="64">
        <f t="shared" ref="C130:AP130" si="68">IF(C$2&lt;=AnalysisPeriod,-C252-C282-C308-C334,0)</f>
        <v>-6179118.007166476</v>
      </c>
      <c r="D130" s="64">
        <f t="shared" si="68"/>
        <v>-9918805.3260204531</v>
      </c>
      <c r="E130" s="64">
        <f t="shared" si="68"/>
        <v>-6014695.1796939503</v>
      </c>
      <c r="F130" s="64">
        <f t="shared" si="68"/>
        <v>-3670610.8318560505</v>
      </c>
      <c r="G130" s="64">
        <f t="shared" si="68"/>
        <v>-3666160.6167405504</v>
      </c>
      <c r="H130" s="64">
        <f t="shared" si="68"/>
        <v>-1907736.1371027492</v>
      </c>
      <c r="I130" s="64">
        <f t="shared" si="68"/>
        <v>-151450.07252044871</v>
      </c>
      <c r="J130" s="64">
        <f t="shared" si="68"/>
        <v>-151353.74751794874</v>
      </c>
      <c r="K130" s="64">
        <f t="shared" si="68"/>
        <v>-151507.86752194873</v>
      </c>
      <c r="L130" s="64">
        <f t="shared" si="68"/>
        <v>-151353.74751794874</v>
      </c>
      <c r="M130" s="64">
        <f t="shared" si="68"/>
        <v>-151507.86752194873</v>
      </c>
      <c r="N130" s="64">
        <f t="shared" si="68"/>
        <v>-807397.07641858177</v>
      </c>
      <c r="O130" s="64">
        <f t="shared" si="68"/>
        <v>-1201177.1937629615</v>
      </c>
      <c r="P130" s="64">
        <f t="shared" si="68"/>
        <v>-781155.34326255647</v>
      </c>
      <c r="Q130" s="64">
        <f t="shared" si="68"/>
        <v>-529388.82496871334</v>
      </c>
      <c r="R130" s="64">
        <f t="shared" si="68"/>
        <v>-480108.95368971338</v>
      </c>
      <c r="S130" s="64">
        <f t="shared" si="68"/>
        <v>-242042.72369133105</v>
      </c>
      <c r="T130" s="64">
        <f t="shared" si="68"/>
        <v>-53102.244967948718</v>
      </c>
      <c r="U130" s="64">
        <f t="shared" si="68"/>
        <v>-53102.244967948718</v>
      </c>
      <c r="V130" s="64">
        <f t="shared" si="68"/>
        <v>-53102.244967948718</v>
      </c>
      <c r="W130" s="64">
        <f t="shared" si="68"/>
        <v>-29020.994342948718</v>
      </c>
      <c r="X130" s="64">
        <f t="shared" si="68"/>
        <v>-4939.7437179487179</v>
      </c>
      <c r="Y130" s="64">
        <f t="shared" si="68"/>
        <v>-4939.7437179487179</v>
      </c>
      <c r="Z130" s="64">
        <f t="shared" si="68"/>
        <v>-887245.08497774822</v>
      </c>
      <c r="AA130" s="64">
        <f t="shared" si="68"/>
        <v>-1416628.289733628</v>
      </c>
      <c r="AB130" s="64">
        <f t="shared" si="68"/>
        <v>-851952.8713273562</v>
      </c>
      <c r="AC130" s="64">
        <f t="shared" si="68"/>
        <v>-513147.62028359325</v>
      </c>
      <c r="AD130" s="64">
        <f t="shared" si="68"/>
        <v>-513147.62028359325</v>
      </c>
      <c r="AE130" s="64">
        <f t="shared" si="68"/>
        <v>-259043.68200077099</v>
      </c>
      <c r="AF130" s="64">
        <f t="shared" si="68"/>
        <v>-4939.7437179487179</v>
      </c>
      <c r="AG130" s="64">
        <f t="shared" si="68"/>
        <v>-4939.7437179487179</v>
      </c>
      <c r="AH130" s="64">
        <f t="shared" si="68"/>
        <v>-4939.7437179487179</v>
      </c>
      <c r="AI130" s="64">
        <f t="shared" si="68"/>
        <v>-4939.7437179487179</v>
      </c>
      <c r="AJ130" s="64">
        <f t="shared" si="68"/>
        <v>-4939.7437179487179</v>
      </c>
      <c r="AK130" s="64">
        <f t="shared" si="68"/>
        <v>-4939.7437179487179</v>
      </c>
      <c r="AL130" s="64">
        <f t="shared" si="68"/>
        <v>-1191542.3367510687</v>
      </c>
      <c r="AM130" s="64">
        <f t="shared" si="68"/>
        <v>-1903503.8925709408</v>
      </c>
      <c r="AN130" s="64">
        <f t="shared" si="68"/>
        <v>-1144078.2330297439</v>
      </c>
      <c r="AO130" s="64">
        <f t="shared" si="68"/>
        <v>-688422.83730502578</v>
      </c>
      <c r="AP130" s="64">
        <f t="shared" si="68"/>
        <v>-685952.96544605144</v>
      </c>
    </row>
    <row r="131" spans="1:42" s="35" customFormat="1" x14ac:dyDescent="0.2">
      <c r="A131" s="301" t="s">
        <v>59</v>
      </c>
      <c r="C131" s="60">
        <f t="shared" ref="C131:AP131" si="69">SUM(C127:C130)</f>
        <v>-2985913.9470113157</v>
      </c>
      <c r="D131" s="60">
        <f t="shared" si="69"/>
        <v>-6569177.9757095892</v>
      </c>
      <c r="E131" s="60">
        <f t="shared" si="69"/>
        <v>-2497422.3541405732</v>
      </c>
      <c r="F131" s="60">
        <f t="shared" si="69"/>
        <v>26526.93728981493</v>
      </c>
      <c r="G131" s="60">
        <f t="shared" si="69"/>
        <v>224141.04762328509</v>
      </c>
      <c r="H131" s="60">
        <f t="shared" si="69"/>
        <v>2190197.1644053664</v>
      </c>
      <c r="I131" s="60">
        <f t="shared" si="69"/>
        <v>4169848.410242972</v>
      </c>
      <c r="J131" s="60">
        <f t="shared" si="69"/>
        <v>4410414.6285059899</v>
      </c>
      <c r="K131" s="60">
        <f t="shared" si="69"/>
        <v>4669320.7056153603</v>
      </c>
      <c r="L131" s="60">
        <f t="shared" si="69"/>
        <v>4948735.1651988039</v>
      </c>
      <c r="M131" s="60">
        <f t="shared" si="69"/>
        <v>5249786.2652482763</v>
      </c>
      <c r="N131" s="60">
        <f t="shared" si="69"/>
        <v>4918938.3475093553</v>
      </c>
      <c r="O131" s="60">
        <f t="shared" si="69"/>
        <v>4818070.9279105896</v>
      </c>
      <c r="P131" s="60">
        <f t="shared" si="69"/>
        <v>5574127.2122603506</v>
      </c>
      <c r="Q131" s="60">
        <f t="shared" si="69"/>
        <v>5854417.6756824432</v>
      </c>
      <c r="R131" s="60">
        <f t="shared" si="69"/>
        <v>5931459.8597361501</v>
      </c>
      <c r="S131" s="60">
        <f t="shared" si="69"/>
        <v>6196527.8488615444</v>
      </c>
      <c r="T131" s="60">
        <f t="shared" si="69"/>
        <v>6411709.2255978547</v>
      </c>
      <c r="U131" s="60">
        <f t="shared" si="69"/>
        <v>6437187.5967153441</v>
      </c>
      <c r="V131" s="60">
        <f t="shared" si="69"/>
        <v>6461900.4420245951</v>
      </c>
      <c r="W131" s="60">
        <f t="shared" si="69"/>
        <v>6509924.7027098089</v>
      </c>
      <c r="X131" s="60">
        <f t="shared" si="69"/>
        <v>6557173.5282882946</v>
      </c>
      <c r="Y131" s="60">
        <f t="shared" si="69"/>
        <v>6579558.7955613472</v>
      </c>
      <c r="Z131" s="60">
        <f t="shared" si="69"/>
        <v>5718848.2839716356</v>
      </c>
      <c r="AA131" s="60">
        <f t="shared" si="69"/>
        <v>5133058.3797562765</v>
      </c>
      <c r="AB131" s="60">
        <f t="shared" si="69"/>
        <v>5719937.230920352</v>
      </c>
      <c r="AC131" s="60">
        <f t="shared" si="69"/>
        <v>6080123.663390425</v>
      </c>
      <c r="AD131" s="60">
        <f t="shared" si="69"/>
        <v>6100669.5435619038</v>
      </c>
      <c r="AE131" s="60">
        <f t="shared" si="69"/>
        <v>6374469.7976486161</v>
      </c>
      <c r="AF131" s="60">
        <f t="shared" si="69"/>
        <v>6647405.0137621164</v>
      </c>
      <c r="AG131" s="60">
        <f t="shared" si="69"/>
        <v>6665354.5702855177</v>
      </c>
      <c r="AH131" s="60">
        <f t="shared" si="69"/>
        <v>6682404.5113117117</v>
      </c>
      <c r="AI131" s="60">
        <f t="shared" si="69"/>
        <v>6698535.7288121982</v>
      </c>
      <c r="AJ131" s="60">
        <f t="shared" si="69"/>
        <v>6713727.8961146548</v>
      </c>
      <c r="AK131" s="60">
        <f t="shared" si="69"/>
        <v>6727959.4613045314</v>
      </c>
      <c r="AL131" s="60">
        <f t="shared" si="69"/>
        <v>5554605.0458261967</v>
      </c>
      <c r="AM131" s="60">
        <f t="shared" si="69"/>
        <v>4751056.5237946482</v>
      </c>
      <c r="AN131" s="60">
        <f t="shared" si="69"/>
        <v>5513037.9317689603</v>
      </c>
      <c r="AO131" s="60">
        <f t="shared" si="69"/>
        <v>5970189.8203605898</v>
      </c>
      <c r="AP131" s="60">
        <f t="shared" si="69"/>
        <v>9826069.1912849434</v>
      </c>
    </row>
    <row r="132" spans="1:42" s="35" customFormat="1" x14ac:dyDescent="0.2">
      <c r="A132" s="301" t="str">
        <f>Inputs!B102</f>
        <v>Investment Based Incentive (IBI)</v>
      </c>
    </row>
    <row r="133" spans="1:42" s="35" customFormat="1" x14ac:dyDescent="0.2">
      <c r="A133" s="304" t="str">
        <f>Inputs!B103</f>
        <v>As fixed amount</v>
      </c>
    </row>
    <row r="134" spans="1:42" s="35" customFormat="1" x14ac:dyDescent="0.2">
      <c r="A134" s="270" t="str">
        <f>Inputs!B104</f>
        <v>Federal ($)</v>
      </c>
      <c r="C134" s="60">
        <f>IF(IBIFedFixedStateTax="Yes",C486,0)</f>
        <v>0</v>
      </c>
    </row>
    <row r="135" spans="1:42" s="35" customFormat="1" x14ac:dyDescent="0.2">
      <c r="A135" s="270" t="str">
        <f>Inputs!B105</f>
        <v>State ($)</v>
      </c>
      <c r="C135" s="60">
        <f>IF(IBIStateFixedStateTax="Yes",C487,0)</f>
        <v>0</v>
      </c>
    </row>
    <row r="136" spans="1:42" s="35" customFormat="1" x14ac:dyDescent="0.2">
      <c r="A136" s="270" t="str">
        <f>Inputs!B106</f>
        <v>Utility ($)</v>
      </c>
      <c r="C136" s="60">
        <f>IF(IBIUtilityFixedStateTax="Yes",C488,0)</f>
        <v>0</v>
      </c>
    </row>
    <row r="137" spans="1:42" x14ac:dyDescent="0.2">
      <c r="A137" s="270" t="str">
        <f>Inputs!B107</f>
        <v>Other ($)</v>
      </c>
      <c r="C137" s="64">
        <f>IF(IBIOtherFixedStateTax="Yes",C489,0)</f>
        <v>0</v>
      </c>
      <c r="D137" s="52"/>
      <c r="E137" s="52"/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52"/>
    </row>
    <row r="138" spans="1:42" x14ac:dyDescent="0.2">
      <c r="A138" s="270" t="s">
        <v>23</v>
      </c>
      <c r="C138" s="52">
        <f>SUM(C134:C137)</f>
        <v>0</v>
      </c>
      <c r="D138" s="52"/>
      <c r="E138" s="52"/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</row>
    <row r="139" spans="1:42" x14ac:dyDescent="0.2">
      <c r="A139" s="304" t="str">
        <f>Inputs!B108</f>
        <v>As percentage</v>
      </c>
      <c r="C139" s="52"/>
      <c r="D139" s="52"/>
      <c r="E139" s="52"/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52"/>
    </row>
    <row r="140" spans="1:42" x14ac:dyDescent="0.2">
      <c r="A140" s="270" t="str">
        <f>Inputs!B109</f>
        <v>Federal (% of total installed cost)</v>
      </c>
      <c r="C140" s="60">
        <f>IF(IBIFedPercentStateTax="Yes",C492,0)</f>
        <v>0</v>
      </c>
      <c r="D140" s="52"/>
      <c r="E140" s="52"/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52"/>
    </row>
    <row r="141" spans="1:42" x14ac:dyDescent="0.2">
      <c r="A141" s="270" t="str">
        <f>Inputs!B110</f>
        <v>State (% of total installed cost)</v>
      </c>
      <c r="C141" s="60">
        <f>IF(IBIStatePercentStateTax="Yes",C493,0)</f>
        <v>0</v>
      </c>
      <c r="D141" s="52"/>
      <c r="E141" s="52"/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52"/>
    </row>
    <row r="142" spans="1:42" x14ac:dyDescent="0.2">
      <c r="A142" s="270" t="str">
        <f>Inputs!B111</f>
        <v>Utility (% of total installed cost)</v>
      </c>
      <c r="C142" s="60">
        <f>IF(IBIUtilityPercentStateTax="Yes",C494,0)</f>
        <v>0</v>
      </c>
      <c r="D142" s="52"/>
      <c r="E142" s="52"/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52"/>
    </row>
    <row r="143" spans="1:42" x14ac:dyDescent="0.2">
      <c r="A143" s="270" t="str">
        <f>Inputs!B112</f>
        <v>Other (% of total installed cost)</v>
      </c>
      <c r="C143" s="64">
        <f>IF(IBIOtherPercentStateTax="Yes",C495,0)</f>
        <v>0</v>
      </c>
      <c r="D143" s="52"/>
      <c r="E143" s="52"/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52"/>
    </row>
    <row r="144" spans="1:42" x14ac:dyDescent="0.2">
      <c r="A144" s="270" t="s">
        <v>23</v>
      </c>
      <c r="C144" s="52">
        <f>SUM(C140:C143)</f>
        <v>0</v>
      </c>
      <c r="D144" s="52"/>
      <c r="E144" s="52"/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52"/>
    </row>
    <row r="145" spans="1:42" x14ac:dyDescent="0.2">
      <c r="A145" s="301" t="str">
        <f>Inputs!B113</f>
        <v>Capacity Based Incentive (CBI)</v>
      </c>
      <c r="C145" s="52"/>
      <c r="D145" s="52"/>
      <c r="E145" s="52"/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52"/>
    </row>
    <row r="146" spans="1:42" x14ac:dyDescent="0.2">
      <c r="A146" s="304" t="str">
        <f>Inputs!B114</f>
        <v>Federal ($/W)</v>
      </c>
      <c r="C146" s="38">
        <f>IF(CBIFedStateTax="Yes",C498,0)</f>
        <v>0</v>
      </c>
      <c r="D146" s="52"/>
      <c r="E146" s="52"/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</row>
    <row r="147" spans="1:42" x14ac:dyDescent="0.2">
      <c r="A147" s="304" t="str">
        <f>Inputs!B115</f>
        <v>State ($/W)</v>
      </c>
      <c r="C147" s="38">
        <f>IF(CBIStateStateTax="Yes",C499,0)</f>
        <v>0</v>
      </c>
      <c r="D147" s="52"/>
      <c r="E147" s="52"/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52"/>
    </row>
    <row r="148" spans="1:42" x14ac:dyDescent="0.2">
      <c r="A148" s="304" t="str">
        <f>Inputs!B116</f>
        <v>Utility ($/W)</v>
      </c>
      <c r="C148" s="38">
        <f>IF(CBIUtilityStateTax="Yes",C500,0)</f>
        <v>0</v>
      </c>
      <c r="D148" s="52"/>
      <c r="E148" s="52"/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52"/>
    </row>
    <row r="149" spans="1:42" x14ac:dyDescent="0.2">
      <c r="A149" s="304" t="str">
        <f>Inputs!B117</f>
        <v>Other ($/W)</v>
      </c>
      <c r="C149" s="64">
        <f>IF(CBIOtherStateTax="Yes",C501,0)</f>
        <v>0</v>
      </c>
      <c r="D149" s="52"/>
      <c r="E149" s="52"/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52"/>
    </row>
    <row r="150" spans="1:42" x14ac:dyDescent="0.2">
      <c r="A150" s="304" t="s">
        <v>23</v>
      </c>
      <c r="C150" s="52">
        <f>SUM(C146:C149)</f>
        <v>0</v>
      </c>
      <c r="D150" s="52"/>
      <c r="E150" s="52"/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52"/>
    </row>
    <row r="151" spans="1:42" x14ac:dyDescent="0.2">
      <c r="A151" s="301" t="str">
        <f>Inputs!B118</f>
        <v>Production Based Incentive (PBI)</v>
      </c>
      <c r="C151" s="52"/>
      <c r="D151" s="52"/>
      <c r="E151" s="52"/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52"/>
    </row>
    <row r="152" spans="1:42" x14ac:dyDescent="0.2">
      <c r="A152" s="304" t="str">
        <f>Inputs!B119</f>
        <v>Federal ($/kWh)</v>
      </c>
      <c r="C152" s="38">
        <f t="shared" ref="C152:AP152" si="70">IF(AND(PBIFedStateTax="Yes",PBIFedDebtSwitch="No"),C508,0)</f>
        <v>0</v>
      </c>
      <c r="D152" s="38">
        <f t="shared" si="70"/>
        <v>0</v>
      </c>
      <c r="E152" s="38">
        <f t="shared" si="70"/>
        <v>0</v>
      </c>
      <c r="F152" s="38">
        <f t="shared" si="70"/>
        <v>0</v>
      </c>
      <c r="G152" s="38">
        <f t="shared" si="70"/>
        <v>0</v>
      </c>
      <c r="H152" s="38">
        <f t="shared" si="70"/>
        <v>0</v>
      </c>
      <c r="I152" s="38">
        <f t="shared" si="70"/>
        <v>0</v>
      </c>
      <c r="J152" s="38">
        <f t="shared" si="70"/>
        <v>0</v>
      </c>
      <c r="K152" s="38">
        <f t="shared" si="70"/>
        <v>0</v>
      </c>
      <c r="L152" s="38">
        <f t="shared" si="70"/>
        <v>0</v>
      </c>
      <c r="M152" s="38">
        <f t="shared" si="70"/>
        <v>0</v>
      </c>
      <c r="N152" s="38">
        <f t="shared" si="70"/>
        <v>0</v>
      </c>
      <c r="O152" s="38">
        <f t="shared" si="70"/>
        <v>0</v>
      </c>
      <c r="P152" s="38">
        <f t="shared" si="70"/>
        <v>0</v>
      </c>
      <c r="Q152" s="38">
        <f t="shared" si="70"/>
        <v>0</v>
      </c>
      <c r="R152" s="38">
        <f t="shared" si="70"/>
        <v>0</v>
      </c>
      <c r="S152" s="38">
        <f t="shared" si="70"/>
        <v>0</v>
      </c>
      <c r="T152" s="38">
        <f t="shared" si="70"/>
        <v>0</v>
      </c>
      <c r="U152" s="38">
        <f t="shared" si="70"/>
        <v>0</v>
      </c>
      <c r="V152" s="38">
        <f t="shared" si="70"/>
        <v>0</v>
      </c>
      <c r="W152" s="38">
        <f t="shared" si="70"/>
        <v>0</v>
      </c>
      <c r="X152" s="38">
        <f t="shared" si="70"/>
        <v>0</v>
      </c>
      <c r="Y152" s="38">
        <f t="shared" si="70"/>
        <v>0</v>
      </c>
      <c r="Z152" s="38">
        <f t="shared" si="70"/>
        <v>0</v>
      </c>
      <c r="AA152" s="38">
        <f t="shared" si="70"/>
        <v>0</v>
      </c>
      <c r="AB152" s="38">
        <f t="shared" si="70"/>
        <v>0</v>
      </c>
      <c r="AC152" s="38">
        <f t="shared" si="70"/>
        <v>0</v>
      </c>
      <c r="AD152" s="38">
        <f t="shared" si="70"/>
        <v>0</v>
      </c>
      <c r="AE152" s="38">
        <f t="shared" si="70"/>
        <v>0</v>
      </c>
      <c r="AF152" s="38">
        <f t="shared" si="70"/>
        <v>0</v>
      </c>
      <c r="AG152" s="38">
        <f t="shared" si="70"/>
        <v>0</v>
      </c>
      <c r="AH152" s="38">
        <f t="shared" si="70"/>
        <v>0</v>
      </c>
      <c r="AI152" s="38">
        <f t="shared" si="70"/>
        <v>0</v>
      </c>
      <c r="AJ152" s="38">
        <f t="shared" si="70"/>
        <v>0</v>
      </c>
      <c r="AK152" s="38">
        <f t="shared" si="70"/>
        <v>0</v>
      </c>
      <c r="AL152" s="38">
        <f t="shared" si="70"/>
        <v>0</v>
      </c>
      <c r="AM152" s="38">
        <f t="shared" si="70"/>
        <v>0</v>
      </c>
      <c r="AN152" s="38">
        <f t="shared" si="70"/>
        <v>0</v>
      </c>
      <c r="AO152" s="38">
        <f t="shared" si="70"/>
        <v>0</v>
      </c>
      <c r="AP152" s="38">
        <f t="shared" si="70"/>
        <v>0</v>
      </c>
    </row>
    <row r="153" spans="1:42" x14ac:dyDescent="0.2">
      <c r="A153" s="304" t="str">
        <f>Inputs!B120</f>
        <v>State ($/kWh)</v>
      </c>
      <c r="C153" s="38">
        <f t="shared" ref="C153:AP153" si="71">IF(AND(PBIStateStateTax="Yes",PBIStateDebtSwitch="No"),C512,0)</f>
        <v>0</v>
      </c>
      <c r="D153" s="38">
        <f t="shared" si="71"/>
        <v>0</v>
      </c>
      <c r="E153" s="38">
        <f t="shared" si="71"/>
        <v>0</v>
      </c>
      <c r="F153" s="38">
        <f t="shared" si="71"/>
        <v>0</v>
      </c>
      <c r="G153" s="38">
        <f t="shared" si="71"/>
        <v>0</v>
      </c>
      <c r="H153" s="38">
        <f t="shared" si="71"/>
        <v>0</v>
      </c>
      <c r="I153" s="38">
        <f t="shared" si="71"/>
        <v>0</v>
      </c>
      <c r="J153" s="38">
        <f t="shared" si="71"/>
        <v>0</v>
      </c>
      <c r="K153" s="38">
        <f t="shared" si="71"/>
        <v>0</v>
      </c>
      <c r="L153" s="38">
        <f t="shared" si="71"/>
        <v>0</v>
      </c>
      <c r="M153" s="38">
        <f t="shared" si="71"/>
        <v>0</v>
      </c>
      <c r="N153" s="38">
        <f t="shared" si="71"/>
        <v>0</v>
      </c>
      <c r="O153" s="38">
        <f t="shared" si="71"/>
        <v>0</v>
      </c>
      <c r="P153" s="38">
        <f t="shared" si="71"/>
        <v>0</v>
      </c>
      <c r="Q153" s="38">
        <f t="shared" si="71"/>
        <v>0</v>
      </c>
      <c r="R153" s="38">
        <f t="shared" si="71"/>
        <v>0</v>
      </c>
      <c r="S153" s="38">
        <f t="shared" si="71"/>
        <v>0</v>
      </c>
      <c r="T153" s="38">
        <f t="shared" si="71"/>
        <v>0</v>
      </c>
      <c r="U153" s="38">
        <f t="shared" si="71"/>
        <v>0</v>
      </c>
      <c r="V153" s="38">
        <f t="shared" si="71"/>
        <v>0</v>
      </c>
      <c r="W153" s="38">
        <f t="shared" si="71"/>
        <v>0</v>
      </c>
      <c r="X153" s="38">
        <f t="shared" si="71"/>
        <v>0</v>
      </c>
      <c r="Y153" s="38">
        <f t="shared" si="71"/>
        <v>0</v>
      </c>
      <c r="Z153" s="38">
        <f t="shared" si="71"/>
        <v>0</v>
      </c>
      <c r="AA153" s="38">
        <f t="shared" si="71"/>
        <v>0</v>
      </c>
      <c r="AB153" s="38">
        <f t="shared" si="71"/>
        <v>0</v>
      </c>
      <c r="AC153" s="38">
        <f t="shared" si="71"/>
        <v>0</v>
      </c>
      <c r="AD153" s="38">
        <f t="shared" si="71"/>
        <v>0</v>
      </c>
      <c r="AE153" s="38">
        <f t="shared" si="71"/>
        <v>0</v>
      </c>
      <c r="AF153" s="38">
        <f t="shared" si="71"/>
        <v>0</v>
      </c>
      <c r="AG153" s="38">
        <f t="shared" si="71"/>
        <v>0</v>
      </c>
      <c r="AH153" s="38">
        <f t="shared" si="71"/>
        <v>0</v>
      </c>
      <c r="AI153" s="38">
        <f t="shared" si="71"/>
        <v>0</v>
      </c>
      <c r="AJ153" s="38">
        <f t="shared" si="71"/>
        <v>0</v>
      </c>
      <c r="AK153" s="38">
        <f t="shared" si="71"/>
        <v>0</v>
      </c>
      <c r="AL153" s="38">
        <f t="shared" si="71"/>
        <v>0</v>
      </c>
      <c r="AM153" s="38">
        <f t="shared" si="71"/>
        <v>0</v>
      </c>
      <c r="AN153" s="38">
        <f t="shared" si="71"/>
        <v>0</v>
      </c>
      <c r="AO153" s="38">
        <f t="shared" si="71"/>
        <v>0</v>
      </c>
      <c r="AP153" s="38">
        <f t="shared" si="71"/>
        <v>0</v>
      </c>
    </row>
    <row r="154" spans="1:42" x14ac:dyDescent="0.2">
      <c r="A154" s="304" t="str">
        <f>Inputs!B121</f>
        <v>Utility ($/kWh)</v>
      </c>
      <c r="C154" s="38">
        <f t="shared" ref="C154:AP154" si="72">IF(AND(PBIUtilityStateTax="Yes",PBIUtilityDebtSwitch="No"),C516,0)</f>
        <v>0</v>
      </c>
      <c r="D154" s="38">
        <f t="shared" si="72"/>
        <v>0</v>
      </c>
      <c r="E154" s="38">
        <f t="shared" si="72"/>
        <v>0</v>
      </c>
      <c r="F154" s="38">
        <f t="shared" si="72"/>
        <v>0</v>
      </c>
      <c r="G154" s="38">
        <f t="shared" si="72"/>
        <v>0</v>
      </c>
      <c r="H154" s="38">
        <f t="shared" si="72"/>
        <v>0</v>
      </c>
      <c r="I154" s="38">
        <f t="shared" si="72"/>
        <v>0</v>
      </c>
      <c r="J154" s="38">
        <f t="shared" si="72"/>
        <v>0</v>
      </c>
      <c r="K154" s="38">
        <f t="shared" si="72"/>
        <v>0</v>
      </c>
      <c r="L154" s="38">
        <f t="shared" si="72"/>
        <v>0</v>
      </c>
      <c r="M154" s="38">
        <f t="shared" si="72"/>
        <v>0</v>
      </c>
      <c r="N154" s="38">
        <f t="shared" si="72"/>
        <v>0</v>
      </c>
      <c r="O154" s="38">
        <f t="shared" si="72"/>
        <v>0</v>
      </c>
      <c r="P154" s="38">
        <f t="shared" si="72"/>
        <v>0</v>
      </c>
      <c r="Q154" s="38">
        <f t="shared" si="72"/>
        <v>0</v>
      </c>
      <c r="R154" s="38">
        <f t="shared" si="72"/>
        <v>0</v>
      </c>
      <c r="S154" s="38">
        <f t="shared" si="72"/>
        <v>0</v>
      </c>
      <c r="T154" s="38">
        <f t="shared" si="72"/>
        <v>0</v>
      </c>
      <c r="U154" s="38">
        <f t="shared" si="72"/>
        <v>0</v>
      </c>
      <c r="V154" s="38">
        <f t="shared" si="72"/>
        <v>0</v>
      </c>
      <c r="W154" s="38">
        <f t="shared" si="72"/>
        <v>0</v>
      </c>
      <c r="X154" s="38">
        <f t="shared" si="72"/>
        <v>0</v>
      </c>
      <c r="Y154" s="38">
        <f t="shared" si="72"/>
        <v>0</v>
      </c>
      <c r="Z154" s="38">
        <f t="shared" si="72"/>
        <v>0</v>
      </c>
      <c r="AA154" s="38">
        <f t="shared" si="72"/>
        <v>0</v>
      </c>
      <c r="AB154" s="38">
        <f t="shared" si="72"/>
        <v>0</v>
      </c>
      <c r="AC154" s="38">
        <f t="shared" si="72"/>
        <v>0</v>
      </c>
      <c r="AD154" s="38">
        <f t="shared" si="72"/>
        <v>0</v>
      </c>
      <c r="AE154" s="38">
        <f t="shared" si="72"/>
        <v>0</v>
      </c>
      <c r="AF154" s="38">
        <f t="shared" si="72"/>
        <v>0</v>
      </c>
      <c r="AG154" s="38">
        <f t="shared" si="72"/>
        <v>0</v>
      </c>
      <c r="AH154" s="38">
        <f t="shared" si="72"/>
        <v>0</v>
      </c>
      <c r="AI154" s="38">
        <f t="shared" si="72"/>
        <v>0</v>
      </c>
      <c r="AJ154" s="38">
        <f t="shared" si="72"/>
        <v>0</v>
      </c>
      <c r="AK154" s="38">
        <f t="shared" si="72"/>
        <v>0</v>
      </c>
      <c r="AL154" s="38">
        <f t="shared" si="72"/>
        <v>0</v>
      </c>
      <c r="AM154" s="38">
        <f t="shared" si="72"/>
        <v>0</v>
      </c>
      <c r="AN154" s="38">
        <f t="shared" si="72"/>
        <v>0</v>
      </c>
      <c r="AO154" s="38">
        <f t="shared" si="72"/>
        <v>0</v>
      </c>
      <c r="AP154" s="38">
        <f t="shared" si="72"/>
        <v>0</v>
      </c>
    </row>
    <row r="155" spans="1:42" x14ac:dyDescent="0.2">
      <c r="A155" s="304" t="str">
        <f>Inputs!B122</f>
        <v>Other ($/kWh)</v>
      </c>
      <c r="C155" s="64">
        <f t="shared" ref="C155:AP155" si="73">IF(AND(PBIOtherStateTax="Yes",PBIOtherDebtSwitch="No"),C520,0)</f>
        <v>0</v>
      </c>
      <c r="D155" s="64">
        <f t="shared" si="73"/>
        <v>0</v>
      </c>
      <c r="E155" s="64">
        <f t="shared" si="73"/>
        <v>0</v>
      </c>
      <c r="F155" s="64">
        <f t="shared" si="73"/>
        <v>0</v>
      </c>
      <c r="G155" s="64">
        <f t="shared" si="73"/>
        <v>0</v>
      </c>
      <c r="H155" s="64">
        <f t="shared" si="73"/>
        <v>0</v>
      </c>
      <c r="I155" s="64">
        <f t="shared" si="73"/>
        <v>0</v>
      </c>
      <c r="J155" s="64">
        <f t="shared" si="73"/>
        <v>0</v>
      </c>
      <c r="K155" s="64">
        <f t="shared" si="73"/>
        <v>0</v>
      </c>
      <c r="L155" s="64">
        <f t="shared" si="73"/>
        <v>0</v>
      </c>
      <c r="M155" s="64">
        <f t="shared" si="73"/>
        <v>0</v>
      </c>
      <c r="N155" s="64">
        <f t="shared" si="73"/>
        <v>0</v>
      </c>
      <c r="O155" s="64">
        <f t="shared" si="73"/>
        <v>0</v>
      </c>
      <c r="P155" s="64">
        <f t="shared" si="73"/>
        <v>0</v>
      </c>
      <c r="Q155" s="64">
        <f t="shared" si="73"/>
        <v>0</v>
      </c>
      <c r="R155" s="64">
        <f t="shared" si="73"/>
        <v>0</v>
      </c>
      <c r="S155" s="64">
        <f t="shared" si="73"/>
        <v>0</v>
      </c>
      <c r="T155" s="64">
        <f t="shared" si="73"/>
        <v>0</v>
      </c>
      <c r="U155" s="64">
        <f t="shared" si="73"/>
        <v>0</v>
      </c>
      <c r="V155" s="64">
        <f t="shared" si="73"/>
        <v>0</v>
      </c>
      <c r="W155" s="64">
        <f t="shared" si="73"/>
        <v>0</v>
      </c>
      <c r="X155" s="64">
        <f t="shared" si="73"/>
        <v>0</v>
      </c>
      <c r="Y155" s="64">
        <f t="shared" si="73"/>
        <v>0</v>
      </c>
      <c r="Z155" s="64">
        <f t="shared" si="73"/>
        <v>0</v>
      </c>
      <c r="AA155" s="64">
        <f t="shared" si="73"/>
        <v>0</v>
      </c>
      <c r="AB155" s="64">
        <f t="shared" si="73"/>
        <v>0</v>
      </c>
      <c r="AC155" s="64">
        <f t="shared" si="73"/>
        <v>0</v>
      </c>
      <c r="AD155" s="64">
        <f t="shared" si="73"/>
        <v>0</v>
      </c>
      <c r="AE155" s="64">
        <f t="shared" si="73"/>
        <v>0</v>
      </c>
      <c r="AF155" s="64">
        <f t="shared" si="73"/>
        <v>0</v>
      </c>
      <c r="AG155" s="64">
        <f t="shared" si="73"/>
        <v>0</v>
      </c>
      <c r="AH155" s="64">
        <f t="shared" si="73"/>
        <v>0</v>
      </c>
      <c r="AI155" s="64">
        <f t="shared" si="73"/>
        <v>0</v>
      </c>
      <c r="AJ155" s="64">
        <f t="shared" si="73"/>
        <v>0</v>
      </c>
      <c r="AK155" s="64">
        <f t="shared" si="73"/>
        <v>0</v>
      </c>
      <c r="AL155" s="64">
        <f t="shared" si="73"/>
        <v>0</v>
      </c>
      <c r="AM155" s="64">
        <f t="shared" si="73"/>
        <v>0</v>
      </c>
      <c r="AN155" s="64">
        <f t="shared" si="73"/>
        <v>0</v>
      </c>
      <c r="AO155" s="64">
        <f t="shared" si="73"/>
        <v>0</v>
      </c>
      <c r="AP155" s="64">
        <f t="shared" si="73"/>
        <v>0</v>
      </c>
    </row>
    <row r="156" spans="1:42" x14ac:dyDescent="0.2">
      <c r="A156" s="304" t="s">
        <v>23</v>
      </c>
      <c r="C156" s="56">
        <f>SUM(C152:C155)</f>
        <v>0</v>
      </c>
      <c r="D156" s="56">
        <f t="shared" ref="D156:AL156" si="74">SUM(D152:D155)</f>
        <v>0</v>
      </c>
      <c r="E156" s="56">
        <f t="shared" si="74"/>
        <v>0</v>
      </c>
      <c r="F156" s="56">
        <f t="shared" si="74"/>
        <v>0</v>
      </c>
      <c r="G156" s="56">
        <f t="shared" si="74"/>
        <v>0</v>
      </c>
      <c r="H156" s="56">
        <f t="shared" si="74"/>
        <v>0</v>
      </c>
      <c r="I156" s="56">
        <f t="shared" si="74"/>
        <v>0</v>
      </c>
      <c r="J156" s="56">
        <f t="shared" si="74"/>
        <v>0</v>
      </c>
      <c r="K156" s="56">
        <f t="shared" si="74"/>
        <v>0</v>
      </c>
      <c r="L156" s="56">
        <f t="shared" si="74"/>
        <v>0</v>
      </c>
      <c r="M156" s="56">
        <f t="shared" si="74"/>
        <v>0</v>
      </c>
      <c r="N156" s="56">
        <f t="shared" si="74"/>
        <v>0</v>
      </c>
      <c r="O156" s="56">
        <f t="shared" si="74"/>
        <v>0</v>
      </c>
      <c r="P156" s="56">
        <f t="shared" si="74"/>
        <v>0</v>
      </c>
      <c r="Q156" s="56">
        <f t="shared" si="74"/>
        <v>0</v>
      </c>
      <c r="R156" s="56">
        <f t="shared" si="74"/>
        <v>0</v>
      </c>
      <c r="S156" s="56">
        <f t="shared" si="74"/>
        <v>0</v>
      </c>
      <c r="T156" s="56">
        <f t="shared" si="74"/>
        <v>0</v>
      </c>
      <c r="U156" s="56">
        <f t="shared" si="74"/>
        <v>0</v>
      </c>
      <c r="V156" s="56">
        <f t="shared" si="74"/>
        <v>0</v>
      </c>
      <c r="W156" s="56">
        <f t="shared" si="74"/>
        <v>0</v>
      </c>
      <c r="X156" s="56">
        <f t="shared" si="74"/>
        <v>0</v>
      </c>
      <c r="Y156" s="56">
        <f t="shared" si="74"/>
        <v>0</v>
      </c>
      <c r="Z156" s="56">
        <f t="shared" si="74"/>
        <v>0</v>
      </c>
      <c r="AA156" s="56">
        <f t="shared" si="74"/>
        <v>0</v>
      </c>
      <c r="AB156" s="56">
        <f t="shared" si="74"/>
        <v>0</v>
      </c>
      <c r="AC156" s="56">
        <f t="shared" si="74"/>
        <v>0</v>
      </c>
      <c r="AD156" s="56">
        <f t="shared" si="74"/>
        <v>0</v>
      </c>
      <c r="AE156" s="56">
        <f t="shared" si="74"/>
        <v>0</v>
      </c>
      <c r="AF156" s="56">
        <f t="shared" si="74"/>
        <v>0</v>
      </c>
      <c r="AG156" s="56">
        <f t="shared" si="74"/>
        <v>0</v>
      </c>
      <c r="AH156" s="56">
        <f t="shared" si="74"/>
        <v>0</v>
      </c>
      <c r="AI156" s="56">
        <f t="shared" si="74"/>
        <v>0</v>
      </c>
      <c r="AJ156" s="56">
        <f t="shared" si="74"/>
        <v>0</v>
      </c>
      <c r="AK156" s="56">
        <f t="shared" si="74"/>
        <v>0</v>
      </c>
      <c r="AL156" s="56">
        <f t="shared" si="74"/>
        <v>0</v>
      </c>
      <c r="AM156" s="56">
        <f>SUM(AM152:AM155)</f>
        <v>0</v>
      </c>
      <c r="AN156" s="56">
        <f t="shared" ref="AN156:AP156" si="75">SUM(AN152:AN155)</f>
        <v>0</v>
      </c>
      <c r="AO156" s="56">
        <f t="shared" si="75"/>
        <v>0</v>
      </c>
      <c r="AP156" s="56">
        <f t="shared" si="75"/>
        <v>0</v>
      </c>
    </row>
    <row r="157" spans="1:42" x14ac:dyDescent="0.2">
      <c r="A157" s="301" t="s">
        <v>68</v>
      </c>
      <c r="C157" s="52">
        <f>C138+C144+C150+C156</f>
        <v>0</v>
      </c>
      <c r="D157" s="52">
        <f t="shared" ref="D157:AP157" si="76">D138+D144+D150+D156</f>
        <v>0</v>
      </c>
      <c r="E157" s="52">
        <f t="shared" si="76"/>
        <v>0</v>
      </c>
      <c r="F157" s="52">
        <f t="shared" si="76"/>
        <v>0</v>
      </c>
      <c r="G157" s="52">
        <f t="shared" si="76"/>
        <v>0</v>
      </c>
      <c r="H157" s="52">
        <f t="shared" si="76"/>
        <v>0</v>
      </c>
      <c r="I157" s="52">
        <f t="shared" si="76"/>
        <v>0</v>
      </c>
      <c r="J157" s="52">
        <f t="shared" si="76"/>
        <v>0</v>
      </c>
      <c r="K157" s="52">
        <f t="shared" si="76"/>
        <v>0</v>
      </c>
      <c r="L157" s="52">
        <f t="shared" si="76"/>
        <v>0</v>
      </c>
      <c r="M157" s="52">
        <f t="shared" si="76"/>
        <v>0</v>
      </c>
      <c r="N157" s="52">
        <f t="shared" si="76"/>
        <v>0</v>
      </c>
      <c r="O157" s="52">
        <f t="shared" si="76"/>
        <v>0</v>
      </c>
      <c r="P157" s="52">
        <f t="shared" si="76"/>
        <v>0</v>
      </c>
      <c r="Q157" s="52">
        <f t="shared" si="76"/>
        <v>0</v>
      </c>
      <c r="R157" s="52">
        <f t="shared" si="76"/>
        <v>0</v>
      </c>
      <c r="S157" s="52">
        <f t="shared" si="76"/>
        <v>0</v>
      </c>
      <c r="T157" s="52">
        <f t="shared" si="76"/>
        <v>0</v>
      </c>
      <c r="U157" s="52">
        <f t="shared" si="76"/>
        <v>0</v>
      </c>
      <c r="V157" s="52">
        <f t="shared" si="76"/>
        <v>0</v>
      </c>
      <c r="W157" s="52">
        <f t="shared" si="76"/>
        <v>0</v>
      </c>
      <c r="X157" s="52">
        <f t="shared" si="76"/>
        <v>0</v>
      </c>
      <c r="Y157" s="52">
        <f t="shared" si="76"/>
        <v>0</v>
      </c>
      <c r="Z157" s="52">
        <f t="shared" si="76"/>
        <v>0</v>
      </c>
      <c r="AA157" s="52">
        <f t="shared" si="76"/>
        <v>0</v>
      </c>
      <c r="AB157" s="52">
        <f t="shared" si="76"/>
        <v>0</v>
      </c>
      <c r="AC157" s="52">
        <f t="shared" si="76"/>
        <v>0</v>
      </c>
      <c r="AD157" s="52">
        <f t="shared" si="76"/>
        <v>0</v>
      </c>
      <c r="AE157" s="52">
        <f t="shared" si="76"/>
        <v>0</v>
      </c>
      <c r="AF157" s="52">
        <f t="shared" si="76"/>
        <v>0</v>
      </c>
      <c r="AG157" s="52">
        <f t="shared" si="76"/>
        <v>0</v>
      </c>
      <c r="AH157" s="52">
        <f t="shared" si="76"/>
        <v>0</v>
      </c>
      <c r="AI157" s="52">
        <f t="shared" si="76"/>
        <v>0</v>
      </c>
      <c r="AJ157" s="52">
        <f t="shared" si="76"/>
        <v>0</v>
      </c>
      <c r="AK157" s="52">
        <f t="shared" si="76"/>
        <v>0</v>
      </c>
      <c r="AL157" s="52">
        <f t="shared" si="76"/>
        <v>0</v>
      </c>
      <c r="AM157" s="52">
        <f t="shared" si="76"/>
        <v>0</v>
      </c>
      <c r="AN157" s="52">
        <f t="shared" si="76"/>
        <v>0</v>
      </c>
      <c r="AO157" s="52">
        <f t="shared" si="76"/>
        <v>0</v>
      </c>
      <c r="AP157" s="52">
        <f t="shared" si="76"/>
        <v>0</v>
      </c>
    </row>
    <row r="158" spans="1:42" x14ac:dyDescent="0.2">
      <c r="A158" s="304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52"/>
    </row>
    <row r="159" spans="1:42" x14ac:dyDescent="0.2">
      <c r="A159" s="301" t="s">
        <v>69</v>
      </c>
      <c r="C159" s="52">
        <f>C131+C157</f>
        <v>-2985913.9470113157</v>
      </c>
      <c r="D159" s="52">
        <f t="shared" ref="D159:AP159" si="77">D131+D157</f>
        <v>-6569177.9757095892</v>
      </c>
      <c r="E159" s="52">
        <f t="shared" si="77"/>
        <v>-2497422.3541405732</v>
      </c>
      <c r="F159" s="52">
        <f t="shared" si="77"/>
        <v>26526.93728981493</v>
      </c>
      <c r="G159" s="52">
        <f t="shared" si="77"/>
        <v>224141.04762328509</v>
      </c>
      <c r="H159" s="52">
        <f t="shared" si="77"/>
        <v>2190197.1644053664</v>
      </c>
      <c r="I159" s="52">
        <f t="shared" si="77"/>
        <v>4169848.410242972</v>
      </c>
      <c r="J159" s="52">
        <f t="shared" si="77"/>
        <v>4410414.6285059899</v>
      </c>
      <c r="K159" s="52">
        <f t="shared" si="77"/>
        <v>4669320.7056153603</v>
      </c>
      <c r="L159" s="52">
        <f t="shared" si="77"/>
        <v>4948735.1651988039</v>
      </c>
      <c r="M159" s="52">
        <f t="shared" si="77"/>
        <v>5249786.2652482763</v>
      </c>
      <c r="N159" s="52">
        <f t="shared" si="77"/>
        <v>4918938.3475093553</v>
      </c>
      <c r="O159" s="52">
        <f t="shared" si="77"/>
        <v>4818070.9279105896</v>
      </c>
      <c r="P159" s="52">
        <f t="shared" si="77"/>
        <v>5574127.2122603506</v>
      </c>
      <c r="Q159" s="52">
        <f t="shared" si="77"/>
        <v>5854417.6756824432</v>
      </c>
      <c r="R159" s="52">
        <f t="shared" si="77"/>
        <v>5931459.8597361501</v>
      </c>
      <c r="S159" s="52">
        <f t="shared" si="77"/>
        <v>6196527.8488615444</v>
      </c>
      <c r="T159" s="52">
        <f t="shared" si="77"/>
        <v>6411709.2255978547</v>
      </c>
      <c r="U159" s="52">
        <f t="shared" si="77"/>
        <v>6437187.5967153441</v>
      </c>
      <c r="V159" s="52">
        <f t="shared" si="77"/>
        <v>6461900.4420245951</v>
      </c>
      <c r="W159" s="52">
        <f t="shared" si="77"/>
        <v>6509924.7027098089</v>
      </c>
      <c r="X159" s="52">
        <f t="shared" si="77"/>
        <v>6557173.5282882946</v>
      </c>
      <c r="Y159" s="52">
        <f t="shared" si="77"/>
        <v>6579558.7955613472</v>
      </c>
      <c r="Z159" s="52">
        <f t="shared" si="77"/>
        <v>5718848.2839716356</v>
      </c>
      <c r="AA159" s="52">
        <f t="shared" si="77"/>
        <v>5133058.3797562765</v>
      </c>
      <c r="AB159" s="52">
        <f t="shared" si="77"/>
        <v>5719937.230920352</v>
      </c>
      <c r="AC159" s="52">
        <f t="shared" si="77"/>
        <v>6080123.663390425</v>
      </c>
      <c r="AD159" s="52">
        <f t="shared" si="77"/>
        <v>6100669.5435619038</v>
      </c>
      <c r="AE159" s="52">
        <f t="shared" si="77"/>
        <v>6374469.7976486161</v>
      </c>
      <c r="AF159" s="52">
        <f t="shared" si="77"/>
        <v>6647405.0137621164</v>
      </c>
      <c r="AG159" s="52">
        <f t="shared" si="77"/>
        <v>6665354.5702855177</v>
      </c>
      <c r="AH159" s="52">
        <f t="shared" si="77"/>
        <v>6682404.5113117117</v>
      </c>
      <c r="AI159" s="52">
        <f t="shared" si="77"/>
        <v>6698535.7288121982</v>
      </c>
      <c r="AJ159" s="52">
        <f t="shared" si="77"/>
        <v>6713727.8961146548</v>
      </c>
      <c r="AK159" s="52">
        <f t="shared" si="77"/>
        <v>6727959.4613045314</v>
      </c>
      <c r="AL159" s="52">
        <f t="shared" si="77"/>
        <v>5554605.0458261967</v>
      </c>
      <c r="AM159" s="52">
        <f t="shared" si="77"/>
        <v>4751056.5237946482</v>
      </c>
      <c r="AN159" s="52">
        <f t="shared" si="77"/>
        <v>5513037.9317689603</v>
      </c>
      <c r="AO159" s="52">
        <f t="shared" si="77"/>
        <v>5970189.8203605898</v>
      </c>
      <c r="AP159" s="52">
        <f t="shared" si="77"/>
        <v>9826069.1912849434</v>
      </c>
    </row>
    <row r="160" spans="1:42" x14ac:dyDescent="0.2">
      <c r="A160" s="59" t="s">
        <v>67</v>
      </c>
      <c r="C160" s="56">
        <f t="shared" ref="C160:AP160" si="78">C159*-StateTax</f>
        <v>164225.26708562236</v>
      </c>
      <c r="D160" s="56">
        <f t="shared" si="78"/>
        <v>361304.78866402741</v>
      </c>
      <c r="E160" s="56">
        <f t="shared" si="78"/>
        <v>137358.22947773154</v>
      </c>
      <c r="F160" s="56">
        <f t="shared" si="78"/>
        <v>-1458.9815509398211</v>
      </c>
      <c r="G160" s="56">
        <f t="shared" si="78"/>
        <v>-12327.757619280681</v>
      </c>
      <c r="H160" s="56">
        <f t="shared" si="78"/>
        <v>-120460.84404229515</v>
      </c>
      <c r="I160" s="56">
        <f t="shared" si="78"/>
        <v>-229341.66256336347</v>
      </c>
      <c r="J160" s="56">
        <f t="shared" si="78"/>
        <v>-242572.80456782944</v>
      </c>
      <c r="K160" s="56">
        <f t="shared" si="78"/>
        <v>-256812.63880884481</v>
      </c>
      <c r="L160" s="56">
        <f t="shared" si="78"/>
        <v>-272180.43408593419</v>
      </c>
      <c r="M160" s="56">
        <f t="shared" si="78"/>
        <v>-288738.24458865519</v>
      </c>
      <c r="N160" s="56">
        <f t="shared" si="78"/>
        <v>-270541.60911301454</v>
      </c>
      <c r="O160" s="56">
        <f t="shared" si="78"/>
        <v>-264993.90103508241</v>
      </c>
      <c r="P160" s="56">
        <f t="shared" si="78"/>
        <v>-306576.99667431926</v>
      </c>
      <c r="Q160" s="56">
        <f t="shared" si="78"/>
        <v>-321992.97216253437</v>
      </c>
      <c r="R160" s="56">
        <f t="shared" si="78"/>
        <v>-326230.29228548828</v>
      </c>
      <c r="S160" s="56">
        <f t="shared" si="78"/>
        <v>-340809.03168738494</v>
      </c>
      <c r="T160" s="56">
        <f t="shared" si="78"/>
        <v>-352644.00740788202</v>
      </c>
      <c r="U160" s="56">
        <f t="shared" si="78"/>
        <v>-354045.31781934394</v>
      </c>
      <c r="V160" s="56">
        <f t="shared" si="78"/>
        <v>-355404.52431135275</v>
      </c>
      <c r="W160" s="56">
        <f t="shared" si="78"/>
        <v>-358045.85864903947</v>
      </c>
      <c r="X160" s="56">
        <f t="shared" si="78"/>
        <v>-360644.54405585618</v>
      </c>
      <c r="Y160" s="56">
        <f t="shared" si="78"/>
        <v>-361875.7337558741</v>
      </c>
      <c r="Z160" s="56">
        <f t="shared" si="78"/>
        <v>-314536.65561843995</v>
      </c>
      <c r="AA160" s="56">
        <f t="shared" si="78"/>
        <v>-282318.21088659519</v>
      </c>
      <c r="AB160" s="56">
        <f t="shared" si="78"/>
        <v>-314596.54770061938</v>
      </c>
      <c r="AC160" s="56">
        <f t="shared" si="78"/>
        <v>-334406.80148647336</v>
      </c>
      <c r="AD160" s="56">
        <f t="shared" si="78"/>
        <v>-335536.82489590469</v>
      </c>
      <c r="AE160" s="56">
        <f t="shared" si="78"/>
        <v>-350595.83887067391</v>
      </c>
      <c r="AF160" s="56">
        <f t="shared" si="78"/>
        <v>-365607.27575691638</v>
      </c>
      <c r="AG160" s="56">
        <f t="shared" si="78"/>
        <v>-366594.50136570347</v>
      </c>
      <c r="AH160" s="56">
        <f t="shared" si="78"/>
        <v>-367532.24812214414</v>
      </c>
      <c r="AI160" s="56">
        <f t="shared" si="78"/>
        <v>-368419.46508467093</v>
      </c>
      <c r="AJ160" s="56">
        <f t="shared" si="78"/>
        <v>-369255.03428630601</v>
      </c>
      <c r="AK160" s="56">
        <f t="shared" si="78"/>
        <v>-370037.77037174924</v>
      </c>
      <c r="AL160" s="56">
        <f t="shared" si="78"/>
        <v>-305503.27752044081</v>
      </c>
      <c r="AM160" s="56">
        <f t="shared" si="78"/>
        <v>-261308.10880870564</v>
      </c>
      <c r="AN160" s="56">
        <f t="shared" si="78"/>
        <v>-303217.08624729281</v>
      </c>
      <c r="AO160" s="56">
        <f t="shared" si="78"/>
        <v>-328360.44011983246</v>
      </c>
      <c r="AP160" s="56">
        <f t="shared" si="78"/>
        <v>-540433.80552067189</v>
      </c>
    </row>
    <row r="161" spans="1:42" s="35" customFormat="1" x14ac:dyDescent="0.2">
      <c r="A161" s="22"/>
    </row>
    <row r="162" spans="1:42" s="35" customFormat="1" x14ac:dyDescent="0.2">
      <c r="A162" s="57" t="s">
        <v>60</v>
      </c>
    </row>
    <row r="163" spans="1:42" s="35" customFormat="1" x14ac:dyDescent="0.2">
      <c r="A163" s="301" t="s">
        <v>57</v>
      </c>
      <c r="C163" s="60">
        <f>C$38</f>
        <v>5982032.3718749993</v>
      </c>
      <c r="D163" s="60">
        <f t="shared" ref="D163:AP163" si="79">D$38</f>
        <v>6014814.9039740004</v>
      </c>
      <c r="E163" s="60">
        <f t="shared" si="79"/>
        <v>6046667.8018346932</v>
      </c>
      <c r="F163" s="60">
        <f t="shared" si="79"/>
        <v>6077614.3251993665</v>
      </c>
      <c r="G163" s="60">
        <f t="shared" si="79"/>
        <v>6107675.6687284168</v>
      </c>
      <c r="H163" s="60">
        <f t="shared" si="79"/>
        <v>6136871.0370753501</v>
      </c>
      <c r="I163" s="60">
        <f t="shared" si="79"/>
        <v>6165217.7153407605</v>
      </c>
      <c r="J163" s="60">
        <f t="shared" si="79"/>
        <v>6192731.1351093547</v>
      </c>
      <c r="K163" s="60">
        <f t="shared" si="79"/>
        <v>6219424.9362631496</v>
      </c>
      <c r="L163" s="60">
        <f t="shared" si="79"/>
        <v>6245311.024753198</v>
      </c>
      <c r="M163" s="60">
        <f t="shared" si="79"/>
        <v>6270399.6265025157</v>
      </c>
      <c r="N163" s="60">
        <f t="shared" si="79"/>
        <v>6294699.3376029693</v>
      </c>
      <c r="O163" s="60">
        <f t="shared" si="79"/>
        <v>6318217.1709600678</v>
      </c>
      <c r="P163" s="60">
        <f t="shared" si="79"/>
        <v>6340958.5995307146</v>
      </c>
      <c r="Q163" s="60">
        <f t="shared" si="79"/>
        <v>6362927.596290837</v>
      </c>
      <c r="R163" s="60">
        <f t="shared" si="79"/>
        <v>6384126.6710618278</v>
      </c>
      <c r="S163" s="60">
        <f t="shared" si="79"/>
        <v>6404556.90431723</v>
      </c>
      <c r="T163" s="60">
        <f t="shared" si="79"/>
        <v>6424217.9780838899</v>
      </c>
      <c r="U163" s="60">
        <f t="shared" si="79"/>
        <v>6443108.2040449465</v>
      </c>
      <c r="V163" s="60">
        <f t="shared" si="79"/>
        <v>6461224.5489454605</v>
      </c>
      <c r="W163" s="60">
        <f t="shared" si="79"/>
        <v>6478562.6573951915</v>
      </c>
      <c r="X163" s="60">
        <f t="shared" si="79"/>
        <v>6495116.8721570428</v>
      </c>
      <c r="Y163" s="60">
        <f t="shared" si="79"/>
        <v>6510880.252003991</v>
      </c>
      <c r="Z163" s="60">
        <f t="shared" si="79"/>
        <v>6525844.5872217314</v>
      </c>
      <c r="AA163" s="60">
        <f t="shared" si="79"/>
        <v>6540000.4128291495</v>
      </c>
      <c r="AB163" s="60">
        <f t="shared" si="79"/>
        <v>6553337.0195835028</v>
      </c>
      <c r="AC163" s="60">
        <f t="shared" si="79"/>
        <v>6565842.4628325365</v>
      </c>
      <c r="AD163" s="60">
        <f t="shared" si="79"/>
        <v>6577503.5692709992</v>
      </c>
      <c r="AE163" s="60">
        <f t="shared" si="79"/>
        <v>6588305.9416545853</v>
      </c>
      <c r="AF163" s="60">
        <f t="shared" si="79"/>
        <v>6598233.9615200832</v>
      </c>
      <c r="AG163" s="60">
        <f t="shared" si="79"/>
        <v>6607270.7899563536</v>
      </c>
      <c r="AH163" s="60">
        <f t="shared" si="79"/>
        <v>6615398.3664667439</v>
      </c>
      <c r="AI163" s="60">
        <f t="shared" si="79"/>
        <v>6622597.4059598576</v>
      </c>
      <c r="AJ163" s="60">
        <f t="shared" si="79"/>
        <v>6628847.393901675</v>
      </c>
      <c r="AK163" s="60">
        <f t="shared" si="79"/>
        <v>6634126.5796587002</v>
      </c>
      <c r="AL163" s="60">
        <f t="shared" si="79"/>
        <v>6638411.9680581717</v>
      </c>
      <c r="AM163" s="60">
        <f t="shared" si="79"/>
        <v>6641679.3091881089</v>
      </c>
      <c r="AN163" s="60">
        <f t="shared" si="79"/>
        <v>6643903.0864567161</v>
      </c>
      <c r="AO163" s="60">
        <f t="shared" si="79"/>
        <v>6645056.5029275231</v>
      </c>
      <c r="AP163" s="60">
        <f t="shared" si="79"/>
        <v>10498111.565943556</v>
      </c>
    </row>
    <row r="164" spans="1:42" s="35" customFormat="1" x14ac:dyDescent="0.2">
      <c r="A164" s="301" t="s">
        <v>66</v>
      </c>
      <c r="C164" s="60">
        <f t="shared" ref="C164:AP164" si="80">C676</f>
        <v>44091.562982974756</v>
      </c>
      <c r="D164" s="60">
        <f t="shared" si="80"/>
        <v>49095.040974000542</v>
      </c>
      <c r="E164" s="60">
        <f t="shared" si="80"/>
        <v>54102.084130181123</v>
      </c>
      <c r="F164" s="60">
        <f t="shared" si="80"/>
        <v>59112.646894910125</v>
      </c>
      <c r="G164" s="60">
        <f t="shared" si="80"/>
        <v>64126.688431939969</v>
      </c>
      <c r="H164" s="60">
        <f t="shared" si="80"/>
        <v>69144.172455249514</v>
      </c>
      <c r="I164" s="60">
        <f t="shared" si="80"/>
        <v>74165.06706939546</v>
      </c>
      <c r="J164" s="60">
        <f t="shared" si="80"/>
        <v>79189.344619884287</v>
      </c>
      <c r="K164" s="60">
        <f t="shared" si="80"/>
        <v>84216.981553127553</v>
      </c>
      <c r="L164" s="60">
        <f t="shared" si="80"/>
        <v>89247.958285565284</v>
      </c>
      <c r="M164" s="60">
        <f t="shared" si="80"/>
        <v>94282.25908156771</v>
      </c>
      <c r="N164" s="60">
        <f t="shared" si="80"/>
        <v>99319.87193974432</v>
      </c>
      <c r="O164" s="60">
        <f t="shared" si="80"/>
        <v>46345.950107228346</v>
      </c>
      <c r="P164" s="60">
        <f t="shared" si="80"/>
        <v>14323.955992192006</v>
      </c>
      <c r="Q164" s="60">
        <f t="shared" si="80"/>
        <v>20878.904360319404</v>
      </c>
      <c r="R164" s="60">
        <f t="shared" si="80"/>
        <v>27442.142364035004</v>
      </c>
      <c r="S164" s="60">
        <f t="shared" si="80"/>
        <v>34013.668235645324</v>
      </c>
      <c r="T164" s="60">
        <f t="shared" si="80"/>
        <v>40593.49248191341</v>
      </c>
      <c r="U164" s="60">
        <f t="shared" si="80"/>
        <v>47181.63763834595</v>
      </c>
      <c r="V164" s="60">
        <f t="shared" si="80"/>
        <v>53778.138047083419</v>
      </c>
      <c r="W164" s="60">
        <f t="shared" si="80"/>
        <v>60383.039657565896</v>
      </c>
      <c r="X164" s="60">
        <f t="shared" si="80"/>
        <v>66996.39984920033</v>
      </c>
      <c r="Y164" s="60">
        <f t="shared" si="80"/>
        <v>73618.287275304581</v>
      </c>
      <c r="Z164" s="60">
        <f t="shared" si="80"/>
        <v>80248.781727652109</v>
      </c>
      <c r="AA164" s="60">
        <f t="shared" si="80"/>
        <v>9686.2566607546523</v>
      </c>
      <c r="AB164" s="60">
        <f t="shared" si="80"/>
        <v>18553.0826642053</v>
      </c>
      <c r="AC164" s="60">
        <f t="shared" si="80"/>
        <v>27428.820841482309</v>
      </c>
      <c r="AD164" s="60">
        <f t="shared" si="80"/>
        <v>36313.594574497787</v>
      </c>
      <c r="AE164" s="60">
        <f t="shared" si="80"/>
        <v>45207.537994802187</v>
      </c>
      <c r="AF164" s="60">
        <f t="shared" si="80"/>
        <v>54110.795959981944</v>
      </c>
      <c r="AG164" s="60">
        <f t="shared" si="80"/>
        <v>63023.524047113235</v>
      </c>
      <c r="AH164" s="60">
        <f t="shared" si="80"/>
        <v>71945.888562916574</v>
      </c>
      <c r="AI164" s="60">
        <f t="shared" si="80"/>
        <v>80878.06657028968</v>
      </c>
      <c r="AJ164" s="60">
        <f t="shared" si="80"/>
        <v>89820.245930928882</v>
      </c>
      <c r="AK164" s="60">
        <f t="shared" si="80"/>
        <v>98772.625363780608</v>
      </c>
      <c r="AL164" s="60">
        <f t="shared" si="80"/>
        <v>107735.41451909437</v>
      </c>
      <c r="AM164" s="60">
        <f t="shared" si="80"/>
        <v>12881.107177480082</v>
      </c>
      <c r="AN164" s="60">
        <f t="shared" si="80"/>
        <v>13213.078341987499</v>
      </c>
      <c r="AO164" s="60">
        <f t="shared" si="80"/>
        <v>13556.154738092931</v>
      </c>
      <c r="AP164" s="60">
        <f t="shared" si="80"/>
        <v>13910.59078743924</v>
      </c>
    </row>
    <row r="165" spans="1:42" s="35" customFormat="1" x14ac:dyDescent="0.2">
      <c r="A165" s="301" t="s">
        <v>58</v>
      </c>
      <c r="C165" s="60">
        <f>-C533</f>
        <v>-2832919.8747028136</v>
      </c>
      <c r="D165" s="60">
        <f t="shared" ref="D165:AP165" si="81">-D533</f>
        <v>-2714282.5946371374</v>
      </c>
      <c r="E165" s="60">
        <f t="shared" si="81"/>
        <v>-2583497.060411497</v>
      </c>
      <c r="F165" s="60">
        <f t="shared" si="81"/>
        <v>-2439589.2029484115</v>
      </c>
      <c r="G165" s="60">
        <f t="shared" si="81"/>
        <v>-2281500.6927965214</v>
      </c>
      <c r="H165" s="60">
        <f t="shared" si="81"/>
        <v>-2108081.9080224838</v>
      </c>
      <c r="I165" s="60">
        <f t="shared" si="81"/>
        <v>-1918084.2996467352</v>
      </c>
      <c r="J165" s="60">
        <f t="shared" si="81"/>
        <v>-1710152.1037052998</v>
      </c>
      <c r="K165" s="60">
        <f t="shared" si="81"/>
        <v>-1482813.344678968</v>
      </c>
      <c r="L165" s="60">
        <f t="shared" si="81"/>
        <v>-1234470.0703220109</v>
      </c>
      <c r="M165" s="60">
        <f t="shared" si="81"/>
        <v>-963387.75281385751</v>
      </c>
      <c r="N165" s="60">
        <f t="shared" si="81"/>
        <v>-667683.78561477631</v>
      </c>
      <c r="O165" s="60">
        <f t="shared" si="81"/>
        <v>-345314.99939374469</v>
      </c>
      <c r="P165" s="60">
        <f t="shared" si="81"/>
        <v>0</v>
      </c>
      <c r="Q165" s="60">
        <f t="shared" si="81"/>
        <v>0</v>
      </c>
      <c r="R165" s="60">
        <f t="shared" si="81"/>
        <v>0</v>
      </c>
      <c r="S165" s="60">
        <f t="shared" si="81"/>
        <v>0</v>
      </c>
      <c r="T165" s="60">
        <f t="shared" si="81"/>
        <v>0</v>
      </c>
      <c r="U165" s="60">
        <f t="shared" si="81"/>
        <v>0</v>
      </c>
      <c r="V165" s="60">
        <f t="shared" si="81"/>
        <v>0</v>
      </c>
      <c r="W165" s="60">
        <f t="shared" si="81"/>
        <v>0</v>
      </c>
      <c r="X165" s="60">
        <f t="shared" si="81"/>
        <v>0</v>
      </c>
      <c r="Y165" s="60">
        <f t="shared" si="81"/>
        <v>0</v>
      </c>
      <c r="Z165" s="60">
        <f t="shared" si="81"/>
        <v>0</v>
      </c>
      <c r="AA165" s="60">
        <f t="shared" si="81"/>
        <v>0</v>
      </c>
      <c r="AB165" s="60">
        <f t="shared" si="81"/>
        <v>0</v>
      </c>
      <c r="AC165" s="60">
        <f t="shared" si="81"/>
        <v>0</v>
      </c>
      <c r="AD165" s="60">
        <f t="shared" si="81"/>
        <v>0</v>
      </c>
      <c r="AE165" s="60">
        <f t="shared" si="81"/>
        <v>0</v>
      </c>
      <c r="AF165" s="60">
        <f t="shared" si="81"/>
        <v>0</v>
      </c>
      <c r="AG165" s="60">
        <f t="shared" si="81"/>
        <v>0</v>
      </c>
      <c r="AH165" s="60">
        <f t="shared" si="81"/>
        <v>0</v>
      </c>
      <c r="AI165" s="60">
        <f t="shared" si="81"/>
        <v>0</v>
      </c>
      <c r="AJ165" s="60">
        <f t="shared" si="81"/>
        <v>0</v>
      </c>
      <c r="AK165" s="60">
        <f t="shared" si="81"/>
        <v>0</v>
      </c>
      <c r="AL165" s="60">
        <f t="shared" si="81"/>
        <v>0</v>
      </c>
      <c r="AM165" s="60">
        <f t="shared" si="81"/>
        <v>0</v>
      </c>
      <c r="AN165" s="60">
        <f t="shared" si="81"/>
        <v>0</v>
      </c>
      <c r="AO165" s="60">
        <f t="shared" si="81"/>
        <v>0</v>
      </c>
      <c r="AP165" s="60">
        <f t="shared" si="81"/>
        <v>0</v>
      </c>
    </row>
    <row r="166" spans="1:42" s="22" customFormat="1" x14ac:dyDescent="0.2">
      <c r="A166" s="301" t="s">
        <v>61</v>
      </c>
      <c r="B166" s="35"/>
      <c r="C166" s="38">
        <f t="shared" ref="C166:AP166" si="82">IF(C$2&lt;=AnalysisPeriod,-C386-C417-C443-C469,0)</f>
        <v>-6179118.007166476</v>
      </c>
      <c r="D166" s="38">
        <f t="shared" si="82"/>
        <v>-9918805.3260204531</v>
      </c>
      <c r="E166" s="38">
        <f t="shared" si="82"/>
        <v>-6014695.1796939503</v>
      </c>
      <c r="F166" s="38">
        <f t="shared" si="82"/>
        <v>-3670610.8318560505</v>
      </c>
      <c r="G166" s="38">
        <f t="shared" si="82"/>
        <v>-3666160.6167405504</v>
      </c>
      <c r="H166" s="38">
        <f t="shared" si="82"/>
        <v>-1907736.1371027492</v>
      </c>
      <c r="I166" s="38">
        <f t="shared" si="82"/>
        <v>-151450.07252044871</v>
      </c>
      <c r="J166" s="38">
        <f t="shared" si="82"/>
        <v>-151353.74751794874</v>
      </c>
      <c r="K166" s="38">
        <f t="shared" si="82"/>
        <v>-151507.86752194873</v>
      </c>
      <c r="L166" s="38">
        <f t="shared" si="82"/>
        <v>-151353.74751794874</v>
      </c>
      <c r="M166" s="38">
        <f t="shared" si="82"/>
        <v>-151507.86752194873</v>
      </c>
      <c r="N166" s="38">
        <f t="shared" si="82"/>
        <v>-807397.07641858177</v>
      </c>
      <c r="O166" s="38">
        <f t="shared" si="82"/>
        <v>-1201177.1937629615</v>
      </c>
      <c r="P166" s="38">
        <f t="shared" si="82"/>
        <v>-781155.34326255647</v>
      </c>
      <c r="Q166" s="38">
        <f t="shared" si="82"/>
        <v>-529388.82496871334</v>
      </c>
      <c r="R166" s="38">
        <f t="shared" si="82"/>
        <v>-480108.95368971338</v>
      </c>
      <c r="S166" s="38">
        <f t="shared" si="82"/>
        <v>-242042.72369133105</v>
      </c>
      <c r="T166" s="38">
        <f t="shared" si="82"/>
        <v>-53102.244967948718</v>
      </c>
      <c r="U166" s="38">
        <f t="shared" si="82"/>
        <v>-53102.244967948718</v>
      </c>
      <c r="V166" s="38">
        <f t="shared" si="82"/>
        <v>-53102.244967948718</v>
      </c>
      <c r="W166" s="38">
        <f t="shared" si="82"/>
        <v>-29020.994342948718</v>
      </c>
      <c r="X166" s="38">
        <f t="shared" si="82"/>
        <v>-4939.7437179487179</v>
      </c>
      <c r="Y166" s="38">
        <f t="shared" si="82"/>
        <v>-4939.7437179487179</v>
      </c>
      <c r="Z166" s="38">
        <f t="shared" si="82"/>
        <v>-887245.08497774822</v>
      </c>
      <c r="AA166" s="38">
        <f t="shared" si="82"/>
        <v>-1416628.289733628</v>
      </c>
      <c r="AB166" s="38">
        <f t="shared" si="82"/>
        <v>-851952.8713273562</v>
      </c>
      <c r="AC166" s="38">
        <f t="shared" si="82"/>
        <v>-513147.62028359325</v>
      </c>
      <c r="AD166" s="38">
        <f t="shared" si="82"/>
        <v>-513147.62028359325</v>
      </c>
      <c r="AE166" s="38">
        <f t="shared" si="82"/>
        <v>-259043.68200077099</v>
      </c>
      <c r="AF166" s="38">
        <f t="shared" si="82"/>
        <v>-4939.7437179487179</v>
      </c>
      <c r="AG166" s="38">
        <f t="shared" si="82"/>
        <v>-4939.7437179487179</v>
      </c>
      <c r="AH166" s="38">
        <f t="shared" si="82"/>
        <v>-4939.7437179487179</v>
      </c>
      <c r="AI166" s="38">
        <f t="shared" si="82"/>
        <v>-4939.7437179487179</v>
      </c>
      <c r="AJ166" s="38">
        <f t="shared" si="82"/>
        <v>-4939.7437179487179</v>
      </c>
      <c r="AK166" s="38">
        <f t="shared" si="82"/>
        <v>-4939.7437179487179</v>
      </c>
      <c r="AL166" s="38">
        <f t="shared" si="82"/>
        <v>-1191542.3367510687</v>
      </c>
      <c r="AM166" s="38">
        <f t="shared" si="82"/>
        <v>-1903503.8925709408</v>
      </c>
      <c r="AN166" s="38">
        <f t="shared" si="82"/>
        <v>-1144078.2330297439</v>
      </c>
      <c r="AO166" s="38">
        <f t="shared" si="82"/>
        <v>-688422.83730502578</v>
      </c>
      <c r="AP166" s="38">
        <f t="shared" si="82"/>
        <v>-685952.96544605144</v>
      </c>
    </row>
    <row r="167" spans="1:42" s="35" customFormat="1" x14ac:dyDescent="0.2">
      <c r="A167" s="301" t="s">
        <v>67</v>
      </c>
      <c r="C167" s="38">
        <f>C160</f>
        <v>164225.26708562236</v>
      </c>
      <c r="D167" s="38">
        <f t="shared" ref="D167:AP167" si="83">D160</f>
        <v>361304.78866402741</v>
      </c>
      <c r="E167" s="38">
        <f t="shared" si="83"/>
        <v>137358.22947773154</v>
      </c>
      <c r="F167" s="38">
        <f t="shared" si="83"/>
        <v>-1458.9815509398211</v>
      </c>
      <c r="G167" s="38">
        <f t="shared" si="83"/>
        <v>-12327.757619280681</v>
      </c>
      <c r="H167" s="38">
        <f t="shared" si="83"/>
        <v>-120460.84404229515</v>
      </c>
      <c r="I167" s="38">
        <f t="shared" si="83"/>
        <v>-229341.66256336347</v>
      </c>
      <c r="J167" s="38">
        <f t="shared" si="83"/>
        <v>-242572.80456782944</v>
      </c>
      <c r="K167" s="38">
        <f t="shared" si="83"/>
        <v>-256812.63880884481</v>
      </c>
      <c r="L167" s="38">
        <f t="shared" si="83"/>
        <v>-272180.43408593419</v>
      </c>
      <c r="M167" s="38">
        <f t="shared" si="83"/>
        <v>-288738.24458865519</v>
      </c>
      <c r="N167" s="38">
        <f t="shared" si="83"/>
        <v>-270541.60911301454</v>
      </c>
      <c r="O167" s="38">
        <f t="shared" si="83"/>
        <v>-264993.90103508241</v>
      </c>
      <c r="P167" s="38">
        <f t="shared" si="83"/>
        <v>-306576.99667431926</v>
      </c>
      <c r="Q167" s="38">
        <f t="shared" si="83"/>
        <v>-321992.97216253437</v>
      </c>
      <c r="R167" s="38">
        <f t="shared" si="83"/>
        <v>-326230.29228548828</v>
      </c>
      <c r="S167" s="38">
        <f t="shared" si="83"/>
        <v>-340809.03168738494</v>
      </c>
      <c r="T167" s="38">
        <f t="shared" si="83"/>
        <v>-352644.00740788202</v>
      </c>
      <c r="U167" s="38">
        <f t="shared" si="83"/>
        <v>-354045.31781934394</v>
      </c>
      <c r="V167" s="38">
        <f t="shared" si="83"/>
        <v>-355404.52431135275</v>
      </c>
      <c r="W167" s="38">
        <f t="shared" si="83"/>
        <v>-358045.85864903947</v>
      </c>
      <c r="X167" s="38">
        <f t="shared" si="83"/>
        <v>-360644.54405585618</v>
      </c>
      <c r="Y167" s="38">
        <f t="shared" si="83"/>
        <v>-361875.7337558741</v>
      </c>
      <c r="Z167" s="38">
        <f t="shared" si="83"/>
        <v>-314536.65561843995</v>
      </c>
      <c r="AA167" s="38">
        <f t="shared" si="83"/>
        <v>-282318.21088659519</v>
      </c>
      <c r="AB167" s="38">
        <f t="shared" si="83"/>
        <v>-314596.54770061938</v>
      </c>
      <c r="AC167" s="38">
        <f t="shared" si="83"/>
        <v>-334406.80148647336</v>
      </c>
      <c r="AD167" s="38">
        <f t="shared" si="83"/>
        <v>-335536.82489590469</v>
      </c>
      <c r="AE167" s="38">
        <f t="shared" si="83"/>
        <v>-350595.83887067391</v>
      </c>
      <c r="AF167" s="38">
        <f t="shared" si="83"/>
        <v>-365607.27575691638</v>
      </c>
      <c r="AG167" s="38">
        <f t="shared" si="83"/>
        <v>-366594.50136570347</v>
      </c>
      <c r="AH167" s="38">
        <f t="shared" si="83"/>
        <v>-367532.24812214414</v>
      </c>
      <c r="AI167" s="38">
        <f t="shared" si="83"/>
        <v>-368419.46508467093</v>
      </c>
      <c r="AJ167" s="38">
        <f t="shared" si="83"/>
        <v>-369255.03428630601</v>
      </c>
      <c r="AK167" s="38">
        <f t="shared" si="83"/>
        <v>-370037.77037174924</v>
      </c>
      <c r="AL167" s="38">
        <f t="shared" si="83"/>
        <v>-305503.27752044081</v>
      </c>
      <c r="AM167" s="38">
        <f t="shared" si="83"/>
        <v>-261308.10880870564</v>
      </c>
      <c r="AN167" s="38">
        <f t="shared" si="83"/>
        <v>-303217.08624729281</v>
      </c>
      <c r="AO167" s="38">
        <f t="shared" si="83"/>
        <v>-328360.44011983246</v>
      </c>
      <c r="AP167" s="38">
        <f t="shared" si="83"/>
        <v>-540433.80552067189</v>
      </c>
    </row>
    <row r="168" spans="1:42" s="35" customFormat="1" x14ac:dyDescent="0.2">
      <c r="A168" s="301" t="s">
        <v>88</v>
      </c>
      <c r="C168" s="38">
        <f>C94</f>
        <v>0</v>
      </c>
      <c r="D168" s="38">
        <f t="shared" ref="D168:AP168" si="84">D94</f>
        <v>0</v>
      </c>
      <c r="E168" s="38">
        <f t="shared" si="84"/>
        <v>0</v>
      </c>
      <c r="F168" s="38">
        <f t="shared" si="84"/>
        <v>0</v>
      </c>
      <c r="G168" s="38">
        <f t="shared" si="84"/>
        <v>0</v>
      </c>
      <c r="H168" s="38">
        <f t="shared" si="84"/>
        <v>0</v>
      </c>
      <c r="I168" s="38">
        <f t="shared" si="84"/>
        <v>0</v>
      </c>
      <c r="J168" s="38">
        <f t="shared" si="84"/>
        <v>0</v>
      </c>
      <c r="K168" s="38">
        <f t="shared" si="84"/>
        <v>0</v>
      </c>
      <c r="L168" s="38">
        <f t="shared" si="84"/>
        <v>0</v>
      </c>
      <c r="M168" s="38">
        <f t="shared" si="84"/>
        <v>0</v>
      </c>
      <c r="N168" s="38">
        <f t="shared" si="84"/>
        <v>0</v>
      </c>
      <c r="O168" s="38">
        <f t="shared" si="84"/>
        <v>0</v>
      </c>
      <c r="P168" s="38">
        <f t="shared" si="84"/>
        <v>0</v>
      </c>
      <c r="Q168" s="38">
        <f t="shared" si="84"/>
        <v>0</v>
      </c>
      <c r="R168" s="38">
        <f t="shared" si="84"/>
        <v>0</v>
      </c>
      <c r="S168" s="38">
        <f t="shared" si="84"/>
        <v>0</v>
      </c>
      <c r="T168" s="38">
        <f t="shared" si="84"/>
        <v>0</v>
      </c>
      <c r="U168" s="38">
        <f t="shared" si="84"/>
        <v>0</v>
      </c>
      <c r="V168" s="38">
        <f t="shared" si="84"/>
        <v>0</v>
      </c>
      <c r="W168" s="38">
        <f t="shared" si="84"/>
        <v>0</v>
      </c>
      <c r="X168" s="38">
        <f t="shared" si="84"/>
        <v>0</v>
      </c>
      <c r="Y168" s="38">
        <f t="shared" si="84"/>
        <v>0</v>
      </c>
      <c r="Z168" s="38">
        <f t="shared" si="84"/>
        <v>0</v>
      </c>
      <c r="AA168" s="38">
        <f t="shared" si="84"/>
        <v>0</v>
      </c>
      <c r="AB168" s="38">
        <f t="shared" si="84"/>
        <v>0</v>
      </c>
      <c r="AC168" s="38">
        <f t="shared" si="84"/>
        <v>0</v>
      </c>
      <c r="AD168" s="38">
        <f t="shared" si="84"/>
        <v>0</v>
      </c>
      <c r="AE168" s="38">
        <f t="shared" si="84"/>
        <v>0</v>
      </c>
      <c r="AF168" s="38">
        <f t="shared" si="84"/>
        <v>0</v>
      </c>
      <c r="AG168" s="38">
        <f t="shared" si="84"/>
        <v>0</v>
      </c>
      <c r="AH168" s="38">
        <f t="shared" si="84"/>
        <v>0</v>
      </c>
      <c r="AI168" s="38">
        <f t="shared" si="84"/>
        <v>0</v>
      </c>
      <c r="AJ168" s="38">
        <f t="shared" si="84"/>
        <v>0</v>
      </c>
      <c r="AK168" s="38">
        <f t="shared" si="84"/>
        <v>0</v>
      </c>
      <c r="AL168" s="38">
        <f t="shared" si="84"/>
        <v>0</v>
      </c>
      <c r="AM168" s="38">
        <f t="shared" si="84"/>
        <v>0</v>
      </c>
      <c r="AN168" s="38">
        <f t="shared" si="84"/>
        <v>0</v>
      </c>
      <c r="AO168" s="38">
        <f t="shared" si="84"/>
        <v>0</v>
      </c>
      <c r="AP168" s="38">
        <f t="shared" si="84"/>
        <v>0</v>
      </c>
    </row>
    <row r="169" spans="1:42" s="35" customFormat="1" x14ac:dyDescent="0.2">
      <c r="A169" s="301" t="s">
        <v>188</v>
      </c>
      <c r="C169" s="64">
        <f>C98</f>
        <v>0</v>
      </c>
      <c r="D169" s="64">
        <f t="shared" ref="D169:AP169" si="85">D98</f>
        <v>0</v>
      </c>
      <c r="E169" s="64">
        <f t="shared" si="85"/>
        <v>0</v>
      </c>
      <c r="F169" s="64">
        <f t="shared" si="85"/>
        <v>0</v>
      </c>
      <c r="G169" s="64">
        <f t="shared" si="85"/>
        <v>0</v>
      </c>
      <c r="H169" s="64">
        <f t="shared" si="85"/>
        <v>0</v>
      </c>
      <c r="I169" s="64">
        <f t="shared" si="85"/>
        <v>0</v>
      </c>
      <c r="J169" s="64">
        <f t="shared" si="85"/>
        <v>0</v>
      </c>
      <c r="K169" s="64">
        <f t="shared" si="85"/>
        <v>0</v>
      </c>
      <c r="L169" s="64">
        <f t="shared" si="85"/>
        <v>0</v>
      </c>
      <c r="M169" s="64">
        <f t="shared" si="85"/>
        <v>0</v>
      </c>
      <c r="N169" s="64">
        <f t="shared" si="85"/>
        <v>0</v>
      </c>
      <c r="O169" s="64">
        <f t="shared" si="85"/>
        <v>0</v>
      </c>
      <c r="P169" s="64">
        <f t="shared" si="85"/>
        <v>0</v>
      </c>
      <c r="Q169" s="64">
        <f t="shared" si="85"/>
        <v>0</v>
      </c>
      <c r="R169" s="64">
        <f t="shared" si="85"/>
        <v>0</v>
      </c>
      <c r="S169" s="64">
        <f t="shared" si="85"/>
        <v>0</v>
      </c>
      <c r="T169" s="64">
        <f t="shared" si="85"/>
        <v>0</v>
      </c>
      <c r="U169" s="64">
        <f t="shared" si="85"/>
        <v>0</v>
      </c>
      <c r="V169" s="64">
        <f t="shared" si="85"/>
        <v>0</v>
      </c>
      <c r="W169" s="64">
        <f t="shared" si="85"/>
        <v>0</v>
      </c>
      <c r="X169" s="64">
        <f t="shared" si="85"/>
        <v>0</v>
      </c>
      <c r="Y169" s="64">
        <f t="shared" si="85"/>
        <v>0</v>
      </c>
      <c r="Z169" s="64">
        <f t="shared" si="85"/>
        <v>0</v>
      </c>
      <c r="AA169" s="64">
        <f t="shared" si="85"/>
        <v>0</v>
      </c>
      <c r="AB169" s="64">
        <f t="shared" si="85"/>
        <v>0</v>
      </c>
      <c r="AC169" s="64">
        <f t="shared" si="85"/>
        <v>0</v>
      </c>
      <c r="AD169" s="64">
        <f t="shared" si="85"/>
        <v>0</v>
      </c>
      <c r="AE169" s="64">
        <f t="shared" si="85"/>
        <v>0</v>
      </c>
      <c r="AF169" s="64">
        <f t="shared" si="85"/>
        <v>0</v>
      </c>
      <c r="AG169" s="64">
        <f t="shared" si="85"/>
        <v>0</v>
      </c>
      <c r="AH169" s="64">
        <f t="shared" si="85"/>
        <v>0</v>
      </c>
      <c r="AI169" s="64">
        <f t="shared" si="85"/>
        <v>0</v>
      </c>
      <c r="AJ169" s="64">
        <f t="shared" si="85"/>
        <v>0</v>
      </c>
      <c r="AK169" s="64">
        <f t="shared" si="85"/>
        <v>0</v>
      </c>
      <c r="AL169" s="64">
        <f t="shared" si="85"/>
        <v>0</v>
      </c>
      <c r="AM169" s="64">
        <f t="shared" si="85"/>
        <v>0</v>
      </c>
      <c r="AN169" s="64">
        <f t="shared" si="85"/>
        <v>0</v>
      </c>
      <c r="AO169" s="64">
        <f t="shared" si="85"/>
        <v>0</v>
      </c>
      <c r="AP169" s="64">
        <f t="shared" si="85"/>
        <v>0</v>
      </c>
    </row>
    <row r="170" spans="1:42" s="35" customFormat="1" x14ac:dyDescent="0.2">
      <c r="A170" s="301" t="s">
        <v>59</v>
      </c>
      <c r="C170" s="60">
        <f>SUM(C163:C169)</f>
        <v>-2821688.6799256932</v>
      </c>
      <c r="D170" s="60">
        <f t="shared" ref="D170:AP170" si="86">SUM(D163:D169)</f>
        <v>-6207873.1870455621</v>
      </c>
      <c r="E170" s="60">
        <f t="shared" si="86"/>
        <v>-2360064.1246628417</v>
      </c>
      <c r="F170" s="60">
        <f t="shared" si="86"/>
        <v>25067.955738875109</v>
      </c>
      <c r="G170" s="60">
        <f t="shared" si="86"/>
        <v>211813.2900040044</v>
      </c>
      <c r="H170" s="60">
        <f t="shared" si="86"/>
        <v>2069736.3203630713</v>
      </c>
      <c r="I170" s="60">
        <f t="shared" si="86"/>
        <v>3940506.7476796084</v>
      </c>
      <c r="J170" s="60">
        <f t="shared" si="86"/>
        <v>4167841.8239381607</v>
      </c>
      <c r="K170" s="60">
        <f t="shared" si="86"/>
        <v>4412508.0668065157</v>
      </c>
      <c r="L170" s="60">
        <f t="shared" si="86"/>
        <v>4676554.7311128695</v>
      </c>
      <c r="M170" s="60">
        <f t="shared" si="86"/>
        <v>4961048.0206596209</v>
      </c>
      <c r="N170" s="60">
        <f t="shared" si="86"/>
        <v>4648396.738396341</v>
      </c>
      <c r="O170" s="60">
        <f t="shared" si="86"/>
        <v>4553077.0268755071</v>
      </c>
      <c r="P170" s="60">
        <f t="shared" si="86"/>
        <v>5267550.2155860309</v>
      </c>
      <c r="Q170" s="60">
        <f t="shared" si="86"/>
        <v>5532424.7035199087</v>
      </c>
      <c r="R170" s="60">
        <f t="shared" si="86"/>
        <v>5605229.5674506621</v>
      </c>
      <c r="S170" s="60">
        <f t="shared" si="86"/>
        <v>5855718.817174159</v>
      </c>
      <c r="T170" s="60">
        <f t="shared" si="86"/>
        <v>6059065.2181899725</v>
      </c>
      <c r="U170" s="60">
        <f t="shared" si="86"/>
        <v>6083142.2788960002</v>
      </c>
      <c r="V170" s="60">
        <f t="shared" si="86"/>
        <v>6106495.9177132426</v>
      </c>
      <c r="W170" s="60">
        <f t="shared" si="86"/>
        <v>6151878.8440607693</v>
      </c>
      <c r="X170" s="60">
        <f t="shared" si="86"/>
        <v>6196528.9842324387</v>
      </c>
      <c r="Y170" s="60">
        <f t="shared" si="86"/>
        <v>6217683.0618054727</v>
      </c>
      <c r="Z170" s="60">
        <f t="shared" si="86"/>
        <v>5404311.6283531953</v>
      </c>
      <c r="AA170" s="60">
        <f t="shared" si="86"/>
        <v>4850740.1688696817</v>
      </c>
      <c r="AB170" s="60">
        <f t="shared" si="86"/>
        <v>5405340.6832197327</v>
      </c>
      <c r="AC170" s="60">
        <f t="shared" si="86"/>
        <v>5745716.8619039515</v>
      </c>
      <c r="AD170" s="60">
        <f t="shared" si="86"/>
        <v>5765132.7186659994</v>
      </c>
      <c r="AE170" s="60">
        <f t="shared" si="86"/>
        <v>6023873.9587779418</v>
      </c>
      <c r="AF170" s="60">
        <f t="shared" si="86"/>
        <v>6281797.7380052004</v>
      </c>
      <c r="AG170" s="60">
        <f t="shared" si="86"/>
        <v>6298760.0689198142</v>
      </c>
      <c r="AH170" s="60">
        <f t="shared" si="86"/>
        <v>6314872.2631895673</v>
      </c>
      <c r="AI170" s="60">
        <f t="shared" si="86"/>
        <v>6330116.2637275271</v>
      </c>
      <c r="AJ170" s="60">
        <f t="shared" si="86"/>
        <v>6344472.8618283486</v>
      </c>
      <c r="AK170" s="60">
        <f t="shared" si="86"/>
        <v>6357921.6909327824</v>
      </c>
      <c r="AL170" s="60">
        <f t="shared" si="86"/>
        <v>5249101.7683057562</v>
      </c>
      <c r="AM170" s="60">
        <f t="shared" si="86"/>
        <v>4489748.4149859427</v>
      </c>
      <c r="AN170" s="60">
        <f t="shared" si="86"/>
        <v>5209820.845521668</v>
      </c>
      <c r="AO170" s="60">
        <f t="shared" si="86"/>
        <v>5641829.380240757</v>
      </c>
      <c r="AP170" s="60">
        <f t="shared" si="86"/>
        <v>9285635.385764271</v>
      </c>
    </row>
    <row r="171" spans="1:42" s="35" customFormat="1" x14ac:dyDescent="0.2">
      <c r="A171" s="301" t="str">
        <f>Inputs!B102</f>
        <v>Investment Based Incentive (IBI)</v>
      </c>
    </row>
    <row r="172" spans="1:42" s="35" customFormat="1" x14ac:dyDescent="0.2">
      <c r="A172" s="304" t="str">
        <f>Inputs!B103</f>
        <v>As fixed amount</v>
      </c>
    </row>
    <row r="173" spans="1:42" s="35" customFormat="1" x14ac:dyDescent="0.2">
      <c r="A173" s="270" t="str">
        <f>Inputs!B104</f>
        <v>Federal ($)</v>
      </c>
      <c r="C173" s="60">
        <f>IF(IBIFedFixedFedTax="Yes",C486,0)</f>
        <v>0</v>
      </c>
    </row>
    <row r="174" spans="1:42" s="35" customFormat="1" x14ac:dyDescent="0.2">
      <c r="A174" s="270" t="str">
        <f>Inputs!B105</f>
        <v>State ($)</v>
      </c>
      <c r="C174" s="60">
        <f>IF(IBIStateFixedFedTax="Yes",C487,0)</f>
        <v>0</v>
      </c>
    </row>
    <row r="175" spans="1:42" s="35" customFormat="1" x14ac:dyDescent="0.2">
      <c r="A175" s="270" t="str">
        <f>Inputs!B106</f>
        <v>Utility ($)</v>
      </c>
      <c r="C175" s="60">
        <f>IF(IBIUtilityFixedFedTax="Yes",C488,0)</f>
        <v>0</v>
      </c>
    </row>
    <row r="176" spans="1:42" x14ac:dyDescent="0.2">
      <c r="A176" s="270" t="str">
        <f>Inputs!B107</f>
        <v>Other ($)</v>
      </c>
      <c r="C176" s="64">
        <f>IF(IBIOtherFixedFedTax="Yes",C489,0)</f>
        <v>0</v>
      </c>
      <c r="D176" s="52"/>
      <c r="E176" s="52"/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52"/>
    </row>
    <row r="177" spans="1:42" x14ac:dyDescent="0.2">
      <c r="A177" s="270" t="s">
        <v>23</v>
      </c>
      <c r="C177" s="52">
        <f>SUM(C173:C176)</f>
        <v>0</v>
      </c>
      <c r="D177" s="52"/>
      <c r="E177" s="52"/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52"/>
    </row>
    <row r="178" spans="1:42" x14ac:dyDescent="0.2">
      <c r="A178" s="304" t="str">
        <f>Inputs!B108</f>
        <v>As percentage</v>
      </c>
      <c r="C178" s="52"/>
      <c r="D178" s="52"/>
      <c r="E178" s="52"/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52"/>
    </row>
    <row r="179" spans="1:42" x14ac:dyDescent="0.2">
      <c r="A179" s="270" t="str">
        <f>Inputs!B109</f>
        <v>Federal (% of total installed cost)</v>
      </c>
      <c r="C179" s="60">
        <f>IF(IBIFedPercentFedTax="Yes",C492,0)</f>
        <v>0</v>
      </c>
      <c r="D179" s="52"/>
      <c r="E179" s="52"/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52"/>
    </row>
    <row r="180" spans="1:42" x14ac:dyDescent="0.2">
      <c r="A180" s="270" t="str">
        <f>Inputs!B110</f>
        <v>State (% of total installed cost)</v>
      </c>
      <c r="C180" s="60">
        <f>IF(IBIStatePercentFedTax="Yes",C493,0)</f>
        <v>0</v>
      </c>
      <c r="D180" s="52"/>
      <c r="E180" s="52"/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52"/>
    </row>
    <row r="181" spans="1:42" x14ac:dyDescent="0.2">
      <c r="A181" s="270" t="str">
        <f>Inputs!B111</f>
        <v>Utility (% of total installed cost)</v>
      </c>
      <c r="C181" s="60">
        <f>IF(IBIUtilityPercentFedTax="Yes",C494,0)</f>
        <v>0</v>
      </c>
      <c r="D181" s="52"/>
      <c r="E181" s="52"/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52"/>
    </row>
    <row r="182" spans="1:42" x14ac:dyDescent="0.2">
      <c r="A182" s="270" t="str">
        <f>Inputs!B112</f>
        <v>Other (% of total installed cost)</v>
      </c>
      <c r="C182" s="64">
        <f>IF(IBIOtherPercentFedTax="Yes",C495,0)</f>
        <v>0</v>
      </c>
      <c r="D182" s="52"/>
      <c r="E182" s="52"/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52"/>
    </row>
    <row r="183" spans="1:42" x14ac:dyDescent="0.2">
      <c r="A183" s="270" t="s">
        <v>23</v>
      </c>
      <c r="C183" s="52">
        <f>SUM(C179:C182)</f>
        <v>0</v>
      </c>
      <c r="D183" s="52"/>
      <c r="E183" s="52"/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52"/>
      <c r="AE183" s="52"/>
      <c r="AF183" s="52"/>
      <c r="AG183" s="52"/>
      <c r="AH183" s="52"/>
      <c r="AI183" s="52"/>
      <c r="AJ183" s="52"/>
      <c r="AK183" s="52"/>
      <c r="AL183" s="52"/>
      <c r="AM183" s="52"/>
      <c r="AN183" s="52"/>
      <c r="AO183" s="52"/>
      <c r="AP183" s="52"/>
    </row>
    <row r="184" spans="1:42" x14ac:dyDescent="0.2">
      <c r="A184" s="301" t="str">
        <f>Inputs!B113</f>
        <v>Capacity Based Incentive (CBI)</v>
      </c>
      <c r="C184" s="52"/>
      <c r="D184" s="52"/>
      <c r="E184" s="52"/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52"/>
      <c r="AE184" s="52"/>
      <c r="AF184" s="52"/>
      <c r="AG184" s="52"/>
      <c r="AH184" s="52"/>
      <c r="AI184" s="52"/>
      <c r="AJ184" s="52"/>
      <c r="AK184" s="52"/>
      <c r="AL184" s="52"/>
      <c r="AM184" s="52"/>
      <c r="AN184" s="52"/>
      <c r="AO184" s="52"/>
      <c r="AP184" s="52"/>
    </row>
    <row r="185" spans="1:42" x14ac:dyDescent="0.2">
      <c r="A185" s="304" t="str">
        <f>Inputs!B114</f>
        <v>Federal ($/W)</v>
      </c>
      <c r="C185" s="38">
        <f>IF(CBIFedFedTax="Yes",C498,0)</f>
        <v>0</v>
      </c>
      <c r="D185" s="52"/>
      <c r="E185" s="52"/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52"/>
      <c r="AE185" s="52"/>
      <c r="AF185" s="52"/>
      <c r="AG185" s="52"/>
      <c r="AH185" s="52"/>
      <c r="AI185" s="52"/>
      <c r="AJ185" s="52"/>
      <c r="AK185" s="52"/>
      <c r="AL185" s="52"/>
      <c r="AM185" s="52"/>
      <c r="AN185" s="52"/>
      <c r="AO185" s="52"/>
      <c r="AP185" s="52"/>
    </row>
    <row r="186" spans="1:42" x14ac:dyDescent="0.2">
      <c r="A186" s="304" t="str">
        <f>Inputs!B115</f>
        <v>State ($/W)</v>
      </c>
      <c r="C186" s="38">
        <f>IF(CBIStateFedTax="Yes",C499,0)</f>
        <v>0</v>
      </c>
      <c r="D186" s="52"/>
      <c r="E186" s="52"/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52"/>
      <c r="AE186" s="52"/>
      <c r="AF186" s="52"/>
      <c r="AG186" s="52"/>
      <c r="AH186" s="52"/>
      <c r="AI186" s="52"/>
      <c r="AJ186" s="52"/>
      <c r="AK186" s="52"/>
      <c r="AL186" s="52"/>
      <c r="AM186" s="52"/>
      <c r="AN186" s="52"/>
      <c r="AO186" s="52"/>
      <c r="AP186" s="52"/>
    </row>
    <row r="187" spans="1:42" x14ac:dyDescent="0.2">
      <c r="A187" s="304" t="str">
        <f>Inputs!B116</f>
        <v>Utility ($/W)</v>
      </c>
      <c r="C187" s="38">
        <f>IF(CBIUtilityFedTax="Yes",C500,0)</f>
        <v>0</v>
      </c>
      <c r="D187" s="52"/>
      <c r="E187" s="52"/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</row>
    <row r="188" spans="1:42" x14ac:dyDescent="0.2">
      <c r="A188" s="304" t="str">
        <f>Inputs!B117</f>
        <v>Other ($/W)</v>
      </c>
      <c r="C188" s="64">
        <f>IF(CBIOtherFedTax="Yes",C501,0)</f>
        <v>0</v>
      </c>
      <c r="D188" s="52"/>
      <c r="E188" s="52"/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52"/>
      <c r="AE188" s="52"/>
      <c r="AF188" s="52"/>
      <c r="AG188" s="52"/>
      <c r="AH188" s="52"/>
      <c r="AI188" s="52"/>
      <c r="AJ188" s="52"/>
      <c r="AK188" s="52"/>
      <c r="AL188" s="52"/>
      <c r="AM188" s="52"/>
      <c r="AN188" s="52"/>
      <c r="AO188" s="52"/>
      <c r="AP188" s="52"/>
    </row>
    <row r="189" spans="1:42" x14ac:dyDescent="0.2">
      <c r="A189" s="304" t="s">
        <v>23</v>
      </c>
      <c r="C189" s="52">
        <f>SUM(C185:C188)</f>
        <v>0</v>
      </c>
      <c r="D189" s="52"/>
      <c r="E189" s="52"/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52"/>
      <c r="AE189" s="52"/>
      <c r="AF189" s="52"/>
      <c r="AG189" s="52"/>
      <c r="AH189" s="52"/>
      <c r="AI189" s="52"/>
      <c r="AJ189" s="52"/>
      <c r="AK189" s="52"/>
      <c r="AL189" s="52"/>
      <c r="AM189" s="52"/>
      <c r="AN189" s="52"/>
      <c r="AO189" s="52"/>
      <c r="AP189" s="52"/>
    </row>
    <row r="190" spans="1:42" x14ac:dyDescent="0.2">
      <c r="A190" s="301" t="str">
        <f>Inputs!B118</f>
        <v>Production Based Incentive (PBI)</v>
      </c>
      <c r="C190" s="52"/>
      <c r="D190" s="52"/>
      <c r="E190" s="52"/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52"/>
      <c r="AE190" s="52"/>
      <c r="AF190" s="52"/>
      <c r="AG190" s="52"/>
      <c r="AH190" s="52"/>
      <c r="AI190" s="52"/>
      <c r="AJ190" s="52"/>
      <c r="AK190" s="52"/>
      <c r="AL190" s="52"/>
      <c r="AM190" s="52"/>
      <c r="AN190" s="52"/>
      <c r="AO190" s="52"/>
      <c r="AP190" s="52"/>
    </row>
    <row r="191" spans="1:42" x14ac:dyDescent="0.2">
      <c r="A191" s="304" t="str">
        <f>Inputs!B119</f>
        <v>Federal ($/kWh)</v>
      </c>
      <c r="C191" s="38">
        <f t="shared" ref="C191:AP191" si="87">IF(AND(PBIFedFedTax="Yes",PBIFedDebtSwitch="No"),C508,0)</f>
        <v>0</v>
      </c>
      <c r="D191" s="38">
        <f t="shared" si="87"/>
        <v>0</v>
      </c>
      <c r="E191" s="38">
        <f t="shared" si="87"/>
        <v>0</v>
      </c>
      <c r="F191" s="38">
        <f t="shared" si="87"/>
        <v>0</v>
      </c>
      <c r="G191" s="38">
        <f t="shared" si="87"/>
        <v>0</v>
      </c>
      <c r="H191" s="38">
        <f t="shared" si="87"/>
        <v>0</v>
      </c>
      <c r="I191" s="38">
        <f t="shared" si="87"/>
        <v>0</v>
      </c>
      <c r="J191" s="38">
        <f t="shared" si="87"/>
        <v>0</v>
      </c>
      <c r="K191" s="38">
        <f t="shared" si="87"/>
        <v>0</v>
      </c>
      <c r="L191" s="38">
        <f t="shared" si="87"/>
        <v>0</v>
      </c>
      <c r="M191" s="38">
        <f t="shared" si="87"/>
        <v>0</v>
      </c>
      <c r="N191" s="38">
        <f t="shared" si="87"/>
        <v>0</v>
      </c>
      <c r="O191" s="38">
        <f t="shared" si="87"/>
        <v>0</v>
      </c>
      <c r="P191" s="38">
        <f t="shared" si="87"/>
        <v>0</v>
      </c>
      <c r="Q191" s="38">
        <f t="shared" si="87"/>
        <v>0</v>
      </c>
      <c r="R191" s="38">
        <f t="shared" si="87"/>
        <v>0</v>
      </c>
      <c r="S191" s="38">
        <f t="shared" si="87"/>
        <v>0</v>
      </c>
      <c r="T191" s="38">
        <f t="shared" si="87"/>
        <v>0</v>
      </c>
      <c r="U191" s="38">
        <f t="shared" si="87"/>
        <v>0</v>
      </c>
      <c r="V191" s="38">
        <f t="shared" si="87"/>
        <v>0</v>
      </c>
      <c r="W191" s="38">
        <f t="shared" si="87"/>
        <v>0</v>
      </c>
      <c r="X191" s="38">
        <f t="shared" si="87"/>
        <v>0</v>
      </c>
      <c r="Y191" s="38">
        <f t="shared" si="87"/>
        <v>0</v>
      </c>
      <c r="Z191" s="38">
        <f t="shared" si="87"/>
        <v>0</v>
      </c>
      <c r="AA191" s="38">
        <f t="shared" si="87"/>
        <v>0</v>
      </c>
      <c r="AB191" s="38">
        <f t="shared" si="87"/>
        <v>0</v>
      </c>
      <c r="AC191" s="38">
        <f t="shared" si="87"/>
        <v>0</v>
      </c>
      <c r="AD191" s="38">
        <f t="shared" si="87"/>
        <v>0</v>
      </c>
      <c r="AE191" s="38">
        <f t="shared" si="87"/>
        <v>0</v>
      </c>
      <c r="AF191" s="38">
        <f t="shared" si="87"/>
        <v>0</v>
      </c>
      <c r="AG191" s="38">
        <f t="shared" si="87"/>
        <v>0</v>
      </c>
      <c r="AH191" s="38">
        <f t="shared" si="87"/>
        <v>0</v>
      </c>
      <c r="AI191" s="38">
        <f t="shared" si="87"/>
        <v>0</v>
      </c>
      <c r="AJ191" s="38">
        <f t="shared" si="87"/>
        <v>0</v>
      </c>
      <c r="AK191" s="38">
        <f t="shared" si="87"/>
        <v>0</v>
      </c>
      <c r="AL191" s="38">
        <f t="shared" si="87"/>
        <v>0</v>
      </c>
      <c r="AM191" s="38">
        <f t="shared" si="87"/>
        <v>0</v>
      </c>
      <c r="AN191" s="38">
        <f t="shared" si="87"/>
        <v>0</v>
      </c>
      <c r="AO191" s="38">
        <f t="shared" si="87"/>
        <v>0</v>
      </c>
      <c r="AP191" s="38">
        <f t="shared" si="87"/>
        <v>0</v>
      </c>
    </row>
    <row r="192" spans="1:42" x14ac:dyDescent="0.2">
      <c r="A192" s="304" t="str">
        <f>Inputs!B120</f>
        <v>State ($/kWh)</v>
      </c>
      <c r="C192" s="38">
        <f t="shared" ref="C192:AP192" si="88">IF(AND(PBIStateFedTax="Yes",PBIStateDebtSwitch="No"),C512,0)</f>
        <v>0</v>
      </c>
      <c r="D192" s="38">
        <f t="shared" si="88"/>
        <v>0</v>
      </c>
      <c r="E192" s="38">
        <f t="shared" si="88"/>
        <v>0</v>
      </c>
      <c r="F192" s="38">
        <f t="shared" si="88"/>
        <v>0</v>
      </c>
      <c r="G192" s="38">
        <f t="shared" si="88"/>
        <v>0</v>
      </c>
      <c r="H192" s="38">
        <f t="shared" si="88"/>
        <v>0</v>
      </c>
      <c r="I192" s="38">
        <f t="shared" si="88"/>
        <v>0</v>
      </c>
      <c r="J192" s="38">
        <f t="shared" si="88"/>
        <v>0</v>
      </c>
      <c r="K192" s="38">
        <f t="shared" si="88"/>
        <v>0</v>
      </c>
      <c r="L192" s="38">
        <f t="shared" si="88"/>
        <v>0</v>
      </c>
      <c r="M192" s="38">
        <f t="shared" si="88"/>
        <v>0</v>
      </c>
      <c r="N192" s="38">
        <f t="shared" si="88"/>
        <v>0</v>
      </c>
      <c r="O192" s="38">
        <f t="shared" si="88"/>
        <v>0</v>
      </c>
      <c r="P192" s="38">
        <f t="shared" si="88"/>
        <v>0</v>
      </c>
      <c r="Q192" s="38">
        <f t="shared" si="88"/>
        <v>0</v>
      </c>
      <c r="R192" s="38">
        <f t="shared" si="88"/>
        <v>0</v>
      </c>
      <c r="S192" s="38">
        <f t="shared" si="88"/>
        <v>0</v>
      </c>
      <c r="T192" s="38">
        <f t="shared" si="88"/>
        <v>0</v>
      </c>
      <c r="U192" s="38">
        <f t="shared" si="88"/>
        <v>0</v>
      </c>
      <c r="V192" s="38">
        <f t="shared" si="88"/>
        <v>0</v>
      </c>
      <c r="W192" s="38">
        <f t="shared" si="88"/>
        <v>0</v>
      </c>
      <c r="X192" s="38">
        <f t="shared" si="88"/>
        <v>0</v>
      </c>
      <c r="Y192" s="38">
        <f t="shared" si="88"/>
        <v>0</v>
      </c>
      <c r="Z192" s="38">
        <f t="shared" si="88"/>
        <v>0</v>
      </c>
      <c r="AA192" s="38">
        <f t="shared" si="88"/>
        <v>0</v>
      </c>
      <c r="AB192" s="38">
        <f t="shared" si="88"/>
        <v>0</v>
      </c>
      <c r="AC192" s="38">
        <f t="shared" si="88"/>
        <v>0</v>
      </c>
      <c r="AD192" s="38">
        <f t="shared" si="88"/>
        <v>0</v>
      </c>
      <c r="AE192" s="38">
        <f t="shared" si="88"/>
        <v>0</v>
      </c>
      <c r="AF192" s="38">
        <f t="shared" si="88"/>
        <v>0</v>
      </c>
      <c r="AG192" s="38">
        <f t="shared" si="88"/>
        <v>0</v>
      </c>
      <c r="AH192" s="38">
        <f t="shared" si="88"/>
        <v>0</v>
      </c>
      <c r="AI192" s="38">
        <f t="shared" si="88"/>
        <v>0</v>
      </c>
      <c r="AJ192" s="38">
        <f t="shared" si="88"/>
        <v>0</v>
      </c>
      <c r="AK192" s="38">
        <f t="shared" si="88"/>
        <v>0</v>
      </c>
      <c r="AL192" s="38">
        <f t="shared" si="88"/>
        <v>0</v>
      </c>
      <c r="AM192" s="38">
        <f t="shared" si="88"/>
        <v>0</v>
      </c>
      <c r="AN192" s="38">
        <f t="shared" si="88"/>
        <v>0</v>
      </c>
      <c r="AO192" s="38">
        <f t="shared" si="88"/>
        <v>0</v>
      </c>
      <c r="AP192" s="38">
        <f t="shared" si="88"/>
        <v>0</v>
      </c>
    </row>
    <row r="193" spans="1:42" x14ac:dyDescent="0.2">
      <c r="A193" s="304" t="str">
        <f>Inputs!B121</f>
        <v>Utility ($/kWh)</v>
      </c>
      <c r="C193" s="38">
        <f t="shared" ref="C193:AP193" si="89">IF(AND(PBIUtilityFedTax="Yes",PBIUtilityDebtSwitch="No"),C516,0)</f>
        <v>0</v>
      </c>
      <c r="D193" s="38">
        <f t="shared" si="89"/>
        <v>0</v>
      </c>
      <c r="E193" s="38">
        <f t="shared" si="89"/>
        <v>0</v>
      </c>
      <c r="F193" s="38">
        <f t="shared" si="89"/>
        <v>0</v>
      </c>
      <c r="G193" s="38">
        <f t="shared" si="89"/>
        <v>0</v>
      </c>
      <c r="H193" s="38">
        <f t="shared" si="89"/>
        <v>0</v>
      </c>
      <c r="I193" s="38">
        <f t="shared" si="89"/>
        <v>0</v>
      </c>
      <c r="J193" s="38">
        <f t="shared" si="89"/>
        <v>0</v>
      </c>
      <c r="K193" s="38">
        <f t="shared" si="89"/>
        <v>0</v>
      </c>
      <c r="L193" s="38">
        <f t="shared" si="89"/>
        <v>0</v>
      </c>
      <c r="M193" s="38">
        <f t="shared" si="89"/>
        <v>0</v>
      </c>
      <c r="N193" s="38">
        <f t="shared" si="89"/>
        <v>0</v>
      </c>
      <c r="O193" s="38">
        <f t="shared" si="89"/>
        <v>0</v>
      </c>
      <c r="P193" s="38">
        <f t="shared" si="89"/>
        <v>0</v>
      </c>
      <c r="Q193" s="38">
        <f t="shared" si="89"/>
        <v>0</v>
      </c>
      <c r="R193" s="38">
        <f t="shared" si="89"/>
        <v>0</v>
      </c>
      <c r="S193" s="38">
        <f t="shared" si="89"/>
        <v>0</v>
      </c>
      <c r="T193" s="38">
        <f t="shared" si="89"/>
        <v>0</v>
      </c>
      <c r="U193" s="38">
        <f t="shared" si="89"/>
        <v>0</v>
      </c>
      <c r="V193" s="38">
        <f t="shared" si="89"/>
        <v>0</v>
      </c>
      <c r="W193" s="38">
        <f t="shared" si="89"/>
        <v>0</v>
      </c>
      <c r="X193" s="38">
        <f t="shared" si="89"/>
        <v>0</v>
      </c>
      <c r="Y193" s="38">
        <f t="shared" si="89"/>
        <v>0</v>
      </c>
      <c r="Z193" s="38">
        <f t="shared" si="89"/>
        <v>0</v>
      </c>
      <c r="AA193" s="38">
        <f t="shared" si="89"/>
        <v>0</v>
      </c>
      <c r="AB193" s="38">
        <f t="shared" si="89"/>
        <v>0</v>
      </c>
      <c r="AC193" s="38">
        <f t="shared" si="89"/>
        <v>0</v>
      </c>
      <c r="AD193" s="38">
        <f t="shared" si="89"/>
        <v>0</v>
      </c>
      <c r="AE193" s="38">
        <f t="shared" si="89"/>
        <v>0</v>
      </c>
      <c r="AF193" s="38">
        <f t="shared" si="89"/>
        <v>0</v>
      </c>
      <c r="AG193" s="38">
        <f t="shared" si="89"/>
        <v>0</v>
      </c>
      <c r="AH193" s="38">
        <f t="shared" si="89"/>
        <v>0</v>
      </c>
      <c r="AI193" s="38">
        <f t="shared" si="89"/>
        <v>0</v>
      </c>
      <c r="AJ193" s="38">
        <f t="shared" si="89"/>
        <v>0</v>
      </c>
      <c r="AK193" s="38">
        <f t="shared" si="89"/>
        <v>0</v>
      </c>
      <c r="AL193" s="38">
        <f t="shared" si="89"/>
        <v>0</v>
      </c>
      <c r="AM193" s="38">
        <f t="shared" si="89"/>
        <v>0</v>
      </c>
      <c r="AN193" s="38">
        <f t="shared" si="89"/>
        <v>0</v>
      </c>
      <c r="AO193" s="38">
        <f t="shared" si="89"/>
        <v>0</v>
      </c>
      <c r="AP193" s="38">
        <f t="shared" si="89"/>
        <v>0</v>
      </c>
    </row>
    <row r="194" spans="1:42" x14ac:dyDescent="0.2">
      <c r="A194" s="304" t="str">
        <f>Inputs!B122</f>
        <v>Other ($/kWh)</v>
      </c>
      <c r="C194" s="64">
        <f t="shared" ref="C194:AP194" si="90">IF(AND(PBIOtherFedTax="Yes",PBIOtherDebtSwitch="No"),C520,0)</f>
        <v>0</v>
      </c>
      <c r="D194" s="64">
        <f t="shared" si="90"/>
        <v>0</v>
      </c>
      <c r="E194" s="64">
        <f t="shared" si="90"/>
        <v>0</v>
      </c>
      <c r="F194" s="64">
        <f t="shared" si="90"/>
        <v>0</v>
      </c>
      <c r="G194" s="64">
        <f t="shared" si="90"/>
        <v>0</v>
      </c>
      <c r="H194" s="64">
        <f t="shared" si="90"/>
        <v>0</v>
      </c>
      <c r="I194" s="64">
        <f t="shared" si="90"/>
        <v>0</v>
      </c>
      <c r="J194" s="64">
        <f t="shared" si="90"/>
        <v>0</v>
      </c>
      <c r="K194" s="64">
        <f t="shared" si="90"/>
        <v>0</v>
      </c>
      <c r="L194" s="64">
        <f t="shared" si="90"/>
        <v>0</v>
      </c>
      <c r="M194" s="64">
        <f t="shared" si="90"/>
        <v>0</v>
      </c>
      <c r="N194" s="64">
        <f t="shared" si="90"/>
        <v>0</v>
      </c>
      <c r="O194" s="64">
        <f t="shared" si="90"/>
        <v>0</v>
      </c>
      <c r="P194" s="64">
        <f t="shared" si="90"/>
        <v>0</v>
      </c>
      <c r="Q194" s="64">
        <f t="shared" si="90"/>
        <v>0</v>
      </c>
      <c r="R194" s="64">
        <f t="shared" si="90"/>
        <v>0</v>
      </c>
      <c r="S194" s="64">
        <f t="shared" si="90"/>
        <v>0</v>
      </c>
      <c r="T194" s="64">
        <f t="shared" si="90"/>
        <v>0</v>
      </c>
      <c r="U194" s="64">
        <f t="shared" si="90"/>
        <v>0</v>
      </c>
      <c r="V194" s="64">
        <f t="shared" si="90"/>
        <v>0</v>
      </c>
      <c r="W194" s="64">
        <f t="shared" si="90"/>
        <v>0</v>
      </c>
      <c r="X194" s="64">
        <f t="shared" si="90"/>
        <v>0</v>
      </c>
      <c r="Y194" s="64">
        <f t="shared" si="90"/>
        <v>0</v>
      </c>
      <c r="Z194" s="64">
        <f t="shared" si="90"/>
        <v>0</v>
      </c>
      <c r="AA194" s="64">
        <f t="shared" si="90"/>
        <v>0</v>
      </c>
      <c r="AB194" s="64">
        <f t="shared" si="90"/>
        <v>0</v>
      </c>
      <c r="AC194" s="64">
        <f t="shared" si="90"/>
        <v>0</v>
      </c>
      <c r="AD194" s="64">
        <f t="shared" si="90"/>
        <v>0</v>
      </c>
      <c r="AE194" s="64">
        <f t="shared" si="90"/>
        <v>0</v>
      </c>
      <c r="AF194" s="64">
        <f t="shared" si="90"/>
        <v>0</v>
      </c>
      <c r="AG194" s="64">
        <f t="shared" si="90"/>
        <v>0</v>
      </c>
      <c r="AH194" s="64">
        <f t="shared" si="90"/>
        <v>0</v>
      </c>
      <c r="AI194" s="64">
        <f t="shared" si="90"/>
        <v>0</v>
      </c>
      <c r="AJ194" s="64">
        <f t="shared" si="90"/>
        <v>0</v>
      </c>
      <c r="AK194" s="64">
        <f t="shared" si="90"/>
        <v>0</v>
      </c>
      <c r="AL194" s="64">
        <f t="shared" si="90"/>
        <v>0</v>
      </c>
      <c r="AM194" s="64">
        <f t="shared" si="90"/>
        <v>0</v>
      </c>
      <c r="AN194" s="64">
        <f t="shared" si="90"/>
        <v>0</v>
      </c>
      <c r="AO194" s="64">
        <f t="shared" si="90"/>
        <v>0</v>
      </c>
      <c r="AP194" s="64">
        <f t="shared" si="90"/>
        <v>0</v>
      </c>
    </row>
    <row r="195" spans="1:42" x14ac:dyDescent="0.2">
      <c r="A195" s="304" t="s">
        <v>23</v>
      </c>
      <c r="C195" s="56">
        <f>SUM(C191:C194)</f>
        <v>0</v>
      </c>
      <c r="D195" s="56">
        <f t="shared" ref="D195:AL195" si="91">SUM(D191:D194)</f>
        <v>0</v>
      </c>
      <c r="E195" s="56">
        <f t="shared" si="91"/>
        <v>0</v>
      </c>
      <c r="F195" s="56">
        <f t="shared" si="91"/>
        <v>0</v>
      </c>
      <c r="G195" s="56">
        <f t="shared" si="91"/>
        <v>0</v>
      </c>
      <c r="H195" s="56">
        <f t="shared" si="91"/>
        <v>0</v>
      </c>
      <c r="I195" s="56">
        <f t="shared" si="91"/>
        <v>0</v>
      </c>
      <c r="J195" s="56">
        <f t="shared" si="91"/>
        <v>0</v>
      </c>
      <c r="K195" s="56">
        <f t="shared" si="91"/>
        <v>0</v>
      </c>
      <c r="L195" s="56">
        <f t="shared" si="91"/>
        <v>0</v>
      </c>
      <c r="M195" s="56">
        <f t="shared" si="91"/>
        <v>0</v>
      </c>
      <c r="N195" s="56">
        <f t="shared" si="91"/>
        <v>0</v>
      </c>
      <c r="O195" s="56">
        <f t="shared" si="91"/>
        <v>0</v>
      </c>
      <c r="P195" s="56">
        <f t="shared" si="91"/>
        <v>0</v>
      </c>
      <c r="Q195" s="56">
        <f t="shared" si="91"/>
        <v>0</v>
      </c>
      <c r="R195" s="56">
        <f t="shared" si="91"/>
        <v>0</v>
      </c>
      <c r="S195" s="56">
        <f t="shared" si="91"/>
        <v>0</v>
      </c>
      <c r="T195" s="56">
        <f t="shared" si="91"/>
        <v>0</v>
      </c>
      <c r="U195" s="56">
        <f t="shared" si="91"/>
        <v>0</v>
      </c>
      <c r="V195" s="56">
        <f t="shared" si="91"/>
        <v>0</v>
      </c>
      <c r="W195" s="56">
        <f t="shared" si="91"/>
        <v>0</v>
      </c>
      <c r="X195" s="56">
        <f t="shared" si="91"/>
        <v>0</v>
      </c>
      <c r="Y195" s="56">
        <f t="shared" si="91"/>
        <v>0</v>
      </c>
      <c r="Z195" s="56">
        <f t="shared" si="91"/>
        <v>0</v>
      </c>
      <c r="AA195" s="56">
        <f t="shared" si="91"/>
        <v>0</v>
      </c>
      <c r="AB195" s="56">
        <f t="shared" si="91"/>
        <v>0</v>
      </c>
      <c r="AC195" s="56">
        <f t="shared" si="91"/>
        <v>0</v>
      </c>
      <c r="AD195" s="56">
        <f t="shared" si="91"/>
        <v>0</v>
      </c>
      <c r="AE195" s="56">
        <f t="shared" si="91"/>
        <v>0</v>
      </c>
      <c r="AF195" s="56">
        <f t="shared" si="91"/>
        <v>0</v>
      </c>
      <c r="AG195" s="56">
        <f t="shared" si="91"/>
        <v>0</v>
      </c>
      <c r="AH195" s="56">
        <f t="shared" si="91"/>
        <v>0</v>
      </c>
      <c r="AI195" s="56">
        <f t="shared" si="91"/>
        <v>0</v>
      </c>
      <c r="AJ195" s="56">
        <f t="shared" si="91"/>
        <v>0</v>
      </c>
      <c r="AK195" s="56">
        <f t="shared" si="91"/>
        <v>0</v>
      </c>
      <c r="AL195" s="56">
        <f t="shared" si="91"/>
        <v>0</v>
      </c>
      <c r="AM195" s="56">
        <f>SUM(AM191:AM194)</f>
        <v>0</v>
      </c>
      <c r="AN195" s="56">
        <f t="shared" ref="AN195:AP195" si="92">SUM(AN191:AN194)</f>
        <v>0</v>
      </c>
      <c r="AO195" s="56">
        <f t="shared" si="92"/>
        <v>0</v>
      </c>
      <c r="AP195" s="56">
        <f t="shared" si="92"/>
        <v>0</v>
      </c>
    </row>
    <row r="196" spans="1:42" x14ac:dyDescent="0.2">
      <c r="A196" s="301" t="s">
        <v>68</v>
      </c>
      <c r="C196" s="52">
        <f>C177+C183+C189+C195</f>
        <v>0</v>
      </c>
      <c r="D196" s="52">
        <f t="shared" ref="D196:AP196" si="93">D177+D183+D189+D195</f>
        <v>0</v>
      </c>
      <c r="E196" s="52">
        <f t="shared" si="93"/>
        <v>0</v>
      </c>
      <c r="F196" s="52">
        <f t="shared" si="93"/>
        <v>0</v>
      </c>
      <c r="G196" s="52">
        <f t="shared" si="93"/>
        <v>0</v>
      </c>
      <c r="H196" s="52">
        <f t="shared" si="93"/>
        <v>0</v>
      </c>
      <c r="I196" s="52">
        <f t="shared" si="93"/>
        <v>0</v>
      </c>
      <c r="J196" s="52">
        <f t="shared" si="93"/>
        <v>0</v>
      </c>
      <c r="K196" s="52">
        <f t="shared" si="93"/>
        <v>0</v>
      </c>
      <c r="L196" s="52">
        <f t="shared" si="93"/>
        <v>0</v>
      </c>
      <c r="M196" s="52">
        <f t="shared" si="93"/>
        <v>0</v>
      </c>
      <c r="N196" s="52">
        <f t="shared" si="93"/>
        <v>0</v>
      </c>
      <c r="O196" s="52">
        <f t="shared" si="93"/>
        <v>0</v>
      </c>
      <c r="P196" s="52">
        <f t="shared" si="93"/>
        <v>0</v>
      </c>
      <c r="Q196" s="52">
        <f t="shared" si="93"/>
        <v>0</v>
      </c>
      <c r="R196" s="52">
        <f t="shared" si="93"/>
        <v>0</v>
      </c>
      <c r="S196" s="52">
        <f t="shared" si="93"/>
        <v>0</v>
      </c>
      <c r="T196" s="52">
        <f t="shared" si="93"/>
        <v>0</v>
      </c>
      <c r="U196" s="52">
        <f t="shared" si="93"/>
        <v>0</v>
      </c>
      <c r="V196" s="52">
        <f t="shared" si="93"/>
        <v>0</v>
      </c>
      <c r="W196" s="52">
        <f t="shared" si="93"/>
        <v>0</v>
      </c>
      <c r="X196" s="52">
        <f t="shared" si="93"/>
        <v>0</v>
      </c>
      <c r="Y196" s="52">
        <f t="shared" si="93"/>
        <v>0</v>
      </c>
      <c r="Z196" s="52">
        <f t="shared" si="93"/>
        <v>0</v>
      </c>
      <c r="AA196" s="52">
        <f t="shared" si="93"/>
        <v>0</v>
      </c>
      <c r="AB196" s="52">
        <f t="shared" si="93"/>
        <v>0</v>
      </c>
      <c r="AC196" s="52">
        <f t="shared" si="93"/>
        <v>0</v>
      </c>
      <c r="AD196" s="52">
        <f t="shared" si="93"/>
        <v>0</v>
      </c>
      <c r="AE196" s="52">
        <f t="shared" si="93"/>
        <v>0</v>
      </c>
      <c r="AF196" s="52">
        <f t="shared" si="93"/>
        <v>0</v>
      </c>
      <c r="AG196" s="52">
        <f t="shared" si="93"/>
        <v>0</v>
      </c>
      <c r="AH196" s="52">
        <f t="shared" si="93"/>
        <v>0</v>
      </c>
      <c r="AI196" s="52">
        <f t="shared" si="93"/>
        <v>0</v>
      </c>
      <c r="AJ196" s="52">
        <f t="shared" si="93"/>
        <v>0</v>
      </c>
      <c r="AK196" s="52">
        <f t="shared" si="93"/>
        <v>0</v>
      </c>
      <c r="AL196" s="52">
        <f t="shared" si="93"/>
        <v>0</v>
      </c>
      <c r="AM196" s="52">
        <f t="shared" si="93"/>
        <v>0</v>
      </c>
      <c r="AN196" s="52">
        <f t="shared" si="93"/>
        <v>0</v>
      </c>
      <c r="AO196" s="52">
        <f t="shared" si="93"/>
        <v>0</v>
      </c>
      <c r="AP196" s="52">
        <f t="shared" si="93"/>
        <v>0</v>
      </c>
    </row>
    <row r="197" spans="1:42" x14ac:dyDescent="0.2">
      <c r="A197" s="304"/>
      <c r="C197" s="52"/>
      <c r="D197" s="52"/>
      <c r="E197" s="52"/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52"/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52"/>
    </row>
    <row r="198" spans="1:42" x14ac:dyDescent="0.2">
      <c r="A198" s="301" t="s">
        <v>69</v>
      </c>
      <c r="C198" s="56">
        <f>C170+C196</f>
        <v>-2821688.6799256932</v>
      </c>
      <c r="D198" s="56">
        <f t="shared" ref="D198:AP198" si="94">D170+D196</f>
        <v>-6207873.1870455621</v>
      </c>
      <c r="E198" s="56">
        <f t="shared" si="94"/>
        <v>-2360064.1246628417</v>
      </c>
      <c r="F198" s="56">
        <f t="shared" si="94"/>
        <v>25067.955738875109</v>
      </c>
      <c r="G198" s="56">
        <f t="shared" si="94"/>
        <v>211813.2900040044</v>
      </c>
      <c r="H198" s="56">
        <f t="shared" si="94"/>
        <v>2069736.3203630713</v>
      </c>
      <c r="I198" s="56">
        <f t="shared" si="94"/>
        <v>3940506.7476796084</v>
      </c>
      <c r="J198" s="56">
        <f t="shared" si="94"/>
        <v>4167841.8239381607</v>
      </c>
      <c r="K198" s="56">
        <f t="shared" si="94"/>
        <v>4412508.0668065157</v>
      </c>
      <c r="L198" s="56">
        <f t="shared" si="94"/>
        <v>4676554.7311128695</v>
      </c>
      <c r="M198" s="56">
        <f t="shared" si="94"/>
        <v>4961048.0206596209</v>
      </c>
      <c r="N198" s="56">
        <f t="shared" si="94"/>
        <v>4648396.738396341</v>
      </c>
      <c r="O198" s="56">
        <f t="shared" si="94"/>
        <v>4553077.0268755071</v>
      </c>
      <c r="P198" s="56">
        <f t="shared" si="94"/>
        <v>5267550.2155860309</v>
      </c>
      <c r="Q198" s="56">
        <f t="shared" si="94"/>
        <v>5532424.7035199087</v>
      </c>
      <c r="R198" s="56">
        <f t="shared" si="94"/>
        <v>5605229.5674506621</v>
      </c>
      <c r="S198" s="56">
        <f t="shared" si="94"/>
        <v>5855718.817174159</v>
      </c>
      <c r="T198" s="56">
        <f t="shared" si="94"/>
        <v>6059065.2181899725</v>
      </c>
      <c r="U198" s="56">
        <f t="shared" si="94"/>
        <v>6083142.2788960002</v>
      </c>
      <c r="V198" s="56">
        <f t="shared" si="94"/>
        <v>6106495.9177132426</v>
      </c>
      <c r="W198" s="56">
        <f t="shared" si="94"/>
        <v>6151878.8440607693</v>
      </c>
      <c r="X198" s="56">
        <f t="shared" si="94"/>
        <v>6196528.9842324387</v>
      </c>
      <c r="Y198" s="56">
        <f t="shared" si="94"/>
        <v>6217683.0618054727</v>
      </c>
      <c r="Z198" s="56">
        <f t="shared" si="94"/>
        <v>5404311.6283531953</v>
      </c>
      <c r="AA198" s="56">
        <f t="shared" si="94"/>
        <v>4850740.1688696817</v>
      </c>
      <c r="AB198" s="56">
        <f t="shared" si="94"/>
        <v>5405340.6832197327</v>
      </c>
      <c r="AC198" s="56">
        <f t="shared" si="94"/>
        <v>5745716.8619039515</v>
      </c>
      <c r="AD198" s="56">
        <f t="shared" si="94"/>
        <v>5765132.7186659994</v>
      </c>
      <c r="AE198" s="56">
        <f t="shared" si="94"/>
        <v>6023873.9587779418</v>
      </c>
      <c r="AF198" s="56">
        <f t="shared" si="94"/>
        <v>6281797.7380052004</v>
      </c>
      <c r="AG198" s="56">
        <f t="shared" si="94"/>
        <v>6298760.0689198142</v>
      </c>
      <c r="AH198" s="56">
        <f t="shared" si="94"/>
        <v>6314872.2631895673</v>
      </c>
      <c r="AI198" s="56">
        <f t="shared" si="94"/>
        <v>6330116.2637275271</v>
      </c>
      <c r="AJ198" s="56">
        <f t="shared" si="94"/>
        <v>6344472.8618283486</v>
      </c>
      <c r="AK198" s="56">
        <f t="shared" si="94"/>
        <v>6357921.6909327824</v>
      </c>
      <c r="AL198" s="56">
        <f t="shared" si="94"/>
        <v>5249101.7683057562</v>
      </c>
      <c r="AM198" s="56">
        <f t="shared" si="94"/>
        <v>4489748.4149859427</v>
      </c>
      <c r="AN198" s="56">
        <f t="shared" si="94"/>
        <v>5209820.845521668</v>
      </c>
      <c r="AO198" s="56">
        <f t="shared" si="94"/>
        <v>5641829.380240757</v>
      </c>
      <c r="AP198" s="56">
        <f t="shared" si="94"/>
        <v>9285635.385764271</v>
      </c>
    </row>
    <row r="199" spans="1:42" x14ac:dyDescent="0.2">
      <c r="A199" s="301" t="s">
        <v>138</v>
      </c>
      <c r="C199" s="56">
        <f t="shared" ref="C199:AP199" si="95">C198*-FedTax</f>
        <v>987591.03797399253</v>
      </c>
      <c r="D199" s="56">
        <f t="shared" si="95"/>
        <v>2172755.6154659465</v>
      </c>
      <c r="E199" s="56">
        <f t="shared" si="95"/>
        <v>826022.44363199454</v>
      </c>
      <c r="F199" s="56">
        <f t="shared" si="95"/>
        <v>-8773.784508606288</v>
      </c>
      <c r="G199" s="56">
        <f t="shared" si="95"/>
        <v>-74134.651501401531</v>
      </c>
      <c r="H199" s="56">
        <f t="shared" si="95"/>
        <v>-724407.71212707495</v>
      </c>
      <c r="I199" s="56">
        <f t="shared" si="95"/>
        <v>-1379177.3616878628</v>
      </c>
      <c r="J199" s="56">
        <f t="shared" si="95"/>
        <v>-1458744.6383783561</v>
      </c>
      <c r="K199" s="56">
        <f t="shared" si="95"/>
        <v>-1544377.8233822803</v>
      </c>
      <c r="L199" s="56">
        <f t="shared" si="95"/>
        <v>-1636794.1558895041</v>
      </c>
      <c r="M199" s="56">
        <f t="shared" si="95"/>
        <v>-1736366.8072308672</v>
      </c>
      <c r="N199" s="56">
        <f t="shared" si="95"/>
        <v>-1626938.8584387193</v>
      </c>
      <c r="O199" s="56">
        <f t="shared" si="95"/>
        <v>-1593576.9594064273</v>
      </c>
      <c r="P199" s="56">
        <f t="shared" si="95"/>
        <v>-1843642.5754551108</v>
      </c>
      <c r="Q199" s="56">
        <f t="shared" si="95"/>
        <v>-1936348.646231968</v>
      </c>
      <c r="R199" s="56">
        <f t="shared" si="95"/>
        <v>-1961830.3486077315</v>
      </c>
      <c r="S199" s="56">
        <f t="shared" si="95"/>
        <v>-2049501.5860109555</v>
      </c>
      <c r="T199" s="56">
        <f t="shared" si="95"/>
        <v>-2120672.8263664902</v>
      </c>
      <c r="U199" s="56">
        <f t="shared" si="95"/>
        <v>-2129099.7976135998</v>
      </c>
      <c r="V199" s="56">
        <f t="shared" si="95"/>
        <v>-2137273.5711996346</v>
      </c>
      <c r="W199" s="56">
        <f t="shared" si="95"/>
        <v>-2153157.5954212691</v>
      </c>
      <c r="X199" s="56">
        <f t="shared" si="95"/>
        <v>-2168785.1444813535</v>
      </c>
      <c r="Y199" s="56">
        <f t="shared" si="95"/>
        <v>-2176189.0716319154</v>
      </c>
      <c r="Z199" s="56">
        <f t="shared" si="95"/>
        <v>-1891509.0699236181</v>
      </c>
      <c r="AA199" s="56">
        <f t="shared" si="95"/>
        <v>-1697759.0591043886</v>
      </c>
      <c r="AB199" s="56">
        <f t="shared" si="95"/>
        <v>-1891869.2391269063</v>
      </c>
      <c r="AC199" s="56">
        <f t="shared" si="95"/>
        <v>-2011000.9016663828</v>
      </c>
      <c r="AD199" s="56">
        <f t="shared" si="95"/>
        <v>-2017796.4515330996</v>
      </c>
      <c r="AE199" s="56">
        <f t="shared" si="95"/>
        <v>-2108355.8855722793</v>
      </c>
      <c r="AF199" s="56">
        <f t="shared" si="95"/>
        <v>-2198629.2083018199</v>
      </c>
      <c r="AG199" s="56">
        <f t="shared" si="95"/>
        <v>-2204566.024121935</v>
      </c>
      <c r="AH199" s="56">
        <f t="shared" si="95"/>
        <v>-2210205.2921163482</v>
      </c>
      <c r="AI199" s="56">
        <f t="shared" si="95"/>
        <v>-2215540.6923046345</v>
      </c>
      <c r="AJ199" s="56">
        <f t="shared" si="95"/>
        <v>-2220565.5016399217</v>
      </c>
      <c r="AK199" s="56">
        <f t="shared" si="95"/>
        <v>-2225272.5918264738</v>
      </c>
      <c r="AL199" s="56">
        <f t="shared" si="95"/>
        <v>-1837185.6189070146</v>
      </c>
      <c r="AM199" s="56">
        <f t="shared" si="95"/>
        <v>-1571411.9452450799</v>
      </c>
      <c r="AN199" s="56">
        <f t="shared" si="95"/>
        <v>-1823437.2959325837</v>
      </c>
      <c r="AO199" s="56">
        <f t="shared" si="95"/>
        <v>-1974640.2830842647</v>
      </c>
      <c r="AP199" s="56">
        <f t="shared" si="95"/>
        <v>-3249972.3850174947</v>
      </c>
    </row>
    <row r="200" spans="1:42" x14ac:dyDescent="0.2">
      <c r="A200" s="65"/>
      <c r="C200" s="52"/>
      <c r="D200" s="52"/>
      <c r="E200" s="52"/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52"/>
      <c r="AE200" s="52"/>
      <c r="AF200" s="52"/>
      <c r="AG200" s="52"/>
      <c r="AH200" s="52"/>
      <c r="AI200" s="52"/>
      <c r="AJ200" s="52"/>
      <c r="AK200" s="52"/>
      <c r="AL200" s="52"/>
      <c r="AM200" s="52"/>
      <c r="AN200" s="52"/>
      <c r="AO200" s="52"/>
      <c r="AP200" s="52"/>
    </row>
    <row r="201" spans="1:42" x14ac:dyDescent="0.2">
      <c r="A201" s="45" t="s">
        <v>185</v>
      </c>
    </row>
    <row r="202" spans="1:42" x14ac:dyDescent="0.2">
      <c r="A202" s="57" t="s">
        <v>186</v>
      </c>
    </row>
    <row r="203" spans="1:42" x14ac:dyDescent="0.2">
      <c r="A203" s="17" t="s">
        <v>40</v>
      </c>
      <c r="G203" s="109" t="s">
        <v>94</v>
      </c>
      <c r="H203" s="110"/>
      <c r="I203" s="110"/>
      <c r="J203" s="111"/>
      <c r="K203" s="87" t="s">
        <v>95</v>
      </c>
      <c r="L203" s="88"/>
    </row>
    <row r="204" spans="1:42" ht="51" x14ac:dyDescent="0.2">
      <c r="B204" s="37" t="s">
        <v>84</v>
      </c>
      <c r="C204" s="37" t="s">
        <v>80</v>
      </c>
      <c r="D204" s="37" t="s">
        <v>82</v>
      </c>
      <c r="E204" s="67" t="s">
        <v>83</v>
      </c>
      <c r="F204" s="37" t="s">
        <v>85</v>
      </c>
      <c r="G204" s="37" t="s">
        <v>89</v>
      </c>
      <c r="H204" s="37" t="s">
        <v>91</v>
      </c>
      <c r="I204" s="37" t="s">
        <v>90</v>
      </c>
      <c r="J204" s="37" t="s">
        <v>92</v>
      </c>
      <c r="K204" s="89" t="s">
        <v>8</v>
      </c>
      <c r="L204" s="37" t="s">
        <v>92</v>
      </c>
      <c r="M204" s="68" t="s">
        <v>96</v>
      </c>
      <c r="N204" s="68" t="s">
        <v>97</v>
      </c>
      <c r="O204" s="37" t="s">
        <v>86</v>
      </c>
      <c r="P204" s="69" t="s">
        <v>153</v>
      </c>
      <c r="Q204" s="37" t="s">
        <v>154</v>
      </c>
    </row>
    <row r="205" spans="1:42" s="35" customFormat="1" x14ac:dyDescent="0.2">
      <c r="A205" s="103" t="str">
        <f>Inputs!B130</f>
        <v>5-yr MACRS</v>
      </c>
      <c r="B205" s="119">
        <f t="shared" ref="B205:B210" si="96">C205/$C$212</f>
        <v>0.93</v>
      </c>
      <c r="C205" s="38">
        <f>Inputs!H130</f>
        <v>35832900.930000015</v>
      </c>
      <c r="D205" s="38">
        <f>IF(StateBasisReduction="5-Yr MACRS",D212,$B205*D$212)</f>
        <v>0</v>
      </c>
      <c r="E205" s="38">
        <f>IF(StateBasisReduction="5-Yr MACRS",E212,$B205*E$212)</f>
        <v>0</v>
      </c>
      <c r="F205" s="84">
        <f>C205-D205-E205</f>
        <v>35832900.930000015</v>
      </c>
      <c r="G205" s="120">
        <f>IF(Inputs!G130="Yes",F205,0)</f>
        <v>35832900.930000015</v>
      </c>
      <c r="H205" s="131">
        <f>IF($G$212=0,0,G205/$G$212)</f>
        <v>1</v>
      </c>
      <c r="I205" s="121">
        <f t="shared" ref="I205:I210" si="97">$I$212*H205</f>
        <v>0</v>
      </c>
      <c r="J205" s="122">
        <f>I205*0.5</f>
        <v>0</v>
      </c>
      <c r="K205" s="123">
        <f t="shared" ref="K205:K210" si="98">H205*$K$212</f>
        <v>0</v>
      </c>
      <c r="L205" s="122">
        <f>K205*0.5</f>
        <v>0</v>
      </c>
      <c r="M205" s="38">
        <f t="shared" ref="M205:M210" si="99">IF(ITCStateFixedStateDeprec="Yes",L205,0)+IF(ITCStatePercentStateDeprec="Yes",J205,0)</f>
        <v>0</v>
      </c>
      <c r="N205" s="38">
        <f t="shared" ref="N205:N210" si="100">IF(ITCFedFixedStateDeprec="Yes",L339,0)+IF(ITCFedPercentStateDeprec="Yes",J339,0)</f>
        <v>5374935.1395000024</v>
      </c>
      <c r="O205" s="124">
        <f t="shared" ref="O205:O210" si="101">F205-M205-N205</f>
        <v>30457965.790500011</v>
      </c>
      <c r="P205" s="38">
        <f>IF(Inputs!E130="Yes",O205*StateBonusDeprec,0)</f>
        <v>0</v>
      </c>
      <c r="Q205" s="84">
        <f>O205-P205</f>
        <v>30457965.790500011</v>
      </c>
    </row>
    <row r="206" spans="1:42" s="35" customFormat="1" x14ac:dyDescent="0.2">
      <c r="A206" s="103" t="str">
        <f>Inputs!B131</f>
        <v>15-yr MACRS</v>
      </c>
      <c r="B206" s="119">
        <f t="shared" si="96"/>
        <v>1.4999999999999994E-2</v>
      </c>
      <c r="C206" s="38">
        <f>Inputs!H131</f>
        <v>577950.01500000001</v>
      </c>
      <c r="D206" s="38">
        <f t="shared" ref="D206:E210" si="102">IF(StateBasisReduction="5-Yr MACRS",0,$B206*D$212)</f>
        <v>0</v>
      </c>
      <c r="E206" s="38">
        <f t="shared" si="102"/>
        <v>0</v>
      </c>
      <c r="F206" s="84">
        <f t="shared" ref="F206:F210" si="103">C206-D206-E206</f>
        <v>577950.01500000001</v>
      </c>
      <c r="G206" s="123">
        <f>IF(Inputs!G131="Yes",F206,0)</f>
        <v>0</v>
      </c>
      <c r="H206" s="132">
        <f t="shared" ref="H206:H210" si="104">IF($G$212=0,0,G206/$G$212)</f>
        <v>0</v>
      </c>
      <c r="I206" s="38">
        <f t="shared" si="97"/>
        <v>0</v>
      </c>
      <c r="J206" s="116">
        <f t="shared" ref="J206:J210" si="105">I206*0.5</f>
        <v>0</v>
      </c>
      <c r="K206" s="123">
        <f t="shared" si="98"/>
        <v>0</v>
      </c>
      <c r="L206" s="116">
        <f t="shared" ref="L206:L210" si="106">K206*0.5</f>
        <v>0</v>
      </c>
      <c r="M206" s="38">
        <f t="shared" si="99"/>
        <v>0</v>
      </c>
      <c r="N206" s="38">
        <f t="shared" si="100"/>
        <v>0</v>
      </c>
      <c r="O206" s="84">
        <f t="shared" si="101"/>
        <v>577950.01500000001</v>
      </c>
      <c r="P206" s="38">
        <f>IF(Inputs!E131="Yes",O206*StateBonusDeprec,0)</f>
        <v>0</v>
      </c>
      <c r="Q206" s="84">
        <f t="shared" ref="Q206:Q210" si="107">O206-P206</f>
        <v>577950.01500000001</v>
      </c>
    </row>
    <row r="207" spans="1:42" s="35" customFormat="1" x14ac:dyDescent="0.2">
      <c r="A207" s="103" t="str">
        <f>Inputs!B132</f>
        <v>5-yr SL</v>
      </c>
      <c r="B207" s="119">
        <f t="shared" si="96"/>
        <v>0</v>
      </c>
      <c r="C207" s="38">
        <f>Inputs!H132</f>
        <v>0</v>
      </c>
      <c r="D207" s="38">
        <f t="shared" si="102"/>
        <v>0</v>
      </c>
      <c r="E207" s="38">
        <f t="shared" si="102"/>
        <v>0</v>
      </c>
      <c r="F207" s="84">
        <f t="shared" si="103"/>
        <v>0</v>
      </c>
      <c r="G207" s="123">
        <f>IF(Inputs!G132="Yes",F207,0)</f>
        <v>0</v>
      </c>
      <c r="H207" s="132">
        <f t="shared" si="104"/>
        <v>0</v>
      </c>
      <c r="I207" s="38">
        <f t="shared" si="97"/>
        <v>0</v>
      </c>
      <c r="J207" s="116">
        <f t="shared" si="105"/>
        <v>0</v>
      </c>
      <c r="K207" s="123">
        <f t="shared" si="98"/>
        <v>0</v>
      </c>
      <c r="L207" s="116">
        <f t="shared" si="106"/>
        <v>0</v>
      </c>
      <c r="M207" s="38">
        <f t="shared" si="99"/>
        <v>0</v>
      </c>
      <c r="N207" s="38">
        <f t="shared" si="100"/>
        <v>0</v>
      </c>
      <c r="O207" s="84">
        <f t="shared" si="101"/>
        <v>0</v>
      </c>
      <c r="P207" s="38">
        <f>IF(Inputs!E132="Yes",O207*StateBonusDeprec,0)</f>
        <v>0</v>
      </c>
      <c r="Q207" s="84">
        <f t="shared" si="107"/>
        <v>0</v>
      </c>
    </row>
    <row r="208" spans="1:42" s="35" customFormat="1" x14ac:dyDescent="0.2">
      <c r="A208" s="103" t="str">
        <f>Inputs!B133</f>
        <v>15-yr SL</v>
      </c>
      <c r="B208" s="119">
        <f t="shared" si="96"/>
        <v>2.4999999999999991E-2</v>
      </c>
      <c r="C208" s="38">
        <f>Inputs!H133</f>
        <v>963250.02500000002</v>
      </c>
      <c r="D208" s="38">
        <f t="shared" si="102"/>
        <v>0</v>
      </c>
      <c r="E208" s="38">
        <f t="shared" si="102"/>
        <v>0</v>
      </c>
      <c r="F208" s="84">
        <f t="shared" si="103"/>
        <v>963250.02500000002</v>
      </c>
      <c r="G208" s="123">
        <f>IF(Inputs!G133="Yes",F208,0)</f>
        <v>0</v>
      </c>
      <c r="H208" s="132">
        <f t="shared" si="104"/>
        <v>0</v>
      </c>
      <c r="I208" s="38">
        <f t="shared" si="97"/>
        <v>0</v>
      </c>
      <c r="J208" s="116">
        <f t="shared" si="105"/>
        <v>0</v>
      </c>
      <c r="K208" s="123">
        <f t="shared" si="98"/>
        <v>0</v>
      </c>
      <c r="L208" s="116">
        <f t="shared" si="106"/>
        <v>0</v>
      </c>
      <c r="M208" s="38">
        <f t="shared" si="99"/>
        <v>0</v>
      </c>
      <c r="N208" s="38">
        <f t="shared" si="100"/>
        <v>0</v>
      </c>
      <c r="O208" s="84">
        <f t="shared" si="101"/>
        <v>963250.02500000002</v>
      </c>
      <c r="P208" s="38">
        <f>IF(Inputs!E133="Yes",O208*StateBonusDeprec,0)</f>
        <v>0</v>
      </c>
      <c r="Q208" s="84">
        <f t="shared" si="107"/>
        <v>963250.02500000002</v>
      </c>
    </row>
    <row r="209" spans="1:17" s="35" customFormat="1" x14ac:dyDescent="0.2">
      <c r="A209" s="103" t="str">
        <f>Inputs!B134</f>
        <v>20-yr SL</v>
      </c>
      <c r="B209" s="119">
        <f t="shared" si="96"/>
        <v>2.4999999999999991E-2</v>
      </c>
      <c r="C209" s="38">
        <f>Inputs!H134</f>
        <v>963250.02500000002</v>
      </c>
      <c r="D209" s="38">
        <f t="shared" si="102"/>
        <v>0</v>
      </c>
      <c r="E209" s="38">
        <f t="shared" si="102"/>
        <v>0</v>
      </c>
      <c r="F209" s="84">
        <f t="shared" si="103"/>
        <v>963250.02500000002</v>
      </c>
      <c r="G209" s="123">
        <f>IF(Inputs!G134="Yes",F209,0)</f>
        <v>0</v>
      </c>
      <c r="H209" s="132">
        <f t="shared" si="104"/>
        <v>0</v>
      </c>
      <c r="I209" s="38">
        <f t="shared" si="97"/>
        <v>0</v>
      </c>
      <c r="J209" s="116">
        <f t="shared" si="105"/>
        <v>0</v>
      </c>
      <c r="K209" s="123">
        <f t="shared" si="98"/>
        <v>0</v>
      </c>
      <c r="L209" s="116">
        <f t="shared" si="106"/>
        <v>0</v>
      </c>
      <c r="M209" s="38">
        <f t="shared" si="99"/>
        <v>0</v>
      </c>
      <c r="N209" s="38">
        <f t="shared" si="100"/>
        <v>0</v>
      </c>
      <c r="O209" s="84">
        <f t="shared" si="101"/>
        <v>963250.02500000002</v>
      </c>
      <c r="P209" s="38">
        <f>IF(Inputs!E134="Yes",O209*StateBonusDeprec,0)</f>
        <v>0</v>
      </c>
      <c r="Q209" s="84">
        <f t="shared" si="107"/>
        <v>963250.02500000002</v>
      </c>
    </row>
    <row r="210" spans="1:17" s="35" customFormat="1" x14ac:dyDescent="0.2">
      <c r="A210" s="103" t="str">
        <f>Inputs!B135</f>
        <v>39-yr SL</v>
      </c>
      <c r="B210" s="119">
        <f t="shared" si="96"/>
        <v>4.9999999999999984E-3</v>
      </c>
      <c r="C210" s="38">
        <f>Inputs!H135</f>
        <v>192650.005</v>
      </c>
      <c r="D210" s="38">
        <f t="shared" si="102"/>
        <v>0</v>
      </c>
      <c r="E210" s="38">
        <f t="shared" si="102"/>
        <v>0</v>
      </c>
      <c r="F210" s="84">
        <f t="shared" si="103"/>
        <v>192650.005</v>
      </c>
      <c r="G210" s="123">
        <f>IF(Inputs!G135="Yes",F210,0)</f>
        <v>0</v>
      </c>
      <c r="H210" s="132">
        <f t="shared" si="104"/>
        <v>0</v>
      </c>
      <c r="I210" s="38">
        <f t="shared" si="97"/>
        <v>0</v>
      </c>
      <c r="J210" s="116">
        <f t="shared" si="105"/>
        <v>0</v>
      </c>
      <c r="K210" s="123">
        <f t="shared" si="98"/>
        <v>0</v>
      </c>
      <c r="L210" s="116">
        <f t="shared" si="106"/>
        <v>0</v>
      </c>
      <c r="M210" s="38">
        <f t="shared" si="99"/>
        <v>0</v>
      </c>
      <c r="N210" s="38">
        <f t="shared" si="100"/>
        <v>0</v>
      </c>
      <c r="O210" s="84">
        <f t="shared" si="101"/>
        <v>192650.005</v>
      </c>
      <c r="P210" s="38">
        <f>IF(Inputs!E135="Yes",O210*StateBonusDeprec,0)</f>
        <v>0</v>
      </c>
      <c r="Q210" s="84">
        <f t="shared" si="107"/>
        <v>192650.005</v>
      </c>
    </row>
    <row r="211" spans="1:17" x14ac:dyDescent="0.2">
      <c r="A211" s="106" t="s">
        <v>172</v>
      </c>
      <c r="B211" s="70"/>
      <c r="C211" s="71"/>
      <c r="D211" s="72"/>
      <c r="E211" s="72"/>
      <c r="F211" s="33"/>
      <c r="G211" s="70"/>
      <c r="H211" s="90"/>
      <c r="I211" s="90"/>
      <c r="J211" s="112"/>
      <c r="K211" s="70"/>
      <c r="L211" s="112"/>
      <c r="M211" s="72"/>
      <c r="N211" s="72"/>
      <c r="O211" s="33"/>
      <c r="P211" s="72"/>
      <c r="Q211" s="33"/>
    </row>
    <row r="212" spans="1:17" s="35" customFormat="1" x14ac:dyDescent="0.2">
      <c r="B212" s="125">
        <f>SUM(B205:B211)</f>
        <v>1</v>
      </c>
      <c r="C212" s="64">
        <f>SUM(C205:C211)</f>
        <v>38530001.000000015</v>
      </c>
      <c r="D212" s="64">
        <f>B221+B227</f>
        <v>0</v>
      </c>
      <c r="E212" s="64">
        <f>B233</f>
        <v>0</v>
      </c>
      <c r="F212" s="85">
        <f t="shared" ref="F212:Q212" si="108">SUM(F205:F211)</f>
        <v>38530001.000000015</v>
      </c>
      <c r="G212" s="85">
        <f>SUM(G205:G211)</f>
        <v>35832900.930000015</v>
      </c>
      <c r="H212" s="126">
        <f>SUM(H205:H211)</f>
        <v>1</v>
      </c>
      <c r="I212" s="85">
        <f>MIN(ITCStateMax,ITCStatePercent*G212)</f>
        <v>0</v>
      </c>
      <c r="J212" s="85">
        <f>SUM(J205:J211)</f>
        <v>0</v>
      </c>
      <c r="K212" s="85">
        <f>ITCStateFixed</f>
        <v>0</v>
      </c>
      <c r="L212" s="85">
        <f>SUM(L205:L211)</f>
        <v>0</v>
      </c>
      <c r="M212" s="64">
        <f t="shared" si="108"/>
        <v>0</v>
      </c>
      <c r="N212" s="64">
        <f t="shared" si="108"/>
        <v>5374935.1395000024</v>
      </c>
      <c r="O212" s="85">
        <f t="shared" si="108"/>
        <v>33155065.860500008</v>
      </c>
      <c r="P212" s="85">
        <f t="shared" si="108"/>
        <v>0</v>
      </c>
      <c r="Q212" s="85">
        <f t="shared" si="108"/>
        <v>33155065.860500008</v>
      </c>
    </row>
    <row r="214" spans="1:17" x14ac:dyDescent="0.2">
      <c r="A214" s="17" t="s">
        <v>93</v>
      </c>
    </row>
    <row r="215" spans="1:17" x14ac:dyDescent="0.2">
      <c r="A215" s="50" t="str">
        <f>A484</f>
        <v>Investment Based Incentive (IBI)</v>
      </c>
    </row>
    <row r="216" spans="1:17" x14ac:dyDescent="0.2">
      <c r="A216" s="62" t="str">
        <f t="shared" ref="A216:A232" si="109">A485</f>
        <v>As fixed amount</v>
      </c>
    </row>
    <row r="217" spans="1:17" x14ac:dyDescent="0.2">
      <c r="A217" s="74" t="str">
        <f t="shared" si="109"/>
        <v>Federal ($)</v>
      </c>
      <c r="B217" s="39">
        <f>IF(IBIFedFixedStateDeprec="Yes",IBIFedFixed,0)</f>
        <v>0</v>
      </c>
    </row>
    <row r="218" spans="1:17" x14ac:dyDescent="0.2">
      <c r="A218" s="74" t="str">
        <f t="shared" si="109"/>
        <v>State ($)</v>
      </c>
      <c r="B218" s="39">
        <f>IF(IBIStateFixedStateDeprec="Yes",IBIStateFixed,0)</f>
        <v>0</v>
      </c>
    </row>
    <row r="219" spans="1:17" x14ac:dyDescent="0.2">
      <c r="A219" s="74" t="str">
        <f t="shared" si="109"/>
        <v>Utility ($)</v>
      </c>
      <c r="B219" s="39">
        <f>IF(IBIUtilityFixedStateDeprec="Yes",IBIUtilityFixed,0)</f>
        <v>0</v>
      </c>
    </row>
    <row r="220" spans="1:17" x14ac:dyDescent="0.2">
      <c r="A220" s="74" t="str">
        <f t="shared" si="109"/>
        <v>Other ($)</v>
      </c>
      <c r="B220" s="53">
        <f>IF(IBIOtherFixedStateDeprec="Yes",IBIOtherFixed,0)</f>
        <v>0</v>
      </c>
    </row>
    <row r="221" spans="1:17" x14ac:dyDescent="0.2">
      <c r="A221" s="74" t="str">
        <f t="shared" si="109"/>
        <v>Total</v>
      </c>
      <c r="B221" s="39">
        <f>SUM(B217:B220)</f>
        <v>0</v>
      </c>
    </row>
    <row r="222" spans="1:17" x14ac:dyDescent="0.2">
      <c r="A222" s="62" t="str">
        <f t="shared" si="109"/>
        <v>As percentage</v>
      </c>
    </row>
    <row r="223" spans="1:17" x14ac:dyDescent="0.2">
      <c r="A223" s="74" t="str">
        <f t="shared" si="109"/>
        <v>Federal (% of total installed cost)</v>
      </c>
      <c r="B223" s="39">
        <f>IF(IBIFedPercentStateDeprec="Yes",IBIFedPercent,0)</f>
        <v>0</v>
      </c>
    </row>
    <row r="224" spans="1:17" x14ac:dyDescent="0.2">
      <c r="A224" s="74" t="str">
        <f>A493</f>
        <v>State (% of total installed cost)</v>
      </c>
      <c r="B224" s="39">
        <f>IF(IBIStatePercentStateDeprec="Yes",IBIStatePercent,0)</f>
        <v>0</v>
      </c>
    </row>
    <row r="225" spans="1:42" x14ac:dyDescent="0.2">
      <c r="A225" s="74" t="str">
        <f t="shared" si="109"/>
        <v>Utility (% of total installed cost)</v>
      </c>
      <c r="B225" s="39">
        <f>IF(IBIUtilityPercentStateDeprec="Yes",IBIUtilityPercent,0)</f>
        <v>0</v>
      </c>
    </row>
    <row r="226" spans="1:42" x14ac:dyDescent="0.2">
      <c r="A226" s="74" t="str">
        <f t="shared" si="109"/>
        <v>Other (% of total installed cost)</v>
      </c>
      <c r="B226" s="53">
        <f>IF(IBIOtherPercentStateDeprec="Yes",IBIOtherPercent,0)</f>
        <v>0</v>
      </c>
    </row>
    <row r="227" spans="1:42" x14ac:dyDescent="0.2">
      <c r="A227" s="74" t="str">
        <f t="shared" si="109"/>
        <v>Total</v>
      </c>
      <c r="B227" s="39">
        <f>SUM(B223:B226)</f>
        <v>0</v>
      </c>
    </row>
    <row r="228" spans="1:42" x14ac:dyDescent="0.2">
      <c r="A228" s="50" t="str">
        <f t="shared" si="109"/>
        <v>Capacity Based Incentive (CBI)</v>
      </c>
    </row>
    <row r="229" spans="1:42" x14ac:dyDescent="0.2">
      <c r="A229" s="62" t="str">
        <f t="shared" si="109"/>
        <v>Federal ($/W)</v>
      </c>
      <c r="B229" s="39">
        <f>IF(CBIFedStateDeprec="Yes",CBIFed,0)</f>
        <v>0</v>
      </c>
    </row>
    <row r="230" spans="1:42" x14ac:dyDescent="0.2">
      <c r="A230" s="62" t="str">
        <f>A499</f>
        <v>State ($/W)</v>
      </c>
      <c r="B230" s="39">
        <f>IF(CBIStateStateDeprec="Yes",CBIState,0)</f>
        <v>0</v>
      </c>
    </row>
    <row r="231" spans="1:42" x14ac:dyDescent="0.2">
      <c r="A231" s="62" t="str">
        <f t="shared" si="109"/>
        <v>Utility ($/W)</v>
      </c>
      <c r="B231" s="39">
        <f>IF(CBIUtilityStateDeprec="Yes",CBIUtility,0)</f>
        <v>0</v>
      </c>
    </row>
    <row r="232" spans="1:42" x14ac:dyDescent="0.2">
      <c r="A232" s="62" t="str">
        <f t="shared" si="109"/>
        <v>Other ($/W)</v>
      </c>
      <c r="B232" s="53">
        <f>IF(CBIOtherStateDeprec="Yes",CBIOther,0)</f>
        <v>0</v>
      </c>
    </row>
    <row r="233" spans="1:42" x14ac:dyDescent="0.2">
      <c r="A233" s="62" t="str">
        <f>A502</f>
        <v>Total</v>
      </c>
      <c r="B233" s="56">
        <f>SUM(B229:B232)</f>
        <v>0</v>
      </c>
    </row>
    <row r="234" spans="1:42" x14ac:dyDescent="0.2">
      <c r="A234" s="50" t="s">
        <v>81</v>
      </c>
      <c r="B234" s="39">
        <f>B221+B227+B233</f>
        <v>0</v>
      </c>
    </row>
    <row r="236" spans="1:42" x14ac:dyDescent="0.2">
      <c r="A236" s="17" t="s">
        <v>141</v>
      </c>
    </row>
    <row r="237" spans="1:42" x14ac:dyDescent="0.2">
      <c r="A237" s="50" t="s">
        <v>87</v>
      </c>
    </row>
    <row r="238" spans="1:42" x14ac:dyDescent="0.2">
      <c r="A238" s="66" t="str">
        <f>A205</f>
        <v>5-yr MACRS</v>
      </c>
      <c r="B238" s="75">
        <f>SUM(C238:AP238)</f>
        <v>0.99999999999999989</v>
      </c>
      <c r="C238" s="76">
        <f>LOOKUP(C$2,'Depreciation Schedules'!$A$3:$A$42,'Depreciation Schedules'!$B$3:$B$42)</f>
        <v>0.2</v>
      </c>
      <c r="D238" s="76">
        <f>LOOKUP(D$2,'Depreciation Schedules'!$A$3:$A$42,'Depreciation Schedules'!$B$3:$B$42)</f>
        <v>0.32</v>
      </c>
      <c r="E238" s="76">
        <f>LOOKUP(E$2,'Depreciation Schedules'!$A$3:$A$42,'Depreciation Schedules'!$B$3:$B$42)</f>
        <v>0.192</v>
      </c>
      <c r="F238" s="76">
        <f>LOOKUP(F$2,'Depreciation Schedules'!$A$3:$A$42,'Depreciation Schedules'!$B$3:$B$42)</f>
        <v>0.1152</v>
      </c>
      <c r="G238" s="76">
        <f>LOOKUP(G$2,'Depreciation Schedules'!$A$3:$A$42,'Depreciation Schedules'!$B$3:$B$42)</f>
        <v>0.1152</v>
      </c>
      <c r="H238" s="76">
        <f>LOOKUP(H$2,'Depreciation Schedules'!$A$3:$A$42,'Depreciation Schedules'!$B$3:$B$42)</f>
        <v>5.7599999999999998E-2</v>
      </c>
      <c r="I238" s="76">
        <f>LOOKUP(I$2,'Depreciation Schedules'!$A$3:$A$42,'Depreciation Schedules'!$B$3:$B$42)</f>
        <v>0</v>
      </c>
      <c r="J238" s="76">
        <f>LOOKUP(J$2,'Depreciation Schedules'!$A$3:$A$42,'Depreciation Schedules'!$B$3:$B$42)</f>
        <v>0</v>
      </c>
      <c r="K238" s="76">
        <f>LOOKUP(K$2,'Depreciation Schedules'!$A$3:$A$42,'Depreciation Schedules'!$B$3:$B$42)</f>
        <v>0</v>
      </c>
      <c r="L238" s="76">
        <f>LOOKUP(L$2,'Depreciation Schedules'!$A$3:$A$42,'Depreciation Schedules'!$B$3:$B$42)</f>
        <v>0</v>
      </c>
      <c r="M238" s="76">
        <f>LOOKUP(M$2,'Depreciation Schedules'!$A$3:$A$42,'Depreciation Schedules'!$B$3:$B$42)</f>
        <v>0</v>
      </c>
      <c r="N238" s="76">
        <f>LOOKUP(N$2,'Depreciation Schedules'!$A$3:$A$42,'Depreciation Schedules'!$B$3:$B$42)</f>
        <v>0</v>
      </c>
      <c r="O238" s="76">
        <f>LOOKUP(O$2,'Depreciation Schedules'!$A$3:$A$42,'Depreciation Schedules'!$B$3:$B$42)</f>
        <v>0</v>
      </c>
      <c r="P238" s="76">
        <f>LOOKUP(P$2,'Depreciation Schedules'!$A$3:$A$42,'Depreciation Schedules'!$B$3:$B$42)</f>
        <v>0</v>
      </c>
      <c r="Q238" s="76">
        <f>LOOKUP(Q$2,'Depreciation Schedules'!$A$3:$A$42,'Depreciation Schedules'!$B$3:$B$42)</f>
        <v>0</v>
      </c>
      <c r="R238" s="76">
        <f>LOOKUP(R$2,'Depreciation Schedules'!$A$3:$A$42,'Depreciation Schedules'!$B$3:$B$42)</f>
        <v>0</v>
      </c>
      <c r="S238" s="76">
        <f>LOOKUP(S$2,'Depreciation Schedules'!$A$3:$A$42,'Depreciation Schedules'!$B$3:$B$42)</f>
        <v>0</v>
      </c>
      <c r="T238" s="76">
        <f>LOOKUP(T$2,'Depreciation Schedules'!$A$3:$A$42,'Depreciation Schedules'!$B$3:$B$42)</f>
        <v>0</v>
      </c>
      <c r="U238" s="76">
        <f>LOOKUP(U$2,'Depreciation Schedules'!$A$3:$A$42,'Depreciation Schedules'!$B$3:$B$42)</f>
        <v>0</v>
      </c>
      <c r="V238" s="76">
        <f>LOOKUP(V$2,'Depreciation Schedules'!$A$3:$A$42,'Depreciation Schedules'!$B$3:$B$42)</f>
        <v>0</v>
      </c>
      <c r="W238" s="76">
        <f>LOOKUP(W$2,'Depreciation Schedules'!$A$3:$A$42,'Depreciation Schedules'!$B$3:$B$42)</f>
        <v>0</v>
      </c>
      <c r="X238" s="76">
        <f>LOOKUP(X$2,'Depreciation Schedules'!$A$3:$A$42,'Depreciation Schedules'!$B$3:$B$42)</f>
        <v>0</v>
      </c>
      <c r="Y238" s="76">
        <f>LOOKUP(Y$2,'Depreciation Schedules'!$A$3:$A$42,'Depreciation Schedules'!$B$3:$B$42)</f>
        <v>0</v>
      </c>
      <c r="Z238" s="76">
        <f>LOOKUP(Z$2,'Depreciation Schedules'!$A$3:$A$42,'Depreciation Schedules'!$B$3:$B$42)</f>
        <v>0</v>
      </c>
      <c r="AA238" s="76">
        <f>LOOKUP(AA$2,'Depreciation Schedules'!$A$3:$A$42,'Depreciation Schedules'!$B$3:$B$42)</f>
        <v>0</v>
      </c>
      <c r="AB238" s="76">
        <f>LOOKUP(AB$2,'Depreciation Schedules'!$A$3:$A$42,'Depreciation Schedules'!$B$3:$B$42)</f>
        <v>0</v>
      </c>
      <c r="AC238" s="76">
        <f>LOOKUP(AC$2,'Depreciation Schedules'!$A$3:$A$42,'Depreciation Schedules'!$B$3:$B$42)</f>
        <v>0</v>
      </c>
      <c r="AD238" s="76">
        <f>LOOKUP(AD$2,'Depreciation Schedules'!$A$3:$A$42,'Depreciation Schedules'!$B$3:$B$42)</f>
        <v>0</v>
      </c>
      <c r="AE238" s="76">
        <f>LOOKUP(AE$2,'Depreciation Schedules'!$A$3:$A$42,'Depreciation Schedules'!$B$3:$B$42)</f>
        <v>0</v>
      </c>
      <c r="AF238" s="76">
        <f>LOOKUP(AF$2,'Depreciation Schedules'!$A$3:$A$42,'Depreciation Schedules'!$B$3:$B$42)</f>
        <v>0</v>
      </c>
      <c r="AG238" s="76">
        <f>LOOKUP(AG$2,'Depreciation Schedules'!$A$3:$A$42,'Depreciation Schedules'!$B$3:$B$42)</f>
        <v>0</v>
      </c>
      <c r="AH238" s="76">
        <f>LOOKUP(AH$2,'Depreciation Schedules'!$A$3:$A$42,'Depreciation Schedules'!$B$3:$B$42)</f>
        <v>0</v>
      </c>
      <c r="AI238" s="76">
        <f>LOOKUP(AI$2,'Depreciation Schedules'!$A$3:$A$42,'Depreciation Schedules'!$B$3:$B$42)</f>
        <v>0</v>
      </c>
      <c r="AJ238" s="76">
        <f>LOOKUP(AJ$2,'Depreciation Schedules'!$A$3:$A$42,'Depreciation Schedules'!$B$3:$B$42)</f>
        <v>0</v>
      </c>
      <c r="AK238" s="76">
        <f>LOOKUP(AK$2,'Depreciation Schedules'!$A$3:$A$42,'Depreciation Schedules'!$B$3:$B$42)</f>
        <v>0</v>
      </c>
      <c r="AL238" s="76">
        <f>LOOKUP(AL$2,'Depreciation Schedules'!$A$3:$A$42,'Depreciation Schedules'!$B$3:$B$42)</f>
        <v>0</v>
      </c>
      <c r="AM238" s="76">
        <f>LOOKUP(AM$2,'Depreciation Schedules'!$A$3:$A$42,'Depreciation Schedules'!$B$3:$B$42)</f>
        <v>0</v>
      </c>
      <c r="AN238" s="76">
        <f>LOOKUP(AN$2,'Depreciation Schedules'!$A$3:$A$42,'Depreciation Schedules'!$B$3:$B$42)</f>
        <v>0</v>
      </c>
      <c r="AO238" s="76">
        <f>LOOKUP(AO$2,'Depreciation Schedules'!$A$3:$A$42,'Depreciation Schedules'!$B$3:$B$42)</f>
        <v>0</v>
      </c>
      <c r="AP238" s="76">
        <f>LOOKUP(AP$2,'Depreciation Schedules'!$A$3:$A$42,'Depreciation Schedules'!$B$3:$B$42)</f>
        <v>0</v>
      </c>
    </row>
    <row r="239" spans="1:42" x14ac:dyDescent="0.2">
      <c r="A239" s="66" t="str">
        <f t="shared" ref="A239:A243" si="110">A206</f>
        <v>15-yr MACRS</v>
      </c>
      <c r="B239" s="77">
        <f t="shared" ref="B239:B243" si="111">SUM(C239:AP239)</f>
        <v>1.0000000000000002</v>
      </c>
      <c r="C239" s="76">
        <f>LOOKUP(C$2,'Depreciation Schedules'!$A$3:$A$42,'Depreciation Schedules'!$C$3:$C$42)</f>
        <v>0.05</v>
      </c>
      <c r="D239" s="76">
        <f>LOOKUP(D$2,'Depreciation Schedules'!$A$3:$A$42,'Depreciation Schedules'!$C$3:$C$42)</f>
        <v>9.5000000000000001E-2</v>
      </c>
      <c r="E239" s="76">
        <f>LOOKUP(E$2,'Depreciation Schedules'!$A$3:$A$42,'Depreciation Schedules'!$C$3:$C$42)</f>
        <v>8.5500000000000007E-2</v>
      </c>
      <c r="F239" s="76">
        <f>LOOKUP(F$2,'Depreciation Schedules'!$A$3:$A$42,'Depreciation Schedules'!$C$3:$C$42)</f>
        <v>7.6999999999999999E-2</v>
      </c>
      <c r="G239" s="76">
        <f>LOOKUP(G$2,'Depreciation Schedules'!$A$3:$A$42,'Depreciation Schedules'!$C$3:$C$42)</f>
        <v>6.93E-2</v>
      </c>
      <c r="H239" s="76">
        <f>LOOKUP(H$2,'Depreciation Schedules'!$A$3:$A$42,'Depreciation Schedules'!$C$3:$C$42)</f>
        <v>6.2300000000000001E-2</v>
      </c>
      <c r="I239" s="76">
        <f>LOOKUP(I$2,'Depreciation Schedules'!$A$3:$A$42,'Depreciation Schedules'!$C$3:$C$42)</f>
        <v>5.8999999999999997E-2</v>
      </c>
      <c r="J239" s="76">
        <f>LOOKUP(J$2,'Depreciation Schedules'!$A$3:$A$42,'Depreciation Schedules'!$C$3:$C$42)</f>
        <v>5.8999999999999997E-2</v>
      </c>
      <c r="K239" s="76">
        <f>LOOKUP(K$2,'Depreciation Schedules'!$A$3:$A$42,'Depreciation Schedules'!$C$3:$C$42)</f>
        <v>5.91E-2</v>
      </c>
      <c r="L239" s="76">
        <f>LOOKUP(L$2,'Depreciation Schedules'!$A$3:$A$42,'Depreciation Schedules'!$C$3:$C$42)</f>
        <v>5.8999999999999997E-2</v>
      </c>
      <c r="M239" s="76">
        <f>LOOKUP(M$2,'Depreciation Schedules'!$A$3:$A$42,'Depreciation Schedules'!$C$3:$C$42)</f>
        <v>5.91E-2</v>
      </c>
      <c r="N239" s="76">
        <f>LOOKUP(N$2,'Depreciation Schedules'!$A$3:$A$42,'Depreciation Schedules'!$C$3:$C$42)</f>
        <v>5.8999999999999997E-2</v>
      </c>
      <c r="O239" s="76">
        <f>LOOKUP(O$2,'Depreciation Schedules'!$A$3:$A$42,'Depreciation Schedules'!$C$3:$C$42)</f>
        <v>5.91E-2</v>
      </c>
      <c r="P239" s="76">
        <f>LOOKUP(P$2,'Depreciation Schedules'!$A$3:$A$42,'Depreciation Schedules'!$C$3:$C$42)</f>
        <v>5.8999999999999997E-2</v>
      </c>
      <c r="Q239" s="76">
        <f>LOOKUP(Q$2,'Depreciation Schedules'!$A$3:$A$42,'Depreciation Schedules'!$C$3:$C$42)</f>
        <v>5.91E-2</v>
      </c>
      <c r="R239" s="76">
        <f>LOOKUP(R$2,'Depreciation Schedules'!$A$3:$A$42,'Depreciation Schedules'!$C$3:$C$42)</f>
        <v>2.9499999999999998E-2</v>
      </c>
      <c r="S239" s="76">
        <f>LOOKUP(S$2,'Depreciation Schedules'!$A$3:$A$42,'Depreciation Schedules'!$C$3:$C$42)</f>
        <v>0</v>
      </c>
      <c r="T239" s="76">
        <f>LOOKUP(T$2,'Depreciation Schedules'!$A$3:$A$42,'Depreciation Schedules'!$C$3:$C$42)</f>
        <v>0</v>
      </c>
      <c r="U239" s="76">
        <f>LOOKUP(U$2,'Depreciation Schedules'!$A$3:$A$42,'Depreciation Schedules'!$C$3:$C$42)</f>
        <v>0</v>
      </c>
      <c r="V239" s="76">
        <f>LOOKUP(V$2,'Depreciation Schedules'!$A$3:$A$42,'Depreciation Schedules'!$C$3:$C$42)</f>
        <v>0</v>
      </c>
      <c r="W239" s="76">
        <f>LOOKUP(W$2,'Depreciation Schedules'!$A$3:$A$42,'Depreciation Schedules'!$C$3:$C$42)</f>
        <v>0</v>
      </c>
      <c r="X239" s="76">
        <f>LOOKUP(X$2,'Depreciation Schedules'!$A$3:$A$42,'Depreciation Schedules'!$C$3:$C$42)</f>
        <v>0</v>
      </c>
      <c r="Y239" s="76">
        <f>LOOKUP(Y$2,'Depreciation Schedules'!$A$3:$A$42,'Depreciation Schedules'!$C$3:$C$42)</f>
        <v>0</v>
      </c>
      <c r="Z239" s="76">
        <f>LOOKUP(Z$2,'Depreciation Schedules'!$A$3:$A$42,'Depreciation Schedules'!$C$3:$C$42)</f>
        <v>0</v>
      </c>
      <c r="AA239" s="76">
        <f>LOOKUP(AA$2,'Depreciation Schedules'!$A$3:$A$42,'Depreciation Schedules'!$C$3:$C$42)</f>
        <v>0</v>
      </c>
      <c r="AB239" s="76">
        <f>LOOKUP(AB$2,'Depreciation Schedules'!$A$3:$A$42,'Depreciation Schedules'!$C$3:$C$42)</f>
        <v>0</v>
      </c>
      <c r="AC239" s="76">
        <f>LOOKUP(AC$2,'Depreciation Schedules'!$A$3:$A$42,'Depreciation Schedules'!$C$3:$C$42)</f>
        <v>0</v>
      </c>
      <c r="AD239" s="76">
        <f>LOOKUP(AD$2,'Depreciation Schedules'!$A$3:$A$42,'Depreciation Schedules'!$C$3:$C$42)</f>
        <v>0</v>
      </c>
      <c r="AE239" s="76">
        <f>LOOKUP(AE$2,'Depreciation Schedules'!$A$3:$A$42,'Depreciation Schedules'!$C$3:$C$42)</f>
        <v>0</v>
      </c>
      <c r="AF239" s="76">
        <f>LOOKUP(AF$2,'Depreciation Schedules'!$A$3:$A$42,'Depreciation Schedules'!$C$3:$C$42)</f>
        <v>0</v>
      </c>
      <c r="AG239" s="76">
        <f>LOOKUP(AG$2,'Depreciation Schedules'!$A$3:$A$42,'Depreciation Schedules'!$C$3:$C$42)</f>
        <v>0</v>
      </c>
      <c r="AH239" s="76">
        <f>LOOKUP(AH$2,'Depreciation Schedules'!$A$3:$A$42,'Depreciation Schedules'!$C$3:$C$42)</f>
        <v>0</v>
      </c>
      <c r="AI239" s="76">
        <f>LOOKUP(AI$2,'Depreciation Schedules'!$A$3:$A$42,'Depreciation Schedules'!$C$3:$C$42)</f>
        <v>0</v>
      </c>
      <c r="AJ239" s="76">
        <f>LOOKUP(AJ$2,'Depreciation Schedules'!$A$3:$A$42,'Depreciation Schedules'!$C$3:$C$42)</f>
        <v>0</v>
      </c>
      <c r="AK239" s="76">
        <f>LOOKUP(AK$2,'Depreciation Schedules'!$A$3:$A$42,'Depreciation Schedules'!$C$3:$C$42)</f>
        <v>0</v>
      </c>
      <c r="AL239" s="76">
        <f>LOOKUP(AL$2,'Depreciation Schedules'!$A$3:$A$42,'Depreciation Schedules'!$C$3:$C$42)</f>
        <v>0</v>
      </c>
      <c r="AM239" s="76">
        <f>LOOKUP(AM$2,'Depreciation Schedules'!$A$3:$A$42,'Depreciation Schedules'!$C$3:$C$42)</f>
        <v>0</v>
      </c>
      <c r="AN239" s="76">
        <f>LOOKUP(AN$2,'Depreciation Schedules'!$A$3:$A$42,'Depreciation Schedules'!$C$3:$C$42)</f>
        <v>0</v>
      </c>
      <c r="AO239" s="76">
        <f>LOOKUP(AO$2,'Depreciation Schedules'!$A$3:$A$42,'Depreciation Schedules'!$C$3:$C$42)</f>
        <v>0</v>
      </c>
      <c r="AP239" s="76">
        <f>LOOKUP(AP$2,'Depreciation Schedules'!$A$3:$A$42,'Depreciation Schedules'!$C$3:$C$42)</f>
        <v>0</v>
      </c>
    </row>
    <row r="240" spans="1:42" x14ac:dyDescent="0.2">
      <c r="A240" s="66" t="str">
        <f t="shared" si="110"/>
        <v>5-yr SL</v>
      </c>
      <c r="B240" s="77">
        <f t="shared" si="111"/>
        <v>0.99999999999999989</v>
      </c>
      <c r="C240" s="76">
        <f>LOOKUP(C$2,'Depreciation Schedules'!$A$3:$A$42,'Depreciation Schedules'!$D$3:$D$42)</f>
        <v>0.1</v>
      </c>
      <c r="D240" s="76">
        <f>LOOKUP(D$2,'Depreciation Schedules'!$A$3:$A$42,'Depreciation Schedules'!$D$3:$D$42)</f>
        <v>0.2</v>
      </c>
      <c r="E240" s="76">
        <f>LOOKUP(E$2,'Depreciation Schedules'!$A$3:$A$42,'Depreciation Schedules'!$D$3:$D$42)</f>
        <v>0.2</v>
      </c>
      <c r="F240" s="76">
        <f>LOOKUP(F$2,'Depreciation Schedules'!$A$3:$A$42,'Depreciation Schedules'!$D$3:$D$42)</f>
        <v>0.2</v>
      </c>
      <c r="G240" s="76">
        <f>LOOKUP(G$2,'Depreciation Schedules'!$A$3:$A$42,'Depreciation Schedules'!$D$3:$D$42)</f>
        <v>0.2</v>
      </c>
      <c r="H240" s="76">
        <f>LOOKUP(H$2,'Depreciation Schedules'!$A$3:$A$42,'Depreciation Schedules'!$D$3:$D$42)</f>
        <v>0.1</v>
      </c>
      <c r="I240" s="76">
        <f>LOOKUP(I$2,'Depreciation Schedules'!$A$3:$A$42,'Depreciation Schedules'!$D$3:$D$42)</f>
        <v>0</v>
      </c>
      <c r="J240" s="76">
        <f>LOOKUP(J$2,'Depreciation Schedules'!$A$3:$A$42,'Depreciation Schedules'!$D$3:$D$42)</f>
        <v>0</v>
      </c>
      <c r="K240" s="76">
        <f>LOOKUP(K$2,'Depreciation Schedules'!$A$3:$A$42,'Depreciation Schedules'!$D$3:$D$42)</f>
        <v>0</v>
      </c>
      <c r="L240" s="76">
        <f>LOOKUP(L$2,'Depreciation Schedules'!$A$3:$A$42,'Depreciation Schedules'!$D$3:$D$42)</f>
        <v>0</v>
      </c>
      <c r="M240" s="76">
        <f>LOOKUP(M$2,'Depreciation Schedules'!$A$3:$A$42,'Depreciation Schedules'!$D$3:$D$42)</f>
        <v>0</v>
      </c>
      <c r="N240" s="76">
        <f>LOOKUP(N$2,'Depreciation Schedules'!$A$3:$A$42,'Depreciation Schedules'!$D$3:$D$42)</f>
        <v>0</v>
      </c>
      <c r="O240" s="76">
        <f>LOOKUP(O$2,'Depreciation Schedules'!$A$3:$A$42,'Depreciation Schedules'!$D$3:$D$42)</f>
        <v>0</v>
      </c>
      <c r="P240" s="76">
        <f>LOOKUP(P$2,'Depreciation Schedules'!$A$3:$A$42,'Depreciation Schedules'!$D$3:$D$42)</f>
        <v>0</v>
      </c>
      <c r="Q240" s="76">
        <f>LOOKUP(Q$2,'Depreciation Schedules'!$A$3:$A$42,'Depreciation Schedules'!$D$3:$D$42)</f>
        <v>0</v>
      </c>
      <c r="R240" s="76">
        <f>LOOKUP(R$2,'Depreciation Schedules'!$A$3:$A$42,'Depreciation Schedules'!$D$3:$D$42)</f>
        <v>0</v>
      </c>
      <c r="S240" s="76">
        <f>LOOKUP(S$2,'Depreciation Schedules'!$A$3:$A$42,'Depreciation Schedules'!$D$3:$D$42)</f>
        <v>0</v>
      </c>
      <c r="T240" s="76">
        <f>LOOKUP(T$2,'Depreciation Schedules'!$A$3:$A$42,'Depreciation Schedules'!$D$3:$D$42)</f>
        <v>0</v>
      </c>
      <c r="U240" s="76">
        <f>LOOKUP(U$2,'Depreciation Schedules'!$A$3:$A$42,'Depreciation Schedules'!$D$3:$D$42)</f>
        <v>0</v>
      </c>
      <c r="V240" s="76">
        <f>LOOKUP(V$2,'Depreciation Schedules'!$A$3:$A$42,'Depreciation Schedules'!$D$3:$D$42)</f>
        <v>0</v>
      </c>
      <c r="W240" s="76">
        <f>LOOKUP(W$2,'Depreciation Schedules'!$A$3:$A$42,'Depreciation Schedules'!$D$3:$D$42)</f>
        <v>0</v>
      </c>
      <c r="X240" s="76">
        <f>LOOKUP(X$2,'Depreciation Schedules'!$A$3:$A$42,'Depreciation Schedules'!$D$3:$D$42)</f>
        <v>0</v>
      </c>
      <c r="Y240" s="76">
        <f>LOOKUP(Y$2,'Depreciation Schedules'!$A$3:$A$42,'Depreciation Schedules'!$D$3:$D$42)</f>
        <v>0</v>
      </c>
      <c r="Z240" s="76">
        <f>LOOKUP(Z$2,'Depreciation Schedules'!$A$3:$A$42,'Depreciation Schedules'!$D$3:$D$42)</f>
        <v>0</v>
      </c>
      <c r="AA240" s="76">
        <f>LOOKUP(AA$2,'Depreciation Schedules'!$A$3:$A$42,'Depreciation Schedules'!$D$3:$D$42)</f>
        <v>0</v>
      </c>
      <c r="AB240" s="76">
        <f>LOOKUP(AB$2,'Depreciation Schedules'!$A$3:$A$42,'Depreciation Schedules'!$D$3:$D$42)</f>
        <v>0</v>
      </c>
      <c r="AC240" s="76">
        <f>LOOKUP(AC$2,'Depreciation Schedules'!$A$3:$A$42,'Depreciation Schedules'!$D$3:$D$42)</f>
        <v>0</v>
      </c>
      <c r="AD240" s="76">
        <f>LOOKUP(AD$2,'Depreciation Schedules'!$A$3:$A$42,'Depreciation Schedules'!$D$3:$D$42)</f>
        <v>0</v>
      </c>
      <c r="AE240" s="76">
        <f>LOOKUP(AE$2,'Depreciation Schedules'!$A$3:$A$42,'Depreciation Schedules'!$D$3:$D$42)</f>
        <v>0</v>
      </c>
      <c r="AF240" s="76">
        <f>LOOKUP(AF$2,'Depreciation Schedules'!$A$3:$A$42,'Depreciation Schedules'!$D$3:$D$42)</f>
        <v>0</v>
      </c>
      <c r="AG240" s="76">
        <f>LOOKUP(AG$2,'Depreciation Schedules'!$A$3:$A$42,'Depreciation Schedules'!$D$3:$D$42)</f>
        <v>0</v>
      </c>
      <c r="AH240" s="76">
        <f>LOOKUP(AH$2,'Depreciation Schedules'!$A$3:$A$42,'Depreciation Schedules'!$D$3:$D$42)</f>
        <v>0</v>
      </c>
      <c r="AI240" s="76">
        <f>LOOKUP(AI$2,'Depreciation Schedules'!$A$3:$A$42,'Depreciation Schedules'!$D$3:$D$42)</f>
        <v>0</v>
      </c>
      <c r="AJ240" s="76">
        <f>LOOKUP(AJ$2,'Depreciation Schedules'!$A$3:$A$42,'Depreciation Schedules'!$D$3:$D$42)</f>
        <v>0</v>
      </c>
      <c r="AK240" s="76">
        <f>LOOKUP(AK$2,'Depreciation Schedules'!$A$3:$A$42,'Depreciation Schedules'!$D$3:$D$42)</f>
        <v>0</v>
      </c>
      <c r="AL240" s="76">
        <f>LOOKUP(AL$2,'Depreciation Schedules'!$A$3:$A$42,'Depreciation Schedules'!$D$3:$D$42)</f>
        <v>0</v>
      </c>
      <c r="AM240" s="76">
        <f>LOOKUP(AM$2,'Depreciation Schedules'!$A$3:$A$42,'Depreciation Schedules'!$D$3:$D$42)</f>
        <v>0</v>
      </c>
      <c r="AN240" s="76">
        <f>LOOKUP(AN$2,'Depreciation Schedules'!$A$3:$A$42,'Depreciation Schedules'!$D$3:$D$42)</f>
        <v>0</v>
      </c>
      <c r="AO240" s="76">
        <f>LOOKUP(AO$2,'Depreciation Schedules'!$A$3:$A$42,'Depreciation Schedules'!$D$3:$D$42)</f>
        <v>0</v>
      </c>
      <c r="AP240" s="76">
        <f>LOOKUP(AP$2,'Depreciation Schedules'!$A$3:$A$42,'Depreciation Schedules'!$D$3:$D$42)</f>
        <v>0</v>
      </c>
    </row>
    <row r="241" spans="1:42" x14ac:dyDescent="0.2">
      <c r="A241" s="66" t="str">
        <f t="shared" si="110"/>
        <v>15-yr SL</v>
      </c>
      <c r="B241" s="77">
        <f t="shared" si="111"/>
        <v>0.99999999999999989</v>
      </c>
      <c r="C241" s="76">
        <f>LOOKUP(C$2,'Depreciation Schedules'!$A$3:$A$42,'Depreciation Schedules'!$E$3:$E$42)</f>
        <v>3.3300000000000003E-2</v>
      </c>
      <c r="D241" s="76">
        <f>LOOKUP(D$2,'Depreciation Schedules'!$A$3:$A$42,'Depreciation Schedules'!$E$3:$E$42)</f>
        <v>6.6699999999999995E-2</v>
      </c>
      <c r="E241" s="76">
        <f>LOOKUP(E$2,'Depreciation Schedules'!$A$3:$A$42,'Depreciation Schedules'!$E$3:$E$42)</f>
        <v>6.6699999999999995E-2</v>
      </c>
      <c r="F241" s="76">
        <f>LOOKUP(F$2,'Depreciation Schedules'!$A$3:$A$42,'Depreciation Schedules'!$E$3:$E$42)</f>
        <v>6.6699999999999995E-2</v>
      </c>
      <c r="G241" s="76">
        <f>LOOKUP(G$2,'Depreciation Schedules'!$A$3:$A$42,'Depreciation Schedules'!$E$3:$E$42)</f>
        <v>6.6699999999999995E-2</v>
      </c>
      <c r="H241" s="76">
        <f>LOOKUP(H$2,'Depreciation Schedules'!$A$3:$A$42,'Depreciation Schedules'!$E$3:$E$42)</f>
        <v>6.6699999999999995E-2</v>
      </c>
      <c r="I241" s="76">
        <f>LOOKUP(I$2,'Depreciation Schedules'!$A$3:$A$42,'Depreciation Schedules'!$E$3:$E$42)</f>
        <v>6.6699999999999995E-2</v>
      </c>
      <c r="J241" s="76">
        <f>LOOKUP(J$2,'Depreciation Schedules'!$A$3:$A$42,'Depreciation Schedules'!$E$3:$E$42)</f>
        <v>6.6600000000000006E-2</v>
      </c>
      <c r="K241" s="76">
        <f>LOOKUP(K$2,'Depreciation Schedules'!$A$3:$A$42,'Depreciation Schedules'!$E$3:$E$42)</f>
        <v>6.6699999999999995E-2</v>
      </c>
      <c r="L241" s="76">
        <f>LOOKUP(L$2,'Depreciation Schedules'!$A$3:$A$42,'Depreciation Schedules'!$E$3:$E$42)</f>
        <v>6.6600000000000006E-2</v>
      </c>
      <c r="M241" s="76">
        <f>LOOKUP(M$2,'Depreciation Schedules'!$A$3:$A$42,'Depreciation Schedules'!$E$3:$E$42)</f>
        <v>6.6699999999999995E-2</v>
      </c>
      <c r="N241" s="76">
        <f>LOOKUP(N$2,'Depreciation Schedules'!$A$3:$A$42,'Depreciation Schedules'!$E$3:$E$42)</f>
        <v>6.6600000000000006E-2</v>
      </c>
      <c r="O241" s="76">
        <f>LOOKUP(O$2,'Depreciation Schedules'!$A$3:$A$42,'Depreciation Schedules'!$E$3:$E$42)</f>
        <v>6.6699999999999995E-2</v>
      </c>
      <c r="P241" s="76">
        <f>LOOKUP(P$2,'Depreciation Schedules'!$A$3:$A$42,'Depreciation Schedules'!$E$3:$E$42)</f>
        <v>6.6600000000000006E-2</v>
      </c>
      <c r="Q241" s="76">
        <f>LOOKUP(Q$2,'Depreciation Schedules'!$A$3:$A$42,'Depreciation Schedules'!$E$3:$E$42)</f>
        <v>6.6699999999999995E-2</v>
      </c>
      <c r="R241" s="76">
        <f>LOOKUP(R$2,'Depreciation Schedules'!$A$3:$A$42,'Depreciation Schedules'!$E$3:$E$42)</f>
        <v>3.3300000000000003E-2</v>
      </c>
      <c r="S241" s="76">
        <f>LOOKUP(S$2,'Depreciation Schedules'!$A$3:$A$42,'Depreciation Schedules'!$E$3:$E$42)</f>
        <v>0</v>
      </c>
      <c r="T241" s="76">
        <f>LOOKUP(T$2,'Depreciation Schedules'!$A$3:$A$42,'Depreciation Schedules'!$E$3:$E$42)</f>
        <v>0</v>
      </c>
      <c r="U241" s="76">
        <f>LOOKUP(U$2,'Depreciation Schedules'!$A$3:$A$42,'Depreciation Schedules'!$E$3:$E$42)</f>
        <v>0</v>
      </c>
      <c r="V241" s="76">
        <f>LOOKUP(V$2,'Depreciation Schedules'!$A$3:$A$42,'Depreciation Schedules'!$E$3:$E$42)</f>
        <v>0</v>
      </c>
      <c r="W241" s="76">
        <f>LOOKUP(W$2,'Depreciation Schedules'!$A$3:$A$42,'Depreciation Schedules'!$E$3:$E$42)</f>
        <v>0</v>
      </c>
      <c r="X241" s="76">
        <f>LOOKUP(X$2,'Depreciation Schedules'!$A$3:$A$42,'Depreciation Schedules'!$E$3:$E$42)</f>
        <v>0</v>
      </c>
      <c r="Y241" s="76">
        <f>LOOKUP(Y$2,'Depreciation Schedules'!$A$3:$A$42,'Depreciation Schedules'!$E$3:$E$42)</f>
        <v>0</v>
      </c>
      <c r="Z241" s="76">
        <f>LOOKUP(Z$2,'Depreciation Schedules'!$A$3:$A$42,'Depreciation Schedules'!$E$3:$E$42)</f>
        <v>0</v>
      </c>
      <c r="AA241" s="76">
        <f>LOOKUP(AA$2,'Depreciation Schedules'!$A$3:$A$42,'Depreciation Schedules'!$E$3:$E$42)</f>
        <v>0</v>
      </c>
      <c r="AB241" s="76">
        <f>LOOKUP(AB$2,'Depreciation Schedules'!$A$3:$A$42,'Depreciation Schedules'!$E$3:$E$42)</f>
        <v>0</v>
      </c>
      <c r="AC241" s="76">
        <f>LOOKUP(AC$2,'Depreciation Schedules'!$A$3:$A$42,'Depreciation Schedules'!$E$3:$E$42)</f>
        <v>0</v>
      </c>
      <c r="AD241" s="76">
        <f>LOOKUP(AD$2,'Depreciation Schedules'!$A$3:$A$42,'Depreciation Schedules'!$E$3:$E$42)</f>
        <v>0</v>
      </c>
      <c r="AE241" s="76">
        <f>LOOKUP(AE$2,'Depreciation Schedules'!$A$3:$A$42,'Depreciation Schedules'!$E$3:$E$42)</f>
        <v>0</v>
      </c>
      <c r="AF241" s="76">
        <f>LOOKUP(AF$2,'Depreciation Schedules'!$A$3:$A$42,'Depreciation Schedules'!$E$3:$E$42)</f>
        <v>0</v>
      </c>
      <c r="AG241" s="76">
        <f>LOOKUP(AG$2,'Depreciation Schedules'!$A$3:$A$42,'Depreciation Schedules'!$E$3:$E$42)</f>
        <v>0</v>
      </c>
      <c r="AH241" s="76">
        <f>LOOKUP(AH$2,'Depreciation Schedules'!$A$3:$A$42,'Depreciation Schedules'!$E$3:$E$42)</f>
        <v>0</v>
      </c>
      <c r="AI241" s="76">
        <f>LOOKUP(AI$2,'Depreciation Schedules'!$A$3:$A$42,'Depreciation Schedules'!$E$3:$E$42)</f>
        <v>0</v>
      </c>
      <c r="AJ241" s="76">
        <f>LOOKUP(AJ$2,'Depreciation Schedules'!$A$3:$A$42,'Depreciation Schedules'!$E$3:$E$42)</f>
        <v>0</v>
      </c>
      <c r="AK241" s="76">
        <f>LOOKUP(AK$2,'Depreciation Schedules'!$A$3:$A$42,'Depreciation Schedules'!$E$3:$E$42)</f>
        <v>0</v>
      </c>
      <c r="AL241" s="76">
        <f>LOOKUP(AL$2,'Depreciation Schedules'!$A$3:$A$42,'Depreciation Schedules'!$E$3:$E$42)</f>
        <v>0</v>
      </c>
      <c r="AM241" s="76">
        <f>LOOKUP(AM$2,'Depreciation Schedules'!$A$3:$A$42,'Depreciation Schedules'!$E$3:$E$42)</f>
        <v>0</v>
      </c>
      <c r="AN241" s="76">
        <f>LOOKUP(AN$2,'Depreciation Schedules'!$A$3:$A$42,'Depreciation Schedules'!$E$3:$E$42)</f>
        <v>0</v>
      </c>
      <c r="AO241" s="76">
        <f>LOOKUP(AO$2,'Depreciation Schedules'!$A$3:$A$42,'Depreciation Schedules'!$E$3:$E$42)</f>
        <v>0</v>
      </c>
      <c r="AP241" s="76">
        <f>LOOKUP(AP$2,'Depreciation Schedules'!$A$3:$A$42,'Depreciation Schedules'!$E$3:$E$42)</f>
        <v>0</v>
      </c>
    </row>
    <row r="242" spans="1:42" x14ac:dyDescent="0.2">
      <c r="A242" s="66" t="str">
        <f t="shared" si="110"/>
        <v>20-yr SL</v>
      </c>
      <c r="B242" s="77">
        <f t="shared" si="111"/>
        <v>1.0000000000000002</v>
      </c>
      <c r="C242" s="76">
        <f>LOOKUP(C$2,'Depreciation Schedules'!$A$3:$A$42,'Depreciation Schedules'!$F$3:$F$42)</f>
        <v>2.5000000000000001E-2</v>
      </c>
      <c r="D242" s="76">
        <f>LOOKUP(D$2,'Depreciation Schedules'!$A$3:$A$42,'Depreciation Schedules'!$F$3:$F$42)</f>
        <v>0.05</v>
      </c>
      <c r="E242" s="76">
        <f>LOOKUP(E$2,'Depreciation Schedules'!$A$3:$A$42,'Depreciation Schedules'!$F$3:$F$42)</f>
        <v>0.05</v>
      </c>
      <c r="F242" s="76">
        <f>LOOKUP(F$2,'Depreciation Schedules'!$A$3:$A$42,'Depreciation Schedules'!$F$3:$F$42)</f>
        <v>0.05</v>
      </c>
      <c r="G242" s="76">
        <f>LOOKUP(G$2,'Depreciation Schedules'!$A$3:$A$42,'Depreciation Schedules'!$F$3:$F$42)</f>
        <v>0.05</v>
      </c>
      <c r="H242" s="76">
        <f>LOOKUP(H$2,'Depreciation Schedules'!$A$3:$A$42,'Depreciation Schedules'!$F$3:$F$42)</f>
        <v>0.05</v>
      </c>
      <c r="I242" s="76">
        <f>LOOKUP(I$2,'Depreciation Schedules'!$A$3:$A$42,'Depreciation Schedules'!$F$3:$F$42)</f>
        <v>0.05</v>
      </c>
      <c r="J242" s="76">
        <f>LOOKUP(J$2,'Depreciation Schedules'!$A$3:$A$42,'Depreciation Schedules'!$F$3:$F$42)</f>
        <v>0.05</v>
      </c>
      <c r="K242" s="76">
        <f>LOOKUP(K$2,'Depreciation Schedules'!$A$3:$A$42,'Depreciation Schedules'!$F$3:$F$42)</f>
        <v>0.05</v>
      </c>
      <c r="L242" s="76">
        <f>LOOKUP(L$2,'Depreciation Schedules'!$A$3:$A$42,'Depreciation Schedules'!$F$3:$F$42)</f>
        <v>0.05</v>
      </c>
      <c r="M242" s="76">
        <f>LOOKUP(M$2,'Depreciation Schedules'!$A$3:$A$42,'Depreciation Schedules'!$F$3:$F$42)</f>
        <v>0.05</v>
      </c>
      <c r="N242" s="76">
        <f>LOOKUP(N$2,'Depreciation Schedules'!$A$3:$A$42,'Depreciation Schedules'!$F$3:$F$42)</f>
        <v>0.05</v>
      </c>
      <c r="O242" s="76">
        <f>LOOKUP(O$2,'Depreciation Schedules'!$A$3:$A$42,'Depreciation Schedules'!$F$3:$F$42)</f>
        <v>0.05</v>
      </c>
      <c r="P242" s="76">
        <f>LOOKUP(P$2,'Depreciation Schedules'!$A$3:$A$42,'Depreciation Schedules'!$F$3:$F$42)</f>
        <v>0.05</v>
      </c>
      <c r="Q242" s="76">
        <f>LOOKUP(Q$2,'Depreciation Schedules'!$A$3:$A$42,'Depreciation Schedules'!$F$3:$F$42)</f>
        <v>0.05</v>
      </c>
      <c r="R242" s="76">
        <f>LOOKUP(R$2,'Depreciation Schedules'!$A$3:$A$42,'Depreciation Schedules'!$F$3:$F$42)</f>
        <v>0.05</v>
      </c>
      <c r="S242" s="76">
        <f>LOOKUP(S$2,'Depreciation Schedules'!$A$3:$A$42,'Depreciation Schedules'!$F$3:$F$42)</f>
        <v>0.05</v>
      </c>
      <c r="T242" s="76">
        <f>LOOKUP(T$2,'Depreciation Schedules'!$A$3:$A$42,'Depreciation Schedules'!$F$3:$F$42)</f>
        <v>0.05</v>
      </c>
      <c r="U242" s="76">
        <f>LOOKUP(U$2,'Depreciation Schedules'!$A$3:$A$42,'Depreciation Schedules'!$F$3:$F$42)</f>
        <v>0.05</v>
      </c>
      <c r="V242" s="76">
        <f>LOOKUP(V$2,'Depreciation Schedules'!$A$3:$A$42,'Depreciation Schedules'!$F$3:$F$42)</f>
        <v>0.05</v>
      </c>
      <c r="W242" s="76">
        <f>LOOKUP(W$2,'Depreciation Schedules'!$A$3:$A$42,'Depreciation Schedules'!$F$3:$F$42)</f>
        <v>2.5000000000000001E-2</v>
      </c>
      <c r="X242" s="76">
        <f>LOOKUP(X$2,'Depreciation Schedules'!$A$3:$A$42,'Depreciation Schedules'!$F$3:$F$42)</f>
        <v>0</v>
      </c>
      <c r="Y242" s="76">
        <f>LOOKUP(Y$2,'Depreciation Schedules'!$A$3:$A$42,'Depreciation Schedules'!$F$3:$F$42)</f>
        <v>0</v>
      </c>
      <c r="Z242" s="76">
        <f>LOOKUP(Z$2,'Depreciation Schedules'!$A$3:$A$42,'Depreciation Schedules'!$F$3:$F$42)</f>
        <v>0</v>
      </c>
      <c r="AA242" s="76">
        <f>LOOKUP(AA$2,'Depreciation Schedules'!$A$3:$A$42,'Depreciation Schedules'!$F$3:$F$42)</f>
        <v>0</v>
      </c>
      <c r="AB242" s="76">
        <f>LOOKUP(AB$2,'Depreciation Schedules'!$A$3:$A$42,'Depreciation Schedules'!$F$3:$F$42)</f>
        <v>0</v>
      </c>
      <c r="AC242" s="76">
        <f>LOOKUP(AC$2,'Depreciation Schedules'!$A$3:$A$42,'Depreciation Schedules'!$F$3:$F$42)</f>
        <v>0</v>
      </c>
      <c r="AD242" s="76">
        <f>LOOKUP(AD$2,'Depreciation Schedules'!$A$3:$A$42,'Depreciation Schedules'!$F$3:$F$42)</f>
        <v>0</v>
      </c>
      <c r="AE242" s="76">
        <f>LOOKUP(AE$2,'Depreciation Schedules'!$A$3:$A$42,'Depreciation Schedules'!$F$3:$F$42)</f>
        <v>0</v>
      </c>
      <c r="AF242" s="76">
        <f>LOOKUP(AF$2,'Depreciation Schedules'!$A$3:$A$42,'Depreciation Schedules'!$F$3:$F$42)</f>
        <v>0</v>
      </c>
      <c r="AG242" s="76">
        <f>LOOKUP(AG$2,'Depreciation Schedules'!$A$3:$A$42,'Depreciation Schedules'!$F$3:$F$42)</f>
        <v>0</v>
      </c>
      <c r="AH242" s="76">
        <f>LOOKUP(AH$2,'Depreciation Schedules'!$A$3:$A$42,'Depreciation Schedules'!$F$3:$F$42)</f>
        <v>0</v>
      </c>
      <c r="AI242" s="76">
        <f>LOOKUP(AI$2,'Depreciation Schedules'!$A$3:$A$42,'Depreciation Schedules'!$F$3:$F$42)</f>
        <v>0</v>
      </c>
      <c r="AJ242" s="76">
        <f>LOOKUP(AJ$2,'Depreciation Schedules'!$A$3:$A$42,'Depreciation Schedules'!$F$3:$F$42)</f>
        <v>0</v>
      </c>
      <c r="AK242" s="76">
        <f>LOOKUP(AK$2,'Depreciation Schedules'!$A$3:$A$42,'Depreciation Schedules'!$F$3:$F$42)</f>
        <v>0</v>
      </c>
      <c r="AL242" s="76">
        <f>LOOKUP(AL$2,'Depreciation Schedules'!$A$3:$A$42,'Depreciation Schedules'!$F$3:$F$42)</f>
        <v>0</v>
      </c>
      <c r="AM242" s="76">
        <f>LOOKUP(AM$2,'Depreciation Schedules'!$A$3:$A$42,'Depreciation Schedules'!$F$3:$F$42)</f>
        <v>0</v>
      </c>
      <c r="AN242" s="76">
        <f>LOOKUP(AN$2,'Depreciation Schedules'!$A$3:$A$42,'Depreciation Schedules'!$F$3:$F$42)</f>
        <v>0</v>
      </c>
      <c r="AO242" s="76">
        <f>LOOKUP(AO$2,'Depreciation Schedules'!$A$3:$A$42,'Depreciation Schedules'!$F$3:$F$42)</f>
        <v>0</v>
      </c>
      <c r="AP242" s="76">
        <f>LOOKUP(AP$2,'Depreciation Schedules'!$A$3:$A$42,'Depreciation Schedules'!$F$3:$F$42)</f>
        <v>0</v>
      </c>
    </row>
    <row r="243" spans="1:42" x14ac:dyDescent="0.2">
      <c r="A243" s="66" t="str">
        <f t="shared" si="110"/>
        <v>39-yr SL</v>
      </c>
      <c r="B243" s="78">
        <f t="shared" si="111"/>
        <v>1.0000000000000004</v>
      </c>
      <c r="C243" s="76">
        <f>LOOKUP(C$2,'Depreciation Schedules'!$A$3:$A$42,'Depreciation Schedules'!$G$3:$G$42)</f>
        <v>1.2820512820512799E-2</v>
      </c>
      <c r="D243" s="76">
        <f>LOOKUP(D$2,'Depreciation Schedules'!$A$3:$A$42,'Depreciation Schedules'!$G$3:$G$42)</f>
        <v>2.564102564102564E-2</v>
      </c>
      <c r="E243" s="76">
        <f>LOOKUP(E$2,'Depreciation Schedules'!$A$3:$A$42,'Depreciation Schedules'!$G$3:$G$42)</f>
        <v>2.564102564102564E-2</v>
      </c>
      <c r="F243" s="76">
        <f>LOOKUP(F$2,'Depreciation Schedules'!$A$3:$A$42,'Depreciation Schedules'!$G$3:$G$42)</f>
        <v>2.564102564102564E-2</v>
      </c>
      <c r="G243" s="76">
        <f>LOOKUP(G$2,'Depreciation Schedules'!$A$3:$A$42,'Depreciation Schedules'!$G$3:$G$42)</f>
        <v>2.564102564102564E-2</v>
      </c>
      <c r="H243" s="76">
        <f>LOOKUP(H$2,'Depreciation Schedules'!$A$3:$A$42,'Depreciation Schedules'!$G$3:$G$42)</f>
        <v>2.564102564102564E-2</v>
      </c>
      <c r="I243" s="76">
        <f>LOOKUP(I$2,'Depreciation Schedules'!$A$3:$A$42,'Depreciation Schedules'!$G$3:$G$42)</f>
        <v>2.564102564102564E-2</v>
      </c>
      <c r="J243" s="76">
        <f>LOOKUP(J$2,'Depreciation Schedules'!$A$3:$A$42,'Depreciation Schedules'!$G$3:$G$42)</f>
        <v>2.564102564102564E-2</v>
      </c>
      <c r="K243" s="76">
        <f>LOOKUP(K$2,'Depreciation Schedules'!$A$3:$A$42,'Depreciation Schedules'!$G$3:$G$42)</f>
        <v>2.564102564102564E-2</v>
      </c>
      <c r="L243" s="76">
        <f>LOOKUP(L$2,'Depreciation Schedules'!$A$3:$A$42,'Depreciation Schedules'!$G$3:$G$42)</f>
        <v>2.564102564102564E-2</v>
      </c>
      <c r="M243" s="76">
        <f>LOOKUP(M$2,'Depreciation Schedules'!$A$3:$A$42,'Depreciation Schedules'!$G$3:$G$42)</f>
        <v>2.564102564102564E-2</v>
      </c>
      <c r="N243" s="76">
        <f>LOOKUP(N$2,'Depreciation Schedules'!$A$3:$A$42,'Depreciation Schedules'!$G$3:$G$42)</f>
        <v>2.564102564102564E-2</v>
      </c>
      <c r="O243" s="76">
        <f>LOOKUP(O$2,'Depreciation Schedules'!$A$3:$A$42,'Depreciation Schedules'!$G$3:$G$42)</f>
        <v>2.564102564102564E-2</v>
      </c>
      <c r="P243" s="76">
        <f>LOOKUP(P$2,'Depreciation Schedules'!$A$3:$A$42,'Depreciation Schedules'!$G$3:$G$42)</f>
        <v>2.564102564102564E-2</v>
      </c>
      <c r="Q243" s="76">
        <f>LOOKUP(Q$2,'Depreciation Schedules'!$A$3:$A$42,'Depreciation Schedules'!$G$3:$G$42)</f>
        <v>2.564102564102564E-2</v>
      </c>
      <c r="R243" s="76">
        <f>LOOKUP(R$2,'Depreciation Schedules'!$A$3:$A$42,'Depreciation Schedules'!$G$3:$G$42)</f>
        <v>2.564102564102564E-2</v>
      </c>
      <c r="S243" s="76">
        <f>LOOKUP(S$2,'Depreciation Schedules'!$A$3:$A$42,'Depreciation Schedules'!$G$3:$G$42)</f>
        <v>2.564102564102564E-2</v>
      </c>
      <c r="T243" s="76">
        <f>LOOKUP(T$2,'Depreciation Schedules'!$A$3:$A$42,'Depreciation Schedules'!$G$3:$G$42)</f>
        <v>2.564102564102564E-2</v>
      </c>
      <c r="U243" s="76">
        <f>LOOKUP(U$2,'Depreciation Schedules'!$A$3:$A$42,'Depreciation Schedules'!$G$3:$G$42)</f>
        <v>2.564102564102564E-2</v>
      </c>
      <c r="V243" s="76">
        <f>LOOKUP(V$2,'Depreciation Schedules'!$A$3:$A$42,'Depreciation Schedules'!$G$3:$G$42)</f>
        <v>2.564102564102564E-2</v>
      </c>
      <c r="W243" s="76">
        <f>LOOKUP(W$2,'Depreciation Schedules'!$A$3:$A$42,'Depreciation Schedules'!$G$3:$G$42)</f>
        <v>2.564102564102564E-2</v>
      </c>
      <c r="X243" s="76">
        <f>LOOKUP(X$2,'Depreciation Schedules'!$A$3:$A$42,'Depreciation Schedules'!$G$3:$G$42)</f>
        <v>2.564102564102564E-2</v>
      </c>
      <c r="Y243" s="76">
        <f>LOOKUP(Y$2,'Depreciation Schedules'!$A$3:$A$42,'Depreciation Schedules'!$G$3:$G$42)</f>
        <v>2.564102564102564E-2</v>
      </c>
      <c r="Z243" s="76">
        <f>LOOKUP(Z$2,'Depreciation Schedules'!$A$3:$A$42,'Depreciation Schedules'!$G$3:$G$42)</f>
        <v>2.564102564102564E-2</v>
      </c>
      <c r="AA243" s="76">
        <f>LOOKUP(AA$2,'Depreciation Schedules'!$A$3:$A$42,'Depreciation Schedules'!$G$3:$G$42)</f>
        <v>2.564102564102564E-2</v>
      </c>
      <c r="AB243" s="76">
        <f>LOOKUP(AB$2,'Depreciation Schedules'!$A$3:$A$42,'Depreciation Schedules'!$G$3:$G$42)</f>
        <v>2.564102564102564E-2</v>
      </c>
      <c r="AC243" s="76">
        <f>LOOKUP(AC$2,'Depreciation Schedules'!$A$3:$A$42,'Depreciation Schedules'!$G$3:$G$42)</f>
        <v>2.564102564102564E-2</v>
      </c>
      <c r="AD243" s="76">
        <f>LOOKUP(AD$2,'Depreciation Schedules'!$A$3:$A$42,'Depreciation Schedules'!$G$3:$G$42)</f>
        <v>2.564102564102564E-2</v>
      </c>
      <c r="AE243" s="76">
        <f>LOOKUP(AE$2,'Depreciation Schedules'!$A$3:$A$42,'Depreciation Schedules'!$G$3:$G$42)</f>
        <v>2.564102564102564E-2</v>
      </c>
      <c r="AF243" s="76">
        <f>LOOKUP(AF$2,'Depreciation Schedules'!$A$3:$A$42,'Depreciation Schedules'!$G$3:$G$42)</f>
        <v>2.564102564102564E-2</v>
      </c>
      <c r="AG243" s="76">
        <f>LOOKUP(AG$2,'Depreciation Schedules'!$A$3:$A$42,'Depreciation Schedules'!$G$3:$G$42)</f>
        <v>2.564102564102564E-2</v>
      </c>
      <c r="AH243" s="76">
        <f>LOOKUP(AH$2,'Depreciation Schedules'!$A$3:$A$42,'Depreciation Schedules'!$G$3:$G$42)</f>
        <v>2.564102564102564E-2</v>
      </c>
      <c r="AI243" s="76">
        <f>LOOKUP(AI$2,'Depreciation Schedules'!$A$3:$A$42,'Depreciation Schedules'!$G$3:$G$42)</f>
        <v>2.564102564102564E-2</v>
      </c>
      <c r="AJ243" s="76">
        <f>LOOKUP(AJ$2,'Depreciation Schedules'!$A$3:$A$42,'Depreciation Schedules'!$G$3:$G$42)</f>
        <v>2.564102564102564E-2</v>
      </c>
      <c r="AK243" s="76">
        <f>LOOKUP(AK$2,'Depreciation Schedules'!$A$3:$A$42,'Depreciation Schedules'!$G$3:$G$42)</f>
        <v>2.564102564102564E-2</v>
      </c>
      <c r="AL243" s="76">
        <f>LOOKUP(AL$2,'Depreciation Schedules'!$A$3:$A$42,'Depreciation Schedules'!$G$3:$G$42)</f>
        <v>2.564102564102564E-2</v>
      </c>
      <c r="AM243" s="76">
        <f>LOOKUP(AM$2,'Depreciation Schedules'!$A$3:$A$42,'Depreciation Schedules'!$G$3:$G$42)</f>
        <v>2.564102564102564E-2</v>
      </c>
      <c r="AN243" s="76">
        <f>LOOKUP(AN$2,'Depreciation Schedules'!$A$3:$A$42,'Depreciation Schedules'!$G$3:$G$42)</f>
        <v>2.564102564102564E-2</v>
      </c>
      <c r="AO243" s="76">
        <f>LOOKUP(AO$2,'Depreciation Schedules'!$A$3:$A$42,'Depreciation Schedules'!$G$3:$G$42)</f>
        <v>2.564102564102564E-2</v>
      </c>
      <c r="AP243" s="76">
        <f>LOOKUP(AP$2,'Depreciation Schedules'!$A$3:$A$42,'Depreciation Schedules'!$G$3:$G$42)</f>
        <v>1.2820512820512799E-2</v>
      </c>
    </row>
    <row r="244" spans="1:42" x14ac:dyDescent="0.2">
      <c r="A244" s="50" t="s">
        <v>8</v>
      </c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52"/>
      <c r="AE244" s="52"/>
      <c r="AF244" s="52"/>
      <c r="AG244" s="52"/>
      <c r="AH244" s="52"/>
      <c r="AI244" s="52"/>
      <c r="AJ244" s="52"/>
      <c r="AK244" s="52"/>
      <c r="AL244" s="52"/>
      <c r="AM244" s="52"/>
      <c r="AN244" s="52"/>
      <c r="AO244" s="52"/>
      <c r="AP244" s="52"/>
    </row>
    <row r="245" spans="1:42" x14ac:dyDescent="0.2">
      <c r="A245" s="66" t="str">
        <f>A238</f>
        <v>5-yr MACRS</v>
      </c>
      <c r="B245" s="79">
        <f>SUM(C245:AP245)</f>
        <v>30457965.790500011</v>
      </c>
      <c r="C245" s="52">
        <f t="shared" ref="C245:AP245" si="112">C238*$Q205</f>
        <v>6091593.1581000024</v>
      </c>
      <c r="D245" s="52">
        <f t="shared" si="112"/>
        <v>9746549.0529600047</v>
      </c>
      <c r="E245" s="52">
        <f t="shared" si="112"/>
        <v>5847929.431776002</v>
      </c>
      <c r="F245" s="52">
        <f t="shared" si="112"/>
        <v>3508757.6590656014</v>
      </c>
      <c r="G245" s="52">
        <f t="shared" si="112"/>
        <v>3508757.6590656014</v>
      </c>
      <c r="H245" s="52">
        <f t="shared" si="112"/>
        <v>1754378.8295328007</v>
      </c>
      <c r="I245" s="52">
        <f t="shared" si="112"/>
        <v>0</v>
      </c>
      <c r="J245" s="52">
        <f t="shared" si="112"/>
        <v>0</v>
      </c>
      <c r="K245" s="52">
        <f t="shared" si="112"/>
        <v>0</v>
      </c>
      <c r="L245" s="52">
        <f t="shared" si="112"/>
        <v>0</v>
      </c>
      <c r="M245" s="52">
        <f t="shared" si="112"/>
        <v>0</v>
      </c>
      <c r="N245" s="52">
        <f t="shared" si="112"/>
        <v>0</v>
      </c>
      <c r="O245" s="52">
        <f t="shared" si="112"/>
        <v>0</v>
      </c>
      <c r="P245" s="52">
        <f t="shared" si="112"/>
        <v>0</v>
      </c>
      <c r="Q245" s="52">
        <f t="shared" si="112"/>
        <v>0</v>
      </c>
      <c r="R245" s="52">
        <f t="shared" si="112"/>
        <v>0</v>
      </c>
      <c r="S245" s="52">
        <f t="shared" si="112"/>
        <v>0</v>
      </c>
      <c r="T245" s="52">
        <f t="shared" si="112"/>
        <v>0</v>
      </c>
      <c r="U245" s="52">
        <f t="shared" si="112"/>
        <v>0</v>
      </c>
      <c r="V245" s="52">
        <f t="shared" si="112"/>
        <v>0</v>
      </c>
      <c r="W245" s="52">
        <f t="shared" si="112"/>
        <v>0</v>
      </c>
      <c r="X245" s="52">
        <f t="shared" si="112"/>
        <v>0</v>
      </c>
      <c r="Y245" s="52">
        <f t="shared" si="112"/>
        <v>0</v>
      </c>
      <c r="Z245" s="52">
        <f t="shared" si="112"/>
        <v>0</v>
      </c>
      <c r="AA245" s="52">
        <f t="shared" si="112"/>
        <v>0</v>
      </c>
      <c r="AB245" s="52">
        <f t="shared" si="112"/>
        <v>0</v>
      </c>
      <c r="AC245" s="52">
        <f t="shared" si="112"/>
        <v>0</v>
      </c>
      <c r="AD245" s="52">
        <f t="shared" si="112"/>
        <v>0</v>
      </c>
      <c r="AE245" s="52">
        <f t="shared" si="112"/>
        <v>0</v>
      </c>
      <c r="AF245" s="52">
        <f t="shared" si="112"/>
        <v>0</v>
      </c>
      <c r="AG245" s="52">
        <f t="shared" si="112"/>
        <v>0</v>
      </c>
      <c r="AH245" s="52">
        <f t="shared" si="112"/>
        <v>0</v>
      </c>
      <c r="AI245" s="52">
        <f t="shared" si="112"/>
        <v>0</v>
      </c>
      <c r="AJ245" s="52">
        <f t="shared" si="112"/>
        <v>0</v>
      </c>
      <c r="AK245" s="52">
        <f t="shared" si="112"/>
        <v>0</v>
      </c>
      <c r="AL245" s="52">
        <f t="shared" si="112"/>
        <v>0</v>
      </c>
      <c r="AM245" s="52">
        <f t="shared" si="112"/>
        <v>0</v>
      </c>
      <c r="AN245" s="52">
        <f t="shared" si="112"/>
        <v>0</v>
      </c>
      <c r="AO245" s="52">
        <f t="shared" si="112"/>
        <v>0</v>
      </c>
      <c r="AP245" s="52">
        <f t="shared" si="112"/>
        <v>0</v>
      </c>
    </row>
    <row r="246" spans="1:42" x14ac:dyDescent="0.2">
      <c r="A246" s="66" t="str">
        <f t="shared" ref="A246:A250" si="113">A239</f>
        <v>15-yr MACRS</v>
      </c>
      <c r="B246" s="40">
        <f t="shared" ref="B246:B252" si="114">SUM(C246:AP246)</f>
        <v>577950.01500000001</v>
      </c>
      <c r="C246" s="52">
        <f t="shared" ref="C246:AP246" si="115">C239*$Q206</f>
        <v>28897.500750000003</v>
      </c>
      <c r="D246" s="52">
        <f t="shared" si="115"/>
        <v>54905.251425000002</v>
      </c>
      <c r="E246" s="52">
        <f t="shared" si="115"/>
        <v>49414.726282500007</v>
      </c>
      <c r="F246" s="52">
        <f t="shared" si="115"/>
        <v>44502.151155</v>
      </c>
      <c r="G246" s="52">
        <f t="shared" si="115"/>
        <v>40051.936039500004</v>
      </c>
      <c r="H246" s="52">
        <f t="shared" si="115"/>
        <v>36006.285934500003</v>
      </c>
      <c r="I246" s="52">
        <f t="shared" si="115"/>
        <v>34099.050884999997</v>
      </c>
      <c r="J246" s="52">
        <f t="shared" si="115"/>
        <v>34099.050884999997</v>
      </c>
      <c r="K246" s="52">
        <f t="shared" si="115"/>
        <v>34156.845886499999</v>
      </c>
      <c r="L246" s="52">
        <f t="shared" si="115"/>
        <v>34099.050884999997</v>
      </c>
      <c r="M246" s="52">
        <f t="shared" si="115"/>
        <v>34156.845886499999</v>
      </c>
      <c r="N246" s="52">
        <f t="shared" si="115"/>
        <v>34099.050884999997</v>
      </c>
      <c r="O246" s="52">
        <f t="shared" si="115"/>
        <v>34156.845886499999</v>
      </c>
      <c r="P246" s="52">
        <f t="shared" si="115"/>
        <v>34099.050884999997</v>
      </c>
      <c r="Q246" s="52">
        <f t="shared" si="115"/>
        <v>34156.845886499999</v>
      </c>
      <c r="R246" s="52">
        <f t="shared" si="115"/>
        <v>17049.525442499998</v>
      </c>
      <c r="S246" s="52">
        <f t="shared" si="115"/>
        <v>0</v>
      </c>
      <c r="T246" s="52">
        <f t="shared" si="115"/>
        <v>0</v>
      </c>
      <c r="U246" s="52">
        <f t="shared" si="115"/>
        <v>0</v>
      </c>
      <c r="V246" s="52">
        <f t="shared" si="115"/>
        <v>0</v>
      </c>
      <c r="W246" s="52">
        <f t="shared" si="115"/>
        <v>0</v>
      </c>
      <c r="X246" s="52">
        <f t="shared" si="115"/>
        <v>0</v>
      </c>
      <c r="Y246" s="52">
        <f t="shared" si="115"/>
        <v>0</v>
      </c>
      <c r="Z246" s="52">
        <f t="shared" si="115"/>
        <v>0</v>
      </c>
      <c r="AA246" s="52">
        <f t="shared" si="115"/>
        <v>0</v>
      </c>
      <c r="AB246" s="52">
        <f t="shared" si="115"/>
        <v>0</v>
      </c>
      <c r="AC246" s="52">
        <f t="shared" si="115"/>
        <v>0</v>
      </c>
      <c r="AD246" s="52">
        <f t="shared" si="115"/>
        <v>0</v>
      </c>
      <c r="AE246" s="52">
        <f t="shared" si="115"/>
        <v>0</v>
      </c>
      <c r="AF246" s="52">
        <f t="shared" si="115"/>
        <v>0</v>
      </c>
      <c r="AG246" s="52">
        <f t="shared" si="115"/>
        <v>0</v>
      </c>
      <c r="AH246" s="52">
        <f t="shared" si="115"/>
        <v>0</v>
      </c>
      <c r="AI246" s="52">
        <f t="shared" si="115"/>
        <v>0</v>
      </c>
      <c r="AJ246" s="52">
        <f t="shared" si="115"/>
        <v>0</v>
      </c>
      <c r="AK246" s="52">
        <f t="shared" si="115"/>
        <v>0</v>
      </c>
      <c r="AL246" s="52">
        <f t="shared" si="115"/>
        <v>0</v>
      </c>
      <c r="AM246" s="52">
        <f t="shared" si="115"/>
        <v>0</v>
      </c>
      <c r="AN246" s="52">
        <f t="shared" si="115"/>
        <v>0</v>
      </c>
      <c r="AO246" s="52">
        <f t="shared" si="115"/>
        <v>0</v>
      </c>
      <c r="AP246" s="52">
        <f t="shared" si="115"/>
        <v>0</v>
      </c>
    </row>
    <row r="247" spans="1:42" x14ac:dyDescent="0.2">
      <c r="A247" s="66" t="str">
        <f t="shared" si="113"/>
        <v>5-yr SL</v>
      </c>
      <c r="B247" s="40">
        <f t="shared" si="114"/>
        <v>0</v>
      </c>
      <c r="C247" s="52">
        <f t="shared" ref="C247:AP247" si="116">C240*$Q207</f>
        <v>0</v>
      </c>
      <c r="D247" s="52">
        <f t="shared" si="116"/>
        <v>0</v>
      </c>
      <c r="E247" s="52">
        <f t="shared" si="116"/>
        <v>0</v>
      </c>
      <c r="F247" s="52">
        <f t="shared" si="116"/>
        <v>0</v>
      </c>
      <c r="G247" s="52">
        <f t="shared" si="116"/>
        <v>0</v>
      </c>
      <c r="H247" s="52">
        <f t="shared" si="116"/>
        <v>0</v>
      </c>
      <c r="I247" s="52">
        <f t="shared" si="116"/>
        <v>0</v>
      </c>
      <c r="J247" s="52">
        <f t="shared" si="116"/>
        <v>0</v>
      </c>
      <c r="K247" s="52">
        <f t="shared" si="116"/>
        <v>0</v>
      </c>
      <c r="L247" s="52">
        <f t="shared" si="116"/>
        <v>0</v>
      </c>
      <c r="M247" s="52">
        <f t="shared" si="116"/>
        <v>0</v>
      </c>
      <c r="N247" s="52">
        <f t="shared" si="116"/>
        <v>0</v>
      </c>
      <c r="O247" s="52">
        <f t="shared" si="116"/>
        <v>0</v>
      </c>
      <c r="P247" s="52">
        <f t="shared" si="116"/>
        <v>0</v>
      </c>
      <c r="Q247" s="52">
        <f t="shared" si="116"/>
        <v>0</v>
      </c>
      <c r="R247" s="52">
        <f t="shared" si="116"/>
        <v>0</v>
      </c>
      <c r="S247" s="52">
        <f t="shared" si="116"/>
        <v>0</v>
      </c>
      <c r="T247" s="52">
        <f t="shared" si="116"/>
        <v>0</v>
      </c>
      <c r="U247" s="52">
        <f t="shared" si="116"/>
        <v>0</v>
      </c>
      <c r="V247" s="52">
        <f t="shared" si="116"/>
        <v>0</v>
      </c>
      <c r="W247" s="52">
        <f t="shared" si="116"/>
        <v>0</v>
      </c>
      <c r="X247" s="52">
        <f t="shared" si="116"/>
        <v>0</v>
      </c>
      <c r="Y247" s="52">
        <f t="shared" si="116"/>
        <v>0</v>
      </c>
      <c r="Z247" s="52">
        <f t="shared" si="116"/>
        <v>0</v>
      </c>
      <c r="AA247" s="52">
        <f t="shared" si="116"/>
        <v>0</v>
      </c>
      <c r="AB247" s="52">
        <f t="shared" si="116"/>
        <v>0</v>
      </c>
      <c r="AC247" s="52">
        <f t="shared" si="116"/>
        <v>0</v>
      </c>
      <c r="AD247" s="52">
        <f t="shared" si="116"/>
        <v>0</v>
      </c>
      <c r="AE247" s="52">
        <f t="shared" si="116"/>
        <v>0</v>
      </c>
      <c r="AF247" s="52">
        <f t="shared" si="116"/>
        <v>0</v>
      </c>
      <c r="AG247" s="52">
        <f t="shared" si="116"/>
        <v>0</v>
      </c>
      <c r="AH247" s="52">
        <f t="shared" si="116"/>
        <v>0</v>
      </c>
      <c r="AI247" s="52">
        <f t="shared" si="116"/>
        <v>0</v>
      </c>
      <c r="AJ247" s="52">
        <f t="shared" si="116"/>
        <v>0</v>
      </c>
      <c r="AK247" s="52">
        <f t="shared" si="116"/>
        <v>0</v>
      </c>
      <c r="AL247" s="52">
        <f t="shared" si="116"/>
        <v>0</v>
      </c>
      <c r="AM247" s="52">
        <f t="shared" si="116"/>
        <v>0</v>
      </c>
      <c r="AN247" s="52">
        <f t="shared" si="116"/>
        <v>0</v>
      </c>
      <c r="AO247" s="52">
        <f t="shared" si="116"/>
        <v>0</v>
      </c>
      <c r="AP247" s="52">
        <f t="shared" si="116"/>
        <v>0</v>
      </c>
    </row>
    <row r="248" spans="1:42" x14ac:dyDescent="0.2">
      <c r="A248" s="66" t="str">
        <f t="shared" si="113"/>
        <v>15-yr SL</v>
      </c>
      <c r="B248" s="40">
        <f t="shared" si="114"/>
        <v>963250.02500000026</v>
      </c>
      <c r="C248" s="52">
        <f t="shared" ref="C248:AP248" si="117">C241*$Q208</f>
        <v>32076.225832500004</v>
      </c>
      <c r="D248" s="52">
        <f t="shared" si="117"/>
        <v>64248.776667499995</v>
      </c>
      <c r="E248" s="52">
        <f t="shared" si="117"/>
        <v>64248.776667499995</v>
      </c>
      <c r="F248" s="52">
        <f t="shared" si="117"/>
        <v>64248.776667499995</v>
      </c>
      <c r="G248" s="52">
        <f t="shared" si="117"/>
        <v>64248.776667499995</v>
      </c>
      <c r="H248" s="52">
        <f t="shared" si="117"/>
        <v>64248.776667499995</v>
      </c>
      <c r="I248" s="52">
        <f t="shared" si="117"/>
        <v>64248.776667499995</v>
      </c>
      <c r="J248" s="52">
        <f t="shared" si="117"/>
        <v>64152.451665000008</v>
      </c>
      <c r="K248" s="52">
        <f t="shared" si="117"/>
        <v>64248.776667499995</v>
      </c>
      <c r="L248" s="52">
        <f t="shared" si="117"/>
        <v>64152.451665000008</v>
      </c>
      <c r="M248" s="52">
        <f t="shared" si="117"/>
        <v>64248.776667499995</v>
      </c>
      <c r="N248" s="52">
        <f t="shared" si="117"/>
        <v>64152.451665000008</v>
      </c>
      <c r="O248" s="52">
        <f t="shared" si="117"/>
        <v>64248.776667499995</v>
      </c>
      <c r="P248" s="52">
        <f t="shared" si="117"/>
        <v>64152.451665000008</v>
      </c>
      <c r="Q248" s="52">
        <f t="shared" si="117"/>
        <v>64248.776667499995</v>
      </c>
      <c r="R248" s="52">
        <f t="shared" si="117"/>
        <v>32076.225832500004</v>
      </c>
      <c r="S248" s="52">
        <f t="shared" si="117"/>
        <v>0</v>
      </c>
      <c r="T248" s="52">
        <f t="shared" si="117"/>
        <v>0</v>
      </c>
      <c r="U248" s="52">
        <f t="shared" si="117"/>
        <v>0</v>
      </c>
      <c r="V248" s="52">
        <f t="shared" si="117"/>
        <v>0</v>
      </c>
      <c r="W248" s="52">
        <f t="shared" si="117"/>
        <v>0</v>
      </c>
      <c r="X248" s="52">
        <f t="shared" si="117"/>
        <v>0</v>
      </c>
      <c r="Y248" s="52">
        <f t="shared" si="117"/>
        <v>0</v>
      </c>
      <c r="Z248" s="52">
        <f t="shared" si="117"/>
        <v>0</v>
      </c>
      <c r="AA248" s="52">
        <f t="shared" si="117"/>
        <v>0</v>
      </c>
      <c r="AB248" s="52">
        <f t="shared" si="117"/>
        <v>0</v>
      </c>
      <c r="AC248" s="52">
        <f t="shared" si="117"/>
        <v>0</v>
      </c>
      <c r="AD248" s="52">
        <f t="shared" si="117"/>
        <v>0</v>
      </c>
      <c r="AE248" s="52">
        <f t="shared" si="117"/>
        <v>0</v>
      </c>
      <c r="AF248" s="52">
        <f t="shared" si="117"/>
        <v>0</v>
      </c>
      <c r="AG248" s="52">
        <f t="shared" si="117"/>
        <v>0</v>
      </c>
      <c r="AH248" s="52">
        <f t="shared" si="117"/>
        <v>0</v>
      </c>
      <c r="AI248" s="52">
        <f t="shared" si="117"/>
        <v>0</v>
      </c>
      <c r="AJ248" s="52">
        <f t="shared" si="117"/>
        <v>0</v>
      </c>
      <c r="AK248" s="52">
        <f t="shared" si="117"/>
        <v>0</v>
      </c>
      <c r="AL248" s="52">
        <f t="shared" si="117"/>
        <v>0</v>
      </c>
      <c r="AM248" s="52">
        <f t="shared" si="117"/>
        <v>0</v>
      </c>
      <c r="AN248" s="52">
        <f t="shared" si="117"/>
        <v>0</v>
      </c>
      <c r="AO248" s="52">
        <f t="shared" si="117"/>
        <v>0</v>
      </c>
      <c r="AP248" s="52">
        <f t="shared" si="117"/>
        <v>0</v>
      </c>
    </row>
    <row r="249" spans="1:42" x14ac:dyDescent="0.2">
      <c r="A249" s="66" t="str">
        <f t="shared" si="113"/>
        <v>20-yr SL</v>
      </c>
      <c r="B249" s="40">
        <f t="shared" si="114"/>
        <v>963250.02499999967</v>
      </c>
      <c r="C249" s="52">
        <f t="shared" ref="C249:AP249" si="118">C242*$Q209</f>
        <v>24081.250625000001</v>
      </c>
      <c r="D249" s="52">
        <f t="shared" si="118"/>
        <v>48162.501250000001</v>
      </c>
      <c r="E249" s="52">
        <f t="shared" si="118"/>
        <v>48162.501250000001</v>
      </c>
      <c r="F249" s="52">
        <f t="shared" si="118"/>
        <v>48162.501250000001</v>
      </c>
      <c r="G249" s="52">
        <f t="shared" si="118"/>
        <v>48162.501250000001</v>
      </c>
      <c r="H249" s="52">
        <f t="shared" si="118"/>
        <v>48162.501250000001</v>
      </c>
      <c r="I249" s="52">
        <f t="shared" si="118"/>
        <v>48162.501250000001</v>
      </c>
      <c r="J249" s="52">
        <f t="shared" si="118"/>
        <v>48162.501250000001</v>
      </c>
      <c r="K249" s="52">
        <f t="shared" si="118"/>
        <v>48162.501250000001</v>
      </c>
      <c r="L249" s="52">
        <f t="shared" si="118"/>
        <v>48162.501250000001</v>
      </c>
      <c r="M249" s="52">
        <f t="shared" si="118"/>
        <v>48162.501250000001</v>
      </c>
      <c r="N249" s="52">
        <f t="shared" si="118"/>
        <v>48162.501250000001</v>
      </c>
      <c r="O249" s="52">
        <f t="shared" si="118"/>
        <v>48162.501250000001</v>
      </c>
      <c r="P249" s="52">
        <f t="shared" si="118"/>
        <v>48162.501250000001</v>
      </c>
      <c r="Q249" s="52">
        <f t="shared" si="118"/>
        <v>48162.501250000001</v>
      </c>
      <c r="R249" s="52">
        <f t="shared" si="118"/>
        <v>48162.501250000001</v>
      </c>
      <c r="S249" s="52">
        <f t="shared" si="118"/>
        <v>48162.501250000001</v>
      </c>
      <c r="T249" s="52">
        <f t="shared" si="118"/>
        <v>48162.501250000001</v>
      </c>
      <c r="U249" s="52">
        <f t="shared" si="118"/>
        <v>48162.501250000001</v>
      </c>
      <c r="V249" s="52">
        <f t="shared" si="118"/>
        <v>48162.501250000001</v>
      </c>
      <c r="W249" s="52">
        <f t="shared" si="118"/>
        <v>24081.250625000001</v>
      </c>
      <c r="X249" s="52">
        <f t="shared" si="118"/>
        <v>0</v>
      </c>
      <c r="Y249" s="52">
        <f t="shared" si="118"/>
        <v>0</v>
      </c>
      <c r="Z249" s="52">
        <f t="shared" si="118"/>
        <v>0</v>
      </c>
      <c r="AA249" s="52">
        <f t="shared" si="118"/>
        <v>0</v>
      </c>
      <c r="AB249" s="52">
        <f t="shared" si="118"/>
        <v>0</v>
      </c>
      <c r="AC249" s="52">
        <f t="shared" si="118"/>
        <v>0</v>
      </c>
      <c r="AD249" s="52">
        <f t="shared" si="118"/>
        <v>0</v>
      </c>
      <c r="AE249" s="52">
        <f t="shared" si="118"/>
        <v>0</v>
      </c>
      <c r="AF249" s="52">
        <f t="shared" si="118"/>
        <v>0</v>
      </c>
      <c r="AG249" s="52">
        <f t="shared" si="118"/>
        <v>0</v>
      </c>
      <c r="AH249" s="52">
        <f t="shared" si="118"/>
        <v>0</v>
      </c>
      <c r="AI249" s="52">
        <f t="shared" si="118"/>
        <v>0</v>
      </c>
      <c r="AJ249" s="52">
        <f t="shared" si="118"/>
        <v>0</v>
      </c>
      <c r="AK249" s="52">
        <f t="shared" si="118"/>
        <v>0</v>
      </c>
      <c r="AL249" s="52">
        <f t="shared" si="118"/>
        <v>0</v>
      </c>
      <c r="AM249" s="52">
        <f t="shared" si="118"/>
        <v>0</v>
      </c>
      <c r="AN249" s="52">
        <f t="shared" si="118"/>
        <v>0</v>
      </c>
      <c r="AO249" s="52">
        <f t="shared" si="118"/>
        <v>0</v>
      </c>
      <c r="AP249" s="52">
        <f t="shared" si="118"/>
        <v>0</v>
      </c>
    </row>
    <row r="250" spans="1:42" x14ac:dyDescent="0.2">
      <c r="A250" s="66" t="str">
        <f t="shared" si="113"/>
        <v>39-yr SL</v>
      </c>
      <c r="B250" s="40">
        <f t="shared" si="114"/>
        <v>192650.00500000015</v>
      </c>
      <c r="C250" s="52">
        <f t="shared" ref="C250:AP250" si="119">C243*$Q210</f>
        <v>2469.8718589743548</v>
      </c>
      <c r="D250" s="52">
        <f t="shared" si="119"/>
        <v>4939.7437179487179</v>
      </c>
      <c r="E250" s="52">
        <f t="shared" si="119"/>
        <v>4939.7437179487179</v>
      </c>
      <c r="F250" s="52">
        <f t="shared" si="119"/>
        <v>4939.7437179487179</v>
      </c>
      <c r="G250" s="52">
        <f t="shared" si="119"/>
        <v>4939.7437179487179</v>
      </c>
      <c r="H250" s="52">
        <f t="shared" si="119"/>
        <v>4939.7437179487179</v>
      </c>
      <c r="I250" s="52">
        <f t="shared" si="119"/>
        <v>4939.7437179487179</v>
      </c>
      <c r="J250" s="52">
        <f t="shared" si="119"/>
        <v>4939.7437179487179</v>
      </c>
      <c r="K250" s="52">
        <f t="shared" si="119"/>
        <v>4939.7437179487179</v>
      </c>
      <c r="L250" s="52">
        <f t="shared" si="119"/>
        <v>4939.7437179487179</v>
      </c>
      <c r="M250" s="52">
        <f t="shared" si="119"/>
        <v>4939.7437179487179</v>
      </c>
      <c r="N250" s="52">
        <f t="shared" si="119"/>
        <v>4939.7437179487179</v>
      </c>
      <c r="O250" s="52">
        <f t="shared" si="119"/>
        <v>4939.7437179487179</v>
      </c>
      <c r="P250" s="52">
        <f t="shared" si="119"/>
        <v>4939.7437179487179</v>
      </c>
      <c r="Q250" s="52">
        <f t="shared" si="119"/>
        <v>4939.7437179487179</v>
      </c>
      <c r="R250" s="52">
        <f t="shared" si="119"/>
        <v>4939.7437179487179</v>
      </c>
      <c r="S250" s="52">
        <f t="shared" si="119"/>
        <v>4939.7437179487179</v>
      </c>
      <c r="T250" s="52">
        <f t="shared" si="119"/>
        <v>4939.7437179487179</v>
      </c>
      <c r="U250" s="52">
        <f t="shared" si="119"/>
        <v>4939.7437179487179</v>
      </c>
      <c r="V250" s="52">
        <f t="shared" si="119"/>
        <v>4939.7437179487179</v>
      </c>
      <c r="W250" s="52">
        <f t="shared" si="119"/>
        <v>4939.7437179487179</v>
      </c>
      <c r="X250" s="52">
        <f t="shared" si="119"/>
        <v>4939.7437179487179</v>
      </c>
      <c r="Y250" s="52">
        <f t="shared" si="119"/>
        <v>4939.7437179487179</v>
      </c>
      <c r="Z250" s="52">
        <f t="shared" si="119"/>
        <v>4939.7437179487179</v>
      </c>
      <c r="AA250" s="52">
        <f t="shared" si="119"/>
        <v>4939.7437179487179</v>
      </c>
      <c r="AB250" s="52">
        <f t="shared" si="119"/>
        <v>4939.7437179487179</v>
      </c>
      <c r="AC250" s="52">
        <f t="shared" si="119"/>
        <v>4939.7437179487179</v>
      </c>
      <c r="AD250" s="52">
        <f t="shared" si="119"/>
        <v>4939.7437179487179</v>
      </c>
      <c r="AE250" s="52">
        <f t="shared" si="119"/>
        <v>4939.7437179487179</v>
      </c>
      <c r="AF250" s="52">
        <f t="shared" si="119"/>
        <v>4939.7437179487179</v>
      </c>
      <c r="AG250" s="52">
        <f t="shared" si="119"/>
        <v>4939.7437179487179</v>
      </c>
      <c r="AH250" s="52">
        <f t="shared" si="119"/>
        <v>4939.7437179487179</v>
      </c>
      <c r="AI250" s="52">
        <f t="shared" si="119"/>
        <v>4939.7437179487179</v>
      </c>
      <c r="AJ250" s="52">
        <f t="shared" si="119"/>
        <v>4939.7437179487179</v>
      </c>
      <c r="AK250" s="52">
        <f t="shared" si="119"/>
        <v>4939.7437179487179</v>
      </c>
      <c r="AL250" s="52">
        <f t="shared" si="119"/>
        <v>4939.7437179487179</v>
      </c>
      <c r="AM250" s="52">
        <f t="shared" si="119"/>
        <v>4939.7437179487179</v>
      </c>
      <c r="AN250" s="52">
        <f t="shared" si="119"/>
        <v>4939.7437179487179</v>
      </c>
      <c r="AO250" s="52">
        <f t="shared" si="119"/>
        <v>4939.7437179487179</v>
      </c>
      <c r="AP250" s="52">
        <f t="shared" si="119"/>
        <v>2469.8718589743548</v>
      </c>
    </row>
    <row r="251" spans="1:42" x14ac:dyDescent="0.2">
      <c r="A251" s="66" t="s">
        <v>153</v>
      </c>
      <c r="B251" s="73">
        <f t="shared" si="114"/>
        <v>0</v>
      </c>
      <c r="C251" s="53">
        <f>P212</f>
        <v>0</v>
      </c>
      <c r="D251" s="53">
        <v>0</v>
      </c>
      <c r="E251" s="53">
        <v>0</v>
      </c>
      <c r="F251" s="53">
        <v>0</v>
      </c>
      <c r="G251" s="53">
        <v>0</v>
      </c>
      <c r="H251" s="53">
        <v>0</v>
      </c>
      <c r="I251" s="53">
        <v>0</v>
      </c>
      <c r="J251" s="53">
        <v>0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53">
        <v>0</v>
      </c>
      <c r="Y251" s="53">
        <v>0</v>
      </c>
      <c r="Z251" s="53">
        <v>0</v>
      </c>
      <c r="AA251" s="53">
        <v>0</v>
      </c>
      <c r="AB251" s="53">
        <v>0</v>
      </c>
      <c r="AC251" s="53">
        <v>0</v>
      </c>
      <c r="AD251" s="53">
        <v>0</v>
      </c>
      <c r="AE251" s="53">
        <v>0</v>
      </c>
      <c r="AF251" s="53">
        <v>0</v>
      </c>
      <c r="AG251" s="53">
        <v>0</v>
      </c>
      <c r="AH251" s="53">
        <v>0</v>
      </c>
      <c r="AI251" s="53">
        <v>0</v>
      </c>
      <c r="AJ251" s="53">
        <v>0</v>
      </c>
      <c r="AK251" s="53">
        <v>0</v>
      </c>
      <c r="AL251" s="53">
        <v>0</v>
      </c>
      <c r="AM251" s="53">
        <v>0</v>
      </c>
      <c r="AN251" s="53">
        <v>0</v>
      </c>
      <c r="AO251" s="53">
        <v>0</v>
      </c>
      <c r="AP251" s="53">
        <v>0</v>
      </c>
    </row>
    <row r="252" spans="1:42" x14ac:dyDescent="0.2">
      <c r="A252" s="65"/>
      <c r="B252" s="73">
        <f t="shared" si="114"/>
        <v>33155065.860500023</v>
      </c>
      <c r="C252" s="52">
        <f>SUM(C245:C251)</f>
        <v>6179118.007166476</v>
      </c>
      <c r="D252" s="52">
        <f t="shared" ref="D252:AP252" si="120">SUM(D245:D251)</f>
        <v>9918805.3260204531</v>
      </c>
      <c r="E252" s="52">
        <f t="shared" si="120"/>
        <v>6014695.1796939503</v>
      </c>
      <c r="F252" s="52">
        <f t="shared" si="120"/>
        <v>3670610.8318560505</v>
      </c>
      <c r="G252" s="52">
        <f t="shared" si="120"/>
        <v>3666160.6167405504</v>
      </c>
      <c r="H252" s="52">
        <f t="shared" si="120"/>
        <v>1907736.1371027492</v>
      </c>
      <c r="I252" s="52">
        <f t="shared" si="120"/>
        <v>151450.07252044871</v>
      </c>
      <c r="J252" s="52">
        <f t="shared" si="120"/>
        <v>151353.74751794874</v>
      </c>
      <c r="K252" s="52">
        <f t="shared" si="120"/>
        <v>151507.86752194873</v>
      </c>
      <c r="L252" s="52">
        <f t="shared" si="120"/>
        <v>151353.74751794874</v>
      </c>
      <c r="M252" s="52">
        <f t="shared" si="120"/>
        <v>151507.86752194873</v>
      </c>
      <c r="N252" s="52">
        <f t="shared" si="120"/>
        <v>151353.74751794874</v>
      </c>
      <c r="O252" s="52">
        <f t="shared" si="120"/>
        <v>151507.86752194873</v>
      </c>
      <c r="P252" s="52">
        <f t="shared" si="120"/>
        <v>151353.74751794874</v>
      </c>
      <c r="Q252" s="52">
        <f t="shared" si="120"/>
        <v>151507.86752194873</v>
      </c>
      <c r="R252" s="52">
        <f t="shared" si="120"/>
        <v>102227.99624294872</v>
      </c>
      <c r="S252" s="52">
        <f t="shared" si="120"/>
        <v>53102.244967948718</v>
      </c>
      <c r="T252" s="52">
        <f t="shared" si="120"/>
        <v>53102.244967948718</v>
      </c>
      <c r="U252" s="52">
        <f t="shared" si="120"/>
        <v>53102.244967948718</v>
      </c>
      <c r="V252" s="52">
        <f t="shared" si="120"/>
        <v>53102.244967948718</v>
      </c>
      <c r="W252" s="52">
        <f t="shared" si="120"/>
        <v>29020.994342948718</v>
      </c>
      <c r="X252" s="52">
        <f t="shared" si="120"/>
        <v>4939.7437179487179</v>
      </c>
      <c r="Y252" s="52">
        <f t="shared" si="120"/>
        <v>4939.7437179487179</v>
      </c>
      <c r="Z252" s="52">
        <f t="shared" si="120"/>
        <v>4939.7437179487179</v>
      </c>
      <c r="AA252" s="52">
        <f t="shared" si="120"/>
        <v>4939.7437179487179</v>
      </c>
      <c r="AB252" s="52">
        <f t="shared" si="120"/>
        <v>4939.7437179487179</v>
      </c>
      <c r="AC252" s="52">
        <f t="shared" si="120"/>
        <v>4939.7437179487179</v>
      </c>
      <c r="AD252" s="52">
        <f t="shared" si="120"/>
        <v>4939.7437179487179</v>
      </c>
      <c r="AE252" s="52">
        <f t="shared" si="120"/>
        <v>4939.7437179487179</v>
      </c>
      <c r="AF252" s="52">
        <f t="shared" si="120"/>
        <v>4939.7437179487179</v>
      </c>
      <c r="AG252" s="52">
        <f t="shared" si="120"/>
        <v>4939.7437179487179</v>
      </c>
      <c r="AH252" s="52">
        <f t="shared" si="120"/>
        <v>4939.7437179487179</v>
      </c>
      <c r="AI252" s="52">
        <f t="shared" si="120"/>
        <v>4939.7437179487179</v>
      </c>
      <c r="AJ252" s="52">
        <f t="shared" si="120"/>
        <v>4939.7437179487179</v>
      </c>
      <c r="AK252" s="52">
        <f t="shared" si="120"/>
        <v>4939.7437179487179</v>
      </c>
      <c r="AL252" s="52">
        <f t="shared" si="120"/>
        <v>4939.7437179487179</v>
      </c>
      <c r="AM252" s="52">
        <f t="shared" si="120"/>
        <v>4939.7437179487179</v>
      </c>
      <c r="AN252" s="52">
        <f t="shared" si="120"/>
        <v>4939.7437179487179</v>
      </c>
      <c r="AO252" s="52">
        <f t="shared" si="120"/>
        <v>4939.7437179487179</v>
      </c>
      <c r="AP252" s="52">
        <f t="shared" si="120"/>
        <v>2469.8718589743548</v>
      </c>
    </row>
    <row r="253" spans="1:42" x14ac:dyDescent="0.2">
      <c r="A253" s="65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52"/>
      <c r="AE253" s="52"/>
      <c r="AF253" s="52"/>
      <c r="AG253" s="52"/>
      <c r="AH253" s="52"/>
      <c r="AI253" s="52"/>
      <c r="AJ253" s="52"/>
      <c r="AK253" s="52"/>
      <c r="AL253" s="52"/>
      <c r="AM253" s="52"/>
      <c r="AN253" s="52"/>
      <c r="AO253" s="52"/>
      <c r="AP253" s="52"/>
    </row>
    <row r="254" spans="1:42" x14ac:dyDescent="0.2">
      <c r="A254" s="59" t="s">
        <v>124</v>
      </c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52"/>
      <c r="AE254" s="52"/>
      <c r="AF254" s="52"/>
      <c r="AG254" s="52"/>
      <c r="AH254" s="52"/>
      <c r="AI254" s="52"/>
      <c r="AJ254" s="52"/>
      <c r="AK254" s="52"/>
      <c r="AL254" s="52"/>
      <c r="AM254" s="52"/>
      <c r="AN254" s="52"/>
      <c r="AO254" s="52"/>
      <c r="AP254" s="52"/>
    </row>
    <row r="255" spans="1:42" x14ac:dyDescent="0.2">
      <c r="A255" s="65" t="s">
        <v>126</v>
      </c>
      <c r="B255" s="80" t="str">
        <f>MMStateTaxTreatment</f>
        <v>5-yr MACRS</v>
      </c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52"/>
      <c r="AE255" s="52"/>
      <c r="AF255" s="52"/>
      <c r="AG255" s="52"/>
      <c r="AH255" s="52"/>
      <c r="AI255" s="52"/>
      <c r="AJ255" s="52"/>
      <c r="AK255" s="52"/>
      <c r="AL255" s="52"/>
      <c r="AM255" s="52"/>
      <c r="AN255" s="52"/>
      <c r="AO255" s="52"/>
      <c r="AP255" s="52"/>
    </row>
    <row r="256" spans="1:42" x14ac:dyDescent="0.2">
      <c r="A256" s="65" t="s">
        <v>127</v>
      </c>
      <c r="B256" s="52">
        <f t="shared" ref="B256:AP256" si="121">B2</f>
        <v>0</v>
      </c>
      <c r="C256" s="52">
        <f t="shared" si="121"/>
        <v>1</v>
      </c>
      <c r="D256" s="52">
        <f t="shared" si="121"/>
        <v>2</v>
      </c>
      <c r="E256" s="52">
        <f t="shared" si="121"/>
        <v>3</v>
      </c>
      <c r="F256" s="52">
        <f t="shared" si="121"/>
        <v>4</v>
      </c>
      <c r="G256" s="52">
        <f t="shared" si="121"/>
        <v>5</v>
      </c>
      <c r="H256" s="52">
        <f t="shared" si="121"/>
        <v>6</v>
      </c>
      <c r="I256" s="52">
        <f t="shared" si="121"/>
        <v>7</v>
      </c>
      <c r="J256" s="52">
        <f t="shared" si="121"/>
        <v>8</v>
      </c>
      <c r="K256" s="52">
        <f t="shared" si="121"/>
        <v>9</v>
      </c>
      <c r="L256" s="52">
        <f t="shared" si="121"/>
        <v>10</v>
      </c>
      <c r="M256" s="52">
        <f t="shared" si="121"/>
        <v>11</v>
      </c>
      <c r="N256" s="52">
        <f t="shared" si="121"/>
        <v>12</v>
      </c>
      <c r="O256" s="52">
        <f t="shared" si="121"/>
        <v>13</v>
      </c>
      <c r="P256" s="52">
        <f t="shared" si="121"/>
        <v>14</v>
      </c>
      <c r="Q256" s="52">
        <f t="shared" si="121"/>
        <v>15</v>
      </c>
      <c r="R256" s="52">
        <f t="shared" si="121"/>
        <v>16</v>
      </c>
      <c r="S256" s="52">
        <f t="shared" si="121"/>
        <v>17</v>
      </c>
      <c r="T256" s="52">
        <f t="shared" si="121"/>
        <v>18</v>
      </c>
      <c r="U256" s="52">
        <f t="shared" si="121"/>
        <v>19</v>
      </c>
      <c r="V256" s="52">
        <f t="shared" si="121"/>
        <v>20</v>
      </c>
      <c r="W256" s="52">
        <f t="shared" si="121"/>
        <v>21</v>
      </c>
      <c r="X256" s="52">
        <f t="shared" si="121"/>
        <v>22</v>
      </c>
      <c r="Y256" s="52">
        <f t="shared" si="121"/>
        <v>23</v>
      </c>
      <c r="Z256" s="52">
        <f t="shared" si="121"/>
        <v>24</v>
      </c>
      <c r="AA256" s="52">
        <f t="shared" si="121"/>
        <v>25</v>
      </c>
      <c r="AB256" s="52">
        <f t="shared" si="121"/>
        <v>26</v>
      </c>
      <c r="AC256" s="52">
        <f t="shared" si="121"/>
        <v>27</v>
      </c>
      <c r="AD256" s="52">
        <f t="shared" si="121"/>
        <v>28</v>
      </c>
      <c r="AE256" s="52">
        <f t="shared" si="121"/>
        <v>29</v>
      </c>
      <c r="AF256" s="52">
        <f t="shared" si="121"/>
        <v>30</v>
      </c>
      <c r="AG256" s="52">
        <f t="shared" si="121"/>
        <v>31</v>
      </c>
      <c r="AH256" s="52">
        <f t="shared" si="121"/>
        <v>32</v>
      </c>
      <c r="AI256" s="52">
        <f t="shared" si="121"/>
        <v>33</v>
      </c>
      <c r="AJ256" s="52">
        <f t="shared" si="121"/>
        <v>34</v>
      </c>
      <c r="AK256" s="52">
        <f t="shared" si="121"/>
        <v>35</v>
      </c>
      <c r="AL256" s="52">
        <f t="shared" si="121"/>
        <v>36</v>
      </c>
      <c r="AM256" s="52">
        <f t="shared" si="121"/>
        <v>37</v>
      </c>
      <c r="AN256" s="52">
        <f t="shared" si="121"/>
        <v>38</v>
      </c>
      <c r="AO256" s="52">
        <f t="shared" si="121"/>
        <v>39</v>
      </c>
      <c r="AP256" s="52">
        <f t="shared" si="121"/>
        <v>40</v>
      </c>
    </row>
    <row r="257" spans="1:42" x14ac:dyDescent="0.2">
      <c r="A257" s="65" t="s">
        <v>128</v>
      </c>
      <c r="B257" s="81">
        <v>0</v>
      </c>
      <c r="C257" s="76">
        <f t="shared" ref="C257:AP257" si="122">IF($B$255=$A238,C238,0)+IF($B$255=$A239,C239,0)+IF($B$255=$A240,C240,0)+IF($B$255=$A241,C241,0)+IF($B$255=$A242,C242,0)+IF($B$255=$A243,C243,0)</f>
        <v>0.2</v>
      </c>
      <c r="D257" s="76">
        <f t="shared" si="122"/>
        <v>0.32</v>
      </c>
      <c r="E257" s="76">
        <f t="shared" si="122"/>
        <v>0.192</v>
      </c>
      <c r="F257" s="76">
        <f t="shared" si="122"/>
        <v>0.1152</v>
      </c>
      <c r="G257" s="76">
        <f t="shared" si="122"/>
        <v>0.1152</v>
      </c>
      <c r="H257" s="76">
        <f t="shared" si="122"/>
        <v>5.7599999999999998E-2</v>
      </c>
      <c r="I257" s="76">
        <f t="shared" si="122"/>
        <v>0</v>
      </c>
      <c r="J257" s="76">
        <f t="shared" si="122"/>
        <v>0</v>
      </c>
      <c r="K257" s="76">
        <f t="shared" si="122"/>
        <v>0</v>
      </c>
      <c r="L257" s="76">
        <f t="shared" si="122"/>
        <v>0</v>
      </c>
      <c r="M257" s="76">
        <f t="shared" si="122"/>
        <v>0</v>
      </c>
      <c r="N257" s="76">
        <f t="shared" si="122"/>
        <v>0</v>
      </c>
      <c r="O257" s="76">
        <f t="shared" si="122"/>
        <v>0</v>
      </c>
      <c r="P257" s="76">
        <f t="shared" si="122"/>
        <v>0</v>
      </c>
      <c r="Q257" s="76">
        <f t="shared" si="122"/>
        <v>0</v>
      </c>
      <c r="R257" s="76">
        <f t="shared" si="122"/>
        <v>0</v>
      </c>
      <c r="S257" s="76">
        <f t="shared" si="122"/>
        <v>0</v>
      </c>
      <c r="T257" s="76">
        <f t="shared" si="122"/>
        <v>0</v>
      </c>
      <c r="U257" s="76">
        <f t="shared" si="122"/>
        <v>0</v>
      </c>
      <c r="V257" s="76">
        <f t="shared" si="122"/>
        <v>0</v>
      </c>
      <c r="W257" s="76">
        <f t="shared" si="122"/>
        <v>0</v>
      </c>
      <c r="X257" s="76">
        <f t="shared" si="122"/>
        <v>0</v>
      </c>
      <c r="Y257" s="76">
        <f t="shared" si="122"/>
        <v>0</v>
      </c>
      <c r="Z257" s="76">
        <f t="shared" si="122"/>
        <v>0</v>
      </c>
      <c r="AA257" s="76">
        <f t="shared" si="122"/>
        <v>0</v>
      </c>
      <c r="AB257" s="76">
        <f t="shared" si="122"/>
        <v>0</v>
      </c>
      <c r="AC257" s="76">
        <f t="shared" si="122"/>
        <v>0</v>
      </c>
      <c r="AD257" s="76">
        <f t="shared" si="122"/>
        <v>0</v>
      </c>
      <c r="AE257" s="76">
        <f t="shared" si="122"/>
        <v>0</v>
      </c>
      <c r="AF257" s="76">
        <f t="shared" si="122"/>
        <v>0</v>
      </c>
      <c r="AG257" s="76">
        <f t="shared" si="122"/>
        <v>0</v>
      </c>
      <c r="AH257" s="76">
        <f t="shared" si="122"/>
        <v>0</v>
      </c>
      <c r="AI257" s="76">
        <f t="shared" si="122"/>
        <v>0</v>
      </c>
      <c r="AJ257" s="76">
        <f t="shared" si="122"/>
        <v>0</v>
      </c>
      <c r="AK257" s="76">
        <f t="shared" si="122"/>
        <v>0</v>
      </c>
      <c r="AL257" s="76">
        <f t="shared" si="122"/>
        <v>0</v>
      </c>
      <c r="AM257" s="76">
        <f t="shared" si="122"/>
        <v>0</v>
      </c>
      <c r="AN257" s="76">
        <f t="shared" si="122"/>
        <v>0</v>
      </c>
      <c r="AO257" s="76">
        <f t="shared" si="122"/>
        <v>0</v>
      </c>
      <c r="AP257" s="76">
        <f t="shared" si="122"/>
        <v>0</v>
      </c>
    </row>
    <row r="258" spans="1:42" x14ac:dyDescent="0.2">
      <c r="A258" s="65"/>
      <c r="B258" s="81"/>
      <c r="C258" s="76"/>
      <c r="D258" s="76"/>
      <c r="E258" s="76"/>
      <c r="F258" s="76"/>
      <c r="G258" s="76"/>
      <c r="H258" s="76"/>
      <c r="I258" s="76"/>
      <c r="J258" s="76"/>
      <c r="K258" s="76"/>
      <c r="L258" s="76"/>
      <c r="M258" s="76"/>
      <c r="N258" s="76"/>
      <c r="O258" s="76"/>
      <c r="P258" s="76"/>
      <c r="Q258" s="76"/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/>
      <c r="AM258" s="76"/>
      <c r="AN258" s="76"/>
      <c r="AO258" s="76"/>
      <c r="AP258" s="76"/>
    </row>
    <row r="259" spans="1:42" x14ac:dyDescent="0.2">
      <c r="A259" s="59" t="s">
        <v>165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  <c r="AO259" s="52"/>
      <c r="AP259" s="52"/>
    </row>
    <row r="260" spans="1:42" x14ac:dyDescent="0.2">
      <c r="A260" s="65" t="s">
        <v>125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52"/>
      <c r="AE260" s="52"/>
      <c r="AF260" s="52"/>
      <c r="AG260" s="52"/>
      <c r="AH260" s="52"/>
      <c r="AI260" s="52"/>
      <c r="AJ260" s="52"/>
      <c r="AK260" s="52"/>
      <c r="AL260" s="52"/>
      <c r="AM260" s="52"/>
      <c r="AN260" s="52"/>
      <c r="AO260" s="52"/>
      <c r="AP260" s="52"/>
    </row>
    <row r="261" spans="1:42" x14ac:dyDescent="0.2">
      <c r="A261" s="17">
        <v>1</v>
      </c>
      <c r="C261" s="52">
        <f>IF(C$2&lt;=AnalysisPeriod,IF(SUM($C586:C586)&gt;0,B261+1,0),0)</f>
        <v>0</v>
      </c>
      <c r="D261" s="52">
        <f>IF(D$2&lt;=AnalysisPeriod,IF(SUM($C586:D586)&gt;0,C261+1,0),0)</f>
        <v>0</v>
      </c>
      <c r="E261" s="52">
        <f>IF(E$2&lt;=AnalysisPeriod,IF(SUM($C586:E586)&gt;0,D261+1,0),0)</f>
        <v>0</v>
      </c>
      <c r="F261" s="52">
        <f>IF(F$2&lt;=AnalysisPeriod,IF(SUM($C586:F586)&gt;0,E261+1,0),0)</f>
        <v>0</v>
      </c>
      <c r="G261" s="52">
        <f>IF(G$2&lt;=AnalysisPeriod,IF(SUM($C586:G586)&gt;0,F261+1,0),0)</f>
        <v>0</v>
      </c>
      <c r="H261" s="52">
        <f>IF(H$2&lt;=AnalysisPeriod,IF(SUM($C586:H586)&gt;0,G261+1,0),0)</f>
        <v>0</v>
      </c>
      <c r="I261" s="52">
        <f>IF(I$2&lt;=AnalysisPeriod,IF(SUM($C586:I586)&gt;0,H261+1,0),0)</f>
        <v>0</v>
      </c>
      <c r="J261" s="52">
        <f>IF(J$2&lt;=AnalysisPeriod,IF(SUM($C586:J586)&gt;0,I261+1,0),0)</f>
        <v>0</v>
      </c>
      <c r="K261" s="52">
        <f>IF(K$2&lt;=AnalysisPeriod,IF(SUM($C586:K586)&gt;0,J261+1,0),0)</f>
        <v>0</v>
      </c>
      <c r="L261" s="52">
        <f>IF(L$2&lt;=AnalysisPeriod,IF(SUM($C586:L586)&gt;0,K261+1,0),0)</f>
        <v>0</v>
      </c>
      <c r="M261" s="52">
        <f>IF(M$2&lt;=AnalysisPeriod,IF(SUM($C586:M586)&gt;0,L261+1,0),0)</f>
        <v>0</v>
      </c>
      <c r="N261" s="52">
        <f>IF(N$2&lt;=AnalysisPeriod,IF(SUM($C586:N586)&gt;0,M261+1,0),0)</f>
        <v>1</v>
      </c>
      <c r="O261" s="52">
        <f>IF(O$2&lt;=AnalysisPeriod,IF(SUM($C586:O586)&gt;0,N261+1,0),0)</f>
        <v>2</v>
      </c>
      <c r="P261" s="52">
        <f>IF(P$2&lt;=AnalysisPeriod,IF(SUM($C586:P586)&gt;0,O261+1,0),0)</f>
        <v>3</v>
      </c>
      <c r="Q261" s="52">
        <f>IF(Q$2&lt;=AnalysisPeriod,IF(SUM($C586:Q586)&gt;0,P261+1,0),0)</f>
        <v>4</v>
      </c>
      <c r="R261" s="52">
        <f>IF(R$2&lt;=AnalysisPeriod,IF(SUM($C586:R586)&gt;0,Q261+1,0),0)</f>
        <v>5</v>
      </c>
      <c r="S261" s="52">
        <f>IF(S$2&lt;=AnalysisPeriod,IF(SUM($C586:S586)&gt;0,R261+1,0),0)</f>
        <v>6</v>
      </c>
      <c r="T261" s="52">
        <f>IF(T$2&lt;=AnalysisPeriod,IF(SUM($C586:T586)&gt;0,S261+1,0),0)</f>
        <v>7</v>
      </c>
      <c r="U261" s="52">
        <f>IF(U$2&lt;=AnalysisPeriod,IF(SUM($C586:U586)&gt;0,T261+1,0),0)</f>
        <v>8</v>
      </c>
      <c r="V261" s="52">
        <f>IF(V$2&lt;=AnalysisPeriod,IF(SUM($C586:V586)&gt;0,U261+1,0),0)</f>
        <v>9</v>
      </c>
      <c r="W261" s="52">
        <f>IF(W$2&lt;=AnalysisPeriod,IF(SUM($C586:W586)&gt;0,V261+1,0),0)</f>
        <v>10</v>
      </c>
      <c r="X261" s="52">
        <f>IF(X$2&lt;=AnalysisPeriod,IF(SUM($C586:X586)&gt;0,W261+1,0),0)</f>
        <v>11</v>
      </c>
      <c r="Y261" s="52">
        <f>IF(Y$2&lt;=AnalysisPeriod,IF(SUM($C586:Y586)&gt;0,X261+1,0),0)</f>
        <v>12</v>
      </c>
      <c r="Z261" s="52">
        <f>IF(Z$2&lt;=AnalysisPeriod,IF(SUM($C586:Z586)&gt;0,Y261+1,0),0)</f>
        <v>13</v>
      </c>
      <c r="AA261" s="52">
        <f>IF(AA$2&lt;=AnalysisPeriod,IF(SUM($C586:AA586)&gt;0,Z261+1,0),0)</f>
        <v>14</v>
      </c>
      <c r="AB261" s="52">
        <f>IF(AB$2&lt;=AnalysisPeriod,IF(SUM($C586:AB586)&gt;0,AA261+1,0),0)</f>
        <v>15</v>
      </c>
      <c r="AC261" s="52">
        <f>IF(AC$2&lt;=AnalysisPeriod,IF(SUM($C586:AC586)&gt;0,AB261+1,0),0)</f>
        <v>16</v>
      </c>
      <c r="AD261" s="52">
        <f>IF(AD$2&lt;=AnalysisPeriod,IF(SUM($C586:AD586)&gt;0,AC261+1,0),0)</f>
        <v>17</v>
      </c>
      <c r="AE261" s="52">
        <f>IF(AE$2&lt;=AnalysisPeriod,IF(SUM($C586:AE586)&gt;0,AD261+1,0),0)</f>
        <v>18</v>
      </c>
      <c r="AF261" s="52">
        <f>IF(AF$2&lt;=AnalysisPeriod,IF(SUM($C586:AF586)&gt;0,AE261+1,0),0)</f>
        <v>19</v>
      </c>
      <c r="AG261" s="52">
        <f>IF(AG$2&lt;=AnalysisPeriod,IF(SUM($C586:AG586)&gt;0,AF261+1,0),0)</f>
        <v>20</v>
      </c>
      <c r="AH261" s="52">
        <f>IF(AH$2&lt;=AnalysisPeriod,IF(SUM($C586:AH586)&gt;0,AG261+1,0),0)</f>
        <v>21</v>
      </c>
      <c r="AI261" s="52">
        <f>IF(AI$2&lt;=AnalysisPeriod,IF(SUM($C586:AI586)&gt;0,AH261+1,0),0)</f>
        <v>22</v>
      </c>
      <c r="AJ261" s="52">
        <f>IF(AJ$2&lt;=AnalysisPeriod,IF(SUM($C586:AJ586)&gt;0,AI261+1,0),0)</f>
        <v>23</v>
      </c>
      <c r="AK261" s="52">
        <f>IF(AK$2&lt;=AnalysisPeriod,IF(SUM($C586:AK586)&gt;0,AJ261+1,0),0)</f>
        <v>24</v>
      </c>
      <c r="AL261" s="52">
        <f>IF(AL$2&lt;=AnalysisPeriod,IF(SUM($C586:AL586)&gt;0,AK261+1,0),0)</f>
        <v>25</v>
      </c>
      <c r="AM261" s="52">
        <f>IF(AM$2&lt;=AnalysisPeriod,IF(SUM($C586:AM586)&gt;0,AL261+1,0),0)</f>
        <v>26</v>
      </c>
      <c r="AN261" s="52">
        <f>IF(AN$2&lt;=AnalysisPeriod,IF(SUM($C586:AN586)&gt;0,AM261+1,0),0)</f>
        <v>27</v>
      </c>
      <c r="AO261" s="52">
        <f>IF(AO$2&lt;=AnalysisPeriod,IF(SUM($C586:AO586)&gt;0,AN261+1,0),0)</f>
        <v>28</v>
      </c>
      <c r="AP261" s="52">
        <f>IF(AP$2&lt;=AnalysisPeriod,IF(SUM($C586:AP586)&gt;0,AO261+1,0),0)</f>
        <v>29</v>
      </c>
    </row>
    <row r="262" spans="1:42" x14ac:dyDescent="0.2">
      <c r="A262" s="17">
        <f>A261+1</f>
        <v>2</v>
      </c>
      <c r="C262" s="52">
        <f>IF(C$2&lt;=AnalysisPeriod,IF(SUM($C587:C587)&gt;0,B262+1,0),0)</f>
        <v>0</v>
      </c>
      <c r="D262" s="52">
        <f>IF(D$2&lt;=AnalysisPeriod,IF(SUM($C587:D587)&gt;0,C262+1,0),0)</f>
        <v>0</v>
      </c>
      <c r="E262" s="52">
        <f>IF(E$2&lt;=AnalysisPeriod,IF(SUM($C587:E587)&gt;0,D262+1,0),0)</f>
        <v>0</v>
      </c>
      <c r="F262" s="52">
        <f>IF(F$2&lt;=AnalysisPeriod,IF(SUM($C587:F587)&gt;0,E262+1,0),0)</f>
        <v>0</v>
      </c>
      <c r="G262" s="52">
        <f>IF(G$2&lt;=AnalysisPeriod,IF(SUM($C587:G587)&gt;0,F262+1,0),0)</f>
        <v>0</v>
      </c>
      <c r="H262" s="52">
        <f>IF(H$2&lt;=AnalysisPeriod,IF(SUM($C587:H587)&gt;0,G262+1,0),0)</f>
        <v>0</v>
      </c>
      <c r="I262" s="52">
        <f>IF(I$2&lt;=AnalysisPeriod,IF(SUM($C587:I587)&gt;0,H262+1,0),0)</f>
        <v>0</v>
      </c>
      <c r="J262" s="52">
        <f>IF(J$2&lt;=AnalysisPeriod,IF(SUM($C587:J587)&gt;0,I262+1,0),0)</f>
        <v>0</v>
      </c>
      <c r="K262" s="52">
        <f>IF(K$2&lt;=AnalysisPeriod,IF(SUM($C587:K587)&gt;0,J262+1,0),0)</f>
        <v>0</v>
      </c>
      <c r="L262" s="52">
        <f>IF(L$2&lt;=AnalysisPeriod,IF(SUM($C587:L587)&gt;0,K262+1,0),0)</f>
        <v>0</v>
      </c>
      <c r="M262" s="52">
        <f>IF(M$2&lt;=AnalysisPeriod,IF(SUM($C587:M587)&gt;0,L262+1,0),0)</f>
        <v>0</v>
      </c>
      <c r="N262" s="52">
        <f>IF(N$2&lt;=AnalysisPeriod,IF(SUM($C587:N587)&gt;0,M262+1,0),0)</f>
        <v>0</v>
      </c>
      <c r="O262" s="52">
        <f>IF(O$2&lt;=AnalysisPeriod,IF(SUM($C587:O587)&gt;0,N262+1,0),0)</f>
        <v>0</v>
      </c>
      <c r="P262" s="52">
        <f>IF(P$2&lt;=AnalysisPeriod,IF(SUM($C587:P587)&gt;0,O262+1,0),0)</f>
        <v>0</v>
      </c>
      <c r="Q262" s="52">
        <f>IF(Q$2&lt;=AnalysisPeriod,IF(SUM($C587:Q587)&gt;0,P262+1,0),0)</f>
        <v>0</v>
      </c>
      <c r="R262" s="52">
        <f>IF(R$2&lt;=AnalysisPeriod,IF(SUM($C587:R587)&gt;0,Q262+1,0),0)</f>
        <v>0</v>
      </c>
      <c r="S262" s="52">
        <f>IF(S$2&lt;=AnalysisPeriod,IF(SUM($C587:S587)&gt;0,R262+1,0),0)</f>
        <v>0</v>
      </c>
      <c r="T262" s="52">
        <f>IF(T$2&lt;=AnalysisPeriod,IF(SUM($C587:T587)&gt;0,S262+1,0),0)</f>
        <v>0</v>
      </c>
      <c r="U262" s="52">
        <f>IF(U$2&lt;=AnalysisPeriod,IF(SUM($C587:U587)&gt;0,T262+1,0),0)</f>
        <v>0</v>
      </c>
      <c r="V262" s="52">
        <f>IF(V$2&lt;=AnalysisPeriod,IF(SUM($C587:V587)&gt;0,U262+1,0),0)</f>
        <v>0</v>
      </c>
      <c r="W262" s="52">
        <f>IF(W$2&lt;=AnalysisPeriod,IF(SUM($C587:W587)&gt;0,V262+1,0),0)</f>
        <v>0</v>
      </c>
      <c r="X262" s="52">
        <f>IF(X$2&lt;=AnalysisPeriod,IF(SUM($C587:X587)&gt;0,W262+1,0),0)</f>
        <v>0</v>
      </c>
      <c r="Y262" s="52">
        <f>IF(Y$2&lt;=AnalysisPeriod,IF(SUM($C587:Y587)&gt;0,X262+1,0),0)</f>
        <v>0</v>
      </c>
      <c r="Z262" s="52">
        <f>IF(Z$2&lt;=AnalysisPeriod,IF(SUM($C587:Z587)&gt;0,Y262+1,0),0)</f>
        <v>1</v>
      </c>
      <c r="AA262" s="52">
        <f>IF(AA$2&lt;=AnalysisPeriod,IF(SUM($C587:AA587)&gt;0,Z262+1,0),0)</f>
        <v>2</v>
      </c>
      <c r="AB262" s="52">
        <f>IF(AB$2&lt;=AnalysisPeriod,IF(SUM($C587:AB587)&gt;0,AA262+1,0),0)</f>
        <v>3</v>
      </c>
      <c r="AC262" s="52">
        <f>IF(AC$2&lt;=AnalysisPeriod,IF(SUM($C587:AC587)&gt;0,AB262+1,0),0)</f>
        <v>4</v>
      </c>
      <c r="AD262" s="52">
        <f>IF(AD$2&lt;=AnalysisPeriod,IF(SUM($C587:AD587)&gt;0,AC262+1,0),0)</f>
        <v>5</v>
      </c>
      <c r="AE262" s="52">
        <f>IF(AE$2&lt;=AnalysisPeriod,IF(SUM($C587:AE587)&gt;0,AD262+1,0),0)</f>
        <v>6</v>
      </c>
      <c r="AF262" s="52">
        <f>IF(AF$2&lt;=AnalysisPeriod,IF(SUM($C587:AF587)&gt;0,AE262+1,0),0)</f>
        <v>7</v>
      </c>
      <c r="AG262" s="52">
        <f>IF(AG$2&lt;=AnalysisPeriod,IF(SUM($C587:AG587)&gt;0,AF262+1,0),0)</f>
        <v>8</v>
      </c>
      <c r="AH262" s="52">
        <f>IF(AH$2&lt;=AnalysisPeriod,IF(SUM($C587:AH587)&gt;0,AG262+1,0),0)</f>
        <v>9</v>
      </c>
      <c r="AI262" s="52">
        <f>IF(AI$2&lt;=AnalysisPeriod,IF(SUM($C587:AI587)&gt;0,AH262+1,0),0)</f>
        <v>10</v>
      </c>
      <c r="AJ262" s="52">
        <f>IF(AJ$2&lt;=AnalysisPeriod,IF(SUM($C587:AJ587)&gt;0,AI262+1,0),0)</f>
        <v>11</v>
      </c>
      <c r="AK262" s="52">
        <f>IF(AK$2&lt;=AnalysisPeriod,IF(SUM($C587:AK587)&gt;0,AJ262+1,0),0)</f>
        <v>12</v>
      </c>
      <c r="AL262" s="52">
        <f>IF(AL$2&lt;=AnalysisPeriod,IF(SUM($C587:AL587)&gt;0,AK262+1,0),0)</f>
        <v>13</v>
      </c>
      <c r="AM262" s="52">
        <f>IF(AM$2&lt;=AnalysisPeriod,IF(SUM($C587:AM587)&gt;0,AL262+1,0),0)</f>
        <v>14</v>
      </c>
      <c r="AN262" s="52">
        <f>IF(AN$2&lt;=AnalysisPeriod,IF(SUM($C587:AN587)&gt;0,AM262+1,0),0)</f>
        <v>15</v>
      </c>
      <c r="AO262" s="52">
        <f>IF(AO$2&lt;=AnalysisPeriod,IF(SUM($C587:AO587)&gt;0,AN262+1,0),0)</f>
        <v>16</v>
      </c>
      <c r="AP262" s="52">
        <f>IF(AP$2&lt;=AnalysisPeriod,IF(SUM($C587:AP587)&gt;0,AO262+1,0),0)</f>
        <v>17</v>
      </c>
    </row>
    <row r="263" spans="1:42" x14ac:dyDescent="0.2">
      <c r="A263" s="17">
        <f t="shared" ref="A263:A270" si="123">A262+1</f>
        <v>3</v>
      </c>
      <c r="C263" s="52">
        <f>IF(C$2&lt;=AnalysisPeriod,IF(SUM($C588:C588)&gt;0,B263+1,0),0)</f>
        <v>0</v>
      </c>
      <c r="D263" s="52">
        <f>IF(D$2&lt;=AnalysisPeriod,IF(SUM($C588:D588)&gt;0,C263+1,0),0)</f>
        <v>0</v>
      </c>
      <c r="E263" s="52">
        <f>IF(E$2&lt;=AnalysisPeriod,IF(SUM($C588:E588)&gt;0,D263+1,0),0)</f>
        <v>0</v>
      </c>
      <c r="F263" s="52">
        <f>IF(F$2&lt;=AnalysisPeriod,IF(SUM($C588:F588)&gt;0,E263+1,0),0)</f>
        <v>0</v>
      </c>
      <c r="G263" s="52">
        <f>IF(G$2&lt;=AnalysisPeriod,IF(SUM($C588:G588)&gt;0,F263+1,0),0)</f>
        <v>0</v>
      </c>
      <c r="H263" s="52">
        <f>IF(H$2&lt;=AnalysisPeriod,IF(SUM($C588:H588)&gt;0,G263+1,0),0)</f>
        <v>0</v>
      </c>
      <c r="I263" s="52">
        <f>IF(I$2&lt;=AnalysisPeriod,IF(SUM($C588:I588)&gt;0,H263+1,0),0)</f>
        <v>0</v>
      </c>
      <c r="J263" s="52">
        <f>IF(J$2&lt;=AnalysisPeriod,IF(SUM($C588:J588)&gt;0,I263+1,0),0)</f>
        <v>0</v>
      </c>
      <c r="K263" s="52">
        <f>IF(K$2&lt;=AnalysisPeriod,IF(SUM($C588:K588)&gt;0,J263+1,0),0)</f>
        <v>0</v>
      </c>
      <c r="L263" s="52">
        <f>IF(L$2&lt;=AnalysisPeriod,IF(SUM($C588:L588)&gt;0,K263+1,0),0)</f>
        <v>0</v>
      </c>
      <c r="M263" s="52">
        <f>IF(M$2&lt;=AnalysisPeriod,IF(SUM($C588:M588)&gt;0,L263+1,0),0)</f>
        <v>0</v>
      </c>
      <c r="N263" s="52">
        <f>IF(N$2&lt;=AnalysisPeriod,IF(SUM($C588:N588)&gt;0,M263+1,0),0)</f>
        <v>0</v>
      </c>
      <c r="O263" s="52">
        <f>IF(O$2&lt;=AnalysisPeriod,IF(SUM($C588:O588)&gt;0,N263+1,0),0)</f>
        <v>0</v>
      </c>
      <c r="P263" s="52">
        <f>IF(P$2&lt;=AnalysisPeriod,IF(SUM($C588:P588)&gt;0,O263+1,0),0)</f>
        <v>0</v>
      </c>
      <c r="Q263" s="52">
        <f>IF(Q$2&lt;=AnalysisPeriod,IF(SUM($C588:Q588)&gt;0,P263+1,0),0)</f>
        <v>0</v>
      </c>
      <c r="R263" s="52">
        <f>IF(R$2&lt;=AnalysisPeriod,IF(SUM($C588:R588)&gt;0,Q263+1,0),0)</f>
        <v>0</v>
      </c>
      <c r="S263" s="52">
        <f>IF(S$2&lt;=AnalysisPeriod,IF(SUM($C588:S588)&gt;0,R263+1,0),0)</f>
        <v>0</v>
      </c>
      <c r="T263" s="52">
        <f>IF(T$2&lt;=AnalysisPeriod,IF(SUM($C588:T588)&gt;0,S263+1,0),0)</f>
        <v>0</v>
      </c>
      <c r="U263" s="52">
        <f>IF(U$2&lt;=AnalysisPeriod,IF(SUM($C588:U588)&gt;0,T263+1,0),0)</f>
        <v>0</v>
      </c>
      <c r="V263" s="52">
        <f>IF(V$2&lt;=AnalysisPeriod,IF(SUM($C588:V588)&gt;0,U263+1,0),0)</f>
        <v>0</v>
      </c>
      <c r="W263" s="52">
        <f>IF(W$2&lt;=AnalysisPeriod,IF(SUM($C588:W588)&gt;0,V263+1,0),0)</f>
        <v>0</v>
      </c>
      <c r="X263" s="52">
        <f>IF(X$2&lt;=AnalysisPeriod,IF(SUM($C588:X588)&gt;0,W263+1,0),0)</f>
        <v>0</v>
      </c>
      <c r="Y263" s="52">
        <f>IF(Y$2&lt;=AnalysisPeriod,IF(SUM($C588:Y588)&gt;0,X263+1,0),0)</f>
        <v>0</v>
      </c>
      <c r="Z263" s="52">
        <f>IF(Z$2&lt;=AnalysisPeriod,IF(SUM($C588:Z588)&gt;0,Y263+1,0),0)</f>
        <v>0</v>
      </c>
      <c r="AA263" s="52">
        <f>IF(AA$2&lt;=AnalysisPeriod,IF(SUM($C588:AA588)&gt;0,Z263+1,0),0)</f>
        <v>0</v>
      </c>
      <c r="AB263" s="52">
        <f>IF(AB$2&lt;=AnalysisPeriod,IF(SUM($C588:AB588)&gt;0,AA263+1,0),0)</f>
        <v>0</v>
      </c>
      <c r="AC263" s="52">
        <f>IF(AC$2&lt;=AnalysisPeriod,IF(SUM($C588:AC588)&gt;0,AB263+1,0),0)</f>
        <v>0</v>
      </c>
      <c r="AD263" s="52">
        <f>IF(AD$2&lt;=AnalysisPeriod,IF(SUM($C588:AD588)&gt;0,AC263+1,0),0)</f>
        <v>0</v>
      </c>
      <c r="AE263" s="52">
        <f>IF(AE$2&lt;=AnalysisPeriod,IF(SUM($C588:AE588)&gt;0,AD263+1,0),0)</f>
        <v>0</v>
      </c>
      <c r="AF263" s="52">
        <f>IF(AF$2&lt;=AnalysisPeriod,IF(SUM($C588:AF588)&gt;0,AE263+1,0),0)</f>
        <v>0</v>
      </c>
      <c r="AG263" s="52">
        <f>IF(AG$2&lt;=AnalysisPeriod,IF(SUM($C588:AG588)&gt;0,AF263+1,0),0)</f>
        <v>0</v>
      </c>
      <c r="AH263" s="52">
        <f>IF(AH$2&lt;=AnalysisPeriod,IF(SUM($C588:AH588)&gt;0,AG263+1,0),0)</f>
        <v>0</v>
      </c>
      <c r="AI263" s="52">
        <f>IF(AI$2&lt;=AnalysisPeriod,IF(SUM($C588:AI588)&gt;0,AH263+1,0),0)</f>
        <v>0</v>
      </c>
      <c r="AJ263" s="52">
        <f>IF(AJ$2&lt;=AnalysisPeriod,IF(SUM($C588:AJ588)&gt;0,AI263+1,0),0)</f>
        <v>0</v>
      </c>
      <c r="AK263" s="52">
        <f>IF(AK$2&lt;=AnalysisPeriod,IF(SUM($C588:AK588)&gt;0,AJ263+1,0),0)</f>
        <v>0</v>
      </c>
      <c r="AL263" s="52">
        <f>IF(AL$2&lt;=AnalysisPeriod,IF(SUM($C588:AL588)&gt;0,AK263+1,0),0)</f>
        <v>1</v>
      </c>
      <c r="AM263" s="52">
        <f>IF(AM$2&lt;=AnalysisPeriod,IF(SUM($C588:AM588)&gt;0,AL263+1,0),0)</f>
        <v>2</v>
      </c>
      <c r="AN263" s="52">
        <f>IF(AN$2&lt;=AnalysisPeriod,IF(SUM($C588:AN588)&gt;0,AM263+1,0),0)</f>
        <v>3</v>
      </c>
      <c r="AO263" s="52">
        <f>IF(AO$2&lt;=AnalysisPeriod,IF(SUM($C588:AO588)&gt;0,AN263+1,0),0)</f>
        <v>4</v>
      </c>
      <c r="AP263" s="52">
        <f>IF(AP$2&lt;=AnalysisPeriod,IF(SUM($C588:AP588)&gt;0,AO263+1,0),0)</f>
        <v>5</v>
      </c>
    </row>
    <row r="264" spans="1:42" x14ac:dyDescent="0.2">
      <c r="A264" s="17">
        <f t="shared" si="123"/>
        <v>4</v>
      </c>
      <c r="C264" s="52">
        <f>IF(C$2&lt;=AnalysisPeriod,IF(SUM($C589:C589)&gt;0,B264+1,0),0)</f>
        <v>0</v>
      </c>
      <c r="D264" s="52">
        <f>IF(D$2&lt;=AnalysisPeriod,IF(SUM($C589:D589)&gt;0,C264+1,0),0)</f>
        <v>0</v>
      </c>
      <c r="E264" s="52">
        <f>IF(E$2&lt;=AnalysisPeriod,IF(SUM($C589:E589)&gt;0,D264+1,0),0)</f>
        <v>0</v>
      </c>
      <c r="F264" s="52">
        <f>IF(F$2&lt;=AnalysisPeriod,IF(SUM($C589:F589)&gt;0,E264+1,0),0)</f>
        <v>0</v>
      </c>
      <c r="G264" s="52">
        <f>IF(G$2&lt;=AnalysisPeriod,IF(SUM($C589:G589)&gt;0,F264+1,0),0)</f>
        <v>0</v>
      </c>
      <c r="H264" s="52">
        <f>IF(H$2&lt;=AnalysisPeriod,IF(SUM($C589:H589)&gt;0,G264+1,0),0)</f>
        <v>0</v>
      </c>
      <c r="I264" s="52">
        <f>IF(I$2&lt;=AnalysisPeriod,IF(SUM($C589:I589)&gt;0,H264+1,0),0)</f>
        <v>0</v>
      </c>
      <c r="J264" s="52">
        <f>IF(J$2&lt;=AnalysisPeriod,IF(SUM($C589:J589)&gt;0,I264+1,0),0)</f>
        <v>0</v>
      </c>
      <c r="K264" s="52">
        <f>IF(K$2&lt;=AnalysisPeriod,IF(SUM($C589:K589)&gt;0,J264+1,0),0)</f>
        <v>0</v>
      </c>
      <c r="L264" s="52">
        <f>IF(L$2&lt;=AnalysisPeriod,IF(SUM($C589:L589)&gt;0,K264+1,0),0)</f>
        <v>0</v>
      </c>
      <c r="M264" s="52">
        <f>IF(M$2&lt;=AnalysisPeriod,IF(SUM($C589:M589)&gt;0,L264+1,0),0)</f>
        <v>0</v>
      </c>
      <c r="N264" s="52">
        <f>IF(N$2&lt;=AnalysisPeriod,IF(SUM($C589:N589)&gt;0,M264+1,0),0)</f>
        <v>0</v>
      </c>
      <c r="O264" s="52">
        <f>IF(O$2&lt;=AnalysisPeriod,IF(SUM($C589:O589)&gt;0,N264+1,0),0)</f>
        <v>0</v>
      </c>
      <c r="P264" s="52">
        <f>IF(P$2&lt;=AnalysisPeriod,IF(SUM($C589:P589)&gt;0,O264+1,0),0)</f>
        <v>0</v>
      </c>
      <c r="Q264" s="52">
        <f>IF(Q$2&lt;=AnalysisPeriod,IF(SUM($C589:Q589)&gt;0,P264+1,0),0)</f>
        <v>0</v>
      </c>
      <c r="R264" s="52">
        <f>IF(R$2&lt;=AnalysisPeriod,IF(SUM($C589:R589)&gt;0,Q264+1,0),0)</f>
        <v>0</v>
      </c>
      <c r="S264" s="52">
        <f>IF(S$2&lt;=AnalysisPeriod,IF(SUM($C589:S589)&gt;0,R264+1,0),0)</f>
        <v>0</v>
      </c>
      <c r="T264" s="52">
        <f>IF(T$2&lt;=AnalysisPeriod,IF(SUM($C589:T589)&gt;0,S264+1,0),0)</f>
        <v>0</v>
      </c>
      <c r="U264" s="52">
        <f>IF(U$2&lt;=AnalysisPeriod,IF(SUM($C589:U589)&gt;0,T264+1,0),0)</f>
        <v>0</v>
      </c>
      <c r="V264" s="52">
        <f>IF(V$2&lt;=AnalysisPeriod,IF(SUM($C589:V589)&gt;0,U264+1,0),0)</f>
        <v>0</v>
      </c>
      <c r="W264" s="52">
        <f>IF(W$2&lt;=AnalysisPeriod,IF(SUM($C589:W589)&gt;0,V264+1,0),0)</f>
        <v>0</v>
      </c>
      <c r="X264" s="52">
        <f>IF(X$2&lt;=AnalysisPeriod,IF(SUM($C589:X589)&gt;0,W264+1,0),0)</f>
        <v>0</v>
      </c>
      <c r="Y264" s="52">
        <f>IF(Y$2&lt;=AnalysisPeriod,IF(SUM($C589:Y589)&gt;0,X264+1,0),0)</f>
        <v>0</v>
      </c>
      <c r="Z264" s="52">
        <f>IF(Z$2&lt;=AnalysisPeriod,IF(SUM($C589:Z589)&gt;0,Y264+1,0),0)</f>
        <v>0</v>
      </c>
      <c r="AA264" s="52">
        <f>IF(AA$2&lt;=AnalysisPeriod,IF(SUM($C589:AA589)&gt;0,Z264+1,0),0)</f>
        <v>0</v>
      </c>
      <c r="AB264" s="52">
        <f>IF(AB$2&lt;=AnalysisPeriod,IF(SUM($C589:AB589)&gt;0,AA264+1,0),0)</f>
        <v>0</v>
      </c>
      <c r="AC264" s="52">
        <f>IF(AC$2&lt;=AnalysisPeriod,IF(SUM($C589:AC589)&gt;0,AB264+1,0),0)</f>
        <v>0</v>
      </c>
      <c r="AD264" s="52">
        <f>IF(AD$2&lt;=AnalysisPeriod,IF(SUM($C589:AD589)&gt;0,AC264+1,0),0)</f>
        <v>0</v>
      </c>
      <c r="AE264" s="52">
        <f>IF(AE$2&lt;=AnalysisPeriod,IF(SUM($C589:AE589)&gt;0,AD264+1,0),0)</f>
        <v>0</v>
      </c>
      <c r="AF264" s="52">
        <f>IF(AF$2&lt;=AnalysisPeriod,IF(SUM($C589:AF589)&gt;0,AE264+1,0),0)</f>
        <v>0</v>
      </c>
      <c r="AG264" s="52">
        <f>IF(AG$2&lt;=AnalysisPeriod,IF(SUM($C589:AG589)&gt;0,AF264+1,0),0)</f>
        <v>0</v>
      </c>
      <c r="AH264" s="52">
        <f>IF(AH$2&lt;=AnalysisPeriod,IF(SUM($C589:AH589)&gt;0,AG264+1,0),0)</f>
        <v>0</v>
      </c>
      <c r="AI264" s="52">
        <f>IF(AI$2&lt;=AnalysisPeriod,IF(SUM($C589:AI589)&gt;0,AH264+1,0),0)</f>
        <v>0</v>
      </c>
      <c r="AJ264" s="52">
        <f>IF(AJ$2&lt;=AnalysisPeriod,IF(SUM($C589:AJ589)&gt;0,AI264+1,0),0)</f>
        <v>0</v>
      </c>
      <c r="AK264" s="52">
        <f>IF(AK$2&lt;=AnalysisPeriod,IF(SUM($C589:AK589)&gt;0,AJ264+1,0),0)</f>
        <v>0</v>
      </c>
      <c r="AL264" s="52">
        <f>IF(AL$2&lt;=AnalysisPeriod,IF(SUM($C589:AL589)&gt;0,AK264+1,0),0)</f>
        <v>0</v>
      </c>
      <c r="AM264" s="52">
        <f>IF(AM$2&lt;=AnalysisPeriod,IF(SUM($C589:AM589)&gt;0,AL264+1,0),0)</f>
        <v>0</v>
      </c>
      <c r="AN264" s="52">
        <f>IF(AN$2&lt;=AnalysisPeriod,IF(SUM($C589:AN589)&gt;0,AM264+1,0),0)</f>
        <v>0</v>
      </c>
      <c r="AO264" s="52">
        <f>IF(AO$2&lt;=AnalysisPeriod,IF(SUM($C589:AO589)&gt;0,AN264+1,0),0)</f>
        <v>0</v>
      </c>
      <c r="AP264" s="52">
        <f>IF(AP$2&lt;=AnalysisPeriod,IF(SUM($C589:AP589)&gt;0,AO264+1,0),0)</f>
        <v>0</v>
      </c>
    </row>
    <row r="265" spans="1:42" x14ac:dyDescent="0.2">
      <c r="A265" s="17">
        <f t="shared" si="123"/>
        <v>5</v>
      </c>
      <c r="C265" s="52">
        <f>IF(C$2&lt;=AnalysisPeriod,IF(SUM($C590:C590)&gt;0,B265+1,0),0)</f>
        <v>0</v>
      </c>
      <c r="D265" s="52">
        <f>IF(D$2&lt;=AnalysisPeriod,IF(SUM($C590:D590)&gt;0,C265+1,0),0)</f>
        <v>0</v>
      </c>
      <c r="E265" s="52">
        <f>IF(E$2&lt;=AnalysisPeriod,IF(SUM($C590:E590)&gt;0,D265+1,0),0)</f>
        <v>0</v>
      </c>
      <c r="F265" s="52">
        <f>IF(F$2&lt;=AnalysisPeriod,IF(SUM($C590:F590)&gt;0,E265+1,0),0)</f>
        <v>0</v>
      </c>
      <c r="G265" s="52">
        <f>IF(G$2&lt;=AnalysisPeriod,IF(SUM($C590:G590)&gt;0,F265+1,0),0)</f>
        <v>0</v>
      </c>
      <c r="H265" s="52">
        <f>IF(H$2&lt;=AnalysisPeriod,IF(SUM($C590:H590)&gt;0,G265+1,0),0)</f>
        <v>0</v>
      </c>
      <c r="I265" s="52">
        <f>IF(I$2&lt;=AnalysisPeriod,IF(SUM($C590:I590)&gt;0,H265+1,0),0)</f>
        <v>0</v>
      </c>
      <c r="J265" s="52">
        <f>IF(J$2&lt;=AnalysisPeriod,IF(SUM($C590:J590)&gt;0,I265+1,0),0)</f>
        <v>0</v>
      </c>
      <c r="K265" s="52">
        <f>IF(K$2&lt;=AnalysisPeriod,IF(SUM($C590:K590)&gt;0,J265+1,0),0)</f>
        <v>0</v>
      </c>
      <c r="L265" s="52">
        <f>IF(L$2&lt;=AnalysisPeriod,IF(SUM($C590:L590)&gt;0,K265+1,0),0)</f>
        <v>0</v>
      </c>
      <c r="M265" s="52">
        <f>IF(M$2&lt;=AnalysisPeriod,IF(SUM($C590:M590)&gt;0,L265+1,0),0)</f>
        <v>0</v>
      </c>
      <c r="N265" s="52">
        <f>IF(N$2&lt;=AnalysisPeriod,IF(SUM($C590:N590)&gt;0,M265+1,0),0)</f>
        <v>0</v>
      </c>
      <c r="O265" s="52">
        <f>IF(O$2&lt;=AnalysisPeriod,IF(SUM($C590:O590)&gt;0,N265+1,0),0)</f>
        <v>0</v>
      </c>
      <c r="P265" s="52">
        <f>IF(P$2&lt;=AnalysisPeriod,IF(SUM($C590:P590)&gt;0,O265+1,0),0)</f>
        <v>0</v>
      </c>
      <c r="Q265" s="52">
        <f>IF(Q$2&lt;=AnalysisPeriod,IF(SUM($C590:Q590)&gt;0,P265+1,0),0)</f>
        <v>0</v>
      </c>
      <c r="R265" s="52">
        <f>IF(R$2&lt;=AnalysisPeriod,IF(SUM($C590:R590)&gt;0,Q265+1,0),0)</f>
        <v>0</v>
      </c>
      <c r="S265" s="52">
        <f>IF(S$2&lt;=AnalysisPeriod,IF(SUM($C590:S590)&gt;0,R265+1,0),0)</f>
        <v>0</v>
      </c>
      <c r="T265" s="52">
        <f>IF(T$2&lt;=AnalysisPeriod,IF(SUM($C590:T590)&gt;0,S265+1,0),0)</f>
        <v>0</v>
      </c>
      <c r="U265" s="52">
        <f>IF(U$2&lt;=AnalysisPeriod,IF(SUM($C590:U590)&gt;0,T265+1,0),0)</f>
        <v>0</v>
      </c>
      <c r="V265" s="52">
        <f>IF(V$2&lt;=AnalysisPeriod,IF(SUM($C590:V590)&gt;0,U265+1,0),0)</f>
        <v>0</v>
      </c>
      <c r="W265" s="52">
        <f>IF(W$2&lt;=AnalysisPeriod,IF(SUM($C590:W590)&gt;0,V265+1,0),0)</f>
        <v>0</v>
      </c>
      <c r="X265" s="52">
        <f>IF(X$2&lt;=AnalysisPeriod,IF(SUM($C590:X590)&gt;0,W265+1,0),0)</f>
        <v>0</v>
      </c>
      <c r="Y265" s="52">
        <f>IF(Y$2&lt;=AnalysisPeriod,IF(SUM($C590:Y590)&gt;0,X265+1,0),0)</f>
        <v>0</v>
      </c>
      <c r="Z265" s="52">
        <f>IF(Z$2&lt;=AnalysisPeriod,IF(SUM($C590:Z590)&gt;0,Y265+1,0),0)</f>
        <v>0</v>
      </c>
      <c r="AA265" s="52">
        <f>IF(AA$2&lt;=AnalysisPeriod,IF(SUM($C590:AA590)&gt;0,Z265+1,0),0)</f>
        <v>0</v>
      </c>
      <c r="AB265" s="52">
        <f>IF(AB$2&lt;=AnalysisPeriod,IF(SUM($C590:AB590)&gt;0,AA265+1,0),0)</f>
        <v>0</v>
      </c>
      <c r="AC265" s="52">
        <f>IF(AC$2&lt;=AnalysisPeriod,IF(SUM($C590:AC590)&gt;0,AB265+1,0),0)</f>
        <v>0</v>
      </c>
      <c r="AD265" s="52">
        <f>IF(AD$2&lt;=AnalysisPeriod,IF(SUM($C590:AD590)&gt;0,AC265+1,0),0)</f>
        <v>0</v>
      </c>
      <c r="AE265" s="52">
        <f>IF(AE$2&lt;=AnalysisPeriod,IF(SUM($C590:AE590)&gt;0,AD265+1,0),0)</f>
        <v>0</v>
      </c>
      <c r="AF265" s="52">
        <f>IF(AF$2&lt;=AnalysisPeriod,IF(SUM($C590:AF590)&gt;0,AE265+1,0),0)</f>
        <v>0</v>
      </c>
      <c r="AG265" s="52">
        <f>IF(AG$2&lt;=AnalysisPeriod,IF(SUM($C590:AG590)&gt;0,AF265+1,0),0)</f>
        <v>0</v>
      </c>
      <c r="AH265" s="52">
        <f>IF(AH$2&lt;=AnalysisPeriod,IF(SUM($C590:AH590)&gt;0,AG265+1,0),0)</f>
        <v>0</v>
      </c>
      <c r="AI265" s="52">
        <f>IF(AI$2&lt;=AnalysisPeriod,IF(SUM($C590:AI590)&gt;0,AH265+1,0),0)</f>
        <v>0</v>
      </c>
      <c r="AJ265" s="52">
        <f>IF(AJ$2&lt;=AnalysisPeriod,IF(SUM($C590:AJ590)&gt;0,AI265+1,0),0)</f>
        <v>0</v>
      </c>
      <c r="AK265" s="52">
        <f>IF(AK$2&lt;=AnalysisPeriod,IF(SUM($C590:AK590)&gt;0,AJ265+1,0),0)</f>
        <v>0</v>
      </c>
      <c r="AL265" s="52">
        <f>IF(AL$2&lt;=AnalysisPeriod,IF(SUM($C590:AL590)&gt;0,AK265+1,0),0)</f>
        <v>0</v>
      </c>
      <c r="AM265" s="52">
        <f>IF(AM$2&lt;=AnalysisPeriod,IF(SUM($C590:AM590)&gt;0,AL265+1,0),0)</f>
        <v>0</v>
      </c>
      <c r="AN265" s="52">
        <f>IF(AN$2&lt;=AnalysisPeriod,IF(SUM($C590:AN590)&gt;0,AM265+1,0),0)</f>
        <v>0</v>
      </c>
      <c r="AO265" s="52">
        <f>IF(AO$2&lt;=AnalysisPeriod,IF(SUM($C590:AO590)&gt;0,AN265+1,0),0)</f>
        <v>0</v>
      </c>
      <c r="AP265" s="52">
        <f>IF(AP$2&lt;=AnalysisPeriod,IF(SUM($C590:AP590)&gt;0,AO265+1,0),0)</f>
        <v>0</v>
      </c>
    </row>
    <row r="266" spans="1:42" x14ac:dyDescent="0.2">
      <c r="A266" s="17">
        <f t="shared" si="123"/>
        <v>6</v>
      </c>
      <c r="C266" s="52">
        <f>IF(C$2&lt;=AnalysisPeriod,IF(SUM($C591:C591)&gt;0,B266+1,0),0)</f>
        <v>0</v>
      </c>
      <c r="D266" s="52">
        <f>IF(D$2&lt;=AnalysisPeriod,IF(SUM($C591:D591)&gt;0,C266+1,0),0)</f>
        <v>0</v>
      </c>
      <c r="E266" s="52">
        <f>IF(E$2&lt;=AnalysisPeriod,IF(SUM($C591:E591)&gt;0,D266+1,0),0)</f>
        <v>0</v>
      </c>
      <c r="F266" s="52">
        <f>IF(F$2&lt;=AnalysisPeriod,IF(SUM($C591:F591)&gt;0,E266+1,0),0)</f>
        <v>0</v>
      </c>
      <c r="G266" s="52">
        <f>IF(G$2&lt;=AnalysisPeriod,IF(SUM($C591:G591)&gt;0,F266+1,0),0)</f>
        <v>0</v>
      </c>
      <c r="H266" s="52">
        <f>IF(H$2&lt;=AnalysisPeriod,IF(SUM($C591:H591)&gt;0,G266+1,0),0)</f>
        <v>0</v>
      </c>
      <c r="I266" s="52">
        <f>IF(I$2&lt;=AnalysisPeriod,IF(SUM($C591:I591)&gt;0,H266+1,0),0)</f>
        <v>0</v>
      </c>
      <c r="J266" s="52">
        <f>IF(J$2&lt;=AnalysisPeriod,IF(SUM($C591:J591)&gt;0,I266+1,0),0)</f>
        <v>0</v>
      </c>
      <c r="K266" s="52">
        <f>IF(K$2&lt;=AnalysisPeriod,IF(SUM($C591:K591)&gt;0,J266+1,0),0)</f>
        <v>0</v>
      </c>
      <c r="L266" s="52">
        <f>IF(L$2&lt;=AnalysisPeriod,IF(SUM($C591:L591)&gt;0,K266+1,0),0)</f>
        <v>0</v>
      </c>
      <c r="M266" s="52">
        <f>IF(M$2&lt;=AnalysisPeriod,IF(SUM($C591:M591)&gt;0,L266+1,0),0)</f>
        <v>0</v>
      </c>
      <c r="N266" s="52">
        <f>IF(N$2&lt;=AnalysisPeriod,IF(SUM($C591:N591)&gt;0,M266+1,0),0)</f>
        <v>0</v>
      </c>
      <c r="O266" s="52">
        <f>IF(O$2&lt;=AnalysisPeriod,IF(SUM($C591:O591)&gt;0,N266+1,0),0)</f>
        <v>0</v>
      </c>
      <c r="P266" s="52">
        <f>IF(P$2&lt;=AnalysisPeriod,IF(SUM($C591:P591)&gt;0,O266+1,0),0)</f>
        <v>0</v>
      </c>
      <c r="Q266" s="52">
        <f>IF(Q$2&lt;=AnalysisPeriod,IF(SUM($C591:Q591)&gt;0,P266+1,0),0)</f>
        <v>0</v>
      </c>
      <c r="R266" s="52">
        <f>IF(R$2&lt;=AnalysisPeriod,IF(SUM($C591:R591)&gt;0,Q266+1,0),0)</f>
        <v>0</v>
      </c>
      <c r="S266" s="52">
        <f>IF(S$2&lt;=AnalysisPeriod,IF(SUM($C591:S591)&gt;0,R266+1,0),0)</f>
        <v>0</v>
      </c>
      <c r="T266" s="52">
        <f>IF(T$2&lt;=AnalysisPeriod,IF(SUM($C591:T591)&gt;0,S266+1,0),0)</f>
        <v>0</v>
      </c>
      <c r="U266" s="52">
        <f>IF(U$2&lt;=AnalysisPeriod,IF(SUM($C591:U591)&gt;0,T266+1,0),0)</f>
        <v>0</v>
      </c>
      <c r="V266" s="52">
        <f>IF(V$2&lt;=AnalysisPeriod,IF(SUM($C591:V591)&gt;0,U266+1,0),0)</f>
        <v>0</v>
      </c>
      <c r="W266" s="52">
        <f>IF(W$2&lt;=AnalysisPeriod,IF(SUM($C591:W591)&gt;0,V266+1,0),0)</f>
        <v>0</v>
      </c>
      <c r="X266" s="52">
        <f>IF(X$2&lt;=AnalysisPeriod,IF(SUM($C591:X591)&gt;0,W266+1,0),0)</f>
        <v>0</v>
      </c>
      <c r="Y266" s="52">
        <f>IF(Y$2&lt;=AnalysisPeriod,IF(SUM($C591:Y591)&gt;0,X266+1,0),0)</f>
        <v>0</v>
      </c>
      <c r="Z266" s="52">
        <f>IF(Z$2&lt;=AnalysisPeriod,IF(SUM($C591:Z591)&gt;0,Y266+1,0),0)</f>
        <v>0</v>
      </c>
      <c r="AA266" s="52">
        <f>IF(AA$2&lt;=AnalysisPeriod,IF(SUM($C591:AA591)&gt;0,Z266+1,0),0)</f>
        <v>0</v>
      </c>
      <c r="AB266" s="52">
        <f>IF(AB$2&lt;=AnalysisPeriod,IF(SUM($C591:AB591)&gt;0,AA266+1,0),0)</f>
        <v>0</v>
      </c>
      <c r="AC266" s="52">
        <f>IF(AC$2&lt;=AnalysisPeriod,IF(SUM($C591:AC591)&gt;0,AB266+1,0),0)</f>
        <v>0</v>
      </c>
      <c r="AD266" s="52">
        <f>IF(AD$2&lt;=AnalysisPeriod,IF(SUM($C591:AD591)&gt;0,AC266+1,0),0)</f>
        <v>0</v>
      </c>
      <c r="AE266" s="52">
        <f>IF(AE$2&lt;=AnalysisPeriod,IF(SUM($C591:AE591)&gt;0,AD266+1,0),0)</f>
        <v>0</v>
      </c>
      <c r="AF266" s="52">
        <f>IF(AF$2&lt;=AnalysisPeriod,IF(SUM($C591:AF591)&gt;0,AE266+1,0),0)</f>
        <v>0</v>
      </c>
      <c r="AG266" s="52">
        <f>IF(AG$2&lt;=AnalysisPeriod,IF(SUM($C591:AG591)&gt;0,AF266+1,0),0)</f>
        <v>0</v>
      </c>
      <c r="AH266" s="52">
        <f>IF(AH$2&lt;=AnalysisPeriod,IF(SUM($C591:AH591)&gt;0,AG266+1,0),0)</f>
        <v>0</v>
      </c>
      <c r="AI266" s="52">
        <f>IF(AI$2&lt;=AnalysisPeriod,IF(SUM($C591:AI591)&gt;0,AH266+1,0),0)</f>
        <v>0</v>
      </c>
      <c r="AJ266" s="52">
        <f>IF(AJ$2&lt;=AnalysisPeriod,IF(SUM($C591:AJ591)&gt;0,AI266+1,0),0)</f>
        <v>0</v>
      </c>
      <c r="AK266" s="52">
        <f>IF(AK$2&lt;=AnalysisPeriod,IF(SUM($C591:AK591)&gt;0,AJ266+1,0),0)</f>
        <v>0</v>
      </c>
      <c r="AL266" s="52">
        <f>IF(AL$2&lt;=AnalysisPeriod,IF(SUM($C591:AL591)&gt;0,AK266+1,0),0)</f>
        <v>0</v>
      </c>
      <c r="AM266" s="52">
        <f>IF(AM$2&lt;=AnalysisPeriod,IF(SUM($C591:AM591)&gt;0,AL266+1,0),0)</f>
        <v>0</v>
      </c>
      <c r="AN266" s="52">
        <f>IF(AN$2&lt;=AnalysisPeriod,IF(SUM($C591:AN591)&gt;0,AM266+1,0),0)</f>
        <v>0</v>
      </c>
      <c r="AO266" s="52">
        <f>IF(AO$2&lt;=AnalysisPeriod,IF(SUM($C591:AO591)&gt;0,AN266+1,0),0)</f>
        <v>0</v>
      </c>
      <c r="AP266" s="52">
        <f>IF(AP$2&lt;=AnalysisPeriod,IF(SUM($C591:AP591)&gt;0,AO266+1,0),0)</f>
        <v>0</v>
      </c>
    </row>
    <row r="267" spans="1:42" x14ac:dyDescent="0.2">
      <c r="A267" s="17">
        <f t="shared" si="123"/>
        <v>7</v>
      </c>
      <c r="C267" s="52">
        <f>IF(C$2&lt;=AnalysisPeriod,IF(SUM($C592:C592)&gt;0,B267+1,0),0)</f>
        <v>0</v>
      </c>
      <c r="D267" s="52">
        <f>IF(D$2&lt;=AnalysisPeriod,IF(SUM($C592:D592)&gt;0,C267+1,0),0)</f>
        <v>0</v>
      </c>
      <c r="E267" s="52">
        <f>IF(E$2&lt;=AnalysisPeriod,IF(SUM($C592:E592)&gt;0,D267+1,0),0)</f>
        <v>0</v>
      </c>
      <c r="F267" s="52">
        <f>IF(F$2&lt;=AnalysisPeriod,IF(SUM($C592:F592)&gt;0,E267+1,0),0)</f>
        <v>0</v>
      </c>
      <c r="G267" s="52">
        <f>IF(G$2&lt;=AnalysisPeriod,IF(SUM($C592:G592)&gt;0,F267+1,0),0)</f>
        <v>0</v>
      </c>
      <c r="H267" s="52">
        <f>IF(H$2&lt;=AnalysisPeriod,IF(SUM($C592:H592)&gt;0,G267+1,0),0)</f>
        <v>0</v>
      </c>
      <c r="I267" s="52">
        <f>IF(I$2&lt;=AnalysisPeriod,IF(SUM($C592:I592)&gt;0,H267+1,0),0)</f>
        <v>0</v>
      </c>
      <c r="J267" s="52">
        <f>IF(J$2&lt;=AnalysisPeriod,IF(SUM($C592:J592)&gt;0,I267+1,0),0)</f>
        <v>0</v>
      </c>
      <c r="K267" s="52">
        <f>IF(K$2&lt;=AnalysisPeriod,IF(SUM($C592:K592)&gt;0,J267+1,0),0)</f>
        <v>0</v>
      </c>
      <c r="L267" s="52">
        <f>IF(L$2&lt;=AnalysisPeriod,IF(SUM($C592:L592)&gt;0,K267+1,0),0)</f>
        <v>0</v>
      </c>
      <c r="M267" s="52">
        <f>IF(M$2&lt;=AnalysisPeriod,IF(SUM($C592:M592)&gt;0,L267+1,0),0)</f>
        <v>0</v>
      </c>
      <c r="N267" s="52">
        <f>IF(N$2&lt;=AnalysisPeriod,IF(SUM($C592:N592)&gt;0,M267+1,0),0)</f>
        <v>0</v>
      </c>
      <c r="O267" s="52">
        <f>IF(O$2&lt;=AnalysisPeriod,IF(SUM($C592:O592)&gt;0,N267+1,0),0)</f>
        <v>0</v>
      </c>
      <c r="P267" s="52">
        <f>IF(P$2&lt;=AnalysisPeriod,IF(SUM($C592:P592)&gt;0,O267+1,0),0)</f>
        <v>0</v>
      </c>
      <c r="Q267" s="52">
        <f>IF(Q$2&lt;=AnalysisPeriod,IF(SUM($C592:Q592)&gt;0,P267+1,0),0)</f>
        <v>0</v>
      </c>
      <c r="R267" s="52">
        <f>IF(R$2&lt;=AnalysisPeriod,IF(SUM($C592:R592)&gt;0,Q267+1,0),0)</f>
        <v>0</v>
      </c>
      <c r="S267" s="52">
        <f>IF(S$2&lt;=AnalysisPeriod,IF(SUM($C592:S592)&gt;0,R267+1,0),0)</f>
        <v>0</v>
      </c>
      <c r="T267" s="52">
        <f>IF(T$2&lt;=AnalysisPeriod,IF(SUM($C592:T592)&gt;0,S267+1,0),0)</f>
        <v>0</v>
      </c>
      <c r="U267" s="52">
        <f>IF(U$2&lt;=AnalysisPeriod,IF(SUM($C592:U592)&gt;0,T267+1,0),0)</f>
        <v>0</v>
      </c>
      <c r="V267" s="52">
        <f>IF(V$2&lt;=AnalysisPeriod,IF(SUM($C592:V592)&gt;0,U267+1,0),0)</f>
        <v>0</v>
      </c>
      <c r="W267" s="52">
        <f>IF(W$2&lt;=AnalysisPeriod,IF(SUM($C592:W592)&gt;0,V267+1,0),0)</f>
        <v>0</v>
      </c>
      <c r="X267" s="52">
        <f>IF(X$2&lt;=AnalysisPeriod,IF(SUM($C592:X592)&gt;0,W267+1,0),0)</f>
        <v>0</v>
      </c>
      <c r="Y267" s="52">
        <f>IF(Y$2&lt;=AnalysisPeriod,IF(SUM($C592:Y592)&gt;0,X267+1,0),0)</f>
        <v>0</v>
      </c>
      <c r="Z267" s="52">
        <f>IF(Z$2&lt;=AnalysisPeriod,IF(SUM($C592:Z592)&gt;0,Y267+1,0),0)</f>
        <v>0</v>
      </c>
      <c r="AA267" s="52">
        <f>IF(AA$2&lt;=AnalysisPeriod,IF(SUM($C592:AA592)&gt;0,Z267+1,0),0)</f>
        <v>0</v>
      </c>
      <c r="AB267" s="52">
        <f>IF(AB$2&lt;=AnalysisPeriod,IF(SUM($C592:AB592)&gt;0,AA267+1,0),0)</f>
        <v>0</v>
      </c>
      <c r="AC267" s="52">
        <f>IF(AC$2&lt;=AnalysisPeriod,IF(SUM($C592:AC592)&gt;0,AB267+1,0),0)</f>
        <v>0</v>
      </c>
      <c r="AD267" s="52">
        <f>IF(AD$2&lt;=AnalysisPeriod,IF(SUM($C592:AD592)&gt;0,AC267+1,0),0)</f>
        <v>0</v>
      </c>
      <c r="AE267" s="52">
        <f>IF(AE$2&lt;=AnalysisPeriod,IF(SUM($C592:AE592)&gt;0,AD267+1,0),0)</f>
        <v>0</v>
      </c>
      <c r="AF267" s="52">
        <f>IF(AF$2&lt;=AnalysisPeriod,IF(SUM($C592:AF592)&gt;0,AE267+1,0),0)</f>
        <v>0</v>
      </c>
      <c r="AG267" s="52">
        <f>IF(AG$2&lt;=AnalysisPeriod,IF(SUM($C592:AG592)&gt;0,AF267+1,0),0)</f>
        <v>0</v>
      </c>
      <c r="AH267" s="52">
        <f>IF(AH$2&lt;=AnalysisPeriod,IF(SUM($C592:AH592)&gt;0,AG267+1,0),0)</f>
        <v>0</v>
      </c>
      <c r="AI267" s="52">
        <f>IF(AI$2&lt;=AnalysisPeriod,IF(SUM($C592:AI592)&gt;0,AH267+1,0),0)</f>
        <v>0</v>
      </c>
      <c r="AJ267" s="52">
        <f>IF(AJ$2&lt;=AnalysisPeriod,IF(SUM($C592:AJ592)&gt;0,AI267+1,0),0)</f>
        <v>0</v>
      </c>
      <c r="AK267" s="52">
        <f>IF(AK$2&lt;=AnalysisPeriod,IF(SUM($C592:AK592)&gt;0,AJ267+1,0),0)</f>
        <v>0</v>
      </c>
      <c r="AL267" s="52">
        <f>IF(AL$2&lt;=AnalysisPeriod,IF(SUM($C592:AL592)&gt;0,AK267+1,0),0)</f>
        <v>0</v>
      </c>
      <c r="AM267" s="52">
        <f>IF(AM$2&lt;=AnalysisPeriod,IF(SUM($C592:AM592)&gt;0,AL267+1,0),0)</f>
        <v>0</v>
      </c>
      <c r="AN267" s="52">
        <f>IF(AN$2&lt;=AnalysisPeriod,IF(SUM($C592:AN592)&gt;0,AM267+1,0),0)</f>
        <v>0</v>
      </c>
      <c r="AO267" s="52">
        <f>IF(AO$2&lt;=AnalysisPeriod,IF(SUM($C592:AO592)&gt;0,AN267+1,0),0)</f>
        <v>0</v>
      </c>
      <c r="AP267" s="52">
        <f>IF(AP$2&lt;=AnalysisPeriod,IF(SUM($C592:AP592)&gt;0,AO267+1,0),0)</f>
        <v>0</v>
      </c>
    </row>
    <row r="268" spans="1:42" x14ac:dyDescent="0.2">
      <c r="A268" s="17">
        <f t="shared" si="123"/>
        <v>8</v>
      </c>
      <c r="C268" s="52">
        <f>IF(C$2&lt;=AnalysisPeriod,IF(SUM($C593:C593)&gt;0,B268+1,0),0)</f>
        <v>0</v>
      </c>
      <c r="D268" s="52">
        <f>IF(D$2&lt;=AnalysisPeriod,IF(SUM($C593:D593)&gt;0,C268+1,0),0)</f>
        <v>0</v>
      </c>
      <c r="E268" s="52">
        <f>IF(E$2&lt;=AnalysisPeriod,IF(SUM($C593:E593)&gt;0,D268+1,0),0)</f>
        <v>0</v>
      </c>
      <c r="F268" s="52">
        <f>IF(F$2&lt;=AnalysisPeriod,IF(SUM($C593:F593)&gt;0,E268+1,0),0)</f>
        <v>0</v>
      </c>
      <c r="G268" s="52">
        <f>IF(G$2&lt;=AnalysisPeriod,IF(SUM($C593:G593)&gt;0,F268+1,0),0)</f>
        <v>0</v>
      </c>
      <c r="H268" s="52">
        <f>IF(H$2&lt;=AnalysisPeriod,IF(SUM($C593:H593)&gt;0,G268+1,0),0)</f>
        <v>0</v>
      </c>
      <c r="I268" s="52">
        <f>IF(I$2&lt;=AnalysisPeriod,IF(SUM($C593:I593)&gt;0,H268+1,0),0)</f>
        <v>0</v>
      </c>
      <c r="J268" s="52">
        <f>IF(J$2&lt;=AnalysisPeriod,IF(SUM($C593:J593)&gt;0,I268+1,0),0)</f>
        <v>0</v>
      </c>
      <c r="K268" s="52">
        <f>IF(K$2&lt;=AnalysisPeriod,IF(SUM($C593:K593)&gt;0,J268+1,0),0)</f>
        <v>0</v>
      </c>
      <c r="L268" s="52">
        <f>IF(L$2&lt;=AnalysisPeriod,IF(SUM($C593:L593)&gt;0,K268+1,0),0)</f>
        <v>0</v>
      </c>
      <c r="M268" s="52">
        <f>IF(M$2&lt;=AnalysisPeriod,IF(SUM($C593:M593)&gt;0,L268+1,0),0)</f>
        <v>0</v>
      </c>
      <c r="N268" s="52">
        <f>IF(N$2&lt;=AnalysisPeriod,IF(SUM($C593:N593)&gt;0,M268+1,0),0)</f>
        <v>0</v>
      </c>
      <c r="O268" s="52">
        <f>IF(O$2&lt;=AnalysisPeriod,IF(SUM($C593:O593)&gt;0,N268+1,0),0)</f>
        <v>0</v>
      </c>
      <c r="P268" s="52">
        <f>IF(P$2&lt;=AnalysisPeriod,IF(SUM($C593:P593)&gt;0,O268+1,0),0)</f>
        <v>0</v>
      </c>
      <c r="Q268" s="52">
        <f>IF(Q$2&lt;=AnalysisPeriod,IF(SUM($C593:Q593)&gt;0,P268+1,0),0)</f>
        <v>0</v>
      </c>
      <c r="R268" s="52">
        <f>IF(R$2&lt;=AnalysisPeriod,IF(SUM($C593:R593)&gt;0,Q268+1,0),0)</f>
        <v>0</v>
      </c>
      <c r="S268" s="52">
        <f>IF(S$2&lt;=AnalysisPeriod,IF(SUM($C593:S593)&gt;0,R268+1,0),0)</f>
        <v>0</v>
      </c>
      <c r="T268" s="52">
        <f>IF(T$2&lt;=AnalysisPeriod,IF(SUM($C593:T593)&gt;0,S268+1,0),0)</f>
        <v>0</v>
      </c>
      <c r="U268" s="52">
        <f>IF(U$2&lt;=AnalysisPeriod,IF(SUM($C593:U593)&gt;0,T268+1,0),0)</f>
        <v>0</v>
      </c>
      <c r="V268" s="52">
        <f>IF(V$2&lt;=AnalysisPeriod,IF(SUM($C593:V593)&gt;0,U268+1,0),0)</f>
        <v>0</v>
      </c>
      <c r="W268" s="52">
        <f>IF(W$2&lt;=AnalysisPeriod,IF(SUM($C593:W593)&gt;0,V268+1,0),0)</f>
        <v>0</v>
      </c>
      <c r="X268" s="52">
        <f>IF(X$2&lt;=AnalysisPeriod,IF(SUM($C593:X593)&gt;0,W268+1,0),0)</f>
        <v>0</v>
      </c>
      <c r="Y268" s="52">
        <f>IF(Y$2&lt;=AnalysisPeriod,IF(SUM($C593:Y593)&gt;0,X268+1,0),0)</f>
        <v>0</v>
      </c>
      <c r="Z268" s="52">
        <f>IF(Z$2&lt;=AnalysisPeriod,IF(SUM($C593:Z593)&gt;0,Y268+1,0),0)</f>
        <v>0</v>
      </c>
      <c r="AA268" s="52">
        <f>IF(AA$2&lt;=AnalysisPeriod,IF(SUM($C593:AA593)&gt;0,Z268+1,0),0)</f>
        <v>0</v>
      </c>
      <c r="AB268" s="52">
        <f>IF(AB$2&lt;=AnalysisPeriod,IF(SUM($C593:AB593)&gt;0,AA268+1,0),0)</f>
        <v>0</v>
      </c>
      <c r="AC268" s="52">
        <f>IF(AC$2&lt;=AnalysisPeriod,IF(SUM($C593:AC593)&gt;0,AB268+1,0),0)</f>
        <v>0</v>
      </c>
      <c r="AD268" s="52">
        <f>IF(AD$2&lt;=AnalysisPeriod,IF(SUM($C593:AD593)&gt;0,AC268+1,0),0)</f>
        <v>0</v>
      </c>
      <c r="AE268" s="52">
        <f>IF(AE$2&lt;=AnalysisPeriod,IF(SUM($C593:AE593)&gt;0,AD268+1,0),0)</f>
        <v>0</v>
      </c>
      <c r="AF268" s="52">
        <f>IF(AF$2&lt;=AnalysisPeriod,IF(SUM($C593:AF593)&gt;0,AE268+1,0),0)</f>
        <v>0</v>
      </c>
      <c r="AG268" s="52">
        <f>IF(AG$2&lt;=AnalysisPeriod,IF(SUM($C593:AG593)&gt;0,AF268+1,0),0)</f>
        <v>0</v>
      </c>
      <c r="AH268" s="52">
        <f>IF(AH$2&lt;=AnalysisPeriod,IF(SUM($C593:AH593)&gt;0,AG268+1,0),0)</f>
        <v>0</v>
      </c>
      <c r="AI268" s="52">
        <f>IF(AI$2&lt;=AnalysisPeriod,IF(SUM($C593:AI593)&gt;0,AH268+1,0),0)</f>
        <v>0</v>
      </c>
      <c r="AJ268" s="52">
        <f>IF(AJ$2&lt;=AnalysisPeriod,IF(SUM($C593:AJ593)&gt;0,AI268+1,0),0)</f>
        <v>0</v>
      </c>
      <c r="AK268" s="52">
        <f>IF(AK$2&lt;=AnalysisPeriod,IF(SUM($C593:AK593)&gt;0,AJ268+1,0),0)</f>
        <v>0</v>
      </c>
      <c r="AL268" s="52">
        <f>IF(AL$2&lt;=AnalysisPeriod,IF(SUM($C593:AL593)&gt;0,AK268+1,0),0)</f>
        <v>0</v>
      </c>
      <c r="AM268" s="52">
        <f>IF(AM$2&lt;=AnalysisPeriod,IF(SUM($C593:AM593)&gt;0,AL268+1,0),0)</f>
        <v>0</v>
      </c>
      <c r="AN268" s="52">
        <f>IF(AN$2&lt;=AnalysisPeriod,IF(SUM($C593:AN593)&gt;0,AM268+1,0),0)</f>
        <v>0</v>
      </c>
      <c r="AO268" s="52">
        <f>IF(AO$2&lt;=AnalysisPeriod,IF(SUM($C593:AO593)&gt;0,AN268+1,0),0)</f>
        <v>0</v>
      </c>
      <c r="AP268" s="52">
        <f>IF(AP$2&lt;=AnalysisPeriod,IF(SUM($C593:AP593)&gt;0,AO268+1,0),0)</f>
        <v>0</v>
      </c>
    </row>
    <row r="269" spans="1:42" x14ac:dyDescent="0.2">
      <c r="A269" s="17">
        <f>A268+1</f>
        <v>9</v>
      </c>
      <c r="C269" s="52">
        <f>IF(C$2&lt;=AnalysisPeriod,IF(SUM($C594:C594)&gt;0,B269+1,0),0)</f>
        <v>0</v>
      </c>
      <c r="D269" s="52">
        <f>IF(D$2&lt;=AnalysisPeriod,IF(SUM($C594:D594)&gt;0,C269+1,0),0)</f>
        <v>0</v>
      </c>
      <c r="E269" s="52">
        <f>IF(E$2&lt;=AnalysisPeriod,IF(SUM($C594:E594)&gt;0,D269+1,0),0)</f>
        <v>0</v>
      </c>
      <c r="F269" s="52">
        <f>IF(F$2&lt;=AnalysisPeriod,IF(SUM($C594:F594)&gt;0,E269+1,0),0)</f>
        <v>0</v>
      </c>
      <c r="G269" s="52">
        <f>IF(G$2&lt;=AnalysisPeriod,IF(SUM($C594:G594)&gt;0,F269+1,0),0)</f>
        <v>0</v>
      </c>
      <c r="H269" s="52">
        <f>IF(H$2&lt;=AnalysisPeriod,IF(SUM($C594:H594)&gt;0,G269+1,0),0)</f>
        <v>0</v>
      </c>
      <c r="I269" s="52">
        <f>IF(I$2&lt;=AnalysisPeriod,IF(SUM($C594:I594)&gt;0,H269+1,0),0)</f>
        <v>0</v>
      </c>
      <c r="J269" s="52">
        <f>IF(J$2&lt;=AnalysisPeriod,IF(SUM($C594:J594)&gt;0,I269+1,0),0)</f>
        <v>0</v>
      </c>
      <c r="K269" s="52">
        <f>IF(K$2&lt;=AnalysisPeriod,IF(SUM($C594:K594)&gt;0,J269+1,0),0)</f>
        <v>0</v>
      </c>
      <c r="L269" s="52">
        <f>IF(L$2&lt;=AnalysisPeriod,IF(SUM($C594:L594)&gt;0,K269+1,0),0)</f>
        <v>0</v>
      </c>
      <c r="M269" s="52">
        <f>IF(M$2&lt;=AnalysisPeriod,IF(SUM($C594:M594)&gt;0,L269+1,0),0)</f>
        <v>0</v>
      </c>
      <c r="N269" s="52">
        <f>IF(N$2&lt;=AnalysisPeriod,IF(SUM($C594:N594)&gt;0,M269+1,0),0)</f>
        <v>0</v>
      </c>
      <c r="O269" s="52">
        <f>IF(O$2&lt;=AnalysisPeriod,IF(SUM($C594:O594)&gt;0,N269+1,0),0)</f>
        <v>0</v>
      </c>
      <c r="P269" s="52">
        <f>IF(P$2&lt;=AnalysisPeriod,IF(SUM($C594:P594)&gt;0,O269+1,0),0)</f>
        <v>0</v>
      </c>
      <c r="Q269" s="52">
        <f>IF(Q$2&lt;=AnalysisPeriod,IF(SUM($C594:Q594)&gt;0,P269+1,0),0)</f>
        <v>0</v>
      </c>
      <c r="R269" s="52">
        <f>IF(R$2&lt;=AnalysisPeriod,IF(SUM($C594:R594)&gt;0,Q269+1,0),0)</f>
        <v>0</v>
      </c>
      <c r="S269" s="52">
        <f>IF(S$2&lt;=AnalysisPeriod,IF(SUM($C594:S594)&gt;0,R269+1,0),0)</f>
        <v>0</v>
      </c>
      <c r="T269" s="52">
        <f>IF(T$2&lt;=AnalysisPeriod,IF(SUM($C594:T594)&gt;0,S269+1,0),0)</f>
        <v>0</v>
      </c>
      <c r="U269" s="52">
        <f>IF(U$2&lt;=AnalysisPeriod,IF(SUM($C594:U594)&gt;0,T269+1,0),0)</f>
        <v>0</v>
      </c>
      <c r="V269" s="52">
        <f>IF(V$2&lt;=AnalysisPeriod,IF(SUM($C594:V594)&gt;0,U269+1,0),0)</f>
        <v>0</v>
      </c>
      <c r="W269" s="52">
        <f>IF(W$2&lt;=AnalysisPeriod,IF(SUM($C594:W594)&gt;0,V269+1,0),0)</f>
        <v>0</v>
      </c>
      <c r="X269" s="52">
        <f>IF(X$2&lt;=AnalysisPeriod,IF(SUM($C594:X594)&gt;0,W269+1,0),0)</f>
        <v>0</v>
      </c>
      <c r="Y269" s="52">
        <f>IF(Y$2&lt;=AnalysisPeriod,IF(SUM($C594:Y594)&gt;0,X269+1,0),0)</f>
        <v>0</v>
      </c>
      <c r="Z269" s="52">
        <f>IF(Z$2&lt;=AnalysisPeriod,IF(SUM($C594:Z594)&gt;0,Y269+1,0),0)</f>
        <v>0</v>
      </c>
      <c r="AA269" s="52">
        <f>IF(AA$2&lt;=AnalysisPeriod,IF(SUM($C594:AA594)&gt;0,Z269+1,0),0)</f>
        <v>0</v>
      </c>
      <c r="AB269" s="52">
        <f>IF(AB$2&lt;=AnalysisPeriod,IF(SUM($C594:AB594)&gt;0,AA269+1,0),0)</f>
        <v>0</v>
      </c>
      <c r="AC269" s="52">
        <f>IF(AC$2&lt;=AnalysisPeriod,IF(SUM($C594:AC594)&gt;0,AB269+1,0),0)</f>
        <v>0</v>
      </c>
      <c r="AD269" s="52">
        <f>IF(AD$2&lt;=AnalysisPeriod,IF(SUM($C594:AD594)&gt;0,AC269+1,0),0)</f>
        <v>0</v>
      </c>
      <c r="AE269" s="52">
        <f>IF(AE$2&lt;=AnalysisPeriod,IF(SUM($C594:AE594)&gt;0,AD269+1,0),0)</f>
        <v>0</v>
      </c>
      <c r="AF269" s="52">
        <f>IF(AF$2&lt;=AnalysisPeriod,IF(SUM($C594:AF594)&gt;0,AE269+1,0),0)</f>
        <v>0</v>
      </c>
      <c r="AG269" s="52">
        <f>IF(AG$2&lt;=AnalysisPeriod,IF(SUM($C594:AG594)&gt;0,AF269+1,0),0)</f>
        <v>0</v>
      </c>
      <c r="AH269" s="52">
        <f>IF(AH$2&lt;=AnalysisPeriod,IF(SUM($C594:AH594)&gt;0,AG269+1,0),0)</f>
        <v>0</v>
      </c>
      <c r="AI269" s="52">
        <f>IF(AI$2&lt;=AnalysisPeriod,IF(SUM($C594:AI594)&gt;0,AH269+1,0),0)</f>
        <v>0</v>
      </c>
      <c r="AJ269" s="52">
        <f>IF(AJ$2&lt;=AnalysisPeriod,IF(SUM($C594:AJ594)&gt;0,AI269+1,0),0)</f>
        <v>0</v>
      </c>
      <c r="AK269" s="52">
        <f>IF(AK$2&lt;=AnalysisPeriod,IF(SUM($C594:AK594)&gt;0,AJ269+1,0),0)</f>
        <v>0</v>
      </c>
      <c r="AL269" s="52">
        <f>IF(AL$2&lt;=AnalysisPeriod,IF(SUM($C594:AL594)&gt;0,AK269+1,0),0)</f>
        <v>0</v>
      </c>
      <c r="AM269" s="52">
        <f>IF(AM$2&lt;=AnalysisPeriod,IF(SUM($C594:AM594)&gt;0,AL269+1,0),0)</f>
        <v>0</v>
      </c>
      <c r="AN269" s="52">
        <f>IF(AN$2&lt;=AnalysisPeriod,IF(SUM($C594:AN594)&gt;0,AM269+1,0),0)</f>
        <v>0</v>
      </c>
      <c r="AO269" s="52">
        <f>IF(AO$2&lt;=AnalysisPeriod,IF(SUM($C594:AO594)&gt;0,AN269+1,0),0)</f>
        <v>0</v>
      </c>
      <c r="AP269" s="52">
        <f>IF(AP$2&lt;=AnalysisPeriod,IF(SUM($C594:AP594)&gt;0,AO269+1,0),0)</f>
        <v>0</v>
      </c>
    </row>
    <row r="270" spans="1:42" x14ac:dyDescent="0.2">
      <c r="A270" s="17">
        <f t="shared" si="123"/>
        <v>10</v>
      </c>
      <c r="C270" s="52">
        <f>IF(C$2&lt;=AnalysisPeriod,IF(SUM($C595:C595)&gt;0,B270+1,0),0)</f>
        <v>0</v>
      </c>
      <c r="D270" s="52">
        <f>IF(D$2&lt;=AnalysisPeriod,IF(SUM($C595:D595)&gt;0,C270+1,0),0)</f>
        <v>0</v>
      </c>
      <c r="E270" s="52">
        <f>IF(E$2&lt;=AnalysisPeriod,IF(SUM($C595:E595)&gt;0,D270+1,0),0)</f>
        <v>0</v>
      </c>
      <c r="F270" s="52">
        <f>IF(F$2&lt;=AnalysisPeriod,IF(SUM($C595:F595)&gt;0,E270+1,0),0)</f>
        <v>0</v>
      </c>
      <c r="G270" s="52">
        <f>IF(G$2&lt;=AnalysisPeriod,IF(SUM($C595:G595)&gt;0,F270+1,0),0)</f>
        <v>0</v>
      </c>
      <c r="H270" s="52">
        <f>IF(H$2&lt;=AnalysisPeriod,IF(SUM($C595:H595)&gt;0,G270+1,0),0)</f>
        <v>0</v>
      </c>
      <c r="I270" s="52">
        <f>IF(I$2&lt;=AnalysisPeriod,IF(SUM($C595:I595)&gt;0,H270+1,0),0)</f>
        <v>0</v>
      </c>
      <c r="J270" s="52">
        <f>IF(J$2&lt;=AnalysisPeriod,IF(SUM($C595:J595)&gt;0,I270+1,0),0)</f>
        <v>0</v>
      </c>
      <c r="K270" s="52">
        <f>IF(K$2&lt;=AnalysisPeriod,IF(SUM($C595:K595)&gt;0,J270+1,0),0)</f>
        <v>0</v>
      </c>
      <c r="L270" s="52">
        <f>IF(L$2&lt;=AnalysisPeriod,IF(SUM($C595:L595)&gt;0,K270+1,0),0)</f>
        <v>0</v>
      </c>
      <c r="M270" s="52">
        <f>IF(M$2&lt;=AnalysisPeriod,IF(SUM($C595:M595)&gt;0,L270+1,0),0)</f>
        <v>0</v>
      </c>
      <c r="N270" s="52">
        <f>IF(N$2&lt;=AnalysisPeriod,IF(SUM($C595:N595)&gt;0,M270+1,0),0)</f>
        <v>0</v>
      </c>
      <c r="O270" s="52">
        <f>IF(O$2&lt;=AnalysisPeriod,IF(SUM($C595:O595)&gt;0,N270+1,0),0)</f>
        <v>0</v>
      </c>
      <c r="P270" s="52">
        <f>IF(P$2&lt;=AnalysisPeriod,IF(SUM($C595:P595)&gt;0,O270+1,0),0)</f>
        <v>0</v>
      </c>
      <c r="Q270" s="52">
        <f>IF(Q$2&lt;=AnalysisPeriod,IF(SUM($C595:Q595)&gt;0,P270+1,0),0)</f>
        <v>0</v>
      </c>
      <c r="R270" s="52">
        <f>IF(R$2&lt;=AnalysisPeriod,IF(SUM($C595:R595)&gt;0,Q270+1,0),0)</f>
        <v>0</v>
      </c>
      <c r="S270" s="52">
        <f>IF(S$2&lt;=AnalysisPeriod,IF(SUM($C595:S595)&gt;0,R270+1,0),0)</f>
        <v>0</v>
      </c>
      <c r="T270" s="52">
        <f>IF(T$2&lt;=AnalysisPeriod,IF(SUM($C595:T595)&gt;0,S270+1,0),0)</f>
        <v>0</v>
      </c>
      <c r="U270" s="52">
        <f>IF(U$2&lt;=AnalysisPeriod,IF(SUM($C595:U595)&gt;0,T270+1,0),0)</f>
        <v>0</v>
      </c>
      <c r="V270" s="52">
        <f>IF(V$2&lt;=AnalysisPeriod,IF(SUM($C595:V595)&gt;0,U270+1,0),0)</f>
        <v>0</v>
      </c>
      <c r="W270" s="52">
        <f>IF(W$2&lt;=AnalysisPeriod,IF(SUM($C595:W595)&gt;0,V270+1,0),0)</f>
        <v>0</v>
      </c>
      <c r="X270" s="52">
        <f>IF(X$2&lt;=AnalysisPeriod,IF(SUM($C595:X595)&gt;0,W270+1,0),0)</f>
        <v>0</v>
      </c>
      <c r="Y270" s="52">
        <f>IF(Y$2&lt;=AnalysisPeriod,IF(SUM($C595:Y595)&gt;0,X270+1,0),0)</f>
        <v>0</v>
      </c>
      <c r="Z270" s="52">
        <f>IF(Z$2&lt;=AnalysisPeriod,IF(SUM($C595:Z595)&gt;0,Y270+1,0),0)</f>
        <v>0</v>
      </c>
      <c r="AA270" s="52">
        <f>IF(AA$2&lt;=AnalysisPeriod,IF(SUM($C595:AA595)&gt;0,Z270+1,0),0)</f>
        <v>0</v>
      </c>
      <c r="AB270" s="52">
        <f>IF(AB$2&lt;=AnalysisPeriod,IF(SUM($C595:AB595)&gt;0,AA270+1,0),0)</f>
        <v>0</v>
      </c>
      <c r="AC270" s="52">
        <f>IF(AC$2&lt;=AnalysisPeriod,IF(SUM($C595:AC595)&gt;0,AB270+1,0),0)</f>
        <v>0</v>
      </c>
      <c r="AD270" s="52">
        <f>IF(AD$2&lt;=AnalysisPeriod,IF(SUM($C595:AD595)&gt;0,AC270+1,0),0)</f>
        <v>0</v>
      </c>
      <c r="AE270" s="52">
        <f>IF(AE$2&lt;=AnalysisPeriod,IF(SUM($C595:AE595)&gt;0,AD270+1,0),0)</f>
        <v>0</v>
      </c>
      <c r="AF270" s="52">
        <f>IF(AF$2&lt;=AnalysisPeriod,IF(SUM($C595:AF595)&gt;0,AE270+1,0),0)</f>
        <v>0</v>
      </c>
      <c r="AG270" s="52">
        <f>IF(AG$2&lt;=AnalysisPeriod,IF(SUM($C595:AG595)&gt;0,AF270+1,0),0)</f>
        <v>0</v>
      </c>
      <c r="AH270" s="52">
        <f>IF(AH$2&lt;=AnalysisPeriod,IF(SUM($C595:AH595)&gt;0,AG270+1,0),0)</f>
        <v>0</v>
      </c>
      <c r="AI270" s="52">
        <f>IF(AI$2&lt;=AnalysisPeriod,IF(SUM($C595:AI595)&gt;0,AH270+1,0),0)</f>
        <v>0</v>
      </c>
      <c r="AJ270" s="52">
        <f>IF(AJ$2&lt;=AnalysisPeriod,IF(SUM($C595:AJ595)&gt;0,AI270+1,0),0)</f>
        <v>0</v>
      </c>
      <c r="AK270" s="52">
        <f>IF(AK$2&lt;=AnalysisPeriod,IF(SUM($C595:AK595)&gt;0,AJ270+1,0),0)</f>
        <v>0</v>
      </c>
      <c r="AL270" s="52">
        <f>IF(AL$2&lt;=AnalysisPeriod,IF(SUM($C595:AL595)&gt;0,AK270+1,0),0)</f>
        <v>0</v>
      </c>
      <c r="AM270" s="52">
        <f>IF(AM$2&lt;=AnalysisPeriod,IF(SUM($C595:AM595)&gt;0,AL270+1,0),0)</f>
        <v>0</v>
      </c>
      <c r="AN270" s="52">
        <f>IF(AN$2&lt;=AnalysisPeriod,IF(SUM($C595:AN595)&gt;0,AM270+1,0),0)</f>
        <v>0</v>
      </c>
      <c r="AO270" s="52">
        <f>IF(AO$2&lt;=AnalysisPeriod,IF(SUM($C595:AO595)&gt;0,AN270+1,0),0)</f>
        <v>0</v>
      </c>
      <c r="AP270" s="52">
        <f>IF(AP$2&lt;=AnalysisPeriod,IF(SUM($C595:AP595)&gt;0,AO270+1,0),0)</f>
        <v>0</v>
      </c>
    </row>
    <row r="271" spans="1:42" x14ac:dyDescent="0.2">
      <c r="A271" s="65" t="s">
        <v>129</v>
      </c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52"/>
      <c r="AE271" s="52"/>
      <c r="AF271" s="52"/>
      <c r="AG271" s="52"/>
      <c r="AH271" s="52"/>
      <c r="AI271" s="52"/>
      <c r="AJ271" s="52"/>
      <c r="AK271" s="52"/>
      <c r="AL271" s="52"/>
      <c r="AM271" s="52"/>
      <c r="AN271" s="52"/>
      <c r="AO271" s="52"/>
      <c r="AP271" s="52"/>
    </row>
    <row r="272" spans="1:42" x14ac:dyDescent="0.2">
      <c r="A272" s="17">
        <v>1</v>
      </c>
      <c r="B272" s="58">
        <f t="shared" ref="B272:B281" si="124">SUM(C272:AP272)</f>
        <v>3280216.6445031655</v>
      </c>
      <c r="C272" s="52">
        <f t="shared" ref="C272:AP272" si="125">LOOKUP(C261,$B$256:$AP$256,$B$257:$AP$257)*$B586</f>
        <v>0</v>
      </c>
      <c r="D272" s="52">
        <f t="shared" si="125"/>
        <v>0</v>
      </c>
      <c r="E272" s="52">
        <f t="shared" si="125"/>
        <v>0</v>
      </c>
      <c r="F272" s="52">
        <f t="shared" si="125"/>
        <v>0</v>
      </c>
      <c r="G272" s="52">
        <f t="shared" si="125"/>
        <v>0</v>
      </c>
      <c r="H272" s="52">
        <f t="shared" si="125"/>
        <v>0</v>
      </c>
      <c r="I272" s="52">
        <f t="shared" si="125"/>
        <v>0</v>
      </c>
      <c r="J272" s="52">
        <f t="shared" si="125"/>
        <v>0</v>
      </c>
      <c r="K272" s="52">
        <f t="shared" si="125"/>
        <v>0</v>
      </c>
      <c r="L272" s="52">
        <f t="shared" si="125"/>
        <v>0</v>
      </c>
      <c r="M272" s="52">
        <f t="shared" si="125"/>
        <v>0</v>
      </c>
      <c r="N272" s="52">
        <f t="shared" si="125"/>
        <v>656043.32890063303</v>
      </c>
      <c r="O272" s="52">
        <f t="shared" si="125"/>
        <v>1049669.3262410129</v>
      </c>
      <c r="P272" s="52">
        <f t="shared" si="125"/>
        <v>629801.59574460774</v>
      </c>
      <c r="Q272" s="52">
        <f t="shared" si="125"/>
        <v>377880.95744676463</v>
      </c>
      <c r="R272" s="52">
        <f t="shared" si="125"/>
        <v>377880.95744676463</v>
      </c>
      <c r="S272" s="52">
        <f t="shared" si="125"/>
        <v>188940.47872338232</v>
      </c>
      <c r="T272" s="52">
        <f t="shared" si="125"/>
        <v>0</v>
      </c>
      <c r="U272" s="52">
        <f t="shared" si="125"/>
        <v>0</v>
      </c>
      <c r="V272" s="52">
        <f t="shared" si="125"/>
        <v>0</v>
      </c>
      <c r="W272" s="52">
        <f t="shared" si="125"/>
        <v>0</v>
      </c>
      <c r="X272" s="52">
        <f t="shared" si="125"/>
        <v>0</v>
      </c>
      <c r="Y272" s="52">
        <f t="shared" si="125"/>
        <v>0</v>
      </c>
      <c r="Z272" s="52">
        <f t="shared" si="125"/>
        <v>0</v>
      </c>
      <c r="AA272" s="52">
        <f t="shared" si="125"/>
        <v>0</v>
      </c>
      <c r="AB272" s="52">
        <f t="shared" si="125"/>
        <v>0</v>
      </c>
      <c r="AC272" s="52">
        <f t="shared" si="125"/>
        <v>0</v>
      </c>
      <c r="AD272" s="52">
        <f t="shared" si="125"/>
        <v>0</v>
      </c>
      <c r="AE272" s="52">
        <f t="shared" si="125"/>
        <v>0</v>
      </c>
      <c r="AF272" s="52">
        <f t="shared" si="125"/>
        <v>0</v>
      </c>
      <c r="AG272" s="52">
        <f t="shared" si="125"/>
        <v>0</v>
      </c>
      <c r="AH272" s="52">
        <f t="shared" si="125"/>
        <v>0</v>
      </c>
      <c r="AI272" s="52">
        <f t="shared" si="125"/>
        <v>0</v>
      </c>
      <c r="AJ272" s="52">
        <f t="shared" si="125"/>
        <v>0</v>
      </c>
      <c r="AK272" s="52">
        <f t="shared" si="125"/>
        <v>0</v>
      </c>
      <c r="AL272" s="52">
        <f t="shared" si="125"/>
        <v>0</v>
      </c>
      <c r="AM272" s="52">
        <f t="shared" si="125"/>
        <v>0</v>
      </c>
      <c r="AN272" s="52">
        <f t="shared" si="125"/>
        <v>0</v>
      </c>
      <c r="AO272" s="52">
        <f t="shared" si="125"/>
        <v>0</v>
      </c>
      <c r="AP272" s="52">
        <f t="shared" si="125"/>
        <v>0</v>
      </c>
    </row>
    <row r="273" spans="1:42" x14ac:dyDescent="0.2">
      <c r="A273" s="17">
        <f>A272+1</f>
        <v>2</v>
      </c>
      <c r="B273" s="58">
        <f t="shared" si="124"/>
        <v>4411526.7062989976</v>
      </c>
      <c r="C273" s="52">
        <f t="shared" ref="C273:AP273" si="126">LOOKUP(C262,$B$256:$AP$256,$B$257:$AP$257)*$B587</f>
        <v>0</v>
      </c>
      <c r="D273" s="52">
        <f t="shared" si="126"/>
        <v>0</v>
      </c>
      <c r="E273" s="52">
        <f t="shared" si="126"/>
        <v>0</v>
      </c>
      <c r="F273" s="52">
        <f t="shared" si="126"/>
        <v>0</v>
      </c>
      <c r="G273" s="52">
        <f t="shared" si="126"/>
        <v>0</v>
      </c>
      <c r="H273" s="52">
        <f t="shared" si="126"/>
        <v>0</v>
      </c>
      <c r="I273" s="52">
        <f t="shared" si="126"/>
        <v>0</v>
      </c>
      <c r="J273" s="52">
        <f t="shared" si="126"/>
        <v>0</v>
      </c>
      <c r="K273" s="52">
        <f t="shared" si="126"/>
        <v>0</v>
      </c>
      <c r="L273" s="52">
        <f t="shared" si="126"/>
        <v>0</v>
      </c>
      <c r="M273" s="52">
        <f t="shared" si="126"/>
        <v>0</v>
      </c>
      <c r="N273" s="52">
        <f t="shared" si="126"/>
        <v>0</v>
      </c>
      <c r="O273" s="52">
        <f t="shared" si="126"/>
        <v>0</v>
      </c>
      <c r="P273" s="52">
        <f t="shared" si="126"/>
        <v>0</v>
      </c>
      <c r="Q273" s="52">
        <f t="shared" si="126"/>
        <v>0</v>
      </c>
      <c r="R273" s="52">
        <f t="shared" si="126"/>
        <v>0</v>
      </c>
      <c r="S273" s="52">
        <f t="shared" si="126"/>
        <v>0</v>
      </c>
      <c r="T273" s="52">
        <f t="shared" si="126"/>
        <v>0</v>
      </c>
      <c r="U273" s="52">
        <f t="shared" si="126"/>
        <v>0</v>
      </c>
      <c r="V273" s="52">
        <f t="shared" si="126"/>
        <v>0</v>
      </c>
      <c r="W273" s="52">
        <f t="shared" si="126"/>
        <v>0</v>
      </c>
      <c r="X273" s="52">
        <f t="shared" si="126"/>
        <v>0</v>
      </c>
      <c r="Y273" s="52">
        <f t="shared" si="126"/>
        <v>0</v>
      </c>
      <c r="Z273" s="52">
        <f t="shared" si="126"/>
        <v>882305.34125979955</v>
      </c>
      <c r="AA273" s="52">
        <f t="shared" si="126"/>
        <v>1411688.5460156794</v>
      </c>
      <c r="AB273" s="52">
        <f t="shared" si="126"/>
        <v>847013.12760940753</v>
      </c>
      <c r="AC273" s="52">
        <f t="shared" si="126"/>
        <v>508207.87656564452</v>
      </c>
      <c r="AD273" s="52">
        <f t="shared" si="126"/>
        <v>508207.87656564452</v>
      </c>
      <c r="AE273" s="52">
        <f t="shared" si="126"/>
        <v>254103.93828282226</v>
      </c>
      <c r="AF273" s="52">
        <f t="shared" si="126"/>
        <v>0</v>
      </c>
      <c r="AG273" s="52">
        <f t="shared" si="126"/>
        <v>0</v>
      </c>
      <c r="AH273" s="52">
        <f t="shared" si="126"/>
        <v>0</v>
      </c>
      <c r="AI273" s="52">
        <f t="shared" si="126"/>
        <v>0</v>
      </c>
      <c r="AJ273" s="52">
        <f t="shared" si="126"/>
        <v>0</v>
      </c>
      <c r="AK273" s="52">
        <f t="shared" si="126"/>
        <v>0</v>
      </c>
      <c r="AL273" s="52">
        <f t="shared" si="126"/>
        <v>0</v>
      </c>
      <c r="AM273" s="52">
        <f t="shared" si="126"/>
        <v>0</v>
      </c>
      <c r="AN273" s="52">
        <f t="shared" si="126"/>
        <v>0</v>
      </c>
      <c r="AO273" s="52">
        <f t="shared" si="126"/>
        <v>0</v>
      </c>
      <c r="AP273" s="52">
        <f t="shared" si="126"/>
        <v>0</v>
      </c>
    </row>
    <row r="274" spans="1:42" x14ac:dyDescent="0.2">
      <c r="A274" s="17">
        <f t="shared" ref="A274:A281" si="127">A273+1</f>
        <v>3</v>
      </c>
      <c r="B274" s="58">
        <f t="shared" si="124"/>
        <v>5591271.4183720611</v>
      </c>
      <c r="C274" s="52">
        <f t="shared" ref="C274:AP274" si="128">LOOKUP(C263,$B$256:$AP$256,$B$257:$AP$257)*$B588</f>
        <v>0</v>
      </c>
      <c r="D274" s="52">
        <f t="shared" si="128"/>
        <v>0</v>
      </c>
      <c r="E274" s="52">
        <f t="shared" si="128"/>
        <v>0</v>
      </c>
      <c r="F274" s="52">
        <f t="shared" si="128"/>
        <v>0</v>
      </c>
      <c r="G274" s="52">
        <f t="shared" si="128"/>
        <v>0</v>
      </c>
      <c r="H274" s="52">
        <f t="shared" si="128"/>
        <v>0</v>
      </c>
      <c r="I274" s="52">
        <f t="shared" si="128"/>
        <v>0</v>
      </c>
      <c r="J274" s="52">
        <f t="shared" si="128"/>
        <v>0</v>
      </c>
      <c r="K274" s="52">
        <f t="shared" si="128"/>
        <v>0</v>
      </c>
      <c r="L274" s="52">
        <f t="shared" si="128"/>
        <v>0</v>
      </c>
      <c r="M274" s="52">
        <f t="shared" si="128"/>
        <v>0</v>
      </c>
      <c r="N274" s="52">
        <f t="shared" si="128"/>
        <v>0</v>
      </c>
      <c r="O274" s="52">
        <f t="shared" si="128"/>
        <v>0</v>
      </c>
      <c r="P274" s="52">
        <f t="shared" si="128"/>
        <v>0</v>
      </c>
      <c r="Q274" s="52">
        <f t="shared" si="128"/>
        <v>0</v>
      </c>
      <c r="R274" s="52">
        <f t="shared" si="128"/>
        <v>0</v>
      </c>
      <c r="S274" s="52">
        <f t="shared" si="128"/>
        <v>0</v>
      </c>
      <c r="T274" s="52">
        <f t="shared" si="128"/>
        <v>0</v>
      </c>
      <c r="U274" s="52">
        <f t="shared" si="128"/>
        <v>0</v>
      </c>
      <c r="V274" s="52">
        <f t="shared" si="128"/>
        <v>0</v>
      </c>
      <c r="W274" s="52">
        <f t="shared" si="128"/>
        <v>0</v>
      </c>
      <c r="X274" s="52">
        <f t="shared" si="128"/>
        <v>0</v>
      </c>
      <c r="Y274" s="52">
        <f t="shared" si="128"/>
        <v>0</v>
      </c>
      <c r="Z274" s="52">
        <f t="shared" si="128"/>
        <v>0</v>
      </c>
      <c r="AA274" s="52">
        <f t="shared" si="128"/>
        <v>0</v>
      </c>
      <c r="AB274" s="52">
        <f t="shared" si="128"/>
        <v>0</v>
      </c>
      <c r="AC274" s="52">
        <f t="shared" si="128"/>
        <v>0</v>
      </c>
      <c r="AD274" s="52">
        <f t="shared" si="128"/>
        <v>0</v>
      </c>
      <c r="AE274" s="52">
        <f t="shared" si="128"/>
        <v>0</v>
      </c>
      <c r="AF274" s="52">
        <f t="shared" si="128"/>
        <v>0</v>
      </c>
      <c r="AG274" s="52">
        <f t="shared" si="128"/>
        <v>0</v>
      </c>
      <c r="AH274" s="52">
        <f t="shared" si="128"/>
        <v>0</v>
      </c>
      <c r="AI274" s="52">
        <f t="shared" si="128"/>
        <v>0</v>
      </c>
      <c r="AJ274" s="52">
        <f t="shared" si="128"/>
        <v>0</v>
      </c>
      <c r="AK274" s="52">
        <f t="shared" si="128"/>
        <v>0</v>
      </c>
      <c r="AL274" s="52">
        <f t="shared" si="128"/>
        <v>1186602.59303312</v>
      </c>
      <c r="AM274" s="52">
        <f t="shared" si="128"/>
        <v>1898564.1488529921</v>
      </c>
      <c r="AN274" s="52">
        <f t="shared" si="128"/>
        <v>1139138.4893117952</v>
      </c>
      <c r="AO274" s="52">
        <f t="shared" si="128"/>
        <v>683483.09358707711</v>
      </c>
      <c r="AP274" s="52">
        <f t="shared" si="128"/>
        <v>683483.09358707711</v>
      </c>
    </row>
    <row r="275" spans="1:42" x14ac:dyDescent="0.2">
      <c r="A275" s="17">
        <f t="shared" si="127"/>
        <v>4</v>
      </c>
      <c r="B275" s="58">
        <f t="shared" si="124"/>
        <v>0</v>
      </c>
      <c r="C275" s="52">
        <f t="shared" ref="C275:AP275" si="129">LOOKUP(C264,$B$256:$AP$256,$B$257:$AP$257)*$B589</f>
        <v>0</v>
      </c>
      <c r="D275" s="52">
        <f t="shared" si="129"/>
        <v>0</v>
      </c>
      <c r="E275" s="52">
        <f t="shared" si="129"/>
        <v>0</v>
      </c>
      <c r="F275" s="52">
        <f t="shared" si="129"/>
        <v>0</v>
      </c>
      <c r="G275" s="52">
        <f t="shared" si="129"/>
        <v>0</v>
      </c>
      <c r="H275" s="52">
        <f t="shared" si="129"/>
        <v>0</v>
      </c>
      <c r="I275" s="52">
        <f t="shared" si="129"/>
        <v>0</v>
      </c>
      <c r="J275" s="52">
        <f t="shared" si="129"/>
        <v>0</v>
      </c>
      <c r="K275" s="52">
        <f t="shared" si="129"/>
        <v>0</v>
      </c>
      <c r="L275" s="52">
        <f t="shared" si="129"/>
        <v>0</v>
      </c>
      <c r="M275" s="52">
        <f t="shared" si="129"/>
        <v>0</v>
      </c>
      <c r="N275" s="52">
        <f t="shared" si="129"/>
        <v>0</v>
      </c>
      <c r="O275" s="52">
        <f t="shared" si="129"/>
        <v>0</v>
      </c>
      <c r="P275" s="52">
        <f t="shared" si="129"/>
        <v>0</v>
      </c>
      <c r="Q275" s="52">
        <f t="shared" si="129"/>
        <v>0</v>
      </c>
      <c r="R275" s="52">
        <f t="shared" si="129"/>
        <v>0</v>
      </c>
      <c r="S275" s="52">
        <f t="shared" si="129"/>
        <v>0</v>
      </c>
      <c r="T275" s="52">
        <f t="shared" si="129"/>
        <v>0</v>
      </c>
      <c r="U275" s="52">
        <f t="shared" si="129"/>
        <v>0</v>
      </c>
      <c r="V275" s="52">
        <f t="shared" si="129"/>
        <v>0</v>
      </c>
      <c r="W275" s="52">
        <f t="shared" si="129"/>
        <v>0</v>
      </c>
      <c r="X275" s="52">
        <f t="shared" si="129"/>
        <v>0</v>
      </c>
      <c r="Y275" s="52">
        <f t="shared" si="129"/>
        <v>0</v>
      </c>
      <c r="Z275" s="52">
        <f t="shared" si="129"/>
        <v>0</v>
      </c>
      <c r="AA275" s="52">
        <f t="shared" si="129"/>
        <v>0</v>
      </c>
      <c r="AB275" s="52">
        <f t="shared" si="129"/>
        <v>0</v>
      </c>
      <c r="AC275" s="52">
        <f t="shared" si="129"/>
        <v>0</v>
      </c>
      <c r="AD275" s="52">
        <f t="shared" si="129"/>
        <v>0</v>
      </c>
      <c r="AE275" s="52">
        <f t="shared" si="129"/>
        <v>0</v>
      </c>
      <c r="AF275" s="52">
        <f t="shared" si="129"/>
        <v>0</v>
      </c>
      <c r="AG275" s="52">
        <f t="shared" si="129"/>
        <v>0</v>
      </c>
      <c r="AH275" s="52">
        <f t="shared" si="129"/>
        <v>0</v>
      </c>
      <c r="AI275" s="52">
        <f t="shared" si="129"/>
        <v>0</v>
      </c>
      <c r="AJ275" s="52">
        <f t="shared" si="129"/>
        <v>0</v>
      </c>
      <c r="AK275" s="52">
        <f t="shared" si="129"/>
        <v>0</v>
      </c>
      <c r="AL275" s="52">
        <f t="shared" si="129"/>
        <v>0</v>
      </c>
      <c r="AM275" s="52">
        <f t="shared" si="129"/>
        <v>0</v>
      </c>
      <c r="AN275" s="52">
        <f t="shared" si="129"/>
        <v>0</v>
      </c>
      <c r="AO275" s="52">
        <f t="shared" si="129"/>
        <v>0</v>
      </c>
      <c r="AP275" s="52">
        <f t="shared" si="129"/>
        <v>0</v>
      </c>
    </row>
    <row r="276" spans="1:42" x14ac:dyDescent="0.2">
      <c r="A276" s="17">
        <f t="shared" si="127"/>
        <v>5</v>
      </c>
      <c r="B276" s="58">
        <f t="shared" si="124"/>
        <v>0</v>
      </c>
      <c r="C276" s="52">
        <f t="shared" ref="C276:AP276" si="130">LOOKUP(C265,$B$256:$AP$256,$B$257:$AP$257)*$B590</f>
        <v>0</v>
      </c>
      <c r="D276" s="52">
        <f t="shared" si="130"/>
        <v>0</v>
      </c>
      <c r="E276" s="52">
        <f t="shared" si="130"/>
        <v>0</v>
      </c>
      <c r="F276" s="52">
        <f t="shared" si="130"/>
        <v>0</v>
      </c>
      <c r="G276" s="52">
        <f t="shared" si="130"/>
        <v>0</v>
      </c>
      <c r="H276" s="52">
        <f t="shared" si="130"/>
        <v>0</v>
      </c>
      <c r="I276" s="52">
        <f t="shared" si="130"/>
        <v>0</v>
      </c>
      <c r="J276" s="52">
        <f t="shared" si="130"/>
        <v>0</v>
      </c>
      <c r="K276" s="52">
        <f t="shared" si="130"/>
        <v>0</v>
      </c>
      <c r="L276" s="52">
        <f t="shared" si="130"/>
        <v>0</v>
      </c>
      <c r="M276" s="52">
        <f t="shared" si="130"/>
        <v>0</v>
      </c>
      <c r="N276" s="52">
        <f t="shared" si="130"/>
        <v>0</v>
      </c>
      <c r="O276" s="52">
        <f t="shared" si="130"/>
        <v>0</v>
      </c>
      <c r="P276" s="52">
        <f t="shared" si="130"/>
        <v>0</v>
      </c>
      <c r="Q276" s="52">
        <f t="shared" si="130"/>
        <v>0</v>
      </c>
      <c r="R276" s="52">
        <f t="shared" si="130"/>
        <v>0</v>
      </c>
      <c r="S276" s="52">
        <f t="shared" si="130"/>
        <v>0</v>
      </c>
      <c r="T276" s="52">
        <f t="shared" si="130"/>
        <v>0</v>
      </c>
      <c r="U276" s="52">
        <f t="shared" si="130"/>
        <v>0</v>
      </c>
      <c r="V276" s="52">
        <f t="shared" si="130"/>
        <v>0</v>
      </c>
      <c r="W276" s="52">
        <f t="shared" si="130"/>
        <v>0</v>
      </c>
      <c r="X276" s="52">
        <f t="shared" si="130"/>
        <v>0</v>
      </c>
      <c r="Y276" s="52">
        <f t="shared" si="130"/>
        <v>0</v>
      </c>
      <c r="Z276" s="52">
        <f t="shared" si="130"/>
        <v>0</v>
      </c>
      <c r="AA276" s="52">
        <f t="shared" si="130"/>
        <v>0</v>
      </c>
      <c r="AB276" s="52">
        <f t="shared" si="130"/>
        <v>0</v>
      </c>
      <c r="AC276" s="52">
        <f t="shared" si="130"/>
        <v>0</v>
      </c>
      <c r="AD276" s="52">
        <f t="shared" si="130"/>
        <v>0</v>
      </c>
      <c r="AE276" s="52">
        <f t="shared" si="130"/>
        <v>0</v>
      </c>
      <c r="AF276" s="52">
        <f t="shared" si="130"/>
        <v>0</v>
      </c>
      <c r="AG276" s="52">
        <f t="shared" si="130"/>
        <v>0</v>
      </c>
      <c r="AH276" s="52">
        <f t="shared" si="130"/>
        <v>0</v>
      </c>
      <c r="AI276" s="52">
        <f t="shared" si="130"/>
        <v>0</v>
      </c>
      <c r="AJ276" s="52">
        <f t="shared" si="130"/>
        <v>0</v>
      </c>
      <c r="AK276" s="52">
        <f t="shared" si="130"/>
        <v>0</v>
      </c>
      <c r="AL276" s="52">
        <f t="shared" si="130"/>
        <v>0</v>
      </c>
      <c r="AM276" s="52">
        <f t="shared" si="130"/>
        <v>0</v>
      </c>
      <c r="AN276" s="52">
        <f t="shared" si="130"/>
        <v>0</v>
      </c>
      <c r="AO276" s="52">
        <f t="shared" si="130"/>
        <v>0</v>
      </c>
      <c r="AP276" s="52">
        <f t="shared" si="130"/>
        <v>0</v>
      </c>
    </row>
    <row r="277" spans="1:42" x14ac:dyDescent="0.2">
      <c r="A277" s="35">
        <f t="shared" si="127"/>
        <v>6</v>
      </c>
      <c r="B277" s="58">
        <f t="shared" si="124"/>
        <v>0</v>
      </c>
      <c r="C277" s="52">
        <f t="shared" ref="C277:AP277" si="131">LOOKUP(C266,$B$256:$AP$256,$B$257:$AP$257)*$B591</f>
        <v>0</v>
      </c>
      <c r="D277" s="52">
        <f t="shared" si="131"/>
        <v>0</v>
      </c>
      <c r="E277" s="52">
        <f t="shared" si="131"/>
        <v>0</v>
      </c>
      <c r="F277" s="52">
        <f t="shared" si="131"/>
        <v>0</v>
      </c>
      <c r="G277" s="52">
        <f t="shared" si="131"/>
        <v>0</v>
      </c>
      <c r="H277" s="52">
        <f t="shared" si="131"/>
        <v>0</v>
      </c>
      <c r="I277" s="52">
        <f t="shared" si="131"/>
        <v>0</v>
      </c>
      <c r="J277" s="52">
        <f t="shared" si="131"/>
        <v>0</v>
      </c>
      <c r="K277" s="52">
        <f t="shared" si="131"/>
        <v>0</v>
      </c>
      <c r="L277" s="52">
        <f t="shared" si="131"/>
        <v>0</v>
      </c>
      <c r="M277" s="52">
        <f t="shared" si="131"/>
        <v>0</v>
      </c>
      <c r="N277" s="52">
        <f t="shared" si="131"/>
        <v>0</v>
      </c>
      <c r="O277" s="52">
        <f t="shared" si="131"/>
        <v>0</v>
      </c>
      <c r="P277" s="52">
        <f t="shared" si="131"/>
        <v>0</v>
      </c>
      <c r="Q277" s="52">
        <f t="shared" si="131"/>
        <v>0</v>
      </c>
      <c r="R277" s="52">
        <f t="shared" si="131"/>
        <v>0</v>
      </c>
      <c r="S277" s="52">
        <f t="shared" si="131"/>
        <v>0</v>
      </c>
      <c r="T277" s="52">
        <f t="shared" si="131"/>
        <v>0</v>
      </c>
      <c r="U277" s="52">
        <f t="shared" si="131"/>
        <v>0</v>
      </c>
      <c r="V277" s="52">
        <f t="shared" si="131"/>
        <v>0</v>
      </c>
      <c r="W277" s="52">
        <f t="shared" si="131"/>
        <v>0</v>
      </c>
      <c r="X277" s="52">
        <f t="shared" si="131"/>
        <v>0</v>
      </c>
      <c r="Y277" s="52">
        <f t="shared" si="131"/>
        <v>0</v>
      </c>
      <c r="Z277" s="52">
        <f t="shared" si="131"/>
        <v>0</v>
      </c>
      <c r="AA277" s="52">
        <f t="shared" si="131"/>
        <v>0</v>
      </c>
      <c r="AB277" s="52">
        <f t="shared" si="131"/>
        <v>0</v>
      </c>
      <c r="AC277" s="52">
        <f t="shared" si="131"/>
        <v>0</v>
      </c>
      <c r="AD277" s="52">
        <f t="shared" si="131"/>
        <v>0</v>
      </c>
      <c r="AE277" s="52">
        <f t="shared" si="131"/>
        <v>0</v>
      </c>
      <c r="AF277" s="52">
        <f t="shared" si="131"/>
        <v>0</v>
      </c>
      <c r="AG277" s="52">
        <f t="shared" si="131"/>
        <v>0</v>
      </c>
      <c r="AH277" s="52">
        <f t="shared" si="131"/>
        <v>0</v>
      </c>
      <c r="AI277" s="52">
        <f t="shared" si="131"/>
        <v>0</v>
      </c>
      <c r="AJ277" s="52">
        <f t="shared" si="131"/>
        <v>0</v>
      </c>
      <c r="AK277" s="52">
        <f t="shared" si="131"/>
        <v>0</v>
      </c>
      <c r="AL277" s="52">
        <f t="shared" si="131"/>
        <v>0</v>
      </c>
      <c r="AM277" s="52">
        <f t="shared" si="131"/>
        <v>0</v>
      </c>
      <c r="AN277" s="52">
        <f t="shared" si="131"/>
        <v>0</v>
      </c>
      <c r="AO277" s="52">
        <f t="shared" si="131"/>
        <v>0</v>
      </c>
      <c r="AP277" s="52">
        <f t="shared" si="131"/>
        <v>0</v>
      </c>
    </row>
    <row r="278" spans="1:42" x14ac:dyDescent="0.2">
      <c r="A278" s="35">
        <f t="shared" si="127"/>
        <v>7</v>
      </c>
      <c r="B278" s="58">
        <f t="shared" si="124"/>
        <v>0</v>
      </c>
      <c r="C278" s="52">
        <f t="shared" ref="C278:AP278" si="132">LOOKUP(C267,$B$256:$AP$256,$B$257:$AP$257)*$B592</f>
        <v>0</v>
      </c>
      <c r="D278" s="52">
        <f t="shared" si="132"/>
        <v>0</v>
      </c>
      <c r="E278" s="52">
        <f t="shared" si="132"/>
        <v>0</v>
      </c>
      <c r="F278" s="52">
        <f t="shared" si="132"/>
        <v>0</v>
      </c>
      <c r="G278" s="52">
        <f t="shared" si="132"/>
        <v>0</v>
      </c>
      <c r="H278" s="52">
        <f t="shared" si="132"/>
        <v>0</v>
      </c>
      <c r="I278" s="52">
        <f t="shared" si="132"/>
        <v>0</v>
      </c>
      <c r="J278" s="52">
        <f t="shared" si="132"/>
        <v>0</v>
      </c>
      <c r="K278" s="52">
        <f t="shared" si="132"/>
        <v>0</v>
      </c>
      <c r="L278" s="52">
        <f t="shared" si="132"/>
        <v>0</v>
      </c>
      <c r="M278" s="52">
        <f t="shared" si="132"/>
        <v>0</v>
      </c>
      <c r="N278" s="52">
        <f t="shared" si="132"/>
        <v>0</v>
      </c>
      <c r="O278" s="52">
        <f t="shared" si="132"/>
        <v>0</v>
      </c>
      <c r="P278" s="52">
        <f t="shared" si="132"/>
        <v>0</v>
      </c>
      <c r="Q278" s="52">
        <f t="shared" si="132"/>
        <v>0</v>
      </c>
      <c r="R278" s="52">
        <f t="shared" si="132"/>
        <v>0</v>
      </c>
      <c r="S278" s="52">
        <f t="shared" si="132"/>
        <v>0</v>
      </c>
      <c r="T278" s="52">
        <f t="shared" si="132"/>
        <v>0</v>
      </c>
      <c r="U278" s="52">
        <f t="shared" si="132"/>
        <v>0</v>
      </c>
      <c r="V278" s="52">
        <f t="shared" si="132"/>
        <v>0</v>
      </c>
      <c r="W278" s="52">
        <f t="shared" si="132"/>
        <v>0</v>
      </c>
      <c r="X278" s="52">
        <f t="shared" si="132"/>
        <v>0</v>
      </c>
      <c r="Y278" s="52">
        <f t="shared" si="132"/>
        <v>0</v>
      </c>
      <c r="Z278" s="52">
        <f t="shared" si="132"/>
        <v>0</v>
      </c>
      <c r="AA278" s="52">
        <f t="shared" si="132"/>
        <v>0</v>
      </c>
      <c r="AB278" s="52">
        <f t="shared" si="132"/>
        <v>0</v>
      </c>
      <c r="AC278" s="52">
        <f t="shared" si="132"/>
        <v>0</v>
      </c>
      <c r="AD278" s="52">
        <f t="shared" si="132"/>
        <v>0</v>
      </c>
      <c r="AE278" s="52">
        <f t="shared" si="132"/>
        <v>0</v>
      </c>
      <c r="AF278" s="52">
        <f t="shared" si="132"/>
        <v>0</v>
      </c>
      <c r="AG278" s="52">
        <f t="shared" si="132"/>
        <v>0</v>
      </c>
      <c r="AH278" s="52">
        <f t="shared" si="132"/>
        <v>0</v>
      </c>
      <c r="AI278" s="52">
        <f t="shared" si="132"/>
        <v>0</v>
      </c>
      <c r="AJ278" s="52">
        <f t="shared" si="132"/>
        <v>0</v>
      </c>
      <c r="AK278" s="52">
        <f t="shared" si="132"/>
        <v>0</v>
      </c>
      <c r="AL278" s="52">
        <f t="shared" si="132"/>
        <v>0</v>
      </c>
      <c r="AM278" s="52">
        <f t="shared" si="132"/>
        <v>0</v>
      </c>
      <c r="AN278" s="52">
        <f t="shared" si="132"/>
        <v>0</v>
      </c>
      <c r="AO278" s="52">
        <f t="shared" si="132"/>
        <v>0</v>
      </c>
      <c r="AP278" s="52">
        <f t="shared" si="132"/>
        <v>0</v>
      </c>
    </row>
    <row r="279" spans="1:42" x14ac:dyDescent="0.2">
      <c r="A279" s="35">
        <f t="shared" si="127"/>
        <v>8</v>
      </c>
      <c r="B279" s="58">
        <f t="shared" si="124"/>
        <v>0</v>
      </c>
      <c r="C279" s="52">
        <f t="shared" ref="C279:AP279" si="133">LOOKUP(C268,$B$256:$AP$256,$B$257:$AP$257)*$B593</f>
        <v>0</v>
      </c>
      <c r="D279" s="52">
        <f t="shared" si="133"/>
        <v>0</v>
      </c>
      <c r="E279" s="52">
        <f t="shared" si="133"/>
        <v>0</v>
      </c>
      <c r="F279" s="52">
        <f t="shared" si="133"/>
        <v>0</v>
      </c>
      <c r="G279" s="52">
        <f t="shared" si="133"/>
        <v>0</v>
      </c>
      <c r="H279" s="52">
        <f t="shared" si="133"/>
        <v>0</v>
      </c>
      <c r="I279" s="52">
        <f t="shared" si="133"/>
        <v>0</v>
      </c>
      <c r="J279" s="52">
        <f t="shared" si="133"/>
        <v>0</v>
      </c>
      <c r="K279" s="52">
        <f t="shared" si="133"/>
        <v>0</v>
      </c>
      <c r="L279" s="52">
        <f t="shared" si="133"/>
        <v>0</v>
      </c>
      <c r="M279" s="52">
        <f t="shared" si="133"/>
        <v>0</v>
      </c>
      <c r="N279" s="52">
        <f t="shared" si="133"/>
        <v>0</v>
      </c>
      <c r="O279" s="52">
        <f t="shared" si="133"/>
        <v>0</v>
      </c>
      <c r="P279" s="52">
        <f t="shared" si="133"/>
        <v>0</v>
      </c>
      <c r="Q279" s="52">
        <f t="shared" si="133"/>
        <v>0</v>
      </c>
      <c r="R279" s="52">
        <f t="shared" si="133"/>
        <v>0</v>
      </c>
      <c r="S279" s="52">
        <f t="shared" si="133"/>
        <v>0</v>
      </c>
      <c r="T279" s="52">
        <f t="shared" si="133"/>
        <v>0</v>
      </c>
      <c r="U279" s="52">
        <f t="shared" si="133"/>
        <v>0</v>
      </c>
      <c r="V279" s="52">
        <f t="shared" si="133"/>
        <v>0</v>
      </c>
      <c r="W279" s="52">
        <f t="shared" si="133"/>
        <v>0</v>
      </c>
      <c r="X279" s="52">
        <f t="shared" si="133"/>
        <v>0</v>
      </c>
      <c r="Y279" s="52">
        <f t="shared" si="133"/>
        <v>0</v>
      </c>
      <c r="Z279" s="52">
        <f t="shared" si="133"/>
        <v>0</v>
      </c>
      <c r="AA279" s="52">
        <f t="shared" si="133"/>
        <v>0</v>
      </c>
      <c r="AB279" s="52">
        <f t="shared" si="133"/>
        <v>0</v>
      </c>
      <c r="AC279" s="52">
        <f t="shared" si="133"/>
        <v>0</v>
      </c>
      <c r="AD279" s="52">
        <f t="shared" si="133"/>
        <v>0</v>
      </c>
      <c r="AE279" s="52">
        <f t="shared" si="133"/>
        <v>0</v>
      </c>
      <c r="AF279" s="52">
        <f t="shared" si="133"/>
        <v>0</v>
      </c>
      <c r="AG279" s="52">
        <f t="shared" si="133"/>
        <v>0</v>
      </c>
      <c r="AH279" s="52">
        <f t="shared" si="133"/>
        <v>0</v>
      </c>
      <c r="AI279" s="52">
        <f t="shared" si="133"/>
        <v>0</v>
      </c>
      <c r="AJ279" s="52">
        <f t="shared" si="133"/>
        <v>0</v>
      </c>
      <c r="AK279" s="52">
        <f t="shared" si="133"/>
        <v>0</v>
      </c>
      <c r="AL279" s="52">
        <f t="shared" si="133"/>
        <v>0</v>
      </c>
      <c r="AM279" s="52">
        <f t="shared" si="133"/>
        <v>0</v>
      </c>
      <c r="AN279" s="52">
        <f t="shared" si="133"/>
        <v>0</v>
      </c>
      <c r="AO279" s="52">
        <f t="shared" si="133"/>
        <v>0</v>
      </c>
      <c r="AP279" s="52">
        <f t="shared" si="133"/>
        <v>0</v>
      </c>
    </row>
    <row r="280" spans="1:42" x14ac:dyDescent="0.2">
      <c r="A280" s="35">
        <f>A279+1</f>
        <v>9</v>
      </c>
      <c r="B280" s="58">
        <f t="shared" si="124"/>
        <v>0</v>
      </c>
      <c r="C280" s="52">
        <f t="shared" ref="C280:AP280" si="134">LOOKUP(C269,$B$256:$AP$256,$B$257:$AP$257)*$B594</f>
        <v>0</v>
      </c>
      <c r="D280" s="52">
        <f t="shared" si="134"/>
        <v>0</v>
      </c>
      <c r="E280" s="52">
        <f t="shared" si="134"/>
        <v>0</v>
      </c>
      <c r="F280" s="52">
        <f t="shared" si="134"/>
        <v>0</v>
      </c>
      <c r="G280" s="52">
        <f t="shared" si="134"/>
        <v>0</v>
      </c>
      <c r="H280" s="52">
        <f t="shared" si="134"/>
        <v>0</v>
      </c>
      <c r="I280" s="52">
        <f t="shared" si="134"/>
        <v>0</v>
      </c>
      <c r="J280" s="52">
        <f t="shared" si="134"/>
        <v>0</v>
      </c>
      <c r="K280" s="52">
        <f t="shared" si="134"/>
        <v>0</v>
      </c>
      <c r="L280" s="52">
        <f t="shared" si="134"/>
        <v>0</v>
      </c>
      <c r="M280" s="52">
        <f t="shared" si="134"/>
        <v>0</v>
      </c>
      <c r="N280" s="52">
        <f t="shared" si="134"/>
        <v>0</v>
      </c>
      <c r="O280" s="52">
        <f t="shared" si="134"/>
        <v>0</v>
      </c>
      <c r="P280" s="52">
        <f t="shared" si="134"/>
        <v>0</v>
      </c>
      <c r="Q280" s="52">
        <f t="shared" si="134"/>
        <v>0</v>
      </c>
      <c r="R280" s="52">
        <f t="shared" si="134"/>
        <v>0</v>
      </c>
      <c r="S280" s="52">
        <f t="shared" si="134"/>
        <v>0</v>
      </c>
      <c r="T280" s="52">
        <f t="shared" si="134"/>
        <v>0</v>
      </c>
      <c r="U280" s="52">
        <f t="shared" si="134"/>
        <v>0</v>
      </c>
      <c r="V280" s="52">
        <f t="shared" si="134"/>
        <v>0</v>
      </c>
      <c r="W280" s="52">
        <f t="shared" si="134"/>
        <v>0</v>
      </c>
      <c r="X280" s="52">
        <f t="shared" si="134"/>
        <v>0</v>
      </c>
      <c r="Y280" s="52">
        <f t="shared" si="134"/>
        <v>0</v>
      </c>
      <c r="Z280" s="52">
        <f t="shared" si="134"/>
        <v>0</v>
      </c>
      <c r="AA280" s="52">
        <f t="shared" si="134"/>
        <v>0</v>
      </c>
      <c r="AB280" s="52">
        <f t="shared" si="134"/>
        <v>0</v>
      </c>
      <c r="AC280" s="52">
        <f t="shared" si="134"/>
        <v>0</v>
      </c>
      <c r="AD280" s="52">
        <f t="shared" si="134"/>
        <v>0</v>
      </c>
      <c r="AE280" s="52">
        <f t="shared" si="134"/>
        <v>0</v>
      </c>
      <c r="AF280" s="52">
        <f t="shared" si="134"/>
        <v>0</v>
      </c>
      <c r="AG280" s="52">
        <f t="shared" si="134"/>
        <v>0</v>
      </c>
      <c r="AH280" s="52">
        <f t="shared" si="134"/>
        <v>0</v>
      </c>
      <c r="AI280" s="52">
        <f t="shared" si="134"/>
        <v>0</v>
      </c>
      <c r="AJ280" s="52">
        <f t="shared" si="134"/>
        <v>0</v>
      </c>
      <c r="AK280" s="52">
        <f t="shared" si="134"/>
        <v>0</v>
      </c>
      <c r="AL280" s="52">
        <f t="shared" si="134"/>
        <v>0</v>
      </c>
      <c r="AM280" s="52">
        <f t="shared" si="134"/>
        <v>0</v>
      </c>
      <c r="AN280" s="52">
        <f t="shared" si="134"/>
        <v>0</v>
      </c>
      <c r="AO280" s="52">
        <f t="shared" si="134"/>
        <v>0</v>
      </c>
      <c r="AP280" s="52">
        <f t="shared" si="134"/>
        <v>0</v>
      </c>
    </row>
    <row r="281" spans="1:42" x14ac:dyDescent="0.2">
      <c r="A281" s="35">
        <f t="shared" si="127"/>
        <v>10</v>
      </c>
      <c r="B281" s="58">
        <f t="shared" si="124"/>
        <v>0</v>
      </c>
      <c r="C281" s="82">
        <f t="shared" ref="C281:AP281" si="135">LOOKUP(C270,$B$256:$AP$256,$B$257:$AP$257)*$B595</f>
        <v>0</v>
      </c>
      <c r="D281" s="53">
        <f t="shared" si="135"/>
        <v>0</v>
      </c>
      <c r="E281" s="53">
        <f t="shared" si="135"/>
        <v>0</v>
      </c>
      <c r="F281" s="53">
        <f t="shared" si="135"/>
        <v>0</v>
      </c>
      <c r="G281" s="53">
        <f t="shared" si="135"/>
        <v>0</v>
      </c>
      <c r="H281" s="53">
        <f t="shared" si="135"/>
        <v>0</v>
      </c>
      <c r="I281" s="53">
        <f t="shared" si="135"/>
        <v>0</v>
      </c>
      <c r="J281" s="53">
        <f t="shared" si="135"/>
        <v>0</v>
      </c>
      <c r="K281" s="53">
        <f t="shared" si="135"/>
        <v>0</v>
      </c>
      <c r="L281" s="53">
        <f t="shared" si="135"/>
        <v>0</v>
      </c>
      <c r="M281" s="53">
        <f t="shared" si="135"/>
        <v>0</v>
      </c>
      <c r="N281" s="53">
        <f t="shared" si="135"/>
        <v>0</v>
      </c>
      <c r="O281" s="53">
        <f t="shared" si="135"/>
        <v>0</v>
      </c>
      <c r="P281" s="53">
        <f t="shared" si="135"/>
        <v>0</v>
      </c>
      <c r="Q281" s="53">
        <f t="shared" si="135"/>
        <v>0</v>
      </c>
      <c r="R281" s="53">
        <f t="shared" si="135"/>
        <v>0</v>
      </c>
      <c r="S281" s="53">
        <f t="shared" si="135"/>
        <v>0</v>
      </c>
      <c r="T281" s="53">
        <f t="shared" si="135"/>
        <v>0</v>
      </c>
      <c r="U281" s="53">
        <f t="shared" si="135"/>
        <v>0</v>
      </c>
      <c r="V281" s="53">
        <f t="shared" si="135"/>
        <v>0</v>
      </c>
      <c r="W281" s="53">
        <f t="shared" si="135"/>
        <v>0</v>
      </c>
      <c r="X281" s="53">
        <f t="shared" si="135"/>
        <v>0</v>
      </c>
      <c r="Y281" s="53">
        <f t="shared" si="135"/>
        <v>0</v>
      </c>
      <c r="Z281" s="53">
        <f t="shared" si="135"/>
        <v>0</v>
      </c>
      <c r="AA281" s="53">
        <f t="shared" si="135"/>
        <v>0</v>
      </c>
      <c r="AB281" s="53">
        <f t="shared" si="135"/>
        <v>0</v>
      </c>
      <c r="AC281" s="53">
        <f t="shared" si="135"/>
        <v>0</v>
      </c>
      <c r="AD281" s="53">
        <f t="shared" si="135"/>
        <v>0</v>
      </c>
      <c r="AE281" s="53">
        <f t="shared" si="135"/>
        <v>0</v>
      </c>
      <c r="AF281" s="53">
        <f t="shared" si="135"/>
        <v>0</v>
      </c>
      <c r="AG281" s="53">
        <f t="shared" si="135"/>
        <v>0</v>
      </c>
      <c r="AH281" s="53">
        <f t="shared" si="135"/>
        <v>0</v>
      </c>
      <c r="AI281" s="53">
        <f t="shared" si="135"/>
        <v>0</v>
      </c>
      <c r="AJ281" s="53">
        <f t="shared" si="135"/>
        <v>0</v>
      </c>
      <c r="AK281" s="53">
        <f t="shared" si="135"/>
        <v>0</v>
      </c>
      <c r="AL281" s="53">
        <f t="shared" si="135"/>
        <v>0</v>
      </c>
      <c r="AM281" s="53">
        <f t="shared" si="135"/>
        <v>0</v>
      </c>
      <c r="AN281" s="53">
        <f t="shared" si="135"/>
        <v>0</v>
      </c>
      <c r="AO281" s="53">
        <f t="shared" si="135"/>
        <v>0</v>
      </c>
      <c r="AP281" s="53">
        <f t="shared" si="135"/>
        <v>0</v>
      </c>
    </row>
    <row r="282" spans="1:42" s="35" customFormat="1" ht="12" customHeight="1" x14ac:dyDescent="0.2">
      <c r="A282" s="83" t="s">
        <v>23</v>
      </c>
      <c r="B282" s="38"/>
      <c r="C282" s="38">
        <f>SUM(C272:C281)</f>
        <v>0</v>
      </c>
      <c r="D282" s="38">
        <f t="shared" ref="D282:AP282" si="136">SUM(D272:D281)</f>
        <v>0</v>
      </c>
      <c r="E282" s="38">
        <f t="shared" si="136"/>
        <v>0</v>
      </c>
      <c r="F282" s="38">
        <f t="shared" si="136"/>
        <v>0</v>
      </c>
      <c r="G282" s="38">
        <f t="shared" si="136"/>
        <v>0</v>
      </c>
      <c r="H282" s="38">
        <f t="shared" si="136"/>
        <v>0</v>
      </c>
      <c r="I282" s="38">
        <f t="shared" si="136"/>
        <v>0</v>
      </c>
      <c r="J282" s="38">
        <f t="shared" si="136"/>
        <v>0</v>
      </c>
      <c r="K282" s="38">
        <f t="shared" si="136"/>
        <v>0</v>
      </c>
      <c r="L282" s="38">
        <f t="shared" si="136"/>
        <v>0</v>
      </c>
      <c r="M282" s="38">
        <f t="shared" si="136"/>
        <v>0</v>
      </c>
      <c r="N282" s="38">
        <f t="shared" si="136"/>
        <v>656043.32890063303</v>
      </c>
      <c r="O282" s="38">
        <f t="shared" si="136"/>
        <v>1049669.3262410129</v>
      </c>
      <c r="P282" s="38">
        <f t="shared" si="136"/>
        <v>629801.59574460774</v>
      </c>
      <c r="Q282" s="38">
        <f t="shared" si="136"/>
        <v>377880.95744676463</v>
      </c>
      <c r="R282" s="38">
        <f t="shared" si="136"/>
        <v>377880.95744676463</v>
      </c>
      <c r="S282" s="38">
        <f t="shared" si="136"/>
        <v>188940.47872338232</v>
      </c>
      <c r="T282" s="38">
        <f t="shared" si="136"/>
        <v>0</v>
      </c>
      <c r="U282" s="38">
        <f t="shared" si="136"/>
        <v>0</v>
      </c>
      <c r="V282" s="38">
        <f t="shared" si="136"/>
        <v>0</v>
      </c>
      <c r="W282" s="38">
        <f t="shared" si="136"/>
        <v>0</v>
      </c>
      <c r="X282" s="38">
        <f t="shared" si="136"/>
        <v>0</v>
      </c>
      <c r="Y282" s="38">
        <f t="shared" si="136"/>
        <v>0</v>
      </c>
      <c r="Z282" s="38">
        <f t="shared" si="136"/>
        <v>882305.34125979955</v>
      </c>
      <c r="AA282" s="38">
        <f t="shared" si="136"/>
        <v>1411688.5460156794</v>
      </c>
      <c r="AB282" s="38">
        <f t="shared" si="136"/>
        <v>847013.12760940753</v>
      </c>
      <c r="AC282" s="38">
        <f t="shared" si="136"/>
        <v>508207.87656564452</v>
      </c>
      <c r="AD282" s="38">
        <f t="shared" si="136"/>
        <v>508207.87656564452</v>
      </c>
      <c r="AE282" s="38">
        <f t="shared" si="136"/>
        <v>254103.93828282226</v>
      </c>
      <c r="AF282" s="38">
        <f t="shared" si="136"/>
        <v>0</v>
      </c>
      <c r="AG282" s="38">
        <f t="shared" si="136"/>
        <v>0</v>
      </c>
      <c r="AH282" s="38">
        <f t="shared" si="136"/>
        <v>0</v>
      </c>
      <c r="AI282" s="38">
        <f t="shared" si="136"/>
        <v>0</v>
      </c>
      <c r="AJ282" s="38">
        <f t="shared" si="136"/>
        <v>0</v>
      </c>
      <c r="AK282" s="38">
        <f t="shared" si="136"/>
        <v>0</v>
      </c>
      <c r="AL282" s="38">
        <f t="shared" si="136"/>
        <v>1186602.59303312</v>
      </c>
      <c r="AM282" s="38">
        <f t="shared" si="136"/>
        <v>1898564.1488529921</v>
      </c>
      <c r="AN282" s="38">
        <f t="shared" si="136"/>
        <v>1139138.4893117952</v>
      </c>
      <c r="AO282" s="38">
        <f t="shared" si="136"/>
        <v>683483.09358707711</v>
      </c>
      <c r="AP282" s="38">
        <f t="shared" si="136"/>
        <v>683483.09358707711</v>
      </c>
    </row>
    <row r="283" spans="1:42" x14ac:dyDescent="0.2">
      <c r="A283" s="65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52"/>
      <c r="AE283" s="52"/>
      <c r="AF283" s="52"/>
      <c r="AG283" s="52"/>
      <c r="AH283" s="52"/>
      <c r="AI283" s="52"/>
      <c r="AJ283" s="52"/>
      <c r="AK283" s="52"/>
      <c r="AL283" s="52"/>
      <c r="AM283" s="52"/>
      <c r="AN283" s="52"/>
      <c r="AO283" s="52"/>
      <c r="AP283" s="52"/>
    </row>
    <row r="284" spans="1:42" x14ac:dyDescent="0.2">
      <c r="A284" s="59" t="s">
        <v>166</v>
      </c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52"/>
      <c r="AE284" s="52"/>
      <c r="AF284" s="52"/>
      <c r="AG284" s="52"/>
      <c r="AH284" s="52"/>
      <c r="AI284" s="52"/>
      <c r="AJ284" s="52"/>
      <c r="AK284" s="52"/>
      <c r="AL284" s="52"/>
      <c r="AM284" s="52"/>
      <c r="AN284" s="52"/>
      <c r="AO284" s="52"/>
      <c r="AP284" s="52"/>
    </row>
    <row r="285" spans="1:42" x14ac:dyDescent="0.2">
      <c r="A285" s="65" t="s">
        <v>125</v>
      </c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52"/>
      <c r="AE285" s="52"/>
      <c r="AF285" s="52"/>
      <c r="AG285" s="52"/>
      <c r="AH285" s="52"/>
      <c r="AI285" s="52"/>
      <c r="AJ285" s="52"/>
      <c r="AK285" s="52"/>
      <c r="AL285" s="52"/>
      <c r="AM285" s="52"/>
      <c r="AN285" s="52"/>
      <c r="AO285" s="52"/>
      <c r="AP285" s="52"/>
    </row>
    <row r="286" spans="1:42" x14ac:dyDescent="0.2">
      <c r="A286" s="35">
        <v>1</v>
      </c>
      <c r="C286" s="52">
        <f>IF(C$2&lt;=AnalysisPeriod,IF(SUM($C618:C618)&gt;0,B286+1,0),0)</f>
        <v>0</v>
      </c>
      <c r="D286" s="52">
        <f>IF(D$2&lt;=AnalysisPeriod,IF(SUM($C618:D618)&gt;0,C286+1,0),0)</f>
        <v>0</v>
      </c>
      <c r="E286" s="52">
        <f>IF(E$2&lt;=AnalysisPeriod,IF(SUM($C618:E618)&gt;0,D286+1,0),0)</f>
        <v>0</v>
      </c>
      <c r="F286" s="52">
        <f>IF(F$2&lt;=AnalysisPeriod,IF(SUM($C618:F618)&gt;0,E286+1,0),0)</f>
        <v>0</v>
      </c>
      <c r="G286" s="52">
        <f>IF(G$2&lt;=AnalysisPeriod,IF(SUM($C618:G618)&gt;0,F286+1,0),0)</f>
        <v>0</v>
      </c>
      <c r="H286" s="52">
        <f>IF(H$2&lt;=AnalysisPeriod,IF(SUM($C618:H618)&gt;0,G286+1,0),0)</f>
        <v>0</v>
      </c>
      <c r="I286" s="52">
        <f>IF(I$2&lt;=AnalysisPeriod,IF(SUM($C618:I618)&gt;0,H286+1,0),0)</f>
        <v>0</v>
      </c>
      <c r="J286" s="52">
        <f>IF(J$2&lt;=AnalysisPeriod,IF(SUM($C618:J618)&gt;0,I286+1,0),0)</f>
        <v>0</v>
      </c>
      <c r="K286" s="52">
        <f>IF(K$2&lt;=AnalysisPeriod,IF(SUM($C618:K618)&gt;0,J286+1,0),0)</f>
        <v>0</v>
      </c>
      <c r="L286" s="52">
        <f>IF(L$2&lt;=AnalysisPeriod,IF(SUM($C618:L618)&gt;0,K286+1,0),0)</f>
        <v>0</v>
      </c>
      <c r="M286" s="52">
        <f>IF(M$2&lt;=AnalysisPeriod,IF(SUM($C618:M618)&gt;0,L286+1,0),0)</f>
        <v>0</v>
      </c>
      <c r="N286" s="52">
        <f>IF(N$2&lt;=AnalysisPeriod,IF(SUM($C618:N618)&gt;0,M286+1,0),0)</f>
        <v>0</v>
      </c>
      <c r="O286" s="52">
        <f>IF(O$2&lt;=AnalysisPeriod,IF(SUM($C618:O618)&gt;0,N286+1,0),0)</f>
        <v>0</v>
      </c>
      <c r="P286" s="52">
        <f>IF(P$2&lt;=AnalysisPeriod,IF(SUM($C618:P618)&gt;0,O286+1,0),0)</f>
        <v>0</v>
      </c>
      <c r="Q286" s="52">
        <f>IF(Q$2&lt;=AnalysisPeriod,IF(SUM($C618:Q618)&gt;0,P286+1,0),0)</f>
        <v>0</v>
      </c>
      <c r="R286" s="52">
        <f>IF(R$2&lt;=AnalysisPeriod,IF(SUM($C618:R618)&gt;0,Q286+1,0),0)</f>
        <v>0</v>
      </c>
      <c r="S286" s="52">
        <f>IF(S$2&lt;=AnalysisPeriod,IF(SUM($C618:S618)&gt;0,R286+1,0),0)</f>
        <v>0</v>
      </c>
      <c r="T286" s="52">
        <f>IF(T$2&lt;=AnalysisPeriod,IF(SUM($C618:T618)&gt;0,S286+1,0),0)</f>
        <v>0</v>
      </c>
      <c r="U286" s="52">
        <f>IF(U$2&lt;=AnalysisPeriod,IF(SUM($C618:U618)&gt;0,T286+1,0),0)</f>
        <v>0</v>
      </c>
      <c r="V286" s="52">
        <f>IF(V$2&lt;=AnalysisPeriod,IF(SUM($C618:V618)&gt;0,U286+1,0),0)</f>
        <v>0</v>
      </c>
      <c r="W286" s="52">
        <f>IF(W$2&lt;=AnalysisPeriod,IF(SUM($C618:W618)&gt;0,V286+1,0),0)</f>
        <v>0</v>
      </c>
      <c r="X286" s="52">
        <f>IF(X$2&lt;=AnalysisPeriod,IF(SUM($C618:X618)&gt;0,W286+1,0),0)</f>
        <v>0</v>
      </c>
      <c r="Y286" s="52">
        <f>IF(Y$2&lt;=AnalysisPeriod,IF(SUM($C618:Y618)&gt;0,X286+1,0),0)</f>
        <v>0</v>
      </c>
      <c r="Z286" s="52">
        <f>IF(Z$2&lt;=AnalysisPeriod,IF(SUM($C618:Z618)&gt;0,Y286+1,0),0)</f>
        <v>0</v>
      </c>
      <c r="AA286" s="52">
        <f>IF(AA$2&lt;=AnalysisPeriod,IF(SUM($C618:AA618)&gt;0,Z286+1,0),0)</f>
        <v>0</v>
      </c>
      <c r="AB286" s="52">
        <f>IF(AB$2&lt;=AnalysisPeriod,IF(SUM($C618:AB618)&gt;0,AA286+1,0),0)</f>
        <v>0</v>
      </c>
      <c r="AC286" s="52">
        <f>IF(AC$2&lt;=AnalysisPeriod,IF(SUM($C618:AC618)&gt;0,AB286+1,0),0)</f>
        <v>0</v>
      </c>
      <c r="AD286" s="52">
        <f>IF(AD$2&lt;=AnalysisPeriod,IF(SUM($C618:AD618)&gt;0,AC286+1,0),0)</f>
        <v>0</v>
      </c>
      <c r="AE286" s="52">
        <f>IF(AE$2&lt;=AnalysisPeriod,IF(SUM($C618:AE618)&gt;0,AD286+1,0),0)</f>
        <v>0</v>
      </c>
      <c r="AF286" s="52">
        <f>IF(AF$2&lt;=AnalysisPeriod,IF(SUM($C618:AF618)&gt;0,AE286+1,0),0)</f>
        <v>0</v>
      </c>
      <c r="AG286" s="52">
        <f>IF(AG$2&lt;=AnalysisPeriod,IF(SUM($C618:AG618)&gt;0,AF286+1,0),0)</f>
        <v>0</v>
      </c>
      <c r="AH286" s="52">
        <f>IF(AH$2&lt;=AnalysisPeriod,IF(SUM($C618:AH618)&gt;0,AG286+1,0),0)</f>
        <v>0</v>
      </c>
      <c r="AI286" s="52">
        <f>IF(AI$2&lt;=AnalysisPeriod,IF(SUM($C618:AI618)&gt;0,AH286+1,0),0)</f>
        <v>0</v>
      </c>
      <c r="AJ286" s="52">
        <f>IF(AJ$2&lt;=AnalysisPeriod,IF(SUM($C618:AJ618)&gt;0,AI286+1,0),0)</f>
        <v>0</v>
      </c>
      <c r="AK286" s="52">
        <f>IF(AK$2&lt;=AnalysisPeriod,IF(SUM($C618:AK618)&gt;0,AJ286+1,0),0)</f>
        <v>0</v>
      </c>
      <c r="AL286" s="52">
        <f>IF(AL$2&lt;=AnalysisPeriod,IF(SUM($C618:AL618)&gt;0,AK286+1,0),0)</f>
        <v>0</v>
      </c>
      <c r="AM286" s="52">
        <f>IF(AM$2&lt;=AnalysisPeriod,IF(SUM($C618:AM618)&gt;0,AL286+1,0),0)</f>
        <v>0</v>
      </c>
      <c r="AN286" s="52">
        <f>IF(AN$2&lt;=AnalysisPeriod,IF(SUM($C618:AN618)&gt;0,AM286+1,0),0)</f>
        <v>0</v>
      </c>
      <c r="AO286" s="52">
        <f>IF(AO$2&lt;=AnalysisPeriod,IF(SUM($C618:AO618)&gt;0,AN286+1,0),0)</f>
        <v>0</v>
      </c>
      <c r="AP286" s="52">
        <f>IF(AP$2&lt;=AnalysisPeriod,IF(SUM($C618:AP618)&gt;0,AO286+1,0),0)</f>
        <v>0</v>
      </c>
    </row>
    <row r="287" spans="1:42" x14ac:dyDescent="0.2">
      <c r="A287" s="35">
        <f>A286+1</f>
        <v>2</v>
      </c>
      <c r="C287" s="52">
        <f>IF(C$2&lt;=AnalysisPeriod,IF(SUM($C619:C619)&gt;0,B287+1,0),0)</f>
        <v>0</v>
      </c>
      <c r="D287" s="52">
        <f>IF(D$2&lt;=AnalysisPeriod,IF(SUM($C619:D619)&gt;0,C287+1,0),0)</f>
        <v>0</v>
      </c>
      <c r="E287" s="52">
        <f>IF(E$2&lt;=AnalysisPeriod,IF(SUM($C619:E619)&gt;0,D287+1,0),0)</f>
        <v>0</v>
      </c>
      <c r="F287" s="52">
        <f>IF(F$2&lt;=AnalysisPeriod,IF(SUM($C619:F619)&gt;0,E287+1,0),0)</f>
        <v>0</v>
      </c>
      <c r="G287" s="52">
        <f>IF(G$2&lt;=AnalysisPeriod,IF(SUM($C619:G619)&gt;0,F287+1,0),0)</f>
        <v>0</v>
      </c>
      <c r="H287" s="52">
        <f>IF(H$2&lt;=AnalysisPeriod,IF(SUM($C619:H619)&gt;0,G287+1,0),0)</f>
        <v>0</v>
      </c>
      <c r="I287" s="52">
        <f>IF(I$2&lt;=AnalysisPeriod,IF(SUM($C619:I619)&gt;0,H287+1,0),0)</f>
        <v>0</v>
      </c>
      <c r="J287" s="52">
        <f>IF(J$2&lt;=AnalysisPeriod,IF(SUM($C619:J619)&gt;0,I287+1,0),0)</f>
        <v>0</v>
      </c>
      <c r="K287" s="52">
        <f>IF(K$2&lt;=AnalysisPeriod,IF(SUM($C619:K619)&gt;0,J287+1,0),0)</f>
        <v>0</v>
      </c>
      <c r="L287" s="52">
        <f>IF(L$2&lt;=AnalysisPeriod,IF(SUM($C619:L619)&gt;0,K287+1,0),0)</f>
        <v>0</v>
      </c>
      <c r="M287" s="52">
        <f>IF(M$2&lt;=AnalysisPeriod,IF(SUM($C619:M619)&gt;0,L287+1,0),0)</f>
        <v>0</v>
      </c>
      <c r="N287" s="52">
        <f>IF(N$2&lt;=AnalysisPeriod,IF(SUM($C619:N619)&gt;0,M287+1,0),0)</f>
        <v>0</v>
      </c>
      <c r="O287" s="52">
        <f>IF(O$2&lt;=AnalysisPeriod,IF(SUM($C619:O619)&gt;0,N287+1,0),0)</f>
        <v>0</v>
      </c>
      <c r="P287" s="52">
        <f>IF(P$2&lt;=AnalysisPeriod,IF(SUM($C619:P619)&gt;0,O287+1,0),0)</f>
        <v>0</v>
      </c>
      <c r="Q287" s="52">
        <f>IF(Q$2&lt;=AnalysisPeriod,IF(SUM($C619:Q619)&gt;0,P287+1,0),0)</f>
        <v>0</v>
      </c>
      <c r="R287" s="52">
        <f>IF(R$2&lt;=AnalysisPeriod,IF(SUM($C619:R619)&gt;0,Q287+1,0),0)</f>
        <v>0</v>
      </c>
      <c r="S287" s="52">
        <f>IF(S$2&lt;=AnalysisPeriod,IF(SUM($C619:S619)&gt;0,R287+1,0),0)</f>
        <v>0</v>
      </c>
      <c r="T287" s="52">
        <f>IF(T$2&lt;=AnalysisPeriod,IF(SUM($C619:T619)&gt;0,S287+1,0),0)</f>
        <v>0</v>
      </c>
      <c r="U287" s="52">
        <f>IF(U$2&lt;=AnalysisPeriod,IF(SUM($C619:U619)&gt;0,T287+1,0),0)</f>
        <v>0</v>
      </c>
      <c r="V287" s="52">
        <f>IF(V$2&lt;=AnalysisPeriod,IF(SUM($C619:V619)&gt;0,U287+1,0),0)</f>
        <v>0</v>
      </c>
      <c r="W287" s="52">
        <f>IF(W$2&lt;=AnalysisPeriod,IF(SUM($C619:W619)&gt;0,V287+1,0),0)</f>
        <v>0</v>
      </c>
      <c r="X287" s="52">
        <f>IF(X$2&lt;=AnalysisPeriod,IF(SUM($C619:X619)&gt;0,W287+1,0),0)</f>
        <v>0</v>
      </c>
      <c r="Y287" s="52">
        <f>IF(Y$2&lt;=AnalysisPeriod,IF(SUM($C619:Y619)&gt;0,X287+1,0),0)</f>
        <v>0</v>
      </c>
      <c r="Z287" s="52">
        <f>IF(Z$2&lt;=AnalysisPeriod,IF(SUM($C619:Z619)&gt;0,Y287+1,0),0)</f>
        <v>0</v>
      </c>
      <c r="AA287" s="52">
        <f>IF(AA$2&lt;=AnalysisPeriod,IF(SUM($C619:AA619)&gt;0,Z287+1,0),0)</f>
        <v>0</v>
      </c>
      <c r="AB287" s="52">
        <f>IF(AB$2&lt;=AnalysisPeriod,IF(SUM($C619:AB619)&gt;0,AA287+1,0),0)</f>
        <v>0</v>
      </c>
      <c r="AC287" s="52">
        <f>IF(AC$2&lt;=AnalysisPeriod,IF(SUM($C619:AC619)&gt;0,AB287+1,0),0)</f>
        <v>0</v>
      </c>
      <c r="AD287" s="52">
        <f>IF(AD$2&lt;=AnalysisPeriod,IF(SUM($C619:AD619)&gt;0,AC287+1,0),0)</f>
        <v>0</v>
      </c>
      <c r="AE287" s="52">
        <f>IF(AE$2&lt;=AnalysisPeriod,IF(SUM($C619:AE619)&gt;0,AD287+1,0),0)</f>
        <v>0</v>
      </c>
      <c r="AF287" s="52">
        <f>IF(AF$2&lt;=AnalysisPeriod,IF(SUM($C619:AF619)&gt;0,AE287+1,0),0)</f>
        <v>0</v>
      </c>
      <c r="AG287" s="52">
        <f>IF(AG$2&lt;=AnalysisPeriod,IF(SUM($C619:AG619)&gt;0,AF287+1,0),0)</f>
        <v>0</v>
      </c>
      <c r="AH287" s="52">
        <f>IF(AH$2&lt;=AnalysisPeriod,IF(SUM($C619:AH619)&gt;0,AG287+1,0),0)</f>
        <v>0</v>
      </c>
      <c r="AI287" s="52">
        <f>IF(AI$2&lt;=AnalysisPeriod,IF(SUM($C619:AI619)&gt;0,AH287+1,0),0)</f>
        <v>0</v>
      </c>
      <c r="AJ287" s="52">
        <f>IF(AJ$2&lt;=AnalysisPeriod,IF(SUM($C619:AJ619)&gt;0,AI287+1,0),0)</f>
        <v>0</v>
      </c>
      <c r="AK287" s="52">
        <f>IF(AK$2&lt;=AnalysisPeriod,IF(SUM($C619:AK619)&gt;0,AJ287+1,0),0)</f>
        <v>0</v>
      </c>
      <c r="AL287" s="52">
        <f>IF(AL$2&lt;=AnalysisPeriod,IF(SUM($C619:AL619)&gt;0,AK287+1,0),0)</f>
        <v>0</v>
      </c>
      <c r="AM287" s="52">
        <f>IF(AM$2&lt;=AnalysisPeriod,IF(SUM($C619:AM619)&gt;0,AL287+1,0),0)</f>
        <v>0</v>
      </c>
      <c r="AN287" s="52">
        <f>IF(AN$2&lt;=AnalysisPeriod,IF(SUM($C619:AN619)&gt;0,AM287+1,0),0)</f>
        <v>0</v>
      </c>
      <c r="AO287" s="52">
        <f>IF(AO$2&lt;=AnalysisPeriod,IF(SUM($C619:AO619)&gt;0,AN287+1,0),0)</f>
        <v>0</v>
      </c>
      <c r="AP287" s="52">
        <f>IF(AP$2&lt;=AnalysisPeriod,IF(SUM($C619:AP619)&gt;0,AO287+1,0),0)</f>
        <v>0</v>
      </c>
    </row>
    <row r="288" spans="1:42" x14ac:dyDescent="0.2">
      <c r="A288" s="35">
        <f t="shared" ref="A288:A295" si="137">A287+1</f>
        <v>3</v>
      </c>
      <c r="C288" s="52">
        <f>IF(C$2&lt;=AnalysisPeriod,IF(SUM($C620:C620)&gt;0,B288+1,0),0)</f>
        <v>0</v>
      </c>
      <c r="D288" s="52">
        <f>IF(D$2&lt;=AnalysisPeriod,IF(SUM($C620:D620)&gt;0,C288+1,0),0)</f>
        <v>0</v>
      </c>
      <c r="E288" s="52">
        <f>IF(E$2&lt;=AnalysisPeriod,IF(SUM($C620:E620)&gt;0,D288+1,0),0)</f>
        <v>0</v>
      </c>
      <c r="F288" s="52">
        <f>IF(F$2&lt;=AnalysisPeriod,IF(SUM($C620:F620)&gt;0,E288+1,0),0)</f>
        <v>0</v>
      </c>
      <c r="G288" s="52">
        <f>IF(G$2&lt;=AnalysisPeriod,IF(SUM($C620:G620)&gt;0,F288+1,0),0)</f>
        <v>0</v>
      </c>
      <c r="H288" s="52">
        <f>IF(H$2&lt;=AnalysisPeriod,IF(SUM($C620:H620)&gt;0,G288+1,0),0)</f>
        <v>0</v>
      </c>
      <c r="I288" s="52">
        <f>IF(I$2&lt;=AnalysisPeriod,IF(SUM($C620:I620)&gt;0,H288+1,0),0)</f>
        <v>0</v>
      </c>
      <c r="J288" s="52">
        <f>IF(J$2&lt;=AnalysisPeriod,IF(SUM($C620:J620)&gt;0,I288+1,0),0)</f>
        <v>0</v>
      </c>
      <c r="K288" s="52">
        <f>IF(K$2&lt;=AnalysisPeriod,IF(SUM($C620:K620)&gt;0,J288+1,0),0)</f>
        <v>0</v>
      </c>
      <c r="L288" s="52">
        <f>IF(L$2&lt;=AnalysisPeriod,IF(SUM($C620:L620)&gt;0,K288+1,0),0)</f>
        <v>0</v>
      </c>
      <c r="M288" s="52">
        <f>IF(M$2&lt;=AnalysisPeriod,IF(SUM($C620:M620)&gt;0,L288+1,0),0)</f>
        <v>0</v>
      </c>
      <c r="N288" s="52">
        <f>IF(N$2&lt;=AnalysisPeriod,IF(SUM($C620:N620)&gt;0,M288+1,0),0)</f>
        <v>0</v>
      </c>
      <c r="O288" s="52">
        <f>IF(O$2&lt;=AnalysisPeriod,IF(SUM($C620:O620)&gt;0,N288+1,0),0)</f>
        <v>0</v>
      </c>
      <c r="P288" s="52">
        <f>IF(P$2&lt;=AnalysisPeriod,IF(SUM($C620:P620)&gt;0,O288+1,0),0)</f>
        <v>0</v>
      </c>
      <c r="Q288" s="52">
        <f>IF(Q$2&lt;=AnalysisPeriod,IF(SUM($C620:Q620)&gt;0,P288+1,0),0)</f>
        <v>0</v>
      </c>
      <c r="R288" s="52">
        <f>IF(R$2&lt;=AnalysisPeriod,IF(SUM($C620:R620)&gt;0,Q288+1,0),0)</f>
        <v>0</v>
      </c>
      <c r="S288" s="52">
        <f>IF(S$2&lt;=AnalysisPeriod,IF(SUM($C620:S620)&gt;0,R288+1,0),0)</f>
        <v>0</v>
      </c>
      <c r="T288" s="52">
        <f>IF(T$2&lt;=AnalysisPeriod,IF(SUM($C620:T620)&gt;0,S288+1,0),0)</f>
        <v>0</v>
      </c>
      <c r="U288" s="52">
        <f>IF(U$2&lt;=AnalysisPeriod,IF(SUM($C620:U620)&gt;0,T288+1,0),0)</f>
        <v>0</v>
      </c>
      <c r="V288" s="52">
        <f>IF(V$2&lt;=AnalysisPeriod,IF(SUM($C620:V620)&gt;0,U288+1,0),0)</f>
        <v>0</v>
      </c>
      <c r="W288" s="52">
        <f>IF(W$2&lt;=AnalysisPeriod,IF(SUM($C620:W620)&gt;0,V288+1,0),0)</f>
        <v>0</v>
      </c>
      <c r="X288" s="52">
        <f>IF(X$2&lt;=AnalysisPeriod,IF(SUM($C620:X620)&gt;0,W288+1,0),0)</f>
        <v>0</v>
      </c>
      <c r="Y288" s="52">
        <f>IF(Y$2&lt;=AnalysisPeriod,IF(SUM($C620:Y620)&gt;0,X288+1,0),0)</f>
        <v>0</v>
      </c>
      <c r="Z288" s="52">
        <f>IF(Z$2&lt;=AnalysisPeriod,IF(SUM($C620:Z620)&gt;0,Y288+1,0),0)</f>
        <v>0</v>
      </c>
      <c r="AA288" s="52">
        <f>IF(AA$2&lt;=AnalysisPeriod,IF(SUM($C620:AA620)&gt;0,Z288+1,0),0)</f>
        <v>0</v>
      </c>
      <c r="AB288" s="52">
        <f>IF(AB$2&lt;=AnalysisPeriod,IF(SUM($C620:AB620)&gt;0,AA288+1,0),0)</f>
        <v>0</v>
      </c>
      <c r="AC288" s="52">
        <f>IF(AC$2&lt;=AnalysisPeriod,IF(SUM($C620:AC620)&gt;0,AB288+1,0),0)</f>
        <v>0</v>
      </c>
      <c r="AD288" s="52">
        <f>IF(AD$2&lt;=AnalysisPeriod,IF(SUM($C620:AD620)&gt;0,AC288+1,0),0)</f>
        <v>0</v>
      </c>
      <c r="AE288" s="52">
        <f>IF(AE$2&lt;=AnalysisPeriod,IF(SUM($C620:AE620)&gt;0,AD288+1,0),0)</f>
        <v>0</v>
      </c>
      <c r="AF288" s="52">
        <f>IF(AF$2&lt;=AnalysisPeriod,IF(SUM($C620:AF620)&gt;0,AE288+1,0),0)</f>
        <v>0</v>
      </c>
      <c r="AG288" s="52">
        <f>IF(AG$2&lt;=AnalysisPeriod,IF(SUM($C620:AG620)&gt;0,AF288+1,0),0)</f>
        <v>0</v>
      </c>
      <c r="AH288" s="52">
        <f>IF(AH$2&lt;=AnalysisPeriod,IF(SUM($C620:AH620)&gt;0,AG288+1,0),0)</f>
        <v>0</v>
      </c>
      <c r="AI288" s="52">
        <f>IF(AI$2&lt;=AnalysisPeriod,IF(SUM($C620:AI620)&gt;0,AH288+1,0),0)</f>
        <v>0</v>
      </c>
      <c r="AJ288" s="52">
        <f>IF(AJ$2&lt;=AnalysisPeriod,IF(SUM($C620:AJ620)&gt;0,AI288+1,0),0)</f>
        <v>0</v>
      </c>
      <c r="AK288" s="52">
        <f>IF(AK$2&lt;=AnalysisPeriod,IF(SUM($C620:AK620)&gt;0,AJ288+1,0),0)</f>
        <v>0</v>
      </c>
      <c r="AL288" s="52">
        <f>IF(AL$2&lt;=AnalysisPeriod,IF(SUM($C620:AL620)&gt;0,AK288+1,0),0)</f>
        <v>0</v>
      </c>
      <c r="AM288" s="52">
        <f>IF(AM$2&lt;=AnalysisPeriod,IF(SUM($C620:AM620)&gt;0,AL288+1,0),0)</f>
        <v>0</v>
      </c>
      <c r="AN288" s="52">
        <f>IF(AN$2&lt;=AnalysisPeriod,IF(SUM($C620:AN620)&gt;0,AM288+1,0),0)</f>
        <v>0</v>
      </c>
      <c r="AO288" s="52">
        <f>IF(AO$2&lt;=AnalysisPeriod,IF(SUM($C620:AO620)&gt;0,AN288+1,0),0)</f>
        <v>0</v>
      </c>
      <c r="AP288" s="52">
        <f>IF(AP$2&lt;=AnalysisPeriod,IF(SUM($C620:AP620)&gt;0,AO288+1,0),0)</f>
        <v>0</v>
      </c>
    </row>
    <row r="289" spans="1:42" x14ac:dyDescent="0.2">
      <c r="A289" s="35">
        <f t="shared" si="137"/>
        <v>4</v>
      </c>
      <c r="C289" s="52">
        <f>IF(C$2&lt;=AnalysisPeriod,IF(SUM($C621:C621)&gt;0,B289+1,0),0)</f>
        <v>0</v>
      </c>
      <c r="D289" s="52">
        <f>IF(D$2&lt;=AnalysisPeriod,IF(SUM($C621:D621)&gt;0,C289+1,0),0)</f>
        <v>0</v>
      </c>
      <c r="E289" s="52">
        <f>IF(E$2&lt;=AnalysisPeriod,IF(SUM($C621:E621)&gt;0,D289+1,0),0)</f>
        <v>0</v>
      </c>
      <c r="F289" s="52">
        <f>IF(F$2&lt;=AnalysisPeriod,IF(SUM($C621:F621)&gt;0,E289+1,0),0)</f>
        <v>0</v>
      </c>
      <c r="G289" s="52">
        <f>IF(G$2&lt;=AnalysisPeriod,IF(SUM($C621:G621)&gt;0,F289+1,0),0)</f>
        <v>0</v>
      </c>
      <c r="H289" s="52">
        <f>IF(H$2&lt;=AnalysisPeriod,IF(SUM($C621:H621)&gt;0,G289+1,0),0)</f>
        <v>0</v>
      </c>
      <c r="I289" s="52">
        <f>IF(I$2&lt;=AnalysisPeriod,IF(SUM($C621:I621)&gt;0,H289+1,0),0)</f>
        <v>0</v>
      </c>
      <c r="J289" s="52">
        <f>IF(J$2&lt;=AnalysisPeriod,IF(SUM($C621:J621)&gt;0,I289+1,0),0)</f>
        <v>0</v>
      </c>
      <c r="K289" s="52">
        <f>IF(K$2&lt;=AnalysisPeriod,IF(SUM($C621:K621)&gt;0,J289+1,0),0)</f>
        <v>0</v>
      </c>
      <c r="L289" s="52">
        <f>IF(L$2&lt;=AnalysisPeriod,IF(SUM($C621:L621)&gt;0,K289+1,0),0)</f>
        <v>0</v>
      </c>
      <c r="M289" s="52">
        <f>IF(M$2&lt;=AnalysisPeriod,IF(SUM($C621:M621)&gt;0,L289+1,0),0)</f>
        <v>0</v>
      </c>
      <c r="N289" s="52">
        <f>IF(N$2&lt;=AnalysisPeriod,IF(SUM($C621:N621)&gt;0,M289+1,0),0)</f>
        <v>0</v>
      </c>
      <c r="O289" s="52">
        <f>IF(O$2&lt;=AnalysisPeriod,IF(SUM($C621:O621)&gt;0,N289+1,0),0)</f>
        <v>0</v>
      </c>
      <c r="P289" s="52">
        <f>IF(P$2&lt;=AnalysisPeriod,IF(SUM($C621:P621)&gt;0,O289+1,0),0)</f>
        <v>0</v>
      </c>
      <c r="Q289" s="52">
        <f>IF(Q$2&lt;=AnalysisPeriod,IF(SUM($C621:Q621)&gt;0,P289+1,0),0)</f>
        <v>0</v>
      </c>
      <c r="R289" s="52">
        <f>IF(R$2&lt;=AnalysisPeriod,IF(SUM($C621:R621)&gt;0,Q289+1,0),0)</f>
        <v>0</v>
      </c>
      <c r="S289" s="52">
        <f>IF(S$2&lt;=AnalysisPeriod,IF(SUM($C621:S621)&gt;0,R289+1,0),0)</f>
        <v>0</v>
      </c>
      <c r="T289" s="52">
        <f>IF(T$2&lt;=AnalysisPeriod,IF(SUM($C621:T621)&gt;0,S289+1,0),0)</f>
        <v>0</v>
      </c>
      <c r="U289" s="52">
        <f>IF(U$2&lt;=AnalysisPeriod,IF(SUM($C621:U621)&gt;0,T289+1,0),0)</f>
        <v>0</v>
      </c>
      <c r="V289" s="52">
        <f>IF(V$2&lt;=AnalysisPeriod,IF(SUM($C621:V621)&gt;0,U289+1,0),0)</f>
        <v>0</v>
      </c>
      <c r="W289" s="52">
        <f>IF(W$2&lt;=AnalysisPeriod,IF(SUM($C621:W621)&gt;0,V289+1,0),0)</f>
        <v>0</v>
      </c>
      <c r="X289" s="52">
        <f>IF(X$2&lt;=AnalysisPeriod,IF(SUM($C621:X621)&gt;0,W289+1,0),0)</f>
        <v>0</v>
      </c>
      <c r="Y289" s="52">
        <f>IF(Y$2&lt;=AnalysisPeriod,IF(SUM($C621:Y621)&gt;0,X289+1,0),0)</f>
        <v>0</v>
      </c>
      <c r="Z289" s="52">
        <f>IF(Z$2&lt;=AnalysisPeriod,IF(SUM($C621:Z621)&gt;0,Y289+1,0),0)</f>
        <v>0</v>
      </c>
      <c r="AA289" s="52">
        <f>IF(AA$2&lt;=AnalysisPeriod,IF(SUM($C621:AA621)&gt;0,Z289+1,0),0)</f>
        <v>0</v>
      </c>
      <c r="AB289" s="52">
        <f>IF(AB$2&lt;=AnalysisPeriod,IF(SUM($C621:AB621)&gt;0,AA289+1,0),0)</f>
        <v>0</v>
      </c>
      <c r="AC289" s="52">
        <f>IF(AC$2&lt;=AnalysisPeriod,IF(SUM($C621:AC621)&gt;0,AB289+1,0),0)</f>
        <v>0</v>
      </c>
      <c r="AD289" s="52">
        <f>IF(AD$2&lt;=AnalysisPeriod,IF(SUM($C621:AD621)&gt;0,AC289+1,0),0)</f>
        <v>0</v>
      </c>
      <c r="AE289" s="52">
        <f>IF(AE$2&lt;=AnalysisPeriod,IF(SUM($C621:AE621)&gt;0,AD289+1,0),0)</f>
        <v>0</v>
      </c>
      <c r="AF289" s="52">
        <f>IF(AF$2&lt;=AnalysisPeriod,IF(SUM($C621:AF621)&gt;0,AE289+1,0),0)</f>
        <v>0</v>
      </c>
      <c r="AG289" s="52">
        <f>IF(AG$2&lt;=AnalysisPeriod,IF(SUM($C621:AG621)&gt;0,AF289+1,0),0)</f>
        <v>0</v>
      </c>
      <c r="AH289" s="52">
        <f>IF(AH$2&lt;=AnalysisPeriod,IF(SUM($C621:AH621)&gt;0,AG289+1,0),0)</f>
        <v>0</v>
      </c>
      <c r="AI289" s="52">
        <f>IF(AI$2&lt;=AnalysisPeriod,IF(SUM($C621:AI621)&gt;0,AH289+1,0),0)</f>
        <v>0</v>
      </c>
      <c r="AJ289" s="52">
        <f>IF(AJ$2&lt;=AnalysisPeriod,IF(SUM($C621:AJ621)&gt;0,AI289+1,0),0)</f>
        <v>0</v>
      </c>
      <c r="AK289" s="52">
        <f>IF(AK$2&lt;=AnalysisPeriod,IF(SUM($C621:AK621)&gt;0,AJ289+1,0),0)</f>
        <v>0</v>
      </c>
      <c r="AL289" s="52">
        <f>IF(AL$2&lt;=AnalysisPeriod,IF(SUM($C621:AL621)&gt;0,AK289+1,0),0)</f>
        <v>0</v>
      </c>
      <c r="AM289" s="52">
        <f>IF(AM$2&lt;=AnalysisPeriod,IF(SUM($C621:AM621)&gt;0,AL289+1,0),0)</f>
        <v>0</v>
      </c>
      <c r="AN289" s="52">
        <f>IF(AN$2&lt;=AnalysisPeriod,IF(SUM($C621:AN621)&gt;0,AM289+1,0),0)</f>
        <v>0</v>
      </c>
      <c r="AO289" s="52">
        <f>IF(AO$2&lt;=AnalysisPeriod,IF(SUM($C621:AO621)&gt;0,AN289+1,0),0)</f>
        <v>0</v>
      </c>
      <c r="AP289" s="52">
        <f>IF(AP$2&lt;=AnalysisPeriod,IF(SUM($C621:AP621)&gt;0,AO289+1,0),0)</f>
        <v>0</v>
      </c>
    </row>
    <row r="290" spans="1:42" x14ac:dyDescent="0.2">
      <c r="A290" s="35">
        <f t="shared" si="137"/>
        <v>5</v>
      </c>
      <c r="C290" s="52">
        <f>IF(C$2&lt;=AnalysisPeriod,IF(SUM($C622:C622)&gt;0,B290+1,0),0)</f>
        <v>0</v>
      </c>
      <c r="D290" s="52">
        <f>IF(D$2&lt;=AnalysisPeriod,IF(SUM($C622:D622)&gt;0,C290+1,0),0)</f>
        <v>0</v>
      </c>
      <c r="E290" s="52">
        <f>IF(E$2&lt;=AnalysisPeriod,IF(SUM($C622:E622)&gt;0,D290+1,0),0)</f>
        <v>0</v>
      </c>
      <c r="F290" s="52">
        <f>IF(F$2&lt;=AnalysisPeriod,IF(SUM($C622:F622)&gt;0,E290+1,0),0)</f>
        <v>0</v>
      </c>
      <c r="G290" s="52">
        <f>IF(G$2&lt;=AnalysisPeriod,IF(SUM($C622:G622)&gt;0,F290+1,0),0)</f>
        <v>0</v>
      </c>
      <c r="H290" s="52">
        <f>IF(H$2&lt;=AnalysisPeriod,IF(SUM($C622:H622)&gt;0,G290+1,0),0)</f>
        <v>0</v>
      </c>
      <c r="I290" s="52">
        <f>IF(I$2&lt;=AnalysisPeriod,IF(SUM($C622:I622)&gt;0,H290+1,0),0)</f>
        <v>0</v>
      </c>
      <c r="J290" s="52">
        <f>IF(J$2&lt;=AnalysisPeriod,IF(SUM($C622:J622)&gt;0,I290+1,0),0)</f>
        <v>0</v>
      </c>
      <c r="K290" s="52">
        <f>IF(K$2&lt;=AnalysisPeriod,IF(SUM($C622:K622)&gt;0,J290+1,0),0)</f>
        <v>0</v>
      </c>
      <c r="L290" s="52">
        <f>IF(L$2&lt;=AnalysisPeriod,IF(SUM($C622:L622)&gt;0,K290+1,0),0)</f>
        <v>0</v>
      </c>
      <c r="M290" s="52">
        <f>IF(M$2&lt;=AnalysisPeriod,IF(SUM($C622:M622)&gt;0,L290+1,0),0)</f>
        <v>0</v>
      </c>
      <c r="N290" s="52">
        <f>IF(N$2&lt;=AnalysisPeriod,IF(SUM($C622:N622)&gt;0,M290+1,0),0)</f>
        <v>0</v>
      </c>
      <c r="O290" s="52">
        <f>IF(O$2&lt;=AnalysisPeriod,IF(SUM($C622:O622)&gt;0,N290+1,0),0)</f>
        <v>0</v>
      </c>
      <c r="P290" s="52">
        <f>IF(P$2&lt;=AnalysisPeriod,IF(SUM($C622:P622)&gt;0,O290+1,0),0)</f>
        <v>0</v>
      </c>
      <c r="Q290" s="52">
        <f>IF(Q$2&lt;=AnalysisPeriod,IF(SUM($C622:Q622)&gt;0,P290+1,0),0)</f>
        <v>0</v>
      </c>
      <c r="R290" s="52">
        <f>IF(R$2&lt;=AnalysisPeriod,IF(SUM($C622:R622)&gt;0,Q290+1,0),0)</f>
        <v>0</v>
      </c>
      <c r="S290" s="52">
        <f>IF(S$2&lt;=AnalysisPeriod,IF(SUM($C622:S622)&gt;0,R290+1,0),0)</f>
        <v>0</v>
      </c>
      <c r="T290" s="52">
        <f>IF(T$2&lt;=AnalysisPeriod,IF(SUM($C622:T622)&gt;0,S290+1,0),0)</f>
        <v>0</v>
      </c>
      <c r="U290" s="52">
        <f>IF(U$2&lt;=AnalysisPeriod,IF(SUM($C622:U622)&gt;0,T290+1,0),0)</f>
        <v>0</v>
      </c>
      <c r="V290" s="52">
        <f>IF(V$2&lt;=AnalysisPeriod,IF(SUM($C622:V622)&gt;0,U290+1,0),0)</f>
        <v>0</v>
      </c>
      <c r="W290" s="52">
        <f>IF(W$2&lt;=AnalysisPeriod,IF(SUM($C622:W622)&gt;0,V290+1,0),0)</f>
        <v>0</v>
      </c>
      <c r="X290" s="52">
        <f>IF(X$2&lt;=AnalysisPeriod,IF(SUM($C622:X622)&gt;0,W290+1,0),0)</f>
        <v>0</v>
      </c>
      <c r="Y290" s="52">
        <f>IF(Y$2&lt;=AnalysisPeriod,IF(SUM($C622:Y622)&gt;0,X290+1,0),0)</f>
        <v>0</v>
      </c>
      <c r="Z290" s="52">
        <f>IF(Z$2&lt;=AnalysisPeriod,IF(SUM($C622:Z622)&gt;0,Y290+1,0),0)</f>
        <v>0</v>
      </c>
      <c r="AA290" s="52">
        <f>IF(AA$2&lt;=AnalysisPeriod,IF(SUM($C622:AA622)&gt;0,Z290+1,0),0)</f>
        <v>0</v>
      </c>
      <c r="AB290" s="52">
        <f>IF(AB$2&lt;=AnalysisPeriod,IF(SUM($C622:AB622)&gt;0,AA290+1,0),0)</f>
        <v>0</v>
      </c>
      <c r="AC290" s="52">
        <f>IF(AC$2&lt;=AnalysisPeriod,IF(SUM($C622:AC622)&gt;0,AB290+1,0),0)</f>
        <v>0</v>
      </c>
      <c r="AD290" s="52">
        <f>IF(AD$2&lt;=AnalysisPeriod,IF(SUM($C622:AD622)&gt;0,AC290+1,0),0)</f>
        <v>0</v>
      </c>
      <c r="AE290" s="52">
        <f>IF(AE$2&lt;=AnalysisPeriod,IF(SUM($C622:AE622)&gt;0,AD290+1,0),0)</f>
        <v>0</v>
      </c>
      <c r="AF290" s="52">
        <f>IF(AF$2&lt;=AnalysisPeriod,IF(SUM($C622:AF622)&gt;0,AE290+1,0),0)</f>
        <v>0</v>
      </c>
      <c r="AG290" s="52">
        <f>IF(AG$2&lt;=AnalysisPeriod,IF(SUM($C622:AG622)&gt;0,AF290+1,0),0)</f>
        <v>0</v>
      </c>
      <c r="AH290" s="52">
        <f>IF(AH$2&lt;=AnalysisPeriod,IF(SUM($C622:AH622)&gt;0,AG290+1,0),0)</f>
        <v>0</v>
      </c>
      <c r="AI290" s="52">
        <f>IF(AI$2&lt;=AnalysisPeriod,IF(SUM($C622:AI622)&gt;0,AH290+1,0),0)</f>
        <v>0</v>
      </c>
      <c r="AJ290" s="52">
        <f>IF(AJ$2&lt;=AnalysisPeriod,IF(SUM($C622:AJ622)&gt;0,AI290+1,0),0)</f>
        <v>0</v>
      </c>
      <c r="AK290" s="52">
        <f>IF(AK$2&lt;=AnalysisPeriod,IF(SUM($C622:AK622)&gt;0,AJ290+1,0),0)</f>
        <v>0</v>
      </c>
      <c r="AL290" s="52">
        <f>IF(AL$2&lt;=AnalysisPeriod,IF(SUM($C622:AL622)&gt;0,AK290+1,0),0)</f>
        <v>0</v>
      </c>
      <c r="AM290" s="52">
        <f>IF(AM$2&lt;=AnalysisPeriod,IF(SUM($C622:AM622)&gt;0,AL290+1,0),0)</f>
        <v>0</v>
      </c>
      <c r="AN290" s="52">
        <f>IF(AN$2&lt;=AnalysisPeriod,IF(SUM($C622:AN622)&gt;0,AM290+1,0),0)</f>
        <v>0</v>
      </c>
      <c r="AO290" s="52">
        <f>IF(AO$2&lt;=AnalysisPeriod,IF(SUM($C622:AO622)&gt;0,AN290+1,0),0)</f>
        <v>0</v>
      </c>
      <c r="AP290" s="52">
        <f>IF(AP$2&lt;=AnalysisPeriod,IF(SUM($C622:AP622)&gt;0,AO290+1,0),0)</f>
        <v>0</v>
      </c>
    </row>
    <row r="291" spans="1:42" x14ac:dyDescent="0.2">
      <c r="A291" s="35">
        <f t="shared" si="137"/>
        <v>6</v>
      </c>
      <c r="C291" s="52">
        <f>IF(C$2&lt;=AnalysisPeriod,IF(SUM($C623:C623)&gt;0,B291+1,0),0)</f>
        <v>0</v>
      </c>
      <c r="D291" s="52">
        <f>IF(D$2&lt;=AnalysisPeriod,IF(SUM($C623:D623)&gt;0,C291+1,0),0)</f>
        <v>0</v>
      </c>
      <c r="E291" s="52">
        <f>IF(E$2&lt;=AnalysisPeriod,IF(SUM($C623:E623)&gt;0,D291+1,0),0)</f>
        <v>0</v>
      </c>
      <c r="F291" s="52">
        <f>IF(F$2&lt;=AnalysisPeriod,IF(SUM($C623:F623)&gt;0,E291+1,0),0)</f>
        <v>0</v>
      </c>
      <c r="G291" s="52">
        <f>IF(G$2&lt;=AnalysisPeriod,IF(SUM($C623:G623)&gt;0,F291+1,0),0)</f>
        <v>0</v>
      </c>
      <c r="H291" s="52">
        <f>IF(H$2&lt;=AnalysisPeriod,IF(SUM($C623:H623)&gt;0,G291+1,0),0)</f>
        <v>0</v>
      </c>
      <c r="I291" s="52">
        <f>IF(I$2&lt;=AnalysisPeriod,IF(SUM($C623:I623)&gt;0,H291+1,0),0)</f>
        <v>0</v>
      </c>
      <c r="J291" s="52">
        <f>IF(J$2&lt;=AnalysisPeriod,IF(SUM($C623:J623)&gt;0,I291+1,0),0)</f>
        <v>0</v>
      </c>
      <c r="K291" s="52">
        <f>IF(K$2&lt;=AnalysisPeriod,IF(SUM($C623:K623)&gt;0,J291+1,0),0)</f>
        <v>0</v>
      </c>
      <c r="L291" s="52">
        <f>IF(L$2&lt;=AnalysisPeriod,IF(SUM($C623:L623)&gt;0,K291+1,0),0)</f>
        <v>0</v>
      </c>
      <c r="M291" s="52">
        <f>IF(M$2&lt;=AnalysisPeriod,IF(SUM($C623:M623)&gt;0,L291+1,0),0)</f>
        <v>0</v>
      </c>
      <c r="N291" s="52">
        <f>IF(N$2&lt;=AnalysisPeriod,IF(SUM($C623:N623)&gt;0,M291+1,0),0)</f>
        <v>0</v>
      </c>
      <c r="O291" s="52">
        <f>IF(O$2&lt;=AnalysisPeriod,IF(SUM($C623:O623)&gt;0,N291+1,0),0)</f>
        <v>0</v>
      </c>
      <c r="P291" s="52">
        <f>IF(P$2&lt;=AnalysisPeriod,IF(SUM($C623:P623)&gt;0,O291+1,0),0)</f>
        <v>0</v>
      </c>
      <c r="Q291" s="52">
        <f>IF(Q$2&lt;=AnalysisPeriod,IF(SUM($C623:Q623)&gt;0,P291+1,0),0)</f>
        <v>0</v>
      </c>
      <c r="R291" s="52">
        <f>IF(R$2&lt;=AnalysisPeriod,IF(SUM($C623:R623)&gt;0,Q291+1,0),0)</f>
        <v>0</v>
      </c>
      <c r="S291" s="52">
        <f>IF(S$2&lt;=AnalysisPeriod,IF(SUM($C623:S623)&gt;0,R291+1,0),0)</f>
        <v>0</v>
      </c>
      <c r="T291" s="52">
        <f>IF(T$2&lt;=AnalysisPeriod,IF(SUM($C623:T623)&gt;0,S291+1,0),0)</f>
        <v>0</v>
      </c>
      <c r="U291" s="52">
        <f>IF(U$2&lt;=AnalysisPeriod,IF(SUM($C623:U623)&gt;0,T291+1,0),0)</f>
        <v>0</v>
      </c>
      <c r="V291" s="52">
        <f>IF(V$2&lt;=AnalysisPeriod,IF(SUM($C623:V623)&gt;0,U291+1,0),0)</f>
        <v>0</v>
      </c>
      <c r="W291" s="52">
        <f>IF(W$2&lt;=AnalysisPeriod,IF(SUM($C623:W623)&gt;0,V291+1,0),0)</f>
        <v>0</v>
      </c>
      <c r="X291" s="52">
        <f>IF(X$2&lt;=AnalysisPeriod,IF(SUM($C623:X623)&gt;0,W291+1,0),0)</f>
        <v>0</v>
      </c>
      <c r="Y291" s="52">
        <f>IF(Y$2&lt;=AnalysisPeriod,IF(SUM($C623:Y623)&gt;0,X291+1,0),0)</f>
        <v>0</v>
      </c>
      <c r="Z291" s="52">
        <f>IF(Z$2&lt;=AnalysisPeriod,IF(SUM($C623:Z623)&gt;0,Y291+1,0),0)</f>
        <v>0</v>
      </c>
      <c r="AA291" s="52">
        <f>IF(AA$2&lt;=AnalysisPeriod,IF(SUM($C623:AA623)&gt;0,Z291+1,0),0)</f>
        <v>0</v>
      </c>
      <c r="AB291" s="52">
        <f>IF(AB$2&lt;=AnalysisPeriod,IF(SUM($C623:AB623)&gt;0,AA291+1,0),0)</f>
        <v>0</v>
      </c>
      <c r="AC291" s="52">
        <f>IF(AC$2&lt;=AnalysisPeriod,IF(SUM($C623:AC623)&gt;0,AB291+1,0),0)</f>
        <v>0</v>
      </c>
      <c r="AD291" s="52">
        <f>IF(AD$2&lt;=AnalysisPeriod,IF(SUM($C623:AD623)&gt;0,AC291+1,0),0)</f>
        <v>0</v>
      </c>
      <c r="AE291" s="52">
        <f>IF(AE$2&lt;=AnalysisPeriod,IF(SUM($C623:AE623)&gt;0,AD291+1,0),0)</f>
        <v>0</v>
      </c>
      <c r="AF291" s="52">
        <f>IF(AF$2&lt;=AnalysisPeriod,IF(SUM($C623:AF623)&gt;0,AE291+1,0),0)</f>
        <v>0</v>
      </c>
      <c r="AG291" s="52">
        <f>IF(AG$2&lt;=AnalysisPeriod,IF(SUM($C623:AG623)&gt;0,AF291+1,0),0)</f>
        <v>0</v>
      </c>
      <c r="AH291" s="52">
        <f>IF(AH$2&lt;=AnalysisPeriod,IF(SUM($C623:AH623)&gt;0,AG291+1,0),0)</f>
        <v>0</v>
      </c>
      <c r="AI291" s="52">
        <f>IF(AI$2&lt;=AnalysisPeriod,IF(SUM($C623:AI623)&gt;0,AH291+1,0),0)</f>
        <v>0</v>
      </c>
      <c r="AJ291" s="52">
        <f>IF(AJ$2&lt;=AnalysisPeriod,IF(SUM($C623:AJ623)&gt;0,AI291+1,0),0)</f>
        <v>0</v>
      </c>
      <c r="AK291" s="52">
        <f>IF(AK$2&lt;=AnalysisPeriod,IF(SUM($C623:AK623)&gt;0,AJ291+1,0),0)</f>
        <v>0</v>
      </c>
      <c r="AL291" s="52">
        <f>IF(AL$2&lt;=AnalysisPeriod,IF(SUM($C623:AL623)&gt;0,AK291+1,0),0)</f>
        <v>0</v>
      </c>
      <c r="AM291" s="52">
        <f>IF(AM$2&lt;=AnalysisPeriod,IF(SUM($C623:AM623)&gt;0,AL291+1,0),0)</f>
        <v>0</v>
      </c>
      <c r="AN291" s="52">
        <f>IF(AN$2&lt;=AnalysisPeriod,IF(SUM($C623:AN623)&gt;0,AM291+1,0),0)</f>
        <v>0</v>
      </c>
      <c r="AO291" s="52">
        <f>IF(AO$2&lt;=AnalysisPeriod,IF(SUM($C623:AO623)&gt;0,AN291+1,0),0)</f>
        <v>0</v>
      </c>
      <c r="AP291" s="52">
        <f>IF(AP$2&lt;=AnalysisPeriod,IF(SUM($C623:AP623)&gt;0,AO291+1,0),0)</f>
        <v>0</v>
      </c>
    </row>
    <row r="292" spans="1:42" x14ac:dyDescent="0.2">
      <c r="A292" s="35">
        <f t="shared" si="137"/>
        <v>7</v>
      </c>
      <c r="C292" s="52">
        <f>IF(C$2&lt;=AnalysisPeriod,IF(SUM($C624:C624)&gt;0,B292+1,0),0)</f>
        <v>0</v>
      </c>
      <c r="D292" s="52">
        <f>IF(D$2&lt;=AnalysisPeriod,IF(SUM($C624:D624)&gt;0,C292+1,0),0)</f>
        <v>0</v>
      </c>
      <c r="E292" s="52">
        <f>IF(E$2&lt;=AnalysisPeriod,IF(SUM($C624:E624)&gt;0,D292+1,0),0)</f>
        <v>0</v>
      </c>
      <c r="F292" s="52">
        <f>IF(F$2&lt;=AnalysisPeriod,IF(SUM($C624:F624)&gt;0,E292+1,0),0)</f>
        <v>0</v>
      </c>
      <c r="G292" s="52">
        <f>IF(G$2&lt;=AnalysisPeriod,IF(SUM($C624:G624)&gt;0,F292+1,0),0)</f>
        <v>0</v>
      </c>
      <c r="H292" s="52">
        <f>IF(H$2&lt;=AnalysisPeriod,IF(SUM($C624:H624)&gt;0,G292+1,0),0)</f>
        <v>0</v>
      </c>
      <c r="I292" s="52">
        <f>IF(I$2&lt;=AnalysisPeriod,IF(SUM($C624:I624)&gt;0,H292+1,0),0)</f>
        <v>0</v>
      </c>
      <c r="J292" s="52">
        <f>IF(J$2&lt;=AnalysisPeriod,IF(SUM($C624:J624)&gt;0,I292+1,0),0)</f>
        <v>0</v>
      </c>
      <c r="K292" s="52">
        <f>IF(K$2&lt;=AnalysisPeriod,IF(SUM($C624:K624)&gt;0,J292+1,0),0)</f>
        <v>0</v>
      </c>
      <c r="L292" s="52">
        <f>IF(L$2&lt;=AnalysisPeriod,IF(SUM($C624:L624)&gt;0,K292+1,0),0)</f>
        <v>0</v>
      </c>
      <c r="M292" s="52">
        <f>IF(M$2&lt;=AnalysisPeriod,IF(SUM($C624:M624)&gt;0,L292+1,0),0)</f>
        <v>0</v>
      </c>
      <c r="N292" s="52">
        <f>IF(N$2&lt;=AnalysisPeriod,IF(SUM($C624:N624)&gt;0,M292+1,0),0)</f>
        <v>0</v>
      </c>
      <c r="O292" s="52">
        <f>IF(O$2&lt;=AnalysisPeriod,IF(SUM($C624:O624)&gt;0,N292+1,0),0)</f>
        <v>0</v>
      </c>
      <c r="P292" s="52">
        <f>IF(P$2&lt;=AnalysisPeriod,IF(SUM($C624:P624)&gt;0,O292+1,0),0)</f>
        <v>0</v>
      </c>
      <c r="Q292" s="52">
        <f>IF(Q$2&lt;=AnalysisPeriod,IF(SUM($C624:Q624)&gt;0,P292+1,0),0)</f>
        <v>0</v>
      </c>
      <c r="R292" s="52">
        <f>IF(R$2&lt;=AnalysisPeriod,IF(SUM($C624:R624)&gt;0,Q292+1,0),0)</f>
        <v>0</v>
      </c>
      <c r="S292" s="52">
        <f>IF(S$2&lt;=AnalysisPeriod,IF(SUM($C624:S624)&gt;0,R292+1,0),0)</f>
        <v>0</v>
      </c>
      <c r="T292" s="52">
        <f>IF(T$2&lt;=AnalysisPeriod,IF(SUM($C624:T624)&gt;0,S292+1,0),0)</f>
        <v>0</v>
      </c>
      <c r="U292" s="52">
        <f>IF(U$2&lt;=AnalysisPeriod,IF(SUM($C624:U624)&gt;0,T292+1,0),0)</f>
        <v>0</v>
      </c>
      <c r="V292" s="52">
        <f>IF(V$2&lt;=AnalysisPeriod,IF(SUM($C624:V624)&gt;0,U292+1,0),0)</f>
        <v>0</v>
      </c>
      <c r="W292" s="52">
        <f>IF(W$2&lt;=AnalysisPeriod,IF(SUM($C624:W624)&gt;0,V292+1,0),0)</f>
        <v>0</v>
      </c>
      <c r="X292" s="52">
        <f>IF(X$2&lt;=AnalysisPeriod,IF(SUM($C624:X624)&gt;0,W292+1,0),0)</f>
        <v>0</v>
      </c>
      <c r="Y292" s="52">
        <f>IF(Y$2&lt;=AnalysisPeriod,IF(SUM($C624:Y624)&gt;0,X292+1,0),0)</f>
        <v>0</v>
      </c>
      <c r="Z292" s="52">
        <f>IF(Z$2&lt;=AnalysisPeriod,IF(SUM($C624:Z624)&gt;0,Y292+1,0),0)</f>
        <v>0</v>
      </c>
      <c r="AA292" s="52">
        <f>IF(AA$2&lt;=AnalysisPeriod,IF(SUM($C624:AA624)&gt;0,Z292+1,0),0)</f>
        <v>0</v>
      </c>
      <c r="AB292" s="52">
        <f>IF(AB$2&lt;=AnalysisPeriod,IF(SUM($C624:AB624)&gt;0,AA292+1,0),0)</f>
        <v>0</v>
      </c>
      <c r="AC292" s="52">
        <f>IF(AC$2&lt;=AnalysisPeriod,IF(SUM($C624:AC624)&gt;0,AB292+1,0),0)</f>
        <v>0</v>
      </c>
      <c r="AD292" s="52">
        <f>IF(AD$2&lt;=AnalysisPeriod,IF(SUM($C624:AD624)&gt;0,AC292+1,0),0)</f>
        <v>0</v>
      </c>
      <c r="AE292" s="52">
        <f>IF(AE$2&lt;=AnalysisPeriod,IF(SUM($C624:AE624)&gt;0,AD292+1,0),0)</f>
        <v>0</v>
      </c>
      <c r="AF292" s="52">
        <f>IF(AF$2&lt;=AnalysisPeriod,IF(SUM($C624:AF624)&gt;0,AE292+1,0),0)</f>
        <v>0</v>
      </c>
      <c r="AG292" s="52">
        <f>IF(AG$2&lt;=AnalysisPeriod,IF(SUM($C624:AG624)&gt;0,AF292+1,0),0)</f>
        <v>0</v>
      </c>
      <c r="AH292" s="52">
        <f>IF(AH$2&lt;=AnalysisPeriod,IF(SUM($C624:AH624)&gt;0,AG292+1,0),0)</f>
        <v>0</v>
      </c>
      <c r="AI292" s="52">
        <f>IF(AI$2&lt;=AnalysisPeriod,IF(SUM($C624:AI624)&gt;0,AH292+1,0),0)</f>
        <v>0</v>
      </c>
      <c r="AJ292" s="52">
        <f>IF(AJ$2&lt;=AnalysisPeriod,IF(SUM($C624:AJ624)&gt;0,AI292+1,0),0)</f>
        <v>0</v>
      </c>
      <c r="AK292" s="52">
        <f>IF(AK$2&lt;=AnalysisPeriod,IF(SUM($C624:AK624)&gt;0,AJ292+1,0),0)</f>
        <v>0</v>
      </c>
      <c r="AL292" s="52">
        <f>IF(AL$2&lt;=AnalysisPeriod,IF(SUM($C624:AL624)&gt;0,AK292+1,0),0)</f>
        <v>0</v>
      </c>
      <c r="AM292" s="52">
        <f>IF(AM$2&lt;=AnalysisPeriod,IF(SUM($C624:AM624)&gt;0,AL292+1,0),0)</f>
        <v>0</v>
      </c>
      <c r="AN292" s="52">
        <f>IF(AN$2&lt;=AnalysisPeriod,IF(SUM($C624:AN624)&gt;0,AM292+1,0),0)</f>
        <v>0</v>
      </c>
      <c r="AO292" s="52">
        <f>IF(AO$2&lt;=AnalysisPeriod,IF(SUM($C624:AO624)&gt;0,AN292+1,0),0)</f>
        <v>0</v>
      </c>
      <c r="AP292" s="52">
        <f>IF(AP$2&lt;=AnalysisPeriod,IF(SUM($C624:AP624)&gt;0,AO292+1,0),0)</f>
        <v>0</v>
      </c>
    </row>
    <row r="293" spans="1:42" x14ac:dyDescent="0.2">
      <c r="A293" s="35">
        <f t="shared" si="137"/>
        <v>8</v>
      </c>
      <c r="C293" s="52">
        <f>IF(C$2&lt;=AnalysisPeriod,IF(SUM($C625:C625)&gt;0,B293+1,0),0)</f>
        <v>0</v>
      </c>
      <c r="D293" s="52">
        <f>IF(D$2&lt;=AnalysisPeriod,IF(SUM($C625:D625)&gt;0,C293+1,0),0)</f>
        <v>0</v>
      </c>
      <c r="E293" s="52">
        <f>IF(E$2&lt;=AnalysisPeriod,IF(SUM($C625:E625)&gt;0,D293+1,0),0)</f>
        <v>0</v>
      </c>
      <c r="F293" s="52">
        <f>IF(F$2&lt;=AnalysisPeriod,IF(SUM($C625:F625)&gt;0,E293+1,0),0)</f>
        <v>0</v>
      </c>
      <c r="G293" s="52">
        <f>IF(G$2&lt;=AnalysisPeriod,IF(SUM($C625:G625)&gt;0,F293+1,0),0)</f>
        <v>0</v>
      </c>
      <c r="H293" s="52">
        <f>IF(H$2&lt;=AnalysisPeriod,IF(SUM($C625:H625)&gt;0,G293+1,0),0)</f>
        <v>0</v>
      </c>
      <c r="I293" s="52">
        <f>IF(I$2&lt;=AnalysisPeriod,IF(SUM($C625:I625)&gt;0,H293+1,0),0)</f>
        <v>0</v>
      </c>
      <c r="J293" s="52">
        <f>IF(J$2&lt;=AnalysisPeriod,IF(SUM($C625:J625)&gt;0,I293+1,0),0)</f>
        <v>0</v>
      </c>
      <c r="K293" s="52">
        <f>IF(K$2&lt;=AnalysisPeriod,IF(SUM($C625:K625)&gt;0,J293+1,0),0)</f>
        <v>0</v>
      </c>
      <c r="L293" s="52">
        <f>IF(L$2&lt;=AnalysisPeriod,IF(SUM($C625:L625)&gt;0,K293+1,0),0)</f>
        <v>0</v>
      </c>
      <c r="M293" s="52">
        <f>IF(M$2&lt;=AnalysisPeriod,IF(SUM($C625:M625)&gt;0,L293+1,0),0)</f>
        <v>0</v>
      </c>
      <c r="N293" s="52">
        <f>IF(N$2&lt;=AnalysisPeriod,IF(SUM($C625:N625)&gt;0,M293+1,0),0)</f>
        <v>0</v>
      </c>
      <c r="O293" s="52">
        <f>IF(O$2&lt;=AnalysisPeriod,IF(SUM($C625:O625)&gt;0,N293+1,0),0)</f>
        <v>0</v>
      </c>
      <c r="P293" s="52">
        <f>IF(P$2&lt;=AnalysisPeriod,IF(SUM($C625:P625)&gt;0,O293+1,0),0)</f>
        <v>0</v>
      </c>
      <c r="Q293" s="52">
        <f>IF(Q$2&lt;=AnalysisPeriod,IF(SUM($C625:Q625)&gt;0,P293+1,0),0)</f>
        <v>0</v>
      </c>
      <c r="R293" s="52">
        <f>IF(R$2&lt;=AnalysisPeriod,IF(SUM($C625:R625)&gt;0,Q293+1,0),0)</f>
        <v>0</v>
      </c>
      <c r="S293" s="52">
        <f>IF(S$2&lt;=AnalysisPeriod,IF(SUM($C625:S625)&gt;0,R293+1,0),0)</f>
        <v>0</v>
      </c>
      <c r="T293" s="52">
        <f>IF(T$2&lt;=AnalysisPeriod,IF(SUM($C625:T625)&gt;0,S293+1,0),0)</f>
        <v>0</v>
      </c>
      <c r="U293" s="52">
        <f>IF(U$2&lt;=AnalysisPeriod,IF(SUM($C625:U625)&gt;0,T293+1,0),0)</f>
        <v>0</v>
      </c>
      <c r="V293" s="52">
        <f>IF(V$2&lt;=AnalysisPeriod,IF(SUM($C625:V625)&gt;0,U293+1,0),0)</f>
        <v>0</v>
      </c>
      <c r="W293" s="52">
        <f>IF(W$2&lt;=AnalysisPeriod,IF(SUM($C625:W625)&gt;0,V293+1,0),0)</f>
        <v>0</v>
      </c>
      <c r="X293" s="52">
        <f>IF(X$2&lt;=AnalysisPeriod,IF(SUM($C625:X625)&gt;0,W293+1,0),0)</f>
        <v>0</v>
      </c>
      <c r="Y293" s="52">
        <f>IF(Y$2&lt;=AnalysisPeriod,IF(SUM($C625:Y625)&gt;0,X293+1,0),0)</f>
        <v>0</v>
      </c>
      <c r="Z293" s="52">
        <f>IF(Z$2&lt;=AnalysisPeriod,IF(SUM($C625:Z625)&gt;0,Y293+1,0),0)</f>
        <v>0</v>
      </c>
      <c r="AA293" s="52">
        <f>IF(AA$2&lt;=AnalysisPeriod,IF(SUM($C625:AA625)&gt;0,Z293+1,0),0)</f>
        <v>0</v>
      </c>
      <c r="AB293" s="52">
        <f>IF(AB$2&lt;=AnalysisPeriod,IF(SUM($C625:AB625)&gt;0,AA293+1,0),0)</f>
        <v>0</v>
      </c>
      <c r="AC293" s="52">
        <f>IF(AC$2&lt;=AnalysisPeriod,IF(SUM($C625:AC625)&gt;0,AB293+1,0),0)</f>
        <v>0</v>
      </c>
      <c r="AD293" s="52">
        <f>IF(AD$2&lt;=AnalysisPeriod,IF(SUM($C625:AD625)&gt;0,AC293+1,0),0)</f>
        <v>0</v>
      </c>
      <c r="AE293" s="52">
        <f>IF(AE$2&lt;=AnalysisPeriod,IF(SUM($C625:AE625)&gt;0,AD293+1,0),0)</f>
        <v>0</v>
      </c>
      <c r="AF293" s="52">
        <f>IF(AF$2&lt;=AnalysisPeriod,IF(SUM($C625:AF625)&gt;0,AE293+1,0),0)</f>
        <v>0</v>
      </c>
      <c r="AG293" s="52">
        <f>IF(AG$2&lt;=AnalysisPeriod,IF(SUM($C625:AG625)&gt;0,AF293+1,0),0)</f>
        <v>0</v>
      </c>
      <c r="AH293" s="52">
        <f>IF(AH$2&lt;=AnalysisPeriod,IF(SUM($C625:AH625)&gt;0,AG293+1,0),0)</f>
        <v>0</v>
      </c>
      <c r="AI293" s="52">
        <f>IF(AI$2&lt;=AnalysisPeriod,IF(SUM($C625:AI625)&gt;0,AH293+1,0),0)</f>
        <v>0</v>
      </c>
      <c r="AJ293" s="52">
        <f>IF(AJ$2&lt;=AnalysisPeriod,IF(SUM($C625:AJ625)&gt;0,AI293+1,0),0)</f>
        <v>0</v>
      </c>
      <c r="AK293" s="52">
        <f>IF(AK$2&lt;=AnalysisPeriod,IF(SUM($C625:AK625)&gt;0,AJ293+1,0),0)</f>
        <v>0</v>
      </c>
      <c r="AL293" s="52">
        <f>IF(AL$2&lt;=AnalysisPeriod,IF(SUM($C625:AL625)&gt;0,AK293+1,0),0)</f>
        <v>0</v>
      </c>
      <c r="AM293" s="52">
        <f>IF(AM$2&lt;=AnalysisPeriod,IF(SUM($C625:AM625)&gt;0,AL293+1,0),0)</f>
        <v>0</v>
      </c>
      <c r="AN293" s="52">
        <f>IF(AN$2&lt;=AnalysisPeriod,IF(SUM($C625:AN625)&gt;0,AM293+1,0),0)</f>
        <v>0</v>
      </c>
      <c r="AO293" s="52">
        <f>IF(AO$2&lt;=AnalysisPeriod,IF(SUM($C625:AO625)&gt;0,AN293+1,0),0)</f>
        <v>0</v>
      </c>
      <c r="AP293" s="52">
        <f>IF(AP$2&lt;=AnalysisPeriod,IF(SUM($C625:AP625)&gt;0,AO293+1,0),0)</f>
        <v>0</v>
      </c>
    </row>
    <row r="294" spans="1:42" x14ac:dyDescent="0.2">
      <c r="A294" s="35">
        <f>A293+1</f>
        <v>9</v>
      </c>
      <c r="C294" s="52">
        <f>IF(C$2&lt;=AnalysisPeriod,IF(SUM($C626:C626)&gt;0,B294+1,0),0)</f>
        <v>0</v>
      </c>
      <c r="D294" s="52">
        <f>IF(D$2&lt;=AnalysisPeriod,IF(SUM($C626:D626)&gt;0,C294+1,0),0)</f>
        <v>0</v>
      </c>
      <c r="E294" s="52">
        <f>IF(E$2&lt;=AnalysisPeriod,IF(SUM($C626:E626)&gt;0,D294+1,0),0)</f>
        <v>0</v>
      </c>
      <c r="F294" s="52">
        <f>IF(F$2&lt;=AnalysisPeriod,IF(SUM($C626:F626)&gt;0,E294+1,0),0)</f>
        <v>0</v>
      </c>
      <c r="G294" s="52">
        <f>IF(G$2&lt;=AnalysisPeriod,IF(SUM($C626:G626)&gt;0,F294+1,0),0)</f>
        <v>0</v>
      </c>
      <c r="H294" s="52">
        <f>IF(H$2&lt;=AnalysisPeriod,IF(SUM($C626:H626)&gt;0,G294+1,0),0)</f>
        <v>0</v>
      </c>
      <c r="I294" s="52">
        <f>IF(I$2&lt;=AnalysisPeriod,IF(SUM($C626:I626)&gt;0,H294+1,0),0)</f>
        <v>0</v>
      </c>
      <c r="J294" s="52">
        <f>IF(J$2&lt;=AnalysisPeriod,IF(SUM($C626:J626)&gt;0,I294+1,0),0)</f>
        <v>0</v>
      </c>
      <c r="K294" s="52">
        <f>IF(K$2&lt;=AnalysisPeriod,IF(SUM($C626:K626)&gt;0,J294+1,0),0)</f>
        <v>0</v>
      </c>
      <c r="L294" s="52">
        <f>IF(L$2&lt;=AnalysisPeriod,IF(SUM($C626:L626)&gt;0,K294+1,0),0)</f>
        <v>0</v>
      </c>
      <c r="M294" s="52">
        <f>IF(M$2&lt;=AnalysisPeriod,IF(SUM($C626:M626)&gt;0,L294+1,0),0)</f>
        <v>0</v>
      </c>
      <c r="N294" s="52">
        <f>IF(N$2&lt;=AnalysisPeriod,IF(SUM($C626:N626)&gt;0,M294+1,0),0)</f>
        <v>0</v>
      </c>
      <c r="O294" s="52">
        <f>IF(O$2&lt;=AnalysisPeriod,IF(SUM($C626:O626)&gt;0,N294+1,0),0)</f>
        <v>0</v>
      </c>
      <c r="P294" s="52">
        <f>IF(P$2&lt;=AnalysisPeriod,IF(SUM($C626:P626)&gt;0,O294+1,0),0)</f>
        <v>0</v>
      </c>
      <c r="Q294" s="52">
        <f>IF(Q$2&lt;=AnalysisPeriod,IF(SUM($C626:Q626)&gt;0,P294+1,0),0)</f>
        <v>0</v>
      </c>
      <c r="R294" s="52">
        <f>IF(R$2&lt;=AnalysisPeriod,IF(SUM($C626:R626)&gt;0,Q294+1,0),0)</f>
        <v>0</v>
      </c>
      <c r="S294" s="52">
        <f>IF(S$2&lt;=AnalysisPeriod,IF(SUM($C626:S626)&gt;0,R294+1,0),0)</f>
        <v>0</v>
      </c>
      <c r="T294" s="52">
        <f>IF(T$2&lt;=AnalysisPeriod,IF(SUM($C626:T626)&gt;0,S294+1,0),0)</f>
        <v>0</v>
      </c>
      <c r="U294" s="52">
        <f>IF(U$2&lt;=AnalysisPeriod,IF(SUM($C626:U626)&gt;0,T294+1,0),0)</f>
        <v>0</v>
      </c>
      <c r="V294" s="52">
        <f>IF(V$2&lt;=AnalysisPeriod,IF(SUM($C626:V626)&gt;0,U294+1,0),0)</f>
        <v>0</v>
      </c>
      <c r="W294" s="52">
        <f>IF(W$2&lt;=AnalysisPeriod,IF(SUM($C626:W626)&gt;0,V294+1,0),0)</f>
        <v>0</v>
      </c>
      <c r="X294" s="52">
        <f>IF(X$2&lt;=AnalysisPeriod,IF(SUM($C626:X626)&gt;0,W294+1,0),0)</f>
        <v>0</v>
      </c>
      <c r="Y294" s="52">
        <f>IF(Y$2&lt;=AnalysisPeriod,IF(SUM($C626:Y626)&gt;0,X294+1,0),0)</f>
        <v>0</v>
      </c>
      <c r="Z294" s="52">
        <f>IF(Z$2&lt;=AnalysisPeriod,IF(SUM($C626:Z626)&gt;0,Y294+1,0),0)</f>
        <v>0</v>
      </c>
      <c r="AA294" s="52">
        <f>IF(AA$2&lt;=AnalysisPeriod,IF(SUM($C626:AA626)&gt;0,Z294+1,0),0)</f>
        <v>0</v>
      </c>
      <c r="AB294" s="52">
        <f>IF(AB$2&lt;=AnalysisPeriod,IF(SUM($C626:AB626)&gt;0,AA294+1,0),0)</f>
        <v>0</v>
      </c>
      <c r="AC294" s="52">
        <f>IF(AC$2&lt;=AnalysisPeriod,IF(SUM($C626:AC626)&gt;0,AB294+1,0),0)</f>
        <v>0</v>
      </c>
      <c r="AD294" s="52">
        <f>IF(AD$2&lt;=AnalysisPeriod,IF(SUM($C626:AD626)&gt;0,AC294+1,0),0)</f>
        <v>0</v>
      </c>
      <c r="AE294" s="52">
        <f>IF(AE$2&lt;=AnalysisPeriod,IF(SUM($C626:AE626)&gt;0,AD294+1,0),0)</f>
        <v>0</v>
      </c>
      <c r="AF294" s="52">
        <f>IF(AF$2&lt;=AnalysisPeriod,IF(SUM($C626:AF626)&gt;0,AE294+1,0),0)</f>
        <v>0</v>
      </c>
      <c r="AG294" s="52">
        <f>IF(AG$2&lt;=AnalysisPeriod,IF(SUM($C626:AG626)&gt;0,AF294+1,0),0)</f>
        <v>0</v>
      </c>
      <c r="AH294" s="52">
        <f>IF(AH$2&lt;=AnalysisPeriod,IF(SUM($C626:AH626)&gt;0,AG294+1,0),0)</f>
        <v>0</v>
      </c>
      <c r="AI294" s="52">
        <f>IF(AI$2&lt;=AnalysisPeriod,IF(SUM($C626:AI626)&gt;0,AH294+1,0),0)</f>
        <v>0</v>
      </c>
      <c r="AJ294" s="52">
        <f>IF(AJ$2&lt;=AnalysisPeriod,IF(SUM($C626:AJ626)&gt;0,AI294+1,0),0)</f>
        <v>0</v>
      </c>
      <c r="AK294" s="52">
        <f>IF(AK$2&lt;=AnalysisPeriod,IF(SUM($C626:AK626)&gt;0,AJ294+1,0),0)</f>
        <v>0</v>
      </c>
      <c r="AL294" s="52">
        <f>IF(AL$2&lt;=AnalysisPeriod,IF(SUM($C626:AL626)&gt;0,AK294+1,0),0)</f>
        <v>0</v>
      </c>
      <c r="AM294" s="52">
        <f>IF(AM$2&lt;=AnalysisPeriod,IF(SUM($C626:AM626)&gt;0,AL294+1,0),0)</f>
        <v>0</v>
      </c>
      <c r="AN294" s="52">
        <f>IF(AN$2&lt;=AnalysisPeriod,IF(SUM($C626:AN626)&gt;0,AM294+1,0),0)</f>
        <v>0</v>
      </c>
      <c r="AO294" s="52">
        <f>IF(AO$2&lt;=AnalysisPeriod,IF(SUM($C626:AO626)&gt;0,AN294+1,0),0)</f>
        <v>0</v>
      </c>
      <c r="AP294" s="52">
        <f>IF(AP$2&lt;=AnalysisPeriod,IF(SUM($C626:AP626)&gt;0,AO294+1,0),0)</f>
        <v>0</v>
      </c>
    </row>
    <row r="295" spans="1:42" x14ac:dyDescent="0.2">
      <c r="A295" s="35">
        <f t="shared" si="137"/>
        <v>10</v>
      </c>
      <c r="C295" s="52">
        <f>IF(C$2&lt;=AnalysisPeriod,IF(SUM($C627:C627)&gt;0,B295+1,0),0)</f>
        <v>0</v>
      </c>
      <c r="D295" s="52">
        <f>IF(D$2&lt;=AnalysisPeriod,IF(SUM($C627:D627)&gt;0,C295+1,0),0)</f>
        <v>0</v>
      </c>
      <c r="E295" s="52">
        <f>IF(E$2&lt;=AnalysisPeriod,IF(SUM($C627:E627)&gt;0,D295+1,0),0)</f>
        <v>0</v>
      </c>
      <c r="F295" s="52">
        <f>IF(F$2&lt;=AnalysisPeriod,IF(SUM($C627:F627)&gt;0,E295+1,0),0)</f>
        <v>0</v>
      </c>
      <c r="G295" s="52">
        <f>IF(G$2&lt;=AnalysisPeriod,IF(SUM($C627:G627)&gt;0,F295+1,0),0)</f>
        <v>0</v>
      </c>
      <c r="H295" s="52">
        <f>IF(H$2&lt;=AnalysisPeriod,IF(SUM($C627:H627)&gt;0,G295+1,0),0)</f>
        <v>0</v>
      </c>
      <c r="I295" s="52">
        <f>IF(I$2&lt;=AnalysisPeriod,IF(SUM($C627:I627)&gt;0,H295+1,0),0)</f>
        <v>0</v>
      </c>
      <c r="J295" s="52">
        <f>IF(J$2&lt;=AnalysisPeriod,IF(SUM($C627:J627)&gt;0,I295+1,0),0)</f>
        <v>0</v>
      </c>
      <c r="K295" s="52">
        <f>IF(K$2&lt;=AnalysisPeriod,IF(SUM($C627:K627)&gt;0,J295+1,0),0)</f>
        <v>0</v>
      </c>
      <c r="L295" s="52">
        <f>IF(L$2&lt;=AnalysisPeriod,IF(SUM($C627:L627)&gt;0,K295+1,0),0)</f>
        <v>0</v>
      </c>
      <c r="M295" s="52">
        <f>IF(M$2&lt;=AnalysisPeriod,IF(SUM($C627:M627)&gt;0,L295+1,0),0)</f>
        <v>0</v>
      </c>
      <c r="N295" s="52">
        <f>IF(N$2&lt;=AnalysisPeriod,IF(SUM($C627:N627)&gt;0,M295+1,0),0)</f>
        <v>0</v>
      </c>
      <c r="O295" s="52">
        <f>IF(O$2&lt;=AnalysisPeriod,IF(SUM($C627:O627)&gt;0,N295+1,0),0)</f>
        <v>0</v>
      </c>
      <c r="P295" s="52">
        <f>IF(P$2&lt;=AnalysisPeriod,IF(SUM($C627:P627)&gt;0,O295+1,0),0)</f>
        <v>0</v>
      </c>
      <c r="Q295" s="52">
        <f>IF(Q$2&lt;=AnalysisPeriod,IF(SUM($C627:Q627)&gt;0,P295+1,0),0)</f>
        <v>0</v>
      </c>
      <c r="R295" s="52">
        <f>IF(R$2&lt;=AnalysisPeriod,IF(SUM($C627:R627)&gt;0,Q295+1,0),0)</f>
        <v>0</v>
      </c>
      <c r="S295" s="52">
        <f>IF(S$2&lt;=AnalysisPeriod,IF(SUM($C627:S627)&gt;0,R295+1,0),0)</f>
        <v>0</v>
      </c>
      <c r="T295" s="52">
        <f>IF(T$2&lt;=AnalysisPeriod,IF(SUM($C627:T627)&gt;0,S295+1,0),0)</f>
        <v>0</v>
      </c>
      <c r="U295" s="52">
        <f>IF(U$2&lt;=AnalysisPeriod,IF(SUM($C627:U627)&gt;0,T295+1,0),0)</f>
        <v>0</v>
      </c>
      <c r="V295" s="52">
        <f>IF(V$2&lt;=AnalysisPeriod,IF(SUM($C627:V627)&gt;0,U295+1,0),0)</f>
        <v>0</v>
      </c>
      <c r="W295" s="52">
        <f>IF(W$2&lt;=AnalysisPeriod,IF(SUM($C627:W627)&gt;0,V295+1,0),0)</f>
        <v>0</v>
      </c>
      <c r="X295" s="52">
        <f>IF(X$2&lt;=AnalysisPeriod,IF(SUM($C627:X627)&gt;0,W295+1,0),0)</f>
        <v>0</v>
      </c>
      <c r="Y295" s="52">
        <f>IF(Y$2&lt;=AnalysisPeriod,IF(SUM($C627:Y627)&gt;0,X295+1,0),0)</f>
        <v>0</v>
      </c>
      <c r="Z295" s="52">
        <f>IF(Z$2&lt;=AnalysisPeriod,IF(SUM($C627:Z627)&gt;0,Y295+1,0),0)</f>
        <v>0</v>
      </c>
      <c r="AA295" s="52">
        <f>IF(AA$2&lt;=AnalysisPeriod,IF(SUM($C627:AA627)&gt;0,Z295+1,0),0)</f>
        <v>0</v>
      </c>
      <c r="AB295" s="52">
        <f>IF(AB$2&lt;=AnalysisPeriod,IF(SUM($C627:AB627)&gt;0,AA295+1,0),0)</f>
        <v>0</v>
      </c>
      <c r="AC295" s="52">
        <f>IF(AC$2&lt;=AnalysisPeriod,IF(SUM($C627:AC627)&gt;0,AB295+1,0),0)</f>
        <v>0</v>
      </c>
      <c r="AD295" s="52">
        <f>IF(AD$2&lt;=AnalysisPeriod,IF(SUM($C627:AD627)&gt;0,AC295+1,0),0)</f>
        <v>0</v>
      </c>
      <c r="AE295" s="52">
        <f>IF(AE$2&lt;=AnalysisPeriod,IF(SUM($C627:AE627)&gt;0,AD295+1,0),0)</f>
        <v>0</v>
      </c>
      <c r="AF295" s="52">
        <f>IF(AF$2&lt;=AnalysisPeriod,IF(SUM($C627:AF627)&gt;0,AE295+1,0),0)</f>
        <v>0</v>
      </c>
      <c r="AG295" s="52">
        <f>IF(AG$2&lt;=AnalysisPeriod,IF(SUM($C627:AG627)&gt;0,AF295+1,0),0)</f>
        <v>0</v>
      </c>
      <c r="AH295" s="52">
        <f>IF(AH$2&lt;=AnalysisPeriod,IF(SUM($C627:AH627)&gt;0,AG295+1,0),0)</f>
        <v>0</v>
      </c>
      <c r="AI295" s="52">
        <f>IF(AI$2&lt;=AnalysisPeriod,IF(SUM($C627:AI627)&gt;0,AH295+1,0),0)</f>
        <v>0</v>
      </c>
      <c r="AJ295" s="52">
        <f>IF(AJ$2&lt;=AnalysisPeriod,IF(SUM($C627:AJ627)&gt;0,AI295+1,0),0)</f>
        <v>0</v>
      </c>
      <c r="AK295" s="52">
        <f>IF(AK$2&lt;=AnalysisPeriod,IF(SUM($C627:AK627)&gt;0,AJ295+1,0),0)</f>
        <v>0</v>
      </c>
      <c r="AL295" s="52">
        <f>IF(AL$2&lt;=AnalysisPeriod,IF(SUM($C627:AL627)&gt;0,AK295+1,0),0)</f>
        <v>0</v>
      </c>
      <c r="AM295" s="52">
        <f>IF(AM$2&lt;=AnalysisPeriod,IF(SUM($C627:AM627)&gt;0,AL295+1,0),0)</f>
        <v>0</v>
      </c>
      <c r="AN295" s="52">
        <f>IF(AN$2&lt;=AnalysisPeriod,IF(SUM($C627:AN627)&gt;0,AM295+1,0),0)</f>
        <v>0</v>
      </c>
      <c r="AO295" s="52">
        <f>IF(AO$2&lt;=AnalysisPeriod,IF(SUM($C627:AO627)&gt;0,AN295+1,0),0)</f>
        <v>0</v>
      </c>
      <c r="AP295" s="52">
        <f>IF(AP$2&lt;=AnalysisPeriod,IF(SUM($C627:AP627)&gt;0,AO295+1,0),0)</f>
        <v>0</v>
      </c>
    </row>
    <row r="296" spans="1:42" x14ac:dyDescent="0.2">
      <c r="A296" s="65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52"/>
      <c r="AE296" s="52"/>
      <c r="AF296" s="52"/>
      <c r="AG296" s="52"/>
      <c r="AH296" s="52"/>
      <c r="AI296" s="52"/>
      <c r="AJ296" s="52"/>
      <c r="AK296" s="52"/>
      <c r="AL296" s="52"/>
      <c r="AM296" s="52"/>
      <c r="AN296" s="52"/>
      <c r="AO296" s="52"/>
      <c r="AP296" s="52"/>
    </row>
    <row r="297" spans="1:42" x14ac:dyDescent="0.2">
      <c r="A297" s="65" t="s">
        <v>129</v>
      </c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52"/>
      <c r="AE297" s="52"/>
      <c r="AF297" s="52"/>
      <c r="AG297" s="52"/>
      <c r="AH297" s="52"/>
      <c r="AI297" s="52"/>
      <c r="AJ297" s="52"/>
      <c r="AK297" s="52"/>
      <c r="AL297" s="52"/>
      <c r="AM297" s="52"/>
      <c r="AN297" s="52"/>
      <c r="AO297" s="52"/>
      <c r="AP297" s="52"/>
    </row>
    <row r="298" spans="1:42" x14ac:dyDescent="0.2">
      <c r="A298" s="35">
        <v>1</v>
      </c>
      <c r="B298" s="58">
        <f t="shared" ref="B298:B307" si="138">SUM(C298:AP298)</f>
        <v>0</v>
      </c>
      <c r="C298" s="86">
        <f t="shared" ref="C298:AP298" si="139">LOOKUP(C286,$B$256:$AP$256,$B$257:$AP$257)*$B618</f>
        <v>0</v>
      </c>
      <c r="D298" s="52">
        <f t="shared" si="139"/>
        <v>0</v>
      </c>
      <c r="E298" s="52">
        <f t="shared" si="139"/>
        <v>0</v>
      </c>
      <c r="F298" s="52">
        <f t="shared" si="139"/>
        <v>0</v>
      </c>
      <c r="G298" s="52">
        <f t="shared" si="139"/>
        <v>0</v>
      </c>
      <c r="H298" s="52">
        <f t="shared" si="139"/>
        <v>0</v>
      </c>
      <c r="I298" s="52">
        <f t="shared" si="139"/>
        <v>0</v>
      </c>
      <c r="J298" s="52">
        <f t="shared" si="139"/>
        <v>0</v>
      </c>
      <c r="K298" s="52">
        <f t="shared" si="139"/>
        <v>0</v>
      </c>
      <c r="L298" s="52">
        <f t="shared" si="139"/>
        <v>0</v>
      </c>
      <c r="M298" s="52">
        <f t="shared" si="139"/>
        <v>0</v>
      </c>
      <c r="N298" s="52">
        <f t="shared" si="139"/>
        <v>0</v>
      </c>
      <c r="O298" s="52">
        <f t="shared" si="139"/>
        <v>0</v>
      </c>
      <c r="P298" s="52">
        <f t="shared" si="139"/>
        <v>0</v>
      </c>
      <c r="Q298" s="52">
        <f t="shared" si="139"/>
        <v>0</v>
      </c>
      <c r="R298" s="52">
        <f t="shared" si="139"/>
        <v>0</v>
      </c>
      <c r="S298" s="52">
        <f t="shared" si="139"/>
        <v>0</v>
      </c>
      <c r="T298" s="52">
        <f t="shared" si="139"/>
        <v>0</v>
      </c>
      <c r="U298" s="52">
        <f t="shared" si="139"/>
        <v>0</v>
      </c>
      <c r="V298" s="52">
        <f t="shared" si="139"/>
        <v>0</v>
      </c>
      <c r="W298" s="52">
        <f t="shared" si="139"/>
        <v>0</v>
      </c>
      <c r="X298" s="52">
        <f t="shared" si="139"/>
        <v>0</v>
      </c>
      <c r="Y298" s="52">
        <f t="shared" si="139"/>
        <v>0</v>
      </c>
      <c r="Z298" s="52">
        <f t="shared" si="139"/>
        <v>0</v>
      </c>
      <c r="AA298" s="52">
        <f t="shared" si="139"/>
        <v>0</v>
      </c>
      <c r="AB298" s="52">
        <f t="shared" si="139"/>
        <v>0</v>
      </c>
      <c r="AC298" s="52">
        <f t="shared" si="139"/>
        <v>0</v>
      </c>
      <c r="AD298" s="52">
        <f t="shared" si="139"/>
        <v>0</v>
      </c>
      <c r="AE298" s="52">
        <f t="shared" si="139"/>
        <v>0</v>
      </c>
      <c r="AF298" s="52">
        <f t="shared" si="139"/>
        <v>0</v>
      </c>
      <c r="AG298" s="52">
        <f t="shared" si="139"/>
        <v>0</v>
      </c>
      <c r="AH298" s="52">
        <f t="shared" si="139"/>
        <v>0</v>
      </c>
      <c r="AI298" s="52">
        <f t="shared" si="139"/>
        <v>0</v>
      </c>
      <c r="AJ298" s="52">
        <f t="shared" si="139"/>
        <v>0</v>
      </c>
      <c r="AK298" s="52">
        <f t="shared" si="139"/>
        <v>0</v>
      </c>
      <c r="AL298" s="52">
        <f t="shared" si="139"/>
        <v>0</v>
      </c>
      <c r="AM298" s="52">
        <f t="shared" si="139"/>
        <v>0</v>
      </c>
      <c r="AN298" s="52">
        <f t="shared" si="139"/>
        <v>0</v>
      </c>
      <c r="AO298" s="52">
        <f t="shared" si="139"/>
        <v>0</v>
      </c>
      <c r="AP298" s="52">
        <f t="shared" si="139"/>
        <v>0</v>
      </c>
    </row>
    <row r="299" spans="1:42" x14ac:dyDescent="0.2">
      <c r="A299" s="35">
        <f>A298+1</f>
        <v>2</v>
      </c>
      <c r="B299" s="58">
        <f t="shared" si="138"/>
        <v>0</v>
      </c>
      <c r="C299" s="86">
        <f t="shared" ref="C299:AP299" si="140">LOOKUP(C287,$B$256:$AP$256,$B$257:$AP$257)*$B619</f>
        <v>0</v>
      </c>
      <c r="D299" s="52">
        <f t="shared" si="140"/>
        <v>0</v>
      </c>
      <c r="E299" s="52">
        <f t="shared" si="140"/>
        <v>0</v>
      </c>
      <c r="F299" s="52">
        <f t="shared" si="140"/>
        <v>0</v>
      </c>
      <c r="G299" s="52">
        <f t="shared" si="140"/>
        <v>0</v>
      </c>
      <c r="H299" s="52">
        <f t="shared" si="140"/>
        <v>0</v>
      </c>
      <c r="I299" s="52">
        <f t="shared" si="140"/>
        <v>0</v>
      </c>
      <c r="J299" s="52">
        <f t="shared" si="140"/>
        <v>0</v>
      </c>
      <c r="K299" s="52">
        <f t="shared" si="140"/>
        <v>0</v>
      </c>
      <c r="L299" s="52">
        <f t="shared" si="140"/>
        <v>0</v>
      </c>
      <c r="M299" s="52">
        <f t="shared" si="140"/>
        <v>0</v>
      </c>
      <c r="N299" s="52">
        <f t="shared" si="140"/>
        <v>0</v>
      </c>
      <c r="O299" s="52">
        <f t="shared" si="140"/>
        <v>0</v>
      </c>
      <c r="P299" s="52">
        <f t="shared" si="140"/>
        <v>0</v>
      </c>
      <c r="Q299" s="52">
        <f t="shared" si="140"/>
        <v>0</v>
      </c>
      <c r="R299" s="52">
        <f t="shared" si="140"/>
        <v>0</v>
      </c>
      <c r="S299" s="52">
        <f t="shared" si="140"/>
        <v>0</v>
      </c>
      <c r="T299" s="52">
        <f t="shared" si="140"/>
        <v>0</v>
      </c>
      <c r="U299" s="52">
        <f t="shared" si="140"/>
        <v>0</v>
      </c>
      <c r="V299" s="52">
        <f t="shared" si="140"/>
        <v>0</v>
      </c>
      <c r="W299" s="52">
        <f t="shared" si="140"/>
        <v>0</v>
      </c>
      <c r="X299" s="52">
        <f t="shared" si="140"/>
        <v>0</v>
      </c>
      <c r="Y299" s="52">
        <f t="shared" si="140"/>
        <v>0</v>
      </c>
      <c r="Z299" s="52">
        <f t="shared" si="140"/>
        <v>0</v>
      </c>
      <c r="AA299" s="52">
        <f t="shared" si="140"/>
        <v>0</v>
      </c>
      <c r="AB299" s="52">
        <f t="shared" si="140"/>
        <v>0</v>
      </c>
      <c r="AC299" s="52">
        <f t="shared" si="140"/>
        <v>0</v>
      </c>
      <c r="AD299" s="52">
        <f t="shared" si="140"/>
        <v>0</v>
      </c>
      <c r="AE299" s="52">
        <f t="shared" si="140"/>
        <v>0</v>
      </c>
      <c r="AF299" s="52">
        <f t="shared" si="140"/>
        <v>0</v>
      </c>
      <c r="AG299" s="52">
        <f t="shared" si="140"/>
        <v>0</v>
      </c>
      <c r="AH299" s="52">
        <f t="shared" si="140"/>
        <v>0</v>
      </c>
      <c r="AI299" s="52">
        <f t="shared" si="140"/>
        <v>0</v>
      </c>
      <c r="AJ299" s="52">
        <f t="shared" si="140"/>
        <v>0</v>
      </c>
      <c r="AK299" s="52">
        <f t="shared" si="140"/>
        <v>0</v>
      </c>
      <c r="AL299" s="52">
        <f t="shared" si="140"/>
        <v>0</v>
      </c>
      <c r="AM299" s="52">
        <f t="shared" si="140"/>
        <v>0</v>
      </c>
      <c r="AN299" s="52">
        <f t="shared" si="140"/>
        <v>0</v>
      </c>
      <c r="AO299" s="52">
        <f t="shared" si="140"/>
        <v>0</v>
      </c>
      <c r="AP299" s="52">
        <f t="shared" si="140"/>
        <v>0</v>
      </c>
    </row>
    <row r="300" spans="1:42" x14ac:dyDescent="0.2">
      <c r="A300" s="35">
        <f t="shared" ref="A300:A307" si="141">A299+1</f>
        <v>3</v>
      </c>
      <c r="B300" s="58">
        <f t="shared" si="138"/>
        <v>0</v>
      </c>
      <c r="C300" s="86">
        <f t="shared" ref="C300:AP300" si="142">LOOKUP(C288,$B$256:$AP$256,$B$257:$AP$257)*$B620</f>
        <v>0</v>
      </c>
      <c r="D300" s="52">
        <f t="shared" si="142"/>
        <v>0</v>
      </c>
      <c r="E300" s="52">
        <f t="shared" si="142"/>
        <v>0</v>
      </c>
      <c r="F300" s="52">
        <f t="shared" si="142"/>
        <v>0</v>
      </c>
      <c r="G300" s="52">
        <f t="shared" si="142"/>
        <v>0</v>
      </c>
      <c r="H300" s="52">
        <f t="shared" si="142"/>
        <v>0</v>
      </c>
      <c r="I300" s="52">
        <f t="shared" si="142"/>
        <v>0</v>
      </c>
      <c r="J300" s="52">
        <f t="shared" si="142"/>
        <v>0</v>
      </c>
      <c r="K300" s="52">
        <f t="shared" si="142"/>
        <v>0</v>
      </c>
      <c r="L300" s="52">
        <f t="shared" si="142"/>
        <v>0</v>
      </c>
      <c r="M300" s="52">
        <f t="shared" si="142"/>
        <v>0</v>
      </c>
      <c r="N300" s="52">
        <f t="shared" si="142"/>
        <v>0</v>
      </c>
      <c r="O300" s="52">
        <f t="shared" si="142"/>
        <v>0</v>
      </c>
      <c r="P300" s="52">
        <f t="shared" si="142"/>
        <v>0</v>
      </c>
      <c r="Q300" s="52">
        <f t="shared" si="142"/>
        <v>0</v>
      </c>
      <c r="R300" s="52">
        <f t="shared" si="142"/>
        <v>0</v>
      </c>
      <c r="S300" s="52">
        <f t="shared" si="142"/>
        <v>0</v>
      </c>
      <c r="T300" s="52">
        <f t="shared" si="142"/>
        <v>0</v>
      </c>
      <c r="U300" s="52">
        <f t="shared" si="142"/>
        <v>0</v>
      </c>
      <c r="V300" s="52">
        <f t="shared" si="142"/>
        <v>0</v>
      </c>
      <c r="W300" s="52">
        <f t="shared" si="142"/>
        <v>0</v>
      </c>
      <c r="X300" s="52">
        <f t="shared" si="142"/>
        <v>0</v>
      </c>
      <c r="Y300" s="52">
        <f t="shared" si="142"/>
        <v>0</v>
      </c>
      <c r="Z300" s="52">
        <f t="shared" si="142"/>
        <v>0</v>
      </c>
      <c r="AA300" s="52">
        <f t="shared" si="142"/>
        <v>0</v>
      </c>
      <c r="AB300" s="52">
        <f t="shared" si="142"/>
        <v>0</v>
      </c>
      <c r="AC300" s="52">
        <f t="shared" si="142"/>
        <v>0</v>
      </c>
      <c r="AD300" s="52">
        <f t="shared" si="142"/>
        <v>0</v>
      </c>
      <c r="AE300" s="52">
        <f t="shared" si="142"/>
        <v>0</v>
      </c>
      <c r="AF300" s="52">
        <f t="shared" si="142"/>
        <v>0</v>
      </c>
      <c r="AG300" s="52">
        <f t="shared" si="142"/>
        <v>0</v>
      </c>
      <c r="AH300" s="52">
        <f t="shared" si="142"/>
        <v>0</v>
      </c>
      <c r="AI300" s="52">
        <f t="shared" si="142"/>
        <v>0</v>
      </c>
      <c r="AJ300" s="52">
        <f t="shared" si="142"/>
        <v>0</v>
      </c>
      <c r="AK300" s="52">
        <f t="shared" si="142"/>
        <v>0</v>
      </c>
      <c r="AL300" s="52">
        <f t="shared" si="142"/>
        <v>0</v>
      </c>
      <c r="AM300" s="52">
        <f t="shared" si="142"/>
        <v>0</v>
      </c>
      <c r="AN300" s="52">
        <f t="shared" si="142"/>
        <v>0</v>
      </c>
      <c r="AO300" s="52">
        <f t="shared" si="142"/>
        <v>0</v>
      </c>
      <c r="AP300" s="52">
        <f t="shared" si="142"/>
        <v>0</v>
      </c>
    </row>
    <row r="301" spans="1:42" x14ac:dyDescent="0.2">
      <c r="A301" s="35">
        <f t="shared" si="141"/>
        <v>4</v>
      </c>
      <c r="B301" s="58">
        <f t="shared" si="138"/>
        <v>0</v>
      </c>
      <c r="C301" s="86">
        <f t="shared" ref="C301:AP301" si="143">LOOKUP(C289,$B$256:$AP$256,$B$257:$AP$257)*$B621</f>
        <v>0</v>
      </c>
      <c r="D301" s="52">
        <f t="shared" si="143"/>
        <v>0</v>
      </c>
      <c r="E301" s="52">
        <f t="shared" si="143"/>
        <v>0</v>
      </c>
      <c r="F301" s="52">
        <f t="shared" si="143"/>
        <v>0</v>
      </c>
      <c r="G301" s="52">
        <f t="shared" si="143"/>
        <v>0</v>
      </c>
      <c r="H301" s="52">
        <f t="shared" si="143"/>
        <v>0</v>
      </c>
      <c r="I301" s="52">
        <f t="shared" si="143"/>
        <v>0</v>
      </c>
      <c r="J301" s="52">
        <f t="shared" si="143"/>
        <v>0</v>
      </c>
      <c r="K301" s="52">
        <f t="shared" si="143"/>
        <v>0</v>
      </c>
      <c r="L301" s="52">
        <f t="shared" si="143"/>
        <v>0</v>
      </c>
      <c r="M301" s="52">
        <f t="shared" si="143"/>
        <v>0</v>
      </c>
      <c r="N301" s="52">
        <f t="shared" si="143"/>
        <v>0</v>
      </c>
      <c r="O301" s="52">
        <f t="shared" si="143"/>
        <v>0</v>
      </c>
      <c r="P301" s="52">
        <f t="shared" si="143"/>
        <v>0</v>
      </c>
      <c r="Q301" s="52">
        <f t="shared" si="143"/>
        <v>0</v>
      </c>
      <c r="R301" s="52">
        <f t="shared" si="143"/>
        <v>0</v>
      </c>
      <c r="S301" s="52">
        <f t="shared" si="143"/>
        <v>0</v>
      </c>
      <c r="T301" s="52">
        <f t="shared" si="143"/>
        <v>0</v>
      </c>
      <c r="U301" s="52">
        <f t="shared" si="143"/>
        <v>0</v>
      </c>
      <c r="V301" s="52">
        <f t="shared" si="143"/>
        <v>0</v>
      </c>
      <c r="W301" s="52">
        <f t="shared" si="143"/>
        <v>0</v>
      </c>
      <c r="X301" s="52">
        <f t="shared" si="143"/>
        <v>0</v>
      </c>
      <c r="Y301" s="52">
        <f t="shared" si="143"/>
        <v>0</v>
      </c>
      <c r="Z301" s="52">
        <f t="shared" si="143"/>
        <v>0</v>
      </c>
      <c r="AA301" s="52">
        <f t="shared" si="143"/>
        <v>0</v>
      </c>
      <c r="AB301" s="52">
        <f t="shared" si="143"/>
        <v>0</v>
      </c>
      <c r="AC301" s="52">
        <f t="shared" si="143"/>
        <v>0</v>
      </c>
      <c r="AD301" s="52">
        <f t="shared" si="143"/>
        <v>0</v>
      </c>
      <c r="AE301" s="52">
        <f t="shared" si="143"/>
        <v>0</v>
      </c>
      <c r="AF301" s="52">
        <f t="shared" si="143"/>
        <v>0</v>
      </c>
      <c r="AG301" s="52">
        <f t="shared" si="143"/>
        <v>0</v>
      </c>
      <c r="AH301" s="52">
        <f t="shared" si="143"/>
        <v>0</v>
      </c>
      <c r="AI301" s="52">
        <f t="shared" si="143"/>
        <v>0</v>
      </c>
      <c r="AJ301" s="52">
        <f t="shared" si="143"/>
        <v>0</v>
      </c>
      <c r="AK301" s="52">
        <f t="shared" si="143"/>
        <v>0</v>
      </c>
      <c r="AL301" s="52">
        <f t="shared" si="143"/>
        <v>0</v>
      </c>
      <c r="AM301" s="52">
        <f t="shared" si="143"/>
        <v>0</v>
      </c>
      <c r="AN301" s="52">
        <f t="shared" si="143"/>
        <v>0</v>
      </c>
      <c r="AO301" s="52">
        <f t="shared" si="143"/>
        <v>0</v>
      </c>
      <c r="AP301" s="52">
        <f t="shared" si="143"/>
        <v>0</v>
      </c>
    </row>
    <row r="302" spans="1:42" x14ac:dyDescent="0.2">
      <c r="A302" s="35">
        <f t="shared" si="141"/>
        <v>5</v>
      </c>
      <c r="B302" s="58">
        <f t="shared" si="138"/>
        <v>0</v>
      </c>
      <c r="C302" s="86">
        <f t="shared" ref="C302:AP302" si="144">LOOKUP(C290,$B$256:$AP$256,$B$257:$AP$257)*$B622</f>
        <v>0</v>
      </c>
      <c r="D302" s="52">
        <f t="shared" si="144"/>
        <v>0</v>
      </c>
      <c r="E302" s="52">
        <f t="shared" si="144"/>
        <v>0</v>
      </c>
      <c r="F302" s="52">
        <f t="shared" si="144"/>
        <v>0</v>
      </c>
      <c r="G302" s="52">
        <f t="shared" si="144"/>
        <v>0</v>
      </c>
      <c r="H302" s="52">
        <f t="shared" si="144"/>
        <v>0</v>
      </c>
      <c r="I302" s="52">
        <f t="shared" si="144"/>
        <v>0</v>
      </c>
      <c r="J302" s="52">
        <f t="shared" si="144"/>
        <v>0</v>
      </c>
      <c r="K302" s="52">
        <f t="shared" si="144"/>
        <v>0</v>
      </c>
      <c r="L302" s="52">
        <f t="shared" si="144"/>
        <v>0</v>
      </c>
      <c r="M302" s="52">
        <f t="shared" si="144"/>
        <v>0</v>
      </c>
      <c r="N302" s="52">
        <f t="shared" si="144"/>
        <v>0</v>
      </c>
      <c r="O302" s="52">
        <f t="shared" si="144"/>
        <v>0</v>
      </c>
      <c r="P302" s="52">
        <f t="shared" si="144"/>
        <v>0</v>
      </c>
      <c r="Q302" s="52">
        <f t="shared" si="144"/>
        <v>0</v>
      </c>
      <c r="R302" s="52">
        <f t="shared" si="144"/>
        <v>0</v>
      </c>
      <c r="S302" s="52">
        <f t="shared" si="144"/>
        <v>0</v>
      </c>
      <c r="T302" s="52">
        <f t="shared" si="144"/>
        <v>0</v>
      </c>
      <c r="U302" s="52">
        <f t="shared" si="144"/>
        <v>0</v>
      </c>
      <c r="V302" s="52">
        <f t="shared" si="144"/>
        <v>0</v>
      </c>
      <c r="W302" s="52">
        <f t="shared" si="144"/>
        <v>0</v>
      </c>
      <c r="X302" s="52">
        <f t="shared" si="144"/>
        <v>0</v>
      </c>
      <c r="Y302" s="52">
        <f t="shared" si="144"/>
        <v>0</v>
      </c>
      <c r="Z302" s="52">
        <f t="shared" si="144"/>
        <v>0</v>
      </c>
      <c r="AA302" s="52">
        <f t="shared" si="144"/>
        <v>0</v>
      </c>
      <c r="AB302" s="52">
        <f t="shared" si="144"/>
        <v>0</v>
      </c>
      <c r="AC302" s="52">
        <f t="shared" si="144"/>
        <v>0</v>
      </c>
      <c r="AD302" s="52">
        <f t="shared" si="144"/>
        <v>0</v>
      </c>
      <c r="AE302" s="52">
        <f t="shared" si="144"/>
        <v>0</v>
      </c>
      <c r="AF302" s="52">
        <f t="shared" si="144"/>
        <v>0</v>
      </c>
      <c r="AG302" s="52">
        <f t="shared" si="144"/>
        <v>0</v>
      </c>
      <c r="AH302" s="52">
        <f t="shared" si="144"/>
        <v>0</v>
      </c>
      <c r="AI302" s="52">
        <f t="shared" si="144"/>
        <v>0</v>
      </c>
      <c r="AJ302" s="52">
        <f t="shared" si="144"/>
        <v>0</v>
      </c>
      <c r="AK302" s="52">
        <f t="shared" si="144"/>
        <v>0</v>
      </c>
      <c r="AL302" s="52">
        <f t="shared" si="144"/>
        <v>0</v>
      </c>
      <c r="AM302" s="52">
        <f t="shared" si="144"/>
        <v>0</v>
      </c>
      <c r="AN302" s="52">
        <f t="shared" si="144"/>
        <v>0</v>
      </c>
      <c r="AO302" s="52">
        <f t="shared" si="144"/>
        <v>0</v>
      </c>
      <c r="AP302" s="52">
        <f t="shared" si="144"/>
        <v>0</v>
      </c>
    </row>
    <row r="303" spans="1:42" x14ac:dyDescent="0.2">
      <c r="A303" s="35">
        <f t="shared" si="141"/>
        <v>6</v>
      </c>
      <c r="B303" s="58">
        <f t="shared" si="138"/>
        <v>0</v>
      </c>
      <c r="C303" s="86">
        <f t="shared" ref="C303:AP303" si="145">LOOKUP(C291,$B$256:$AP$256,$B$257:$AP$257)*$B623</f>
        <v>0</v>
      </c>
      <c r="D303" s="52">
        <f t="shared" si="145"/>
        <v>0</v>
      </c>
      <c r="E303" s="52">
        <f t="shared" si="145"/>
        <v>0</v>
      </c>
      <c r="F303" s="52">
        <f t="shared" si="145"/>
        <v>0</v>
      </c>
      <c r="G303" s="52">
        <f t="shared" si="145"/>
        <v>0</v>
      </c>
      <c r="H303" s="52">
        <f t="shared" si="145"/>
        <v>0</v>
      </c>
      <c r="I303" s="52">
        <f t="shared" si="145"/>
        <v>0</v>
      </c>
      <c r="J303" s="52">
        <f t="shared" si="145"/>
        <v>0</v>
      </c>
      <c r="K303" s="52">
        <f t="shared" si="145"/>
        <v>0</v>
      </c>
      <c r="L303" s="52">
        <f t="shared" si="145"/>
        <v>0</v>
      </c>
      <c r="M303" s="52">
        <f t="shared" si="145"/>
        <v>0</v>
      </c>
      <c r="N303" s="52">
        <f t="shared" si="145"/>
        <v>0</v>
      </c>
      <c r="O303" s="52">
        <f t="shared" si="145"/>
        <v>0</v>
      </c>
      <c r="P303" s="52">
        <f t="shared" si="145"/>
        <v>0</v>
      </c>
      <c r="Q303" s="52">
        <f t="shared" si="145"/>
        <v>0</v>
      </c>
      <c r="R303" s="52">
        <f t="shared" si="145"/>
        <v>0</v>
      </c>
      <c r="S303" s="52">
        <f t="shared" si="145"/>
        <v>0</v>
      </c>
      <c r="T303" s="52">
        <f t="shared" si="145"/>
        <v>0</v>
      </c>
      <c r="U303" s="52">
        <f t="shared" si="145"/>
        <v>0</v>
      </c>
      <c r="V303" s="52">
        <f t="shared" si="145"/>
        <v>0</v>
      </c>
      <c r="W303" s="52">
        <f t="shared" si="145"/>
        <v>0</v>
      </c>
      <c r="X303" s="52">
        <f t="shared" si="145"/>
        <v>0</v>
      </c>
      <c r="Y303" s="52">
        <f t="shared" si="145"/>
        <v>0</v>
      </c>
      <c r="Z303" s="52">
        <f t="shared" si="145"/>
        <v>0</v>
      </c>
      <c r="AA303" s="52">
        <f t="shared" si="145"/>
        <v>0</v>
      </c>
      <c r="AB303" s="52">
        <f t="shared" si="145"/>
        <v>0</v>
      </c>
      <c r="AC303" s="52">
        <f t="shared" si="145"/>
        <v>0</v>
      </c>
      <c r="AD303" s="52">
        <f t="shared" si="145"/>
        <v>0</v>
      </c>
      <c r="AE303" s="52">
        <f t="shared" si="145"/>
        <v>0</v>
      </c>
      <c r="AF303" s="52">
        <f t="shared" si="145"/>
        <v>0</v>
      </c>
      <c r="AG303" s="52">
        <f t="shared" si="145"/>
        <v>0</v>
      </c>
      <c r="AH303" s="52">
        <f t="shared" si="145"/>
        <v>0</v>
      </c>
      <c r="AI303" s="52">
        <f t="shared" si="145"/>
        <v>0</v>
      </c>
      <c r="AJ303" s="52">
        <f t="shared" si="145"/>
        <v>0</v>
      </c>
      <c r="AK303" s="52">
        <f t="shared" si="145"/>
        <v>0</v>
      </c>
      <c r="AL303" s="52">
        <f t="shared" si="145"/>
        <v>0</v>
      </c>
      <c r="AM303" s="52">
        <f t="shared" si="145"/>
        <v>0</v>
      </c>
      <c r="AN303" s="52">
        <f t="shared" si="145"/>
        <v>0</v>
      </c>
      <c r="AO303" s="52">
        <f t="shared" si="145"/>
        <v>0</v>
      </c>
      <c r="AP303" s="52">
        <f t="shared" si="145"/>
        <v>0</v>
      </c>
    </row>
    <row r="304" spans="1:42" x14ac:dyDescent="0.2">
      <c r="A304" s="35">
        <f t="shared" si="141"/>
        <v>7</v>
      </c>
      <c r="B304" s="58">
        <f t="shared" si="138"/>
        <v>0</v>
      </c>
      <c r="C304" s="86">
        <f t="shared" ref="C304:AP304" si="146">LOOKUP(C292,$B$256:$AP$256,$B$257:$AP$257)*$B624</f>
        <v>0</v>
      </c>
      <c r="D304" s="52">
        <f t="shared" si="146"/>
        <v>0</v>
      </c>
      <c r="E304" s="52">
        <f t="shared" si="146"/>
        <v>0</v>
      </c>
      <c r="F304" s="52">
        <f t="shared" si="146"/>
        <v>0</v>
      </c>
      <c r="G304" s="52">
        <f t="shared" si="146"/>
        <v>0</v>
      </c>
      <c r="H304" s="52">
        <f t="shared" si="146"/>
        <v>0</v>
      </c>
      <c r="I304" s="52">
        <f t="shared" si="146"/>
        <v>0</v>
      </c>
      <c r="J304" s="52">
        <f t="shared" si="146"/>
        <v>0</v>
      </c>
      <c r="K304" s="52">
        <f t="shared" si="146"/>
        <v>0</v>
      </c>
      <c r="L304" s="52">
        <f t="shared" si="146"/>
        <v>0</v>
      </c>
      <c r="M304" s="52">
        <f t="shared" si="146"/>
        <v>0</v>
      </c>
      <c r="N304" s="52">
        <f t="shared" si="146"/>
        <v>0</v>
      </c>
      <c r="O304" s="52">
        <f t="shared" si="146"/>
        <v>0</v>
      </c>
      <c r="P304" s="52">
        <f t="shared" si="146"/>
        <v>0</v>
      </c>
      <c r="Q304" s="52">
        <f t="shared" si="146"/>
        <v>0</v>
      </c>
      <c r="R304" s="52">
        <f t="shared" si="146"/>
        <v>0</v>
      </c>
      <c r="S304" s="52">
        <f t="shared" si="146"/>
        <v>0</v>
      </c>
      <c r="T304" s="52">
        <f t="shared" si="146"/>
        <v>0</v>
      </c>
      <c r="U304" s="52">
        <f t="shared" si="146"/>
        <v>0</v>
      </c>
      <c r="V304" s="52">
        <f t="shared" si="146"/>
        <v>0</v>
      </c>
      <c r="W304" s="52">
        <f t="shared" si="146"/>
        <v>0</v>
      </c>
      <c r="X304" s="52">
        <f t="shared" si="146"/>
        <v>0</v>
      </c>
      <c r="Y304" s="52">
        <f t="shared" si="146"/>
        <v>0</v>
      </c>
      <c r="Z304" s="52">
        <f t="shared" si="146"/>
        <v>0</v>
      </c>
      <c r="AA304" s="52">
        <f t="shared" si="146"/>
        <v>0</v>
      </c>
      <c r="AB304" s="52">
        <f t="shared" si="146"/>
        <v>0</v>
      </c>
      <c r="AC304" s="52">
        <f t="shared" si="146"/>
        <v>0</v>
      </c>
      <c r="AD304" s="52">
        <f t="shared" si="146"/>
        <v>0</v>
      </c>
      <c r="AE304" s="52">
        <f t="shared" si="146"/>
        <v>0</v>
      </c>
      <c r="AF304" s="52">
        <f t="shared" si="146"/>
        <v>0</v>
      </c>
      <c r="AG304" s="52">
        <f t="shared" si="146"/>
        <v>0</v>
      </c>
      <c r="AH304" s="52">
        <f t="shared" si="146"/>
        <v>0</v>
      </c>
      <c r="AI304" s="52">
        <f t="shared" si="146"/>
        <v>0</v>
      </c>
      <c r="AJ304" s="52">
        <f t="shared" si="146"/>
        <v>0</v>
      </c>
      <c r="AK304" s="52">
        <f t="shared" si="146"/>
        <v>0</v>
      </c>
      <c r="AL304" s="52">
        <f t="shared" si="146"/>
        <v>0</v>
      </c>
      <c r="AM304" s="52">
        <f t="shared" si="146"/>
        <v>0</v>
      </c>
      <c r="AN304" s="52">
        <f t="shared" si="146"/>
        <v>0</v>
      </c>
      <c r="AO304" s="52">
        <f t="shared" si="146"/>
        <v>0</v>
      </c>
      <c r="AP304" s="52">
        <f t="shared" si="146"/>
        <v>0</v>
      </c>
    </row>
    <row r="305" spans="1:42" x14ac:dyDescent="0.2">
      <c r="A305" s="35">
        <f t="shared" si="141"/>
        <v>8</v>
      </c>
      <c r="B305" s="58">
        <f t="shared" si="138"/>
        <v>0</v>
      </c>
      <c r="C305" s="86">
        <f t="shared" ref="C305:AP305" si="147">LOOKUP(C293,$B$256:$AP$256,$B$257:$AP$257)*$B625</f>
        <v>0</v>
      </c>
      <c r="D305" s="52">
        <f t="shared" si="147"/>
        <v>0</v>
      </c>
      <c r="E305" s="52">
        <f t="shared" si="147"/>
        <v>0</v>
      </c>
      <c r="F305" s="52">
        <f t="shared" si="147"/>
        <v>0</v>
      </c>
      <c r="G305" s="52">
        <f t="shared" si="147"/>
        <v>0</v>
      </c>
      <c r="H305" s="52">
        <f t="shared" si="147"/>
        <v>0</v>
      </c>
      <c r="I305" s="52">
        <f t="shared" si="147"/>
        <v>0</v>
      </c>
      <c r="J305" s="52">
        <f t="shared" si="147"/>
        <v>0</v>
      </c>
      <c r="K305" s="52">
        <f t="shared" si="147"/>
        <v>0</v>
      </c>
      <c r="L305" s="52">
        <f t="shared" si="147"/>
        <v>0</v>
      </c>
      <c r="M305" s="52">
        <f t="shared" si="147"/>
        <v>0</v>
      </c>
      <c r="N305" s="52">
        <f t="shared" si="147"/>
        <v>0</v>
      </c>
      <c r="O305" s="52">
        <f t="shared" si="147"/>
        <v>0</v>
      </c>
      <c r="P305" s="52">
        <f t="shared" si="147"/>
        <v>0</v>
      </c>
      <c r="Q305" s="52">
        <f t="shared" si="147"/>
        <v>0</v>
      </c>
      <c r="R305" s="52">
        <f t="shared" si="147"/>
        <v>0</v>
      </c>
      <c r="S305" s="52">
        <f t="shared" si="147"/>
        <v>0</v>
      </c>
      <c r="T305" s="52">
        <f t="shared" si="147"/>
        <v>0</v>
      </c>
      <c r="U305" s="52">
        <f t="shared" si="147"/>
        <v>0</v>
      </c>
      <c r="V305" s="52">
        <f t="shared" si="147"/>
        <v>0</v>
      </c>
      <c r="W305" s="52">
        <f t="shared" si="147"/>
        <v>0</v>
      </c>
      <c r="X305" s="52">
        <f t="shared" si="147"/>
        <v>0</v>
      </c>
      <c r="Y305" s="52">
        <f t="shared" si="147"/>
        <v>0</v>
      </c>
      <c r="Z305" s="52">
        <f t="shared" si="147"/>
        <v>0</v>
      </c>
      <c r="AA305" s="52">
        <f t="shared" si="147"/>
        <v>0</v>
      </c>
      <c r="AB305" s="52">
        <f t="shared" si="147"/>
        <v>0</v>
      </c>
      <c r="AC305" s="52">
        <f t="shared" si="147"/>
        <v>0</v>
      </c>
      <c r="AD305" s="52">
        <f t="shared" si="147"/>
        <v>0</v>
      </c>
      <c r="AE305" s="52">
        <f t="shared" si="147"/>
        <v>0</v>
      </c>
      <c r="AF305" s="52">
        <f t="shared" si="147"/>
        <v>0</v>
      </c>
      <c r="AG305" s="52">
        <f t="shared" si="147"/>
        <v>0</v>
      </c>
      <c r="AH305" s="52">
        <f t="shared" si="147"/>
        <v>0</v>
      </c>
      <c r="AI305" s="52">
        <f t="shared" si="147"/>
        <v>0</v>
      </c>
      <c r="AJ305" s="52">
        <f t="shared" si="147"/>
        <v>0</v>
      </c>
      <c r="AK305" s="52">
        <f t="shared" si="147"/>
        <v>0</v>
      </c>
      <c r="AL305" s="52">
        <f t="shared" si="147"/>
        <v>0</v>
      </c>
      <c r="AM305" s="52">
        <f t="shared" si="147"/>
        <v>0</v>
      </c>
      <c r="AN305" s="52">
        <f t="shared" si="147"/>
        <v>0</v>
      </c>
      <c r="AO305" s="52">
        <f t="shared" si="147"/>
        <v>0</v>
      </c>
      <c r="AP305" s="52">
        <f t="shared" si="147"/>
        <v>0</v>
      </c>
    </row>
    <row r="306" spans="1:42" x14ac:dyDescent="0.2">
      <c r="A306" s="35">
        <f>A305+1</f>
        <v>9</v>
      </c>
      <c r="B306" s="58">
        <f t="shared" si="138"/>
        <v>0</v>
      </c>
      <c r="C306" s="86">
        <f t="shared" ref="C306:AP306" si="148">LOOKUP(C294,$B$256:$AP$256,$B$257:$AP$257)*$B626</f>
        <v>0</v>
      </c>
      <c r="D306" s="52">
        <f t="shared" si="148"/>
        <v>0</v>
      </c>
      <c r="E306" s="52">
        <f t="shared" si="148"/>
        <v>0</v>
      </c>
      <c r="F306" s="52">
        <f t="shared" si="148"/>
        <v>0</v>
      </c>
      <c r="G306" s="52">
        <f t="shared" si="148"/>
        <v>0</v>
      </c>
      <c r="H306" s="52">
        <f t="shared" si="148"/>
        <v>0</v>
      </c>
      <c r="I306" s="52">
        <f t="shared" si="148"/>
        <v>0</v>
      </c>
      <c r="J306" s="52">
        <f t="shared" si="148"/>
        <v>0</v>
      </c>
      <c r="K306" s="52">
        <f t="shared" si="148"/>
        <v>0</v>
      </c>
      <c r="L306" s="52">
        <f t="shared" si="148"/>
        <v>0</v>
      </c>
      <c r="M306" s="52">
        <f t="shared" si="148"/>
        <v>0</v>
      </c>
      <c r="N306" s="52">
        <f t="shared" si="148"/>
        <v>0</v>
      </c>
      <c r="O306" s="52">
        <f t="shared" si="148"/>
        <v>0</v>
      </c>
      <c r="P306" s="52">
        <f t="shared" si="148"/>
        <v>0</v>
      </c>
      <c r="Q306" s="52">
        <f t="shared" si="148"/>
        <v>0</v>
      </c>
      <c r="R306" s="52">
        <f t="shared" si="148"/>
        <v>0</v>
      </c>
      <c r="S306" s="52">
        <f t="shared" si="148"/>
        <v>0</v>
      </c>
      <c r="T306" s="52">
        <f t="shared" si="148"/>
        <v>0</v>
      </c>
      <c r="U306" s="52">
        <f t="shared" si="148"/>
        <v>0</v>
      </c>
      <c r="V306" s="52">
        <f t="shared" si="148"/>
        <v>0</v>
      </c>
      <c r="W306" s="52">
        <f t="shared" si="148"/>
        <v>0</v>
      </c>
      <c r="X306" s="52">
        <f t="shared" si="148"/>
        <v>0</v>
      </c>
      <c r="Y306" s="52">
        <f t="shared" si="148"/>
        <v>0</v>
      </c>
      <c r="Z306" s="52">
        <f t="shared" si="148"/>
        <v>0</v>
      </c>
      <c r="AA306" s="52">
        <f t="shared" si="148"/>
        <v>0</v>
      </c>
      <c r="AB306" s="52">
        <f t="shared" si="148"/>
        <v>0</v>
      </c>
      <c r="AC306" s="52">
        <f t="shared" si="148"/>
        <v>0</v>
      </c>
      <c r="AD306" s="52">
        <f t="shared" si="148"/>
        <v>0</v>
      </c>
      <c r="AE306" s="52">
        <f t="shared" si="148"/>
        <v>0</v>
      </c>
      <c r="AF306" s="52">
        <f t="shared" si="148"/>
        <v>0</v>
      </c>
      <c r="AG306" s="52">
        <f t="shared" si="148"/>
        <v>0</v>
      </c>
      <c r="AH306" s="52">
        <f t="shared" si="148"/>
        <v>0</v>
      </c>
      <c r="AI306" s="52">
        <f t="shared" si="148"/>
        <v>0</v>
      </c>
      <c r="AJ306" s="52">
        <f t="shared" si="148"/>
        <v>0</v>
      </c>
      <c r="AK306" s="52">
        <f t="shared" si="148"/>
        <v>0</v>
      </c>
      <c r="AL306" s="52">
        <f t="shared" si="148"/>
        <v>0</v>
      </c>
      <c r="AM306" s="52">
        <f t="shared" si="148"/>
        <v>0</v>
      </c>
      <c r="AN306" s="52">
        <f t="shared" si="148"/>
        <v>0</v>
      </c>
      <c r="AO306" s="52">
        <f t="shared" si="148"/>
        <v>0</v>
      </c>
      <c r="AP306" s="52">
        <f t="shared" si="148"/>
        <v>0</v>
      </c>
    </row>
    <row r="307" spans="1:42" x14ac:dyDescent="0.2">
      <c r="A307" s="35">
        <f t="shared" si="141"/>
        <v>10</v>
      </c>
      <c r="B307" s="58">
        <f t="shared" si="138"/>
        <v>0</v>
      </c>
      <c r="C307" s="82">
        <f t="shared" ref="C307:AP307" si="149">LOOKUP(C295,$B$256:$AP$256,$B$257:$AP$257)*$B627</f>
        <v>0</v>
      </c>
      <c r="D307" s="53">
        <f t="shared" si="149"/>
        <v>0</v>
      </c>
      <c r="E307" s="53">
        <f t="shared" si="149"/>
        <v>0</v>
      </c>
      <c r="F307" s="53">
        <f t="shared" si="149"/>
        <v>0</v>
      </c>
      <c r="G307" s="53">
        <f t="shared" si="149"/>
        <v>0</v>
      </c>
      <c r="H307" s="53">
        <f t="shared" si="149"/>
        <v>0</v>
      </c>
      <c r="I307" s="53">
        <f t="shared" si="149"/>
        <v>0</v>
      </c>
      <c r="J307" s="53">
        <f t="shared" si="149"/>
        <v>0</v>
      </c>
      <c r="K307" s="53">
        <f t="shared" si="149"/>
        <v>0</v>
      </c>
      <c r="L307" s="53">
        <f t="shared" si="149"/>
        <v>0</v>
      </c>
      <c r="M307" s="53">
        <f t="shared" si="149"/>
        <v>0</v>
      </c>
      <c r="N307" s="53">
        <f t="shared" si="149"/>
        <v>0</v>
      </c>
      <c r="O307" s="53">
        <f t="shared" si="149"/>
        <v>0</v>
      </c>
      <c r="P307" s="53">
        <f t="shared" si="149"/>
        <v>0</v>
      </c>
      <c r="Q307" s="53">
        <f t="shared" si="149"/>
        <v>0</v>
      </c>
      <c r="R307" s="53">
        <f t="shared" si="149"/>
        <v>0</v>
      </c>
      <c r="S307" s="53">
        <f t="shared" si="149"/>
        <v>0</v>
      </c>
      <c r="T307" s="53">
        <f t="shared" si="149"/>
        <v>0</v>
      </c>
      <c r="U307" s="53">
        <f t="shared" si="149"/>
        <v>0</v>
      </c>
      <c r="V307" s="53">
        <f t="shared" si="149"/>
        <v>0</v>
      </c>
      <c r="W307" s="53">
        <f t="shared" si="149"/>
        <v>0</v>
      </c>
      <c r="X307" s="53">
        <f t="shared" si="149"/>
        <v>0</v>
      </c>
      <c r="Y307" s="53">
        <f t="shared" si="149"/>
        <v>0</v>
      </c>
      <c r="Z307" s="53">
        <f t="shared" si="149"/>
        <v>0</v>
      </c>
      <c r="AA307" s="53">
        <f t="shared" si="149"/>
        <v>0</v>
      </c>
      <c r="AB307" s="53">
        <f t="shared" si="149"/>
        <v>0</v>
      </c>
      <c r="AC307" s="53">
        <f t="shared" si="149"/>
        <v>0</v>
      </c>
      <c r="AD307" s="53">
        <f t="shared" si="149"/>
        <v>0</v>
      </c>
      <c r="AE307" s="53">
        <f t="shared" si="149"/>
        <v>0</v>
      </c>
      <c r="AF307" s="53">
        <f t="shared" si="149"/>
        <v>0</v>
      </c>
      <c r="AG307" s="53">
        <f t="shared" si="149"/>
        <v>0</v>
      </c>
      <c r="AH307" s="53">
        <f t="shared" si="149"/>
        <v>0</v>
      </c>
      <c r="AI307" s="53">
        <f t="shared" si="149"/>
        <v>0</v>
      </c>
      <c r="AJ307" s="53">
        <f t="shared" si="149"/>
        <v>0</v>
      </c>
      <c r="AK307" s="53">
        <f t="shared" si="149"/>
        <v>0</v>
      </c>
      <c r="AL307" s="53">
        <f t="shared" si="149"/>
        <v>0</v>
      </c>
      <c r="AM307" s="53">
        <f t="shared" si="149"/>
        <v>0</v>
      </c>
      <c r="AN307" s="53">
        <f t="shared" si="149"/>
        <v>0</v>
      </c>
      <c r="AO307" s="53">
        <f t="shared" si="149"/>
        <v>0</v>
      </c>
      <c r="AP307" s="53">
        <f t="shared" si="149"/>
        <v>0</v>
      </c>
    </row>
    <row r="308" spans="1:42" s="35" customFormat="1" ht="12" customHeight="1" x14ac:dyDescent="0.2">
      <c r="A308" s="83" t="s">
        <v>23</v>
      </c>
      <c r="B308" s="38"/>
      <c r="C308" s="38">
        <f>SUM(C298:C307)</f>
        <v>0</v>
      </c>
      <c r="D308" s="38">
        <f t="shared" ref="D308:AP308" si="150">SUM(D298:D307)</f>
        <v>0</v>
      </c>
      <c r="E308" s="38">
        <f t="shared" si="150"/>
        <v>0</v>
      </c>
      <c r="F308" s="38">
        <f t="shared" si="150"/>
        <v>0</v>
      </c>
      <c r="G308" s="38">
        <f t="shared" si="150"/>
        <v>0</v>
      </c>
      <c r="H308" s="38">
        <f t="shared" si="150"/>
        <v>0</v>
      </c>
      <c r="I308" s="38">
        <f t="shared" si="150"/>
        <v>0</v>
      </c>
      <c r="J308" s="38">
        <f t="shared" si="150"/>
        <v>0</v>
      </c>
      <c r="K308" s="38">
        <f t="shared" si="150"/>
        <v>0</v>
      </c>
      <c r="L308" s="38">
        <f t="shared" si="150"/>
        <v>0</v>
      </c>
      <c r="M308" s="38">
        <f t="shared" si="150"/>
        <v>0</v>
      </c>
      <c r="N308" s="38">
        <f t="shared" si="150"/>
        <v>0</v>
      </c>
      <c r="O308" s="38">
        <f t="shared" si="150"/>
        <v>0</v>
      </c>
      <c r="P308" s="38">
        <f t="shared" si="150"/>
        <v>0</v>
      </c>
      <c r="Q308" s="38">
        <f t="shared" si="150"/>
        <v>0</v>
      </c>
      <c r="R308" s="38">
        <f t="shared" si="150"/>
        <v>0</v>
      </c>
      <c r="S308" s="38">
        <f t="shared" si="150"/>
        <v>0</v>
      </c>
      <c r="T308" s="38">
        <f t="shared" si="150"/>
        <v>0</v>
      </c>
      <c r="U308" s="38">
        <f t="shared" si="150"/>
        <v>0</v>
      </c>
      <c r="V308" s="38">
        <f t="shared" si="150"/>
        <v>0</v>
      </c>
      <c r="W308" s="38">
        <f t="shared" si="150"/>
        <v>0</v>
      </c>
      <c r="X308" s="38">
        <f t="shared" si="150"/>
        <v>0</v>
      </c>
      <c r="Y308" s="38">
        <f t="shared" si="150"/>
        <v>0</v>
      </c>
      <c r="Z308" s="38">
        <f t="shared" si="150"/>
        <v>0</v>
      </c>
      <c r="AA308" s="38">
        <f t="shared" si="150"/>
        <v>0</v>
      </c>
      <c r="AB308" s="38">
        <f t="shared" si="150"/>
        <v>0</v>
      </c>
      <c r="AC308" s="38">
        <f t="shared" si="150"/>
        <v>0</v>
      </c>
      <c r="AD308" s="38">
        <f t="shared" si="150"/>
        <v>0</v>
      </c>
      <c r="AE308" s="38">
        <f t="shared" si="150"/>
        <v>0</v>
      </c>
      <c r="AF308" s="38">
        <f t="shared" si="150"/>
        <v>0</v>
      </c>
      <c r="AG308" s="38">
        <f t="shared" si="150"/>
        <v>0</v>
      </c>
      <c r="AH308" s="38">
        <f t="shared" si="150"/>
        <v>0</v>
      </c>
      <c r="AI308" s="38">
        <f t="shared" si="150"/>
        <v>0</v>
      </c>
      <c r="AJ308" s="38">
        <f t="shared" si="150"/>
        <v>0</v>
      </c>
      <c r="AK308" s="38">
        <f t="shared" si="150"/>
        <v>0</v>
      </c>
      <c r="AL308" s="38">
        <f t="shared" si="150"/>
        <v>0</v>
      </c>
      <c r="AM308" s="38">
        <f t="shared" si="150"/>
        <v>0</v>
      </c>
      <c r="AN308" s="38">
        <f t="shared" si="150"/>
        <v>0</v>
      </c>
      <c r="AO308" s="38">
        <f t="shared" si="150"/>
        <v>0</v>
      </c>
      <c r="AP308" s="38">
        <f t="shared" si="150"/>
        <v>0</v>
      </c>
    </row>
    <row r="309" spans="1:42" x14ac:dyDescent="0.2">
      <c r="A309" s="65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52"/>
      <c r="AE309" s="52"/>
      <c r="AF309" s="52"/>
      <c r="AG309" s="52"/>
      <c r="AH309" s="52"/>
      <c r="AI309" s="52"/>
      <c r="AJ309" s="52"/>
      <c r="AK309" s="52"/>
      <c r="AL309" s="52"/>
      <c r="AM309" s="52"/>
      <c r="AN309" s="52"/>
      <c r="AO309" s="52"/>
      <c r="AP309" s="52"/>
    </row>
    <row r="310" spans="1:42" x14ac:dyDescent="0.2">
      <c r="A310" s="59" t="s">
        <v>167</v>
      </c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52"/>
      <c r="AE310" s="52"/>
      <c r="AF310" s="52"/>
      <c r="AG310" s="52"/>
      <c r="AH310" s="52"/>
      <c r="AI310" s="52"/>
      <c r="AJ310" s="52"/>
      <c r="AK310" s="52"/>
      <c r="AL310" s="52"/>
      <c r="AM310" s="52"/>
      <c r="AN310" s="52"/>
      <c r="AO310" s="52"/>
      <c r="AP310" s="52"/>
    </row>
    <row r="311" spans="1:42" x14ac:dyDescent="0.2">
      <c r="A311" s="65" t="s">
        <v>125</v>
      </c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52"/>
      <c r="AE311" s="52"/>
      <c r="AF311" s="52"/>
      <c r="AG311" s="52"/>
      <c r="AH311" s="52"/>
      <c r="AI311" s="52"/>
      <c r="AJ311" s="52"/>
      <c r="AK311" s="52"/>
      <c r="AL311" s="52"/>
      <c r="AM311" s="52"/>
      <c r="AN311" s="52"/>
      <c r="AO311" s="52"/>
      <c r="AP311" s="52"/>
    </row>
    <row r="312" spans="1:42" x14ac:dyDescent="0.2">
      <c r="A312" s="35">
        <v>1</v>
      </c>
      <c r="C312" s="52">
        <f>IF(C$2&lt;=AnalysisPeriod,IF(SUM($C650:C650)&gt;0,B312+1,0),0)</f>
        <v>0</v>
      </c>
      <c r="D312" s="52">
        <f>IF(D$2&lt;=AnalysisPeriod,IF(SUM($C650:D650)&gt;0,C312+1,0),0)</f>
        <v>0</v>
      </c>
      <c r="E312" s="52">
        <f>IF(E$2&lt;=AnalysisPeriod,IF(SUM($C650:E650)&gt;0,D312+1,0),0)</f>
        <v>0</v>
      </c>
      <c r="F312" s="52">
        <f>IF(F$2&lt;=AnalysisPeriod,IF(SUM($C650:F650)&gt;0,E312+1,0),0)</f>
        <v>0</v>
      </c>
      <c r="G312" s="52">
        <f>IF(G$2&lt;=AnalysisPeriod,IF(SUM($C650:G650)&gt;0,F312+1,0),0)</f>
        <v>0</v>
      </c>
      <c r="H312" s="52">
        <f>IF(H$2&lt;=AnalysisPeriod,IF(SUM($C650:H650)&gt;0,G312+1,0),0)</f>
        <v>0</v>
      </c>
      <c r="I312" s="52">
        <f>IF(I$2&lt;=AnalysisPeriod,IF(SUM($C650:I650)&gt;0,H312+1,0),0)</f>
        <v>0</v>
      </c>
      <c r="J312" s="52">
        <f>IF(J$2&lt;=AnalysisPeriod,IF(SUM($C650:J650)&gt;0,I312+1,0),0)</f>
        <v>0</v>
      </c>
      <c r="K312" s="52">
        <f>IF(K$2&lt;=AnalysisPeriod,IF(SUM($C650:K650)&gt;0,J312+1,0),0)</f>
        <v>0</v>
      </c>
      <c r="L312" s="52">
        <f>IF(L$2&lt;=AnalysisPeriod,IF(SUM($C650:L650)&gt;0,K312+1,0),0)</f>
        <v>0</v>
      </c>
      <c r="M312" s="52">
        <f>IF(M$2&lt;=AnalysisPeriod,IF(SUM($C650:M650)&gt;0,L312+1,0),0)</f>
        <v>0</v>
      </c>
      <c r="N312" s="52">
        <f>IF(N$2&lt;=AnalysisPeriod,IF(SUM($C650:N650)&gt;0,M312+1,0),0)</f>
        <v>0</v>
      </c>
      <c r="O312" s="52">
        <f>IF(O$2&lt;=AnalysisPeriod,IF(SUM($C650:O650)&gt;0,N312+1,0),0)</f>
        <v>0</v>
      </c>
      <c r="P312" s="52">
        <f>IF(P$2&lt;=AnalysisPeriod,IF(SUM($C650:P650)&gt;0,O312+1,0),0)</f>
        <v>0</v>
      </c>
      <c r="Q312" s="52">
        <f>IF(Q$2&lt;=AnalysisPeriod,IF(SUM($C650:Q650)&gt;0,P312+1,0),0)</f>
        <v>0</v>
      </c>
      <c r="R312" s="52">
        <f>IF(R$2&lt;=AnalysisPeriod,IF(SUM($C650:R650)&gt;0,Q312+1,0),0)</f>
        <v>0</v>
      </c>
      <c r="S312" s="52">
        <f>IF(S$2&lt;=AnalysisPeriod,IF(SUM($C650:S650)&gt;0,R312+1,0),0)</f>
        <v>0</v>
      </c>
      <c r="T312" s="52">
        <f>IF(T$2&lt;=AnalysisPeriod,IF(SUM($C650:T650)&gt;0,S312+1,0),0)</f>
        <v>0</v>
      </c>
      <c r="U312" s="52">
        <f>IF(U$2&lt;=AnalysisPeriod,IF(SUM($C650:U650)&gt;0,T312+1,0),0)</f>
        <v>0</v>
      </c>
      <c r="V312" s="52">
        <f>IF(V$2&lt;=AnalysisPeriod,IF(SUM($C650:V650)&gt;0,U312+1,0),0)</f>
        <v>0</v>
      </c>
      <c r="W312" s="52">
        <f>IF(W$2&lt;=AnalysisPeriod,IF(SUM($C650:W650)&gt;0,V312+1,0),0)</f>
        <v>0</v>
      </c>
      <c r="X312" s="52">
        <f>IF(X$2&lt;=AnalysisPeriod,IF(SUM($C650:X650)&gt;0,W312+1,0),0)</f>
        <v>0</v>
      </c>
      <c r="Y312" s="52">
        <f>IF(Y$2&lt;=AnalysisPeriod,IF(SUM($C650:Y650)&gt;0,X312+1,0),0)</f>
        <v>0</v>
      </c>
      <c r="Z312" s="52">
        <f>IF(Z$2&lt;=AnalysisPeriod,IF(SUM($C650:Z650)&gt;0,Y312+1,0),0)</f>
        <v>0</v>
      </c>
      <c r="AA312" s="52">
        <f>IF(AA$2&lt;=AnalysisPeriod,IF(SUM($C650:AA650)&gt;0,Z312+1,0),0)</f>
        <v>0</v>
      </c>
      <c r="AB312" s="52">
        <f>IF(AB$2&lt;=AnalysisPeriod,IF(SUM($C650:AB650)&gt;0,AA312+1,0),0)</f>
        <v>0</v>
      </c>
      <c r="AC312" s="52">
        <f>IF(AC$2&lt;=AnalysisPeriod,IF(SUM($C650:AC650)&gt;0,AB312+1,0),0)</f>
        <v>0</v>
      </c>
      <c r="AD312" s="52">
        <f>IF(AD$2&lt;=AnalysisPeriod,IF(SUM($C650:AD650)&gt;0,AC312+1,0),0)</f>
        <v>0</v>
      </c>
      <c r="AE312" s="52">
        <f>IF(AE$2&lt;=AnalysisPeriod,IF(SUM($C650:AE650)&gt;0,AD312+1,0),0)</f>
        <v>0</v>
      </c>
      <c r="AF312" s="52">
        <f>IF(AF$2&lt;=AnalysisPeriod,IF(SUM($C650:AF650)&gt;0,AE312+1,0),0)</f>
        <v>0</v>
      </c>
      <c r="AG312" s="52">
        <f>IF(AG$2&lt;=AnalysisPeriod,IF(SUM($C650:AG650)&gt;0,AF312+1,0),0)</f>
        <v>0</v>
      </c>
      <c r="AH312" s="52">
        <f>IF(AH$2&lt;=AnalysisPeriod,IF(SUM($C650:AH650)&gt;0,AG312+1,0),0)</f>
        <v>0</v>
      </c>
      <c r="AI312" s="52">
        <f>IF(AI$2&lt;=AnalysisPeriod,IF(SUM($C650:AI650)&gt;0,AH312+1,0),0)</f>
        <v>0</v>
      </c>
      <c r="AJ312" s="52">
        <f>IF(AJ$2&lt;=AnalysisPeriod,IF(SUM($C650:AJ650)&gt;0,AI312+1,0),0)</f>
        <v>0</v>
      </c>
      <c r="AK312" s="52">
        <f>IF(AK$2&lt;=AnalysisPeriod,IF(SUM($C650:AK650)&gt;0,AJ312+1,0),0)</f>
        <v>0</v>
      </c>
      <c r="AL312" s="52">
        <f>IF(AL$2&lt;=AnalysisPeriod,IF(SUM($C650:AL650)&gt;0,AK312+1,0),0)</f>
        <v>0</v>
      </c>
      <c r="AM312" s="52">
        <f>IF(AM$2&lt;=AnalysisPeriod,IF(SUM($C650:AM650)&gt;0,AL312+1,0),0)</f>
        <v>0</v>
      </c>
      <c r="AN312" s="52">
        <f>IF(AN$2&lt;=AnalysisPeriod,IF(SUM($C650:AN650)&gt;0,AM312+1,0),0)</f>
        <v>0</v>
      </c>
      <c r="AO312" s="52">
        <f>IF(AO$2&lt;=AnalysisPeriod,IF(SUM($C650:AO650)&gt;0,AN312+1,0),0)</f>
        <v>0</v>
      </c>
      <c r="AP312" s="52">
        <f>IF(AP$2&lt;=AnalysisPeriod,IF(SUM($C650:AP650)&gt;0,AO312+1,0),0)</f>
        <v>0</v>
      </c>
    </row>
    <row r="313" spans="1:42" x14ac:dyDescent="0.2">
      <c r="A313" s="35">
        <f>A312+1</f>
        <v>2</v>
      </c>
      <c r="C313" s="52">
        <f>IF(C$2&lt;=AnalysisPeriod,IF(SUM($C651:C651)&gt;0,B313+1,0),0)</f>
        <v>0</v>
      </c>
      <c r="D313" s="52">
        <f>IF(D$2&lt;=AnalysisPeriod,IF(SUM($C651:D651)&gt;0,C313+1,0),0)</f>
        <v>0</v>
      </c>
      <c r="E313" s="52">
        <f>IF(E$2&lt;=AnalysisPeriod,IF(SUM($C651:E651)&gt;0,D313+1,0),0)</f>
        <v>0</v>
      </c>
      <c r="F313" s="52">
        <f>IF(F$2&lt;=AnalysisPeriod,IF(SUM($C651:F651)&gt;0,E313+1,0),0)</f>
        <v>0</v>
      </c>
      <c r="G313" s="52">
        <f>IF(G$2&lt;=AnalysisPeriod,IF(SUM($C651:G651)&gt;0,F313+1,0),0)</f>
        <v>0</v>
      </c>
      <c r="H313" s="52">
        <f>IF(H$2&lt;=AnalysisPeriod,IF(SUM($C651:H651)&gt;0,G313+1,0),0)</f>
        <v>0</v>
      </c>
      <c r="I313" s="52">
        <f>IF(I$2&lt;=AnalysisPeriod,IF(SUM($C651:I651)&gt;0,H313+1,0),0)</f>
        <v>0</v>
      </c>
      <c r="J313" s="52">
        <f>IF(J$2&lt;=AnalysisPeriod,IF(SUM($C651:J651)&gt;0,I313+1,0),0)</f>
        <v>0</v>
      </c>
      <c r="K313" s="52">
        <f>IF(K$2&lt;=AnalysisPeriod,IF(SUM($C651:K651)&gt;0,J313+1,0),0)</f>
        <v>0</v>
      </c>
      <c r="L313" s="52">
        <f>IF(L$2&lt;=AnalysisPeriod,IF(SUM($C651:L651)&gt;0,K313+1,0),0)</f>
        <v>0</v>
      </c>
      <c r="M313" s="52">
        <f>IF(M$2&lt;=AnalysisPeriod,IF(SUM($C651:M651)&gt;0,L313+1,0),0)</f>
        <v>0</v>
      </c>
      <c r="N313" s="52">
        <f>IF(N$2&lt;=AnalysisPeriod,IF(SUM($C651:N651)&gt;0,M313+1,0),0)</f>
        <v>0</v>
      </c>
      <c r="O313" s="52">
        <f>IF(O$2&lt;=AnalysisPeriod,IF(SUM($C651:O651)&gt;0,N313+1,0),0)</f>
        <v>0</v>
      </c>
      <c r="P313" s="52">
        <f>IF(P$2&lt;=AnalysisPeriod,IF(SUM($C651:P651)&gt;0,O313+1,0),0)</f>
        <v>0</v>
      </c>
      <c r="Q313" s="52">
        <f>IF(Q$2&lt;=AnalysisPeriod,IF(SUM($C651:Q651)&gt;0,P313+1,0),0)</f>
        <v>0</v>
      </c>
      <c r="R313" s="52">
        <f>IF(R$2&lt;=AnalysisPeriod,IF(SUM($C651:R651)&gt;0,Q313+1,0),0)</f>
        <v>0</v>
      </c>
      <c r="S313" s="52">
        <f>IF(S$2&lt;=AnalysisPeriod,IF(SUM($C651:S651)&gt;0,R313+1,0),0)</f>
        <v>0</v>
      </c>
      <c r="T313" s="52">
        <f>IF(T$2&lt;=AnalysisPeriod,IF(SUM($C651:T651)&gt;0,S313+1,0),0)</f>
        <v>0</v>
      </c>
      <c r="U313" s="52">
        <f>IF(U$2&lt;=AnalysisPeriod,IF(SUM($C651:U651)&gt;0,T313+1,0),0)</f>
        <v>0</v>
      </c>
      <c r="V313" s="52">
        <f>IF(V$2&lt;=AnalysisPeriod,IF(SUM($C651:V651)&gt;0,U313+1,0),0)</f>
        <v>0</v>
      </c>
      <c r="W313" s="52">
        <f>IF(W$2&lt;=AnalysisPeriod,IF(SUM($C651:W651)&gt;0,V313+1,0),0)</f>
        <v>0</v>
      </c>
      <c r="X313" s="52">
        <f>IF(X$2&lt;=AnalysisPeriod,IF(SUM($C651:X651)&gt;0,W313+1,0),0)</f>
        <v>0</v>
      </c>
      <c r="Y313" s="52">
        <f>IF(Y$2&lt;=AnalysisPeriod,IF(SUM($C651:Y651)&gt;0,X313+1,0),0)</f>
        <v>0</v>
      </c>
      <c r="Z313" s="52">
        <f>IF(Z$2&lt;=AnalysisPeriod,IF(SUM($C651:Z651)&gt;0,Y313+1,0),0)</f>
        <v>0</v>
      </c>
      <c r="AA313" s="52">
        <f>IF(AA$2&lt;=AnalysisPeriod,IF(SUM($C651:AA651)&gt;0,Z313+1,0),0)</f>
        <v>0</v>
      </c>
      <c r="AB313" s="52">
        <f>IF(AB$2&lt;=AnalysisPeriod,IF(SUM($C651:AB651)&gt;0,AA313+1,0),0)</f>
        <v>0</v>
      </c>
      <c r="AC313" s="52">
        <f>IF(AC$2&lt;=AnalysisPeriod,IF(SUM($C651:AC651)&gt;0,AB313+1,0),0)</f>
        <v>0</v>
      </c>
      <c r="AD313" s="52">
        <f>IF(AD$2&lt;=AnalysisPeriod,IF(SUM($C651:AD651)&gt;0,AC313+1,0),0)</f>
        <v>0</v>
      </c>
      <c r="AE313" s="52">
        <f>IF(AE$2&lt;=AnalysisPeriod,IF(SUM($C651:AE651)&gt;0,AD313+1,0),0)</f>
        <v>0</v>
      </c>
      <c r="AF313" s="52">
        <f>IF(AF$2&lt;=AnalysisPeriod,IF(SUM($C651:AF651)&gt;0,AE313+1,0),0)</f>
        <v>0</v>
      </c>
      <c r="AG313" s="52">
        <f>IF(AG$2&lt;=AnalysisPeriod,IF(SUM($C651:AG651)&gt;0,AF313+1,0),0)</f>
        <v>0</v>
      </c>
      <c r="AH313" s="52">
        <f>IF(AH$2&lt;=AnalysisPeriod,IF(SUM($C651:AH651)&gt;0,AG313+1,0),0)</f>
        <v>0</v>
      </c>
      <c r="AI313" s="52">
        <f>IF(AI$2&lt;=AnalysisPeriod,IF(SUM($C651:AI651)&gt;0,AH313+1,0),0)</f>
        <v>0</v>
      </c>
      <c r="AJ313" s="52">
        <f>IF(AJ$2&lt;=AnalysisPeriod,IF(SUM($C651:AJ651)&gt;0,AI313+1,0),0)</f>
        <v>0</v>
      </c>
      <c r="AK313" s="52">
        <f>IF(AK$2&lt;=AnalysisPeriod,IF(SUM($C651:AK651)&gt;0,AJ313+1,0),0)</f>
        <v>0</v>
      </c>
      <c r="AL313" s="52">
        <f>IF(AL$2&lt;=AnalysisPeriod,IF(SUM($C651:AL651)&gt;0,AK313+1,0),0)</f>
        <v>0</v>
      </c>
      <c r="AM313" s="52">
        <f>IF(AM$2&lt;=AnalysisPeriod,IF(SUM($C651:AM651)&gt;0,AL313+1,0),0)</f>
        <v>0</v>
      </c>
      <c r="AN313" s="52">
        <f>IF(AN$2&lt;=AnalysisPeriod,IF(SUM($C651:AN651)&gt;0,AM313+1,0),0)</f>
        <v>0</v>
      </c>
      <c r="AO313" s="52">
        <f>IF(AO$2&lt;=AnalysisPeriod,IF(SUM($C651:AO651)&gt;0,AN313+1,0),0)</f>
        <v>0</v>
      </c>
      <c r="AP313" s="52">
        <f>IF(AP$2&lt;=AnalysisPeriod,IF(SUM($C651:AP651)&gt;0,AO313+1,0),0)</f>
        <v>0</v>
      </c>
    </row>
    <row r="314" spans="1:42" x14ac:dyDescent="0.2">
      <c r="A314" s="35">
        <f t="shared" ref="A314:A321" si="151">A313+1</f>
        <v>3</v>
      </c>
      <c r="C314" s="52">
        <f>IF(C$2&lt;=AnalysisPeriod,IF(SUM($C652:C652)&gt;0,B314+1,0),0)</f>
        <v>0</v>
      </c>
      <c r="D314" s="52">
        <f>IF(D$2&lt;=AnalysisPeriod,IF(SUM($C652:D652)&gt;0,C314+1,0),0)</f>
        <v>0</v>
      </c>
      <c r="E314" s="52">
        <f>IF(E$2&lt;=AnalysisPeriod,IF(SUM($C652:E652)&gt;0,D314+1,0),0)</f>
        <v>0</v>
      </c>
      <c r="F314" s="52">
        <f>IF(F$2&lt;=AnalysisPeriod,IF(SUM($C652:F652)&gt;0,E314+1,0),0)</f>
        <v>0</v>
      </c>
      <c r="G314" s="52">
        <f>IF(G$2&lt;=AnalysisPeriod,IF(SUM($C652:G652)&gt;0,F314+1,0),0)</f>
        <v>0</v>
      </c>
      <c r="H314" s="52">
        <f>IF(H$2&lt;=AnalysisPeriod,IF(SUM($C652:H652)&gt;0,G314+1,0),0)</f>
        <v>0</v>
      </c>
      <c r="I314" s="52">
        <f>IF(I$2&lt;=AnalysisPeriod,IF(SUM($C652:I652)&gt;0,H314+1,0),0)</f>
        <v>0</v>
      </c>
      <c r="J314" s="52">
        <f>IF(J$2&lt;=AnalysisPeriod,IF(SUM($C652:J652)&gt;0,I314+1,0),0)</f>
        <v>0</v>
      </c>
      <c r="K314" s="52">
        <f>IF(K$2&lt;=AnalysisPeriod,IF(SUM($C652:K652)&gt;0,J314+1,0),0)</f>
        <v>0</v>
      </c>
      <c r="L314" s="52">
        <f>IF(L$2&lt;=AnalysisPeriod,IF(SUM($C652:L652)&gt;0,K314+1,0),0)</f>
        <v>0</v>
      </c>
      <c r="M314" s="52">
        <f>IF(M$2&lt;=AnalysisPeriod,IF(SUM($C652:M652)&gt;0,L314+1,0),0)</f>
        <v>0</v>
      </c>
      <c r="N314" s="52">
        <f>IF(N$2&lt;=AnalysisPeriod,IF(SUM($C652:N652)&gt;0,M314+1,0),0)</f>
        <v>0</v>
      </c>
      <c r="O314" s="52">
        <f>IF(O$2&lt;=AnalysisPeriod,IF(SUM($C652:O652)&gt;0,N314+1,0),0)</f>
        <v>0</v>
      </c>
      <c r="P314" s="52">
        <f>IF(P$2&lt;=AnalysisPeriod,IF(SUM($C652:P652)&gt;0,O314+1,0),0)</f>
        <v>0</v>
      </c>
      <c r="Q314" s="52">
        <f>IF(Q$2&lt;=AnalysisPeriod,IF(SUM($C652:Q652)&gt;0,P314+1,0),0)</f>
        <v>0</v>
      </c>
      <c r="R314" s="52">
        <f>IF(R$2&lt;=AnalysisPeriod,IF(SUM($C652:R652)&gt;0,Q314+1,0),0)</f>
        <v>0</v>
      </c>
      <c r="S314" s="52">
        <f>IF(S$2&lt;=AnalysisPeriod,IF(SUM($C652:S652)&gt;0,R314+1,0),0)</f>
        <v>0</v>
      </c>
      <c r="T314" s="52">
        <f>IF(T$2&lt;=AnalysisPeriod,IF(SUM($C652:T652)&gt;0,S314+1,0),0)</f>
        <v>0</v>
      </c>
      <c r="U314" s="52">
        <f>IF(U$2&lt;=AnalysisPeriod,IF(SUM($C652:U652)&gt;0,T314+1,0),0)</f>
        <v>0</v>
      </c>
      <c r="V314" s="52">
        <f>IF(V$2&lt;=AnalysisPeriod,IF(SUM($C652:V652)&gt;0,U314+1,0),0)</f>
        <v>0</v>
      </c>
      <c r="W314" s="52">
        <f>IF(W$2&lt;=AnalysisPeriod,IF(SUM($C652:W652)&gt;0,V314+1,0),0)</f>
        <v>0</v>
      </c>
      <c r="X314" s="52">
        <f>IF(X$2&lt;=AnalysisPeriod,IF(SUM($C652:X652)&gt;0,W314+1,0),0)</f>
        <v>0</v>
      </c>
      <c r="Y314" s="52">
        <f>IF(Y$2&lt;=AnalysisPeriod,IF(SUM($C652:Y652)&gt;0,X314+1,0),0)</f>
        <v>0</v>
      </c>
      <c r="Z314" s="52">
        <f>IF(Z$2&lt;=AnalysisPeriod,IF(SUM($C652:Z652)&gt;0,Y314+1,0),0)</f>
        <v>0</v>
      </c>
      <c r="AA314" s="52">
        <f>IF(AA$2&lt;=AnalysisPeriod,IF(SUM($C652:AA652)&gt;0,Z314+1,0),0)</f>
        <v>0</v>
      </c>
      <c r="AB314" s="52">
        <f>IF(AB$2&lt;=AnalysisPeriod,IF(SUM($C652:AB652)&gt;0,AA314+1,0),0)</f>
        <v>0</v>
      </c>
      <c r="AC314" s="52">
        <f>IF(AC$2&lt;=AnalysisPeriod,IF(SUM($C652:AC652)&gt;0,AB314+1,0),0)</f>
        <v>0</v>
      </c>
      <c r="AD314" s="52">
        <f>IF(AD$2&lt;=AnalysisPeriod,IF(SUM($C652:AD652)&gt;0,AC314+1,0),0)</f>
        <v>0</v>
      </c>
      <c r="AE314" s="52">
        <f>IF(AE$2&lt;=AnalysisPeriod,IF(SUM($C652:AE652)&gt;0,AD314+1,0),0)</f>
        <v>0</v>
      </c>
      <c r="AF314" s="52">
        <f>IF(AF$2&lt;=AnalysisPeriod,IF(SUM($C652:AF652)&gt;0,AE314+1,0),0)</f>
        <v>0</v>
      </c>
      <c r="AG314" s="52">
        <f>IF(AG$2&lt;=AnalysisPeriod,IF(SUM($C652:AG652)&gt;0,AF314+1,0),0)</f>
        <v>0</v>
      </c>
      <c r="AH314" s="52">
        <f>IF(AH$2&lt;=AnalysisPeriod,IF(SUM($C652:AH652)&gt;0,AG314+1,0),0)</f>
        <v>0</v>
      </c>
      <c r="AI314" s="52">
        <f>IF(AI$2&lt;=AnalysisPeriod,IF(SUM($C652:AI652)&gt;0,AH314+1,0),0)</f>
        <v>0</v>
      </c>
      <c r="AJ314" s="52">
        <f>IF(AJ$2&lt;=AnalysisPeriod,IF(SUM($C652:AJ652)&gt;0,AI314+1,0),0)</f>
        <v>0</v>
      </c>
      <c r="AK314" s="52">
        <f>IF(AK$2&lt;=AnalysisPeriod,IF(SUM($C652:AK652)&gt;0,AJ314+1,0),0)</f>
        <v>0</v>
      </c>
      <c r="AL314" s="52">
        <f>IF(AL$2&lt;=AnalysisPeriod,IF(SUM($C652:AL652)&gt;0,AK314+1,0),0)</f>
        <v>0</v>
      </c>
      <c r="AM314" s="52">
        <f>IF(AM$2&lt;=AnalysisPeriod,IF(SUM($C652:AM652)&gt;0,AL314+1,0),0)</f>
        <v>0</v>
      </c>
      <c r="AN314" s="52">
        <f>IF(AN$2&lt;=AnalysisPeriod,IF(SUM($C652:AN652)&gt;0,AM314+1,0),0)</f>
        <v>0</v>
      </c>
      <c r="AO314" s="52">
        <f>IF(AO$2&lt;=AnalysisPeriod,IF(SUM($C652:AO652)&gt;0,AN314+1,0),0)</f>
        <v>0</v>
      </c>
      <c r="AP314" s="52">
        <f>IF(AP$2&lt;=AnalysisPeriod,IF(SUM($C652:AP652)&gt;0,AO314+1,0),0)</f>
        <v>0</v>
      </c>
    </row>
    <row r="315" spans="1:42" x14ac:dyDescent="0.2">
      <c r="A315" s="35">
        <f t="shared" si="151"/>
        <v>4</v>
      </c>
      <c r="C315" s="52">
        <f>IF(C$2&lt;=AnalysisPeriod,IF(SUM($C653:C653)&gt;0,B315+1,0),0)</f>
        <v>0</v>
      </c>
      <c r="D315" s="52">
        <f>IF(D$2&lt;=AnalysisPeriod,IF(SUM($C653:D653)&gt;0,C315+1,0),0)</f>
        <v>0</v>
      </c>
      <c r="E315" s="52">
        <f>IF(E$2&lt;=AnalysisPeriod,IF(SUM($C653:E653)&gt;0,D315+1,0),0)</f>
        <v>0</v>
      </c>
      <c r="F315" s="52">
        <f>IF(F$2&lt;=AnalysisPeriod,IF(SUM($C653:F653)&gt;0,E315+1,0),0)</f>
        <v>0</v>
      </c>
      <c r="G315" s="52">
        <f>IF(G$2&lt;=AnalysisPeriod,IF(SUM($C653:G653)&gt;0,F315+1,0),0)</f>
        <v>0</v>
      </c>
      <c r="H315" s="52">
        <f>IF(H$2&lt;=AnalysisPeriod,IF(SUM($C653:H653)&gt;0,G315+1,0),0)</f>
        <v>0</v>
      </c>
      <c r="I315" s="52">
        <f>IF(I$2&lt;=AnalysisPeriod,IF(SUM($C653:I653)&gt;0,H315+1,0),0)</f>
        <v>0</v>
      </c>
      <c r="J315" s="52">
        <f>IF(J$2&lt;=AnalysisPeriod,IF(SUM($C653:J653)&gt;0,I315+1,0),0)</f>
        <v>0</v>
      </c>
      <c r="K315" s="52">
        <f>IF(K$2&lt;=AnalysisPeriod,IF(SUM($C653:K653)&gt;0,J315+1,0),0)</f>
        <v>0</v>
      </c>
      <c r="L315" s="52">
        <f>IF(L$2&lt;=AnalysisPeriod,IF(SUM($C653:L653)&gt;0,K315+1,0),0)</f>
        <v>0</v>
      </c>
      <c r="M315" s="52">
        <f>IF(M$2&lt;=AnalysisPeriod,IF(SUM($C653:M653)&gt;0,L315+1,0),0)</f>
        <v>0</v>
      </c>
      <c r="N315" s="52">
        <f>IF(N$2&lt;=AnalysisPeriod,IF(SUM($C653:N653)&gt;0,M315+1,0),0)</f>
        <v>0</v>
      </c>
      <c r="O315" s="52">
        <f>IF(O$2&lt;=AnalysisPeriod,IF(SUM($C653:O653)&gt;0,N315+1,0),0)</f>
        <v>0</v>
      </c>
      <c r="P315" s="52">
        <f>IF(P$2&lt;=AnalysisPeriod,IF(SUM($C653:P653)&gt;0,O315+1,0),0)</f>
        <v>0</v>
      </c>
      <c r="Q315" s="52">
        <f>IF(Q$2&lt;=AnalysisPeriod,IF(SUM($C653:Q653)&gt;0,P315+1,0),0)</f>
        <v>0</v>
      </c>
      <c r="R315" s="52">
        <f>IF(R$2&lt;=AnalysisPeriod,IF(SUM($C653:R653)&gt;0,Q315+1,0),0)</f>
        <v>0</v>
      </c>
      <c r="S315" s="52">
        <f>IF(S$2&lt;=AnalysisPeriod,IF(SUM($C653:S653)&gt;0,R315+1,0),0)</f>
        <v>0</v>
      </c>
      <c r="T315" s="52">
        <f>IF(T$2&lt;=AnalysisPeriod,IF(SUM($C653:T653)&gt;0,S315+1,0),0)</f>
        <v>0</v>
      </c>
      <c r="U315" s="52">
        <f>IF(U$2&lt;=AnalysisPeriod,IF(SUM($C653:U653)&gt;0,T315+1,0),0)</f>
        <v>0</v>
      </c>
      <c r="V315" s="52">
        <f>IF(V$2&lt;=AnalysisPeriod,IF(SUM($C653:V653)&gt;0,U315+1,0),0)</f>
        <v>0</v>
      </c>
      <c r="W315" s="52">
        <f>IF(W$2&lt;=AnalysisPeriod,IF(SUM($C653:W653)&gt;0,V315+1,0),0)</f>
        <v>0</v>
      </c>
      <c r="X315" s="52">
        <f>IF(X$2&lt;=AnalysisPeriod,IF(SUM($C653:X653)&gt;0,W315+1,0),0)</f>
        <v>0</v>
      </c>
      <c r="Y315" s="52">
        <f>IF(Y$2&lt;=AnalysisPeriod,IF(SUM($C653:Y653)&gt;0,X315+1,0),0)</f>
        <v>0</v>
      </c>
      <c r="Z315" s="52">
        <f>IF(Z$2&lt;=AnalysisPeriod,IF(SUM($C653:Z653)&gt;0,Y315+1,0),0)</f>
        <v>0</v>
      </c>
      <c r="AA315" s="52">
        <f>IF(AA$2&lt;=AnalysisPeriod,IF(SUM($C653:AA653)&gt;0,Z315+1,0),0)</f>
        <v>0</v>
      </c>
      <c r="AB315" s="52">
        <f>IF(AB$2&lt;=AnalysisPeriod,IF(SUM($C653:AB653)&gt;0,AA315+1,0),0)</f>
        <v>0</v>
      </c>
      <c r="AC315" s="52">
        <f>IF(AC$2&lt;=AnalysisPeriod,IF(SUM($C653:AC653)&gt;0,AB315+1,0),0)</f>
        <v>0</v>
      </c>
      <c r="AD315" s="52">
        <f>IF(AD$2&lt;=AnalysisPeriod,IF(SUM($C653:AD653)&gt;0,AC315+1,0),0)</f>
        <v>0</v>
      </c>
      <c r="AE315" s="52">
        <f>IF(AE$2&lt;=AnalysisPeriod,IF(SUM($C653:AE653)&gt;0,AD315+1,0),0)</f>
        <v>0</v>
      </c>
      <c r="AF315" s="52">
        <f>IF(AF$2&lt;=AnalysisPeriod,IF(SUM($C653:AF653)&gt;0,AE315+1,0),0)</f>
        <v>0</v>
      </c>
      <c r="AG315" s="52">
        <f>IF(AG$2&lt;=AnalysisPeriod,IF(SUM($C653:AG653)&gt;0,AF315+1,0),0)</f>
        <v>0</v>
      </c>
      <c r="AH315" s="52">
        <f>IF(AH$2&lt;=AnalysisPeriod,IF(SUM($C653:AH653)&gt;0,AG315+1,0),0)</f>
        <v>0</v>
      </c>
      <c r="AI315" s="52">
        <f>IF(AI$2&lt;=AnalysisPeriod,IF(SUM($C653:AI653)&gt;0,AH315+1,0),0)</f>
        <v>0</v>
      </c>
      <c r="AJ315" s="52">
        <f>IF(AJ$2&lt;=AnalysisPeriod,IF(SUM($C653:AJ653)&gt;0,AI315+1,0),0)</f>
        <v>0</v>
      </c>
      <c r="AK315" s="52">
        <f>IF(AK$2&lt;=AnalysisPeriod,IF(SUM($C653:AK653)&gt;0,AJ315+1,0),0)</f>
        <v>0</v>
      </c>
      <c r="AL315" s="52">
        <f>IF(AL$2&lt;=AnalysisPeriod,IF(SUM($C653:AL653)&gt;0,AK315+1,0),0)</f>
        <v>0</v>
      </c>
      <c r="AM315" s="52">
        <f>IF(AM$2&lt;=AnalysisPeriod,IF(SUM($C653:AM653)&gt;0,AL315+1,0),0)</f>
        <v>0</v>
      </c>
      <c r="AN315" s="52">
        <f>IF(AN$2&lt;=AnalysisPeriod,IF(SUM($C653:AN653)&gt;0,AM315+1,0),0)</f>
        <v>0</v>
      </c>
      <c r="AO315" s="52">
        <f>IF(AO$2&lt;=AnalysisPeriod,IF(SUM($C653:AO653)&gt;0,AN315+1,0),0)</f>
        <v>0</v>
      </c>
      <c r="AP315" s="52">
        <f>IF(AP$2&lt;=AnalysisPeriod,IF(SUM($C653:AP653)&gt;0,AO315+1,0),0)</f>
        <v>0</v>
      </c>
    </row>
    <row r="316" spans="1:42" x14ac:dyDescent="0.2">
      <c r="A316" s="35">
        <f t="shared" si="151"/>
        <v>5</v>
      </c>
      <c r="C316" s="52">
        <f>IF(C$2&lt;=AnalysisPeriod,IF(SUM($C654:C654)&gt;0,B316+1,0),0)</f>
        <v>0</v>
      </c>
      <c r="D316" s="52">
        <f>IF(D$2&lt;=AnalysisPeriod,IF(SUM($C654:D654)&gt;0,C316+1,0),0)</f>
        <v>0</v>
      </c>
      <c r="E316" s="52">
        <f>IF(E$2&lt;=AnalysisPeriod,IF(SUM($C654:E654)&gt;0,D316+1,0),0)</f>
        <v>0</v>
      </c>
      <c r="F316" s="52">
        <f>IF(F$2&lt;=AnalysisPeriod,IF(SUM($C654:F654)&gt;0,E316+1,0),0)</f>
        <v>0</v>
      </c>
      <c r="G316" s="52">
        <f>IF(G$2&lt;=AnalysisPeriod,IF(SUM($C654:G654)&gt;0,F316+1,0),0)</f>
        <v>0</v>
      </c>
      <c r="H316" s="52">
        <f>IF(H$2&lt;=AnalysisPeriod,IF(SUM($C654:H654)&gt;0,G316+1,0),0)</f>
        <v>0</v>
      </c>
      <c r="I316" s="52">
        <f>IF(I$2&lt;=AnalysisPeriod,IF(SUM($C654:I654)&gt;0,H316+1,0),0)</f>
        <v>0</v>
      </c>
      <c r="J316" s="52">
        <f>IF(J$2&lt;=AnalysisPeriod,IF(SUM($C654:J654)&gt;0,I316+1,0),0)</f>
        <v>0</v>
      </c>
      <c r="K316" s="52">
        <f>IF(K$2&lt;=AnalysisPeriod,IF(SUM($C654:K654)&gt;0,J316+1,0),0)</f>
        <v>0</v>
      </c>
      <c r="L316" s="52">
        <f>IF(L$2&lt;=AnalysisPeriod,IF(SUM($C654:L654)&gt;0,K316+1,0),0)</f>
        <v>0</v>
      </c>
      <c r="M316" s="52">
        <f>IF(M$2&lt;=AnalysisPeriod,IF(SUM($C654:M654)&gt;0,L316+1,0),0)</f>
        <v>0</v>
      </c>
      <c r="N316" s="52">
        <f>IF(N$2&lt;=AnalysisPeriod,IF(SUM($C654:N654)&gt;0,M316+1,0),0)</f>
        <v>0</v>
      </c>
      <c r="O316" s="52">
        <f>IF(O$2&lt;=AnalysisPeriod,IF(SUM($C654:O654)&gt;0,N316+1,0),0)</f>
        <v>0</v>
      </c>
      <c r="P316" s="52">
        <f>IF(P$2&lt;=AnalysisPeriod,IF(SUM($C654:P654)&gt;0,O316+1,0),0)</f>
        <v>0</v>
      </c>
      <c r="Q316" s="52">
        <f>IF(Q$2&lt;=AnalysisPeriod,IF(SUM($C654:Q654)&gt;0,P316+1,0),0)</f>
        <v>0</v>
      </c>
      <c r="R316" s="52">
        <f>IF(R$2&lt;=AnalysisPeriod,IF(SUM($C654:R654)&gt;0,Q316+1,0),0)</f>
        <v>0</v>
      </c>
      <c r="S316" s="52">
        <f>IF(S$2&lt;=AnalysisPeriod,IF(SUM($C654:S654)&gt;0,R316+1,0),0)</f>
        <v>0</v>
      </c>
      <c r="T316" s="52">
        <f>IF(T$2&lt;=AnalysisPeriod,IF(SUM($C654:T654)&gt;0,S316+1,0),0)</f>
        <v>0</v>
      </c>
      <c r="U316" s="52">
        <f>IF(U$2&lt;=AnalysisPeriod,IF(SUM($C654:U654)&gt;0,T316+1,0),0)</f>
        <v>0</v>
      </c>
      <c r="V316" s="52">
        <f>IF(V$2&lt;=AnalysisPeriod,IF(SUM($C654:V654)&gt;0,U316+1,0),0)</f>
        <v>0</v>
      </c>
      <c r="W316" s="52">
        <f>IF(W$2&lt;=AnalysisPeriod,IF(SUM($C654:W654)&gt;0,V316+1,0),0)</f>
        <v>0</v>
      </c>
      <c r="X316" s="52">
        <f>IF(X$2&lt;=AnalysisPeriod,IF(SUM($C654:X654)&gt;0,W316+1,0),0)</f>
        <v>0</v>
      </c>
      <c r="Y316" s="52">
        <f>IF(Y$2&lt;=AnalysisPeriod,IF(SUM($C654:Y654)&gt;0,X316+1,0),0)</f>
        <v>0</v>
      </c>
      <c r="Z316" s="52">
        <f>IF(Z$2&lt;=AnalysisPeriod,IF(SUM($C654:Z654)&gt;0,Y316+1,0),0)</f>
        <v>0</v>
      </c>
      <c r="AA316" s="52">
        <f>IF(AA$2&lt;=AnalysisPeriod,IF(SUM($C654:AA654)&gt;0,Z316+1,0),0)</f>
        <v>0</v>
      </c>
      <c r="AB316" s="52">
        <f>IF(AB$2&lt;=AnalysisPeriod,IF(SUM($C654:AB654)&gt;0,AA316+1,0),0)</f>
        <v>0</v>
      </c>
      <c r="AC316" s="52">
        <f>IF(AC$2&lt;=AnalysisPeriod,IF(SUM($C654:AC654)&gt;0,AB316+1,0),0)</f>
        <v>0</v>
      </c>
      <c r="AD316" s="52">
        <f>IF(AD$2&lt;=AnalysisPeriod,IF(SUM($C654:AD654)&gt;0,AC316+1,0),0)</f>
        <v>0</v>
      </c>
      <c r="AE316" s="52">
        <f>IF(AE$2&lt;=AnalysisPeriod,IF(SUM($C654:AE654)&gt;0,AD316+1,0),0)</f>
        <v>0</v>
      </c>
      <c r="AF316" s="52">
        <f>IF(AF$2&lt;=AnalysisPeriod,IF(SUM($C654:AF654)&gt;0,AE316+1,0),0)</f>
        <v>0</v>
      </c>
      <c r="AG316" s="52">
        <f>IF(AG$2&lt;=AnalysisPeriod,IF(SUM($C654:AG654)&gt;0,AF316+1,0),0)</f>
        <v>0</v>
      </c>
      <c r="AH316" s="52">
        <f>IF(AH$2&lt;=AnalysisPeriod,IF(SUM($C654:AH654)&gt;0,AG316+1,0),0)</f>
        <v>0</v>
      </c>
      <c r="AI316" s="52">
        <f>IF(AI$2&lt;=AnalysisPeriod,IF(SUM($C654:AI654)&gt;0,AH316+1,0),0)</f>
        <v>0</v>
      </c>
      <c r="AJ316" s="52">
        <f>IF(AJ$2&lt;=AnalysisPeriod,IF(SUM($C654:AJ654)&gt;0,AI316+1,0),0)</f>
        <v>0</v>
      </c>
      <c r="AK316" s="52">
        <f>IF(AK$2&lt;=AnalysisPeriod,IF(SUM($C654:AK654)&gt;0,AJ316+1,0),0)</f>
        <v>0</v>
      </c>
      <c r="AL316" s="52">
        <f>IF(AL$2&lt;=AnalysisPeriod,IF(SUM($C654:AL654)&gt;0,AK316+1,0),0)</f>
        <v>0</v>
      </c>
      <c r="AM316" s="52">
        <f>IF(AM$2&lt;=AnalysisPeriod,IF(SUM($C654:AM654)&gt;0,AL316+1,0),0)</f>
        <v>0</v>
      </c>
      <c r="AN316" s="52">
        <f>IF(AN$2&lt;=AnalysisPeriod,IF(SUM($C654:AN654)&gt;0,AM316+1,0),0)</f>
        <v>0</v>
      </c>
      <c r="AO316" s="52">
        <f>IF(AO$2&lt;=AnalysisPeriod,IF(SUM($C654:AO654)&gt;0,AN316+1,0),0)</f>
        <v>0</v>
      </c>
      <c r="AP316" s="52">
        <f>IF(AP$2&lt;=AnalysisPeriod,IF(SUM($C654:AP654)&gt;0,AO316+1,0),0)</f>
        <v>0</v>
      </c>
    </row>
    <row r="317" spans="1:42" x14ac:dyDescent="0.2">
      <c r="A317" s="35">
        <f t="shared" si="151"/>
        <v>6</v>
      </c>
      <c r="C317" s="52">
        <f>IF(C$2&lt;=AnalysisPeriod,IF(SUM($C655:C655)&gt;0,B317+1,0),0)</f>
        <v>0</v>
      </c>
      <c r="D317" s="52">
        <f>IF(D$2&lt;=AnalysisPeriod,IF(SUM($C655:D655)&gt;0,C317+1,0),0)</f>
        <v>0</v>
      </c>
      <c r="E317" s="52">
        <f>IF(E$2&lt;=AnalysisPeriod,IF(SUM($C655:E655)&gt;0,D317+1,0),0)</f>
        <v>0</v>
      </c>
      <c r="F317" s="52">
        <f>IF(F$2&lt;=AnalysisPeriod,IF(SUM($C655:F655)&gt;0,E317+1,0),0)</f>
        <v>0</v>
      </c>
      <c r="G317" s="52">
        <f>IF(G$2&lt;=AnalysisPeriod,IF(SUM($C655:G655)&gt;0,F317+1,0),0)</f>
        <v>0</v>
      </c>
      <c r="H317" s="52">
        <f>IF(H$2&lt;=AnalysisPeriod,IF(SUM($C655:H655)&gt;0,G317+1,0),0)</f>
        <v>0</v>
      </c>
      <c r="I317" s="52">
        <f>IF(I$2&lt;=AnalysisPeriod,IF(SUM($C655:I655)&gt;0,H317+1,0),0)</f>
        <v>0</v>
      </c>
      <c r="J317" s="52">
        <f>IF(J$2&lt;=AnalysisPeriod,IF(SUM($C655:J655)&gt;0,I317+1,0),0)</f>
        <v>0</v>
      </c>
      <c r="K317" s="52">
        <f>IF(K$2&lt;=AnalysisPeriod,IF(SUM($C655:K655)&gt;0,J317+1,0),0)</f>
        <v>0</v>
      </c>
      <c r="L317" s="52">
        <f>IF(L$2&lt;=AnalysisPeriod,IF(SUM($C655:L655)&gt;0,K317+1,0),0)</f>
        <v>0</v>
      </c>
      <c r="M317" s="52">
        <f>IF(M$2&lt;=AnalysisPeriod,IF(SUM($C655:M655)&gt;0,L317+1,0),0)</f>
        <v>0</v>
      </c>
      <c r="N317" s="52">
        <f>IF(N$2&lt;=AnalysisPeriod,IF(SUM($C655:N655)&gt;0,M317+1,0),0)</f>
        <v>0</v>
      </c>
      <c r="O317" s="52">
        <f>IF(O$2&lt;=AnalysisPeriod,IF(SUM($C655:O655)&gt;0,N317+1,0),0)</f>
        <v>0</v>
      </c>
      <c r="P317" s="52">
        <f>IF(P$2&lt;=AnalysisPeriod,IF(SUM($C655:P655)&gt;0,O317+1,0),0)</f>
        <v>0</v>
      </c>
      <c r="Q317" s="52">
        <f>IF(Q$2&lt;=AnalysisPeriod,IF(SUM($C655:Q655)&gt;0,P317+1,0),0)</f>
        <v>0</v>
      </c>
      <c r="R317" s="52">
        <f>IF(R$2&lt;=AnalysisPeriod,IF(SUM($C655:R655)&gt;0,Q317+1,0),0)</f>
        <v>0</v>
      </c>
      <c r="S317" s="52">
        <f>IF(S$2&lt;=AnalysisPeriod,IF(SUM($C655:S655)&gt;0,R317+1,0),0)</f>
        <v>0</v>
      </c>
      <c r="T317" s="52">
        <f>IF(T$2&lt;=AnalysisPeriod,IF(SUM($C655:T655)&gt;0,S317+1,0),0)</f>
        <v>0</v>
      </c>
      <c r="U317" s="52">
        <f>IF(U$2&lt;=AnalysisPeriod,IF(SUM($C655:U655)&gt;0,T317+1,0),0)</f>
        <v>0</v>
      </c>
      <c r="V317" s="52">
        <f>IF(V$2&lt;=AnalysisPeriod,IF(SUM($C655:V655)&gt;0,U317+1,0),0)</f>
        <v>0</v>
      </c>
      <c r="W317" s="52">
        <f>IF(W$2&lt;=AnalysisPeriod,IF(SUM($C655:W655)&gt;0,V317+1,0),0)</f>
        <v>0</v>
      </c>
      <c r="X317" s="52">
        <f>IF(X$2&lt;=AnalysisPeriod,IF(SUM($C655:X655)&gt;0,W317+1,0),0)</f>
        <v>0</v>
      </c>
      <c r="Y317" s="52">
        <f>IF(Y$2&lt;=AnalysisPeriod,IF(SUM($C655:Y655)&gt;0,X317+1,0),0)</f>
        <v>0</v>
      </c>
      <c r="Z317" s="52">
        <f>IF(Z$2&lt;=AnalysisPeriod,IF(SUM($C655:Z655)&gt;0,Y317+1,0),0)</f>
        <v>0</v>
      </c>
      <c r="AA317" s="52">
        <f>IF(AA$2&lt;=AnalysisPeriod,IF(SUM($C655:AA655)&gt;0,Z317+1,0),0)</f>
        <v>0</v>
      </c>
      <c r="AB317" s="52">
        <f>IF(AB$2&lt;=AnalysisPeriod,IF(SUM($C655:AB655)&gt;0,AA317+1,0),0)</f>
        <v>0</v>
      </c>
      <c r="AC317" s="52">
        <f>IF(AC$2&lt;=AnalysisPeriod,IF(SUM($C655:AC655)&gt;0,AB317+1,0),0)</f>
        <v>0</v>
      </c>
      <c r="AD317" s="52">
        <f>IF(AD$2&lt;=AnalysisPeriod,IF(SUM($C655:AD655)&gt;0,AC317+1,0),0)</f>
        <v>0</v>
      </c>
      <c r="AE317" s="52">
        <f>IF(AE$2&lt;=AnalysisPeriod,IF(SUM($C655:AE655)&gt;0,AD317+1,0),0)</f>
        <v>0</v>
      </c>
      <c r="AF317" s="52">
        <f>IF(AF$2&lt;=AnalysisPeriod,IF(SUM($C655:AF655)&gt;0,AE317+1,0),0)</f>
        <v>0</v>
      </c>
      <c r="AG317" s="52">
        <f>IF(AG$2&lt;=AnalysisPeriod,IF(SUM($C655:AG655)&gt;0,AF317+1,0),0)</f>
        <v>0</v>
      </c>
      <c r="AH317" s="52">
        <f>IF(AH$2&lt;=AnalysisPeriod,IF(SUM($C655:AH655)&gt;0,AG317+1,0),0)</f>
        <v>0</v>
      </c>
      <c r="AI317" s="52">
        <f>IF(AI$2&lt;=AnalysisPeriod,IF(SUM($C655:AI655)&gt;0,AH317+1,0),0)</f>
        <v>0</v>
      </c>
      <c r="AJ317" s="52">
        <f>IF(AJ$2&lt;=AnalysisPeriod,IF(SUM($C655:AJ655)&gt;0,AI317+1,0),0)</f>
        <v>0</v>
      </c>
      <c r="AK317" s="52">
        <f>IF(AK$2&lt;=AnalysisPeriod,IF(SUM($C655:AK655)&gt;0,AJ317+1,0),0)</f>
        <v>0</v>
      </c>
      <c r="AL317" s="52">
        <f>IF(AL$2&lt;=AnalysisPeriod,IF(SUM($C655:AL655)&gt;0,AK317+1,0),0)</f>
        <v>0</v>
      </c>
      <c r="AM317" s="52">
        <f>IF(AM$2&lt;=AnalysisPeriod,IF(SUM($C655:AM655)&gt;0,AL317+1,0),0)</f>
        <v>0</v>
      </c>
      <c r="AN317" s="52">
        <f>IF(AN$2&lt;=AnalysisPeriod,IF(SUM($C655:AN655)&gt;0,AM317+1,0),0)</f>
        <v>0</v>
      </c>
      <c r="AO317" s="52">
        <f>IF(AO$2&lt;=AnalysisPeriod,IF(SUM($C655:AO655)&gt;0,AN317+1,0),0)</f>
        <v>0</v>
      </c>
      <c r="AP317" s="52">
        <f>IF(AP$2&lt;=AnalysisPeriod,IF(SUM($C655:AP655)&gt;0,AO317+1,0),0)</f>
        <v>0</v>
      </c>
    </row>
    <row r="318" spans="1:42" x14ac:dyDescent="0.2">
      <c r="A318" s="35">
        <f t="shared" si="151"/>
        <v>7</v>
      </c>
      <c r="C318" s="52">
        <f>IF(C$2&lt;=AnalysisPeriod,IF(SUM($C656:C656)&gt;0,B318+1,0),0)</f>
        <v>0</v>
      </c>
      <c r="D318" s="52">
        <f>IF(D$2&lt;=AnalysisPeriod,IF(SUM($C656:D656)&gt;0,C318+1,0),0)</f>
        <v>0</v>
      </c>
      <c r="E318" s="52">
        <f>IF(E$2&lt;=AnalysisPeriod,IF(SUM($C656:E656)&gt;0,D318+1,0),0)</f>
        <v>0</v>
      </c>
      <c r="F318" s="52">
        <f>IF(F$2&lt;=AnalysisPeriod,IF(SUM($C656:F656)&gt;0,E318+1,0),0)</f>
        <v>0</v>
      </c>
      <c r="G318" s="52">
        <f>IF(G$2&lt;=AnalysisPeriod,IF(SUM($C656:G656)&gt;0,F318+1,0),0)</f>
        <v>0</v>
      </c>
      <c r="H318" s="52">
        <f>IF(H$2&lt;=AnalysisPeriod,IF(SUM($C656:H656)&gt;0,G318+1,0),0)</f>
        <v>0</v>
      </c>
      <c r="I318" s="52">
        <f>IF(I$2&lt;=AnalysisPeriod,IF(SUM($C656:I656)&gt;0,H318+1,0),0)</f>
        <v>0</v>
      </c>
      <c r="J318" s="52">
        <f>IF(J$2&lt;=AnalysisPeriod,IF(SUM($C656:J656)&gt;0,I318+1,0),0)</f>
        <v>0</v>
      </c>
      <c r="K318" s="52">
        <f>IF(K$2&lt;=AnalysisPeriod,IF(SUM($C656:K656)&gt;0,J318+1,0),0)</f>
        <v>0</v>
      </c>
      <c r="L318" s="52">
        <f>IF(L$2&lt;=AnalysisPeriod,IF(SUM($C656:L656)&gt;0,K318+1,0),0)</f>
        <v>0</v>
      </c>
      <c r="M318" s="52">
        <f>IF(M$2&lt;=AnalysisPeriod,IF(SUM($C656:M656)&gt;0,L318+1,0),0)</f>
        <v>0</v>
      </c>
      <c r="N318" s="52">
        <f>IF(N$2&lt;=AnalysisPeriod,IF(SUM($C656:N656)&gt;0,M318+1,0),0)</f>
        <v>0</v>
      </c>
      <c r="O318" s="52">
        <f>IF(O$2&lt;=AnalysisPeriod,IF(SUM($C656:O656)&gt;0,N318+1,0),0)</f>
        <v>0</v>
      </c>
      <c r="P318" s="52">
        <f>IF(P$2&lt;=AnalysisPeriod,IF(SUM($C656:P656)&gt;0,O318+1,0),0)</f>
        <v>0</v>
      </c>
      <c r="Q318" s="52">
        <f>IF(Q$2&lt;=AnalysisPeriod,IF(SUM($C656:Q656)&gt;0,P318+1,0),0)</f>
        <v>0</v>
      </c>
      <c r="R318" s="52">
        <f>IF(R$2&lt;=AnalysisPeriod,IF(SUM($C656:R656)&gt;0,Q318+1,0),0)</f>
        <v>0</v>
      </c>
      <c r="S318" s="52">
        <f>IF(S$2&lt;=AnalysisPeriod,IF(SUM($C656:S656)&gt;0,R318+1,0),0)</f>
        <v>0</v>
      </c>
      <c r="T318" s="52">
        <f>IF(T$2&lt;=AnalysisPeriod,IF(SUM($C656:T656)&gt;0,S318+1,0),0)</f>
        <v>0</v>
      </c>
      <c r="U318" s="52">
        <f>IF(U$2&lt;=AnalysisPeriod,IF(SUM($C656:U656)&gt;0,T318+1,0),0)</f>
        <v>0</v>
      </c>
      <c r="V318" s="52">
        <f>IF(V$2&lt;=AnalysisPeriod,IF(SUM($C656:V656)&gt;0,U318+1,0),0)</f>
        <v>0</v>
      </c>
      <c r="W318" s="52">
        <f>IF(W$2&lt;=AnalysisPeriod,IF(SUM($C656:W656)&gt;0,V318+1,0),0)</f>
        <v>0</v>
      </c>
      <c r="X318" s="52">
        <f>IF(X$2&lt;=AnalysisPeriod,IF(SUM($C656:X656)&gt;0,W318+1,0),0)</f>
        <v>0</v>
      </c>
      <c r="Y318" s="52">
        <f>IF(Y$2&lt;=AnalysisPeriod,IF(SUM($C656:Y656)&gt;0,X318+1,0),0)</f>
        <v>0</v>
      </c>
      <c r="Z318" s="52">
        <f>IF(Z$2&lt;=AnalysisPeriod,IF(SUM($C656:Z656)&gt;0,Y318+1,0),0)</f>
        <v>0</v>
      </c>
      <c r="AA318" s="52">
        <f>IF(AA$2&lt;=AnalysisPeriod,IF(SUM($C656:AA656)&gt;0,Z318+1,0),0)</f>
        <v>0</v>
      </c>
      <c r="AB318" s="52">
        <f>IF(AB$2&lt;=AnalysisPeriod,IF(SUM($C656:AB656)&gt;0,AA318+1,0),0)</f>
        <v>0</v>
      </c>
      <c r="AC318" s="52">
        <f>IF(AC$2&lt;=AnalysisPeriod,IF(SUM($C656:AC656)&gt;0,AB318+1,0),0)</f>
        <v>0</v>
      </c>
      <c r="AD318" s="52">
        <f>IF(AD$2&lt;=AnalysisPeriod,IF(SUM($C656:AD656)&gt;0,AC318+1,0),0)</f>
        <v>0</v>
      </c>
      <c r="AE318" s="52">
        <f>IF(AE$2&lt;=AnalysisPeriod,IF(SUM($C656:AE656)&gt;0,AD318+1,0),0)</f>
        <v>0</v>
      </c>
      <c r="AF318" s="52">
        <f>IF(AF$2&lt;=AnalysisPeriod,IF(SUM($C656:AF656)&gt;0,AE318+1,0),0)</f>
        <v>0</v>
      </c>
      <c r="AG318" s="52">
        <f>IF(AG$2&lt;=AnalysisPeriod,IF(SUM($C656:AG656)&gt;0,AF318+1,0),0)</f>
        <v>0</v>
      </c>
      <c r="AH318" s="52">
        <f>IF(AH$2&lt;=AnalysisPeriod,IF(SUM($C656:AH656)&gt;0,AG318+1,0),0)</f>
        <v>0</v>
      </c>
      <c r="AI318" s="52">
        <f>IF(AI$2&lt;=AnalysisPeriod,IF(SUM($C656:AI656)&gt;0,AH318+1,0),0)</f>
        <v>0</v>
      </c>
      <c r="AJ318" s="52">
        <f>IF(AJ$2&lt;=AnalysisPeriod,IF(SUM($C656:AJ656)&gt;0,AI318+1,0),0)</f>
        <v>0</v>
      </c>
      <c r="AK318" s="52">
        <f>IF(AK$2&lt;=AnalysisPeriod,IF(SUM($C656:AK656)&gt;0,AJ318+1,0),0)</f>
        <v>0</v>
      </c>
      <c r="AL318" s="52">
        <f>IF(AL$2&lt;=AnalysisPeriod,IF(SUM($C656:AL656)&gt;0,AK318+1,0),0)</f>
        <v>0</v>
      </c>
      <c r="AM318" s="52">
        <f>IF(AM$2&lt;=AnalysisPeriod,IF(SUM($C656:AM656)&gt;0,AL318+1,0),0)</f>
        <v>0</v>
      </c>
      <c r="AN318" s="52">
        <f>IF(AN$2&lt;=AnalysisPeriod,IF(SUM($C656:AN656)&gt;0,AM318+1,0),0)</f>
        <v>0</v>
      </c>
      <c r="AO318" s="52">
        <f>IF(AO$2&lt;=AnalysisPeriod,IF(SUM($C656:AO656)&gt;0,AN318+1,0),0)</f>
        <v>0</v>
      </c>
      <c r="AP318" s="52">
        <f>IF(AP$2&lt;=AnalysisPeriod,IF(SUM($C656:AP656)&gt;0,AO318+1,0),0)</f>
        <v>0</v>
      </c>
    </row>
    <row r="319" spans="1:42" x14ac:dyDescent="0.2">
      <c r="A319" s="35">
        <f t="shared" si="151"/>
        <v>8</v>
      </c>
      <c r="C319" s="52">
        <f>IF(C$2&lt;=AnalysisPeriod,IF(SUM($C657:C657)&gt;0,B319+1,0),0)</f>
        <v>0</v>
      </c>
      <c r="D319" s="52">
        <f>IF(D$2&lt;=AnalysisPeriod,IF(SUM($C657:D657)&gt;0,C319+1,0),0)</f>
        <v>0</v>
      </c>
      <c r="E319" s="52">
        <f>IF(E$2&lt;=AnalysisPeriod,IF(SUM($C657:E657)&gt;0,D319+1,0),0)</f>
        <v>0</v>
      </c>
      <c r="F319" s="52">
        <f>IF(F$2&lt;=AnalysisPeriod,IF(SUM($C657:F657)&gt;0,E319+1,0),0)</f>
        <v>0</v>
      </c>
      <c r="G319" s="52">
        <f>IF(G$2&lt;=AnalysisPeriod,IF(SUM($C657:G657)&gt;0,F319+1,0),0)</f>
        <v>0</v>
      </c>
      <c r="H319" s="52">
        <f>IF(H$2&lt;=AnalysisPeriod,IF(SUM($C657:H657)&gt;0,G319+1,0),0)</f>
        <v>0</v>
      </c>
      <c r="I319" s="52">
        <f>IF(I$2&lt;=AnalysisPeriod,IF(SUM($C657:I657)&gt;0,H319+1,0),0)</f>
        <v>0</v>
      </c>
      <c r="J319" s="52">
        <f>IF(J$2&lt;=AnalysisPeriod,IF(SUM($C657:J657)&gt;0,I319+1,0),0)</f>
        <v>0</v>
      </c>
      <c r="K319" s="52">
        <f>IF(K$2&lt;=AnalysisPeriod,IF(SUM($C657:K657)&gt;0,J319+1,0),0)</f>
        <v>0</v>
      </c>
      <c r="L319" s="52">
        <f>IF(L$2&lt;=AnalysisPeriod,IF(SUM($C657:L657)&gt;0,K319+1,0),0)</f>
        <v>0</v>
      </c>
      <c r="M319" s="52">
        <f>IF(M$2&lt;=AnalysisPeriod,IF(SUM($C657:M657)&gt;0,L319+1,0),0)</f>
        <v>0</v>
      </c>
      <c r="N319" s="52">
        <f>IF(N$2&lt;=AnalysisPeriod,IF(SUM($C657:N657)&gt;0,M319+1,0),0)</f>
        <v>0</v>
      </c>
      <c r="O319" s="52">
        <f>IF(O$2&lt;=AnalysisPeriod,IF(SUM($C657:O657)&gt;0,N319+1,0),0)</f>
        <v>0</v>
      </c>
      <c r="P319" s="52">
        <f>IF(P$2&lt;=AnalysisPeriod,IF(SUM($C657:P657)&gt;0,O319+1,0),0)</f>
        <v>0</v>
      </c>
      <c r="Q319" s="52">
        <f>IF(Q$2&lt;=AnalysisPeriod,IF(SUM($C657:Q657)&gt;0,P319+1,0),0)</f>
        <v>0</v>
      </c>
      <c r="R319" s="52">
        <f>IF(R$2&lt;=AnalysisPeriod,IF(SUM($C657:R657)&gt;0,Q319+1,0),0)</f>
        <v>0</v>
      </c>
      <c r="S319" s="52">
        <f>IF(S$2&lt;=AnalysisPeriod,IF(SUM($C657:S657)&gt;0,R319+1,0),0)</f>
        <v>0</v>
      </c>
      <c r="T319" s="52">
        <f>IF(T$2&lt;=AnalysisPeriod,IF(SUM($C657:T657)&gt;0,S319+1,0),0)</f>
        <v>0</v>
      </c>
      <c r="U319" s="52">
        <f>IF(U$2&lt;=AnalysisPeriod,IF(SUM($C657:U657)&gt;0,T319+1,0),0)</f>
        <v>0</v>
      </c>
      <c r="V319" s="52">
        <f>IF(V$2&lt;=AnalysisPeriod,IF(SUM($C657:V657)&gt;0,U319+1,0),0)</f>
        <v>0</v>
      </c>
      <c r="W319" s="52">
        <f>IF(W$2&lt;=AnalysisPeriod,IF(SUM($C657:W657)&gt;0,V319+1,0),0)</f>
        <v>0</v>
      </c>
      <c r="X319" s="52">
        <f>IF(X$2&lt;=AnalysisPeriod,IF(SUM($C657:X657)&gt;0,W319+1,0),0)</f>
        <v>0</v>
      </c>
      <c r="Y319" s="52">
        <f>IF(Y$2&lt;=AnalysisPeriod,IF(SUM($C657:Y657)&gt;0,X319+1,0),0)</f>
        <v>0</v>
      </c>
      <c r="Z319" s="52">
        <f>IF(Z$2&lt;=AnalysisPeriod,IF(SUM($C657:Z657)&gt;0,Y319+1,0),0)</f>
        <v>0</v>
      </c>
      <c r="AA319" s="52">
        <f>IF(AA$2&lt;=AnalysisPeriod,IF(SUM($C657:AA657)&gt;0,Z319+1,0),0)</f>
        <v>0</v>
      </c>
      <c r="AB319" s="52">
        <f>IF(AB$2&lt;=AnalysisPeriod,IF(SUM($C657:AB657)&gt;0,AA319+1,0),0)</f>
        <v>0</v>
      </c>
      <c r="AC319" s="52">
        <f>IF(AC$2&lt;=AnalysisPeriod,IF(SUM($C657:AC657)&gt;0,AB319+1,0),0)</f>
        <v>0</v>
      </c>
      <c r="AD319" s="52">
        <f>IF(AD$2&lt;=AnalysisPeriod,IF(SUM($C657:AD657)&gt;0,AC319+1,0),0)</f>
        <v>0</v>
      </c>
      <c r="AE319" s="52">
        <f>IF(AE$2&lt;=AnalysisPeriod,IF(SUM($C657:AE657)&gt;0,AD319+1,0),0)</f>
        <v>0</v>
      </c>
      <c r="AF319" s="52">
        <f>IF(AF$2&lt;=AnalysisPeriod,IF(SUM($C657:AF657)&gt;0,AE319+1,0),0)</f>
        <v>0</v>
      </c>
      <c r="AG319" s="52">
        <f>IF(AG$2&lt;=AnalysisPeriod,IF(SUM($C657:AG657)&gt;0,AF319+1,0),0)</f>
        <v>0</v>
      </c>
      <c r="AH319" s="52">
        <f>IF(AH$2&lt;=AnalysisPeriod,IF(SUM($C657:AH657)&gt;0,AG319+1,0),0)</f>
        <v>0</v>
      </c>
      <c r="AI319" s="52">
        <f>IF(AI$2&lt;=AnalysisPeriod,IF(SUM($C657:AI657)&gt;0,AH319+1,0),0)</f>
        <v>0</v>
      </c>
      <c r="AJ319" s="52">
        <f>IF(AJ$2&lt;=AnalysisPeriod,IF(SUM($C657:AJ657)&gt;0,AI319+1,0),0)</f>
        <v>0</v>
      </c>
      <c r="AK319" s="52">
        <f>IF(AK$2&lt;=AnalysisPeriod,IF(SUM($C657:AK657)&gt;0,AJ319+1,0),0)</f>
        <v>0</v>
      </c>
      <c r="AL319" s="52">
        <f>IF(AL$2&lt;=AnalysisPeriod,IF(SUM($C657:AL657)&gt;0,AK319+1,0),0)</f>
        <v>0</v>
      </c>
      <c r="AM319" s="52">
        <f>IF(AM$2&lt;=AnalysisPeriod,IF(SUM($C657:AM657)&gt;0,AL319+1,0),0)</f>
        <v>0</v>
      </c>
      <c r="AN319" s="52">
        <f>IF(AN$2&lt;=AnalysisPeriod,IF(SUM($C657:AN657)&gt;0,AM319+1,0),0)</f>
        <v>0</v>
      </c>
      <c r="AO319" s="52">
        <f>IF(AO$2&lt;=AnalysisPeriod,IF(SUM($C657:AO657)&gt;0,AN319+1,0),0)</f>
        <v>0</v>
      </c>
      <c r="AP319" s="52">
        <f>IF(AP$2&lt;=AnalysisPeriod,IF(SUM($C657:AP657)&gt;0,AO319+1,0),0)</f>
        <v>0</v>
      </c>
    </row>
    <row r="320" spans="1:42" x14ac:dyDescent="0.2">
      <c r="A320" s="35">
        <f>A319+1</f>
        <v>9</v>
      </c>
      <c r="C320" s="52">
        <f>IF(C$2&lt;=AnalysisPeriod,IF(SUM($C658:C658)&gt;0,B320+1,0),0)</f>
        <v>0</v>
      </c>
      <c r="D320" s="52">
        <f>IF(D$2&lt;=AnalysisPeriod,IF(SUM($C658:D658)&gt;0,C320+1,0),0)</f>
        <v>0</v>
      </c>
      <c r="E320" s="52">
        <f>IF(E$2&lt;=AnalysisPeriod,IF(SUM($C658:E658)&gt;0,D320+1,0),0)</f>
        <v>0</v>
      </c>
      <c r="F320" s="52">
        <f>IF(F$2&lt;=AnalysisPeriod,IF(SUM($C658:F658)&gt;0,E320+1,0),0)</f>
        <v>0</v>
      </c>
      <c r="G320" s="52">
        <f>IF(G$2&lt;=AnalysisPeriod,IF(SUM($C658:G658)&gt;0,F320+1,0),0)</f>
        <v>0</v>
      </c>
      <c r="H320" s="52">
        <f>IF(H$2&lt;=AnalysisPeriod,IF(SUM($C658:H658)&gt;0,G320+1,0),0)</f>
        <v>0</v>
      </c>
      <c r="I320" s="52">
        <f>IF(I$2&lt;=AnalysisPeriod,IF(SUM($C658:I658)&gt;0,H320+1,0),0)</f>
        <v>0</v>
      </c>
      <c r="J320" s="52">
        <f>IF(J$2&lt;=AnalysisPeriod,IF(SUM($C658:J658)&gt;0,I320+1,0),0)</f>
        <v>0</v>
      </c>
      <c r="K320" s="52">
        <f>IF(K$2&lt;=AnalysisPeriod,IF(SUM($C658:K658)&gt;0,J320+1,0),0)</f>
        <v>0</v>
      </c>
      <c r="L320" s="52">
        <f>IF(L$2&lt;=AnalysisPeriod,IF(SUM($C658:L658)&gt;0,K320+1,0),0)</f>
        <v>0</v>
      </c>
      <c r="M320" s="52">
        <f>IF(M$2&lt;=AnalysisPeriod,IF(SUM($C658:M658)&gt;0,L320+1,0),0)</f>
        <v>0</v>
      </c>
      <c r="N320" s="52">
        <f>IF(N$2&lt;=AnalysisPeriod,IF(SUM($C658:N658)&gt;0,M320+1,0),0)</f>
        <v>0</v>
      </c>
      <c r="O320" s="52">
        <f>IF(O$2&lt;=AnalysisPeriod,IF(SUM($C658:O658)&gt;0,N320+1,0),0)</f>
        <v>0</v>
      </c>
      <c r="P320" s="52">
        <f>IF(P$2&lt;=AnalysisPeriod,IF(SUM($C658:P658)&gt;0,O320+1,0),0)</f>
        <v>0</v>
      </c>
      <c r="Q320" s="52">
        <f>IF(Q$2&lt;=AnalysisPeriod,IF(SUM($C658:Q658)&gt;0,P320+1,0),0)</f>
        <v>0</v>
      </c>
      <c r="R320" s="52">
        <f>IF(R$2&lt;=AnalysisPeriod,IF(SUM($C658:R658)&gt;0,Q320+1,0),0)</f>
        <v>0</v>
      </c>
      <c r="S320" s="52">
        <f>IF(S$2&lt;=AnalysisPeriod,IF(SUM($C658:S658)&gt;0,R320+1,0),0)</f>
        <v>0</v>
      </c>
      <c r="T320" s="52">
        <f>IF(T$2&lt;=AnalysisPeriod,IF(SUM($C658:T658)&gt;0,S320+1,0),0)</f>
        <v>0</v>
      </c>
      <c r="U320" s="52">
        <f>IF(U$2&lt;=AnalysisPeriod,IF(SUM($C658:U658)&gt;0,T320+1,0),0)</f>
        <v>0</v>
      </c>
      <c r="V320" s="52">
        <f>IF(V$2&lt;=AnalysisPeriod,IF(SUM($C658:V658)&gt;0,U320+1,0),0)</f>
        <v>0</v>
      </c>
      <c r="W320" s="52">
        <f>IF(W$2&lt;=AnalysisPeriod,IF(SUM($C658:W658)&gt;0,V320+1,0),0)</f>
        <v>0</v>
      </c>
      <c r="X320" s="52">
        <f>IF(X$2&lt;=AnalysisPeriod,IF(SUM($C658:X658)&gt;0,W320+1,0),0)</f>
        <v>0</v>
      </c>
      <c r="Y320" s="52">
        <f>IF(Y$2&lt;=AnalysisPeriod,IF(SUM($C658:Y658)&gt;0,X320+1,0),0)</f>
        <v>0</v>
      </c>
      <c r="Z320" s="52">
        <f>IF(Z$2&lt;=AnalysisPeriod,IF(SUM($C658:Z658)&gt;0,Y320+1,0),0)</f>
        <v>0</v>
      </c>
      <c r="AA320" s="52">
        <f>IF(AA$2&lt;=AnalysisPeriod,IF(SUM($C658:AA658)&gt;0,Z320+1,0),0)</f>
        <v>0</v>
      </c>
      <c r="AB320" s="52">
        <f>IF(AB$2&lt;=AnalysisPeriod,IF(SUM($C658:AB658)&gt;0,AA320+1,0),0)</f>
        <v>0</v>
      </c>
      <c r="AC320" s="52">
        <f>IF(AC$2&lt;=AnalysisPeriod,IF(SUM($C658:AC658)&gt;0,AB320+1,0),0)</f>
        <v>0</v>
      </c>
      <c r="AD320" s="52">
        <f>IF(AD$2&lt;=AnalysisPeriod,IF(SUM($C658:AD658)&gt;0,AC320+1,0),0)</f>
        <v>0</v>
      </c>
      <c r="AE320" s="52">
        <f>IF(AE$2&lt;=AnalysisPeriod,IF(SUM($C658:AE658)&gt;0,AD320+1,0),0)</f>
        <v>0</v>
      </c>
      <c r="AF320" s="52">
        <f>IF(AF$2&lt;=AnalysisPeriod,IF(SUM($C658:AF658)&gt;0,AE320+1,0),0)</f>
        <v>0</v>
      </c>
      <c r="AG320" s="52">
        <f>IF(AG$2&lt;=AnalysisPeriod,IF(SUM($C658:AG658)&gt;0,AF320+1,0),0)</f>
        <v>0</v>
      </c>
      <c r="AH320" s="52">
        <f>IF(AH$2&lt;=AnalysisPeriod,IF(SUM($C658:AH658)&gt;0,AG320+1,0),0)</f>
        <v>0</v>
      </c>
      <c r="AI320" s="52">
        <f>IF(AI$2&lt;=AnalysisPeriod,IF(SUM($C658:AI658)&gt;0,AH320+1,0),0)</f>
        <v>0</v>
      </c>
      <c r="AJ320" s="52">
        <f>IF(AJ$2&lt;=AnalysisPeriod,IF(SUM($C658:AJ658)&gt;0,AI320+1,0),0)</f>
        <v>0</v>
      </c>
      <c r="AK320" s="52">
        <f>IF(AK$2&lt;=AnalysisPeriod,IF(SUM($C658:AK658)&gt;0,AJ320+1,0),0)</f>
        <v>0</v>
      </c>
      <c r="AL320" s="52">
        <f>IF(AL$2&lt;=AnalysisPeriod,IF(SUM($C658:AL658)&gt;0,AK320+1,0),0)</f>
        <v>0</v>
      </c>
      <c r="AM320" s="52">
        <f>IF(AM$2&lt;=AnalysisPeriod,IF(SUM($C658:AM658)&gt;0,AL320+1,0),0)</f>
        <v>0</v>
      </c>
      <c r="AN320" s="52">
        <f>IF(AN$2&lt;=AnalysisPeriod,IF(SUM($C658:AN658)&gt;0,AM320+1,0),0)</f>
        <v>0</v>
      </c>
      <c r="AO320" s="52">
        <f>IF(AO$2&lt;=AnalysisPeriod,IF(SUM($C658:AO658)&gt;0,AN320+1,0),0)</f>
        <v>0</v>
      </c>
      <c r="AP320" s="52">
        <f>IF(AP$2&lt;=AnalysisPeriod,IF(SUM($C658:AP658)&gt;0,AO320+1,0),0)</f>
        <v>0</v>
      </c>
    </row>
    <row r="321" spans="1:42" x14ac:dyDescent="0.2">
      <c r="A321" s="35">
        <f t="shared" si="151"/>
        <v>10</v>
      </c>
      <c r="C321" s="52">
        <f>IF(C$2&lt;=AnalysisPeriod,IF(SUM($C659:C659)&gt;0,B321+1,0),0)</f>
        <v>0</v>
      </c>
      <c r="D321" s="52">
        <f>IF(D$2&lt;=AnalysisPeriod,IF(SUM($C659:D659)&gt;0,C321+1,0),0)</f>
        <v>0</v>
      </c>
      <c r="E321" s="52">
        <f>IF(E$2&lt;=AnalysisPeriod,IF(SUM($C659:E659)&gt;0,D321+1,0),0)</f>
        <v>0</v>
      </c>
      <c r="F321" s="52">
        <f>IF(F$2&lt;=AnalysisPeriod,IF(SUM($C659:F659)&gt;0,E321+1,0),0)</f>
        <v>0</v>
      </c>
      <c r="G321" s="52">
        <f>IF(G$2&lt;=AnalysisPeriod,IF(SUM($C659:G659)&gt;0,F321+1,0),0)</f>
        <v>0</v>
      </c>
      <c r="H321" s="52">
        <f>IF(H$2&lt;=AnalysisPeriod,IF(SUM($C659:H659)&gt;0,G321+1,0),0)</f>
        <v>0</v>
      </c>
      <c r="I321" s="52">
        <f>IF(I$2&lt;=AnalysisPeriod,IF(SUM($C659:I659)&gt;0,H321+1,0),0)</f>
        <v>0</v>
      </c>
      <c r="J321" s="52">
        <f>IF(J$2&lt;=AnalysisPeriod,IF(SUM($C659:J659)&gt;0,I321+1,0),0)</f>
        <v>0</v>
      </c>
      <c r="K321" s="52">
        <f>IF(K$2&lt;=AnalysisPeriod,IF(SUM($C659:K659)&gt;0,J321+1,0),0)</f>
        <v>0</v>
      </c>
      <c r="L321" s="52">
        <f>IF(L$2&lt;=AnalysisPeriod,IF(SUM($C659:L659)&gt;0,K321+1,0),0)</f>
        <v>0</v>
      </c>
      <c r="M321" s="52">
        <f>IF(M$2&lt;=AnalysisPeriod,IF(SUM($C659:M659)&gt;0,L321+1,0),0)</f>
        <v>0</v>
      </c>
      <c r="N321" s="52">
        <f>IF(N$2&lt;=AnalysisPeriod,IF(SUM($C659:N659)&gt;0,M321+1,0),0)</f>
        <v>0</v>
      </c>
      <c r="O321" s="52">
        <f>IF(O$2&lt;=AnalysisPeriod,IF(SUM($C659:O659)&gt;0,N321+1,0),0)</f>
        <v>0</v>
      </c>
      <c r="P321" s="52">
        <f>IF(P$2&lt;=AnalysisPeriod,IF(SUM($C659:P659)&gt;0,O321+1,0),0)</f>
        <v>0</v>
      </c>
      <c r="Q321" s="52">
        <f>IF(Q$2&lt;=AnalysisPeriod,IF(SUM($C659:Q659)&gt;0,P321+1,0),0)</f>
        <v>0</v>
      </c>
      <c r="R321" s="52">
        <f>IF(R$2&lt;=AnalysisPeriod,IF(SUM($C659:R659)&gt;0,Q321+1,0),0)</f>
        <v>0</v>
      </c>
      <c r="S321" s="52">
        <f>IF(S$2&lt;=AnalysisPeriod,IF(SUM($C659:S659)&gt;0,R321+1,0),0)</f>
        <v>0</v>
      </c>
      <c r="T321" s="52">
        <f>IF(T$2&lt;=AnalysisPeriod,IF(SUM($C659:T659)&gt;0,S321+1,0),0)</f>
        <v>0</v>
      </c>
      <c r="U321" s="52">
        <f>IF(U$2&lt;=AnalysisPeriod,IF(SUM($C659:U659)&gt;0,T321+1,0),0)</f>
        <v>0</v>
      </c>
      <c r="V321" s="52">
        <f>IF(V$2&lt;=AnalysisPeriod,IF(SUM($C659:V659)&gt;0,U321+1,0),0)</f>
        <v>0</v>
      </c>
      <c r="W321" s="52">
        <f>IF(W$2&lt;=AnalysisPeriod,IF(SUM($C659:W659)&gt;0,V321+1,0),0)</f>
        <v>0</v>
      </c>
      <c r="X321" s="52">
        <f>IF(X$2&lt;=AnalysisPeriod,IF(SUM($C659:X659)&gt;0,W321+1,0),0)</f>
        <v>0</v>
      </c>
      <c r="Y321" s="52">
        <f>IF(Y$2&lt;=AnalysisPeriod,IF(SUM($C659:Y659)&gt;0,X321+1,0),0)</f>
        <v>0</v>
      </c>
      <c r="Z321" s="52">
        <f>IF(Z$2&lt;=AnalysisPeriod,IF(SUM($C659:Z659)&gt;0,Y321+1,0),0)</f>
        <v>0</v>
      </c>
      <c r="AA321" s="52">
        <f>IF(AA$2&lt;=AnalysisPeriod,IF(SUM($C659:AA659)&gt;0,Z321+1,0),0)</f>
        <v>0</v>
      </c>
      <c r="AB321" s="52">
        <f>IF(AB$2&lt;=AnalysisPeriod,IF(SUM($C659:AB659)&gt;0,AA321+1,0),0)</f>
        <v>0</v>
      </c>
      <c r="AC321" s="52">
        <f>IF(AC$2&lt;=AnalysisPeriod,IF(SUM($C659:AC659)&gt;0,AB321+1,0),0)</f>
        <v>0</v>
      </c>
      <c r="AD321" s="52">
        <f>IF(AD$2&lt;=AnalysisPeriod,IF(SUM($C659:AD659)&gt;0,AC321+1,0),0)</f>
        <v>0</v>
      </c>
      <c r="AE321" s="52">
        <f>IF(AE$2&lt;=AnalysisPeriod,IF(SUM($C659:AE659)&gt;0,AD321+1,0),0)</f>
        <v>0</v>
      </c>
      <c r="AF321" s="52">
        <f>IF(AF$2&lt;=AnalysisPeriod,IF(SUM($C659:AF659)&gt;0,AE321+1,0),0)</f>
        <v>0</v>
      </c>
      <c r="AG321" s="52">
        <f>IF(AG$2&lt;=AnalysisPeriod,IF(SUM($C659:AG659)&gt;0,AF321+1,0),0)</f>
        <v>0</v>
      </c>
      <c r="AH321" s="52">
        <f>IF(AH$2&lt;=AnalysisPeriod,IF(SUM($C659:AH659)&gt;0,AG321+1,0),0)</f>
        <v>0</v>
      </c>
      <c r="AI321" s="52">
        <f>IF(AI$2&lt;=AnalysisPeriod,IF(SUM($C659:AI659)&gt;0,AH321+1,0),0)</f>
        <v>0</v>
      </c>
      <c r="AJ321" s="52">
        <f>IF(AJ$2&lt;=AnalysisPeriod,IF(SUM($C659:AJ659)&gt;0,AI321+1,0),0)</f>
        <v>0</v>
      </c>
      <c r="AK321" s="52">
        <f>IF(AK$2&lt;=AnalysisPeriod,IF(SUM($C659:AK659)&gt;0,AJ321+1,0),0)</f>
        <v>0</v>
      </c>
      <c r="AL321" s="52">
        <f>IF(AL$2&lt;=AnalysisPeriod,IF(SUM($C659:AL659)&gt;0,AK321+1,0),0)</f>
        <v>0</v>
      </c>
      <c r="AM321" s="52">
        <f>IF(AM$2&lt;=AnalysisPeriod,IF(SUM($C659:AM659)&gt;0,AL321+1,0),0)</f>
        <v>0</v>
      </c>
      <c r="AN321" s="52">
        <f>IF(AN$2&lt;=AnalysisPeriod,IF(SUM($C659:AN659)&gt;0,AM321+1,0),0)</f>
        <v>0</v>
      </c>
      <c r="AO321" s="52">
        <f>IF(AO$2&lt;=AnalysisPeriod,IF(SUM($C659:AO659)&gt;0,AN321+1,0),0)</f>
        <v>0</v>
      </c>
      <c r="AP321" s="52">
        <f>IF(AP$2&lt;=AnalysisPeriod,IF(SUM($C659:AP659)&gt;0,AO321+1,0),0)</f>
        <v>0</v>
      </c>
    </row>
    <row r="322" spans="1:42" x14ac:dyDescent="0.2">
      <c r="A322" s="65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52"/>
      <c r="AE322" s="52"/>
      <c r="AF322" s="52"/>
      <c r="AG322" s="52"/>
      <c r="AH322" s="52"/>
      <c r="AI322" s="52"/>
      <c r="AJ322" s="52"/>
      <c r="AK322" s="52"/>
      <c r="AL322" s="52"/>
      <c r="AM322" s="52"/>
      <c r="AN322" s="52"/>
      <c r="AO322" s="52"/>
      <c r="AP322" s="52"/>
    </row>
    <row r="323" spans="1:42" x14ac:dyDescent="0.2">
      <c r="A323" s="65" t="s">
        <v>129</v>
      </c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52"/>
      <c r="AE323" s="52"/>
      <c r="AF323" s="52"/>
      <c r="AG323" s="52"/>
      <c r="AH323" s="52"/>
      <c r="AI323" s="52"/>
      <c r="AJ323" s="52"/>
      <c r="AK323" s="52"/>
      <c r="AL323" s="52"/>
      <c r="AM323" s="52"/>
      <c r="AN323" s="52"/>
      <c r="AO323" s="52"/>
      <c r="AP323" s="52"/>
    </row>
    <row r="324" spans="1:42" x14ac:dyDescent="0.2">
      <c r="A324" s="35">
        <v>1</v>
      </c>
      <c r="B324" s="58">
        <f t="shared" ref="B324:B333" si="152">SUM(C324:AP324)</f>
        <v>0</v>
      </c>
      <c r="C324" s="86">
        <f t="shared" ref="C324:AP324" si="153">LOOKUP(C312,$B$256:$AP$256,$B$257:$AP$257)*$B650</f>
        <v>0</v>
      </c>
      <c r="D324" s="52">
        <f t="shared" si="153"/>
        <v>0</v>
      </c>
      <c r="E324" s="52">
        <f t="shared" si="153"/>
        <v>0</v>
      </c>
      <c r="F324" s="52">
        <f t="shared" si="153"/>
        <v>0</v>
      </c>
      <c r="G324" s="52">
        <f t="shared" si="153"/>
        <v>0</v>
      </c>
      <c r="H324" s="52">
        <f t="shared" si="153"/>
        <v>0</v>
      </c>
      <c r="I324" s="52">
        <f t="shared" si="153"/>
        <v>0</v>
      </c>
      <c r="J324" s="52">
        <f t="shared" si="153"/>
        <v>0</v>
      </c>
      <c r="K324" s="52">
        <f t="shared" si="153"/>
        <v>0</v>
      </c>
      <c r="L324" s="52">
        <f t="shared" si="153"/>
        <v>0</v>
      </c>
      <c r="M324" s="52">
        <f t="shared" si="153"/>
        <v>0</v>
      </c>
      <c r="N324" s="52">
        <f t="shared" si="153"/>
        <v>0</v>
      </c>
      <c r="O324" s="52">
        <f t="shared" si="153"/>
        <v>0</v>
      </c>
      <c r="P324" s="52">
        <f t="shared" si="153"/>
        <v>0</v>
      </c>
      <c r="Q324" s="52">
        <f t="shared" si="153"/>
        <v>0</v>
      </c>
      <c r="R324" s="52">
        <f t="shared" si="153"/>
        <v>0</v>
      </c>
      <c r="S324" s="52">
        <f t="shared" si="153"/>
        <v>0</v>
      </c>
      <c r="T324" s="52">
        <f t="shared" si="153"/>
        <v>0</v>
      </c>
      <c r="U324" s="52">
        <f t="shared" si="153"/>
        <v>0</v>
      </c>
      <c r="V324" s="52">
        <f t="shared" si="153"/>
        <v>0</v>
      </c>
      <c r="W324" s="52">
        <f t="shared" si="153"/>
        <v>0</v>
      </c>
      <c r="X324" s="52">
        <f t="shared" si="153"/>
        <v>0</v>
      </c>
      <c r="Y324" s="52">
        <f t="shared" si="153"/>
        <v>0</v>
      </c>
      <c r="Z324" s="52">
        <f t="shared" si="153"/>
        <v>0</v>
      </c>
      <c r="AA324" s="52">
        <f t="shared" si="153"/>
        <v>0</v>
      </c>
      <c r="AB324" s="52">
        <f t="shared" si="153"/>
        <v>0</v>
      </c>
      <c r="AC324" s="52">
        <f t="shared" si="153"/>
        <v>0</v>
      </c>
      <c r="AD324" s="52">
        <f t="shared" si="153"/>
        <v>0</v>
      </c>
      <c r="AE324" s="52">
        <f t="shared" si="153"/>
        <v>0</v>
      </c>
      <c r="AF324" s="52">
        <f t="shared" si="153"/>
        <v>0</v>
      </c>
      <c r="AG324" s="52">
        <f t="shared" si="153"/>
        <v>0</v>
      </c>
      <c r="AH324" s="52">
        <f t="shared" si="153"/>
        <v>0</v>
      </c>
      <c r="AI324" s="52">
        <f t="shared" si="153"/>
        <v>0</v>
      </c>
      <c r="AJ324" s="52">
        <f t="shared" si="153"/>
        <v>0</v>
      </c>
      <c r="AK324" s="52">
        <f t="shared" si="153"/>
        <v>0</v>
      </c>
      <c r="AL324" s="52">
        <f t="shared" si="153"/>
        <v>0</v>
      </c>
      <c r="AM324" s="52">
        <f t="shared" si="153"/>
        <v>0</v>
      </c>
      <c r="AN324" s="52">
        <f t="shared" si="153"/>
        <v>0</v>
      </c>
      <c r="AO324" s="52">
        <f t="shared" si="153"/>
        <v>0</v>
      </c>
      <c r="AP324" s="52">
        <f t="shared" si="153"/>
        <v>0</v>
      </c>
    </row>
    <row r="325" spans="1:42" x14ac:dyDescent="0.2">
      <c r="A325" s="35">
        <f>A324+1</f>
        <v>2</v>
      </c>
      <c r="B325" s="58">
        <f t="shared" si="152"/>
        <v>0</v>
      </c>
      <c r="C325" s="86">
        <f t="shared" ref="C325:AP325" si="154">LOOKUP(C313,$B$256:$AP$256,$B$257:$AP$257)*$B651</f>
        <v>0</v>
      </c>
      <c r="D325" s="52">
        <f t="shared" si="154"/>
        <v>0</v>
      </c>
      <c r="E325" s="52">
        <f t="shared" si="154"/>
        <v>0</v>
      </c>
      <c r="F325" s="52">
        <f t="shared" si="154"/>
        <v>0</v>
      </c>
      <c r="G325" s="52">
        <f t="shared" si="154"/>
        <v>0</v>
      </c>
      <c r="H325" s="52">
        <f t="shared" si="154"/>
        <v>0</v>
      </c>
      <c r="I325" s="52">
        <f t="shared" si="154"/>
        <v>0</v>
      </c>
      <c r="J325" s="52">
        <f t="shared" si="154"/>
        <v>0</v>
      </c>
      <c r="K325" s="52">
        <f t="shared" si="154"/>
        <v>0</v>
      </c>
      <c r="L325" s="52">
        <f t="shared" si="154"/>
        <v>0</v>
      </c>
      <c r="M325" s="52">
        <f t="shared" si="154"/>
        <v>0</v>
      </c>
      <c r="N325" s="52">
        <f t="shared" si="154"/>
        <v>0</v>
      </c>
      <c r="O325" s="52">
        <f t="shared" si="154"/>
        <v>0</v>
      </c>
      <c r="P325" s="52">
        <f t="shared" si="154"/>
        <v>0</v>
      </c>
      <c r="Q325" s="52">
        <f t="shared" si="154"/>
        <v>0</v>
      </c>
      <c r="R325" s="52">
        <f t="shared" si="154"/>
        <v>0</v>
      </c>
      <c r="S325" s="52">
        <f t="shared" si="154"/>
        <v>0</v>
      </c>
      <c r="T325" s="52">
        <f t="shared" si="154"/>
        <v>0</v>
      </c>
      <c r="U325" s="52">
        <f t="shared" si="154"/>
        <v>0</v>
      </c>
      <c r="V325" s="52">
        <f t="shared" si="154"/>
        <v>0</v>
      </c>
      <c r="W325" s="52">
        <f t="shared" si="154"/>
        <v>0</v>
      </c>
      <c r="X325" s="52">
        <f t="shared" si="154"/>
        <v>0</v>
      </c>
      <c r="Y325" s="52">
        <f t="shared" si="154"/>
        <v>0</v>
      </c>
      <c r="Z325" s="52">
        <f t="shared" si="154"/>
        <v>0</v>
      </c>
      <c r="AA325" s="52">
        <f t="shared" si="154"/>
        <v>0</v>
      </c>
      <c r="AB325" s="52">
        <f t="shared" si="154"/>
        <v>0</v>
      </c>
      <c r="AC325" s="52">
        <f t="shared" si="154"/>
        <v>0</v>
      </c>
      <c r="AD325" s="52">
        <f t="shared" si="154"/>
        <v>0</v>
      </c>
      <c r="AE325" s="52">
        <f t="shared" si="154"/>
        <v>0</v>
      </c>
      <c r="AF325" s="52">
        <f t="shared" si="154"/>
        <v>0</v>
      </c>
      <c r="AG325" s="52">
        <f t="shared" si="154"/>
        <v>0</v>
      </c>
      <c r="AH325" s="52">
        <f t="shared" si="154"/>
        <v>0</v>
      </c>
      <c r="AI325" s="52">
        <f t="shared" si="154"/>
        <v>0</v>
      </c>
      <c r="AJ325" s="52">
        <f t="shared" si="154"/>
        <v>0</v>
      </c>
      <c r="AK325" s="52">
        <f t="shared" si="154"/>
        <v>0</v>
      </c>
      <c r="AL325" s="52">
        <f t="shared" si="154"/>
        <v>0</v>
      </c>
      <c r="AM325" s="52">
        <f t="shared" si="154"/>
        <v>0</v>
      </c>
      <c r="AN325" s="52">
        <f t="shared" si="154"/>
        <v>0</v>
      </c>
      <c r="AO325" s="52">
        <f t="shared" si="154"/>
        <v>0</v>
      </c>
      <c r="AP325" s="52">
        <f t="shared" si="154"/>
        <v>0</v>
      </c>
    </row>
    <row r="326" spans="1:42" x14ac:dyDescent="0.2">
      <c r="A326" s="35">
        <f t="shared" ref="A326:A333" si="155">A325+1</f>
        <v>3</v>
      </c>
      <c r="B326" s="58">
        <f t="shared" si="152"/>
        <v>0</v>
      </c>
      <c r="C326" s="86">
        <f t="shared" ref="C326:AP326" si="156">LOOKUP(C314,$B$256:$AP$256,$B$257:$AP$257)*$B652</f>
        <v>0</v>
      </c>
      <c r="D326" s="52">
        <f t="shared" si="156"/>
        <v>0</v>
      </c>
      <c r="E326" s="52">
        <f t="shared" si="156"/>
        <v>0</v>
      </c>
      <c r="F326" s="52">
        <f t="shared" si="156"/>
        <v>0</v>
      </c>
      <c r="G326" s="52">
        <f t="shared" si="156"/>
        <v>0</v>
      </c>
      <c r="H326" s="52">
        <f t="shared" si="156"/>
        <v>0</v>
      </c>
      <c r="I326" s="52">
        <f t="shared" si="156"/>
        <v>0</v>
      </c>
      <c r="J326" s="52">
        <f t="shared" si="156"/>
        <v>0</v>
      </c>
      <c r="K326" s="52">
        <f t="shared" si="156"/>
        <v>0</v>
      </c>
      <c r="L326" s="52">
        <f t="shared" si="156"/>
        <v>0</v>
      </c>
      <c r="M326" s="52">
        <f t="shared" si="156"/>
        <v>0</v>
      </c>
      <c r="N326" s="52">
        <f t="shared" si="156"/>
        <v>0</v>
      </c>
      <c r="O326" s="52">
        <f t="shared" si="156"/>
        <v>0</v>
      </c>
      <c r="P326" s="52">
        <f t="shared" si="156"/>
        <v>0</v>
      </c>
      <c r="Q326" s="52">
        <f t="shared" si="156"/>
        <v>0</v>
      </c>
      <c r="R326" s="52">
        <f t="shared" si="156"/>
        <v>0</v>
      </c>
      <c r="S326" s="52">
        <f t="shared" si="156"/>
        <v>0</v>
      </c>
      <c r="T326" s="52">
        <f t="shared" si="156"/>
        <v>0</v>
      </c>
      <c r="U326" s="52">
        <f t="shared" si="156"/>
        <v>0</v>
      </c>
      <c r="V326" s="52">
        <f t="shared" si="156"/>
        <v>0</v>
      </c>
      <c r="W326" s="52">
        <f t="shared" si="156"/>
        <v>0</v>
      </c>
      <c r="X326" s="52">
        <f t="shared" si="156"/>
        <v>0</v>
      </c>
      <c r="Y326" s="52">
        <f t="shared" si="156"/>
        <v>0</v>
      </c>
      <c r="Z326" s="52">
        <f t="shared" si="156"/>
        <v>0</v>
      </c>
      <c r="AA326" s="52">
        <f t="shared" si="156"/>
        <v>0</v>
      </c>
      <c r="AB326" s="52">
        <f t="shared" si="156"/>
        <v>0</v>
      </c>
      <c r="AC326" s="52">
        <f t="shared" si="156"/>
        <v>0</v>
      </c>
      <c r="AD326" s="52">
        <f t="shared" si="156"/>
        <v>0</v>
      </c>
      <c r="AE326" s="52">
        <f t="shared" si="156"/>
        <v>0</v>
      </c>
      <c r="AF326" s="52">
        <f t="shared" si="156"/>
        <v>0</v>
      </c>
      <c r="AG326" s="52">
        <f t="shared" si="156"/>
        <v>0</v>
      </c>
      <c r="AH326" s="52">
        <f t="shared" si="156"/>
        <v>0</v>
      </c>
      <c r="AI326" s="52">
        <f t="shared" si="156"/>
        <v>0</v>
      </c>
      <c r="AJ326" s="52">
        <f t="shared" si="156"/>
        <v>0</v>
      </c>
      <c r="AK326" s="52">
        <f t="shared" si="156"/>
        <v>0</v>
      </c>
      <c r="AL326" s="52">
        <f t="shared" si="156"/>
        <v>0</v>
      </c>
      <c r="AM326" s="52">
        <f t="shared" si="156"/>
        <v>0</v>
      </c>
      <c r="AN326" s="52">
        <f t="shared" si="156"/>
        <v>0</v>
      </c>
      <c r="AO326" s="52">
        <f t="shared" si="156"/>
        <v>0</v>
      </c>
      <c r="AP326" s="52">
        <f t="shared" si="156"/>
        <v>0</v>
      </c>
    </row>
    <row r="327" spans="1:42" x14ac:dyDescent="0.2">
      <c r="A327" s="35">
        <f t="shared" si="155"/>
        <v>4</v>
      </c>
      <c r="B327" s="58">
        <f t="shared" si="152"/>
        <v>0</v>
      </c>
      <c r="C327" s="86">
        <f t="shared" ref="C327:AP327" si="157">LOOKUP(C315,$B$256:$AP$256,$B$257:$AP$257)*$B653</f>
        <v>0</v>
      </c>
      <c r="D327" s="52">
        <f t="shared" si="157"/>
        <v>0</v>
      </c>
      <c r="E327" s="52">
        <f t="shared" si="157"/>
        <v>0</v>
      </c>
      <c r="F327" s="52">
        <f t="shared" si="157"/>
        <v>0</v>
      </c>
      <c r="G327" s="52">
        <f t="shared" si="157"/>
        <v>0</v>
      </c>
      <c r="H327" s="52">
        <f t="shared" si="157"/>
        <v>0</v>
      </c>
      <c r="I327" s="52">
        <f t="shared" si="157"/>
        <v>0</v>
      </c>
      <c r="J327" s="52">
        <f t="shared" si="157"/>
        <v>0</v>
      </c>
      <c r="K327" s="52">
        <f t="shared" si="157"/>
        <v>0</v>
      </c>
      <c r="L327" s="52">
        <f t="shared" si="157"/>
        <v>0</v>
      </c>
      <c r="M327" s="52">
        <f t="shared" si="157"/>
        <v>0</v>
      </c>
      <c r="N327" s="52">
        <f t="shared" si="157"/>
        <v>0</v>
      </c>
      <c r="O327" s="52">
        <f t="shared" si="157"/>
        <v>0</v>
      </c>
      <c r="P327" s="52">
        <f t="shared" si="157"/>
        <v>0</v>
      </c>
      <c r="Q327" s="52">
        <f t="shared" si="157"/>
        <v>0</v>
      </c>
      <c r="R327" s="52">
        <f t="shared" si="157"/>
        <v>0</v>
      </c>
      <c r="S327" s="52">
        <f t="shared" si="157"/>
        <v>0</v>
      </c>
      <c r="T327" s="52">
        <f t="shared" si="157"/>
        <v>0</v>
      </c>
      <c r="U327" s="52">
        <f t="shared" si="157"/>
        <v>0</v>
      </c>
      <c r="V327" s="52">
        <f t="shared" si="157"/>
        <v>0</v>
      </c>
      <c r="W327" s="52">
        <f t="shared" si="157"/>
        <v>0</v>
      </c>
      <c r="X327" s="52">
        <f t="shared" si="157"/>
        <v>0</v>
      </c>
      <c r="Y327" s="52">
        <f t="shared" si="157"/>
        <v>0</v>
      </c>
      <c r="Z327" s="52">
        <f t="shared" si="157"/>
        <v>0</v>
      </c>
      <c r="AA327" s="52">
        <f t="shared" si="157"/>
        <v>0</v>
      </c>
      <c r="AB327" s="52">
        <f t="shared" si="157"/>
        <v>0</v>
      </c>
      <c r="AC327" s="52">
        <f t="shared" si="157"/>
        <v>0</v>
      </c>
      <c r="AD327" s="52">
        <f t="shared" si="157"/>
        <v>0</v>
      </c>
      <c r="AE327" s="52">
        <f t="shared" si="157"/>
        <v>0</v>
      </c>
      <c r="AF327" s="52">
        <f t="shared" si="157"/>
        <v>0</v>
      </c>
      <c r="AG327" s="52">
        <f t="shared" si="157"/>
        <v>0</v>
      </c>
      <c r="AH327" s="52">
        <f t="shared" si="157"/>
        <v>0</v>
      </c>
      <c r="AI327" s="52">
        <f t="shared" si="157"/>
        <v>0</v>
      </c>
      <c r="AJ327" s="52">
        <f t="shared" si="157"/>
        <v>0</v>
      </c>
      <c r="AK327" s="52">
        <f t="shared" si="157"/>
        <v>0</v>
      </c>
      <c r="AL327" s="52">
        <f t="shared" si="157"/>
        <v>0</v>
      </c>
      <c r="AM327" s="52">
        <f t="shared" si="157"/>
        <v>0</v>
      </c>
      <c r="AN327" s="52">
        <f t="shared" si="157"/>
        <v>0</v>
      </c>
      <c r="AO327" s="52">
        <f t="shared" si="157"/>
        <v>0</v>
      </c>
      <c r="AP327" s="52">
        <f t="shared" si="157"/>
        <v>0</v>
      </c>
    </row>
    <row r="328" spans="1:42" x14ac:dyDescent="0.2">
      <c r="A328" s="35">
        <f t="shared" si="155"/>
        <v>5</v>
      </c>
      <c r="B328" s="58">
        <f t="shared" si="152"/>
        <v>0</v>
      </c>
      <c r="C328" s="86">
        <f t="shared" ref="C328:AP328" si="158">LOOKUP(C316,$B$256:$AP$256,$B$257:$AP$257)*$B654</f>
        <v>0</v>
      </c>
      <c r="D328" s="52">
        <f t="shared" si="158"/>
        <v>0</v>
      </c>
      <c r="E328" s="52">
        <f t="shared" si="158"/>
        <v>0</v>
      </c>
      <c r="F328" s="52">
        <f t="shared" si="158"/>
        <v>0</v>
      </c>
      <c r="G328" s="52">
        <f t="shared" si="158"/>
        <v>0</v>
      </c>
      <c r="H328" s="52">
        <f t="shared" si="158"/>
        <v>0</v>
      </c>
      <c r="I328" s="52">
        <f t="shared" si="158"/>
        <v>0</v>
      </c>
      <c r="J328" s="52">
        <f t="shared" si="158"/>
        <v>0</v>
      </c>
      <c r="K328" s="52">
        <f t="shared" si="158"/>
        <v>0</v>
      </c>
      <c r="L328" s="52">
        <f t="shared" si="158"/>
        <v>0</v>
      </c>
      <c r="M328" s="52">
        <f t="shared" si="158"/>
        <v>0</v>
      </c>
      <c r="N328" s="52">
        <f t="shared" si="158"/>
        <v>0</v>
      </c>
      <c r="O328" s="52">
        <f t="shared" si="158"/>
        <v>0</v>
      </c>
      <c r="P328" s="52">
        <f t="shared" si="158"/>
        <v>0</v>
      </c>
      <c r="Q328" s="52">
        <f t="shared" si="158"/>
        <v>0</v>
      </c>
      <c r="R328" s="52">
        <f t="shared" si="158"/>
        <v>0</v>
      </c>
      <c r="S328" s="52">
        <f t="shared" si="158"/>
        <v>0</v>
      </c>
      <c r="T328" s="52">
        <f t="shared" si="158"/>
        <v>0</v>
      </c>
      <c r="U328" s="52">
        <f t="shared" si="158"/>
        <v>0</v>
      </c>
      <c r="V328" s="52">
        <f t="shared" si="158"/>
        <v>0</v>
      </c>
      <c r="W328" s="52">
        <f t="shared" si="158"/>
        <v>0</v>
      </c>
      <c r="X328" s="52">
        <f t="shared" si="158"/>
        <v>0</v>
      </c>
      <c r="Y328" s="52">
        <f t="shared" si="158"/>
        <v>0</v>
      </c>
      <c r="Z328" s="52">
        <f t="shared" si="158"/>
        <v>0</v>
      </c>
      <c r="AA328" s="52">
        <f t="shared" si="158"/>
        <v>0</v>
      </c>
      <c r="AB328" s="52">
        <f t="shared" si="158"/>
        <v>0</v>
      </c>
      <c r="AC328" s="52">
        <f t="shared" si="158"/>
        <v>0</v>
      </c>
      <c r="AD328" s="52">
        <f t="shared" si="158"/>
        <v>0</v>
      </c>
      <c r="AE328" s="52">
        <f t="shared" si="158"/>
        <v>0</v>
      </c>
      <c r="AF328" s="52">
        <f t="shared" si="158"/>
        <v>0</v>
      </c>
      <c r="AG328" s="52">
        <f t="shared" si="158"/>
        <v>0</v>
      </c>
      <c r="AH328" s="52">
        <f t="shared" si="158"/>
        <v>0</v>
      </c>
      <c r="AI328" s="52">
        <f t="shared" si="158"/>
        <v>0</v>
      </c>
      <c r="AJ328" s="52">
        <f t="shared" si="158"/>
        <v>0</v>
      </c>
      <c r="AK328" s="52">
        <f t="shared" si="158"/>
        <v>0</v>
      </c>
      <c r="AL328" s="52">
        <f t="shared" si="158"/>
        <v>0</v>
      </c>
      <c r="AM328" s="52">
        <f t="shared" si="158"/>
        <v>0</v>
      </c>
      <c r="AN328" s="52">
        <f t="shared" si="158"/>
        <v>0</v>
      </c>
      <c r="AO328" s="52">
        <f t="shared" si="158"/>
        <v>0</v>
      </c>
      <c r="AP328" s="52">
        <f t="shared" si="158"/>
        <v>0</v>
      </c>
    </row>
    <row r="329" spans="1:42" x14ac:dyDescent="0.2">
      <c r="A329" s="35">
        <f t="shared" si="155"/>
        <v>6</v>
      </c>
      <c r="B329" s="58">
        <f t="shared" si="152"/>
        <v>0</v>
      </c>
      <c r="C329" s="86">
        <f t="shared" ref="C329:AP329" si="159">LOOKUP(C317,$B$256:$AP$256,$B$257:$AP$257)*$B655</f>
        <v>0</v>
      </c>
      <c r="D329" s="52">
        <f t="shared" si="159"/>
        <v>0</v>
      </c>
      <c r="E329" s="52">
        <f t="shared" si="159"/>
        <v>0</v>
      </c>
      <c r="F329" s="52">
        <f t="shared" si="159"/>
        <v>0</v>
      </c>
      <c r="G329" s="52">
        <f t="shared" si="159"/>
        <v>0</v>
      </c>
      <c r="H329" s="52">
        <f t="shared" si="159"/>
        <v>0</v>
      </c>
      <c r="I329" s="52">
        <f t="shared" si="159"/>
        <v>0</v>
      </c>
      <c r="J329" s="52">
        <f t="shared" si="159"/>
        <v>0</v>
      </c>
      <c r="K329" s="52">
        <f t="shared" si="159"/>
        <v>0</v>
      </c>
      <c r="L329" s="52">
        <f t="shared" si="159"/>
        <v>0</v>
      </c>
      <c r="M329" s="52">
        <f t="shared" si="159"/>
        <v>0</v>
      </c>
      <c r="N329" s="52">
        <f t="shared" si="159"/>
        <v>0</v>
      </c>
      <c r="O329" s="52">
        <f t="shared" si="159"/>
        <v>0</v>
      </c>
      <c r="P329" s="52">
        <f t="shared" si="159"/>
        <v>0</v>
      </c>
      <c r="Q329" s="52">
        <f t="shared" si="159"/>
        <v>0</v>
      </c>
      <c r="R329" s="52">
        <f t="shared" si="159"/>
        <v>0</v>
      </c>
      <c r="S329" s="52">
        <f t="shared" si="159"/>
        <v>0</v>
      </c>
      <c r="T329" s="52">
        <f t="shared" si="159"/>
        <v>0</v>
      </c>
      <c r="U329" s="52">
        <f t="shared" si="159"/>
        <v>0</v>
      </c>
      <c r="V329" s="52">
        <f t="shared" si="159"/>
        <v>0</v>
      </c>
      <c r="W329" s="52">
        <f t="shared" si="159"/>
        <v>0</v>
      </c>
      <c r="X329" s="52">
        <f t="shared" si="159"/>
        <v>0</v>
      </c>
      <c r="Y329" s="52">
        <f t="shared" si="159"/>
        <v>0</v>
      </c>
      <c r="Z329" s="52">
        <f t="shared" si="159"/>
        <v>0</v>
      </c>
      <c r="AA329" s="52">
        <f t="shared" si="159"/>
        <v>0</v>
      </c>
      <c r="AB329" s="52">
        <f t="shared" si="159"/>
        <v>0</v>
      </c>
      <c r="AC329" s="52">
        <f t="shared" si="159"/>
        <v>0</v>
      </c>
      <c r="AD329" s="52">
        <f t="shared" si="159"/>
        <v>0</v>
      </c>
      <c r="AE329" s="52">
        <f t="shared" si="159"/>
        <v>0</v>
      </c>
      <c r="AF329" s="52">
        <f t="shared" si="159"/>
        <v>0</v>
      </c>
      <c r="AG329" s="52">
        <f t="shared" si="159"/>
        <v>0</v>
      </c>
      <c r="AH329" s="52">
        <f t="shared" si="159"/>
        <v>0</v>
      </c>
      <c r="AI329" s="52">
        <f t="shared" si="159"/>
        <v>0</v>
      </c>
      <c r="AJ329" s="52">
        <f t="shared" si="159"/>
        <v>0</v>
      </c>
      <c r="AK329" s="52">
        <f t="shared" si="159"/>
        <v>0</v>
      </c>
      <c r="AL329" s="52">
        <f t="shared" si="159"/>
        <v>0</v>
      </c>
      <c r="AM329" s="52">
        <f t="shared" si="159"/>
        <v>0</v>
      </c>
      <c r="AN329" s="52">
        <f t="shared" si="159"/>
        <v>0</v>
      </c>
      <c r="AO329" s="52">
        <f t="shared" si="159"/>
        <v>0</v>
      </c>
      <c r="AP329" s="52">
        <f t="shared" si="159"/>
        <v>0</v>
      </c>
    </row>
    <row r="330" spans="1:42" x14ac:dyDescent="0.2">
      <c r="A330" s="35">
        <f t="shared" si="155"/>
        <v>7</v>
      </c>
      <c r="B330" s="58">
        <f t="shared" si="152"/>
        <v>0</v>
      </c>
      <c r="C330" s="86">
        <f t="shared" ref="C330:AP330" si="160">LOOKUP(C318,$B$256:$AP$256,$B$257:$AP$257)*$B656</f>
        <v>0</v>
      </c>
      <c r="D330" s="52">
        <f t="shared" si="160"/>
        <v>0</v>
      </c>
      <c r="E330" s="52">
        <f t="shared" si="160"/>
        <v>0</v>
      </c>
      <c r="F330" s="52">
        <f t="shared" si="160"/>
        <v>0</v>
      </c>
      <c r="G330" s="52">
        <f t="shared" si="160"/>
        <v>0</v>
      </c>
      <c r="H330" s="52">
        <f t="shared" si="160"/>
        <v>0</v>
      </c>
      <c r="I330" s="52">
        <f t="shared" si="160"/>
        <v>0</v>
      </c>
      <c r="J330" s="52">
        <f t="shared" si="160"/>
        <v>0</v>
      </c>
      <c r="K330" s="52">
        <f t="shared" si="160"/>
        <v>0</v>
      </c>
      <c r="L330" s="52">
        <f t="shared" si="160"/>
        <v>0</v>
      </c>
      <c r="M330" s="52">
        <f t="shared" si="160"/>
        <v>0</v>
      </c>
      <c r="N330" s="52">
        <f t="shared" si="160"/>
        <v>0</v>
      </c>
      <c r="O330" s="52">
        <f t="shared" si="160"/>
        <v>0</v>
      </c>
      <c r="P330" s="52">
        <f t="shared" si="160"/>
        <v>0</v>
      </c>
      <c r="Q330" s="52">
        <f t="shared" si="160"/>
        <v>0</v>
      </c>
      <c r="R330" s="52">
        <f t="shared" si="160"/>
        <v>0</v>
      </c>
      <c r="S330" s="52">
        <f t="shared" si="160"/>
        <v>0</v>
      </c>
      <c r="T330" s="52">
        <f t="shared" si="160"/>
        <v>0</v>
      </c>
      <c r="U330" s="52">
        <f t="shared" si="160"/>
        <v>0</v>
      </c>
      <c r="V330" s="52">
        <f t="shared" si="160"/>
        <v>0</v>
      </c>
      <c r="W330" s="52">
        <f t="shared" si="160"/>
        <v>0</v>
      </c>
      <c r="X330" s="52">
        <f t="shared" si="160"/>
        <v>0</v>
      </c>
      <c r="Y330" s="52">
        <f t="shared" si="160"/>
        <v>0</v>
      </c>
      <c r="Z330" s="52">
        <f t="shared" si="160"/>
        <v>0</v>
      </c>
      <c r="AA330" s="52">
        <f t="shared" si="160"/>
        <v>0</v>
      </c>
      <c r="AB330" s="52">
        <f t="shared" si="160"/>
        <v>0</v>
      </c>
      <c r="AC330" s="52">
        <f t="shared" si="160"/>
        <v>0</v>
      </c>
      <c r="AD330" s="52">
        <f t="shared" si="160"/>
        <v>0</v>
      </c>
      <c r="AE330" s="52">
        <f t="shared" si="160"/>
        <v>0</v>
      </c>
      <c r="AF330" s="52">
        <f t="shared" si="160"/>
        <v>0</v>
      </c>
      <c r="AG330" s="52">
        <f t="shared" si="160"/>
        <v>0</v>
      </c>
      <c r="AH330" s="52">
        <f t="shared" si="160"/>
        <v>0</v>
      </c>
      <c r="AI330" s="52">
        <f t="shared" si="160"/>
        <v>0</v>
      </c>
      <c r="AJ330" s="52">
        <f t="shared" si="160"/>
        <v>0</v>
      </c>
      <c r="AK330" s="52">
        <f t="shared" si="160"/>
        <v>0</v>
      </c>
      <c r="AL330" s="52">
        <f t="shared" si="160"/>
        <v>0</v>
      </c>
      <c r="AM330" s="52">
        <f t="shared" si="160"/>
        <v>0</v>
      </c>
      <c r="AN330" s="52">
        <f t="shared" si="160"/>
        <v>0</v>
      </c>
      <c r="AO330" s="52">
        <f t="shared" si="160"/>
        <v>0</v>
      </c>
      <c r="AP330" s="52">
        <f t="shared" si="160"/>
        <v>0</v>
      </c>
    </row>
    <row r="331" spans="1:42" x14ac:dyDescent="0.2">
      <c r="A331" s="35">
        <f t="shared" si="155"/>
        <v>8</v>
      </c>
      <c r="B331" s="58">
        <f t="shared" si="152"/>
        <v>0</v>
      </c>
      <c r="C331" s="86">
        <f t="shared" ref="C331:AP331" si="161">LOOKUP(C319,$B$256:$AP$256,$B$257:$AP$257)*$B657</f>
        <v>0</v>
      </c>
      <c r="D331" s="52">
        <f t="shared" si="161"/>
        <v>0</v>
      </c>
      <c r="E331" s="52">
        <f t="shared" si="161"/>
        <v>0</v>
      </c>
      <c r="F331" s="52">
        <f t="shared" si="161"/>
        <v>0</v>
      </c>
      <c r="G331" s="52">
        <f t="shared" si="161"/>
        <v>0</v>
      </c>
      <c r="H331" s="52">
        <f t="shared" si="161"/>
        <v>0</v>
      </c>
      <c r="I331" s="52">
        <f t="shared" si="161"/>
        <v>0</v>
      </c>
      <c r="J331" s="52">
        <f t="shared" si="161"/>
        <v>0</v>
      </c>
      <c r="K331" s="52">
        <f t="shared" si="161"/>
        <v>0</v>
      </c>
      <c r="L331" s="52">
        <f t="shared" si="161"/>
        <v>0</v>
      </c>
      <c r="M331" s="52">
        <f t="shared" si="161"/>
        <v>0</v>
      </c>
      <c r="N331" s="52">
        <f t="shared" si="161"/>
        <v>0</v>
      </c>
      <c r="O331" s="52">
        <f t="shared" si="161"/>
        <v>0</v>
      </c>
      <c r="P331" s="52">
        <f t="shared" si="161"/>
        <v>0</v>
      </c>
      <c r="Q331" s="52">
        <f t="shared" si="161"/>
        <v>0</v>
      </c>
      <c r="R331" s="52">
        <f t="shared" si="161"/>
        <v>0</v>
      </c>
      <c r="S331" s="52">
        <f t="shared" si="161"/>
        <v>0</v>
      </c>
      <c r="T331" s="52">
        <f t="shared" si="161"/>
        <v>0</v>
      </c>
      <c r="U331" s="52">
        <f t="shared" si="161"/>
        <v>0</v>
      </c>
      <c r="V331" s="52">
        <f t="shared" si="161"/>
        <v>0</v>
      </c>
      <c r="W331" s="52">
        <f t="shared" si="161"/>
        <v>0</v>
      </c>
      <c r="X331" s="52">
        <f t="shared" si="161"/>
        <v>0</v>
      </c>
      <c r="Y331" s="52">
        <f t="shared" si="161"/>
        <v>0</v>
      </c>
      <c r="Z331" s="52">
        <f t="shared" si="161"/>
        <v>0</v>
      </c>
      <c r="AA331" s="52">
        <f t="shared" si="161"/>
        <v>0</v>
      </c>
      <c r="AB331" s="52">
        <f t="shared" si="161"/>
        <v>0</v>
      </c>
      <c r="AC331" s="52">
        <f t="shared" si="161"/>
        <v>0</v>
      </c>
      <c r="AD331" s="52">
        <f t="shared" si="161"/>
        <v>0</v>
      </c>
      <c r="AE331" s="52">
        <f t="shared" si="161"/>
        <v>0</v>
      </c>
      <c r="AF331" s="52">
        <f t="shared" si="161"/>
        <v>0</v>
      </c>
      <c r="AG331" s="52">
        <f t="shared" si="161"/>
        <v>0</v>
      </c>
      <c r="AH331" s="52">
        <f t="shared" si="161"/>
        <v>0</v>
      </c>
      <c r="AI331" s="52">
        <f t="shared" si="161"/>
        <v>0</v>
      </c>
      <c r="AJ331" s="52">
        <f t="shared" si="161"/>
        <v>0</v>
      </c>
      <c r="AK331" s="52">
        <f t="shared" si="161"/>
        <v>0</v>
      </c>
      <c r="AL331" s="52">
        <f t="shared" si="161"/>
        <v>0</v>
      </c>
      <c r="AM331" s="52">
        <f t="shared" si="161"/>
        <v>0</v>
      </c>
      <c r="AN331" s="52">
        <f t="shared" si="161"/>
        <v>0</v>
      </c>
      <c r="AO331" s="52">
        <f t="shared" si="161"/>
        <v>0</v>
      </c>
      <c r="AP331" s="52">
        <f t="shared" si="161"/>
        <v>0</v>
      </c>
    </row>
    <row r="332" spans="1:42" x14ac:dyDescent="0.2">
      <c r="A332" s="35">
        <f>A331+1</f>
        <v>9</v>
      </c>
      <c r="B332" s="58">
        <f t="shared" si="152"/>
        <v>0</v>
      </c>
      <c r="C332" s="86">
        <f t="shared" ref="C332:AP332" si="162">LOOKUP(C320,$B$256:$AP$256,$B$257:$AP$257)*$B658</f>
        <v>0</v>
      </c>
      <c r="D332" s="52">
        <f t="shared" si="162"/>
        <v>0</v>
      </c>
      <c r="E332" s="52">
        <f t="shared" si="162"/>
        <v>0</v>
      </c>
      <c r="F332" s="52">
        <f t="shared" si="162"/>
        <v>0</v>
      </c>
      <c r="G332" s="52">
        <f t="shared" si="162"/>
        <v>0</v>
      </c>
      <c r="H332" s="52">
        <f t="shared" si="162"/>
        <v>0</v>
      </c>
      <c r="I332" s="52">
        <f t="shared" si="162"/>
        <v>0</v>
      </c>
      <c r="J332" s="52">
        <f t="shared" si="162"/>
        <v>0</v>
      </c>
      <c r="K332" s="52">
        <f t="shared" si="162"/>
        <v>0</v>
      </c>
      <c r="L332" s="52">
        <f t="shared" si="162"/>
        <v>0</v>
      </c>
      <c r="M332" s="52">
        <f t="shared" si="162"/>
        <v>0</v>
      </c>
      <c r="N332" s="52">
        <f t="shared" si="162"/>
        <v>0</v>
      </c>
      <c r="O332" s="52">
        <f t="shared" si="162"/>
        <v>0</v>
      </c>
      <c r="P332" s="52">
        <f t="shared" si="162"/>
        <v>0</v>
      </c>
      <c r="Q332" s="52">
        <f t="shared" si="162"/>
        <v>0</v>
      </c>
      <c r="R332" s="52">
        <f t="shared" si="162"/>
        <v>0</v>
      </c>
      <c r="S332" s="52">
        <f t="shared" si="162"/>
        <v>0</v>
      </c>
      <c r="T332" s="52">
        <f t="shared" si="162"/>
        <v>0</v>
      </c>
      <c r="U332" s="52">
        <f t="shared" si="162"/>
        <v>0</v>
      </c>
      <c r="V332" s="52">
        <f t="shared" si="162"/>
        <v>0</v>
      </c>
      <c r="W332" s="52">
        <f t="shared" si="162"/>
        <v>0</v>
      </c>
      <c r="X332" s="52">
        <f t="shared" si="162"/>
        <v>0</v>
      </c>
      <c r="Y332" s="52">
        <f t="shared" si="162"/>
        <v>0</v>
      </c>
      <c r="Z332" s="52">
        <f t="shared" si="162"/>
        <v>0</v>
      </c>
      <c r="AA332" s="52">
        <f t="shared" si="162"/>
        <v>0</v>
      </c>
      <c r="AB332" s="52">
        <f t="shared" si="162"/>
        <v>0</v>
      </c>
      <c r="AC332" s="52">
        <f t="shared" si="162"/>
        <v>0</v>
      </c>
      <c r="AD332" s="52">
        <f t="shared" si="162"/>
        <v>0</v>
      </c>
      <c r="AE332" s="52">
        <f t="shared" si="162"/>
        <v>0</v>
      </c>
      <c r="AF332" s="52">
        <f t="shared" si="162"/>
        <v>0</v>
      </c>
      <c r="AG332" s="52">
        <f t="shared" si="162"/>
        <v>0</v>
      </c>
      <c r="AH332" s="52">
        <f t="shared" si="162"/>
        <v>0</v>
      </c>
      <c r="AI332" s="52">
        <f t="shared" si="162"/>
        <v>0</v>
      </c>
      <c r="AJ332" s="52">
        <f t="shared" si="162"/>
        <v>0</v>
      </c>
      <c r="AK332" s="52">
        <f t="shared" si="162"/>
        <v>0</v>
      </c>
      <c r="AL332" s="52">
        <f t="shared" si="162"/>
        <v>0</v>
      </c>
      <c r="AM332" s="52">
        <f t="shared" si="162"/>
        <v>0</v>
      </c>
      <c r="AN332" s="52">
        <f t="shared" si="162"/>
        <v>0</v>
      </c>
      <c r="AO332" s="52">
        <f t="shared" si="162"/>
        <v>0</v>
      </c>
      <c r="AP332" s="52">
        <f t="shared" si="162"/>
        <v>0</v>
      </c>
    </row>
    <row r="333" spans="1:42" x14ac:dyDescent="0.2">
      <c r="A333" s="35">
        <f t="shared" si="155"/>
        <v>10</v>
      </c>
      <c r="B333" s="58">
        <f t="shared" si="152"/>
        <v>0</v>
      </c>
      <c r="C333" s="82">
        <f t="shared" ref="C333:AP333" si="163">LOOKUP(C321,$B$256:$AP$256,$B$257:$AP$257)*$B659</f>
        <v>0</v>
      </c>
      <c r="D333" s="53">
        <f t="shared" si="163"/>
        <v>0</v>
      </c>
      <c r="E333" s="53">
        <f t="shared" si="163"/>
        <v>0</v>
      </c>
      <c r="F333" s="53">
        <f t="shared" si="163"/>
        <v>0</v>
      </c>
      <c r="G333" s="53">
        <f t="shared" si="163"/>
        <v>0</v>
      </c>
      <c r="H333" s="53">
        <f t="shared" si="163"/>
        <v>0</v>
      </c>
      <c r="I333" s="53">
        <f t="shared" si="163"/>
        <v>0</v>
      </c>
      <c r="J333" s="53">
        <f t="shared" si="163"/>
        <v>0</v>
      </c>
      <c r="K333" s="53">
        <f t="shared" si="163"/>
        <v>0</v>
      </c>
      <c r="L333" s="53">
        <f t="shared" si="163"/>
        <v>0</v>
      </c>
      <c r="M333" s="53">
        <f t="shared" si="163"/>
        <v>0</v>
      </c>
      <c r="N333" s="53">
        <f t="shared" si="163"/>
        <v>0</v>
      </c>
      <c r="O333" s="53">
        <f t="shared" si="163"/>
        <v>0</v>
      </c>
      <c r="P333" s="53">
        <f t="shared" si="163"/>
        <v>0</v>
      </c>
      <c r="Q333" s="53">
        <f t="shared" si="163"/>
        <v>0</v>
      </c>
      <c r="R333" s="53">
        <f t="shared" si="163"/>
        <v>0</v>
      </c>
      <c r="S333" s="53">
        <f t="shared" si="163"/>
        <v>0</v>
      </c>
      <c r="T333" s="53">
        <f t="shared" si="163"/>
        <v>0</v>
      </c>
      <c r="U333" s="53">
        <f t="shared" si="163"/>
        <v>0</v>
      </c>
      <c r="V333" s="53">
        <f t="shared" si="163"/>
        <v>0</v>
      </c>
      <c r="W333" s="53">
        <f t="shared" si="163"/>
        <v>0</v>
      </c>
      <c r="X333" s="53">
        <f t="shared" si="163"/>
        <v>0</v>
      </c>
      <c r="Y333" s="53">
        <f t="shared" si="163"/>
        <v>0</v>
      </c>
      <c r="Z333" s="53">
        <f t="shared" si="163"/>
        <v>0</v>
      </c>
      <c r="AA333" s="53">
        <f t="shared" si="163"/>
        <v>0</v>
      </c>
      <c r="AB333" s="53">
        <f t="shared" si="163"/>
        <v>0</v>
      </c>
      <c r="AC333" s="53">
        <f t="shared" si="163"/>
        <v>0</v>
      </c>
      <c r="AD333" s="53">
        <f t="shared" si="163"/>
        <v>0</v>
      </c>
      <c r="AE333" s="53">
        <f t="shared" si="163"/>
        <v>0</v>
      </c>
      <c r="AF333" s="53">
        <f t="shared" si="163"/>
        <v>0</v>
      </c>
      <c r="AG333" s="53">
        <f t="shared" si="163"/>
        <v>0</v>
      </c>
      <c r="AH333" s="53">
        <f t="shared" si="163"/>
        <v>0</v>
      </c>
      <c r="AI333" s="53">
        <f t="shared" si="163"/>
        <v>0</v>
      </c>
      <c r="AJ333" s="53">
        <f t="shared" si="163"/>
        <v>0</v>
      </c>
      <c r="AK333" s="53">
        <f t="shared" si="163"/>
        <v>0</v>
      </c>
      <c r="AL333" s="53">
        <f t="shared" si="163"/>
        <v>0</v>
      </c>
      <c r="AM333" s="53">
        <f t="shared" si="163"/>
        <v>0</v>
      </c>
      <c r="AN333" s="53">
        <f t="shared" si="163"/>
        <v>0</v>
      </c>
      <c r="AO333" s="53">
        <f t="shared" si="163"/>
        <v>0</v>
      </c>
      <c r="AP333" s="53">
        <f t="shared" si="163"/>
        <v>0</v>
      </c>
    </row>
    <row r="334" spans="1:42" s="35" customFormat="1" ht="12" customHeight="1" x14ac:dyDescent="0.2">
      <c r="A334" s="83" t="s">
        <v>23</v>
      </c>
      <c r="B334" s="38"/>
      <c r="C334" s="38">
        <f>SUM(C324:C333)</f>
        <v>0</v>
      </c>
      <c r="D334" s="38">
        <f t="shared" ref="D334:AP334" si="164">SUM(D324:D333)</f>
        <v>0</v>
      </c>
      <c r="E334" s="38">
        <f t="shared" si="164"/>
        <v>0</v>
      </c>
      <c r="F334" s="38">
        <f t="shared" si="164"/>
        <v>0</v>
      </c>
      <c r="G334" s="38">
        <f t="shared" si="164"/>
        <v>0</v>
      </c>
      <c r="H334" s="38">
        <f t="shared" si="164"/>
        <v>0</v>
      </c>
      <c r="I334" s="38">
        <f t="shared" si="164"/>
        <v>0</v>
      </c>
      <c r="J334" s="38">
        <f t="shared" si="164"/>
        <v>0</v>
      </c>
      <c r="K334" s="38">
        <f t="shared" si="164"/>
        <v>0</v>
      </c>
      <c r="L334" s="38">
        <f t="shared" si="164"/>
        <v>0</v>
      </c>
      <c r="M334" s="38">
        <f t="shared" si="164"/>
        <v>0</v>
      </c>
      <c r="N334" s="38">
        <f t="shared" si="164"/>
        <v>0</v>
      </c>
      <c r="O334" s="38">
        <f t="shared" si="164"/>
        <v>0</v>
      </c>
      <c r="P334" s="38">
        <f t="shared" si="164"/>
        <v>0</v>
      </c>
      <c r="Q334" s="38">
        <f t="shared" si="164"/>
        <v>0</v>
      </c>
      <c r="R334" s="38">
        <f t="shared" si="164"/>
        <v>0</v>
      </c>
      <c r="S334" s="38">
        <f t="shared" si="164"/>
        <v>0</v>
      </c>
      <c r="T334" s="38">
        <f t="shared" si="164"/>
        <v>0</v>
      </c>
      <c r="U334" s="38">
        <f t="shared" si="164"/>
        <v>0</v>
      </c>
      <c r="V334" s="38">
        <f t="shared" si="164"/>
        <v>0</v>
      </c>
      <c r="W334" s="38">
        <f t="shared" si="164"/>
        <v>0</v>
      </c>
      <c r="X334" s="38">
        <f t="shared" si="164"/>
        <v>0</v>
      </c>
      <c r="Y334" s="38">
        <f t="shared" si="164"/>
        <v>0</v>
      </c>
      <c r="Z334" s="38">
        <f t="shared" si="164"/>
        <v>0</v>
      </c>
      <c r="AA334" s="38">
        <f t="shared" si="164"/>
        <v>0</v>
      </c>
      <c r="AB334" s="38">
        <f t="shared" si="164"/>
        <v>0</v>
      </c>
      <c r="AC334" s="38">
        <f t="shared" si="164"/>
        <v>0</v>
      </c>
      <c r="AD334" s="38">
        <f t="shared" si="164"/>
        <v>0</v>
      </c>
      <c r="AE334" s="38">
        <f t="shared" si="164"/>
        <v>0</v>
      </c>
      <c r="AF334" s="38">
        <f t="shared" si="164"/>
        <v>0</v>
      </c>
      <c r="AG334" s="38">
        <f t="shared" si="164"/>
        <v>0</v>
      </c>
      <c r="AH334" s="38">
        <f t="shared" si="164"/>
        <v>0</v>
      </c>
      <c r="AI334" s="38">
        <f t="shared" si="164"/>
        <v>0</v>
      </c>
      <c r="AJ334" s="38">
        <f t="shared" si="164"/>
        <v>0</v>
      </c>
      <c r="AK334" s="38">
        <f t="shared" si="164"/>
        <v>0</v>
      </c>
      <c r="AL334" s="38">
        <f t="shared" si="164"/>
        <v>0</v>
      </c>
      <c r="AM334" s="38">
        <f t="shared" si="164"/>
        <v>0</v>
      </c>
      <c r="AN334" s="38">
        <f t="shared" si="164"/>
        <v>0</v>
      </c>
      <c r="AO334" s="38">
        <f t="shared" si="164"/>
        <v>0</v>
      </c>
      <c r="AP334" s="38">
        <f t="shared" si="164"/>
        <v>0</v>
      </c>
    </row>
    <row r="335" spans="1:42" x14ac:dyDescent="0.2">
      <c r="A335" s="65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52"/>
      <c r="AE335" s="52"/>
      <c r="AF335" s="52"/>
      <c r="AG335" s="52"/>
      <c r="AH335" s="52"/>
      <c r="AI335" s="52"/>
      <c r="AJ335" s="52"/>
      <c r="AK335" s="52"/>
      <c r="AL335" s="52"/>
      <c r="AM335" s="52"/>
      <c r="AN335" s="52"/>
      <c r="AO335" s="52"/>
      <c r="AP335" s="52"/>
    </row>
    <row r="336" spans="1:42" x14ac:dyDescent="0.2">
      <c r="A336" s="57" t="s">
        <v>187</v>
      </c>
    </row>
    <row r="337" spans="1:17" x14ac:dyDescent="0.2">
      <c r="A337" s="35" t="s">
        <v>40</v>
      </c>
      <c r="G337" s="109" t="s">
        <v>94</v>
      </c>
      <c r="H337" s="110"/>
      <c r="I337" s="110"/>
      <c r="J337" s="111"/>
      <c r="K337" s="87" t="s">
        <v>95</v>
      </c>
      <c r="L337" s="88"/>
    </row>
    <row r="338" spans="1:17" ht="51" x14ac:dyDescent="0.2">
      <c r="A338" s="35"/>
      <c r="B338" s="37" t="s">
        <v>84</v>
      </c>
      <c r="C338" s="37" t="s">
        <v>80</v>
      </c>
      <c r="D338" s="37" t="s">
        <v>82</v>
      </c>
      <c r="E338" s="67" t="s">
        <v>83</v>
      </c>
      <c r="F338" s="37" t="s">
        <v>85</v>
      </c>
      <c r="G338" s="37" t="s">
        <v>89</v>
      </c>
      <c r="H338" s="37" t="s">
        <v>91</v>
      </c>
      <c r="I338" s="37" t="s">
        <v>90</v>
      </c>
      <c r="J338" s="37" t="s">
        <v>92</v>
      </c>
      <c r="K338" s="89" t="s">
        <v>8</v>
      </c>
      <c r="L338" s="37" t="s">
        <v>92</v>
      </c>
      <c r="M338" s="68" t="s">
        <v>96</v>
      </c>
      <c r="N338" s="68" t="s">
        <v>97</v>
      </c>
      <c r="O338" s="37" t="s">
        <v>86</v>
      </c>
      <c r="P338" s="69" t="s">
        <v>153</v>
      </c>
      <c r="Q338" s="37" t="s">
        <v>154</v>
      </c>
    </row>
    <row r="339" spans="1:17" s="35" customFormat="1" x14ac:dyDescent="0.2">
      <c r="A339" s="103" t="str">
        <f>A205</f>
        <v>5-yr MACRS</v>
      </c>
      <c r="B339" s="119">
        <f>C339/$C$346</f>
        <v>0.93</v>
      </c>
      <c r="C339" s="38">
        <f>Inputs!H130</f>
        <v>35832900.930000015</v>
      </c>
      <c r="D339" s="38">
        <f>IF(FedBasisReduction="5-Yr MACRS",D346,$B339*D$346)</f>
        <v>0</v>
      </c>
      <c r="E339" s="38">
        <f>IF(FedBasisReduction="5-Yr MACRS",E346,$B339*E$346)</f>
        <v>0</v>
      </c>
      <c r="F339" s="84">
        <f>C339-D339-E339</f>
        <v>35832900.930000015</v>
      </c>
      <c r="G339" s="120">
        <f>IF(Inputs!F130="Yes",F339,0)</f>
        <v>35832900.930000015</v>
      </c>
      <c r="H339" s="131">
        <f>IF($G$346=0,0,G339/$G$346)</f>
        <v>1</v>
      </c>
      <c r="I339" s="121">
        <f t="shared" ref="I339:I344" si="165">$I$346*H339</f>
        <v>10749870.279000005</v>
      </c>
      <c r="J339" s="122">
        <f>I339*0.5</f>
        <v>5374935.1395000024</v>
      </c>
      <c r="K339" s="84">
        <f t="shared" ref="K339:K344" si="166">H339*$K$346</f>
        <v>0</v>
      </c>
      <c r="L339" s="84">
        <f>K339*0.5</f>
        <v>0</v>
      </c>
      <c r="M339" s="38">
        <f t="shared" ref="M339:M344" si="167">IF(ITCStateFixedFedDeprec="Yes",L205,0)+IF(ITCStatePercentFedDeprec="Yes",J205,0)</f>
        <v>0</v>
      </c>
      <c r="N339" s="38">
        <f t="shared" ref="N339:N344" si="168">IF(ITCFedFixedFedDeprec="Yes",L339,0)+IF(ITCFedPercentFedDeprec="Yes",J339,0)</f>
        <v>5374935.1395000024</v>
      </c>
      <c r="O339" s="124">
        <f t="shared" ref="O339:O344" si="169">F339-M339-N339</f>
        <v>30457965.790500011</v>
      </c>
      <c r="P339" s="38">
        <f>IF(Inputs!D130="Yes",O339*FedBonusDeprec,0)</f>
        <v>0</v>
      </c>
      <c r="Q339" s="84">
        <f>O339-P339</f>
        <v>30457965.790500011</v>
      </c>
    </row>
    <row r="340" spans="1:17" s="35" customFormat="1" x14ac:dyDescent="0.2">
      <c r="A340" s="103" t="str">
        <f t="shared" ref="A340:A344" si="170">A206</f>
        <v>15-yr MACRS</v>
      </c>
      <c r="B340" s="119">
        <f t="shared" ref="B340:B344" si="171">C340/$C$346</f>
        <v>1.4999999999999994E-2</v>
      </c>
      <c r="C340" s="38">
        <f>Inputs!H131</f>
        <v>577950.01500000001</v>
      </c>
      <c r="D340" s="38">
        <f t="shared" ref="D340:E344" si="172">IF(FedBasisReduction="5-Yr MACRS",0,$B340*D$346)</f>
        <v>0</v>
      </c>
      <c r="E340" s="38">
        <f t="shared" si="172"/>
        <v>0</v>
      </c>
      <c r="F340" s="84">
        <f t="shared" ref="F340:F344" si="173">C340-D340-E340</f>
        <v>577950.01500000001</v>
      </c>
      <c r="G340" s="123">
        <f>IF(Inputs!F131="Yes",F340,0)</f>
        <v>0</v>
      </c>
      <c r="H340" s="132">
        <f t="shared" ref="H340:H344" si="174">IF($G$346=0,0,G340/$G$346)</f>
        <v>0</v>
      </c>
      <c r="I340" s="38">
        <f t="shared" si="165"/>
        <v>0</v>
      </c>
      <c r="J340" s="116">
        <f t="shared" ref="J340:J344" si="175">I340*0.5</f>
        <v>0</v>
      </c>
      <c r="K340" s="84">
        <f t="shared" si="166"/>
        <v>0</v>
      </c>
      <c r="L340" s="84">
        <f t="shared" ref="L340:L344" si="176">K340*0.5</f>
        <v>0</v>
      </c>
      <c r="M340" s="38">
        <f t="shared" si="167"/>
        <v>0</v>
      </c>
      <c r="N340" s="38">
        <f t="shared" si="168"/>
        <v>0</v>
      </c>
      <c r="O340" s="84">
        <f t="shared" si="169"/>
        <v>577950.01500000001</v>
      </c>
      <c r="P340" s="38">
        <f>IF(Inputs!D131="Yes",O340*FedBonusDeprec,0)</f>
        <v>0</v>
      </c>
      <c r="Q340" s="84">
        <f t="shared" ref="Q340:Q344" si="177">O340-P340</f>
        <v>577950.01500000001</v>
      </c>
    </row>
    <row r="341" spans="1:17" s="35" customFormat="1" x14ac:dyDescent="0.2">
      <c r="A341" s="103" t="str">
        <f t="shared" si="170"/>
        <v>5-yr SL</v>
      </c>
      <c r="B341" s="119">
        <f t="shared" si="171"/>
        <v>0</v>
      </c>
      <c r="C341" s="38">
        <f>Inputs!H132</f>
        <v>0</v>
      </c>
      <c r="D341" s="38">
        <f t="shared" si="172"/>
        <v>0</v>
      </c>
      <c r="E341" s="38">
        <f t="shared" si="172"/>
        <v>0</v>
      </c>
      <c r="F341" s="84">
        <f t="shared" si="173"/>
        <v>0</v>
      </c>
      <c r="G341" s="123">
        <f>IF(Inputs!F132="Yes",F341,0)</f>
        <v>0</v>
      </c>
      <c r="H341" s="132">
        <f t="shared" si="174"/>
        <v>0</v>
      </c>
      <c r="I341" s="38">
        <f t="shared" si="165"/>
        <v>0</v>
      </c>
      <c r="J341" s="116">
        <f t="shared" si="175"/>
        <v>0</v>
      </c>
      <c r="K341" s="84">
        <f t="shared" si="166"/>
        <v>0</v>
      </c>
      <c r="L341" s="84">
        <f t="shared" si="176"/>
        <v>0</v>
      </c>
      <c r="M341" s="38">
        <f t="shared" si="167"/>
        <v>0</v>
      </c>
      <c r="N341" s="38">
        <f t="shared" si="168"/>
        <v>0</v>
      </c>
      <c r="O341" s="84">
        <f t="shared" si="169"/>
        <v>0</v>
      </c>
      <c r="P341" s="38">
        <f>IF(Inputs!D132="Yes",O341*FedBonusDeprec,0)</f>
        <v>0</v>
      </c>
      <c r="Q341" s="84">
        <f t="shared" si="177"/>
        <v>0</v>
      </c>
    </row>
    <row r="342" spans="1:17" s="35" customFormat="1" x14ac:dyDescent="0.2">
      <c r="A342" s="103" t="str">
        <f t="shared" si="170"/>
        <v>15-yr SL</v>
      </c>
      <c r="B342" s="119">
        <f t="shared" si="171"/>
        <v>2.4999999999999991E-2</v>
      </c>
      <c r="C342" s="38">
        <f>Inputs!H133</f>
        <v>963250.02500000002</v>
      </c>
      <c r="D342" s="38">
        <f t="shared" si="172"/>
        <v>0</v>
      </c>
      <c r="E342" s="38">
        <f t="shared" si="172"/>
        <v>0</v>
      </c>
      <c r="F342" s="84">
        <f t="shared" si="173"/>
        <v>963250.02500000002</v>
      </c>
      <c r="G342" s="123">
        <f>IF(Inputs!F133="Yes",F342,0)</f>
        <v>0</v>
      </c>
      <c r="H342" s="132">
        <f t="shared" si="174"/>
        <v>0</v>
      </c>
      <c r="I342" s="38">
        <f t="shared" si="165"/>
        <v>0</v>
      </c>
      <c r="J342" s="116">
        <f t="shared" si="175"/>
        <v>0</v>
      </c>
      <c r="K342" s="84">
        <f t="shared" si="166"/>
        <v>0</v>
      </c>
      <c r="L342" s="84">
        <f t="shared" si="176"/>
        <v>0</v>
      </c>
      <c r="M342" s="38">
        <f t="shared" si="167"/>
        <v>0</v>
      </c>
      <c r="N342" s="38">
        <f t="shared" si="168"/>
        <v>0</v>
      </c>
      <c r="O342" s="84">
        <f t="shared" si="169"/>
        <v>963250.02500000002</v>
      </c>
      <c r="P342" s="38">
        <f>IF(Inputs!D133="Yes",O342*FedBonusDeprec,0)</f>
        <v>0</v>
      </c>
      <c r="Q342" s="84">
        <f t="shared" si="177"/>
        <v>963250.02500000002</v>
      </c>
    </row>
    <row r="343" spans="1:17" s="35" customFormat="1" x14ac:dyDescent="0.2">
      <c r="A343" s="103" t="str">
        <f t="shared" si="170"/>
        <v>20-yr SL</v>
      </c>
      <c r="B343" s="119">
        <f t="shared" si="171"/>
        <v>2.4999999999999991E-2</v>
      </c>
      <c r="C343" s="38">
        <f>Inputs!H134</f>
        <v>963250.02500000002</v>
      </c>
      <c r="D343" s="38">
        <f t="shared" si="172"/>
        <v>0</v>
      </c>
      <c r="E343" s="38">
        <f t="shared" si="172"/>
        <v>0</v>
      </c>
      <c r="F343" s="84">
        <f t="shared" si="173"/>
        <v>963250.02500000002</v>
      </c>
      <c r="G343" s="123">
        <f>IF(Inputs!F134="Yes",F343,0)</f>
        <v>0</v>
      </c>
      <c r="H343" s="132">
        <f t="shared" si="174"/>
        <v>0</v>
      </c>
      <c r="I343" s="38">
        <f t="shared" si="165"/>
        <v>0</v>
      </c>
      <c r="J343" s="116">
        <f t="shared" si="175"/>
        <v>0</v>
      </c>
      <c r="K343" s="84">
        <f t="shared" si="166"/>
        <v>0</v>
      </c>
      <c r="L343" s="84">
        <f t="shared" si="176"/>
        <v>0</v>
      </c>
      <c r="M343" s="38">
        <f t="shared" si="167"/>
        <v>0</v>
      </c>
      <c r="N343" s="38">
        <f t="shared" si="168"/>
        <v>0</v>
      </c>
      <c r="O343" s="84">
        <f t="shared" si="169"/>
        <v>963250.02500000002</v>
      </c>
      <c r="P343" s="38">
        <f>IF(Inputs!D134="Yes",O343*FedBonusDeprec,0)</f>
        <v>0</v>
      </c>
      <c r="Q343" s="84">
        <f t="shared" si="177"/>
        <v>963250.02500000002</v>
      </c>
    </row>
    <row r="344" spans="1:17" s="35" customFormat="1" x14ac:dyDescent="0.2">
      <c r="A344" s="103" t="str">
        <f t="shared" si="170"/>
        <v>39-yr SL</v>
      </c>
      <c r="B344" s="119">
        <f t="shared" si="171"/>
        <v>4.9999999999999984E-3</v>
      </c>
      <c r="C344" s="38">
        <f>Inputs!H135</f>
        <v>192650.005</v>
      </c>
      <c r="D344" s="38">
        <f t="shared" si="172"/>
        <v>0</v>
      </c>
      <c r="E344" s="38">
        <f t="shared" si="172"/>
        <v>0</v>
      </c>
      <c r="F344" s="84">
        <f t="shared" si="173"/>
        <v>192650.005</v>
      </c>
      <c r="G344" s="123">
        <f>IF(Inputs!F135="Yes",F344,0)</f>
        <v>0</v>
      </c>
      <c r="H344" s="132">
        <f t="shared" si="174"/>
        <v>0</v>
      </c>
      <c r="I344" s="38">
        <f t="shared" si="165"/>
        <v>0</v>
      </c>
      <c r="J344" s="116">
        <f t="shared" si="175"/>
        <v>0</v>
      </c>
      <c r="K344" s="84">
        <f t="shared" si="166"/>
        <v>0</v>
      </c>
      <c r="L344" s="84">
        <f t="shared" si="176"/>
        <v>0</v>
      </c>
      <c r="M344" s="38">
        <f t="shared" si="167"/>
        <v>0</v>
      </c>
      <c r="N344" s="38">
        <f t="shared" si="168"/>
        <v>0</v>
      </c>
      <c r="O344" s="84">
        <f t="shared" si="169"/>
        <v>192650.005</v>
      </c>
      <c r="P344" s="38">
        <f>IF(Inputs!D135="Yes",O344*FedBonusDeprec,0)</f>
        <v>0</v>
      </c>
      <c r="Q344" s="84">
        <f t="shared" si="177"/>
        <v>192650.005</v>
      </c>
    </row>
    <row r="345" spans="1:17" x14ac:dyDescent="0.2">
      <c r="A345" s="106" t="s">
        <v>172</v>
      </c>
      <c r="B345" s="70"/>
      <c r="C345" s="71"/>
      <c r="D345" s="71"/>
      <c r="E345" s="71"/>
      <c r="F345" s="71"/>
      <c r="G345" s="70"/>
      <c r="H345" s="90"/>
      <c r="I345" s="91"/>
      <c r="J345" s="91"/>
      <c r="K345" s="91"/>
      <c r="L345" s="91"/>
      <c r="M345" s="72"/>
      <c r="N345" s="72"/>
      <c r="O345" s="33"/>
      <c r="P345" s="72"/>
      <c r="Q345" s="33"/>
    </row>
    <row r="346" spans="1:17" s="35" customFormat="1" x14ac:dyDescent="0.2">
      <c r="B346" s="125">
        <f>SUM(B339:B345)</f>
        <v>1</v>
      </c>
      <c r="C346" s="64">
        <f>SUM(C339:C345)</f>
        <v>38530001.000000015</v>
      </c>
      <c r="D346" s="64">
        <f>B355+B361</f>
        <v>0</v>
      </c>
      <c r="E346" s="64">
        <f>B367</f>
        <v>0</v>
      </c>
      <c r="F346" s="85">
        <f t="shared" ref="F346:Q346" si="178">SUM(F339:F345)</f>
        <v>38530001.000000015</v>
      </c>
      <c r="G346" s="85">
        <f>SUM(G339:G345)</f>
        <v>35832900.930000015</v>
      </c>
      <c r="H346" s="126">
        <f>SUM(H339:H345)</f>
        <v>1</v>
      </c>
      <c r="I346" s="85">
        <f>MIN(ITCFedMax,ITCFedPercent*G346)</f>
        <v>10749870.279000005</v>
      </c>
      <c r="J346" s="85">
        <f>SUM(J339:J345)</f>
        <v>5374935.1395000024</v>
      </c>
      <c r="K346" s="85">
        <f>ITCFedFixed</f>
        <v>0</v>
      </c>
      <c r="L346" s="85">
        <f>SUM(L339:L345)</f>
        <v>0</v>
      </c>
      <c r="M346" s="64">
        <f t="shared" si="178"/>
        <v>0</v>
      </c>
      <c r="N346" s="64">
        <f t="shared" si="178"/>
        <v>5374935.1395000024</v>
      </c>
      <c r="O346" s="85">
        <f t="shared" si="178"/>
        <v>33155065.860500008</v>
      </c>
      <c r="P346" s="85">
        <f t="shared" si="178"/>
        <v>0</v>
      </c>
      <c r="Q346" s="85">
        <f t="shared" si="178"/>
        <v>33155065.860500008</v>
      </c>
    </row>
    <row r="347" spans="1:17" x14ac:dyDescent="0.2">
      <c r="A347" s="35"/>
    </row>
    <row r="348" spans="1:17" x14ac:dyDescent="0.2">
      <c r="A348" s="35" t="s">
        <v>93</v>
      </c>
    </row>
    <row r="349" spans="1:17" x14ac:dyDescent="0.2">
      <c r="A349" s="103" t="str">
        <f>A215</f>
        <v>Investment Based Incentive (IBI)</v>
      </c>
    </row>
    <row r="350" spans="1:17" x14ac:dyDescent="0.2">
      <c r="A350" s="104" t="str">
        <f t="shared" ref="A350:A368" si="179">A216</f>
        <v>As fixed amount</v>
      </c>
    </row>
    <row r="351" spans="1:17" x14ac:dyDescent="0.2">
      <c r="A351" s="105" t="str">
        <f t="shared" si="179"/>
        <v>Federal ($)</v>
      </c>
      <c r="B351" s="39">
        <f>IF(IBIFedFixedFedDeprec="Yes",IBIFedFixed,0)</f>
        <v>0</v>
      </c>
    </row>
    <row r="352" spans="1:17" x14ac:dyDescent="0.2">
      <c r="A352" s="105" t="str">
        <f t="shared" si="179"/>
        <v>State ($)</v>
      </c>
      <c r="B352" s="39">
        <f>IF(IBIStateFixedFedDeprec="Yes",IBIStateFixed,0)</f>
        <v>0</v>
      </c>
    </row>
    <row r="353" spans="1:2" x14ac:dyDescent="0.2">
      <c r="A353" s="105" t="str">
        <f t="shared" si="179"/>
        <v>Utility ($)</v>
      </c>
      <c r="B353" s="39">
        <f>IF(IBIUtilityFixedFedDeprec="Yes",IBIUtilityFixed,0)</f>
        <v>0</v>
      </c>
    </row>
    <row r="354" spans="1:2" x14ac:dyDescent="0.2">
      <c r="A354" s="105" t="str">
        <f t="shared" si="179"/>
        <v>Other ($)</v>
      </c>
      <c r="B354" s="53">
        <f>IF(IBIOtherFixedFedDeprec="Yes",IBIOtherFixed,0)</f>
        <v>0</v>
      </c>
    </row>
    <row r="355" spans="1:2" x14ac:dyDescent="0.2">
      <c r="A355" s="105" t="str">
        <f t="shared" si="179"/>
        <v>Total</v>
      </c>
      <c r="B355" s="39">
        <f>SUM(B351:B354)</f>
        <v>0</v>
      </c>
    </row>
    <row r="356" spans="1:2" x14ac:dyDescent="0.2">
      <c r="A356" s="104" t="str">
        <f t="shared" si="179"/>
        <v>As percentage</v>
      </c>
    </row>
    <row r="357" spans="1:2" x14ac:dyDescent="0.2">
      <c r="A357" s="105" t="str">
        <f t="shared" si="179"/>
        <v>Federal (% of total installed cost)</v>
      </c>
      <c r="B357" s="39">
        <f>IF(IBIFedPercentFedDeprec="Yes",IBIFedPercent,0)</f>
        <v>0</v>
      </c>
    </row>
    <row r="358" spans="1:2" x14ac:dyDescent="0.2">
      <c r="A358" s="105" t="str">
        <f t="shared" si="179"/>
        <v>State (% of total installed cost)</v>
      </c>
      <c r="B358" s="39">
        <f>IF(IBIStatePercentFedDeprec="Yes",IBIStatePercent,0)</f>
        <v>0</v>
      </c>
    </row>
    <row r="359" spans="1:2" x14ac:dyDescent="0.2">
      <c r="A359" s="105" t="str">
        <f t="shared" si="179"/>
        <v>Utility (% of total installed cost)</v>
      </c>
      <c r="B359" s="39">
        <f>IF(IBIUtilityPercentFedDeprec="Yes",IBIUtilityPercent,0)</f>
        <v>0</v>
      </c>
    </row>
    <row r="360" spans="1:2" x14ac:dyDescent="0.2">
      <c r="A360" s="105" t="str">
        <f t="shared" si="179"/>
        <v>Other (% of total installed cost)</v>
      </c>
      <c r="B360" s="53">
        <f>IF(IBIOtherPercentFedDeprec="Yes",IBIOtherPercent,0)</f>
        <v>0</v>
      </c>
    </row>
    <row r="361" spans="1:2" x14ac:dyDescent="0.2">
      <c r="A361" s="105" t="str">
        <f t="shared" si="179"/>
        <v>Total</v>
      </c>
      <c r="B361" s="39">
        <f>SUM(B357:B360)</f>
        <v>0</v>
      </c>
    </row>
    <row r="362" spans="1:2" x14ac:dyDescent="0.2">
      <c r="A362" s="103" t="str">
        <f t="shared" si="179"/>
        <v>Capacity Based Incentive (CBI)</v>
      </c>
    </row>
    <row r="363" spans="1:2" x14ac:dyDescent="0.2">
      <c r="A363" s="104" t="str">
        <f t="shared" si="179"/>
        <v>Federal ($/W)</v>
      </c>
      <c r="B363" s="39">
        <f>IF(CBIFedFedDeprec="Yes",CBIFed,0)</f>
        <v>0</v>
      </c>
    </row>
    <row r="364" spans="1:2" x14ac:dyDescent="0.2">
      <c r="A364" s="104" t="str">
        <f t="shared" si="179"/>
        <v>State ($/W)</v>
      </c>
      <c r="B364" s="39">
        <f>IF(CBIStateFedDeprec="Yes",CBIState,0)</f>
        <v>0</v>
      </c>
    </row>
    <row r="365" spans="1:2" x14ac:dyDescent="0.2">
      <c r="A365" s="104" t="str">
        <f t="shared" si="179"/>
        <v>Utility ($/W)</v>
      </c>
      <c r="B365" s="39">
        <f>IF(CBIUtilityFedDeprec="Yes",CBIUtility,0)</f>
        <v>0</v>
      </c>
    </row>
    <row r="366" spans="1:2" x14ac:dyDescent="0.2">
      <c r="A366" s="104" t="str">
        <f t="shared" si="179"/>
        <v>Other ($/W)</v>
      </c>
      <c r="B366" s="53">
        <f>IF(CBIOtherFedDeprec="Yes",CBIOther,0)</f>
        <v>0</v>
      </c>
    </row>
    <row r="367" spans="1:2" x14ac:dyDescent="0.2">
      <c r="A367" s="104" t="str">
        <f t="shared" si="179"/>
        <v>Total</v>
      </c>
      <c r="B367" s="56">
        <f>SUM(B363:B366)</f>
        <v>0</v>
      </c>
    </row>
    <row r="368" spans="1:2" x14ac:dyDescent="0.2">
      <c r="A368" s="103" t="str">
        <f t="shared" si="179"/>
        <v>Total Basis Reduction</v>
      </c>
      <c r="B368" s="39">
        <f>B355+B361+B367</f>
        <v>0</v>
      </c>
    </row>
    <row r="369" spans="1:42" x14ac:dyDescent="0.2">
      <c r="A369" s="35"/>
    </row>
    <row r="370" spans="1:42" x14ac:dyDescent="0.2">
      <c r="A370" s="35" t="s">
        <v>142</v>
      </c>
    </row>
    <row r="371" spans="1:42" x14ac:dyDescent="0.2">
      <c r="A371" s="103" t="s">
        <v>87</v>
      </c>
    </row>
    <row r="372" spans="1:42" x14ac:dyDescent="0.2">
      <c r="A372" s="66" t="str">
        <f>A339</f>
        <v>5-yr MACRS</v>
      </c>
      <c r="B372" s="75">
        <f>SUM(C372:AP372)</f>
        <v>0.99999999999999989</v>
      </c>
      <c r="C372" s="76">
        <f>LOOKUP(C$2,'Depreciation Schedules'!$A$3:$A$42,'Depreciation Schedules'!$B$3:$B$42)</f>
        <v>0.2</v>
      </c>
      <c r="D372" s="76">
        <f>LOOKUP(D$2,'Depreciation Schedules'!$A$3:$A$42,'Depreciation Schedules'!$B$3:$B$42)</f>
        <v>0.32</v>
      </c>
      <c r="E372" s="76">
        <f>LOOKUP(E$2,'Depreciation Schedules'!$A$3:$A$42,'Depreciation Schedules'!$B$3:$B$42)</f>
        <v>0.192</v>
      </c>
      <c r="F372" s="76">
        <f>LOOKUP(F$2,'Depreciation Schedules'!$A$3:$A$42,'Depreciation Schedules'!$B$3:$B$42)</f>
        <v>0.1152</v>
      </c>
      <c r="G372" s="76">
        <f>LOOKUP(G$2,'Depreciation Schedules'!$A$3:$A$42,'Depreciation Schedules'!$B$3:$B$42)</f>
        <v>0.1152</v>
      </c>
      <c r="H372" s="76">
        <f>LOOKUP(H$2,'Depreciation Schedules'!$A$3:$A$42,'Depreciation Schedules'!$B$3:$B$42)</f>
        <v>5.7599999999999998E-2</v>
      </c>
      <c r="I372" s="76">
        <f>LOOKUP(I$2,'Depreciation Schedules'!$A$3:$A$42,'Depreciation Schedules'!$B$3:$B$42)</f>
        <v>0</v>
      </c>
      <c r="J372" s="76">
        <f>LOOKUP(J$2,'Depreciation Schedules'!$A$3:$A$42,'Depreciation Schedules'!$B$3:$B$42)</f>
        <v>0</v>
      </c>
      <c r="K372" s="76">
        <f>LOOKUP(K$2,'Depreciation Schedules'!$A$3:$A$42,'Depreciation Schedules'!$B$3:$B$42)</f>
        <v>0</v>
      </c>
      <c r="L372" s="76">
        <f>LOOKUP(L$2,'Depreciation Schedules'!$A$3:$A$42,'Depreciation Schedules'!$B$3:$B$42)</f>
        <v>0</v>
      </c>
      <c r="M372" s="76">
        <f>LOOKUP(M$2,'Depreciation Schedules'!$A$3:$A$42,'Depreciation Schedules'!$B$3:$B$42)</f>
        <v>0</v>
      </c>
      <c r="N372" s="76">
        <f>LOOKUP(N$2,'Depreciation Schedules'!$A$3:$A$42,'Depreciation Schedules'!$B$3:$B$42)</f>
        <v>0</v>
      </c>
      <c r="O372" s="76">
        <f>LOOKUP(O$2,'Depreciation Schedules'!$A$3:$A$42,'Depreciation Schedules'!$B$3:$B$42)</f>
        <v>0</v>
      </c>
      <c r="P372" s="76">
        <f>LOOKUP(P$2,'Depreciation Schedules'!$A$3:$A$42,'Depreciation Schedules'!$B$3:$B$42)</f>
        <v>0</v>
      </c>
      <c r="Q372" s="76">
        <f>LOOKUP(Q$2,'Depreciation Schedules'!$A$3:$A$42,'Depreciation Schedules'!$B$3:$B$42)</f>
        <v>0</v>
      </c>
      <c r="R372" s="76">
        <f>LOOKUP(R$2,'Depreciation Schedules'!$A$3:$A$42,'Depreciation Schedules'!$B$3:$B$42)</f>
        <v>0</v>
      </c>
      <c r="S372" s="76">
        <f>LOOKUP(S$2,'Depreciation Schedules'!$A$3:$A$42,'Depreciation Schedules'!$B$3:$B$42)</f>
        <v>0</v>
      </c>
      <c r="T372" s="76">
        <f>LOOKUP(T$2,'Depreciation Schedules'!$A$3:$A$42,'Depreciation Schedules'!$B$3:$B$42)</f>
        <v>0</v>
      </c>
      <c r="U372" s="76">
        <f>LOOKUP(U$2,'Depreciation Schedules'!$A$3:$A$42,'Depreciation Schedules'!$B$3:$B$42)</f>
        <v>0</v>
      </c>
      <c r="V372" s="76">
        <f>LOOKUP(V$2,'Depreciation Schedules'!$A$3:$A$42,'Depreciation Schedules'!$B$3:$B$42)</f>
        <v>0</v>
      </c>
      <c r="W372" s="76">
        <f>LOOKUP(W$2,'Depreciation Schedules'!$A$3:$A$42,'Depreciation Schedules'!$B$3:$B$42)</f>
        <v>0</v>
      </c>
      <c r="X372" s="76">
        <f>LOOKUP(X$2,'Depreciation Schedules'!$A$3:$A$42,'Depreciation Schedules'!$B$3:$B$42)</f>
        <v>0</v>
      </c>
      <c r="Y372" s="76">
        <f>LOOKUP(Y$2,'Depreciation Schedules'!$A$3:$A$42,'Depreciation Schedules'!$B$3:$B$42)</f>
        <v>0</v>
      </c>
      <c r="Z372" s="76">
        <f>LOOKUP(Z$2,'Depreciation Schedules'!$A$3:$A$42,'Depreciation Schedules'!$B$3:$B$42)</f>
        <v>0</v>
      </c>
      <c r="AA372" s="76">
        <f>LOOKUP(AA$2,'Depreciation Schedules'!$A$3:$A$42,'Depreciation Schedules'!$B$3:$B$42)</f>
        <v>0</v>
      </c>
      <c r="AB372" s="76">
        <f>LOOKUP(AB$2,'Depreciation Schedules'!$A$3:$A$42,'Depreciation Schedules'!$B$3:$B$42)</f>
        <v>0</v>
      </c>
      <c r="AC372" s="76">
        <f>LOOKUP(AC$2,'Depreciation Schedules'!$A$3:$A$42,'Depreciation Schedules'!$B$3:$B$42)</f>
        <v>0</v>
      </c>
      <c r="AD372" s="76">
        <f>LOOKUP(AD$2,'Depreciation Schedules'!$A$3:$A$42,'Depreciation Schedules'!$B$3:$B$42)</f>
        <v>0</v>
      </c>
      <c r="AE372" s="76">
        <f>LOOKUP(AE$2,'Depreciation Schedules'!$A$3:$A$42,'Depreciation Schedules'!$B$3:$B$42)</f>
        <v>0</v>
      </c>
      <c r="AF372" s="76">
        <f>LOOKUP(AF$2,'Depreciation Schedules'!$A$3:$A$42,'Depreciation Schedules'!$B$3:$B$42)</f>
        <v>0</v>
      </c>
      <c r="AG372" s="76">
        <f>LOOKUP(AG$2,'Depreciation Schedules'!$A$3:$A$42,'Depreciation Schedules'!$B$3:$B$42)</f>
        <v>0</v>
      </c>
      <c r="AH372" s="76">
        <f>LOOKUP(AH$2,'Depreciation Schedules'!$A$3:$A$42,'Depreciation Schedules'!$B$3:$B$42)</f>
        <v>0</v>
      </c>
      <c r="AI372" s="76">
        <f>LOOKUP(AI$2,'Depreciation Schedules'!$A$3:$A$42,'Depreciation Schedules'!$B$3:$B$42)</f>
        <v>0</v>
      </c>
      <c r="AJ372" s="76">
        <f>LOOKUP(AJ$2,'Depreciation Schedules'!$A$3:$A$42,'Depreciation Schedules'!$B$3:$B$42)</f>
        <v>0</v>
      </c>
      <c r="AK372" s="76">
        <f>LOOKUP(AK$2,'Depreciation Schedules'!$A$3:$A$42,'Depreciation Schedules'!$B$3:$B$42)</f>
        <v>0</v>
      </c>
      <c r="AL372" s="76">
        <f>LOOKUP(AL$2,'Depreciation Schedules'!$A$3:$A$42,'Depreciation Schedules'!$B$3:$B$42)</f>
        <v>0</v>
      </c>
      <c r="AM372" s="76">
        <f>LOOKUP(AM$2,'Depreciation Schedules'!$A$3:$A$42,'Depreciation Schedules'!$B$3:$B$42)</f>
        <v>0</v>
      </c>
      <c r="AN372" s="76">
        <f>LOOKUP(AN$2,'Depreciation Schedules'!$A$3:$A$42,'Depreciation Schedules'!$B$3:$B$42)</f>
        <v>0</v>
      </c>
      <c r="AO372" s="76">
        <f>LOOKUP(AO$2,'Depreciation Schedules'!$A$3:$A$42,'Depreciation Schedules'!$B$3:$B$42)</f>
        <v>0</v>
      </c>
      <c r="AP372" s="76">
        <f>LOOKUP(AP$2,'Depreciation Schedules'!$A$3:$A$42,'Depreciation Schedules'!$B$3:$B$42)</f>
        <v>0</v>
      </c>
    </row>
    <row r="373" spans="1:42" x14ac:dyDescent="0.2">
      <c r="A373" s="66" t="str">
        <f t="shared" ref="A373:A377" si="180">A340</f>
        <v>15-yr MACRS</v>
      </c>
      <c r="B373" s="77">
        <f t="shared" ref="B373:B377" si="181">SUM(C373:AP373)</f>
        <v>1.0000000000000002</v>
      </c>
      <c r="C373" s="76">
        <f>LOOKUP(C$2,'Depreciation Schedules'!$A$3:$A$42,'Depreciation Schedules'!$C$3:$C$42)</f>
        <v>0.05</v>
      </c>
      <c r="D373" s="76">
        <f>LOOKUP(D$2,'Depreciation Schedules'!$A$3:$A$42,'Depreciation Schedules'!$C$3:$C$42)</f>
        <v>9.5000000000000001E-2</v>
      </c>
      <c r="E373" s="76">
        <f>LOOKUP(E$2,'Depreciation Schedules'!$A$3:$A$42,'Depreciation Schedules'!$C$3:$C$42)</f>
        <v>8.5500000000000007E-2</v>
      </c>
      <c r="F373" s="76">
        <f>LOOKUP(F$2,'Depreciation Schedules'!$A$3:$A$42,'Depreciation Schedules'!$C$3:$C$42)</f>
        <v>7.6999999999999999E-2</v>
      </c>
      <c r="G373" s="76">
        <f>LOOKUP(G$2,'Depreciation Schedules'!$A$3:$A$42,'Depreciation Schedules'!$C$3:$C$42)</f>
        <v>6.93E-2</v>
      </c>
      <c r="H373" s="76">
        <f>LOOKUP(H$2,'Depreciation Schedules'!$A$3:$A$42,'Depreciation Schedules'!$C$3:$C$42)</f>
        <v>6.2300000000000001E-2</v>
      </c>
      <c r="I373" s="76">
        <f>LOOKUP(I$2,'Depreciation Schedules'!$A$3:$A$42,'Depreciation Schedules'!$C$3:$C$42)</f>
        <v>5.8999999999999997E-2</v>
      </c>
      <c r="J373" s="76">
        <f>LOOKUP(J$2,'Depreciation Schedules'!$A$3:$A$42,'Depreciation Schedules'!$C$3:$C$42)</f>
        <v>5.8999999999999997E-2</v>
      </c>
      <c r="K373" s="76">
        <f>LOOKUP(K$2,'Depreciation Schedules'!$A$3:$A$42,'Depreciation Schedules'!$C$3:$C$42)</f>
        <v>5.91E-2</v>
      </c>
      <c r="L373" s="76">
        <f>LOOKUP(L$2,'Depreciation Schedules'!$A$3:$A$42,'Depreciation Schedules'!$C$3:$C$42)</f>
        <v>5.8999999999999997E-2</v>
      </c>
      <c r="M373" s="76">
        <f>LOOKUP(M$2,'Depreciation Schedules'!$A$3:$A$42,'Depreciation Schedules'!$C$3:$C$42)</f>
        <v>5.91E-2</v>
      </c>
      <c r="N373" s="76">
        <f>LOOKUP(N$2,'Depreciation Schedules'!$A$3:$A$42,'Depreciation Schedules'!$C$3:$C$42)</f>
        <v>5.8999999999999997E-2</v>
      </c>
      <c r="O373" s="76">
        <f>LOOKUP(O$2,'Depreciation Schedules'!$A$3:$A$42,'Depreciation Schedules'!$C$3:$C$42)</f>
        <v>5.91E-2</v>
      </c>
      <c r="P373" s="76">
        <f>LOOKUP(P$2,'Depreciation Schedules'!$A$3:$A$42,'Depreciation Schedules'!$C$3:$C$42)</f>
        <v>5.8999999999999997E-2</v>
      </c>
      <c r="Q373" s="76">
        <f>LOOKUP(Q$2,'Depreciation Schedules'!$A$3:$A$42,'Depreciation Schedules'!$C$3:$C$42)</f>
        <v>5.91E-2</v>
      </c>
      <c r="R373" s="76">
        <f>LOOKUP(R$2,'Depreciation Schedules'!$A$3:$A$42,'Depreciation Schedules'!$C$3:$C$42)</f>
        <v>2.9499999999999998E-2</v>
      </c>
      <c r="S373" s="76">
        <f>LOOKUP(S$2,'Depreciation Schedules'!$A$3:$A$42,'Depreciation Schedules'!$C$3:$C$42)</f>
        <v>0</v>
      </c>
      <c r="T373" s="76">
        <f>LOOKUP(T$2,'Depreciation Schedules'!$A$3:$A$42,'Depreciation Schedules'!$C$3:$C$42)</f>
        <v>0</v>
      </c>
      <c r="U373" s="76">
        <f>LOOKUP(U$2,'Depreciation Schedules'!$A$3:$A$42,'Depreciation Schedules'!$C$3:$C$42)</f>
        <v>0</v>
      </c>
      <c r="V373" s="76">
        <f>LOOKUP(V$2,'Depreciation Schedules'!$A$3:$A$42,'Depreciation Schedules'!$C$3:$C$42)</f>
        <v>0</v>
      </c>
      <c r="W373" s="76">
        <f>LOOKUP(W$2,'Depreciation Schedules'!$A$3:$A$42,'Depreciation Schedules'!$C$3:$C$42)</f>
        <v>0</v>
      </c>
      <c r="X373" s="76">
        <f>LOOKUP(X$2,'Depreciation Schedules'!$A$3:$A$42,'Depreciation Schedules'!$C$3:$C$42)</f>
        <v>0</v>
      </c>
      <c r="Y373" s="76">
        <f>LOOKUP(Y$2,'Depreciation Schedules'!$A$3:$A$42,'Depreciation Schedules'!$C$3:$C$42)</f>
        <v>0</v>
      </c>
      <c r="Z373" s="76">
        <f>LOOKUP(Z$2,'Depreciation Schedules'!$A$3:$A$42,'Depreciation Schedules'!$C$3:$C$42)</f>
        <v>0</v>
      </c>
      <c r="AA373" s="76">
        <f>LOOKUP(AA$2,'Depreciation Schedules'!$A$3:$A$42,'Depreciation Schedules'!$C$3:$C$42)</f>
        <v>0</v>
      </c>
      <c r="AB373" s="76">
        <f>LOOKUP(AB$2,'Depreciation Schedules'!$A$3:$A$42,'Depreciation Schedules'!$C$3:$C$42)</f>
        <v>0</v>
      </c>
      <c r="AC373" s="76">
        <f>LOOKUP(AC$2,'Depreciation Schedules'!$A$3:$A$42,'Depreciation Schedules'!$C$3:$C$42)</f>
        <v>0</v>
      </c>
      <c r="AD373" s="76">
        <f>LOOKUP(AD$2,'Depreciation Schedules'!$A$3:$A$42,'Depreciation Schedules'!$C$3:$C$42)</f>
        <v>0</v>
      </c>
      <c r="AE373" s="76">
        <f>LOOKUP(AE$2,'Depreciation Schedules'!$A$3:$A$42,'Depreciation Schedules'!$C$3:$C$42)</f>
        <v>0</v>
      </c>
      <c r="AF373" s="76">
        <f>LOOKUP(AF$2,'Depreciation Schedules'!$A$3:$A$42,'Depreciation Schedules'!$C$3:$C$42)</f>
        <v>0</v>
      </c>
      <c r="AG373" s="76">
        <f>LOOKUP(AG$2,'Depreciation Schedules'!$A$3:$A$42,'Depreciation Schedules'!$C$3:$C$42)</f>
        <v>0</v>
      </c>
      <c r="AH373" s="76">
        <f>LOOKUP(AH$2,'Depreciation Schedules'!$A$3:$A$42,'Depreciation Schedules'!$C$3:$C$42)</f>
        <v>0</v>
      </c>
      <c r="AI373" s="76">
        <f>LOOKUP(AI$2,'Depreciation Schedules'!$A$3:$A$42,'Depreciation Schedules'!$C$3:$C$42)</f>
        <v>0</v>
      </c>
      <c r="AJ373" s="76">
        <f>LOOKUP(AJ$2,'Depreciation Schedules'!$A$3:$A$42,'Depreciation Schedules'!$C$3:$C$42)</f>
        <v>0</v>
      </c>
      <c r="AK373" s="76">
        <f>LOOKUP(AK$2,'Depreciation Schedules'!$A$3:$A$42,'Depreciation Schedules'!$C$3:$C$42)</f>
        <v>0</v>
      </c>
      <c r="AL373" s="76">
        <f>LOOKUP(AL$2,'Depreciation Schedules'!$A$3:$A$42,'Depreciation Schedules'!$C$3:$C$42)</f>
        <v>0</v>
      </c>
      <c r="AM373" s="76">
        <f>LOOKUP(AM$2,'Depreciation Schedules'!$A$3:$A$42,'Depreciation Schedules'!$C$3:$C$42)</f>
        <v>0</v>
      </c>
      <c r="AN373" s="76">
        <f>LOOKUP(AN$2,'Depreciation Schedules'!$A$3:$A$42,'Depreciation Schedules'!$C$3:$C$42)</f>
        <v>0</v>
      </c>
      <c r="AO373" s="76">
        <f>LOOKUP(AO$2,'Depreciation Schedules'!$A$3:$A$42,'Depreciation Schedules'!$C$3:$C$42)</f>
        <v>0</v>
      </c>
      <c r="AP373" s="76">
        <f>LOOKUP(AP$2,'Depreciation Schedules'!$A$3:$A$42,'Depreciation Schedules'!$C$3:$C$42)</f>
        <v>0</v>
      </c>
    </row>
    <row r="374" spans="1:42" x14ac:dyDescent="0.2">
      <c r="A374" s="66" t="str">
        <f t="shared" si="180"/>
        <v>5-yr SL</v>
      </c>
      <c r="B374" s="77">
        <f t="shared" si="181"/>
        <v>0.99999999999999989</v>
      </c>
      <c r="C374" s="76">
        <f>LOOKUP(C$2,'Depreciation Schedules'!$A$3:$A$42,'Depreciation Schedules'!$D$3:$D$42)</f>
        <v>0.1</v>
      </c>
      <c r="D374" s="76">
        <f>LOOKUP(D$2,'Depreciation Schedules'!$A$3:$A$42,'Depreciation Schedules'!$D$3:$D$42)</f>
        <v>0.2</v>
      </c>
      <c r="E374" s="76">
        <f>LOOKUP(E$2,'Depreciation Schedules'!$A$3:$A$42,'Depreciation Schedules'!$D$3:$D$42)</f>
        <v>0.2</v>
      </c>
      <c r="F374" s="76">
        <f>LOOKUP(F$2,'Depreciation Schedules'!$A$3:$A$42,'Depreciation Schedules'!$D$3:$D$42)</f>
        <v>0.2</v>
      </c>
      <c r="G374" s="76">
        <f>LOOKUP(G$2,'Depreciation Schedules'!$A$3:$A$42,'Depreciation Schedules'!$D$3:$D$42)</f>
        <v>0.2</v>
      </c>
      <c r="H374" s="76">
        <f>LOOKUP(H$2,'Depreciation Schedules'!$A$3:$A$42,'Depreciation Schedules'!$D$3:$D$42)</f>
        <v>0.1</v>
      </c>
      <c r="I374" s="76">
        <f>LOOKUP(I$2,'Depreciation Schedules'!$A$3:$A$42,'Depreciation Schedules'!$D$3:$D$42)</f>
        <v>0</v>
      </c>
      <c r="J374" s="76">
        <f>LOOKUP(J$2,'Depreciation Schedules'!$A$3:$A$42,'Depreciation Schedules'!$D$3:$D$42)</f>
        <v>0</v>
      </c>
      <c r="K374" s="76">
        <f>LOOKUP(K$2,'Depreciation Schedules'!$A$3:$A$42,'Depreciation Schedules'!$D$3:$D$42)</f>
        <v>0</v>
      </c>
      <c r="L374" s="76">
        <f>LOOKUP(L$2,'Depreciation Schedules'!$A$3:$A$42,'Depreciation Schedules'!$D$3:$D$42)</f>
        <v>0</v>
      </c>
      <c r="M374" s="76">
        <f>LOOKUP(M$2,'Depreciation Schedules'!$A$3:$A$42,'Depreciation Schedules'!$D$3:$D$42)</f>
        <v>0</v>
      </c>
      <c r="N374" s="76">
        <f>LOOKUP(N$2,'Depreciation Schedules'!$A$3:$A$42,'Depreciation Schedules'!$D$3:$D$42)</f>
        <v>0</v>
      </c>
      <c r="O374" s="76">
        <f>LOOKUP(O$2,'Depreciation Schedules'!$A$3:$A$42,'Depreciation Schedules'!$D$3:$D$42)</f>
        <v>0</v>
      </c>
      <c r="P374" s="76">
        <f>LOOKUP(P$2,'Depreciation Schedules'!$A$3:$A$42,'Depreciation Schedules'!$D$3:$D$42)</f>
        <v>0</v>
      </c>
      <c r="Q374" s="76">
        <f>LOOKUP(Q$2,'Depreciation Schedules'!$A$3:$A$42,'Depreciation Schedules'!$D$3:$D$42)</f>
        <v>0</v>
      </c>
      <c r="R374" s="76">
        <f>LOOKUP(R$2,'Depreciation Schedules'!$A$3:$A$42,'Depreciation Schedules'!$D$3:$D$42)</f>
        <v>0</v>
      </c>
      <c r="S374" s="76">
        <f>LOOKUP(S$2,'Depreciation Schedules'!$A$3:$A$42,'Depreciation Schedules'!$D$3:$D$42)</f>
        <v>0</v>
      </c>
      <c r="T374" s="76">
        <f>LOOKUP(T$2,'Depreciation Schedules'!$A$3:$A$42,'Depreciation Schedules'!$D$3:$D$42)</f>
        <v>0</v>
      </c>
      <c r="U374" s="76">
        <f>LOOKUP(U$2,'Depreciation Schedules'!$A$3:$A$42,'Depreciation Schedules'!$D$3:$D$42)</f>
        <v>0</v>
      </c>
      <c r="V374" s="76">
        <f>LOOKUP(V$2,'Depreciation Schedules'!$A$3:$A$42,'Depreciation Schedules'!$D$3:$D$42)</f>
        <v>0</v>
      </c>
      <c r="W374" s="76">
        <f>LOOKUP(W$2,'Depreciation Schedules'!$A$3:$A$42,'Depreciation Schedules'!$D$3:$D$42)</f>
        <v>0</v>
      </c>
      <c r="X374" s="76">
        <f>LOOKUP(X$2,'Depreciation Schedules'!$A$3:$A$42,'Depreciation Schedules'!$D$3:$D$42)</f>
        <v>0</v>
      </c>
      <c r="Y374" s="76">
        <f>LOOKUP(Y$2,'Depreciation Schedules'!$A$3:$A$42,'Depreciation Schedules'!$D$3:$D$42)</f>
        <v>0</v>
      </c>
      <c r="Z374" s="76">
        <f>LOOKUP(Z$2,'Depreciation Schedules'!$A$3:$A$42,'Depreciation Schedules'!$D$3:$D$42)</f>
        <v>0</v>
      </c>
      <c r="AA374" s="76">
        <f>LOOKUP(AA$2,'Depreciation Schedules'!$A$3:$A$42,'Depreciation Schedules'!$D$3:$D$42)</f>
        <v>0</v>
      </c>
      <c r="AB374" s="76">
        <f>LOOKUP(AB$2,'Depreciation Schedules'!$A$3:$A$42,'Depreciation Schedules'!$D$3:$D$42)</f>
        <v>0</v>
      </c>
      <c r="AC374" s="76">
        <f>LOOKUP(AC$2,'Depreciation Schedules'!$A$3:$A$42,'Depreciation Schedules'!$D$3:$D$42)</f>
        <v>0</v>
      </c>
      <c r="AD374" s="76">
        <f>LOOKUP(AD$2,'Depreciation Schedules'!$A$3:$A$42,'Depreciation Schedules'!$D$3:$D$42)</f>
        <v>0</v>
      </c>
      <c r="AE374" s="76">
        <f>LOOKUP(AE$2,'Depreciation Schedules'!$A$3:$A$42,'Depreciation Schedules'!$D$3:$D$42)</f>
        <v>0</v>
      </c>
      <c r="AF374" s="76">
        <f>LOOKUP(AF$2,'Depreciation Schedules'!$A$3:$A$42,'Depreciation Schedules'!$D$3:$D$42)</f>
        <v>0</v>
      </c>
      <c r="AG374" s="76">
        <f>LOOKUP(AG$2,'Depreciation Schedules'!$A$3:$A$42,'Depreciation Schedules'!$D$3:$D$42)</f>
        <v>0</v>
      </c>
      <c r="AH374" s="76">
        <f>LOOKUP(AH$2,'Depreciation Schedules'!$A$3:$A$42,'Depreciation Schedules'!$D$3:$D$42)</f>
        <v>0</v>
      </c>
      <c r="AI374" s="76">
        <f>LOOKUP(AI$2,'Depreciation Schedules'!$A$3:$A$42,'Depreciation Schedules'!$D$3:$D$42)</f>
        <v>0</v>
      </c>
      <c r="AJ374" s="76">
        <f>LOOKUP(AJ$2,'Depreciation Schedules'!$A$3:$A$42,'Depreciation Schedules'!$D$3:$D$42)</f>
        <v>0</v>
      </c>
      <c r="AK374" s="76">
        <f>LOOKUP(AK$2,'Depreciation Schedules'!$A$3:$A$42,'Depreciation Schedules'!$D$3:$D$42)</f>
        <v>0</v>
      </c>
      <c r="AL374" s="76">
        <f>LOOKUP(AL$2,'Depreciation Schedules'!$A$3:$A$42,'Depreciation Schedules'!$D$3:$D$42)</f>
        <v>0</v>
      </c>
      <c r="AM374" s="76">
        <f>LOOKUP(AM$2,'Depreciation Schedules'!$A$3:$A$42,'Depreciation Schedules'!$D$3:$D$42)</f>
        <v>0</v>
      </c>
      <c r="AN374" s="76">
        <f>LOOKUP(AN$2,'Depreciation Schedules'!$A$3:$A$42,'Depreciation Schedules'!$D$3:$D$42)</f>
        <v>0</v>
      </c>
      <c r="AO374" s="76">
        <f>LOOKUP(AO$2,'Depreciation Schedules'!$A$3:$A$42,'Depreciation Schedules'!$D$3:$D$42)</f>
        <v>0</v>
      </c>
      <c r="AP374" s="76">
        <f>LOOKUP(AP$2,'Depreciation Schedules'!$A$3:$A$42,'Depreciation Schedules'!$D$3:$D$42)</f>
        <v>0</v>
      </c>
    </row>
    <row r="375" spans="1:42" x14ac:dyDescent="0.2">
      <c r="A375" s="66" t="str">
        <f t="shared" si="180"/>
        <v>15-yr SL</v>
      </c>
      <c r="B375" s="77">
        <f t="shared" si="181"/>
        <v>0.99999999999999989</v>
      </c>
      <c r="C375" s="76">
        <f>LOOKUP(C$2,'Depreciation Schedules'!$A$3:$A$42,'Depreciation Schedules'!$E$3:$E$42)</f>
        <v>3.3300000000000003E-2</v>
      </c>
      <c r="D375" s="76">
        <f>LOOKUP(D$2,'Depreciation Schedules'!$A$3:$A$42,'Depreciation Schedules'!$E$3:$E$42)</f>
        <v>6.6699999999999995E-2</v>
      </c>
      <c r="E375" s="76">
        <f>LOOKUP(E$2,'Depreciation Schedules'!$A$3:$A$42,'Depreciation Schedules'!$E$3:$E$42)</f>
        <v>6.6699999999999995E-2</v>
      </c>
      <c r="F375" s="76">
        <f>LOOKUP(F$2,'Depreciation Schedules'!$A$3:$A$42,'Depreciation Schedules'!$E$3:$E$42)</f>
        <v>6.6699999999999995E-2</v>
      </c>
      <c r="G375" s="76">
        <f>LOOKUP(G$2,'Depreciation Schedules'!$A$3:$A$42,'Depreciation Schedules'!$E$3:$E$42)</f>
        <v>6.6699999999999995E-2</v>
      </c>
      <c r="H375" s="76">
        <f>LOOKUP(H$2,'Depreciation Schedules'!$A$3:$A$42,'Depreciation Schedules'!$E$3:$E$42)</f>
        <v>6.6699999999999995E-2</v>
      </c>
      <c r="I375" s="76">
        <f>LOOKUP(I$2,'Depreciation Schedules'!$A$3:$A$42,'Depreciation Schedules'!$E$3:$E$42)</f>
        <v>6.6699999999999995E-2</v>
      </c>
      <c r="J375" s="76">
        <f>LOOKUP(J$2,'Depreciation Schedules'!$A$3:$A$42,'Depreciation Schedules'!$E$3:$E$42)</f>
        <v>6.6600000000000006E-2</v>
      </c>
      <c r="K375" s="76">
        <f>LOOKUP(K$2,'Depreciation Schedules'!$A$3:$A$42,'Depreciation Schedules'!$E$3:$E$42)</f>
        <v>6.6699999999999995E-2</v>
      </c>
      <c r="L375" s="76">
        <f>LOOKUP(L$2,'Depreciation Schedules'!$A$3:$A$42,'Depreciation Schedules'!$E$3:$E$42)</f>
        <v>6.6600000000000006E-2</v>
      </c>
      <c r="M375" s="76">
        <f>LOOKUP(M$2,'Depreciation Schedules'!$A$3:$A$42,'Depreciation Schedules'!$E$3:$E$42)</f>
        <v>6.6699999999999995E-2</v>
      </c>
      <c r="N375" s="76">
        <f>LOOKUP(N$2,'Depreciation Schedules'!$A$3:$A$42,'Depreciation Schedules'!$E$3:$E$42)</f>
        <v>6.6600000000000006E-2</v>
      </c>
      <c r="O375" s="76">
        <f>LOOKUP(O$2,'Depreciation Schedules'!$A$3:$A$42,'Depreciation Schedules'!$E$3:$E$42)</f>
        <v>6.6699999999999995E-2</v>
      </c>
      <c r="P375" s="76">
        <f>LOOKUP(P$2,'Depreciation Schedules'!$A$3:$A$42,'Depreciation Schedules'!$E$3:$E$42)</f>
        <v>6.6600000000000006E-2</v>
      </c>
      <c r="Q375" s="76">
        <f>LOOKUP(Q$2,'Depreciation Schedules'!$A$3:$A$42,'Depreciation Schedules'!$E$3:$E$42)</f>
        <v>6.6699999999999995E-2</v>
      </c>
      <c r="R375" s="76">
        <f>LOOKUP(R$2,'Depreciation Schedules'!$A$3:$A$42,'Depreciation Schedules'!$E$3:$E$42)</f>
        <v>3.3300000000000003E-2</v>
      </c>
      <c r="S375" s="76">
        <f>LOOKUP(S$2,'Depreciation Schedules'!$A$3:$A$42,'Depreciation Schedules'!$E$3:$E$42)</f>
        <v>0</v>
      </c>
      <c r="T375" s="76">
        <f>LOOKUP(T$2,'Depreciation Schedules'!$A$3:$A$42,'Depreciation Schedules'!$E$3:$E$42)</f>
        <v>0</v>
      </c>
      <c r="U375" s="76">
        <f>LOOKUP(U$2,'Depreciation Schedules'!$A$3:$A$42,'Depreciation Schedules'!$E$3:$E$42)</f>
        <v>0</v>
      </c>
      <c r="V375" s="76">
        <f>LOOKUP(V$2,'Depreciation Schedules'!$A$3:$A$42,'Depreciation Schedules'!$E$3:$E$42)</f>
        <v>0</v>
      </c>
      <c r="W375" s="76">
        <f>LOOKUP(W$2,'Depreciation Schedules'!$A$3:$A$42,'Depreciation Schedules'!$E$3:$E$42)</f>
        <v>0</v>
      </c>
      <c r="X375" s="76">
        <f>LOOKUP(X$2,'Depreciation Schedules'!$A$3:$A$42,'Depreciation Schedules'!$E$3:$E$42)</f>
        <v>0</v>
      </c>
      <c r="Y375" s="76">
        <f>LOOKUP(Y$2,'Depreciation Schedules'!$A$3:$A$42,'Depreciation Schedules'!$E$3:$E$42)</f>
        <v>0</v>
      </c>
      <c r="Z375" s="76">
        <f>LOOKUP(Z$2,'Depreciation Schedules'!$A$3:$A$42,'Depreciation Schedules'!$E$3:$E$42)</f>
        <v>0</v>
      </c>
      <c r="AA375" s="76">
        <f>LOOKUP(AA$2,'Depreciation Schedules'!$A$3:$A$42,'Depreciation Schedules'!$E$3:$E$42)</f>
        <v>0</v>
      </c>
      <c r="AB375" s="76">
        <f>LOOKUP(AB$2,'Depreciation Schedules'!$A$3:$A$42,'Depreciation Schedules'!$E$3:$E$42)</f>
        <v>0</v>
      </c>
      <c r="AC375" s="76">
        <f>LOOKUP(AC$2,'Depreciation Schedules'!$A$3:$A$42,'Depreciation Schedules'!$E$3:$E$42)</f>
        <v>0</v>
      </c>
      <c r="AD375" s="76">
        <f>LOOKUP(AD$2,'Depreciation Schedules'!$A$3:$A$42,'Depreciation Schedules'!$E$3:$E$42)</f>
        <v>0</v>
      </c>
      <c r="AE375" s="76">
        <f>LOOKUP(AE$2,'Depreciation Schedules'!$A$3:$A$42,'Depreciation Schedules'!$E$3:$E$42)</f>
        <v>0</v>
      </c>
      <c r="AF375" s="76">
        <f>LOOKUP(AF$2,'Depreciation Schedules'!$A$3:$A$42,'Depreciation Schedules'!$E$3:$E$42)</f>
        <v>0</v>
      </c>
      <c r="AG375" s="76">
        <f>LOOKUP(AG$2,'Depreciation Schedules'!$A$3:$A$42,'Depreciation Schedules'!$E$3:$E$42)</f>
        <v>0</v>
      </c>
      <c r="AH375" s="76">
        <f>LOOKUP(AH$2,'Depreciation Schedules'!$A$3:$A$42,'Depreciation Schedules'!$E$3:$E$42)</f>
        <v>0</v>
      </c>
      <c r="AI375" s="76">
        <f>LOOKUP(AI$2,'Depreciation Schedules'!$A$3:$A$42,'Depreciation Schedules'!$E$3:$E$42)</f>
        <v>0</v>
      </c>
      <c r="AJ375" s="76">
        <f>LOOKUP(AJ$2,'Depreciation Schedules'!$A$3:$A$42,'Depreciation Schedules'!$E$3:$E$42)</f>
        <v>0</v>
      </c>
      <c r="AK375" s="76">
        <f>LOOKUP(AK$2,'Depreciation Schedules'!$A$3:$A$42,'Depreciation Schedules'!$E$3:$E$42)</f>
        <v>0</v>
      </c>
      <c r="AL375" s="76">
        <f>LOOKUP(AL$2,'Depreciation Schedules'!$A$3:$A$42,'Depreciation Schedules'!$E$3:$E$42)</f>
        <v>0</v>
      </c>
      <c r="AM375" s="76">
        <f>LOOKUP(AM$2,'Depreciation Schedules'!$A$3:$A$42,'Depreciation Schedules'!$E$3:$E$42)</f>
        <v>0</v>
      </c>
      <c r="AN375" s="76">
        <f>LOOKUP(AN$2,'Depreciation Schedules'!$A$3:$A$42,'Depreciation Schedules'!$E$3:$E$42)</f>
        <v>0</v>
      </c>
      <c r="AO375" s="76">
        <f>LOOKUP(AO$2,'Depreciation Schedules'!$A$3:$A$42,'Depreciation Schedules'!$E$3:$E$42)</f>
        <v>0</v>
      </c>
      <c r="AP375" s="76">
        <f>LOOKUP(AP$2,'Depreciation Schedules'!$A$3:$A$42,'Depreciation Schedules'!$E$3:$E$42)</f>
        <v>0</v>
      </c>
    </row>
    <row r="376" spans="1:42" x14ac:dyDescent="0.2">
      <c r="A376" s="66" t="str">
        <f t="shared" si="180"/>
        <v>20-yr SL</v>
      </c>
      <c r="B376" s="77">
        <f t="shared" si="181"/>
        <v>1.0000000000000002</v>
      </c>
      <c r="C376" s="76">
        <f>LOOKUP(C$2,'Depreciation Schedules'!$A$3:$A$42,'Depreciation Schedules'!$F$3:$F$42)</f>
        <v>2.5000000000000001E-2</v>
      </c>
      <c r="D376" s="76">
        <f>LOOKUP(D$2,'Depreciation Schedules'!$A$3:$A$42,'Depreciation Schedules'!$F$3:$F$42)</f>
        <v>0.05</v>
      </c>
      <c r="E376" s="76">
        <f>LOOKUP(E$2,'Depreciation Schedules'!$A$3:$A$42,'Depreciation Schedules'!$F$3:$F$42)</f>
        <v>0.05</v>
      </c>
      <c r="F376" s="76">
        <f>LOOKUP(F$2,'Depreciation Schedules'!$A$3:$A$42,'Depreciation Schedules'!$F$3:$F$42)</f>
        <v>0.05</v>
      </c>
      <c r="G376" s="76">
        <f>LOOKUP(G$2,'Depreciation Schedules'!$A$3:$A$42,'Depreciation Schedules'!$F$3:$F$42)</f>
        <v>0.05</v>
      </c>
      <c r="H376" s="76">
        <f>LOOKUP(H$2,'Depreciation Schedules'!$A$3:$A$42,'Depreciation Schedules'!$F$3:$F$42)</f>
        <v>0.05</v>
      </c>
      <c r="I376" s="76">
        <f>LOOKUP(I$2,'Depreciation Schedules'!$A$3:$A$42,'Depreciation Schedules'!$F$3:$F$42)</f>
        <v>0.05</v>
      </c>
      <c r="J376" s="76">
        <f>LOOKUP(J$2,'Depreciation Schedules'!$A$3:$A$42,'Depreciation Schedules'!$F$3:$F$42)</f>
        <v>0.05</v>
      </c>
      <c r="K376" s="76">
        <f>LOOKUP(K$2,'Depreciation Schedules'!$A$3:$A$42,'Depreciation Schedules'!$F$3:$F$42)</f>
        <v>0.05</v>
      </c>
      <c r="L376" s="76">
        <f>LOOKUP(L$2,'Depreciation Schedules'!$A$3:$A$42,'Depreciation Schedules'!$F$3:$F$42)</f>
        <v>0.05</v>
      </c>
      <c r="M376" s="76">
        <f>LOOKUP(M$2,'Depreciation Schedules'!$A$3:$A$42,'Depreciation Schedules'!$F$3:$F$42)</f>
        <v>0.05</v>
      </c>
      <c r="N376" s="76">
        <f>LOOKUP(N$2,'Depreciation Schedules'!$A$3:$A$42,'Depreciation Schedules'!$F$3:$F$42)</f>
        <v>0.05</v>
      </c>
      <c r="O376" s="76">
        <f>LOOKUP(O$2,'Depreciation Schedules'!$A$3:$A$42,'Depreciation Schedules'!$F$3:$F$42)</f>
        <v>0.05</v>
      </c>
      <c r="P376" s="76">
        <f>LOOKUP(P$2,'Depreciation Schedules'!$A$3:$A$42,'Depreciation Schedules'!$F$3:$F$42)</f>
        <v>0.05</v>
      </c>
      <c r="Q376" s="76">
        <f>LOOKUP(Q$2,'Depreciation Schedules'!$A$3:$A$42,'Depreciation Schedules'!$F$3:$F$42)</f>
        <v>0.05</v>
      </c>
      <c r="R376" s="76">
        <f>LOOKUP(R$2,'Depreciation Schedules'!$A$3:$A$42,'Depreciation Schedules'!$F$3:$F$42)</f>
        <v>0.05</v>
      </c>
      <c r="S376" s="76">
        <f>LOOKUP(S$2,'Depreciation Schedules'!$A$3:$A$42,'Depreciation Schedules'!$F$3:$F$42)</f>
        <v>0.05</v>
      </c>
      <c r="T376" s="76">
        <f>LOOKUP(T$2,'Depreciation Schedules'!$A$3:$A$42,'Depreciation Schedules'!$F$3:$F$42)</f>
        <v>0.05</v>
      </c>
      <c r="U376" s="76">
        <f>LOOKUP(U$2,'Depreciation Schedules'!$A$3:$A$42,'Depreciation Schedules'!$F$3:$F$42)</f>
        <v>0.05</v>
      </c>
      <c r="V376" s="76">
        <f>LOOKUP(V$2,'Depreciation Schedules'!$A$3:$A$42,'Depreciation Schedules'!$F$3:$F$42)</f>
        <v>0.05</v>
      </c>
      <c r="W376" s="76">
        <f>LOOKUP(W$2,'Depreciation Schedules'!$A$3:$A$42,'Depreciation Schedules'!$F$3:$F$42)</f>
        <v>2.5000000000000001E-2</v>
      </c>
      <c r="X376" s="76">
        <f>LOOKUP(X$2,'Depreciation Schedules'!$A$3:$A$42,'Depreciation Schedules'!$F$3:$F$42)</f>
        <v>0</v>
      </c>
      <c r="Y376" s="76">
        <f>LOOKUP(Y$2,'Depreciation Schedules'!$A$3:$A$42,'Depreciation Schedules'!$F$3:$F$42)</f>
        <v>0</v>
      </c>
      <c r="Z376" s="76">
        <f>LOOKUP(Z$2,'Depreciation Schedules'!$A$3:$A$42,'Depreciation Schedules'!$F$3:$F$42)</f>
        <v>0</v>
      </c>
      <c r="AA376" s="76">
        <f>LOOKUP(AA$2,'Depreciation Schedules'!$A$3:$A$42,'Depreciation Schedules'!$F$3:$F$42)</f>
        <v>0</v>
      </c>
      <c r="AB376" s="76">
        <f>LOOKUP(AB$2,'Depreciation Schedules'!$A$3:$A$42,'Depreciation Schedules'!$F$3:$F$42)</f>
        <v>0</v>
      </c>
      <c r="AC376" s="76">
        <f>LOOKUP(AC$2,'Depreciation Schedules'!$A$3:$A$42,'Depreciation Schedules'!$F$3:$F$42)</f>
        <v>0</v>
      </c>
      <c r="AD376" s="76">
        <f>LOOKUP(AD$2,'Depreciation Schedules'!$A$3:$A$42,'Depreciation Schedules'!$F$3:$F$42)</f>
        <v>0</v>
      </c>
      <c r="AE376" s="76">
        <f>LOOKUP(AE$2,'Depreciation Schedules'!$A$3:$A$42,'Depreciation Schedules'!$F$3:$F$42)</f>
        <v>0</v>
      </c>
      <c r="AF376" s="76">
        <f>LOOKUP(AF$2,'Depreciation Schedules'!$A$3:$A$42,'Depreciation Schedules'!$F$3:$F$42)</f>
        <v>0</v>
      </c>
      <c r="AG376" s="76">
        <f>LOOKUP(AG$2,'Depreciation Schedules'!$A$3:$A$42,'Depreciation Schedules'!$F$3:$F$42)</f>
        <v>0</v>
      </c>
      <c r="AH376" s="76">
        <f>LOOKUP(AH$2,'Depreciation Schedules'!$A$3:$A$42,'Depreciation Schedules'!$F$3:$F$42)</f>
        <v>0</v>
      </c>
      <c r="AI376" s="76">
        <f>LOOKUP(AI$2,'Depreciation Schedules'!$A$3:$A$42,'Depreciation Schedules'!$F$3:$F$42)</f>
        <v>0</v>
      </c>
      <c r="AJ376" s="76">
        <f>LOOKUP(AJ$2,'Depreciation Schedules'!$A$3:$A$42,'Depreciation Schedules'!$F$3:$F$42)</f>
        <v>0</v>
      </c>
      <c r="AK376" s="76">
        <f>LOOKUP(AK$2,'Depreciation Schedules'!$A$3:$A$42,'Depreciation Schedules'!$F$3:$F$42)</f>
        <v>0</v>
      </c>
      <c r="AL376" s="76">
        <f>LOOKUP(AL$2,'Depreciation Schedules'!$A$3:$A$42,'Depreciation Schedules'!$F$3:$F$42)</f>
        <v>0</v>
      </c>
      <c r="AM376" s="76">
        <f>LOOKUP(AM$2,'Depreciation Schedules'!$A$3:$A$42,'Depreciation Schedules'!$F$3:$F$42)</f>
        <v>0</v>
      </c>
      <c r="AN376" s="76">
        <f>LOOKUP(AN$2,'Depreciation Schedules'!$A$3:$A$42,'Depreciation Schedules'!$F$3:$F$42)</f>
        <v>0</v>
      </c>
      <c r="AO376" s="76">
        <f>LOOKUP(AO$2,'Depreciation Schedules'!$A$3:$A$42,'Depreciation Schedules'!$F$3:$F$42)</f>
        <v>0</v>
      </c>
      <c r="AP376" s="76">
        <f>LOOKUP(AP$2,'Depreciation Schedules'!$A$3:$A$42,'Depreciation Schedules'!$F$3:$F$42)</f>
        <v>0</v>
      </c>
    </row>
    <row r="377" spans="1:42" x14ac:dyDescent="0.2">
      <c r="A377" s="66" t="str">
        <f t="shared" si="180"/>
        <v>39-yr SL</v>
      </c>
      <c r="B377" s="78">
        <f t="shared" si="181"/>
        <v>1.0000000000000004</v>
      </c>
      <c r="C377" s="76">
        <f>LOOKUP(C$2,'Depreciation Schedules'!$A$3:$A$42,'Depreciation Schedules'!$G$3:$G$42)</f>
        <v>1.2820512820512799E-2</v>
      </c>
      <c r="D377" s="76">
        <f>LOOKUP(D$2,'Depreciation Schedules'!$A$3:$A$42,'Depreciation Schedules'!$G$3:$G$42)</f>
        <v>2.564102564102564E-2</v>
      </c>
      <c r="E377" s="76">
        <f>LOOKUP(E$2,'Depreciation Schedules'!$A$3:$A$42,'Depreciation Schedules'!$G$3:$G$42)</f>
        <v>2.564102564102564E-2</v>
      </c>
      <c r="F377" s="76">
        <f>LOOKUP(F$2,'Depreciation Schedules'!$A$3:$A$42,'Depreciation Schedules'!$G$3:$G$42)</f>
        <v>2.564102564102564E-2</v>
      </c>
      <c r="G377" s="76">
        <f>LOOKUP(G$2,'Depreciation Schedules'!$A$3:$A$42,'Depreciation Schedules'!$G$3:$G$42)</f>
        <v>2.564102564102564E-2</v>
      </c>
      <c r="H377" s="76">
        <f>LOOKUP(H$2,'Depreciation Schedules'!$A$3:$A$42,'Depreciation Schedules'!$G$3:$G$42)</f>
        <v>2.564102564102564E-2</v>
      </c>
      <c r="I377" s="76">
        <f>LOOKUP(I$2,'Depreciation Schedules'!$A$3:$A$42,'Depreciation Schedules'!$G$3:$G$42)</f>
        <v>2.564102564102564E-2</v>
      </c>
      <c r="J377" s="76">
        <f>LOOKUP(J$2,'Depreciation Schedules'!$A$3:$A$42,'Depreciation Schedules'!$G$3:$G$42)</f>
        <v>2.564102564102564E-2</v>
      </c>
      <c r="K377" s="76">
        <f>LOOKUP(K$2,'Depreciation Schedules'!$A$3:$A$42,'Depreciation Schedules'!$G$3:$G$42)</f>
        <v>2.564102564102564E-2</v>
      </c>
      <c r="L377" s="76">
        <f>LOOKUP(L$2,'Depreciation Schedules'!$A$3:$A$42,'Depreciation Schedules'!$G$3:$G$42)</f>
        <v>2.564102564102564E-2</v>
      </c>
      <c r="M377" s="76">
        <f>LOOKUP(M$2,'Depreciation Schedules'!$A$3:$A$42,'Depreciation Schedules'!$G$3:$G$42)</f>
        <v>2.564102564102564E-2</v>
      </c>
      <c r="N377" s="76">
        <f>LOOKUP(N$2,'Depreciation Schedules'!$A$3:$A$42,'Depreciation Schedules'!$G$3:$G$42)</f>
        <v>2.564102564102564E-2</v>
      </c>
      <c r="O377" s="76">
        <f>LOOKUP(O$2,'Depreciation Schedules'!$A$3:$A$42,'Depreciation Schedules'!$G$3:$G$42)</f>
        <v>2.564102564102564E-2</v>
      </c>
      <c r="P377" s="76">
        <f>LOOKUP(P$2,'Depreciation Schedules'!$A$3:$A$42,'Depreciation Schedules'!$G$3:$G$42)</f>
        <v>2.564102564102564E-2</v>
      </c>
      <c r="Q377" s="76">
        <f>LOOKUP(Q$2,'Depreciation Schedules'!$A$3:$A$42,'Depreciation Schedules'!$G$3:$G$42)</f>
        <v>2.564102564102564E-2</v>
      </c>
      <c r="R377" s="76">
        <f>LOOKUP(R$2,'Depreciation Schedules'!$A$3:$A$42,'Depreciation Schedules'!$G$3:$G$42)</f>
        <v>2.564102564102564E-2</v>
      </c>
      <c r="S377" s="76">
        <f>LOOKUP(S$2,'Depreciation Schedules'!$A$3:$A$42,'Depreciation Schedules'!$G$3:$G$42)</f>
        <v>2.564102564102564E-2</v>
      </c>
      <c r="T377" s="76">
        <f>LOOKUP(T$2,'Depreciation Schedules'!$A$3:$A$42,'Depreciation Schedules'!$G$3:$G$42)</f>
        <v>2.564102564102564E-2</v>
      </c>
      <c r="U377" s="76">
        <f>LOOKUP(U$2,'Depreciation Schedules'!$A$3:$A$42,'Depreciation Schedules'!$G$3:$G$42)</f>
        <v>2.564102564102564E-2</v>
      </c>
      <c r="V377" s="76">
        <f>LOOKUP(V$2,'Depreciation Schedules'!$A$3:$A$42,'Depreciation Schedules'!$G$3:$G$42)</f>
        <v>2.564102564102564E-2</v>
      </c>
      <c r="W377" s="76">
        <f>LOOKUP(W$2,'Depreciation Schedules'!$A$3:$A$42,'Depreciation Schedules'!$G$3:$G$42)</f>
        <v>2.564102564102564E-2</v>
      </c>
      <c r="X377" s="76">
        <f>LOOKUP(X$2,'Depreciation Schedules'!$A$3:$A$42,'Depreciation Schedules'!$G$3:$G$42)</f>
        <v>2.564102564102564E-2</v>
      </c>
      <c r="Y377" s="76">
        <f>LOOKUP(Y$2,'Depreciation Schedules'!$A$3:$A$42,'Depreciation Schedules'!$G$3:$G$42)</f>
        <v>2.564102564102564E-2</v>
      </c>
      <c r="Z377" s="76">
        <f>LOOKUP(Z$2,'Depreciation Schedules'!$A$3:$A$42,'Depreciation Schedules'!$G$3:$G$42)</f>
        <v>2.564102564102564E-2</v>
      </c>
      <c r="AA377" s="76">
        <f>LOOKUP(AA$2,'Depreciation Schedules'!$A$3:$A$42,'Depreciation Schedules'!$G$3:$G$42)</f>
        <v>2.564102564102564E-2</v>
      </c>
      <c r="AB377" s="76">
        <f>LOOKUP(AB$2,'Depreciation Schedules'!$A$3:$A$42,'Depreciation Schedules'!$G$3:$G$42)</f>
        <v>2.564102564102564E-2</v>
      </c>
      <c r="AC377" s="76">
        <f>LOOKUP(AC$2,'Depreciation Schedules'!$A$3:$A$42,'Depreciation Schedules'!$G$3:$G$42)</f>
        <v>2.564102564102564E-2</v>
      </c>
      <c r="AD377" s="76">
        <f>LOOKUP(AD$2,'Depreciation Schedules'!$A$3:$A$42,'Depreciation Schedules'!$G$3:$G$42)</f>
        <v>2.564102564102564E-2</v>
      </c>
      <c r="AE377" s="76">
        <f>LOOKUP(AE$2,'Depreciation Schedules'!$A$3:$A$42,'Depreciation Schedules'!$G$3:$G$42)</f>
        <v>2.564102564102564E-2</v>
      </c>
      <c r="AF377" s="76">
        <f>LOOKUP(AF$2,'Depreciation Schedules'!$A$3:$A$42,'Depreciation Schedules'!$G$3:$G$42)</f>
        <v>2.564102564102564E-2</v>
      </c>
      <c r="AG377" s="76">
        <f>LOOKUP(AG$2,'Depreciation Schedules'!$A$3:$A$42,'Depreciation Schedules'!$G$3:$G$42)</f>
        <v>2.564102564102564E-2</v>
      </c>
      <c r="AH377" s="76">
        <f>LOOKUP(AH$2,'Depreciation Schedules'!$A$3:$A$42,'Depreciation Schedules'!$G$3:$G$42)</f>
        <v>2.564102564102564E-2</v>
      </c>
      <c r="AI377" s="76">
        <f>LOOKUP(AI$2,'Depreciation Schedules'!$A$3:$A$42,'Depreciation Schedules'!$G$3:$G$42)</f>
        <v>2.564102564102564E-2</v>
      </c>
      <c r="AJ377" s="76">
        <f>LOOKUP(AJ$2,'Depreciation Schedules'!$A$3:$A$42,'Depreciation Schedules'!$G$3:$G$42)</f>
        <v>2.564102564102564E-2</v>
      </c>
      <c r="AK377" s="76">
        <f>LOOKUP(AK$2,'Depreciation Schedules'!$A$3:$A$42,'Depreciation Schedules'!$G$3:$G$42)</f>
        <v>2.564102564102564E-2</v>
      </c>
      <c r="AL377" s="76">
        <f>LOOKUP(AL$2,'Depreciation Schedules'!$A$3:$A$42,'Depreciation Schedules'!$G$3:$G$42)</f>
        <v>2.564102564102564E-2</v>
      </c>
      <c r="AM377" s="76">
        <f>LOOKUP(AM$2,'Depreciation Schedules'!$A$3:$A$42,'Depreciation Schedules'!$G$3:$G$42)</f>
        <v>2.564102564102564E-2</v>
      </c>
      <c r="AN377" s="76">
        <f>LOOKUP(AN$2,'Depreciation Schedules'!$A$3:$A$42,'Depreciation Schedules'!$G$3:$G$42)</f>
        <v>2.564102564102564E-2</v>
      </c>
      <c r="AO377" s="76">
        <f>LOOKUP(AO$2,'Depreciation Schedules'!$A$3:$A$42,'Depreciation Schedules'!$G$3:$G$42)</f>
        <v>2.564102564102564E-2</v>
      </c>
      <c r="AP377" s="76">
        <f>LOOKUP(AP$2,'Depreciation Schedules'!$A$3:$A$42,'Depreciation Schedules'!$G$3:$G$42)</f>
        <v>1.2820512820512799E-2</v>
      </c>
    </row>
    <row r="378" spans="1:42" x14ac:dyDescent="0.2">
      <c r="A378" s="103" t="s">
        <v>8</v>
      </c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52"/>
      <c r="AE378" s="52"/>
      <c r="AF378" s="52"/>
      <c r="AG378" s="52"/>
      <c r="AH378" s="52"/>
      <c r="AI378" s="52"/>
      <c r="AJ378" s="52"/>
      <c r="AK378" s="52"/>
      <c r="AL378" s="52"/>
      <c r="AM378" s="52"/>
      <c r="AN378" s="52"/>
      <c r="AO378" s="52"/>
      <c r="AP378" s="52"/>
    </row>
    <row r="379" spans="1:42" x14ac:dyDescent="0.2">
      <c r="A379" s="66" t="str">
        <f>A372</f>
        <v>5-yr MACRS</v>
      </c>
      <c r="B379" s="79">
        <f>SUM(C379:AP379)</f>
        <v>30457965.790500011</v>
      </c>
      <c r="C379" s="52">
        <f t="shared" ref="C379:AP379" si="182">C372*$Q339</f>
        <v>6091593.1581000024</v>
      </c>
      <c r="D379" s="52">
        <f t="shared" si="182"/>
        <v>9746549.0529600047</v>
      </c>
      <c r="E379" s="52">
        <f t="shared" si="182"/>
        <v>5847929.431776002</v>
      </c>
      <c r="F379" s="52">
        <f t="shared" si="182"/>
        <v>3508757.6590656014</v>
      </c>
      <c r="G379" s="52">
        <f t="shared" si="182"/>
        <v>3508757.6590656014</v>
      </c>
      <c r="H379" s="52">
        <f t="shared" si="182"/>
        <v>1754378.8295328007</v>
      </c>
      <c r="I379" s="52">
        <f t="shared" si="182"/>
        <v>0</v>
      </c>
      <c r="J379" s="52">
        <f t="shared" si="182"/>
        <v>0</v>
      </c>
      <c r="K379" s="52">
        <f t="shared" si="182"/>
        <v>0</v>
      </c>
      <c r="L379" s="52">
        <f t="shared" si="182"/>
        <v>0</v>
      </c>
      <c r="M379" s="52">
        <f t="shared" si="182"/>
        <v>0</v>
      </c>
      <c r="N379" s="52">
        <f t="shared" si="182"/>
        <v>0</v>
      </c>
      <c r="O379" s="52">
        <f t="shared" si="182"/>
        <v>0</v>
      </c>
      <c r="P379" s="52">
        <f t="shared" si="182"/>
        <v>0</v>
      </c>
      <c r="Q379" s="52">
        <f t="shared" si="182"/>
        <v>0</v>
      </c>
      <c r="R379" s="52">
        <f t="shared" si="182"/>
        <v>0</v>
      </c>
      <c r="S379" s="52">
        <f t="shared" si="182"/>
        <v>0</v>
      </c>
      <c r="T379" s="52">
        <f t="shared" si="182"/>
        <v>0</v>
      </c>
      <c r="U379" s="52">
        <f t="shared" si="182"/>
        <v>0</v>
      </c>
      <c r="V379" s="52">
        <f t="shared" si="182"/>
        <v>0</v>
      </c>
      <c r="W379" s="52">
        <f t="shared" si="182"/>
        <v>0</v>
      </c>
      <c r="X379" s="52">
        <f t="shared" si="182"/>
        <v>0</v>
      </c>
      <c r="Y379" s="52">
        <f t="shared" si="182"/>
        <v>0</v>
      </c>
      <c r="Z379" s="52">
        <f t="shared" si="182"/>
        <v>0</v>
      </c>
      <c r="AA379" s="52">
        <f t="shared" si="182"/>
        <v>0</v>
      </c>
      <c r="AB379" s="52">
        <f t="shared" si="182"/>
        <v>0</v>
      </c>
      <c r="AC379" s="52">
        <f t="shared" si="182"/>
        <v>0</v>
      </c>
      <c r="AD379" s="52">
        <f t="shared" si="182"/>
        <v>0</v>
      </c>
      <c r="AE379" s="52">
        <f t="shared" si="182"/>
        <v>0</v>
      </c>
      <c r="AF379" s="52">
        <f t="shared" si="182"/>
        <v>0</v>
      </c>
      <c r="AG379" s="52">
        <f t="shared" si="182"/>
        <v>0</v>
      </c>
      <c r="AH379" s="52">
        <f t="shared" si="182"/>
        <v>0</v>
      </c>
      <c r="AI379" s="52">
        <f t="shared" si="182"/>
        <v>0</v>
      </c>
      <c r="AJ379" s="52">
        <f t="shared" si="182"/>
        <v>0</v>
      </c>
      <c r="AK379" s="52">
        <f t="shared" si="182"/>
        <v>0</v>
      </c>
      <c r="AL379" s="52">
        <f t="shared" si="182"/>
        <v>0</v>
      </c>
      <c r="AM379" s="52">
        <f t="shared" si="182"/>
        <v>0</v>
      </c>
      <c r="AN379" s="52">
        <f t="shared" si="182"/>
        <v>0</v>
      </c>
      <c r="AO379" s="52">
        <f t="shared" si="182"/>
        <v>0</v>
      </c>
      <c r="AP379" s="52">
        <f t="shared" si="182"/>
        <v>0</v>
      </c>
    </row>
    <row r="380" spans="1:42" x14ac:dyDescent="0.2">
      <c r="A380" s="66" t="str">
        <f t="shared" ref="A380:A384" si="183">A373</f>
        <v>15-yr MACRS</v>
      </c>
      <c r="B380" s="40">
        <f t="shared" ref="B380:B386" si="184">SUM(C380:AP380)</f>
        <v>577950.01500000001</v>
      </c>
      <c r="C380" s="52">
        <f t="shared" ref="C380:AP380" si="185">C373*$Q340</f>
        <v>28897.500750000003</v>
      </c>
      <c r="D380" s="52">
        <f t="shared" si="185"/>
        <v>54905.251425000002</v>
      </c>
      <c r="E380" s="52">
        <f t="shared" si="185"/>
        <v>49414.726282500007</v>
      </c>
      <c r="F380" s="52">
        <f t="shared" si="185"/>
        <v>44502.151155</v>
      </c>
      <c r="G380" s="52">
        <f t="shared" si="185"/>
        <v>40051.936039500004</v>
      </c>
      <c r="H380" s="52">
        <f t="shared" si="185"/>
        <v>36006.285934500003</v>
      </c>
      <c r="I380" s="52">
        <f t="shared" si="185"/>
        <v>34099.050884999997</v>
      </c>
      <c r="J380" s="52">
        <f t="shared" si="185"/>
        <v>34099.050884999997</v>
      </c>
      <c r="K380" s="52">
        <f t="shared" si="185"/>
        <v>34156.845886499999</v>
      </c>
      <c r="L380" s="52">
        <f t="shared" si="185"/>
        <v>34099.050884999997</v>
      </c>
      <c r="M380" s="52">
        <f t="shared" si="185"/>
        <v>34156.845886499999</v>
      </c>
      <c r="N380" s="52">
        <f t="shared" si="185"/>
        <v>34099.050884999997</v>
      </c>
      <c r="O380" s="52">
        <f t="shared" si="185"/>
        <v>34156.845886499999</v>
      </c>
      <c r="P380" s="52">
        <f t="shared" si="185"/>
        <v>34099.050884999997</v>
      </c>
      <c r="Q380" s="52">
        <f t="shared" si="185"/>
        <v>34156.845886499999</v>
      </c>
      <c r="R380" s="52">
        <f t="shared" si="185"/>
        <v>17049.525442499998</v>
      </c>
      <c r="S380" s="52">
        <f t="shared" si="185"/>
        <v>0</v>
      </c>
      <c r="T380" s="52">
        <f t="shared" si="185"/>
        <v>0</v>
      </c>
      <c r="U380" s="52">
        <f t="shared" si="185"/>
        <v>0</v>
      </c>
      <c r="V380" s="52">
        <f t="shared" si="185"/>
        <v>0</v>
      </c>
      <c r="W380" s="52">
        <f t="shared" si="185"/>
        <v>0</v>
      </c>
      <c r="X380" s="52">
        <f t="shared" si="185"/>
        <v>0</v>
      </c>
      <c r="Y380" s="52">
        <f t="shared" si="185"/>
        <v>0</v>
      </c>
      <c r="Z380" s="52">
        <f t="shared" si="185"/>
        <v>0</v>
      </c>
      <c r="AA380" s="52">
        <f t="shared" si="185"/>
        <v>0</v>
      </c>
      <c r="AB380" s="52">
        <f t="shared" si="185"/>
        <v>0</v>
      </c>
      <c r="AC380" s="52">
        <f t="shared" si="185"/>
        <v>0</v>
      </c>
      <c r="AD380" s="52">
        <f t="shared" si="185"/>
        <v>0</v>
      </c>
      <c r="AE380" s="52">
        <f t="shared" si="185"/>
        <v>0</v>
      </c>
      <c r="AF380" s="52">
        <f t="shared" si="185"/>
        <v>0</v>
      </c>
      <c r="AG380" s="52">
        <f t="shared" si="185"/>
        <v>0</v>
      </c>
      <c r="AH380" s="52">
        <f t="shared" si="185"/>
        <v>0</v>
      </c>
      <c r="AI380" s="52">
        <f t="shared" si="185"/>
        <v>0</v>
      </c>
      <c r="AJ380" s="52">
        <f t="shared" si="185"/>
        <v>0</v>
      </c>
      <c r="AK380" s="52">
        <f t="shared" si="185"/>
        <v>0</v>
      </c>
      <c r="AL380" s="52">
        <f t="shared" si="185"/>
        <v>0</v>
      </c>
      <c r="AM380" s="52">
        <f t="shared" si="185"/>
        <v>0</v>
      </c>
      <c r="AN380" s="52">
        <f t="shared" si="185"/>
        <v>0</v>
      </c>
      <c r="AO380" s="52">
        <f t="shared" si="185"/>
        <v>0</v>
      </c>
      <c r="AP380" s="52">
        <f t="shared" si="185"/>
        <v>0</v>
      </c>
    </row>
    <row r="381" spans="1:42" x14ac:dyDescent="0.2">
      <c r="A381" s="66" t="str">
        <f t="shared" si="183"/>
        <v>5-yr SL</v>
      </c>
      <c r="B381" s="40">
        <f t="shared" si="184"/>
        <v>0</v>
      </c>
      <c r="C381" s="52">
        <f t="shared" ref="C381:AP381" si="186">C374*$Q341</f>
        <v>0</v>
      </c>
      <c r="D381" s="52">
        <f t="shared" si="186"/>
        <v>0</v>
      </c>
      <c r="E381" s="52">
        <f t="shared" si="186"/>
        <v>0</v>
      </c>
      <c r="F381" s="52">
        <f t="shared" si="186"/>
        <v>0</v>
      </c>
      <c r="G381" s="52">
        <f t="shared" si="186"/>
        <v>0</v>
      </c>
      <c r="H381" s="52">
        <f t="shared" si="186"/>
        <v>0</v>
      </c>
      <c r="I381" s="52">
        <f t="shared" si="186"/>
        <v>0</v>
      </c>
      <c r="J381" s="52">
        <f t="shared" si="186"/>
        <v>0</v>
      </c>
      <c r="K381" s="52">
        <f t="shared" si="186"/>
        <v>0</v>
      </c>
      <c r="L381" s="52">
        <f t="shared" si="186"/>
        <v>0</v>
      </c>
      <c r="M381" s="52">
        <f t="shared" si="186"/>
        <v>0</v>
      </c>
      <c r="N381" s="52">
        <f t="shared" si="186"/>
        <v>0</v>
      </c>
      <c r="O381" s="52">
        <f t="shared" si="186"/>
        <v>0</v>
      </c>
      <c r="P381" s="52">
        <f t="shared" si="186"/>
        <v>0</v>
      </c>
      <c r="Q381" s="52">
        <f t="shared" si="186"/>
        <v>0</v>
      </c>
      <c r="R381" s="52">
        <f t="shared" si="186"/>
        <v>0</v>
      </c>
      <c r="S381" s="52">
        <f t="shared" si="186"/>
        <v>0</v>
      </c>
      <c r="T381" s="52">
        <f t="shared" si="186"/>
        <v>0</v>
      </c>
      <c r="U381" s="52">
        <f t="shared" si="186"/>
        <v>0</v>
      </c>
      <c r="V381" s="52">
        <f t="shared" si="186"/>
        <v>0</v>
      </c>
      <c r="W381" s="52">
        <f t="shared" si="186"/>
        <v>0</v>
      </c>
      <c r="X381" s="52">
        <f t="shared" si="186"/>
        <v>0</v>
      </c>
      <c r="Y381" s="52">
        <f t="shared" si="186"/>
        <v>0</v>
      </c>
      <c r="Z381" s="52">
        <f t="shared" si="186"/>
        <v>0</v>
      </c>
      <c r="AA381" s="52">
        <f t="shared" si="186"/>
        <v>0</v>
      </c>
      <c r="AB381" s="52">
        <f t="shared" si="186"/>
        <v>0</v>
      </c>
      <c r="AC381" s="52">
        <f t="shared" si="186"/>
        <v>0</v>
      </c>
      <c r="AD381" s="52">
        <f t="shared" si="186"/>
        <v>0</v>
      </c>
      <c r="AE381" s="52">
        <f t="shared" si="186"/>
        <v>0</v>
      </c>
      <c r="AF381" s="52">
        <f t="shared" si="186"/>
        <v>0</v>
      </c>
      <c r="AG381" s="52">
        <f t="shared" si="186"/>
        <v>0</v>
      </c>
      <c r="AH381" s="52">
        <f t="shared" si="186"/>
        <v>0</v>
      </c>
      <c r="AI381" s="52">
        <f t="shared" si="186"/>
        <v>0</v>
      </c>
      <c r="AJ381" s="52">
        <f t="shared" si="186"/>
        <v>0</v>
      </c>
      <c r="AK381" s="52">
        <f t="shared" si="186"/>
        <v>0</v>
      </c>
      <c r="AL381" s="52">
        <f t="shared" si="186"/>
        <v>0</v>
      </c>
      <c r="AM381" s="52">
        <f t="shared" si="186"/>
        <v>0</v>
      </c>
      <c r="AN381" s="52">
        <f t="shared" si="186"/>
        <v>0</v>
      </c>
      <c r="AO381" s="52">
        <f t="shared" si="186"/>
        <v>0</v>
      </c>
      <c r="AP381" s="52">
        <f t="shared" si="186"/>
        <v>0</v>
      </c>
    </row>
    <row r="382" spans="1:42" x14ac:dyDescent="0.2">
      <c r="A382" s="66" t="str">
        <f t="shared" si="183"/>
        <v>15-yr SL</v>
      </c>
      <c r="B382" s="40">
        <f t="shared" si="184"/>
        <v>963250.02500000026</v>
      </c>
      <c r="C382" s="52">
        <f t="shared" ref="C382:AP382" si="187">C375*$Q342</f>
        <v>32076.225832500004</v>
      </c>
      <c r="D382" s="52">
        <f t="shared" si="187"/>
        <v>64248.776667499995</v>
      </c>
      <c r="E382" s="52">
        <f t="shared" si="187"/>
        <v>64248.776667499995</v>
      </c>
      <c r="F382" s="52">
        <f t="shared" si="187"/>
        <v>64248.776667499995</v>
      </c>
      <c r="G382" s="52">
        <f t="shared" si="187"/>
        <v>64248.776667499995</v>
      </c>
      <c r="H382" s="52">
        <f t="shared" si="187"/>
        <v>64248.776667499995</v>
      </c>
      <c r="I382" s="52">
        <f t="shared" si="187"/>
        <v>64248.776667499995</v>
      </c>
      <c r="J382" s="52">
        <f t="shared" si="187"/>
        <v>64152.451665000008</v>
      </c>
      <c r="K382" s="52">
        <f t="shared" si="187"/>
        <v>64248.776667499995</v>
      </c>
      <c r="L382" s="52">
        <f t="shared" si="187"/>
        <v>64152.451665000008</v>
      </c>
      <c r="M382" s="52">
        <f t="shared" si="187"/>
        <v>64248.776667499995</v>
      </c>
      <c r="N382" s="52">
        <f t="shared" si="187"/>
        <v>64152.451665000008</v>
      </c>
      <c r="O382" s="52">
        <f t="shared" si="187"/>
        <v>64248.776667499995</v>
      </c>
      <c r="P382" s="52">
        <f t="shared" si="187"/>
        <v>64152.451665000008</v>
      </c>
      <c r="Q382" s="52">
        <f t="shared" si="187"/>
        <v>64248.776667499995</v>
      </c>
      <c r="R382" s="52">
        <f t="shared" si="187"/>
        <v>32076.225832500004</v>
      </c>
      <c r="S382" s="52">
        <f t="shared" si="187"/>
        <v>0</v>
      </c>
      <c r="T382" s="52">
        <f t="shared" si="187"/>
        <v>0</v>
      </c>
      <c r="U382" s="52">
        <f t="shared" si="187"/>
        <v>0</v>
      </c>
      <c r="V382" s="52">
        <f t="shared" si="187"/>
        <v>0</v>
      </c>
      <c r="W382" s="52">
        <f t="shared" si="187"/>
        <v>0</v>
      </c>
      <c r="X382" s="52">
        <f t="shared" si="187"/>
        <v>0</v>
      </c>
      <c r="Y382" s="52">
        <f t="shared" si="187"/>
        <v>0</v>
      </c>
      <c r="Z382" s="52">
        <f t="shared" si="187"/>
        <v>0</v>
      </c>
      <c r="AA382" s="52">
        <f t="shared" si="187"/>
        <v>0</v>
      </c>
      <c r="AB382" s="52">
        <f t="shared" si="187"/>
        <v>0</v>
      </c>
      <c r="AC382" s="52">
        <f t="shared" si="187"/>
        <v>0</v>
      </c>
      <c r="AD382" s="52">
        <f t="shared" si="187"/>
        <v>0</v>
      </c>
      <c r="AE382" s="52">
        <f t="shared" si="187"/>
        <v>0</v>
      </c>
      <c r="AF382" s="52">
        <f t="shared" si="187"/>
        <v>0</v>
      </c>
      <c r="AG382" s="52">
        <f t="shared" si="187"/>
        <v>0</v>
      </c>
      <c r="AH382" s="52">
        <f t="shared" si="187"/>
        <v>0</v>
      </c>
      <c r="AI382" s="52">
        <f t="shared" si="187"/>
        <v>0</v>
      </c>
      <c r="AJ382" s="52">
        <f t="shared" si="187"/>
        <v>0</v>
      </c>
      <c r="AK382" s="52">
        <f t="shared" si="187"/>
        <v>0</v>
      </c>
      <c r="AL382" s="52">
        <f t="shared" si="187"/>
        <v>0</v>
      </c>
      <c r="AM382" s="52">
        <f t="shared" si="187"/>
        <v>0</v>
      </c>
      <c r="AN382" s="52">
        <f t="shared" si="187"/>
        <v>0</v>
      </c>
      <c r="AO382" s="52">
        <f t="shared" si="187"/>
        <v>0</v>
      </c>
      <c r="AP382" s="52">
        <f t="shared" si="187"/>
        <v>0</v>
      </c>
    </row>
    <row r="383" spans="1:42" x14ac:dyDescent="0.2">
      <c r="A383" s="66" t="str">
        <f t="shared" si="183"/>
        <v>20-yr SL</v>
      </c>
      <c r="B383" s="40">
        <f t="shared" si="184"/>
        <v>963250.02499999967</v>
      </c>
      <c r="C383" s="52">
        <f t="shared" ref="C383:AP383" si="188">C376*$Q343</f>
        <v>24081.250625000001</v>
      </c>
      <c r="D383" s="52">
        <f t="shared" si="188"/>
        <v>48162.501250000001</v>
      </c>
      <c r="E383" s="52">
        <f t="shared" si="188"/>
        <v>48162.501250000001</v>
      </c>
      <c r="F383" s="52">
        <f t="shared" si="188"/>
        <v>48162.501250000001</v>
      </c>
      <c r="G383" s="52">
        <f t="shared" si="188"/>
        <v>48162.501250000001</v>
      </c>
      <c r="H383" s="52">
        <f t="shared" si="188"/>
        <v>48162.501250000001</v>
      </c>
      <c r="I383" s="52">
        <f t="shared" si="188"/>
        <v>48162.501250000001</v>
      </c>
      <c r="J383" s="52">
        <f t="shared" si="188"/>
        <v>48162.501250000001</v>
      </c>
      <c r="K383" s="52">
        <f t="shared" si="188"/>
        <v>48162.501250000001</v>
      </c>
      <c r="L383" s="52">
        <f t="shared" si="188"/>
        <v>48162.501250000001</v>
      </c>
      <c r="M383" s="52">
        <f t="shared" si="188"/>
        <v>48162.501250000001</v>
      </c>
      <c r="N383" s="52">
        <f t="shared" si="188"/>
        <v>48162.501250000001</v>
      </c>
      <c r="O383" s="52">
        <f t="shared" si="188"/>
        <v>48162.501250000001</v>
      </c>
      <c r="P383" s="52">
        <f t="shared" si="188"/>
        <v>48162.501250000001</v>
      </c>
      <c r="Q383" s="52">
        <f t="shared" si="188"/>
        <v>48162.501250000001</v>
      </c>
      <c r="R383" s="52">
        <f t="shared" si="188"/>
        <v>48162.501250000001</v>
      </c>
      <c r="S383" s="52">
        <f t="shared" si="188"/>
        <v>48162.501250000001</v>
      </c>
      <c r="T383" s="52">
        <f t="shared" si="188"/>
        <v>48162.501250000001</v>
      </c>
      <c r="U383" s="52">
        <f t="shared" si="188"/>
        <v>48162.501250000001</v>
      </c>
      <c r="V383" s="52">
        <f t="shared" si="188"/>
        <v>48162.501250000001</v>
      </c>
      <c r="W383" s="52">
        <f t="shared" si="188"/>
        <v>24081.250625000001</v>
      </c>
      <c r="X383" s="52">
        <f t="shared" si="188"/>
        <v>0</v>
      </c>
      <c r="Y383" s="52">
        <f t="shared" si="188"/>
        <v>0</v>
      </c>
      <c r="Z383" s="52">
        <f t="shared" si="188"/>
        <v>0</v>
      </c>
      <c r="AA383" s="52">
        <f t="shared" si="188"/>
        <v>0</v>
      </c>
      <c r="AB383" s="52">
        <f t="shared" si="188"/>
        <v>0</v>
      </c>
      <c r="AC383" s="52">
        <f t="shared" si="188"/>
        <v>0</v>
      </c>
      <c r="AD383" s="52">
        <f t="shared" si="188"/>
        <v>0</v>
      </c>
      <c r="AE383" s="52">
        <f t="shared" si="188"/>
        <v>0</v>
      </c>
      <c r="AF383" s="52">
        <f t="shared" si="188"/>
        <v>0</v>
      </c>
      <c r="AG383" s="52">
        <f t="shared" si="188"/>
        <v>0</v>
      </c>
      <c r="AH383" s="52">
        <f t="shared" si="188"/>
        <v>0</v>
      </c>
      <c r="AI383" s="52">
        <f t="shared" si="188"/>
        <v>0</v>
      </c>
      <c r="AJ383" s="52">
        <f t="shared" si="188"/>
        <v>0</v>
      </c>
      <c r="AK383" s="52">
        <f t="shared" si="188"/>
        <v>0</v>
      </c>
      <c r="AL383" s="52">
        <f t="shared" si="188"/>
        <v>0</v>
      </c>
      <c r="AM383" s="52">
        <f t="shared" si="188"/>
        <v>0</v>
      </c>
      <c r="AN383" s="52">
        <f t="shared" si="188"/>
        <v>0</v>
      </c>
      <c r="AO383" s="52">
        <f t="shared" si="188"/>
        <v>0</v>
      </c>
      <c r="AP383" s="52">
        <f t="shared" si="188"/>
        <v>0</v>
      </c>
    </row>
    <row r="384" spans="1:42" x14ac:dyDescent="0.2">
      <c r="A384" s="66" t="str">
        <f t="shared" si="183"/>
        <v>39-yr SL</v>
      </c>
      <c r="B384" s="40">
        <f t="shared" si="184"/>
        <v>192650.00500000015</v>
      </c>
      <c r="C384" s="52">
        <f t="shared" ref="C384:AP384" si="189">C377*$Q344</f>
        <v>2469.8718589743548</v>
      </c>
      <c r="D384" s="52">
        <f t="shared" si="189"/>
        <v>4939.7437179487179</v>
      </c>
      <c r="E384" s="52">
        <f t="shared" si="189"/>
        <v>4939.7437179487179</v>
      </c>
      <c r="F384" s="52">
        <f t="shared" si="189"/>
        <v>4939.7437179487179</v>
      </c>
      <c r="G384" s="52">
        <f t="shared" si="189"/>
        <v>4939.7437179487179</v>
      </c>
      <c r="H384" s="52">
        <f t="shared" si="189"/>
        <v>4939.7437179487179</v>
      </c>
      <c r="I384" s="52">
        <f t="shared" si="189"/>
        <v>4939.7437179487179</v>
      </c>
      <c r="J384" s="52">
        <f t="shared" si="189"/>
        <v>4939.7437179487179</v>
      </c>
      <c r="K384" s="52">
        <f t="shared" si="189"/>
        <v>4939.7437179487179</v>
      </c>
      <c r="L384" s="52">
        <f t="shared" si="189"/>
        <v>4939.7437179487179</v>
      </c>
      <c r="M384" s="52">
        <f t="shared" si="189"/>
        <v>4939.7437179487179</v>
      </c>
      <c r="N384" s="52">
        <f t="shared" si="189"/>
        <v>4939.7437179487179</v>
      </c>
      <c r="O384" s="52">
        <f t="shared" si="189"/>
        <v>4939.7437179487179</v>
      </c>
      <c r="P384" s="52">
        <f t="shared" si="189"/>
        <v>4939.7437179487179</v>
      </c>
      <c r="Q384" s="52">
        <f t="shared" si="189"/>
        <v>4939.7437179487179</v>
      </c>
      <c r="R384" s="52">
        <f t="shared" si="189"/>
        <v>4939.7437179487179</v>
      </c>
      <c r="S384" s="52">
        <f t="shared" si="189"/>
        <v>4939.7437179487179</v>
      </c>
      <c r="T384" s="52">
        <f t="shared" si="189"/>
        <v>4939.7437179487179</v>
      </c>
      <c r="U384" s="52">
        <f t="shared" si="189"/>
        <v>4939.7437179487179</v>
      </c>
      <c r="V384" s="52">
        <f t="shared" si="189"/>
        <v>4939.7437179487179</v>
      </c>
      <c r="W384" s="52">
        <f t="shared" si="189"/>
        <v>4939.7437179487179</v>
      </c>
      <c r="X384" s="52">
        <f t="shared" si="189"/>
        <v>4939.7437179487179</v>
      </c>
      <c r="Y384" s="52">
        <f t="shared" si="189"/>
        <v>4939.7437179487179</v>
      </c>
      <c r="Z384" s="52">
        <f t="shared" si="189"/>
        <v>4939.7437179487179</v>
      </c>
      <c r="AA384" s="52">
        <f t="shared" si="189"/>
        <v>4939.7437179487179</v>
      </c>
      <c r="AB384" s="52">
        <f t="shared" si="189"/>
        <v>4939.7437179487179</v>
      </c>
      <c r="AC384" s="52">
        <f t="shared" si="189"/>
        <v>4939.7437179487179</v>
      </c>
      <c r="AD384" s="52">
        <f t="shared" si="189"/>
        <v>4939.7437179487179</v>
      </c>
      <c r="AE384" s="52">
        <f t="shared" si="189"/>
        <v>4939.7437179487179</v>
      </c>
      <c r="AF384" s="52">
        <f t="shared" si="189"/>
        <v>4939.7437179487179</v>
      </c>
      <c r="AG384" s="52">
        <f t="shared" si="189"/>
        <v>4939.7437179487179</v>
      </c>
      <c r="AH384" s="52">
        <f t="shared" si="189"/>
        <v>4939.7437179487179</v>
      </c>
      <c r="AI384" s="52">
        <f t="shared" si="189"/>
        <v>4939.7437179487179</v>
      </c>
      <c r="AJ384" s="52">
        <f t="shared" si="189"/>
        <v>4939.7437179487179</v>
      </c>
      <c r="AK384" s="52">
        <f t="shared" si="189"/>
        <v>4939.7437179487179</v>
      </c>
      <c r="AL384" s="52">
        <f t="shared" si="189"/>
        <v>4939.7437179487179</v>
      </c>
      <c r="AM384" s="52">
        <f t="shared" si="189"/>
        <v>4939.7437179487179</v>
      </c>
      <c r="AN384" s="52">
        <f t="shared" si="189"/>
        <v>4939.7437179487179</v>
      </c>
      <c r="AO384" s="52">
        <f t="shared" si="189"/>
        <v>4939.7437179487179</v>
      </c>
      <c r="AP384" s="52">
        <f t="shared" si="189"/>
        <v>2469.8718589743548</v>
      </c>
    </row>
    <row r="385" spans="1:42" x14ac:dyDescent="0.2">
      <c r="A385" s="66" t="s">
        <v>153</v>
      </c>
      <c r="B385" s="73">
        <f t="shared" si="184"/>
        <v>0</v>
      </c>
      <c r="C385" s="53">
        <f>P346</f>
        <v>0</v>
      </c>
      <c r="D385" s="53">
        <v>0</v>
      </c>
      <c r="E385" s="53">
        <v>0</v>
      </c>
      <c r="F385" s="53">
        <v>0</v>
      </c>
      <c r="G385" s="53">
        <v>0</v>
      </c>
      <c r="H385" s="53">
        <v>0</v>
      </c>
      <c r="I385" s="53">
        <v>0</v>
      </c>
      <c r="J385" s="53">
        <v>0</v>
      </c>
      <c r="K385" s="53">
        <v>0</v>
      </c>
      <c r="L385" s="53">
        <v>0</v>
      </c>
      <c r="M385" s="53">
        <v>0</v>
      </c>
      <c r="N385" s="53">
        <v>0</v>
      </c>
      <c r="O385" s="53">
        <v>0</v>
      </c>
      <c r="P385" s="53">
        <v>0</v>
      </c>
      <c r="Q385" s="53">
        <v>0</v>
      </c>
      <c r="R385" s="53">
        <v>0</v>
      </c>
      <c r="S385" s="53">
        <v>0</v>
      </c>
      <c r="T385" s="53">
        <v>0</v>
      </c>
      <c r="U385" s="53">
        <v>0</v>
      </c>
      <c r="V385" s="53">
        <v>0</v>
      </c>
      <c r="W385" s="53">
        <v>0</v>
      </c>
      <c r="X385" s="53">
        <v>0</v>
      </c>
      <c r="Y385" s="53">
        <v>0</v>
      </c>
      <c r="Z385" s="53">
        <v>0</v>
      </c>
      <c r="AA385" s="53">
        <v>0</v>
      </c>
      <c r="AB385" s="53">
        <v>0</v>
      </c>
      <c r="AC385" s="53">
        <v>0</v>
      </c>
      <c r="AD385" s="53">
        <v>0</v>
      </c>
      <c r="AE385" s="53">
        <v>0</v>
      </c>
      <c r="AF385" s="53">
        <v>0</v>
      </c>
      <c r="AG385" s="53">
        <v>0</v>
      </c>
      <c r="AH385" s="53">
        <v>0</v>
      </c>
      <c r="AI385" s="53">
        <v>0</v>
      </c>
      <c r="AJ385" s="53">
        <v>0</v>
      </c>
      <c r="AK385" s="53">
        <v>0</v>
      </c>
      <c r="AL385" s="53">
        <v>0</v>
      </c>
      <c r="AM385" s="53">
        <v>0</v>
      </c>
      <c r="AN385" s="53">
        <v>0</v>
      </c>
      <c r="AO385" s="53">
        <v>0</v>
      </c>
      <c r="AP385" s="53">
        <v>0</v>
      </c>
    </row>
    <row r="386" spans="1:42" x14ac:dyDescent="0.2">
      <c r="A386" s="65"/>
      <c r="B386" s="73">
        <f t="shared" si="184"/>
        <v>33155065.860500023</v>
      </c>
      <c r="C386" s="52">
        <f>SUM(C379:C385)</f>
        <v>6179118.007166476</v>
      </c>
      <c r="D386" s="52">
        <f t="shared" ref="D386:AP386" si="190">SUM(D379:D385)</f>
        <v>9918805.3260204531</v>
      </c>
      <c r="E386" s="52">
        <f t="shared" si="190"/>
        <v>6014695.1796939503</v>
      </c>
      <c r="F386" s="52">
        <f t="shared" si="190"/>
        <v>3670610.8318560505</v>
      </c>
      <c r="G386" s="52">
        <f t="shared" si="190"/>
        <v>3666160.6167405504</v>
      </c>
      <c r="H386" s="52">
        <f t="shared" si="190"/>
        <v>1907736.1371027492</v>
      </c>
      <c r="I386" s="52">
        <f t="shared" si="190"/>
        <v>151450.07252044871</v>
      </c>
      <c r="J386" s="52">
        <f t="shared" si="190"/>
        <v>151353.74751794874</v>
      </c>
      <c r="K386" s="52">
        <f t="shared" si="190"/>
        <v>151507.86752194873</v>
      </c>
      <c r="L386" s="52">
        <f t="shared" si="190"/>
        <v>151353.74751794874</v>
      </c>
      <c r="M386" s="52">
        <f t="shared" si="190"/>
        <v>151507.86752194873</v>
      </c>
      <c r="N386" s="52">
        <f t="shared" si="190"/>
        <v>151353.74751794874</v>
      </c>
      <c r="O386" s="52">
        <f t="shared" si="190"/>
        <v>151507.86752194873</v>
      </c>
      <c r="P386" s="52">
        <f t="shared" si="190"/>
        <v>151353.74751794874</v>
      </c>
      <c r="Q386" s="52">
        <f t="shared" si="190"/>
        <v>151507.86752194873</v>
      </c>
      <c r="R386" s="52">
        <f t="shared" si="190"/>
        <v>102227.99624294872</v>
      </c>
      <c r="S386" s="52">
        <f t="shared" si="190"/>
        <v>53102.244967948718</v>
      </c>
      <c r="T386" s="52">
        <f t="shared" si="190"/>
        <v>53102.244967948718</v>
      </c>
      <c r="U386" s="52">
        <f t="shared" si="190"/>
        <v>53102.244967948718</v>
      </c>
      <c r="V386" s="52">
        <f t="shared" si="190"/>
        <v>53102.244967948718</v>
      </c>
      <c r="W386" s="52">
        <f t="shared" si="190"/>
        <v>29020.994342948718</v>
      </c>
      <c r="X386" s="52">
        <f t="shared" si="190"/>
        <v>4939.7437179487179</v>
      </c>
      <c r="Y386" s="52">
        <f t="shared" si="190"/>
        <v>4939.7437179487179</v>
      </c>
      <c r="Z386" s="52">
        <f t="shared" si="190"/>
        <v>4939.7437179487179</v>
      </c>
      <c r="AA386" s="52">
        <f t="shared" si="190"/>
        <v>4939.7437179487179</v>
      </c>
      <c r="AB386" s="52">
        <f t="shared" si="190"/>
        <v>4939.7437179487179</v>
      </c>
      <c r="AC386" s="52">
        <f t="shared" si="190"/>
        <v>4939.7437179487179</v>
      </c>
      <c r="AD386" s="52">
        <f t="shared" si="190"/>
        <v>4939.7437179487179</v>
      </c>
      <c r="AE386" s="52">
        <f t="shared" si="190"/>
        <v>4939.7437179487179</v>
      </c>
      <c r="AF386" s="52">
        <f t="shared" si="190"/>
        <v>4939.7437179487179</v>
      </c>
      <c r="AG386" s="52">
        <f t="shared" si="190"/>
        <v>4939.7437179487179</v>
      </c>
      <c r="AH386" s="52">
        <f t="shared" si="190"/>
        <v>4939.7437179487179</v>
      </c>
      <c r="AI386" s="52">
        <f t="shared" si="190"/>
        <v>4939.7437179487179</v>
      </c>
      <c r="AJ386" s="52">
        <f t="shared" si="190"/>
        <v>4939.7437179487179</v>
      </c>
      <c r="AK386" s="52">
        <f t="shared" si="190"/>
        <v>4939.7437179487179</v>
      </c>
      <c r="AL386" s="52">
        <f t="shared" si="190"/>
        <v>4939.7437179487179</v>
      </c>
      <c r="AM386" s="52">
        <f t="shared" si="190"/>
        <v>4939.7437179487179</v>
      </c>
      <c r="AN386" s="52">
        <f t="shared" si="190"/>
        <v>4939.7437179487179</v>
      </c>
      <c r="AO386" s="52">
        <f t="shared" si="190"/>
        <v>4939.7437179487179</v>
      </c>
      <c r="AP386" s="52">
        <f t="shared" si="190"/>
        <v>2469.8718589743548</v>
      </c>
    </row>
    <row r="387" spans="1:42" x14ac:dyDescent="0.2">
      <c r="A387" s="65"/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52"/>
      <c r="AE387" s="52"/>
      <c r="AF387" s="52"/>
      <c r="AG387" s="52"/>
      <c r="AH387" s="52"/>
      <c r="AI387" s="52"/>
      <c r="AJ387" s="52"/>
      <c r="AK387" s="52"/>
      <c r="AL387" s="52"/>
      <c r="AM387" s="52"/>
      <c r="AN387" s="52"/>
      <c r="AO387" s="52"/>
      <c r="AP387" s="52"/>
    </row>
    <row r="388" spans="1:42" x14ac:dyDescent="0.2">
      <c r="A388" s="59" t="s">
        <v>124</v>
      </c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52"/>
      <c r="AE388" s="52"/>
      <c r="AF388" s="52"/>
      <c r="AG388" s="52"/>
      <c r="AH388" s="52"/>
      <c r="AI388" s="52"/>
      <c r="AJ388" s="52"/>
      <c r="AK388" s="52"/>
      <c r="AL388" s="52"/>
      <c r="AM388" s="52"/>
      <c r="AN388" s="52"/>
      <c r="AO388" s="52"/>
      <c r="AP388" s="52"/>
    </row>
    <row r="389" spans="1:42" x14ac:dyDescent="0.2">
      <c r="A389" s="65" t="s">
        <v>126</v>
      </c>
      <c r="B389" s="80" t="str">
        <f>MMFedTaxTreatment</f>
        <v>5-yr MACRS</v>
      </c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52"/>
      <c r="AE389" s="52"/>
      <c r="AF389" s="52"/>
      <c r="AG389" s="52"/>
      <c r="AH389" s="52"/>
      <c r="AI389" s="52"/>
      <c r="AJ389" s="52"/>
      <c r="AK389" s="52"/>
      <c r="AL389" s="52"/>
      <c r="AM389" s="52"/>
      <c r="AN389" s="52"/>
      <c r="AO389" s="52"/>
      <c r="AP389" s="52"/>
    </row>
    <row r="390" spans="1:42" x14ac:dyDescent="0.2">
      <c r="A390" s="65" t="s">
        <v>127</v>
      </c>
      <c r="B390" s="52">
        <f t="shared" ref="B390:AP390" si="191">B2</f>
        <v>0</v>
      </c>
      <c r="C390" s="52">
        <f t="shared" si="191"/>
        <v>1</v>
      </c>
      <c r="D390" s="52">
        <f t="shared" si="191"/>
        <v>2</v>
      </c>
      <c r="E390" s="52">
        <f t="shared" si="191"/>
        <v>3</v>
      </c>
      <c r="F390" s="52">
        <f t="shared" si="191"/>
        <v>4</v>
      </c>
      <c r="G390" s="52">
        <f t="shared" si="191"/>
        <v>5</v>
      </c>
      <c r="H390" s="52">
        <f t="shared" si="191"/>
        <v>6</v>
      </c>
      <c r="I390" s="52">
        <f t="shared" si="191"/>
        <v>7</v>
      </c>
      <c r="J390" s="52">
        <f t="shared" si="191"/>
        <v>8</v>
      </c>
      <c r="K390" s="52">
        <f t="shared" si="191"/>
        <v>9</v>
      </c>
      <c r="L390" s="52">
        <f t="shared" si="191"/>
        <v>10</v>
      </c>
      <c r="M390" s="52">
        <f t="shared" si="191"/>
        <v>11</v>
      </c>
      <c r="N390" s="52">
        <f t="shared" si="191"/>
        <v>12</v>
      </c>
      <c r="O390" s="52">
        <f t="shared" si="191"/>
        <v>13</v>
      </c>
      <c r="P390" s="52">
        <f t="shared" si="191"/>
        <v>14</v>
      </c>
      <c r="Q390" s="52">
        <f t="shared" si="191"/>
        <v>15</v>
      </c>
      <c r="R390" s="52">
        <f t="shared" si="191"/>
        <v>16</v>
      </c>
      <c r="S390" s="52">
        <f t="shared" si="191"/>
        <v>17</v>
      </c>
      <c r="T390" s="52">
        <f t="shared" si="191"/>
        <v>18</v>
      </c>
      <c r="U390" s="52">
        <f t="shared" si="191"/>
        <v>19</v>
      </c>
      <c r="V390" s="52">
        <f t="shared" si="191"/>
        <v>20</v>
      </c>
      <c r="W390" s="52">
        <f t="shared" si="191"/>
        <v>21</v>
      </c>
      <c r="X390" s="52">
        <f t="shared" si="191"/>
        <v>22</v>
      </c>
      <c r="Y390" s="52">
        <f t="shared" si="191"/>
        <v>23</v>
      </c>
      <c r="Z390" s="52">
        <f t="shared" si="191"/>
        <v>24</v>
      </c>
      <c r="AA390" s="52">
        <f t="shared" si="191"/>
        <v>25</v>
      </c>
      <c r="AB390" s="52">
        <f t="shared" si="191"/>
        <v>26</v>
      </c>
      <c r="AC390" s="52">
        <f t="shared" si="191"/>
        <v>27</v>
      </c>
      <c r="AD390" s="52">
        <f t="shared" si="191"/>
        <v>28</v>
      </c>
      <c r="AE390" s="52">
        <f t="shared" si="191"/>
        <v>29</v>
      </c>
      <c r="AF390" s="52">
        <f t="shared" si="191"/>
        <v>30</v>
      </c>
      <c r="AG390" s="52">
        <f t="shared" si="191"/>
        <v>31</v>
      </c>
      <c r="AH390" s="52">
        <f t="shared" si="191"/>
        <v>32</v>
      </c>
      <c r="AI390" s="52">
        <f t="shared" si="191"/>
        <v>33</v>
      </c>
      <c r="AJ390" s="52">
        <f t="shared" si="191"/>
        <v>34</v>
      </c>
      <c r="AK390" s="52">
        <f t="shared" si="191"/>
        <v>35</v>
      </c>
      <c r="AL390" s="52">
        <f t="shared" si="191"/>
        <v>36</v>
      </c>
      <c r="AM390" s="52">
        <f t="shared" si="191"/>
        <v>37</v>
      </c>
      <c r="AN390" s="52">
        <f t="shared" si="191"/>
        <v>38</v>
      </c>
      <c r="AO390" s="52">
        <f t="shared" si="191"/>
        <v>39</v>
      </c>
      <c r="AP390" s="52">
        <f t="shared" si="191"/>
        <v>40</v>
      </c>
    </row>
    <row r="391" spans="1:42" x14ac:dyDescent="0.2">
      <c r="A391" s="65" t="s">
        <v>128</v>
      </c>
      <c r="B391" s="81">
        <v>0</v>
      </c>
      <c r="C391" s="76">
        <f t="shared" ref="C391:AP391" si="192">IF($B$389=$A372,C372,0)+IF($B$389=$A373,C373,0)+IF($B$389=$A374,C374,0)+IF($B$389=$A375,C375,0)+IF($B$389=$A376,C376,0)+IF($B$389=$A377,C377,0)</f>
        <v>0.2</v>
      </c>
      <c r="D391" s="76">
        <f t="shared" si="192"/>
        <v>0.32</v>
      </c>
      <c r="E391" s="76">
        <f t="shared" si="192"/>
        <v>0.192</v>
      </c>
      <c r="F391" s="76">
        <f t="shared" si="192"/>
        <v>0.1152</v>
      </c>
      <c r="G391" s="76">
        <f t="shared" si="192"/>
        <v>0.1152</v>
      </c>
      <c r="H391" s="76">
        <f t="shared" si="192"/>
        <v>5.7599999999999998E-2</v>
      </c>
      <c r="I391" s="76">
        <f t="shared" si="192"/>
        <v>0</v>
      </c>
      <c r="J391" s="76">
        <f t="shared" si="192"/>
        <v>0</v>
      </c>
      <c r="K391" s="76">
        <f t="shared" si="192"/>
        <v>0</v>
      </c>
      <c r="L391" s="76">
        <f t="shared" si="192"/>
        <v>0</v>
      </c>
      <c r="M391" s="76">
        <f t="shared" si="192"/>
        <v>0</v>
      </c>
      <c r="N391" s="76">
        <f t="shared" si="192"/>
        <v>0</v>
      </c>
      <c r="O391" s="76">
        <f t="shared" si="192"/>
        <v>0</v>
      </c>
      <c r="P391" s="76">
        <f t="shared" si="192"/>
        <v>0</v>
      </c>
      <c r="Q391" s="76">
        <f t="shared" si="192"/>
        <v>0</v>
      </c>
      <c r="R391" s="76">
        <f t="shared" si="192"/>
        <v>0</v>
      </c>
      <c r="S391" s="76">
        <f t="shared" si="192"/>
        <v>0</v>
      </c>
      <c r="T391" s="76">
        <f t="shared" si="192"/>
        <v>0</v>
      </c>
      <c r="U391" s="76">
        <f t="shared" si="192"/>
        <v>0</v>
      </c>
      <c r="V391" s="76">
        <f t="shared" si="192"/>
        <v>0</v>
      </c>
      <c r="W391" s="76">
        <f t="shared" si="192"/>
        <v>0</v>
      </c>
      <c r="X391" s="76">
        <f t="shared" si="192"/>
        <v>0</v>
      </c>
      <c r="Y391" s="76">
        <f t="shared" si="192"/>
        <v>0</v>
      </c>
      <c r="Z391" s="76">
        <f t="shared" si="192"/>
        <v>0</v>
      </c>
      <c r="AA391" s="76">
        <f t="shared" si="192"/>
        <v>0</v>
      </c>
      <c r="AB391" s="76">
        <f t="shared" si="192"/>
        <v>0</v>
      </c>
      <c r="AC391" s="76">
        <f t="shared" si="192"/>
        <v>0</v>
      </c>
      <c r="AD391" s="76">
        <f t="shared" si="192"/>
        <v>0</v>
      </c>
      <c r="AE391" s="76">
        <f t="shared" si="192"/>
        <v>0</v>
      </c>
      <c r="AF391" s="76">
        <f t="shared" si="192"/>
        <v>0</v>
      </c>
      <c r="AG391" s="76">
        <f t="shared" si="192"/>
        <v>0</v>
      </c>
      <c r="AH391" s="76">
        <f t="shared" si="192"/>
        <v>0</v>
      </c>
      <c r="AI391" s="76">
        <f t="shared" si="192"/>
        <v>0</v>
      </c>
      <c r="AJ391" s="76">
        <f t="shared" si="192"/>
        <v>0</v>
      </c>
      <c r="AK391" s="76">
        <f t="shared" si="192"/>
        <v>0</v>
      </c>
      <c r="AL391" s="76">
        <f t="shared" si="192"/>
        <v>0</v>
      </c>
      <c r="AM391" s="76">
        <f t="shared" si="192"/>
        <v>0</v>
      </c>
      <c r="AN391" s="76">
        <f t="shared" si="192"/>
        <v>0</v>
      </c>
      <c r="AO391" s="76">
        <f t="shared" si="192"/>
        <v>0</v>
      </c>
      <c r="AP391" s="76">
        <f t="shared" si="192"/>
        <v>0</v>
      </c>
    </row>
    <row r="392" spans="1:42" x14ac:dyDescent="0.2">
      <c r="A392" s="59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52"/>
      <c r="AE392" s="52"/>
      <c r="AF392" s="52"/>
      <c r="AG392" s="52"/>
      <c r="AH392" s="52"/>
      <c r="AI392" s="52"/>
      <c r="AJ392" s="52"/>
      <c r="AK392" s="52"/>
      <c r="AL392" s="52"/>
      <c r="AM392" s="52"/>
      <c r="AN392" s="52"/>
      <c r="AO392" s="52"/>
      <c r="AP392" s="52"/>
    </row>
    <row r="393" spans="1:42" x14ac:dyDescent="0.2">
      <c r="A393" s="59" t="s">
        <v>165</v>
      </c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52"/>
      <c r="AE393" s="52"/>
      <c r="AF393" s="52"/>
      <c r="AG393" s="52"/>
      <c r="AH393" s="52"/>
      <c r="AI393" s="52"/>
      <c r="AJ393" s="52"/>
      <c r="AK393" s="52"/>
      <c r="AL393" s="52"/>
      <c r="AM393" s="52"/>
      <c r="AN393" s="52"/>
      <c r="AO393" s="52"/>
      <c r="AP393" s="52"/>
    </row>
    <row r="394" spans="1:42" x14ac:dyDescent="0.2">
      <c r="A394" s="65" t="s">
        <v>125</v>
      </c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52"/>
      <c r="AE394" s="52"/>
      <c r="AF394" s="52"/>
      <c r="AG394" s="52"/>
      <c r="AH394" s="52"/>
      <c r="AI394" s="52"/>
      <c r="AJ394" s="52"/>
      <c r="AK394" s="52"/>
      <c r="AL394" s="52"/>
      <c r="AM394" s="52"/>
      <c r="AN394" s="52"/>
      <c r="AO394" s="52"/>
      <c r="AP394" s="52"/>
    </row>
    <row r="395" spans="1:42" x14ac:dyDescent="0.2">
      <c r="A395" s="35">
        <v>1</v>
      </c>
      <c r="C395" s="52">
        <f>C261</f>
        <v>0</v>
      </c>
      <c r="D395" s="52">
        <f t="shared" ref="D395:AP401" si="193">D261</f>
        <v>0</v>
      </c>
      <c r="E395" s="52">
        <f t="shared" si="193"/>
        <v>0</v>
      </c>
      <c r="F395" s="52">
        <f t="shared" si="193"/>
        <v>0</v>
      </c>
      <c r="G395" s="52">
        <f t="shared" si="193"/>
        <v>0</v>
      </c>
      <c r="H395" s="52">
        <f t="shared" si="193"/>
        <v>0</v>
      </c>
      <c r="I395" s="52">
        <f t="shared" si="193"/>
        <v>0</v>
      </c>
      <c r="J395" s="52">
        <f t="shared" si="193"/>
        <v>0</v>
      </c>
      <c r="K395" s="52">
        <f t="shared" si="193"/>
        <v>0</v>
      </c>
      <c r="L395" s="52">
        <f t="shared" si="193"/>
        <v>0</v>
      </c>
      <c r="M395" s="52">
        <f t="shared" si="193"/>
        <v>0</v>
      </c>
      <c r="N395" s="52">
        <f t="shared" si="193"/>
        <v>1</v>
      </c>
      <c r="O395" s="52">
        <f t="shared" si="193"/>
        <v>2</v>
      </c>
      <c r="P395" s="52">
        <f t="shared" si="193"/>
        <v>3</v>
      </c>
      <c r="Q395" s="52">
        <f t="shared" si="193"/>
        <v>4</v>
      </c>
      <c r="R395" s="52">
        <f t="shared" si="193"/>
        <v>5</v>
      </c>
      <c r="S395" s="52">
        <f t="shared" si="193"/>
        <v>6</v>
      </c>
      <c r="T395" s="52">
        <f t="shared" si="193"/>
        <v>7</v>
      </c>
      <c r="U395" s="52">
        <f t="shared" si="193"/>
        <v>8</v>
      </c>
      <c r="V395" s="52">
        <f t="shared" si="193"/>
        <v>9</v>
      </c>
      <c r="W395" s="52">
        <f t="shared" si="193"/>
        <v>10</v>
      </c>
      <c r="X395" s="52">
        <f t="shared" si="193"/>
        <v>11</v>
      </c>
      <c r="Y395" s="52">
        <f t="shared" si="193"/>
        <v>12</v>
      </c>
      <c r="Z395" s="52">
        <f t="shared" si="193"/>
        <v>13</v>
      </c>
      <c r="AA395" s="52">
        <f t="shared" si="193"/>
        <v>14</v>
      </c>
      <c r="AB395" s="52">
        <f t="shared" si="193"/>
        <v>15</v>
      </c>
      <c r="AC395" s="52">
        <f t="shared" si="193"/>
        <v>16</v>
      </c>
      <c r="AD395" s="52">
        <f t="shared" si="193"/>
        <v>17</v>
      </c>
      <c r="AE395" s="52">
        <f t="shared" si="193"/>
        <v>18</v>
      </c>
      <c r="AF395" s="52">
        <f t="shared" si="193"/>
        <v>19</v>
      </c>
      <c r="AG395" s="52">
        <f t="shared" si="193"/>
        <v>20</v>
      </c>
      <c r="AH395" s="52">
        <f t="shared" si="193"/>
        <v>21</v>
      </c>
      <c r="AI395" s="52">
        <f t="shared" si="193"/>
        <v>22</v>
      </c>
      <c r="AJ395" s="52">
        <f t="shared" si="193"/>
        <v>23</v>
      </c>
      <c r="AK395" s="52">
        <f t="shared" si="193"/>
        <v>24</v>
      </c>
      <c r="AL395" s="52">
        <f t="shared" si="193"/>
        <v>25</v>
      </c>
      <c r="AM395" s="52">
        <f t="shared" si="193"/>
        <v>26</v>
      </c>
      <c r="AN395" s="52">
        <f t="shared" si="193"/>
        <v>27</v>
      </c>
      <c r="AO395" s="52">
        <f t="shared" si="193"/>
        <v>28</v>
      </c>
      <c r="AP395" s="52">
        <f t="shared" si="193"/>
        <v>29</v>
      </c>
    </row>
    <row r="396" spans="1:42" x14ac:dyDescent="0.2">
      <c r="A396" s="35">
        <f>A395+1</f>
        <v>2</v>
      </c>
      <c r="C396" s="52">
        <f t="shared" ref="C396:R404" si="194">C262</f>
        <v>0</v>
      </c>
      <c r="D396" s="52">
        <f t="shared" si="193"/>
        <v>0</v>
      </c>
      <c r="E396" s="52">
        <f t="shared" si="193"/>
        <v>0</v>
      </c>
      <c r="F396" s="52">
        <f t="shared" si="193"/>
        <v>0</v>
      </c>
      <c r="G396" s="52">
        <f t="shared" si="193"/>
        <v>0</v>
      </c>
      <c r="H396" s="52">
        <f t="shared" si="193"/>
        <v>0</v>
      </c>
      <c r="I396" s="52">
        <f t="shared" si="193"/>
        <v>0</v>
      </c>
      <c r="J396" s="52">
        <f t="shared" si="193"/>
        <v>0</v>
      </c>
      <c r="K396" s="52">
        <f t="shared" si="193"/>
        <v>0</v>
      </c>
      <c r="L396" s="52">
        <f t="shared" si="193"/>
        <v>0</v>
      </c>
      <c r="M396" s="52">
        <f t="shared" si="193"/>
        <v>0</v>
      </c>
      <c r="N396" s="52">
        <f t="shared" si="193"/>
        <v>0</v>
      </c>
      <c r="O396" s="52">
        <f t="shared" si="193"/>
        <v>0</v>
      </c>
      <c r="P396" s="52">
        <f t="shared" si="193"/>
        <v>0</v>
      </c>
      <c r="Q396" s="52">
        <f t="shared" si="193"/>
        <v>0</v>
      </c>
      <c r="R396" s="52">
        <f t="shared" si="193"/>
        <v>0</v>
      </c>
      <c r="S396" s="52">
        <f t="shared" si="193"/>
        <v>0</v>
      </c>
      <c r="T396" s="52">
        <f t="shared" si="193"/>
        <v>0</v>
      </c>
      <c r="U396" s="52">
        <f t="shared" si="193"/>
        <v>0</v>
      </c>
      <c r="V396" s="52">
        <f t="shared" si="193"/>
        <v>0</v>
      </c>
      <c r="W396" s="52">
        <f t="shared" si="193"/>
        <v>0</v>
      </c>
      <c r="X396" s="52">
        <f t="shared" si="193"/>
        <v>0</v>
      </c>
      <c r="Y396" s="52">
        <f t="shared" si="193"/>
        <v>0</v>
      </c>
      <c r="Z396" s="52">
        <f t="shared" si="193"/>
        <v>1</v>
      </c>
      <c r="AA396" s="52">
        <f t="shared" si="193"/>
        <v>2</v>
      </c>
      <c r="AB396" s="52">
        <f t="shared" si="193"/>
        <v>3</v>
      </c>
      <c r="AC396" s="52">
        <f t="shared" si="193"/>
        <v>4</v>
      </c>
      <c r="AD396" s="52">
        <f t="shared" si="193"/>
        <v>5</v>
      </c>
      <c r="AE396" s="52">
        <f t="shared" si="193"/>
        <v>6</v>
      </c>
      <c r="AF396" s="52">
        <f t="shared" si="193"/>
        <v>7</v>
      </c>
      <c r="AG396" s="52">
        <f t="shared" si="193"/>
        <v>8</v>
      </c>
      <c r="AH396" s="52">
        <f t="shared" si="193"/>
        <v>9</v>
      </c>
      <c r="AI396" s="52">
        <f t="shared" si="193"/>
        <v>10</v>
      </c>
      <c r="AJ396" s="52">
        <f t="shared" si="193"/>
        <v>11</v>
      </c>
      <c r="AK396" s="52">
        <f t="shared" si="193"/>
        <v>12</v>
      </c>
      <c r="AL396" s="52">
        <f t="shared" si="193"/>
        <v>13</v>
      </c>
      <c r="AM396" s="52">
        <f t="shared" si="193"/>
        <v>14</v>
      </c>
      <c r="AN396" s="52">
        <f t="shared" si="193"/>
        <v>15</v>
      </c>
      <c r="AO396" s="52">
        <f t="shared" si="193"/>
        <v>16</v>
      </c>
      <c r="AP396" s="52">
        <f t="shared" si="193"/>
        <v>17</v>
      </c>
    </row>
    <row r="397" spans="1:42" x14ac:dyDescent="0.2">
      <c r="A397" s="35">
        <f t="shared" ref="A397:A402" si="195">A396+1</f>
        <v>3</v>
      </c>
      <c r="C397" s="52">
        <f t="shared" si="194"/>
        <v>0</v>
      </c>
      <c r="D397" s="52">
        <f t="shared" si="193"/>
        <v>0</v>
      </c>
      <c r="E397" s="52">
        <f t="shared" si="193"/>
        <v>0</v>
      </c>
      <c r="F397" s="52">
        <f t="shared" si="193"/>
        <v>0</v>
      </c>
      <c r="G397" s="52">
        <f t="shared" si="193"/>
        <v>0</v>
      </c>
      <c r="H397" s="52">
        <f t="shared" si="193"/>
        <v>0</v>
      </c>
      <c r="I397" s="52">
        <f t="shared" si="193"/>
        <v>0</v>
      </c>
      <c r="J397" s="52">
        <f t="shared" si="193"/>
        <v>0</v>
      </c>
      <c r="K397" s="52">
        <f t="shared" si="193"/>
        <v>0</v>
      </c>
      <c r="L397" s="52">
        <f t="shared" si="193"/>
        <v>0</v>
      </c>
      <c r="M397" s="52">
        <f t="shared" si="193"/>
        <v>0</v>
      </c>
      <c r="N397" s="52">
        <f t="shared" si="193"/>
        <v>0</v>
      </c>
      <c r="O397" s="52">
        <f t="shared" si="193"/>
        <v>0</v>
      </c>
      <c r="P397" s="52">
        <f t="shared" si="193"/>
        <v>0</v>
      </c>
      <c r="Q397" s="52">
        <f t="shared" si="193"/>
        <v>0</v>
      </c>
      <c r="R397" s="52">
        <f t="shared" si="193"/>
        <v>0</v>
      </c>
      <c r="S397" s="52">
        <f t="shared" si="193"/>
        <v>0</v>
      </c>
      <c r="T397" s="52">
        <f t="shared" si="193"/>
        <v>0</v>
      </c>
      <c r="U397" s="52">
        <f t="shared" si="193"/>
        <v>0</v>
      </c>
      <c r="V397" s="52">
        <f t="shared" si="193"/>
        <v>0</v>
      </c>
      <c r="W397" s="52">
        <f t="shared" si="193"/>
        <v>0</v>
      </c>
      <c r="X397" s="52">
        <f t="shared" si="193"/>
        <v>0</v>
      </c>
      <c r="Y397" s="52">
        <f t="shared" si="193"/>
        <v>0</v>
      </c>
      <c r="Z397" s="52">
        <f t="shared" si="193"/>
        <v>0</v>
      </c>
      <c r="AA397" s="52">
        <f t="shared" si="193"/>
        <v>0</v>
      </c>
      <c r="AB397" s="52">
        <f t="shared" si="193"/>
        <v>0</v>
      </c>
      <c r="AC397" s="52">
        <f t="shared" si="193"/>
        <v>0</v>
      </c>
      <c r="AD397" s="52">
        <f t="shared" si="193"/>
        <v>0</v>
      </c>
      <c r="AE397" s="52">
        <f t="shared" si="193"/>
        <v>0</v>
      </c>
      <c r="AF397" s="52">
        <f t="shared" si="193"/>
        <v>0</v>
      </c>
      <c r="AG397" s="52">
        <f t="shared" si="193"/>
        <v>0</v>
      </c>
      <c r="AH397" s="52">
        <f t="shared" si="193"/>
        <v>0</v>
      </c>
      <c r="AI397" s="52">
        <f t="shared" si="193"/>
        <v>0</v>
      </c>
      <c r="AJ397" s="52">
        <f t="shared" si="193"/>
        <v>0</v>
      </c>
      <c r="AK397" s="52">
        <f t="shared" si="193"/>
        <v>0</v>
      </c>
      <c r="AL397" s="52">
        <f t="shared" si="193"/>
        <v>1</v>
      </c>
      <c r="AM397" s="52">
        <f t="shared" si="193"/>
        <v>2</v>
      </c>
      <c r="AN397" s="52">
        <f t="shared" si="193"/>
        <v>3</v>
      </c>
      <c r="AO397" s="52">
        <f t="shared" si="193"/>
        <v>4</v>
      </c>
      <c r="AP397" s="52">
        <f t="shared" si="193"/>
        <v>5</v>
      </c>
    </row>
    <row r="398" spans="1:42" x14ac:dyDescent="0.2">
      <c r="A398" s="35">
        <f t="shared" si="195"/>
        <v>4</v>
      </c>
      <c r="C398" s="52">
        <f t="shared" si="194"/>
        <v>0</v>
      </c>
      <c r="D398" s="52">
        <f t="shared" si="193"/>
        <v>0</v>
      </c>
      <c r="E398" s="52">
        <f t="shared" si="193"/>
        <v>0</v>
      </c>
      <c r="F398" s="52">
        <f t="shared" si="193"/>
        <v>0</v>
      </c>
      <c r="G398" s="52">
        <f t="shared" si="193"/>
        <v>0</v>
      </c>
      <c r="H398" s="52">
        <f t="shared" si="193"/>
        <v>0</v>
      </c>
      <c r="I398" s="52">
        <f t="shared" si="193"/>
        <v>0</v>
      </c>
      <c r="J398" s="52">
        <f t="shared" si="193"/>
        <v>0</v>
      </c>
      <c r="K398" s="52">
        <f t="shared" si="193"/>
        <v>0</v>
      </c>
      <c r="L398" s="52">
        <f t="shared" si="193"/>
        <v>0</v>
      </c>
      <c r="M398" s="52">
        <f t="shared" si="193"/>
        <v>0</v>
      </c>
      <c r="N398" s="52">
        <f t="shared" si="193"/>
        <v>0</v>
      </c>
      <c r="O398" s="52">
        <f t="shared" si="193"/>
        <v>0</v>
      </c>
      <c r="P398" s="52">
        <f t="shared" si="193"/>
        <v>0</v>
      </c>
      <c r="Q398" s="52">
        <f t="shared" si="193"/>
        <v>0</v>
      </c>
      <c r="R398" s="52">
        <f t="shared" si="193"/>
        <v>0</v>
      </c>
      <c r="S398" s="52">
        <f t="shared" si="193"/>
        <v>0</v>
      </c>
      <c r="T398" s="52">
        <f t="shared" si="193"/>
        <v>0</v>
      </c>
      <c r="U398" s="52">
        <f t="shared" si="193"/>
        <v>0</v>
      </c>
      <c r="V398" s="52">
        <f t="shared" si="193"/>
        <v>0</v>
      </c>
      <c r="W398" s="52">
        <f t="shared" si="193"/>
        <v>0</v>
      </c>
      <c r="X398" s="52">
        <f t="shared" si="193"/>
        <v>0</v>
      </c>
      <c r="Y398" s="52">
        <f t="shared" si="193"/>
        <v>0</v>
      </c>
      <c r="Z398" s="52">
        <f t="shared" si="193"/>
        <v>0</v>
      </c>
      <c r="AA398" s="52">
        <f t="shared" si="193"/>
        <v>0</v>
      </c>
      <c r="AB398" s="52">
        <f t="shared" si="193"/>
        <v>0</v>
      </c>
      <c r="AC398" s="52">
        <f t="shared" si="193"/>
        <v>0</v>
      </c>
      <c r="AD398" s="52">
        <f t="shared" si="193"/>
        <v>0</v>
      </c>
      <c r="AE398" s="52">
        <f t="shared" si="193"/>
        <v>0</v>
      </c>
      <c r="AF398" s="52">
        <f t="shared" si="193"/>
        <v>0</v>
      </c>
      <c r="AG398" s="52">
        <f t="shared" si="193"/>
        <v>0</v>
      </c>
      <c r="AH398" s="52">
        <f t="shared" si="193"/>
        <v>0</v>
      </c>
      <c r="AI398" s="52">
        <f t="shared" si="193"/>
        <v>0</v>
      </c>
      <c r="AJ398" s="52">
        <f t="shared" si="193"/>
        <v>0</v>
      </c>
      <c r="AK398" s="52">
        <f t="shared" si="193"/>
        <v>0</v>
      </c>
      <c r="AL398" s="52">
        <f t="shared" si="193"/>
        <v>0</v>
      </c>
      <c r="AM398" s="52">
        <f t="shared" si="193"/>
        <v>0</v>
      </c>
      <c r="AN398" s="52">
        <f t="shared" si="193"/>
        <v>0</v>
      </c>
      <c r="AO398" s="52">
        <f t="shared" si="193"/>
        <v>0</v>
      </c>
      <c r="AP398" s="52">
        <f t="shared" si="193"/>
        <v>0</v>
      </c>
    </row>
    <row r="399" spans="1:42" x14ac:dyDescent="0.2">
      <c r="A399" s="35">
        <f t="shared" si="195"/>
        <v>5</v>
      </c>
      <c r="C399" s="52">
        <f t="shared" si="194"/>
        <v>0</v>
      </c>
      <c r="D399" s="52">
        <f t="shared" si="193"/>
        <v>0</v>
      </c>
      <c r="E399" s="52">
        <f t="shared" si="193"/>
        <v>0</v>
      </c>
      <c r="F399" s="52">
        <f t="shared" si="193"/>
        <v>0</v>
      </c>
      <c r="G399" s="52">
        <f t="shared" si="193"/>
        <v>0</v>
      </c>
      <c r="H399" s="52">
        <f t="shared" si="193"/>
        <v>0</v>
      </c>
      <c r="I399" s="52">
        <f t="shared" si="193"/>
        <v>0</v>
      </c>
      <c r="J399" s="52">
        <f t="shared" si="193"/>
        <v>0</v>
      </c>
      <c r="K399" s="52">
        <f t="shared" si="193"/>
        <v>0</v>
      </c>
      <c r="L399" s="52">
        <f t="shared" si="193"/>
        <v>0</v>
      </c>
      <c r="M399" s="52">
        <f t="shared" si="193"/>
        <v>0</v>
      </c>
      <c r="N399" s="52">
        <f t="shared" si="193"/>
        <v>0</v>
      </c>
      <c r="O399" s="52">
        <f t="shared" si="193"/>
        <v>0</v>
      </c>
      <c r="P399" s="52">
        <f t="shared" si="193"/>
        <v>0</v>
      </c>
      <c r="Q399" s="52">
        <f t="shared" si="193"/>
        <v>0</v>
      </c>
      <c r="R399" s="52">
        <f t="shared" si="193"/>
        <v>0</v>
      </c>
      <c r="S399" s="52">
        <f t="shared" si="193"/>
        <v>0</v>
      </c>
      <c r="T399" s="52">
        <f t="shared" si="193"/>
        <v>0</v>
      </c>
      <c r="U399" s="52">
        <f t="shared" si="193"/>
        <v>0</v>
      </c>
      <c r="V399" s="52">
        <f t="shared" si="193"/>
        <v>0</v>
      </c>
      <c r="W399" s="52">
        <f t="shared" si="193"/>
        <v>0</v>
      </c>
      <c r="X399" s="52">
        <f t="shared" si="193"/>
        <v>0</v>
      </c>
      <c r="Y399" s="52">
        <f t="shared" si="193"/>
        <v>0</v>
      </c>
      <c r="Z399" s="52">
        <f t="shared" si="193"/>
        <v>0</v>
      </c>
      <c r="AA399" s="52">
        <f t="shared" si="193"/>
        <v>0</v>
      </c>
      <c r="AB399" s="52">
        <f t="shared" si="193"/>
        <v>0</v>
      </c>
      <c r="AC399" s="52">
        <f t="shared" si="193"/>
        <v>0</v>
      </c>
      <c r="AD399" s="52">
        <f t="shared" si="193"/>
        <v>0</v>
      </c>
      <c r="AE399" s="52">
        <f t="shared" si="193"/>
        <v>0</v>
      </c>
      <c r="AF399" s="52">
        <f t="shared" si="193"/>
        <v>0</v>
      </c>
      <c r="AG399" s="52">
        <f t="shared" si="193"/>
        <v>0</v>
      </c>
      <c r="AH399" s="52">
        <f t="shared" si="193"/>
        <v>0</v>
      </c>
      <c r="AI399" s="52">
        <f t="shared" si="193"/>
        <v>0</v>
      </c>
      <c r="AJ399" s="52">
        <f t="shared" si="193"/>
        <v>0</v>
      </c>
      <c r="AK399" s="52">
        <f t="shared" si="193"/>
        <v>0</v>
      </c>
      <c r="AL399" s="52">
        <f t="shared" si="193"/>
        <v>0</v>
      </c>
      <c r="AM399" s="52">
        <f t="shared" si="193"/>
        <v>0</v>
      </c>
      <c r="AN399" s="52">
        <f t="shared" si="193"/>
        <v>0</v>
      </c>
      <c r="AO399" s="52">
        <f t="shared" si="193"/>
        <v>0</v>
      </c>
      <c r="AP399" s="52">
        <f t="shared" si="193"/>
        <v>0</v>
      </c>
    </row>
    <row r="400" spans="1:42" x14ac:dyDescent="0.2">
      <c r="A400" s="35">
        <f t="shared" si="195"/>
        <v>6</v>
      </c>
      <c r="C400" s="52">
        <f t="shared" si="194"/>
        <v>0</v>
      </c>
      <c r="D400" s="52">
        <f t="shared" si="193"/>
        <v>0</v>
      </c>
      <c r="E400" s="52">
        <f t="shared" si="193"/>
        <v>0</v>
      </c>
      <c r="F400" s="52">
        <f t="shared" si="193"/>
        <v>0</v>
      </c>
      <c r="G400" s="52">
        <f t="shared" si="193"/>
        <v>0</v>
      </c>
      <c r="H400" s="52">
        <f t="shared" si="193"/>
        <v>0</v>
      </c>
      <c r="I400" s="52">
        <f t="shared" si="193"/>
        <v>0</v>
      </c>
      <c r="J400" s="52">
        <f t="shared" si="193"/>
        <v>0</v>
      </c>
      <c r="K400" s="52">
        <f t="shared" si="193"/>
        <v>0</v>
      </c>
      <c r="L400" s="52">
        <f t="shared" si="193"/>
        <v>0</v>
      </c>
      <c r="M400" s="52">
        <f t="shared" si="193"/>
        <v>0</v>
      </c>
      <c r="N400" s="52">
        <f t="shared" si="193"/>
        <v>0</v>
      </c>
      <c r="O400" s="52">
        <f t="shared" si="193"/>
        <v>0</v>
      </c>
      <c r="P400" s="52">
        <f t="shared" si="193"/>
        <v>0</v>
      </c>
      <c r="Q400" s="52">
        <f t="shared" si="193"/>
        <v>0</v>
      </c>
      <c r="R400" s="52">
        <f t="shared" si="193"/>
        <v>0</v>
      </c>
      <c r="S400" s="52">
        <f t="shared" si="193"/>
        <v>0</v>
      </c>
      <c r="T400" s="52">
        <f t="shared" si="193"/>
        <v>0</v>
      </c>
      <c r="U400" s="52">
        <f t="shared" si="193"/>
        <v>0</v>
      </c>
      <c r="V400" s="52">
        <f t="shared" si="193"/>
        <v>0</v>
      </c>
      <c r="W400" s="52">
        <f t="shared" si="193"/>
        <v>0</v>
      </c>
      <c r="X400" s="52">
        <f t="shared" si="193"/>
        <v>0</v>
      </c>
      <c r="Y400" s="52">
        <f t="shared" si="193"/>
        <v>0</v>
      </c>
      <c r="Z400" s="52">
        <f t="shared" si="193"/>
        <v>0</v>
      </c>
      <c r="AA400" s="52">
        <f t="shared" si="193"/>
        <v>0</v>
      </c>
      <c r="AB400" s="52">
        <f t="shared" si="193"/>
        <v>0</v>
      </c>
      <c r="AC400" s="52">
        <f t="shared" si="193"/>
        <v>0</v>
      </c>
      <c r="AD400" s="52">
        <f t="shared" si="193"/>
        <v>0</v>
      </c>
      <c r="AE400" s="52">
        <f t="shared" si="193"/>
        <v>0</v>
      </c>
      <c r="AF400" s="52">
        <f t="shared" si="193"/>
        <v>0</v>
      </c>
      <c r="AG400" s="52">
        <f t="shared" si="193"/>
        <v>0</v>
      </c>
      <c r="AH400" s="52">
        <f t="shared" si="193"/>
        <v>0</v>
      </c>
      <c r="AI400" s="52">
        <f t="shared" si="193"/>
        <v>0</v>
      </c>
      <c r="AJ400" s="52">
        <f t="shared" si="193"/>
        <v>0</v>
      </c>
      <c r="AK400" s="52">
        <f t="shared" si="193"/>
        <v>0</v>
      </c>
      <c r="AL400" s="52">
        <f t="shared" si="193"/>
        <v>0</v>
      </c>
      <c r="AM400" s="52">
        <f t="shared" si="193"/>
        <v>0</v>
      </c>
      <c r="AN400" s="52">
        <f t="shared" si="193"/>
        <v>0</v>
      </c>
      <c r="AO400" s="52">
        <f t="shared" si="193"/>
        <v>0</v>
      </c>
      <c r="AP400" s="52">
        <f t="shared" si="193"/>
        <v>0</v>
      </c>
    </row>
    <row r="401" spans="1:42" x14ac:dyDescent="0.2">
      <c r="A401" s="35">
        <f t="shared" si="195"/>
        <v>7</v>
      </c>
      <c r="C401" s="52">
        <f t="shared" si="194"/>
        <v>0</v>
      </c>
      <c r="D401" s="52">
        <f t="shared" si="193"/>
        <v>0</v>
      </c>
      <c r="E401" s="52">
        <f t="shared" si="193"/>
        <v>0</v>
      </c>
      <c r="F401" s="52">
        <f t="shared" si="193"/>
        <v>0</v>
      </c>
      <c r="G401" s="52">
        <f t="shared" si="193"/>
        <v>0</v>
      </c>
      <c r="H401" s="52">
        <f t="shared" si="193"/>
        <v>0</v>
      </c>
      <c r="I401" s="52">
        <f t="shared" si="193"/>
        <v>0</v>
      </c>
      <c r="J401" s="52">
        <f t="shared" si="193"/>
        <v>0</v>
      </c>
      <c r="K401" s="52">
        <f t="shared" si="193"/>
        <v>0</v>
      </c>
      <c r="L401" s="52">
        <f t="shared" si="193"/>
        <v>0</v>
      </c>
      <c r="M401" s="52">
        <f t="shared" si="193"/>
        <v>0</v>
      </c>
      <c r="N401" s="52">
        <f t="shared" si="193"/>
        <v>0</v>
      </c>
      <c r="O401" s="52">
        <f t="shared" si="193"/>
        <v>0</v>
      </c>
      <c r="P401" s="52">
        <f t="shared" si="193"/>
        <v>0</v>
      </c>
      <c r="Q401" s="52">
        <f t="shared" si="193"/>
        <v>0</v>
      </c>
      <c r="R401" s="52">
        <f t="shared" si="193"/>
        <v>0</v>
      </c>
      <c r="S401" s="52">
        <f t="shared" si="193"/>
        <v>0</v>
      </c>
      <c r="T401" s="52">
        <f t="shared" si="193"/>
        <v>0</v>
      </c>
      <c r="U401" s="52">
        <f t="shared" si="193"/>
        <v>0</v>
      </c>
      <c r="V401" s="52">
        <f t="shared" si="193"/>
        <v>0</v>
      </c>
      <c r="W401" s="52">
        <f t="shared" si="193"/>
        <v>0</v>
      </c>
      <c r="X401" s="52">
        <f t="shared" si="193"/>
        <v>0</v>
      </c>
      <c r="Y401" s="52">
        <f t="shared" ref="Y401:AP401" si="196">Y267</f>
        <v>0</v>
      </c>
      <c r="Z401" s="52">
        <f t="shared" si="196"/>
        <v>0</v>
      </c>
      <c r="AA401" s="52">
        <f t="shared" si="196"/>
        <v>0</v>
      </c>
      <c r="AB401" s="52">
        <f t="shared" si="196"/>
        <v>0</v>
      </c>
      <c r="AC401" s="52">
        <f t="shared" si="196"/>
        <v>0</v>
      </c>
      <c r="AD401" s="52">
        <f t="shared" si="196"/>
        <v>0</v>
      </c>
      <c r="AE401" s="52">
        <f t="shared" si="196"/>
        <v>0</v>
      </c>
      <c r="AF401" s="52">
        <f t="shared" si="196"/>
        <v>0</v>
      </c>
      <c r="AG401" s="52">
        <f t="shared" si="196"/>
        <v>0</v>
      </c>
      <c r="AH401" s="52">
        <f t="shared" si="196"/>
        <v>0</v>
      </c>
      <c r="AI401" s="52">
        <f t="shared" si="196"/>
        <v>0</v>
      </c>
      <c r="AJ401" s="52">
        <f t="shared" si="196"/>
        <v>0</v>
      </c>
      <c r="AK401" s="52">
        <f t="shared" si="196"/>
        <v>0</v>
      </c>
      <c r="AL401" s="52">
        <f t="shared" si="196"/>
        <v>0</v>
      </c>
      <c r="AM401" s="52">
        <f t="shared" si="196"/>
        <v>0</v>
      </c>
      <c r="AN401" s="52">
        <f t="shared" si="196"/>
        <v>0</v>
      </c>
      <c r="AO401" s="52">
        <f t="shared" si="196"/>
        <v>0</v>
      </c>
      <c r="AP401" s="52">
        <f t="shared" si="196"/>
        <v>0</v>
      </c>
    </row>
    <row r="402" spans="1:42" x14ac:dyDescent="0.2">
      <c r="A402" s="35">
        <f t="shared" si="195"/>
        <v>8</v>
      </c>
      <c r="C402" s="52">
        <f t="shared" si="194"/>
        <v>0</v>
      </c>
      <c r="D402" s="52">
        <f t="shared" si="194"/>
        <v>0</v>
      </c>
      <c r="E402" s="52">
        <f t="shared" si="194"/>
        <v>0</v>
      </c>
      <c r="F402" s="52">
        <f t="shared" si="194"/>
        <v>0</v>
      </c>
      <c r="G402" s="52">
        <f t="shared" si="194"/>
        <v>0</v>
      </c>
      <c r="H402" s="52">
        <f t="shared" si="194"/>
        <v>0</v>
      </c>
      <c r="I402" s="52">
        <f t="shared" si="194"/>
        <v>0</v>
      </c>
      <c r="J402" s="52">
        <f t="shared" si="194"/>
        <v>0</v>
      </c>
      <c r="K402" s="52">
        <f t="shared" si="194"/>
        <v>0</v>
      </c>
      <c r="L402" s="52">
        <f t="shared" si="194"/>
        <v>0</v>
      </c>
      <c r="M402" s="52">
        <f t="shared" si="194"/>
        <v>0</v>
      </c>
      <c r="N402" s="52">
        <f t="shared" si="194"/>
        <v>0</v>
      </c>
      <c r="O402" s="52">
        <f t="shared" si="194"/>
        <v>0</v>
      </c>
      <c r="P402" s="52">
        <f t="shared" si="194"/>
        <v>0</v>
      </c>
      <c r="Q402" s="52">
        <f t="shared" si="194"/>
        <v>0</v>
      </c>
      <c r="R402" s="52">
        <f t="shared" si="194"/>
        <v>0</v>
      </c>
      <c r="S402" s="52">
        <f t="shared" ref="S402:AP404" si="197">S268</f>
        <v>0</v>
      </c>
      <c r="T402" s="52">
        <f t="shared" si="197"/>
        <v>0</v>
      </c>
      <c r="U402" s="52">
        <f t="shared" si="197"/>
        <v>0</v>
      </c>
      <c r="V402" s="52">
        <f t="shared" si="197"/>
        <v>0</v>
      </c>
      <c r="W402" s="52">
        <f t="shared" si="197"/>
        <v>0</v>
      </c>
      <c r="X402" s="52">
        <f t="shared" si="197"/>
        <v>0</v>
      </c>
      <c r="Y402" s="52">
        <f t="shared" si="197"/>
        <v>0</v>
      </c>
      <c r="Z402" s="52">
        <f t="shared" si="197"/>
        <v>0</v>
      </c>
      <c r="AA402" s="52">
        <f t="shared" si="197"/>
        <v>0</v>
      </c>
      <c r="AB402" s="52">
        <f t="shared" si="197"/>
        <v>0</v>
      </c>
      <c r="AC402" s="52">
        <f t="shared" si="197"/>
        <v>0</v>
      </c>
      <c r="AD402" s="52">
        <f t="shared" si="197"/>
        <v>0</v>
      </c>
      <c r="AE402" s="52">
        <f t="shared" si="197"/>
        <v>0</v>
      </c>
      <c r="AF402" s="52">
        <f t="shared" si="197"/>
        <v>0</v>
      </c>
      <c r="AG402" s="52">
        <f t="shared" si="197"/>
        <v>0</v>
      </c>
      <c r="AH402" s="52">
        <f t="shared" si="197"/>
        <v>0</v>
      </c>
      <c r="AI402" s="52">
        <f t="shared" si="197"/>
        <v>0</v>
      </c>
      <c r="AJ402" s="52">
        <f t="shared" si="197"/>
        <v>0</v>
      </c>
      <c r="AK402" s="52">
        <f t="shared" si="197"/>
        <v>0</v>
      </c>
      <c r="AL402" s="52">
        <f t="shared" si="197"/>
        <v>0</v>
      </c>
      <c r="AM402" s="52">
        <f t="shared" si="197"/>
        <v>0</v>
      </c>
      <c r="AN402" s="52">
        <f t="shared" si="197"/>
        <v>0</v>
      </c>
      <c r="AO402" s="52">
        <f t="shared" si="197"/>
        <v>0</v>
      </c>
      <c r="AP402" s="52">
        <f t="shared" si="197"/>
        <v>0</v>
      </c>
    </row>
    <row r="403" spans="1:42" x14ac:dyDescent="0.2">
      <c r="A403" s="35">
        <f>A402+1</f>
        <v>9</v>
      </c>
      <c r="C403" s="52">
        <f t="shared" si="194"/>
        <v>0</v>
      </c>
      <c r="D403" s="52">
        <f t="shared" si="194"/>
        <v>0</v>
      </c>
      <c r="E403" s="52">
        <f t="shared" si="194"/>
        <v>0</v>
      </c>
      <c r="F403" s="52">
        <f t="shared" si="194"/>
        <v>0</v>
      </c>
      <c r="G403" s="52">
        <f t="shared" si="194"/>
        <v>0</v>
      </c>
      <c r="H403" s="52">
        <f t="shared" si="194"/>
        <v>0</v>
      </c>
      <c r="I403" s="52">
        <f t="shared" si="194"/>
        <v>0</v>
      </c>
      <c r="J403" s="52">
        <f t="shared" si="194"/>
        <v>0</v>
      </c>
      <c r="K403" s="52">
        <f t="shared" si="194"/>
        <v>0</v>
      </c>
      <c r="L403" s="52">
        <f t="shared" si="194"/>
        <v>0</v>
      </c>
      <c r="M403" s="52">
        <f t="shared" si="194"/>
        <v>0</v>
      </c>
      <c r="N403" s="52">
        <f t="shared" si="194"/>
        <v>0</v>
      </c>
      <c r="O403" s="52">
        <f t="shared" si="194"/>
        <v>0</v>
      </c>
      <c r="P403" s="52">
        <f t="shared" si="194"/>
        <v>0</v>
      </c>
      <c r="Q403" s="52">
        <f t="shared" si="194"/>
        <v>0</v>
      </c>
      <c r="R403" s="52">
        <f t="shared" si="194"/>
        <v>0</v>
      </c>
      <c r="S403" s="52">
        <f t="shared" si="197"/>
        <v>0</v>
      </c>
      <c r="T403" s="52">
        <f t="shared" si="197"/>
        <v>0</v>
      </c>
      <c r="U403" s="52">
        <f t="shared" si="197"/>
        <v>0</v>
      </c>
      <c r="V403" s="52">
        <f t="shared" si="197"/>
        <v>0</v>
      </c>
      <c r="W403" s="52">
        <f t="shared" si="197"/>
        <v>0</v>
      </c>
      <c r="X403" s="52">
        <f t="shared" si="197"/>
        <v>0</v>
      </c>
      <c r="Y403" s="52">
        <f t="shared" si="197"/>
        <v>0</v>
      </c>
      <c r="Z403" s="52">
        <f t="shared" si="197"/>
        <v>0</v>
      </c>
      <c r="AA403" s="52">
        <f t="shared" si="197"/>
        <v>0</v>
      </c>
      <c r="AB403" s="52">
        <f t="shared" si="197"/>
        <v>0</v>
      </c>
      <c r="AC403" s="52">
        <f t="shared" si="197"/>
        <v>0</v>
      </c>
      <c r="AD403" s="52">
        <f t="shared" si="197"/>
        <v>0</v>
      </c>
      <c r="AE403" s="52">
        <f t="shared" si="197"/>
        <v>0</v>
      </c>
      <c r="AF403" s="52">
        <f t="shared" si="197"/>
        <v>0</v>
      </c>
      <c r="AG403" s="52">
        <f t="shared" si="197"/>
        <v>0</v>
      </c>
      <c r="AH403" s="52">
        <f t="shared" si="197"/>
        <v>0</v>
      </c>
      <c r="AI403" s="52">
        <f t="shared" si="197"/>
        <v>0</v>
      </c>
      <c r="AJ403" s="52">
        <f t="shared" si="197"/>
        <v>0</v>
      </c>
      <c r="AK403" s="52">
        <f t="shared" si="197"/>
        <v>0</v>
      </c>
      <c r="AL403" s="52">
        <f t="shared" si="197"/>
        <v>0</v>
      </c>
      <c r="AM403" s="52">
        <f t="shared" si="197"/>
        <v>0</v>
      </c>
      <c r="AN403" s="52">
        <f t="shared" si="197"/>
        <v>0</v>
      </c>
      <c r="AO403" s="52">
        <f t="shared" si="197"/>
        <v>0</v>
      </c>
      <c r="AP403" s="52">
        <f t="shared" si="197"/>
        <v>0</v>
      </c>
    </row>
    <row r="404" spans="1:42" x14ac:dyDescent="0.2">
      <c r="A404" s="35">
        <f t="shared" ref="A404" si="198">A403+1</f>
        <v>10</v>
      </c>
      <c r="C404" s="52">
        <f t="shared" si="194"/>
        <v>0</v>
      </c>
      <c r="D404" s="52">
        <f t="shared" si="194"/>
        <v>0</v>
      </c>
      <c r="E404" s="52">
        <f t="shared" si="194"/>
        <v>0</v>
      </c>
      <c r="F404" s="52">
        <f t="shared" si="194"/>
        <v>0</v>
      </c>
      <c r="G404" s="52">
        <f t="shared" si="194"/>
        <v>0</v>
      </c>
      <c r="H404" s="52">
        <f t="shared" si="194"/>
        <v>0</v>
      </c>
      <c r="I404" s="52">
        <f t="shared" si="194"/>
        <v>0</v>
      </c>
      <c r="J404" s="52">
        <f t="shared" si="194"/>
        <v>0</v>
      </c>
      <c r="K404" s="52">
        <f t="shared" si="194"/>
        <v>0</v>
      </c>
      <c r="L404" s="52">
        <f t="shared" si="194"/>
        <v>0</v>
      </c>
      <c r="M404" s="52">
        <f t="shared" si="194"/>
        <v>0</v>
      </c>
      <c r="N404" s="52">
        <f t="shared" si="194"/>
        <v>0</v>
      </c>
      <c r="O404" s="52">
        <f t="shared" si="194"/>
        <v>0</v>
      </c>
      <c r="P404" s="52">
        <f t="shared" si="194"/>
        <v>0</v>
      </c>
      <c r="Q404" s="52">
        <f t="shared" si="194"/>
        <v>0</v>
      </c>
      <c r="R404" s="52">
        <f t="shared" si="194"/>
        <v>0</v>
      </c>
      <c r="S404" s="52">
        <f t="shared" si="197"/>
        <v>0</v>
      </c>
      <c r="T404" s="52">
        <f t="shared" si="197"/>
        <v>0</v>
      </c>
      <c r="U404" s="52">
        <f t="shared" si="197"/>
        <v>0</v>
      </c>
      <c r="V404" s="52">
        <f t="shared" si="197"/>
        <v>0</v>
      </c>
      <c r="W404" s="52">
        <f t="shared" si="197"/>
        <v>0</v>
      </c>
      <c r="X404" s="52">
        <f t="shared" si="197"/>
        <v>0</v>
      </c>
      <c r="Y404" s="52">
        <f t="shared" si="197"/>
        <v>0</v>
      </c>
      <c r="Z404" s="52">
        <f t="shared" si="197"/>
        <v>0</v>
      </c>
      <c r="AA404" s="52">
        <f t="shared" si="197"/>
        <v>0</v>
      </c>
      <c r="AB404" s="52">
        <f t="shared" si="197"/>
        <v>0</v>
      </c>
      <c r="AC404" s="52">
        <f t="shared" si="197"/>
        <v>0</v>
      </c>
      <c r="AD404" s="52">
        <f t="shared" si="197"/>
        <v>0</v>
      </c>
      <c r="AE404" s="52">
        <f t="shared" si="197"/>
        <v>0</v>
      </c>
      <c r="AF404" s="52">
        <f t="shared" si="197"/>
        <v>0</v>
      </c>
      <c r="AG404" s="52">
        <f t="shared" si="197"/>
        <v>0</v>
      </c>
      <c r="AH404" s="52">
        <f t="shared" si="197"/>
        <v>0</v>
      </c>
      <c r="AI404" s="52">
        <f t="shared" si="197"/>
        <v>0</v>
      </c>
      <c r="AJ404" s="52">
        <f t="shared" si="197"/>
        <v>0</v>
      </c>
      <c r="AK404" s="52">
        <f t="shared" si="197"/>
        <v>0</v>
      </c>
      <c r="AL404" s="52">
        <f t="shared" si="197"/>
        <v>0</v>
      </c>
      <c r="AM404" s="52">
        <f t="shared" si="197"/>
        <v>0</v>
      </c>
      <c r="AN404" s="52">
        <f t="shared" si="197"/>
        <v>0</v>
      </c>
      <c r="AO404" s="52">
        <f t="shared" si="197"/>
        <v>0</v>
      </c>
      <c r="AP404" s="52">
        <f t="shared" si="197"/>
        <v>0</v>
      </c>
    </row>
    <row r="405" spans="1:42" x14ac:dyDescent="0.2">
      <c r="A405" s="65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52"/>
      <c r="AE405" s="52"/>
      <c r="AF405" s="52"/>
      <c r="AG405" s="52"/>
      <c r="AH405" s="52"/>
      <c r="AI405" s="52"/>
      <c r="AJ405" s="52"/>
      <c r="AK405" s="52"/>
      <c r="AL405" s="52"/>
      <c r="AM405" s="52"/>
      <c r="AN405" s="52"/>
      <c r="AO405" s="52"/>
      <c r="AP405" s="52"/>
    </row>
    <row r="406" spans="1:42" x14ac:dyDescent="0.2">
      <c r="A406" s="65" t="s">
        <v>129</v>
      </c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52"/>
      <c r="AE406" s="52"/>
      <c r="AF406" s="52"/>
      <c r="AG406" s="52"/>
      <c r="AH406" s="52"/>
      <c r="AI406" s="52"/>
      <c r="AJ406" s="52"/>
      <c r="AK406" s="52"/>
      <c r="AL406" s="52"/>
      <c r="AM406" s="52"/>
      <c r="AN406" s="52"/>
      <c r="AO406" s="52"/>
      <c r="AP406" s="52"/>
    </row>
    <row r="407" spans="1:42" x14ac:dyDescent="0.2">
      <c r="A407" s="35">
        <v>1</v>
      </c>
      <c r="B407" s="58">
        <f t="shared" ref="B407:B416" si="199">SUM(C407:AP407)</f>
        <v>3280216.6445031655</v>
      </c>
      <c r="C407" s="86">
        <f t="shared" ref="C407:AP407" si="200">LOOKUP(C395,$B$390:$AP$390,$B$391:$AP$391)*$B586</f>
        <v>0</v>
      </c>
      <c r="D407" s="52">
        <f t="shared" si="200"/>
        <v>0</v>
      </c>
      <c r="E407" s="52">
        <f t="shared" si="200"/>
        <v>0</v>
      </c>
      <c r="F407" s="52">
        <f t="shared" si="200"/>
        <v>0</v>
      </c>
      <c r="G407" s="52">
        <f t="shared" si="200"/>
        <v>0</v>
      </c>
      <c r="H407" s="52">
        <f t="shared" si="200"/>
        <v>0</v>
      </c>
      <c r="I407" s="52">
        <f t="shared" si="200"/>
        <v>0</v>
      </c>
      <c r="J407" s="52">
        <f t="shared" si="200"/>
        <v>0</v>
      </c>
      <c r="K407" s="52">
        <f t="shared" si="200"/>
        <v>0</v>
      </c>
      <c r="L407" s="52">
        <f t="shared" si="200"/>
        <v>0</v>
      </c>
      <c r="M407" s="52">
        <f t="shared" si="200"/>
        <v>0</v>
      </c>
      <c r="N407" s="52">
        <f t="shared" si="200"/>
        <v>656043.32890063303</v>
      </c>
      <c r="O407" s="52">
        <f t="shared" si="200"/>
        <v>1049669.3262410129</v>
      </c>
      <c r="P407" s="52">
        <f t="shared" si="200"/>
        <v>629801.59574460774</v>
      </c>
      <c r="Q407" s="52">
        <f t="shared" si="200"/>
        <v>377880.95744676463</v>
      </c>
      <c r="R407" s="52">
        <f t="shared" si="200"/>
        <v>377880.95744676463</v>
      </c>
      <c r="S407" s="52">
        <f t="shared" si="200"/>
        <v>188940.47872338232</v>
      </c>
      <c r="T407" s="52">
        <f t="shared" si="200"/>
        <v>0</v>
      </c>
      <c r="U407" s="52">
        <f t="shared" si="200"/>
        <v>0</v>
      </c>
      <c r="V407" s="52">
        <f t="shared" si="200"/>
        <v>0</v>
      </c>
      <c r="W407" s="52">
        <f t="shared" si="200"/>
        <v>0</v>
      </c>
      <c r="X407" s="52">
        <f t="shared" si="200"/>
        <v>0</v>
      </c>
      <c r="Y407" s="52">
        <f t="shared" si="200"/>
        <v>0</v>
      </c>
      <c r="Z407" s="52">
        <f t="shared" si="200"/>
        <v>0</v>
      </c>
      <c r="AA407" s="52">
        <f t="shared" si="200"/>
        <v>0</v>
      </c>
      <c r="AB407" s="52">
        <f t="shared" si="200"/>
        <v>0</v>
      </c>
      <c r="AC407" s="52">
        <f t="shared" si="200"/>
        <v>0</v>
      </c>
      <c r="AD407" s="52">
        <f t="shared" si="200"/>
        <v>0</v>
      </c>
      <c r="AE407" s="52">
        <f t="shared" si="200"/>
        <v>0</v>
      </c>
      <c r="AF407" s="52">
        <f t="shared" si="200"/>
        <v>0</v>
      </c>
      <c r="AG407" s="52">
        <f t="shared" si="200"/>
        <v>0</v>
      </c>
      <c r="AH407" s="52">
        <f t="shared" si="200"/>
        <v>0</v>
      </c>
      <c r="AI407" s="52">
        <f t="shared" si="200"/>
        <v>0</v>
      </c>
      <c r="AJ407" s="52">
        <f t="shared" si="200"/>
        <v>0</v>
      </c>
      <c r="AK407" s="52">
        <f t="shared" si="200"/>
        <v>0</v>
      </c>
      <c r="AL407" s="52">
        <f t="shared" si="200"/>
        <v>0</v>
      </c>
      <c r="AM407" s="52">
        <f t="shared" si="200"/>
        <v>0</v>
      </c>
      <c r="AN407" s="52">
        <f t="shared" si="200"/>
        <v>0</v>
      </c>
      <c r="AO407" s="52">
        <f t="shared" si="200"/>
        <v>0</v>
      </c>
      <c r="AP407" s="52">
        <f t="shared" si="200"/>
        <v>0</v>
      </c>
    </row>
    <row r="408" spans="1:42" x14ac:dyDescent="0.2">
      <c r="A408" s="35">
        <f>A407+1</f>
        <v>2</v>
      </c>
      <c r="B408" s="58">
        <f t="shared" si="199"/>
        <v>4411526.7062989976</v>
      </c>
      <c r="C408" s="86">
        <f t="shared" ref="C408:AP408" si="201">LOOKUP(C396,$B$390:$AP$390,$B$391:$AP$391)*$B587</f>
        <v>0</v>
      </c>
      <c r="D408" s="52">
        <f t="shared" si="201"/>
        <v>0</v>
      </c>
      <c r="E408" s="52">
        <f t="shared" si="201"/>
        <v>0</v>
      </c>
      <c r="F408" s="52">
        <f t="shared" si="201"/>
        <v>0</v>
      </c>
      <c r="G408" s="52">
        <f t="shared" si="201"/>
        <v>0</v>
      </c>
      <c r="H408" s="52">
        <f t="shared" si="201"/>
        <v>0</v>
      </c>
      <c r="I408" s="52">
        <f t="shared" si="201"/>
        <v>0</v>
      </c>
      <c r="J408" s="52">
        <f t="shared" si="201"/>
        <v>0</v>
      </c>
      <c r="K408" s="52">
        <f t="shared" si="201"/>
        <v>0</v>
      </c>
      <c r="L408" s="52">
        <f t="shared" si="201"/>
        <v>0</v>
      </c>
      <c r="M408" s="52">
        <f t="shared" si="201"/>
        <v>0</v>
      </c>
      <c r="N408" s="52">
        <f t="shared" si="201"/>
        <v>0</v>
      </c>
      <c r="O408" s="52">
        <f t="shared" si="201"/>
        <v>0</v>
      </c>
      <c r="P408" s="52">
        <f t="shared" si="201"/>
        <v>0</v>
      </c>
      <c r="Q408" s="52">
        <f t="shared" si="201"/>
        <v>0</v>
      </c>
      <c r="R408" s="52">
        <f t="shared" si="201"/>
        <v>0</v>
      </c>
      <c r="S408" s="52">
        <f t="shared" si="201"/>
        <v>0</v>
      </c>
      <c r="T408" s="52">
        <f t="shared" si="201"/>
        <v>0</v>
      </c>
      <c r="U408" s="52">
        <f t="shared" si="201"/>
        <v>0</v>
      </c>
      <c r="V408" s="52">
        <f t="shared" si="201"/>
        <v>0</v>
      </c>
      <c r="W408" s="52">
        <f t="shared" si="201"/>
        <v>0</v>
      </c>
      <c r="X408" s="52">
        <f t="shared" si="201"/>
        <v>0</v>
      </c>
      <c r="Y408" s="52">
        <f t="shared" si="201"/>
        <v>0</v>
      </c>
      <c r="Z408" s="52">
        <f t="shared" si="201"/>
        <v>882305.34125979955</v>
      </c>
      <c r="AA408" s="52">
        <f t="shared" si="201"/>
        <v>1411688.5460156794</v>
      </c>
      <c r="AB408" s="52">
        <f t="shared" si="201"/>
        <v>847013.12760940753</v>
      </c>
      <c r="AC408" s="52">
        <f t="shared" si="201"/>
        <v>508207.87656564452</v>
      </c>
      <c r="AD408" s="52">
        <f t="shared" si="201"/>
        <v>508207.87656564452</v>
      </c>
      <c r="AE408" s="52">
        <f t="shared" si="201"/>
        <v>254103.93828282226</v>
      </c>
      <c r="AF408" s="52">
        <f t="shared" si="201"/>
        <v>0</v>
      </c>
      <c r="AG408" s="52">
        <f t="shared" si="201"/>
        <v>0</v>
      </c>
      <c r="AH408" s="52">
        <f t="shared" si="201"/>
        <v>0</v>
      </c>
      <c r="AI408" s="52">
        <f t="shared" si="201"/>
        <v>0</v>
      </c>
      <c r="AJ408" s="52">
        <f t="shared" si="201"/>
        <v>0</v>
      </c>
      <c r="AK408" s="52">
        <f t="shared" si="201"/>
        <v>0</v>
      </c>
      <c r="AL408" s="52">
        <f t="shared" si="201"/>
        <v>0</v>
      </c>
      <c r="AM408" s="52">
        <f t="shared" si="201"/>
        <v>0</v>
      </c>
      <c r="AN408" s="52">
        <f t="shared" si="201"/>
        <v>0</v>
      </c>
      <c r="AO408" s="52">
        <f t="shared" si="201"/>
        <v>0</v>
      </c>
      <c r="AP408" s="52">
        <f t="shared" si="201"/>
        <v>0</v>
      </c>
    </row>
    <row r="409" spans="1:42" x14ac:dyDescent="0.2">
      <c r="A409" s="35">
        <f t="shared" ref="A409:A414" si="202">A408+1</f>
        <v>3</v>
      </c>
      <c r="B409" s="58">
        <f t="shared" si="199"/>
        <v>5591271.4183720611</v>
      </c>
      <c r="C409" s="86">
        <f t="shared" ref="C409:AP409" si="203">LOOKUP(C397,$B$390:$AP$390,$B$391:$AP$391)*$B588</f>
        <v>0</v>
      </c>
      <c r="D409" s="52">
        <f t="shared" si="203"/>
        <v>0</v>
      </c>
      <c r="E409" s="52">
        <f t="shared" si="203"/>
        <v>0</v>
      </c>
      <c r="F409" s="52">
        <f t="shared" si="203"/>
        <v>0</v>
      </c>
      <c r="G409" s="52">
        <f t="shared" si="203"/>
        <v>0</v>
      </c>
      <c r="H409" s="52">
        <f t="shared" si="203"/>
        <v>0</v>
      </c>
      <c r="I409" s="52">
        <f t="shared" si="203"/>
        <v>0</v>
      </c>
      <c r="J409" s="52">
        <f t="shared" si="203"/>
        <v>0</v>
      </c>
      <c r="K409" s="52">
        <f t="shared" si="203"/>
        <v>0</v>
      </c>
      <c r="L409" s="52">
        <f t="shared" si="203"/>
        <v>0</v>
      </c>
      <c r="M409" s="52">
        <f t="shared" si="203"/>
        <v>0</v>
      </c>
      <c r="N409" s="52">
        <f t="shared" si="203"/>
        <v>0</v>
      </c>
      <c r="O409" s="52">
        <f t="shared" si="203"/>
        <v>0</v>
      </c>
      <c r="P409" s="52">
        <f t="shared" si="203"/>
        <v>0</v>
      </c>
      <c r="Q409" s="52">
        <f t="shared" si="203"/>
        <v>0</v>
      </c>
      <c r="R409" s="52">
        <f t="shared" si="203"/>
        <v>0</v>
      </c>
      <c r="S409" s="52">
        <f t="shared" si="203"/>
        <v>0</v>
      </c>
      <c r="T409" s="52">
        <f t="shared" si="203"/>
        <v>0</v>
      </c>
      <c r="U409" s="52">
        <f t="shared" si="203"/>
        <v>0</v>
      </c>
      <c r="V409" s="52">
        <f t="shared" si="203"/>
        <v>0</v>
      </c>
      <c r="W409" s="52">
        <f t="shared" si="203"/>
        <v>0</v>
      </c>
      <c r="X409" s="52">
        <f t="shared" si="203"/>
        <v>0</v>
      </c>
      <c r="Y409" s="52">
        <f t="shared" si="203"/>
        <v>0</v>
      </c>
      <c r="Z409" s="52">
        <f t="shared" si="203"/>
        <v>0</v>
      </c>
      <c r="AA409" s="52">
        <f t="shared" si="203"/>
        <v>0</v>
      </c>
      <c r="AB409" s="52">
        <f t="shared" si="203"/>
        <v>0</v>
      </c>
      <c r="AC409" s="52">
        <f t="shared" si="203"/>
        <v>0</v>
      </c>
      <c r="AD409" s="52">
        <f t="shared" si="203"/>
        <v>0</v>
      </c>
      <c r="AE409" s="52">
        <f t="shared" si="203"/>
        <v>0</v>
      </c>
      <c r="AF409" s="52">
        <f t="shared" si="203"/>
        <v>0</v>
      </c>
      <c r="AG409" s="52">
        <f t="shared" si="203"/>
        <v>0</v>
      </c>
      <c r="AH409" s="52">
        <f t="shared" si="203"/>
        <v>0</v>
      </c>
      <c r="AI409" s="52">
        <f t="shared" si="203"/>
        <v>0</v>
      </c>
      <c r="AJ409" s="52">
        <f t="shared" si="203"/>
        <v>0</v>
      </c>
      <c r="AK409" s="52">
        <f t="shared" si="203"/>
        <v>0</v>
      </c>
      <c r="AL409" s="52">
        <f t="shared" si="203"/>
        <v>1186602.59303312</v>
      </c>
      <c r="AM409" s="52">
        <f t="shared" si="203"/>
        <v>1898564.1488529921</v>
      </c>
      <c r="AN409" s="52">
        <f t="shared" si="203"/>
        <v>1139138.4893117952</v>
      </c>
      <c r="AO409" s="52">
        <f t="shared" si="203"/>
        <v>683483.09358707711</v>
      </c>
      <c r="AP409" s="52">
        <f t="shared" si="203"/>
        <v>683483.09358707711</v>
      </c>
    </row>
    <row r="410" spans="1:42" x14ac:dyDescent="0.2">
      <c r="A410" s="35">
        <f t="shared" si="202"/>
        <v>4</v>
      </c>
      <c r="B410" s="58">
        <f t="shared" si="199"/>
        <v>0</v>
      </c>
      <c r="C410" s="86">
        <f t="shared" ref="C410:AP410" si="204">LOOKUP(C398,$B$390:$AP$390,$B$391:$AP$391)*$B589</f>
        <v>0</v>
      </c>
      <c r="D410" s="52">
        <f t="shared" si="204"/>
        <v>0</v>
      </c>
      <c r="E410" s="52">
        <f t="shared" si="204"/>
        <v>0</v>
      </c>
      <c r="F410" s="52">
        <f t="shared" si="204"/>
        <v>0</v>
      </c>
      <c r="G410" s="52">
        <f t="shared" si="204"/>
        <v>0</v>
      </c>
      <c r="H410" s="52">
        <f t="shared" si="204"/>
        <v>0</v>
      </c>
      <c r="I410" s="52">
        <f t="shared" si="204"/>
        <v>0</v>
      </c>
      <c r="J410" s="52">
        <f t="shared" si="204"/>
        <v>0</v>
      </c>
      <c r="K410" s="52">
        <f t="shared" si="204"/>
        <v>0</v>
      </c>
      <c r="L410" s="52">
        <f t="shared" si="204"/>
        <v>0</v>
      </c>
      <c r="M410" s="52">
        <f t="shared" si="204"/>
        <v>0</v>
      </c>
      <c r="N410" s="52">
        <f t="shared" si="204"/>
        <v>0</v>
      </c>
      <c r="O410" s="52">
        <f t="shared" si="204"/>
        <v>0</v>
      </c>
      <c r="P410" s="52">
        <f t="shared" si="204"/>
        <v>0</v>
      </c>
      <c r="Q410" s="52">
        <f t="shared" si="204"/>
        <v>0</v>
      </c>
      <c r="R410" s="52">
        <f t="shared" si="204"/>
        <v>0</v>
      </c>
      <c r="S410" s="52">
        <f t="shared" si="204"/>
        <v>0</v>
      </c>
      <c r="T410" s="52">
        <f t="shared" si="204"/>
        <v>0</v>
      </c>
      <c r="U410" s="52">
        <f t="shared" si="204"/>
        <v>0</v>
      </c>
      <c r="V410" s="52">
        <f t="shared" si="204"/>
        <v>0</v>
      </c>
      <c r="W410" s="52">
        <f t="shared" si="204"/>
        <v>0</v>
      </c>
      <c r="X410" s="52">
        <f t="shared" si="204"/>
        <v>0</v>
      </c>
      <c r="Y410" s="52">
        <f t="shared" si="204"/>
        <v>0</v>
      </c>
      <c r="Z410" s="52">
        <f t="shared" si="204"/>
        <v>0</v>
      </c>
      <c r="AA410" s="52">
        <f t="shared" si="204"/>
        <v>0</v>
      </c>
      <c r="AB410" s="52">
        <f t="shared" si="204"/>
        <v>0</v>
      </c>
      <c r="AC410" s="52">
        <f t="shared" si="204"/>
        <v>0</v>
      </c>
      <c r="AD410" s="52">
        <f t="shared" si="204"/>
        <v>0</v>
      </c>
      <c r="AE410" s="52">
        <f t="shared" si="204"/>
        <v>0</v>
      </c>
      <c r="AF410" s="52">
        <f t="shared" si="204"/>
        <v>0</v>
      </c>
      <c r="AG410" s="52">
        <f t="shared" si="204"/>
        <v>0</v>
      </c>
      <c r="AH410" s="52">
        <f t="shared" si="204"/>
        <v>0</v>
      </c>
      <c r="AI410" s="52">
        <f t="shared" si="204"/>
        <v>0</v>
      </c>
      <c r="AJ410" s="52">
        <f t="shared" si="204"/>
        <v>0</v>
      </c>
      <c r="AK410" s="52">
        <f t="shared" si="204"/>
        <v>0</v>
      </c>
      <c r="AL410" s="52">
        <f t="shared" si="204"/>
        <v>0</v>
      </c>
      <c r="AM410" s="52">
        <f t="shared" si="204"/>
        <v>0</v>
      </c>
      <c r="AN410" s="52">
        <f t="shared" si="204"/>
        <v>0</v>
      </c>
      <c r="AO410" s="52">
        <f t="shared" si="204"/>
        <v>0</v>
      </c>
      <c r="AP410" s="52">
        <f t="shared" si="204"/>
        <v>0</v>
      </c>
    </row>
    <row r="411" spans="1:42" x14ac:dyDescent="0.2">
      <c r="A411" s="35">
        <f t="shared" si="202"/>
        <v>5</v>
      </c>
      <c r="B411" s="58">
        <f t="shared" si="199"/>
        <v>0</v>
      </c>
      <c r="C411" s="86">
        <f t="shared" ref="C411:AP411" si="205">LOOKUP(C399,$B$390:$AP$390,$B$391:$AP$391)*$B590</f>
        <v>0</v>
      </c>
      <c r="D411" s="52">
        <f t="shared" si="205"/>
        <v>0</v>
      </c>
      <c r="E411" s="52">
        <f t="shared" si="205"/>
        <v>0</v>
      </c>
      <c r="F411" s="52">
        <f t="shared" si="205"/>
        <v>0</v>
      </c>
      <c r="G411" s="52">
        <f t="shared" si="205"/>
        <v>0</v>
      </c>
      <c r="H411" s="52">
        <f t="shared" si="205"/>
        <v>0</v>
      </c>
      <c r="I411" s="52">
        <f t="shared" si="205"/>
        <v>0</v>
      </c>
      <c r="J411" s="52">
        <f t="shared" si="205"/>
        <v>0</v>
      </c>
      <c r="K411" s="52">
        <f t="shared" si="205"/>
        <v>0</v>
      </c>
      <c r="L411" s="52">
        <f t="shared" si="205"/>
        <v>0</v>
      </c>
      <c r="M411" s="52">
        <f t="shared" si="205"/>
        <v>0</v>
      </c>
      <c r="N411" s="52">
        <f t="shared" si="205"/>
        <v>0</v>
      </c>
      <c r="O411" s="52">
        <f t="shared" si="205"/>
        <v>0</v>
      </c>
      <c r="P411" s="52">
        <f t="shared" si="205"/>
        <v>0</v>
      </c>
      <c r="Q411" s="52">
        <f t="shared" si="205"/>
        <v>0</v>
      </c>
      <c r="R411" s="52">
        <f t="shared" si="205"/>
        <v>0</v>
      </c>
      <c r="S411" s="52">
        <f t="shared" si="205"/>
        <v>0</v>
      </c>
      <c r="T411" s="52">
        <f t="shared" si="205"/>
        <v>0</v>
      </c>
      <c r="U411" s="52">
        <f t="shared" si="205"/>
        <v>0</v>
      </c>
      <c r="V411" s="52">
        <f t="shared" si="205"/>
        <v>0</v>
      </c>
      <c r="W411" s="52">
        <f t="shared" si="205"/>
        <v>0</v>
      </c>
      <c r="X411" s="52">
        <f t="shared" si="205"/>
        <v>0</v>
      </c>
      <c r="Y411" s="52">
        <f t="shared" si="205"/>
        <v>0</v>
      </c>
      <c r="Z411" s="52">
        <f t="shared" si="205"/>
        <v>0</v>
      </c>
      <c r="AA411" s="52">
        <f t="shared" si="205"/>
        <v>0</v>
      </c>
      <c r="AB411" s="52">
        <f t="shared" si="205"/>
        <v>0</v>
      </c>
      <c r="AC411" s="52">
        <f t="shared" si="205"/>
        <v>0</v>
      </c>
      <c r="AD411" s="52">
        <f t="shared" si="205"/>
        <v>0</v>
      </c>
      <c r="AE411" s="52">
        <f t="shared" si="205"/>
        <v>0</v>
      </c>
      <c r="AF411" s="52">
        <f t="shared" si="205"/>
        <v>0</v>
      </c>
      <c r="AG411" s="52">
        <f t="shared" si="205"/>
        <v>0</v>
      </c>
      <c r="AH411" s="52">
        <f t="shared" si="205"/>
        <v>0</v>
      </c>
      <c r="AI411" s="52">
        <f t="shared" si="205"/>
        <v>0</v>
      </c>
      <c r="AJ411" s="52">
        <f t="shared" si="205"/>
        <v>0</v>
      </c>
      <c r="AK411" s="52">
        <f t="shared" si="205"/>
        <v>0</v>
      </c>
      <c r="AL411" s="52">
        <f t="shared" si="205"/>
        <v>0</v>
      </c>
      <c r="AM411" s="52">
        <f t="shared" si="205"/>
        <v>0</v>
      </c>
      <c r="AN411" s="52">
        <f t="shared" si="205"/>
        <v>0</v>
      </c>
      <c r="AO411" s="52">
        <f t="shared" si="205"/>
        <v>0</v>
      </c>
      <c r="AP411" s="52">
        <f t="shared" si="205"/>
        <v>0</v>
      </c>
    </row>
    <row r="412" spans="1:42" x14ac:dyDescent="0.2">
      <c r="A412" s="35">
        <f t="shared" si="202"/>
        <v>6</v>
      </c>
      <c r="B412" s="58">
        <f t="shared" si="199"/>
        <v>0</v>
      </c>
      <c r="C412" s="86">
        <f t="shared" ref="C412:AP412" si="206">LOOKUP(C400,$B$390:$AP$390,$B$391:$AP$391)*$B591</f>
        <v>0</v>
      </c>
      <c r="D412" s="52">
        <f t="shared" si="206"/>
        <v>0</v>
      </c>
      <c r="E412" s="52">
        <f t="shared" si="206"/>
        <v>0</v>
      </c>
      <c r="F412" s="52">
        <f t="shared" si="206"/>
        <v>0</v>
      </c>
      <c r="G412" s="52">
        <f t="shared" si="206"/>
        <v>0</v>
      </c>
      <c r="H412" s="52">
        <f t="shared" si="206"/>
        <v>0</v>
      </c>
      <c r="I412" s="52">
        <f t="shared" si="206"/>
        <v>0</v>
      </c>
      <c r="J412" s="52">
        <f t="shared" si="206"/>
        <v>0</v>
      </c>
      <c r="K412" s="52">
        <f t="shared" si="206"/>
        <v>0</v>
      </c>
      <c r="L412" s="52">
        <f t="shared" si="206"/>
        <v>0</v>
      </c>
      <c r="M412" s="52">
        <f t="shared" si="206"/>
        <v>0</v>
      </c>
      <c r="N412" s="52">
        <f t="shared" si="206"/>
        <v>0</v>
      </c>
      <c r="O412" s="52">
        <f t="shared" si="206"/>
        <v>0</v>
      </c>
      <c r="P412" s="52">
        <f t="shared" si="206"/>
        <v>0</v>
      </c>
      <c r="Q412" s="52">
        <f t="shared" si="206"/>
        <v>0</v>
      </c>
      <c r="R412" s="52">
        <f t="shared" si="206"/>
        <v>0</v>
      </c>
      <c r="S412" s="52">
        <f t="shared" si="206"/>
        <v>0</v>
      </c>
      <c r="T412" s="52">
        <f t="shared" si="206"/>
        <v>0</v>
      </c>
      <c r="U412" s="52">
        <f t="shared" si="206"/>
        <v>0</v>
      </c>
      <c r="V412" s="52">
        <f t="shared" si="206"/>
        <v>0</v>
      </c>
      <c r="W412" s="52">
        <f t="shared" si="206"/>
        <v>0</v>
      </c>
      <c r="X412" s="52">
        <f t="shared" si="206"/>
        <v>0</v>
      </c>
      <c r="Y412" s="52">
        <f t="shared" si="206"/>
        <v>0</v>
      </c>
      <c r="Z412" s="52">
        <f t="shared" si="206"/>
        <v>0</v>
      </c>
      <c r="AA412" s="52">
        <f t="shared" si="206"/>
        <v>0</v>
      </c>
      <c r="AB412" s="52">
        <f t="shared" si="206"/>
        <v>0</v>
      </c>
      <c r="AC412" s="52">
        <f t="shared" si="206"/>
        <v>0</v>
      </c>
      <c r="AD412" s="52">
        <f t="shared" si="206"/>
        <v>0</v>
      </c>
      <c r="AE412" s="52">
        <f t="shared" si="206"/>
        <v>0</v>
      </c>
      <c r="AF412" s="52">
        <f t="shared" si="206"/>
        <v>0</v>
      </c>
      <c r="AG412" s="52">
        <f t="shared" si="206"/>
        <v>0</v>
      </c>
      <c r="AH412" s="52">
        <f t="shared" si="206"/>
        <v>0</v>
      </c>
      <c r="AI412" s="52">
        <f t="shared" si="206"/>
        <v>0</v>
      </c>
      <c r="AJ412" s="52">
        <f t="shared" si="206"/>
        <v>0</v>
      </c>
      <c r="AK412" s="52">
        <f t="shared" si="206"/>
        <v>0</v>
      </c>
      <c r="AL412" s="52">
        <f t="shared" si="206"/>
        <v>0</v>
      </c>
      <c r="AM412" s="52">
        <f t="shared" si="206"/>
        <v>0</v>
      </c>
      <c r="AN412" s="52">
        <f t="shared" si="206"/>
        <v>0</v>
      </c>
      <c r="AO412" s="52">
        <f t="shared" si="206"/>
        <v>0</v>
      </c>
      <c r="AP412" s="52">
        <f t="shared" si="206"/>
        <v>0</v>
      </c>
    </row>
    <row r="413" spans="1:42" x14ac:dyDescent="0.2">
      <c r="A413" s="35">
        <f t="shared" si="202"/>
        <v>7</v>
      </c>
      <c r="B413" s="58">
        <f t="shared" si="199"/>
        <v>0</v>
      </c>
      <c r="C413" s="86">
        <f t="shared" ref="C413:AP413" si="207">LOOKUP(C401,$B$390:$AP$390,$B$391:$AP$391)*$B592</f>
        <v>0</v>
      </c>
      <c r="D413" s="52">
        <f t="shared" si="207"/>
        <v>0</v>
      </c>
      <c r="E413" s="52">
        <f t="shared" si="207"/>
        <v>0</v>
      </c>
      <c r="F413" s="52">
        <f t="shared" si="207"/>
        <v>0</v>
      </c>
      <c r="G413" s="52">
        <f t="shared" si="207"/>
        <v>0</v>
      </c>
      <c r="H413" s="52">
        <f t="shared" si="207"/>
        <v>0</v>
      </c>
      <c r="I413" s="52">
        <f t="shared" si="207"/>
        <v>0</v>
      </c>
      <c r="J413" s="52">
        <f t="shared" si="207"/>
        <v>0</v>
      </c>
      <c r="K413" s="52">
        <f t="shared" si="207"/>
        <v>0</v>
      </c>
      <c r="L413" s="52">
        <f t="shared" si="207"/>
        <v>0</v>
      </c>
      <c r="M413" s="52">
        <f t="shared" si="207"/>
        <v>0</v>
      </c>
      <c r="N413" s="52">
        <f t="shared" si="207"/>
        <v>0</v>
      </c>
      <c r="O413" s="52">
        <f t="shared" si="207"/>
        <v>0</v>
      </c>
      <c r="P413" s="52">
        <f t="shared" si="207"/>
        <v>0</v>
      </c>
      <c r="Q413" s="52">
        <f t="shared" si="207"/>
        <v>0</v>
      </c>
      <c r="R413" s="52">
        <f t="shared" si="207"/>
        <v>0</v>
      </c>
      <c r="S413" s="52">
        <f t="shared" si="207"/>
        <v>0</v>
      </c>
      <c r="T413" s="52">
        <f t="shared" si="207"/>
        <v>0</v>
      </c>
      <c r="U413" s="52">
        <f t="shared" si="207"/>
        <v>0</v>
      </c>
      <c r="V413" s="52">
        <f t="shared" si="207"/>
        <v>0</v>
      </c>
      <c r="W413" s="52">
        <f t="shared" si="207"/>
        <v>0</v>
      </c>
      <c r="X413" s="52">
        <f t="shared" si="207"/>
        <v>0</v>
      </c>
      <c r="Y413" s="52">
        <f t="shared" si="207"/>
        <v>0</v>
      </c>
      <c r="Z413" s="52">
        <f t="shared" si="207"/>
        <v>0</v>
      </c>
      <c r="AA413" s="52">
        <f t="shared" si="207"/>
        <v>0</v>
      </c>
      <c r="AB413" s="52">
        <f t="shared" si="207"/>
        <v>0</v>
      </c>
      <c r="AC413" s="52">
        <f t="shared" si="207"/>
        <v>0</v>
      </c>
      <c r="AD413" s="52">
        <f t="shared" si="207"/>
        <v>0</v>
      </c>
      <c r="AE413" s="52">
        <f t="shared" si="207"/>
        <v>0</v>
      </c>
      <c r="AF413" s="52">
        <f t="shared" si="207"/>
        <v>0</v>
      </c>
      <c r="AG413" s="52">
        <f t="shared" si="207"/>
        <v>0</v>
      </c>
      <c r="AH413" s="52">
        <f t="shared" si="207"/>
        <v>0</v>
      </c>
      <c r="AI413" s="52">
        <f t="shared" si="207"/>
        <v>0</v>
      </c>
      <c r="AJ413" s="52">
        <f t="shared" si="207"/>
        <v>0</v>
      </c>
      <c r="AK413" s="52">
        <f t="shared" si="207"/>
        <v>0</v>
      </c>
      <c r="AL413" s="52">
        <f t="shared" si="207"/>
        <v>0</v>
      </c>
      <c r="AM413" s="52">
        <f t="shared" si="207"/>
        <v>0</v>
      </c>
      <c r="AN413" s="52">
        <f t="shared" si="207"/>
        <v>0</v>
      </c>
      <c r="AO413" s="52">
        <f t="shared" si="207"/>
        <v>0</v>
      </c>
      <c r="AP413" s="52">
        <f t="shared" si="207"/>
        <v>0</v>
      </c>
    </row>
    <row r="414" spans="1:42" x14ac:dyDescent="0.2">
      <c r="A414" s="35">
        <f t="shared" si="202"/>
        <v>8</v>
      </c>
      <c r="B414" s="58">
        <f t="shared" si="199"/>
        <v>0</v>
      </c>
      <c r="C414" s="86">
        <f t="shared" ref="C414:AP414" si="208">LOOKUP(C402,$B$390:$AP$390,$B$391:$AP$391)*$B593</f>
        <v>0</v>
      </c>
      <c r="D414" s="52">
        <f t="shared" si="208"/>
        <v>0</v>
      </c>
      <c r="E414" s="52">
        <f t="shared" si="208"/>
        <v>0</v>
      </c>
      <c r="F414" s="52">
        <f t="shared" si="208"/>
        <v>0</v>
      </c>
      <c r="G414" s="52">
        <f t="shared" si="208"/>
        <v>0</v>
      </c>
      <c r="H414" s="52">
        <f t="shared" si="208"/>
        <v>0</v>
      </c>
      <c r="I414" s="52">
        <f t="shared" si="208"/>
        <v>0</v>
      </c>
      <c r="J414" s="52">
        <f t="shared" si="208"/>
        <v>0</v>
      </c>
      <c r="K414" s="52">
        <f t="shared" si="208"/>
        <v>0</v>
      </c>
      <c r="L414" s="52">
        <f t="shared" si="208"/>
        <v>0</v>
      </c>
      <c r="M414" s="52">
        <f t="shared" si="208"/>
        <v>0</v>
      </c>
      <c r="N414" s="52">
        <f t="shared" si="208"/>
        <v>0</v>
      </c>
      <c r="O414" s="52">
        <f t="shared" si="208"/>
        <v>0</v>
      </c>
      <c r="P414" s="52">
        <f t="shared" si="208"/>
        <v>0</v>
      </c>
      <c r="Q414" s="52">
        <f t="shared" si="208"/>
        <v>0</v>
      </c>
      <c r="R414" s="52">
        <f t="shared" si="208"/>
        <v>0</v>
      </c>
      <c r="S414" s="52">
        <f t="shared" si="208"/>
        <v>0</v>
      </c>
      <c r="T414" s="52">
        <f t="shared" si="208"/>
        <v>0</v>
      </c>
      <c r="U414" s="52">
        <f t="shared" si="208"/>
        <v>0</v>
      </c>
      <c r="V414" s="52">
        <f t="shared" si="208"/>
        <v>0</v>
      </c>
      <c r="W414" s="52">
        <f t="shared" si="208"/>
        <v>0</v>
      </c>
      <c r="X414" s="52">
        <f t="shared" si="208"/>
        <v>0</v>
      </c>
      <c r="Y414" s="52">
        <f t="shared" si="208"/>
        <v>0</v>
      </c>
      <c r="Z414" s="52">
        <f t="shared" si="208"/>
        <v>0</v>
      </c>
      <c r="AA414" s="52">
        <f t="shared" si="208"/>
        <v>0</v>
      </c>
      <c r="AB414" s="52">
        <f t="shared" si="208"/>
        <v>0</v>
      </c>
      <c r="AC414" s="52">
        <f t="shared" si="208"/>
        <v>0</v>
      </c>
      <c r="AD414" s="52">
        <f t="shared" si="208"/>
        <v>0</v>
      </c>
      <c r="AE414" s="52">
        <f t="shared" si="208"/>
        <v>0</v>
      </c>
      <c r="AF414" s="52">
        <f t="shared" si="208"/>
        <v>0</v>
      </c>
      <c r="AG414" s="52">
        <f t="shared" si="208"/>
        <v>0</v>
      </c>
      <c r="AH414" s="52">
        <f t="shared" si="208"/>
        <v>0</v>
      </c>
      <c r="AI414" s="52">
        <f t="shared" si="208"/>
        <v>0</v>
      </c>
      <c r="AJ414" s="52">
        <f t="shared" si="208"/>
        <v>0</v>
      </c>
      <c r="AK414" s="52">
        <f t="shared" si="208"/>
        <v>0</v>
      </c>
      <c r="AL414" s="52">
        <f t="shared" si="208"/>
        <v>0</v>
      </c>
      <c r="AM414" s="52">
        <f t="shared" si="208"/>
        <v>0</v>
      </c>
      <c r="AN414" s="52">
        <f t="shared" si="208"/>
        <v>0</v>
      </c>
      <c r="AO414" s="52">
        <f t="shared" si="208"/>
        <v>0</v>
      </c>
      <c r="AP414" s="52">
        <f t="shared" si="208"/>
        <v>0</v>
      </c>
    </row>
    <row r="415" spans="1:42" x14ac:dyDescent="0.2">
      <c r="A415" s="35">
        <f>A414+1</f>
        <v>9</v>
      </c>
      <c r="B415" s="58">
        <f t="shared" si="199"/>
        <v>0</v>
      </c>
      <c r="C415" s="86">
        <f t="shared" ref="C415:AP415" si="209">LOOKUP(C403,$B$390:$AP$390,$B$391:$AP$391)*$B594</f>
        <v>0</v>
      </c>
      <c r="D415" s="52">
        <f t="shared" si="209"/>
        <v>0</v>
      </c>
      <c r="E415" s="52">
        <f t="shared" si="209"/>
        <v>0</v>
      </c>
      <c r="F415" s="52">
        <f t="shared" si="209"/>
        <v>0</v>
      </c>
      <c r="G415" s="52">
        <f t="shared" si="209"/>
        <v>0</v>
      </c>
      <c r="H415" s="52">
        <f t="shared" si="209"/>
        <v>0</v>
      </c>
      <c r="I415" s="52">
        <f t="shared" si="209"/>
        <v>0</v>
      </c>
      <c r="J415" s="52">
        <f t="shared" si="209"/>
        <v>0</v>
      </c>
      <c r="K415" s="52">
        <f t="shared" si="209"/>
        <v>0</v>
      </c>
      <c r="L415" s="52">
        <f t="shared" si="209"/>
        <v>0</v>
      </c>
      <c r="M415" s="52">
        <f t="shared" si="209"/>
        <v>0</v>
      </c>
      <c r="N415" s="52">
        <f t="shared" si="209"/>
        <v>0</v>
      </c>
      <c r="O415" s="52">
        <f t="shared" si="209"/>
        <v>0</v>
      </c>
      <c r="P415" s="52">
        <f t="shared" si="209"/>
        <v>0</v>
      </c>
      <c r="Q415" s="52">
        <f t="shared" si="209"/>
        <v>0</v>
      </c>
      <c r="R415" s="52">
        <f t="shared" si="209"/>
        <v>0</v>
      </c>
      <c r="S415" s="52">
        <f t="shared" si="209"/>
        <v>0</v>
      </c>
      <c r="T415" s="52">
        <f t="shared" si="209"/>
        <v>0</v>
      </c>
      <c r="U415" s="52">
        <f t="shared" si="209"/>
        <v>0</v>
      </c>
      <c r="V415" s="52">
        <f t="shared" si="209"/>
        <v>0</v>
      </c>
      <c r="W415" s="52">
        <f t="shared" si="209"/>
        <v>0</v>
      </c>
      <c r="X415" s="52">
        <f t="shared" si="209"/>
        <v>0</v>
      </c>
      <c r="Y415" s="52">
        <f t="shared" si="209"/>
        <v>0</v>
      </c>
      <c r="Z415" s="52">
        <f t="shared" si="209"/>
        <v>0</v>
      </c>
      <c r="AA415" s="52">
        <f t="shared" si="209"/>
        <v>0</v>
      </c>
      <c r="AB415" s="52">
        <f t="shared" si="209"/>
        <v>0</v>
      </c>
      <c r="AC415" s="52">
        <f t="shared" si="209"/>
        <v>0</v>
      </c>
      <c r="AD415" s="52">
        <f t="shared" si="209"/>
        <v>0</v>
      </c>
      <c r="AE415" s="52">
        <f t="shared" si="209"/>
        <v>0</v>
      </c>
      <c r="AF415" s="52">
        <f t="shared" si="209"/>
        <v>0</v>
      </c>
      <c r="AG415" s="52">
        <f t="shared" si="209"/>
        <v>0</v>
      </c>
      <c r="AH415" s="52">
        <f t="shared" si="209"/>
        <v>0</v>
      </c>
      <c r="AI415" s="52">
        <f t="shared" si="209"/>
        <v>0</v>
      </c>
      <c r="AJ415" s="52">
        <f t="shared" si="209"/>
        <v>0</v>
      </c>
      <c r="AK415" s="52">
        <f t="shared" si="209"/>
        <v>0</v>
      </c>
      <c r="AL415" s="52">
        <f t="shared" si="209"/>
        <v>0</v>
      </c>
      <c r="AM415" s="52">
        <f t="shared" si="209"/>
        <v>0</v>
      </c>
      <c r="AN415" s="52">
        <f t="shared" si="209"/>
        <v>0</v>
      </c>
      <c r="AO415" s="52">
        <f t="shared" si="209"/>
        <v>0</v>
      </c>
      <c r="AP415" s="52">
        <f t="shared" si="209"/>
        <v>0</v>
      </c>
    </row>
    <row r="416" spans="1:42" x14ac:dyDescent="0.2">
      <c r="A416" s="35">
        <f t="shared" ref="A416" si="210">A415+1</f>
        <v>10</v>
      </c>
      <c r="B416" s="58">
        <f t="shared" si="199"/>
        <v>0</v>
      </c>
      <c r="C416" s="82">
        <f t="shared" ref="C416:AP416" si="211">LOOKUP(C404,$B$390:$AP$390,$B$391:$AP$391)*$B595</f>
        <v>0</v>
      </c>
      <c r="D416" s="53">
        <f t="shared" si="211"/>
        <v>0</v>
      </c>
      <c r="E416" s="53">
        <f t="shared" si="211"/>
        <v>0</v>
      </c>
      <c r="F416" s="53">
        <f t="shared" si="211"/>
        <v>0</v>
      </c>
      <c r="G416" s="53">
        <f t="shared" si="211"/>
        <v>0</v>
      </c>
      <c r="H416" s="53">
        <f t="shared" si="211"/>
        <v>0</v>
      </c>
      <c r="I416" s="53">
        <f t="shared" si="211"/>
        <v>0</v>
      </c>
      <c r="J416" s="53">
        <f t="shared" si="211"/>
        <v>0</v>
      </c>
      <c r="K416" s="53">
        <f t="shared" si="211"/>
        <v>0</v>
      </c>
      <c r="L416" s="53">
        <f t="shared" si="211"/>
        <v>0</v>
      </c>
      <c r="M416" s="53">
        <f t="shared" si="211"/>
        <v>0</v>
      </c>
      <c r="N416" s="53">
        <f t="shared" si="211"/>
        <v>0</v>
      </c>
      <c r="O416" s="53">
        <f t="shared" si="211"/>
        <v>0</v>
      </c>
      <c r="P416" s="53">
        <f t="shared" si="211"/>
        <v>0</v>
      </c>
      <c r="Q416" s="53">
        <f t="shared" si="211"/>
        <v>0</v>
      </c>
      <c r="R416" s="53">
        <f t="shared" si="211"/>
        <v>0</v>
      </c>
      <c r="S416" s="53">
        <f t="shared" si="211"/>
        <v>0</v>
      </c>
      <c r="T416" s="53">
        <f t="shared" si="211"/>
        <v>0</v>
      </c>
      <c r="U416" s="53">
        <f t="shared" si="211"/>
        <v>0</v>
      </c>
      <c r="V416" s="53">
        <f t="shared" si="211"/>
        <v>0</v>
      </c>
      <c r="W416" s="53">
        <f t="shared" si="211"/>
        <v>0</v>
      </c>
      <c r="X416" s="53">
        <f t="shared" si="211"/>
        <v>0</v>
      </c>
      <c r="Y416" s="53">
        <f t="shared" si="211"/>
        <v>0</v>
      </c>
      <c r="Z416" s="53">
        <f t="shared" si="211"/>
        <v>0</v>
      </c>
      <c r="AA416" s="53">
        <f t="shared" si="211"/>
        <v>0</v>
      </c>
      <c r="AB416" s="53">
        <f t="shared" si="211"/>
        <v>0</v>
      </c>
      <c r="AC416" s="53">
        <f t="shared" si="211"/>
        <v>0</v>
      </c>
      <c r="AD416" s="53">
        <f t="shared" si="211"/>
        <v>0</v>
      </c>
      <c r="AE416" s="53">
        <f t="shared" si="211"/>
        <v>0</v>
      </c>
      <c r="AF416" s="53">
        <f t="shared" si="211"/>
        <v>0</v>
      </c>
      <c r="AG416" s="53">
        <f t="shared" si="211"/>
        <v>0</v>
      </c>
      <c r="AH416" s="53">
        <f t="shared" si="211"/>
        <v>0</v>
      </c>
      <c r="AI416" s="53">
        <f t="shared" si="211"/>
        <v>0</v>
      </c>
      <c r="AJ416" s="53">
        <f t="shared" si="211"/>
        <v>0</v>
      </c>
      <c r="AK416" s="53">
        <f t="shared" si="211"/>
        <v>0</v>
      </c>
      <c r="AL416" s="53">
        <f t="shared" si="211"/>
        <v>0</v>
      </c>
      <c r="AM416" s="53">
        <f t="shared" si="211"/>
        <v>0</v>
      </c>
      <c r="AN416" s="53">
        <f t="shared" si="211"/>
        <v>0</v>
      </c>
      <c r="AO416" s="53">
        <f t="shared" si="211"/>
        <v>0</v>
      </c>
      <c r="AP416" s="53">
        <f t="shared" si="211"/>
        <v>0</v>
      </c>
    </row>
    <row r="417" spans="1:42" s="35" customFormat="1" x14ac:dyDescent="0.2">
      <c r="A417" s="83" t="s">
        <v>23</v>
      </c>
      <c r="B417" s="38"/>
      <c r="C417" s="38">
        <f>SUM(C407:C416)</f>
        <v>0</v>
      </c>
      <c r="D417" s="38">
        <f t="shared" ref="D417:AP417" si="212">SUM(D407:D416)</f>
        <v>0</v>
      </c>
      <c r="E417" s="38">
        <f t="shared" si="212"/>
        <v>0</v>
      </c>
      <c r="F417" s="38">
        <f t="shared" si="212"/>
        <v>0</v>
      </c>
      <c r="G417" s="38">
        <f t="shared" si="212"/>
        <v>0</v>
      </c>
      <c r="H417" s="38">
        <f t="shared" si="212"/>
        <v>0</v>
      </c>
      <c r="I417" s="38">
        <f t="shared" si="212"/>
        <v>0</v>
      </c>
      <c r="J417" s="38">
        <f t="shared" si="212"/>
        <v>0</v>
      </c>
      <c r="K417" s="38">
        <f t="shared" si="212"/>
        <v>0</v>
      </c>
      <c r="L417" s="38">
        <f t="shared" si="212"/>
        <v>0</v>
      </c>
      <c r="M417" s="38">
        <f t="shared" si="212"/>
        <v>0</v>
      </c>
      <c r="N417" s="38">
        <f t="shared" si="212"/>
        <v>656043.32890063303</v>
      </c>
      <c r="O417" s="38">
        <f t="shared" si="212"/>
        <v>1049669.3262410129</v>
      </c>
      <c r="P417" s="38">
        <f t="shared" si="212"/>
        <v>629801.59574460774</v>
      </c>
      <c r="Q417" s="38">
        <f t="shared" si="212"/>
        <v>377880.95744676463</v>
      </c>
      <c r="R417" s="38">
        <f t="shared" si="212"/>
        <v>377880.95744676463</v>
      </c>
      <c r="S417" s="38">
        <f t="shared" si="212"/>
        <v>188940.47872338232</v>
      </c>
      <c r="T417" s="38">
        <f t="shared" si="212"/>
        <v>0</v>
      </c>
      <c r="U417" s="38">
        <f t="shared" si="212"/>
        <v>0</v>
      </c>
      <c r="V417" s="38">
        <f t="shared" si="212"/>
        <v>0</v>
      </c>
      <c r="W417" s="38">
        <f t="shared" si="212"/>
        <v>0</v>
      </c>
      <c r="X417" s="38">
        <f t="shared" si="212"/>
        <v>0</v>
      </c>
      <c r="Y417" s="38">
        <f t="shared" si="212"/>
        <v>0</v>
      </c>
      <c r="Z417" s="38">
        <f t="shared" si="212"/>
        <v>882305.34125979955</v>
      </c>
      <c r="AA417" s="38">
        <f t="shared" si="212"/>
        <v>1411688.5460156794</v>
      </c>
      <c r="AB417" s="38">
        <f t="shared" si="212"/>
        <v>847013.12760940753</v>
      </c>
      <c r="AC417" s="38">
        <f t="shared" si="212"/>
        <v>508207.87656564452</v>
      </c>
      <c r="AD417" s="38">
        <f t="shared" si="212"/>
        <v>508207.87656564452</v>
      </c>
      <c r="AE417" s="38">
        <f t="shared" si="212"/>
        <v>254103.93828282226</v>
      </c>
      <c r="AF417" s="38">
        <f t="shared" si="212"/>
        <v>0</v>
      </c>
      <c r="AG417" s="38">
        <f t="shared" si="212"/>
        <v>0</v>
      </c>
      <c r="AH417" s="38">
        <f t="shared" si="212"/>
        <v>0</v>
      </c>
      <c r="AI417" s="38">
        <f t="shared" si="212"/>
        <v>0</v>
      </c>
      <c r="AJ417" s="38">
        <f t="shared" si="212"/>
        <v>0</v>
      </c>
      <c r="AK417" s="38">
        <f t="shared" si="212"/>
        <v>0</v>
      </c>
      <c r="AL417" s="38">
        <f t="shared" si="212"/>
        <v>1186602.59303312</v>
      </c>
      <c r="AM417" s="38">
        <f t="shared" si="212"/>
        <v>1898564.1488529921</v>
      </c>
      <c r="AN417" s="38">
        <f t="shared" si="212"/>
        <v>1139138.4893117952</v>
      </c>
      <c r="AO417" s="38">
        <f t="shared" si="212"/>
        <v>683483.09358707711</v>
      </c>
      <c r="AP417" s="38">
        <f t="shared" si="212"/>
        <v>683483.09358707711</v>
      </c>
    </row>
    <row r="418" spans="1:42" s="35" customFormat="1" x14ac:dyDescent="0.2">
      <c r="A418" s="83"/>
      <c r="B418" s="38"/>
      <c r="C418" s="38"/>
      <c r="D418" s="38"/>
      <c r="E418" s="38"/>
      <c r="F418" s="38"/>
      <c r="G418" s="38"/>
      <c r="H418" s="38"/>
      <c r="I418" s="38"/>
      <c r="J418" s="38"/>
      <c r="K418" s="38"/>
      <c r="L418" s="38"/>
      <c r="M418" s="38"/>
      <c r="N418" s="38"/>
      <c r="O418" s="38"/>
      <c r="P418" s="38"/>
      <c r="Q418" s="38"/>
      <c r="R418" s="38"/>
      <c r="S418" s="38"/>
      <c r="T418" s="38"/>
      <c r="U418" s="38"/>
      <c r="V418" s="38"/>
      <c r="W418" s="38"/>
      <c r="X418" s="38"/>
      <c r="Y418" s="38"/>
      <c r="Z418" s="38"/>
      <c r="AA418" s="38"/>
      <c r="AB418" s="38"/>
      <c r="AC418" s="38"/>
      <c r="AD418" s="38"/>
      <c r="AE418" s="38"/>
      <c r="AF418" s="38"/>
      <c r="AG418" s="38"/>
      <c r="AH418" s="38"/>
      <c r="AI418" s="38"/>
      <c r="AJ418" s="38"/>
      <c r="AK418" s="38"/>
      <c r="AL418" s="38"/>
      <c r="AM418" s="38"/>
      <c r="AN418" s="38"/>
      <c r="AO418" s="38"/>
      <c r="AP418" s="38"/>
    </row>
    <row r="419" spans="1:42" x14ac:dyDescent="0.2">
      <c r="A419" s="59" t="s">
        <v>168</v>
      </c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52"/>
      <c r="AE419" s="52"/>
      <c r="AF419" s="52"/>
      <c r="AG419" s="52"/>
      <c r="AH419" s="52"/>
      <c r="AI419" s="52"/>
      <c r="AJ419" s="52"/>
      <c r="AK419" s="52"/>
      <c r="AL419" s="52"/>
      <c r="AM419" s="52"/>
      <c r="AN419" s="52"/>
      <c r="AO419" s="52"/>
      <c r="AP419" s="52"/>
    </row>
    <row r="420" spans="1:42" x14ac:dyDescent="0.2">
      <c r="A420" s="65" t="s">
        <v>125</v>
      </c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52"/>
      <c r="AE420" s="52"/>
      <c r="AF420" s="52"/>
      <c r="AG420" s="52"/>
      <c r="AH420" s="52"/>
      <c r="AI420" s="52"/>
      <c r="AJ420" s="52"/>
      <c r="AK420" s="52"/>
      <c r="AL420" s="52"/>
      <c r="AM420" s="52"/>
      <c r="AN420" s="52"/>
      <c r="AO420" s="52"/>
      <c r="AP420" s="52"/>
    </row>
    <row r="421" spans="1:42" x14ac:dyDescent="0.2">
      <c r="A421" s="35">
        <v>1</v>
      </c>
      <c r="C421" s="52">
        <f>C286</f>
        <v>0</v>
      </c>
      <c r="D421" s="52">
        <f t="shared" ref="D421:AP427" si="213">D286</f>
        <v>0</v>
      </c>
      <c r="E421" s="52">
        <f t="shared" si="213"/>
        <v>0</v>
      </c>
      <c r="F421" s="52">
        <f t="shared" si="213"/>
        <v>0</v>
      </c>
      <c r="G421" s="52">
        <f t="shared" si="213"/>
        <v>0</v>
      </c>
      <c r="H421" s="52">
        <f t="shared" si="213"/>
        <v>0</v>
      </c>
      <c r="I421" s="52">
        <f t="shared" si="213"/>
        <v>0</v>
      </c>
      <c r="J421" s="52">
        <f t="shared" si="213"/>
        <v>0</v>
      </c>
      <c r="K421" s="52">
        <f t="shared" si="213"/>
        <v>0</v>
      </c>
      <c r="L421" s="52">
        <f t="shared" si="213"/>
        <v>0</v>
      </c>
      <c r="M421" s="52">
        <f t="shared" si="213"/>
        <v>0</v>
      </c>
      <c r="N421" s="52">
        <f t="shared" si="213"/>
        <v>0</v>
      </c>
      <c r="O421" s="52">
        <f t="shared" si="213"/>
        <v>0</v>
      </c>
      <c r="P421" s="52">
        <f t="shared" si="213"/>
        <v>0</v>
      </c>
      <c r="Q421" s="52">
        <f t="shared" si="213"/>
        <v>0</v>
      </c>
      <c r="R421" s="52">
        <f t="shared" si="213"/>
        <v>0</v>
      </c>
      <c r="S421" s="52">
        <f t="shared" si="213"/>
        <v>0</v>
      </c>
      <c r="T421" s="52">
        <f t="shared" si="213"/>
        <v>0</v>
      </c>
      <c r="U421" s="52">
        <f t="shared" si="213"/>
        <v>0</v>
      </c>
      <c r="V421" s="52">
        <f t="shared" si="213"/>
        <v>0</v>
      </c>
      <c r="W421" s="52">
        <f t="shared" si="213"/>
        <v>0</v>
      </c>
      <c r="X421" s="52">
        <f t="shared" si="213"/>
        <v>0</v>
      </c>
      <c r="Y421" s="52">
        <f t="shared" si="213"/>
        <v>0</v>
      </c>
      <c r="Z421" s="52">
        <f t="shared" si="213"/>
        <v>0</v>
      </c>
      <c r="AA421" s="52">
        <f t="shared" si="213"/>
        <v>0</v>
      </c>
      <c r="AB421" s="52">
        <f t="shared" si="213"/>
        <v>0</v>
      </c>
      <c r="AC421" s="52">
        <f t="shared" si="213"/>
        <v>0</v>
      </c>
      <c r="AD421" s="52">
        <f t="shared" si="213"/>
        <v>0</v>
      </c>
      <c r="AE421" s="52">
        <f t="shared" si="213"/>
        <v>0</v>
      </c>
      <c r="AF421" s="52">
        <f t="shared" si="213"/>
        <v>0</v>
      </c>
      <c r="AG421" s="52">
        <f t="shared" si="213"/>
        <v>0</v>
      </c>
      <c r="AH421" s="52">
        <f t="shared" si="213"/>
        <v>0</v>
      </c>
      <c r="AI421" s="52">
        <f t="shared" si="213"/>
        <v>0</v>
      </c>
      <c r="AJ421" s="52">
        <f t="shared" si="213"/>
        <v>0</v>
      </c>
      <c r="AK421" s="52">
        <f t="shared" si="213"/>
        <v>0</v>
      </c>
      <c r="AL421" s="52">
        <f t="shared" si="213"/>
        <v>0</v>
      </c>
      <c r="AM421" s="52">
        <f t="shared" si="213"/>
        <v>0</v>
      </c>
      <c r="AN421" s="52">
        <f t="shared" si="213"/>
        <v>0</v>
      </c>
      <c r="AO421" s="52">
        <f t="shared" si="213"/>
        <v>0</v>
      </c>
      <c r="AP421" s="52">
        <f t="shared" si="213"/>
        <v>0</v>
      </c>
    </row>
    <row r="422" spans="1:42" x14ac:dyDescent="0.2">
      <c r="A422" s="35">
        <f>A421+1</f>
        <v>2</v>
      </c>
      <c r="C422" s="52">
        <f t="shared" ref="C422:R430" si="214">C287</f>
        <v>0</v>
      </c>
      <c r="D422" s="52">
        <f t="shared" si="214"/>
        <v>0</v>
      </c>
      <c r="E422" s="52">
        <f t="shared" si="214"/>
        <v>0</v>
      </c>
      <c r="F422" s="52">
        <f t="shared" si="214"/>
        <v>0</v>
      </c>
      <c r="G422" s="52">
        <f t="shared" si="214"/>
        <v>0</v>
      </c>
      <c r="H422" s="52">
        <f t="shared" si="214"/>
        <v>0</v>
      </c>
      <c r="I422" s="52">
        <f t="shared" si="214"/>
        <v>0</v>
      </c>
      <c r="J422" s="52">
        <f t="shared" si="214"/>
        <v>0</v>
      </c>
      <c r="K422" s="52">
        <f t="shared" si="214"/>
        <v>0</v>
      </c>
      <c r="L422" s="52">
        <f t="shared" si="214"/>
        <v>0</v>
      </c>
      <c r="M422" s="52">
        <f t="shared" si="214"/>
        <v>0</v>
      </c>
      <c r="N422" s="52">
        <f t="shared" si="214"/>
        <v>0</v>
      </c>
      <c r="O422" s="52">
        <f t="shared" si="214"/>
        <v>0</v>
      </c>
      <c r="P422" s="52">
        <f t="shared" si="214"/>
        <v>0</v>
      </c>
      <c r="Q422" s="52">
        <f t="shared" si="214"/>
        <v>0</v>
      </c>
      <c r="R422" s="52">
        <f t="shared" si="214"/>
        <v>0</v>
      </c>
      <c r="S422" s="52">
        <f t="shared" si="213"/>
        <v>0</v>
      </c>
      <c r="T422" s="52">
        <f t="shared" si="213"/>
        <v>0</v>
      </c>
      <c r="U422" s="52">
        <f t="shared" si="213"/>
        <v>0</v>
      </c>
      <c r="V422" s="52">
        <f t="shared" si="213"/>
        <v>0</v>
      </c>
      <c r="W422" s="52">
        <f t="shared" si="213"/>
        <v>0</v>
      </c>
      <c r="X422" s="52">
        <f t="shared" si="213"/>
        <v>0</v>
      </c>
      <c r="Y422" s="52">
        <f t="shared" si="213"/>
        <v>0</v>
      </c>
      <c r="Z422" s="52">
        <f t="shared" si="213"/>
        <v>0</v>
      </c>
      <c r="AA422" s="52">
        <f t="shared" si="213"/>
        <v>0</v>
      </c>
      <c r="AB422" s="52">
        <f t="shared" si="213"/>
        <v>0</v>
      </c>
      <c r="AC422" s="52">
        <f t="shared" si="213"/>
        <v>0</v>
      </c>
      <c r="AD422" s="52">
        <f t="shared" si="213"/>
        <v>0</v>
      </c>
      <c r="AE422" s="52">
        <f t="shared" si="213"/>
        <v>0</v>
      </c>
      <c r="AF422" s="52">
        <f t="shared" si="213"/>
        <v>0</v>
      </c>
      <c r="AG422" s="52">
        <f t="shared" si="213"/>
        <v>0</v>
      </c>
      <c r="AH422" s="52">
        <f t="shared" si="213"/>
        <v>0</v>
      </c>
      <c r="AI422" s="52">
        <f t="shared" si="213"/>
        <v>0</v>
      </c>
      <c r="AJ422" s="52">
        <f t="shared" si="213"/>
        <v>0</v>
      </c>
      <c r="AK422" s="52">
        <f t="shared" si="213"/>
        <v>0</v>
      </c>
      <c r="AL422" s="52">
        <f t="shared" si="213"/>
        <v>0</v>
      </c>
      <c r="AM422" s="52">
        <f t="shared" si="213"/>
        <v>0</v>
      </c>
      <c r="AN422" s="52">
        <f t="shared" si="213"/>
        <v>0</v>
      </c>
      <c r="AO422" s="52">
        <f t="shared" si="213"/>
        <v>0</v>
      </c>
      <c r="AP422" s="52">
        <f t="shared" si="213"/>
        <v>0</v>
      </c>
    </row>
    <row r="423" spans="1:42" x14ac:dyDescent="0.2">
      <c r="A423" s="35">
        <f t="shared" ref="A423:A428" si="215">A422+1</f>
        <v>3</v>
      </c>
      <c r="C423" s="52">
        <f t="shared" si="214"/>
        <v>0</v>
      </c>
      <c r="D423" s="52">
        <f t="shared" si="213"/>
        <v>0</v>
      </c>
      <c r="E423" s="52">
        <f t="shared" si="213"/>
        <v>0</v>
      </c>
      <c r="F423" s="52">
        <f t="shared" si="213"/>
        <v>0</v>
      </c>
      <c r="G423" s="52">
        <f t="shared" si="213"/>
        <v>0</v>
      </c>
      <c r="H423" s="52">
        <f t="shared" si="213"/>
        <v>0</v>
      </c>
      <c r="I423" s="52">
        <f t="shared" si="213"/>
        <v>0</v>
      </c>
      <c r="J423" s="52">
        <f t="shared" si="213"/>
        <v>0</v>
      </c>
      <c r="K423" s="52">
        <f t="shared" si="213"/>
        <v>0</v>
      </c>
      <c r="L423" s="52">
        <f t="shared" si="213"/>
        <v>0</v>
      </c>
      <c r="M423" s="52">
        <f t="shared" si="213"/>
        <v>0</v>
      </c>
      <c r="N423" s="52">
        <f t="shared" si="213"/>
        <v>0</v>
      </c>
      <c r="O423" s="52">
        <f t="shared" si="213"/>
        <v>0</v>
      </c>
      <c r="P423" s="52">
        <f t="shared" si="213"/>
        <v>0</v>
      </c>
      <c r="Q423" s="52">
        <f t="shared" si="213"/>
        <v>0</v>
      </c>
      <c r="R423" s="52">
        <f t="shared" si="213"/>
        <v>0</v>
      </c>
      <c r="S423" s="52">
        <f t="shared" si="213"/>
        <v>0</v>
      </c>
      <c r="T423" s="52">
        <f t="shared" si="213"/>
        <v>0</v>
      </c>
      <c r="U423" s="52">
        <f t="shared" si="213"/>
        <v>0</v>
      </c>
      <c r="V423" s="52">
        <f t="shared" si="213"/>
        <v>0</v>
      </c>
      <c r="W423" s="52">
        <f t="shared" si="213"/>
        <v>0</v>
      </c>
      <c r="X423" s="52">
        <f t="shared" si="213"/>
        <v>0</v>
      </c>
      <c r="Y423" s="52">
        <f t="shared" si="213"/>
        <v>0</v>
      </c>
      <c r="Z423" s="52">
        <f t="shared" si="213"/>
        <v>0</v>
      </c>
      <c r="AA423" s="52">
        <f t="shared" si="213"/>
        <v>0</v>
      </c>
      <c r="AB423" s="52">
        <f t="shared" si="213"/>
        <v>0</v>
      </c>
      <c r="AC423" s="52">
        <f t="shared" si="213"/>
        <v>0</v>
      </c>
      <c r="AD423" s="52">
        <f t="shared" si="213"/>
        <v>0</v>
      </c>
      <c r="AE423" s="52">
        <f t="shared" si="213"/>
        <v>0</v>
      </c>
      <c r="AF423" s="52">
        <f t="shared" si="213"/>
        <v>0</v>
      </c>
      <c r="AG423" s="52">
        <f t="shared" si="213"/>
        <v>0</v>
      </c>
      <c r="AH423" s="52">
        <f t="shared" si="213"/>
        <v>0</v>
      </c>
      <c r="AI423" s="52">
        <f t="shared" si="213"/>
        <v>0</v>
      </c>
      <c r="AJ423" s="52">
        <f t="shared" si="213"/>
        <v>0</v>
      </c>
      <c r="AK423" s="52">
        <f t="shared" si="213"/>
        <v>0</v>
      </c>
      <c r="AL423" s="52">
        <f t="shared" si="213"/>
        <v>0</v>
      </c>
      <c r="AM423" s="52">
        <f t="shared" si="213"/>
        <v>0</v>
      </c>
      <c r="AN423" s="52">
        <f t="shared" si="213"/>
        <v>0</v>
      </c>
      <c r="AO423" s="52">
        <f t="shared" si="213"/>
        <v>0</v>
      </c>
      <c r="AP423" s="52">
        <f t="shared" si="213"/>
        <v>0</v>
      </c>
    </row>
    <row r="424" spans="1:42" x14ac:dyDescent="0.2">
      <c r="A424" s="35">
        <f t="shared" si="215"/>
        <v>4</v>
      </c>
      <c r="C424" s="52">
        <f t="shared" si="214"/>
        <v>0</v>
      </c>
      <c r="D424" s="52">
        <f t="shared" si="213"/>
        <v>0</v>
      </c>
      <c r="E424" s="52">
        <f t="shared" si="213"/>
        <v>0</v>
      </c>
      <c r="F424" s="52">
        <f t="shared" si="213"/>
        <v>0</v>
      </c>
      <c r="G424" s="52">
        <f t="shared" si="213"/>
        <v>0</v>
      </c>
      <c r="H424" s="52">
        <f t="shared" si="213"/>
        <v>0</v>
      </c>
      <c r="I424" s="52">
        <f t="shared" si="213"/>
        <v>0</v>
      </c>
      <c r="J424" s="52">
        <f t="shared" si="213"/>
        <v>0</v>
      </c>
      <c r="K424" s="52">
        <f t="shared" si="213"/>
        <v>0</v>
      </c>
      <c r="L424" s="52">
        <f t="shared" si="213"/>
        <v>0</v>
      </c>
      <c r="M424" s="52">
        <f t="shared" si="213"/>
        <v>0</v>
      </c>
      <c r="N424" s="52">
        <f t="shared" si="213"/>
        <v>0</v>
      </c>
      <c r="O424" s="52">
        <f t="shared" si="213"/>
        <v>0</v>
      </c>
      <c r="P424" s="52">
        <f t="shared" si="213"/>
        <v>0</v>
      </c>
      <c r="Q424" s="52">
        <f t="shared" si="213"/>
        <v>0</v>
      </c>
      <c r="R424" s="52">
        <f t="shared" si="213"/>
        <v>0</v>
      </c>
      <c r="S424" s="52">
        <f t="shared" si="213"/>
        <v>0</v>
      </c>
      <c r="T424" s="52">
        <f t="shared" si="213"/>
        <v>0</v>
      </c>
      <c r="U424" s="52">
        <f t="shared" si="213"/>
        <v>0</v>
      </c>
      <c r="V424" s="52">
        <f t="shared" si="213"/>
        <v>0</v>
      </c>
      <c r="W424" s="52">
        <f t="shared" si="213"/>
        <v>0</v>
      </c>
      <c r="X424" s="52">
        <f t="shared" si="213"/>
        <v>0</v>
      </c>
      <c r="Y424" s="52">
        <f t="shared" si="213"/>
        <v>0</v>
      </c>
      <c r="Z424" s="52">
        <f t="shared" si="213"/>
        <v>0</v>
      </c>
      <c r="AA424" s="52">
        <f t="shared" si="213"/>
        <v>0</v>
      </c>
      <c r="AB424" s="52">
        <f t="shared" si="213"/>
        <v>0</v>
      </c>
      <c r="AC424" s="52">
        <f t="shared" si="213"/>
        <v>0</v>
      </c>
      <c r="AD424" s="52">
        <f t="shared" si="213"/>
        <v>0</v>
      </c>
      <c r="AE424" s="52">
        <f t="shared" si="213"/>
        <v>0</v>
      </c>
      <c r="AF424" s="52">
        <f t="shared" si="213"/>
        <v>0</v>
      </c>
      <c r="AG424" s="52">
        <f t="shared" si="213"/>
        <v>0</v>
      </c>
      <c r="AH424" s="52">
        <f t="shared" si="213"/>
        <v>0</v>
      </c>
      <c r="AI424" s="52">
        <f t="shared" si="213"/>
        <v>0</v>
      </c>
      <c r="AJ424" s="52">
        <f t="shared" si="213"/>
        <v>0</v>
      </c>
      <c r="AK424" s="52">
        <f t="shared" si="213"/>
        <v>0</v>
      </c>
      <c r="AL424" s="52">
        <f t="shared" si="213"/>
        <v>0</v>
      </c>
      <c r="AM424" s="52">
        <f t="shared" si="213"/>
        <v>0</v>
      </c>
      <c r="AN424" s="52">
        <f t="shared" si="213"/>
        <v>0</v>
      </c>
      <c r="AO424" s="52">
        <f t="shared" si="213"/>
        <v>0</v>
      </c>
      <c r="AP424" s="52">
        <f t="shared" si="213"/>
        <v>0</v>
      </c>
    </row>
    <row r="425" spans="1:42" x14ac:dyDescent="0.2">
      <c r="A425" s="35">
        <f t="shared" si="215"/>
        <v>5</v>
      </c>
      <c r="C425" s="52">
        <f t="shared" si="214"/>
        <v>0</v>
      </c>
      <c r="D425" s="52">
        <f t="shared" si="213"/>
        <v>0</v>
      </c>
      <c r="E425" s="52">
        <f t="shared" si="213"/>
        <v>0</v>
      </c>
      <c r="F425" s="52">
        <f t="shared" si="213"/>
        <v>0</v>
      </c>
      <c r="G425" s="52">
        <f t="shared" si="213"/>
        <v>0</v>
      </c>
      <c r="H425" s="52">
        <f t="shared" si="213"/>
        <v>0</v>
      </c>
      <c r="I425" s="52">
        <f t="shared" si="213"/>
        <v>0</v>
      </c>
      <c r="J425" s="52">
        <f t="shared" si="213"/>
        <v>0</v>
      </c>
      <c r="K425" s="52">
        <f t="shared" si="213"/>
        <v>0</v>
      </c>
      <c r="L425" s="52">
        <f t="shared" si="213"/>
        <v>0</v>
      </c>
      <c r="M425" s="52">
        <f t="shared" si="213"/>
        <v>0</v>
      </c>
      <c r="N425" s="52">
        <f t="shared" si="213"/>
        <v>0</v>
      </c>
      <c r="O425" s="52">
        <f t="shared" si="213"/>
        <v>0</v>
      </c>
      <c r="P425" s="52">
        <f t="shared" si="213"/>
        <v>0</v>
      </c>
      <c r="Q425" s="52">
        <f t="shared" si="213"/>
        <v>0</v>
      </c>
      <c r="R425" s="52">
        <f t="shared" si="213"/>
        <v>0</v>
      </c>
      <c r="S425" s="52">
        <f t="shared" si="213"/>
        <v>0</v>
      </c>
      <c r="T425" s="52">
        <f t="shared" si="213"/>
        <v>0</v>
      </c>
      <c r="U425" s="52">
        <f t="shared" si="213"/>
        <v>0</v>
      </c>
      <c r="V425" s="52">
        <f t="shared" si="213"/>
        <v>0</v>
      </c>
      <c r="W425" s="52">
        <f t="shared" si="213"/>
        <v>0</v>
      </c>
      <c r="X425" s="52">
        <f t="shared" si="213"/>
        <v>0</v>
      </c>
      <c r="Y425" s="52">
        <f t="shared" si="213"/>
        <v>0</v>
      </c>
      <c r="Z425" s="52">
        <f t="shared" si="213"/>
        <v>0</v>
      </c>
      <c r="AA425" s="52">
        <f t="shared" si="213"/>
        <v>0</v>
      </c>
      <c r="AB425" s="52">
        <f t="shared" si="213"/>
        <v>0</v>
      </c>
      <c r="AC425" s="52">
        <f t="shared" si="213"/>
        <v>0</v>
      </c>
      <c r="AD425" s="52">
        <f t="shared" si="213"/>
        <v>0</v>
      </c>
      <c r="AE425" s="52">
        <f t="shared" si="213"/>
        <v>0</v>
      </c>
      <c r="AF425" s="52">
        <f t="shared" si="213"/>
        <v>0</v>
      </c>
      <c r="AG425" s="52">
        <f t="shared" si="213"/>
        <v>0</v>
      </c>
      <c r="AH425" s="52">
        <f t="shared" si="213"/>
        <v>0</v>
      </c>
      <c r="AI425" s="52">
        <f t="shared" si="213"/>
        <v>0</v>
      </c>
      <c r="AJ425" s="52">
        <f t="shared" si="213"/>
        <v>0</v>
      </c>
      <c r="AK425" s="52">
        <f t="shared" si="213"/>
        <v>0</v>
      </c>
      <c r="AL425" s="52">
        <f t="shared" si="213"/>
        <v>0</v>
      </c>
      <c r="AM425" s="52">
        <f t="shared" si="213"/>
        <v>0</v>
      </c>
      <c r="AN425" s="52">
        <f t="shared" si="213"/>
        <v>0</v>
      </c>
      <c r="AO425" s="52">
        <f t="shared" si="213"/>
        <v>0</v>
      </c>
      <c r="AP425" s="52">
        <f t="shared" si="213"/>
        <v>0</v>
      </c>
    </row>
    <row r="426" spans="1:42" x14ac:dyDescent="0.2">
      <c r="A426" s="35">
        <f t="shared" si="215"/>
        <v>6</v>
      </c>
      <c r="C426" s="52">
        <f t="shared" si="214"/>
        <v>0</v>
      </c>
      <c r="D426" s="52">
        <f t="shared" si="213"/>
        <v>0</v>
      </c>
      <c r="E426" s="52">
        <f t="shared" si="213"/>
        <v>0</v>
      </c>
      <c r="F426" s="52">
        <f t="shared" si="213"/>
        <v>0</v>
      </c>
      <c r="G426" s="52">
        <f t="shared" si="213"/>
        <v>0</v>
      </c>
      <c r="H426" s="52">
        <f t="shared" si="213"/>
        <v>0</v>
      </c>
      <c r="I426" s="52">
        <f t="shared" si="213"/>
        <v>0</v>
      </c>
      <c r="J426" s="52">
        <f t="shared" si="213"/>
        <v>0</v>
      </c>
      <c r="K426" s="52">
        <f t="shared" si="213"/>
        <v>0</v>
      </c>
      <c r="L426" s="52">
        <f t="shared" si="213"/>
        <v>0</v>
      </c>
      <c r="M426" s="52">
        <f t="shared" si="213"/>
        <v>0</v>
      </c>
      <c r="N426" s="52">
        <f t="shared" si="213"/>
        <v>0</v>
      </c>
      <c r="O426" s="52">
        <f t="shared" si="213"/>
        <v>0</v>
      </c>
      <c r="P426" s="52">
        <f t="shared" si="213"/>
        <v>0</v>
      </c>
      <c r="Q426" s="52">
        <f t="shared" si="213"/>
        <v>0</v>
      </c>
      <c r="R426" s="52">
        <f t="shared" si="213"/>
        <v>0</v>
      </c>
      <c r="S426" s="52">
        <f t="shared" si="213"/>
        <v>0</v>
      </c>
      <c r="T426" s="52">
        <f t="shared" si="213"/>
        <v>0</v>
      </c>
      <c r="U426" s="52">
        <f t="shared" si="213"/>
        <v>0</v>
      </c>
      <c r="V426" s="52">
        <f t="shared" si="213"/>
        <v>0</v>
      </c>
      <c r="W426" s="52">
        <f t="shared" si="213"/>
        <v>0</v>
      </c>
      <c r="X426" s="52">
        <f t="shared" si="213"/>
        <v>0</v>
      </c>
      <c r="Y426" s="52">
        <f t="shared" si="213"/>
        <v>0</v>
      </c>
      <c r="Z426" s="52">
        <f t="shared" si="213"/>
        <v>0</v>
      </c>
      <c r="AA426" s="52">
        <f t="shared" si="213"/>
        <v>0</v>
      </c>
      <c r="AB426" s="52">
        <f t="shared" si="213"/>
        <v>0</v>
      </c>
      <c r="AC426" s="52">
        <f t="shared" si="213"/>
        <v>0</v>
      </c>
      <c r="AD426" s="52">
        <f t="shared" si="213"/>
        <v>0</v>
      </c>
      <c r="AE426" s="52">
        <f t="shared" si="213"/>
        <v>0</v>
      </c>
      <c r="AF426" s="52">
        <f t="shared" si="213"/>
        <v>0</v>
      </c>
      <c r="AG426" s="52">
        <f t="shared" si="213"/>
        <v>0</v>
      </c>
      <c r="AH426" s="52">
        <f t="shared" si="213"/>
        <v>0</v>
      </c>
      <c r="AI426" s="52">
        <f t="shared" si="213"/>
        <v>0</v>
      </c>
      <c r="AJ426" s="52">
        <f t="shared" si="213"/>
        <v>0</v>
      </c>
      <c r="AK426" s="52">
        <f t="shared" si="213"/>
        <v>0</v>
      </c>
      <c r="AL426" s="52">
        <f t="shared" si="213"/>
        <v>0</v>
      </c>
      <c r="AM426" s="52">
        <f t="shared" si="213"/>
        <v>0</v>
      </c>
      <c r="AN426" s="52">
        <f t="shared" si="213"/>
        <v>0</v>
      </c>
      <c r="AO426" s="52">
        <f t="shared" si="213"/>
        <v>0</v>
      </c>
      <c r="AP426" s="52">
        <f t="shared" si="213"/>
        <v>0</v>
      </c>
    </row>
    <row r="427" spans="1:42" x14ac:dyDescent="0.2">
      <c r="A427" s="35">
        <f t="shared" si="215"/>
        <v>7</v>
      </c>
      <c r="C427" s="52">
        <f t="shared" si="214"/>
        <v>0</v>
      </c>
      <c r="D427" s="52">
        <f t="shared" si="213"/>
        <v>0</v>
      </c>
      <c r="E427" s="52">
        <f t="shared" si="213"/>
        <v>0</v>
      </c>
      <c r="F427" s="52">
        <f t="shared" si="213"/>
        <v>0</v>
      </c>
      <c r="G427" s="52">
        <f t="shared" si="213"/>
        <v>0</v>
      </c>
      <c r="H427" s="52">
        <f t="shared" si="213"/>
        <v>0</v>
      </c>
      <c r="I427" s="52">
        <f t="shared" si="213"/>
        <v>0</v>
      </c>
      <c r="J427" s="52">
        <f t="shared" si="213"/>
        <v>0</v>
      </c>
      <c r="K427" s="52">
        <f t="shared" si="213"/>
        <v>0</v>
      </c>
      <c r="L427" s="52">
        <f t="shared" si="213"/>
        <v>0</v>
      </c>
      <c r="M427" s="52">
        <f t="shared" si="213"/>
        <v>0</v>
      </c>
      <c r="N427" s="52">
        <f t="shared" si="213"/>
        <v>0</v>
      </c>
      <c r="O427" s="52">
        <f t="shared" si="213"/>
        <v>0</v>
      </c>
      <c r="P427" s="52">
        <f t="shared" si="213"/>
        <v>0</v>
      </c>
      <c r="Q427" s="52">
        <f t="shared" si="213"/>
        <v>0</v>
      </c>
      <c r="R427" s="52">
        <f t="shared" si="213"/>
        <v>0</v>
      </c>
      <c r="S427" s="52">
        <f t="shared" si="213"/>
        <v>0</v>
      </c>
      <c r="T427" s="52">
        <f t="shared" si="213"/>
        <v>0</v>
      </c>
      <c r="U427" s="52">
        <f t="shared" si="213"/>
        <v>0</v>
      </c>
      <c r="V427" s="52">
        <f t="shared" si="213"/>
        <v>0</v>
      </c>
      <c r="W427" s="52">
        <f t="shared" si="213"/>
        <v>0</v>
      </c>
      <c r="X427" s="52">
        <f t="shared" si="213"/>
        <v>0</v>
      </c>
      <c r="Y427" s="52">
        <f t="shared" si="213"/>
        <v>0</v>
      </c>
      <c r="Z427" s="52">
        <f t="shared" si="213"/>
        <v>0</v>
      </c>
      <c r="AA427" s="52">
        <f t="shared" si="213"/>
        <v>0</v>
      </c>
      <c r="AB427" s="52">
        <f t="shared" si="213"/>
        <v>0</v>
      </c>
      <c r="AC427" s="52">
        <f t="shared" si="213"/>
        <v>0</v>
      </c>
      <c r="AD427" s="52">
        <f t="shared" si="213"/>
        <v>0</v>
      </c>
      <c r="AE427" s="52">
        <f t="shared" si="213"/>
        <v>0</v>
      </c>
      <c r="AF427" s="52">
        <f t="shared" si="213"/>
        <v>0</v>
      </c>
      <c r="AG427" s="52">
        <f t="shared" si="213"/>
        <v>0</v>
      </c>
      <c r="AH427" s="52">
        <f t="shared" si="213"/>
        <v>0</v>
      </c>
      <c r="AI427" s="52">
        <f t="shared" si="213"/>
        <v>0</v>
      </c>
      <c r="AJ427" s="52">
        <f t="shared" si="213"/>
        <v>0</v>
      </c>
      <c r="AK427" s="52">
        <f t="shared" si="213"/>
        <v>0</v>
      </c>
      <c r="AL427" s="52">
        <f t="shared" si="213"/>
        <v>0</v>
      </c>
      <c r="AM427" s="52">
        <f t="shared" si="213"/>
        <v>0</v>
      </c>
      <c r="AN427" s="52">
        <f t="shared" ref="AN427:AP427" si="216">AN292</f>
        <v>0</v>
      </c>
      <c r="AO427" s="52">
        <f t="shared" si="216"/>
        <v>0</v>
      </c>
      <c r="AP427" s="52">
        <f t="shared" si="216"/>
        <v>0</v>
      </c>
    </row>
    <row r="428" spans="1:42" x14ac:dyDescent="0.2">
      <c r="A428" s="35">
        <f t="shared" si="215"/>
        <v>8</v>
      </c>
      <c r="C428" s="52">
        <f t="shared" si="214"/>
        <v>0</v>
      </c>
      <c r="D428" s="52">
        <f t="shared" si="214"/>
        <v>0</v>
      </c>
      <c r="E428" s="52">
        <f t="shared" si="214"/>
        <v>0</v>
      </c>
      <c r="F428" s="52">
        <f t="shared" si="214"/>
        <v>0</v>
      </c>
      <c r="G428" s="52">
        <f t="shared" si="214"/>
        <v>0</v>
      </c>
      <c r="H428" s="52">
        <f t="shared" si="214"/>
        <v>0</v>
      </c>
      <c r="I428" s="52">
        <f t="shared" si="214"/>
        <v>0</v>
      </c>
      <c r="J428" s="52">
        <f t="shared" si="214"/>
        <v>0</v>
      </c>
      <c r="K428" s="52">
        <f t="shared" si="214"/>
        <v>0</v>
      </c>
      <c r="L428" s="52">
        <f t="shared" si="214"/>
        <v>0</v>
      </c>
      <c r="M428" s="52">
        <f t="shared" si="214"/>
        <v>0</v>
      </c>
      <c r="N428" s="52">
        <f t="shared" si="214"/>
        <v>0</v>
      </c>
      <c r="O428" s="52">
        <f t="shared" si="214"/>
        <v>0</v>
      </c>
      <c r="P428" s="52">
        <f t="shared" si="214"/>
        <v>0</v>
      </c>
      <c r="Q428" s="52">
        <f t="shared" si="214"/>
        <v>0</v>
      </c>
      <c r="R428" s="52">
        <f t="shared" si="214"/>
        <v>0</v>
      </c>
      <c r="S428" s="52">
        <f t="shared" ref="D428:AP430" si="217">S293</f>
        <v>0</v>
      </c>
      <c r="T428" s="52">
        <f t="shared" si="217"/>
        <v>0</v>
      </c>
      <c r="U428" s="52">
        <f t="shared" si="217"/>
        <v>0</v>
      </c>
      <c r="V428" s="52">
        <f t="shared" si="217"/>
        <v>0</v>
      </c>
      <c r="W428" s="52">
        <f t="shared" si="217"/>
        <v>0</v>
      </c>
      <c r="X428" s="52">
        <f t="shared" si="217"/>
        <v>0</v>
      </c>
      <c r="Y428" s="52">
        <f t="shared" si="217"/>
        <v>0</v>
      </c>
      <c r="Z428" s="52">
        <f t="shared" si="217"/>
        <v>0</v>
      </c>
      <c r="AA428" s="52">
        <f t="shared" si="217"/>
        <v>0</v>
      </c>
      <c r="AB428" s="52">
        <f t="shared" si="217"/>
        <v>0</v>
      </c>
      <c r="AC428" s="52">
        <f t="shared" si="217"/>
        <v>0</v>
      </c>
      <c r="AD428" s="52">
        <f t="shared" si="217"/>
        <v>0</v>
      </c>
      <c r="AE428" s="52">
        <f t="shared" si="217"/>
        <v>0</v>
      </c>
      <c r="AF428" s="52">
        <f t="shared" si="217"/>
        <v>0</v>
      </c>
      <c r="AG428" s="52">
        <f t="shared" si="217"/>
        <v>0</v>
      </c>
      <c r="AH428" s="52">
        <f t="shared" si="217"/>
        <v>0</v>
      </c>
      <c r="AI428" s="52">
        <f t="shared" si="217"/>
        <v>0</v>
      </c>
      <c r="AJ428" s="52">
        <f t="shared" si="217"/>
        <v>0</v>
      </c>
      <c r="AK428" s="52">
        <f t="shared" si="217"/>
        <v>0</v>
      </c>
      <c r="AL428" s="52">
        <f t="shared" si="217"/>
        <v>0</v>
      </c>
      <c r="AM428" s="52">
        <f t="shared" si="217"/>
        <v>0</v>
      </c>
      <c r="AN428" s="52">
        <f t="shared" si="217"/>
        <v>0</v>
      </c>
      <c r="AO428" s="52">
        <f t="shared" si="217"/>
        <v>0</v>
      </c>
      <c r="AP428" s="52">
        <f t="shared" si="217"/>
        <v>0</v>
      </c>
    </row>
    <row r="429" spans="1:42" x14ac:dyDescent="0.2">
      <c r="A429" s="35">
        <f>A428+1</f>
        <v>9</v>
      </c>
      <c r="C429" s="52">
        <f t="shared" si="214"/>
        <v>0</v>
      </c>
      <c r="D429" s="52">
        <f t="shared" si="217"/>
        <v>0</v>
      </c>
      <c r="E429" s="52">
        <f t="shared" si="217"/>
        <v>0</v>
      </c>
      <c r="F429" s="52">
        <f t="shared" si="217"/>
        <v>0</v>
      </c>
      <c r="G429" s="52">
        <f t="shared" si="217"/>
        <v>0</v>
      </c>
      <c r="H429" s="52">
        <f t="shared" si="217"/>
        <v>0</v>
      </c>
      <c r="I429" s="52">
        <f t="shared" si="217"/>
        <v>0</v>
      </c>
      <c r="J429" s="52">
        <f t="shared" si="217"/>
        <v>0</v>
      </c>
      <c r="K429" s="52">
        <f t="shared" si="217"/>
        <v>0</v>
      </c>
      <c r="L429" s="52">
        <f t="shared" si="217"/>
        <v>0</v>
      </c>
      <c r="M429" s="52">
        <f t="shared" si="217"/>
        <v>0</v>
      </c>
      <c r="N429" s="52">
        <f t="shared" si="217"/>
        <v>0</v>
      </c>
      <c r="O429" s="52">
        <f t="shared" si="217"/>
        <v>0</v>
      </c>
      <c r="P429" s="52">
        <f t="shared" si="217"/>
        <v>0</v>
      </c>
      <c r="Q429" s="52">
        <f t="shared" si="217"/>
        <v>0</v>
      </c>
      <c r="R429" s="52">
        <f t="shared" si="217"/>
        <v>0</v>
      </c>
      <c r="S429" s="52">
        <f t="shared" si="217"/>
        <v>0</v>
      </c>
      <c r="T429" s="52">
        <f t="shared" si="217"/>
        <v>0</v>
      </c>
      <c r="U429" s="52">
        <f t="shared" si="217"/>
        <v>0</v>
      </c>
      <c r="V429" s="52">
        <f t="shared" si="217"/>
        <v>0</v>
      </c>
      <c r="W429" s="52">
        <f t="shared" si="217"/>
        <v>0</v>
      </c>
      <c r="X429" s="52">
        <f t="shared" si="217"/>
        <v>0</v>
      </c>
      <c r="Y429" s="52">
        <f t="shared" si="217"/>
        <v>0</v>
      </c>
      <c r="Z429" s="52">
        <f t="shared" si="217"/>
        <v>0</v>
      </c>
      <c r="AA429" s="52">
        <f t="shared" si="217"/>
        <v>0</v>
      </c>
      <c r="AB429" s="52">
        <f t="shared" si="217"/>
        <v>0</v>
      </c>
      <c r="AC429" s="52">
        <f t="shared" si="217"/>
        <v>0</v>
      </c>
      <c r="AD429" s="52">
        <f t="shared" si="217"/>
        <v>0</v>
      </c>
      <c r="AE429" s="52">
        <f t="shared" si="217"/>
        <v>0</v>
      </c>
      <c r="AF429" s="52">
        <f t="shared" si="217"/>
        <v>0</v>
      </c>
      <c r="AG429" s="52">
        <f t="shared" si="217"/>
        <v>0</v>
      </c>
      <c r="AH429" s="52">
        <f t="shared" si="217"/>
        <v>0</v>
      </c>
      <c r="AI429" s="52">
        <f t="shared" si="217"/>
        <v>0</v>
      </c>
      <c r="AJ429" s="52">
        <f t="shared" si="217"/>
        <v>0</v>
      </c>
      <c r="AK429" s="52">
        <f t="shared" si="217"/>
        <v>0</v>
      </c>
      <c r="AL429" s="52">
        <f t="shared" si="217"/>
        <v>0</v>
      </c>
      <c r="AM429" s="52">
        <f t="shared" si="217"/>
        <v>0</v>
      </c>
      <c r="AN429" s="52">
        <f t="shared" si="217"/>
        <v>0</v>
      </c>
      <c r="AO429" s="52">
        <f t="shared" si="217"/>
        <v>0</v>
      </c>
      <c r="AP429" s="52">
        <f t="shared" si="217"/>
        <v>0</v>
      </c>
    </row>
    <row r="430" spans="1:42" x14ac:dyDescent="0.2">
      <c r="A430" s="35">
        <f t="shared" ref="A430" si="218">A429+1</f>
        <v>10</v>
      </c>
      <c r="C430" s="52">
        <f t="shared" si="214"/>
        <v>0</v>
      </c>
      <c r="D430" s="52">
        <f t="shared" si="217"/>
        <v>0</v>
      </c>
      <c r="E430" s="52">
        <f t="shared" si="217"/>
        <v>0</v>
      </c>
      <c r="F430" s="52">
        <f t="shared" si="217"/>
        <v>0</v>
      </c>
      <c r="G430" s="52">
        <f t="shared" si="217"/>
        <v>0</v>
      </c>
      <c r="H430" s="52">
        <f t="shared" si="217"/>
        <v>0</v>
      </c>
      <c r="I430" s="52">
        <f t="shared" si="217"/>
        <v>0</v>
      </c>
      <c r="J430" s="52">
        <f t="shared" si="217"/>
        <v>0</v>
      </c>
      <c r="K430" s="52">
        <f t="shared" si="217"/>
        <v>0</v>
      </c>
      <c r="L430" s="52">
        <f t="shared" si="217"/>
        <v>0</v>
      </c>
      <c r="M430" s="52">
        <f t="shared" si="217"/>
        <v>0</v>
      </c>
      <c r="N430" s="52">
        <f t="shared" si="217"/>
        <v>0</v>
      </c>
      <c r="O430" s="52">
        <f t="shared" si="217"/>
        <v>0</v>
      </c>
      <c r="P430" s="52">
        <f t="shared" si="217"/>
        <v>0</v>
      </c>
      <c r="Q430" s="52">
        <f t="shared" si="217"/>
        <v>0</v>
      </c>
      <c r="R430" s="52">
        <f t="shared" si="217"/>
        <v>0</v>
      </c>
      <c r="S430" s="52">
        <f t="shared" si="217"/>
        <v>0</v>
      </c>
      <c r="T430" s="52">
        <f t="shared" si="217"/>
        <v>0</v>
      </c>
      <c r="U430" s="52">
        <f t="shared" si="217"/>
        <v>0</v>
      </c>
      <c r="V430" s="52">
        <f t="shared" si="217"/>
        <v>0</v>
      </c>
      <c r="W430" s="52">
        <f t="shared" si="217"/>
        <v>0</v>
      </c>
      <c r="X430" s="52">
        <f t="shared" si="217"/>
        <v>0</v>
      </c>
      <c r="Y430" s="52">
        <f t="shared" si="217"/>
        <v>0</v>
      </c>
      <c r="Z430" s="52">
        <f t="shared" si="217"/>
        <v>0</v>
      </c>
      <c r="AA430" s="52">
        <f t="shared" si="217"/>
        <v>0</v>
      </c>
      <c r="AB430" s="52">
        <f t="shared" si="217"/>
        <v>0</v>
      </c>
      <c r="AC430" s="52">
        <f t="shared" si="217"/>
        <v>0</v>
      </c>
      <c r="AD430" s="52">
        <f t="shared" si="217"/>
        <v>0</v>
      </c>
      <c r="AE430" s="52">
        <f t="shared" si="217"/>
        <v>0</v>
      </c>
      <c r="AF430" s="52">
        <f t="shared" si="217"/>
        <v>0</v>
      </c>
      <c r="AG430" s="52">
        <f t="shared" si="217"/>
        <v>0</v>
      </c>
      <c r="AH430" s="52">
        <f t="shared" si="217"/>
        <v>0</v>
      </c>
      <c r="AI430" s="52">
        <f t="shared" si="217"/>
        <v>0</v>
      </c>
      <c r="AJ430" s="52">
        <f t="shared" si="217"/>
        <v>0</v>
      </c>
      <c r="AK430" s="52">
        <f t="shared" si="217"/>
        <v>0</v>
      </c>
      <c r="AL430" s="52">
        <f t="shared" si="217"/>
        <v>0</v>
      </c>
      <c r="AM430" s="52">
        <f t="shared" si="217"/>
        <v>0</v>
      </c>
      <c r="AN430" s="52">
        <f t="shared" si="217"/>
        <v>0</v>
      </c>
      <c r="AO430" s="52">
        <f t="shared" si="217"/>
        <v>0</v>
      </c>
      <c r="AP430" s="52">
        <f t="shared" si="217"/>
        <v>0</v>
      </c>
    </row>
    <row r="431" spans="1:42" x14ac:dyDescent="0.2">
      <c r="A431" s="65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52"/>
      <c r="AE431" s="52"/>
      <c r="AF431" s="52"/>
      <c r="AG431" s="52"/>
      <c r="AH431" s="52"/>
      <c r="AI431" s="52"/>
      <c r="AJ431" s="52"/>
      <c r="AK431" s="52"/>
      <c r="AL431" s="52"/>
      <c r="AM431" s="52"/>
      <c r="AN431" s="52"/>
      <c r="AO431" s="52"/>
      <c r="AP431" s="52"/>
    </row>
    <row r="432" spans="1:42" x14ac:dyDescent="0.2">
      <c r="A432" s="65" t="s">
        <v>129</v>
      </c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52"/>
      <c r="AE432" s="52"/>
      <c r="AF432" s="52"/>
      <c r="AG432" s="52"/>
      <c r="AH432" s="52"/>
      <c r="AI432" s="52"/>
      <c r="AJ432" s="52"/>
      <c r="AK432" s="52"/>
      <c r="AL432" s="52"/>
      <c r="AM432" s="52"/>
      <c r="AN432" s="52"/>
      <c r="AO432" s="52"/>
      <c r="AP432" s="52"/>
    </row>
    <row r="433" spans="1:42" x14ac:dyDescent="0.2">
      <c r="A433" s="35">
        <v>1</v>
      </c>
      <c r="B433" s="58">
        <f t="shared" ref="B433:B442" si="219">SUM(C433:AP433)</f>
        <v>0</v>
      </c>
      <c r="C433" s="86">
        <f t="shared" ref="C433:AP433" si="220">LOOKUP(C421,$B$390:$AP$390,$B$391:$AP$391)*$B618</f>
        <v>0</v>
      </c>
      <c r="D433" s="52">
        <f t="shared" si="220"/>
        <v>0</v>
      </c>
      <c r="E433" s="52">
        <f t="shared" si="220"/>
        <v>0</v>
      </c>
      <c r="F433" s="52">
        <f t="shared" si="220"/>
        <v>0</v>
      </c>
      <c r="G433" s="52">
        <f t="shared" si="220"/>
        <v>0</v>
      </c>
      <c r="H433" s="52">
        <f t="shared" si="220"/>
        <v>0</v>
      </c>
      <c r="I433" s="52">
        <f t="shared" si="220"/>
        <v>0</v>
      </c>
      <c r="J433" s="52">
        <f t="shared" si="220"/>
        <v>0</v>
      </c>
      <c r="K433" s="52">
        <f t="shared" si="220"/>
        <v>0</v>
      </c>
      <c r="L433" s="52">
        <f t="shared" si="220"/>
        <v>0</v>
      </c>
      <c r="M433" s="52">
        <f t="shared" si="220"/>
        <v>0</v>
      </c>
      <c r="N433" s="52">
        <f t="shared" si="220"/>
        <v>0</v>
      </c>
      <c r="O433" s="52">
        <f t="shared" si="220"/>
        <v>0</v>
      </c>
      <c r="P433" s="52">
        <f t="shared" si="220"/>
        <v>0</v>
      </c>
      <c r="Q433" s="52">
        <f t="shared" si="220"/>
        <v>0</v>
      </c>
      <c r="R433" s="52">
        <f t="shared" si="220"/>
        <v>0</v>
      </c>
      <c r="S433" s="52">
        <f t="shared" si="220"/>
        <v>0</v>
      </c>
      <c r="T433" s="52">
        <f t="shared" si="220"/>
        <v>0</v>
      </c>
      <c r="U433" s="52">
        <f t="shared" si="220"/>
        <v>0</v>
      </c>
      <c r="V433" s="52">
        <f t="shared" si="220"/>
        <v>0</v>
      </c>
      <c r="W433" s="52">
        <f t="shared" si="220"/>
        <v>0</v>
      </c>
      <c r="X433" s="52">
        <f t="shared" si="220"/>
        <v>0</v>
      </c>
      <c r="Y433" s="52">
        <f t="shared" si="220"/>
        <v>0</v>
      </c>
      <c r="Z433" s="52">
        <f t="shared" si="220"/>
        <v>0</v>
      </c>
      <c r="AA433" s="52">
        <f t="shared" si="220"/>
        <v>0</v>
      </c>
      <c r="AB433" s="52">
        <f t="shared" si="220"/>
        <v>0</v>
      </c>
      <c r="AC433" s="52">
        <f t="shared" si="220"/>
        <v>0</v>
      </c>
      <c r="AD433" s="52">
        <f t="shared" si="220"/>
        <v>0</v>
      </c>
      <c r="AE433" s="52">
        <f t="shared" si="220"/>
        <v>0</v>
      </c>
      <c r="AF433" s="52">
        <f t="shared" si="220"/>
        <v>0</v>
      </c>
      <c r="AG433" s="52">
        <f t="shared" si="220"/>
        <v>0</v>
      </c>
      <c r="AH433" s="52">
        <f t="shared" si="220"/>
        <v>0</v>
      </c>
      <c r="AI433" s="52">
        <f t="shared" si="220"/>
        <v>0</v>
      </c>
      <c r="AJ433" s="52">
        <f t="shared" si="220"/>
        <v>0</v>
      </c>
      <c r="AK433" s="52">
        <f t="shared" si="220"/>
        <v>0</v>
      </c>
      <c r="AL433" s="52">
        <f t="shared" si="220"/>
        <v>0</v>
      </c>
      <c r="AM433" s="52">
        <f t="shared" si="220"/>
        <v>0</v>
      </c>
      <c r="AN433" s="52">
        <f t="shared" si="220"/>
        <v>0</v>
      </c>
      <c r="AO433" s="52">
        <f t="shared" si="220"/>
        <v>0</v>
      </c>
      <c r="AP433" s="52">
        <f t="shared" si="220"/>
        <v>0</v>
      </c>
    </row>
    <row r="434" spans="1:42" x14ac:dyDescent="0.2">
      <c r="A434" s="35">
        <f>A433+1</f>
        <v>2</v>
      </c>
      <c r="B434" s="58">
        <f t="shared" si="219"/>
        <v>0</v>
      </c>
      <c r="C434" s="86">
        <f t="shared" ref="C434:AP434" si="221">LOOKUP(C422,$B$390:$AP$390,$B$391:$AP$391)*$B619</f>
        <v>0</v>
      </c>
      <c r="D434" s="52">
        <f t="shared" si="221"/>
        <v>0</v>
      </c>
      <c r="E434" s="52">
        <f t="shared" si="221"/>
        <v>0</v>
      </c>
      <c r="F434" s="52">
        <f t="shared" si="221"/>
        <v>0</v>
      </c>
      <c r="G434" s="52">
        <f t="shared" si="221"/>
        <v>0</v>
      </c>
      <c r="H434" s="52">
        <f t="shared" si="221"/>
        <v>0</v>
      </c>
      <c r="I434" s="52">
        <f t="shared" si="221"/>
        <v>0</v>
      </c>
      <c r="J434" s="52">
        <f t="shared" si="221"/>
        <v>0</v>
      </c>
      <c r="K434" s="52">
        <f t="shared" si="221"/>
        <v>0</v>
      </c>
      <c r="L434" s="52">
        <f t="shared" si="221"/>
        <v>0</v>
      </c>
      <c r="M434" s="52">
        <f t="shared" si="221"/>
        <v>0</v>
      </c>
      <c r="N434" s="52">
        <f t="shared" si="221"/>
        <v>0</v>
      </c>
      <c r="O434" s="52">
        <f t="shared" si="221"/>
        <v>0</v>
      </c>
      <c r="P434" s="52">
        <f t="shared" si="221"/>
        <v>0</v>
      </c>
      <c r="Q434" s="52">
        <f t="shared" si="221"/>
        <v>0</v>
      </c>
      <c r="R434" s="52">
        <f t="shared" si="221"/>
        <v>0</v>
      </c>
      <c r="S434" s="52">
        <f t="shared" si="221"/>
        <v>0</v>
      </c>
      <c r="T434" s="52">
        <f t="shared" si="221"/>
        <v>0</v>
      </c>
      <c r="U434" s="52">
        <f t="shared" si="221"/>
        <v>0</v>
      </c>
      <c r="V434" s="52">
        <f t="shared" si="221"/>
        <v>0</v>
      </c>
      <c r="W434" s="52">
        <f t="shared" si="221"/>
        <v>0</v>
      </c>
      <c r="X434" s="52">
        <f t="shared" si="221"/>
        <v>0</v>
      </c>
      <c r="Y434" s="52">
        <f t="shared" si="221"/>
        <v>0</v>
      </c>
      <c r="Z434" s="52">
        <f t="shared" si="221"/>
        <v>0</v>
      </c>
      <c r="AA434" s="52">
        <f t="shared" si="221"/>
        <v>0</v>
      </c>
      <c r="AB434" s="52">
        <f t="shared" si="221"/>
        <v>0</v>
      </c>
      <c r="AC434" s="52">
        <f t="shared" si="221"/>
        <v>0</v>
      </c>
      <c r="AD434" s="52">
        <f t="shared" si="221"/>
        <v>0</v>
      </c>
      <c r="AE434" s="52">
        <f t="shared" si="221"/>
        <v>0</v>
      </c>
      <c r="AF434" s="52">
        <f t="shared" si="221"/>
        <v>0</v>
      </c>
      <c r="AG434" s="52">
        <f t="shared" si="221"/>
        <v>0</v>
      </c>
      <c r="AH434" s="52">
        <f t="shared" si="221"/>
        <v>0</v>
      </c>
      <c r="AI434" s="52">
        <f t="shared" si="221"/>
        <v>0</v>
      </c>
      <c r="AJ434" s="52">
        <f t="shared" si="221"/>
        <v>0</v>
      </c>
      <c r="AK434" s="52">
        <f t="shared" si="221"/>
        <v>0</v>
      </c>
      <c r="AL434" s="52">
        <f t="shared" si="221"/>
        <v>0</v>
      </c>
      <c r="AM434" s="52">
        <f t="shared" si="221"/>
        <v>0</v>
      </c>
      <c r="AN434" s="52">
        <f t="shared" si="221"/>
        <v>0</v>
      </c>
      <c r="AO434" s="52">
        <f t="shared" si="221"/>
        <v>0</v>
      </c>
      <c r="AP434" s="52">
        <f t="shared" si="221"/>
        <v>0</v>
      </c>
    </row>
    <row r="435" spans="1:42" x14ac:dyDescent="0.2">
      <c r="A435" s="35">
        <f t="shared" ref="A435:A440" si="222">A434+1</f>
        <v>3</v>
      </c>
      <c r="B435" s="58">
        <f t="shared" si="219"/>
        <v>0</v>
      </c>
      <c r="C435" s="86">
        <f t="shared" ref="C435:AP435" si="223">LOOKUP(C423,$B$390:$AP$390,$B$391:$AP$391)*$B620</f>
        <v>0</v>
      </c>
      <c r="D435" s="52">
        <f t="shared" si="223"/>
        <v>0</v>
      </c>
      <c r="E435" s="52">
        <f t="shared" si="223"/>
        <v>0</v>
      </c>
      <c r="F435" s="52">
        <f t="shared" si="223"/>
        <v>0</v>
      </c>
      <c r="G435" s="52">
        <f t="shared" si="223"/>
        <v>0</v>
      </c>
      <c r="H435" s="52">
        <f t="shared" si="223"/>
        <v>0</v>
      </c>
      <c r="I435" s="52">
        <f t="shared" si="223"/>
        <v>0</v>
      </c>
      <c r="J435" s="52">
        <f t="shared" si="223"/>
        <v>0</v>
      </c>
      <c r="K435" s="52">
        <f t="shared" si="223"/>
        <v>0</v>
      </c>
      <c r="L435" s="52">
        <f t="shared" si="223"/>
        <v>0</v>
      </c>
      <c r="M435" s="52">
        <f t="shared" si="223"/>
        <v>0</v>
      </c>
      <c r="N435" s="52">
        <f t="shared" si="223"/>
        <v>0</v>
      </c>
      <c r="O435" s="52">
        <f t="shared" si="223"/>
        <v>0</v>
      </c>
      <c r="P435" s="52">
        <f t="shared" si="223"/>
        <v>0</v>
      </c>
      <c r="Q435" s="52">
        <f t="shared" si="223"/>
        <v>0</v>
      </c>
      <c r="R435" s="52">
        <f t="shared" si="223"/>
        <v>0</v>
      </c>
      <c r="S435" s="52">
        <f t="shared" si="223"/>
        <v>0</v>
      </c>
      <c r="T435" s="52">
        <f t="shared" si="223"/>
        <v>0</v>
      </c>
      <c r="U435" s="52">
        <f t="shared" si="223"/>
        <v>0</v>
      </c>
      <c r="V435" s="52">
        <f t="shared" si="223"/>
        <v>0</v>
      </c>
      <c r="W435" s="52">
        <f t="shared" si="223"/>
        <v>0</v>
      </c>
      <c r="X435" s="52">
        <f t="shared" si="223"/>
        <v>0</v>
      </c>
      <c r="Y435" s="52">
        <f t="shared" si="223"/>
        <v>0</v>
      </c>
      <c r="Z435" s="52">
        <f t="shared" si="223"/>
        <v>0</v>
      </c>
      <c r="AA435" s="52">
        <f t="shared" si="223"/>
        <v>0</v>
      </c>
      <c r="AB435" s="52">
        <f t="shared" si="223"/>
        <v>0</v>
      </c>
      <c r="AC435" s="52">
        <f t="shared" si="223"/>
        <v>0</v>
      </c>
      <c r="AD435" s="52">
        <f t="shared" si="223"/>
        <v>0</v>
      </c>
      <c r="AE435" s="52">
        <f t="shared" si="223"/>
        <v>0</v>
      </c>
      <c r="AF435" s="52">
        <f t="shared" si="223"/>
        <v>0</v>
      </c>
      <c r="AG435" s="52">
        <f t="shared" si="223"/>
        <v>0</v>
      </c>
      <c r="AH435" s="52">
        <f t="shared" si="223"/>
        <v>0</v>
      </c>
      <c r="AI435" s="52">
        <f t="shared" si="223"/>
        <v>0</v>
      </c>
      <c r="AJ435" s="52">
        <f t="shared" si="223"/>
        <v>0</v>
      </c>
      <c r="AK435" s="52">
        <f t="shared" si="223"/>
        <v>0</v>
      </c>
      <c r="AL435" s="52">
        <f t="shared" si="223"/>
        <v>0</v>
      </c>
      <c r="AM435" s="52">
        <f t="shared" si="223"/>
        <v>0</v>
      </c>
      <c r="AN435" s="52">
        <f t="shared" si="223"/>
        <v>0</v>
      </c>
      <c r="AO435" s="52">
        <f t="shared" si="223"/>
        <v>0</v>
      </c>
      <c r="AP435" s="52">
        <f t="shared" si="223"/>
        <v>0</v>
      </c>
    </row>
    <row r="436" spans="1:42" x14ac:dyDescent="0.2">
      <c r="A436" s="35">
        <f t="shared" si="222"/>
        <v>4</v>
      </c>
      <c r="B436" s="58">
        <f t="shared" si="219"/>
        <v>0</v>
      </c>
      <c r="C436" s="86">
        <f t="shared" ref="C436:AP436" si="224">LOOKUP(C424,$B$390:$AP$390,$B$391:$AP$391)*$B621</f>
        <v>0</v>
      </c>
      <c r="D436" s="52">
        <f t="shared" si="224"/>
        <v>0</v>
      </c>
      <c r="E436" s="52">
        <f t="shared" si="224"/>
        <v>0</v>
      </c>
      <c r="F436" s="52">
        <f t="shared" si="224"/>
        <v>0</v>
      </c>
      <c r="G436" s="52">
        <f t="shared" si="224"/>
        <v>0</v>
      </c>
      <c r="H436" s="52">
        <f t="shared" si="224"/>
        <v>0</v>
      </c>
      <c r="I436" s="52">
        <f t="shared" si="224"/>
        <v>0</v>
      </c>
      <c r="J436" s="52">
        <f t="shared" si="224"/>
        <v>0</v>
      </c>
      <c r="K436" s="52">
        <f t="shared" si="224"/>
        <v>0</v>
      </c>
      <c r="L436" s="52">
        <f t="shared" si="224"/>
        <v>0</v>
      </c>
      <c r="M436" s="52">
        <f t="shared" si="224"/>
        <v>0</v>
      </c>
      <c r="N436" s="52">
        <f t="shared" si="224"/>
        <v>0</v>
      </c>
      <c r="O436" s="52">
        <f t="shared" si="224"/>
        <v>0</v>
      </c>
      <c r="P436" s="52">
        <f t="shared" si="224"/>
        <v>0</v>
      </c>
      <c r="Q436" s="52">
        <f t="shared" si="224"/>
        <v>0</v>
      </c>
      <c r="R436" s="52">
        <f t="shared" si="224"/>
        <v>0</v>
      </c>
      <c r="S436" s="52">
        <f t="shared" si="224"/>
        <v>0</v>
      </c>
      <c r="T436" s="52">
        <f t="shared" si="224"/>
        <v>0</v>
      </c>
      <c r="U436" s="52">
        <f t="shared" si="224"/>
        <v>0</v>
      </c>
      <c r="V436" s="52">
        <f t="shared" si="224"/>
        <v>0</v>
      </c>
      <c r="W436" s="52">
        <f t="shared" si="224"/>
        <v>0</v>
      </c>
      <c r="X436" s="52">
        <f t="shared" si="224"/>
        <v>0</v>
      </c>
      <c r="Y436" s="52">
        <f t="shared" si="224"/>
        <v>0</v>
      </c>
      <c r="Z436" s="52">
        <f t="shared" si="224"/>
        <v>0</v>
      </c>
      <c r="AA436" s="52">
        <f t="shared" si="224"/>
        <v>0</v>
      </c>
      <c r="AB436" s="52">
        <f t="shared" si="224"/>
        <v>0</v>
      </c>
      <c r="AC436" s="52">
        <f t="shared" si="224"/>
        <v>0</v>
      </c>
      <c r="AD436" s="52">
        <f t="shared" si="224"/>
        <v>0</v>
      </c>
      <c r="AE436" s="52">
        <f t="shared" si="224"/>
        <v>0</v>
      </c>
      <c r="AF436" s="52">
        <f t="shared" si="224"/>
        <v>0</v>
      </c>
      <c r="AG436" s="52">
        <f t="shared" si="224"/>
        <v>0</v>
      </c>
      <c r="AH436" s="52">
        <f t="shared" si="224"/>
        <v>0</v>
      </c>
      <c r="AI436" s="52">
        <f t="shared" si="224"/>
        <v>0</v>
      </c>
      <c r="AJ436" s="52">
        <f t="shared" si="224"/>
        <v>0</v>
      </c>
      <c r="AK436" s="52">
        <f t="shared" si="224"/>
        <v>0</v>
      </c>
      <c r="AL436" s="52">
        <f t="shared" si="224"/>
        <v>0</v>
      </c>
      <c r="AM436" s="52">
        <f t="shared" si="224"/>
        <v>0</v>
      </c>
      <c r="AN436" s="52">
        <f t="shared" si="224"/>
        <v>0</v>
      </c>
      <c r="AO436" s="52">
        <f t="shared" si="224"/>
        <v>0</v>
      </c>
      <c r="AP436" s="52">
        <f t="shared" si="224"/>
        <v>0</v>
      </c>
    </row>
    <row r="437" spans="1:42" x14ac:dyDescent="0.2">
      <c r="A437" s="35">
        <f t="shared" si="222"/>
        <v>5</v>
      </c>
      <c r="B437" s="58">
        <f t="shared" si="219"/>
        <v>0</v>
      </c>
      <c r="C437" s="86">
        <f t="shared" ref="C437:AP437" si="225">LOOKUP(C425,$B$390:$AP$390,$B$391:$AP$391)*$B622</f>
        <v>0</v>
      </c>
      <c r="D437" s="52">
        <f t="shared" si="225"/>
        <v>0</v>
      </c>
      <c r="E437" s="52">
        <f t="shared" si="225"/>
        <v>0</v>
      </c>
      <c r="F437" s="52">
        <f t="shared" si="225"/>
        <v>0</v>
      </c>
      <c r="G437" s="52">
        <f t="shared" si="225"/>
        <v>0</v>
      </c>
      <c r="H437" s="52">
        <f t="shared" si="225"/>
        <v>0</v>
      </c>
      <c r="I437" s="52">
        <f t="shared" si="225"/>
        <v>0</v>
      </c>
      <c r="J437" s="52">
        <f t="shared" si="225"/>
        <v>0</v>
      </c>
      <c r="K437" s="52">
        <f t="shared" si="225"/>
        <v>0</v>
      </c>
      <c r="L437" s="52">
        <f t="shared" si="225"/>
        <v>0</v>
      </c>
      <c r="M437" s="52">
        <f t="shared" si="225"/>
        <v>0</v>
      </c>
      <c r="N437" s="52">
        <f t="shared" si="225"/>
        <v>0</v>
      </c>
      <c r="O437" s="52">
        <f t="shared" si="225"/>
        <v>0</v>
      </c>
      <c r="P437" s="52">
        <f t="shared" si="225"/>
        <v>0</v>
      </c>
      <c r="Q437" s="52">
        <f t="shared" si="225"/>
        <v>0</v>
      </c>
      <c r="R437" s="52">
        <f t="shared" si="225"/>
        <v>0</v>
      </c>
      <c r="S437" s="52">
        <f t="shared" si="225"/>
        <v>0</v>
      </c>
      <c r="T437" s="52">
        <f t="shared" si="225"/>
        <v>0</v>
      </c>
      <c r="U437" s="52">
        <f t="shared" si="225"/>
        <v>0</v>
      </c>
      <c r="V437" s="52">
        <f t="shared" si="225"/>
        <v>0</v>
      </c>
      <c r="W437" s="52">
        <f t="shared" si="225"/>
        <v>0</v>
      </c>
      <c r="X437" s="52">
        <f t="shared" si="225"/>
        <v>0</v>
      </c>
      <c r="Y437" s="52">
        <f t="shared" si="225"/>
        <v>0</v>
      </c>
      <c r="Z437" s="52">
        <f t="shared" si="225"/>
        <v>0</v>
      </c>
      <c r="AA437" s="52">
        <f t="shared" si="225"/>
        <v>0</v>
      </c>
      <c r="AB437" s="52">
        <f t="shared" si="225"/>
        <v>0</v>
      </c>
      <c r="AC437" s="52">
        <f t="shared" si="225"/>
        <v>0</v>
      </c>
      <c r="AD437" s="52">
        <f t="shared" si="225"/>
        <v>0</v>
      </c>
      <c r="AE437" s="52">
        <f t="shared" si="225"/>
        <v>0</v>
      </c>
      <c r="AF437" s="52">
        <f t="shared" si="225"/>
        <v>0</v>
      </c>
      <c r="AG437" s="52">
        <f t="shared" si="225"/>
        <v>0</v>
      </c>
      <c r="AH437" s="52">
        <f t="shared" si="225"/>
        <v>0</v>
      </c>
      <c r="AI437" s="52">
        <f t="shared" si="225"/>
        <v>0</v>
      </c>
      <c r="AJ437" s="52">
        <f t="shared" si="225"/>
        <v>0</v>
      </c>
      <c r="AK437" s="52">
        <f t="shared" si="225"/>
        <v>0</v>
      </c>
      <c r="AL437" s="52">
        <f t="shared" si="225"/>
        <v>0</v>
      </c>
      <c r="AM437" s="52">
        <f t="shared" si="225"/>
        <v>0</v>
      </c>
      <c r="AN437" s="52">
        <f t="shared" si="225"/>
        <v>0</v>
      </c>
      <c r="AO437" s="52">
        <f t="shared" si="225"/>
        <v>0</v>
      </c>
      <c r="AP437" s="52">
        <f t="shared" si="225"/>
        <v>0</v>
      </c>
    </row>
    <row r="438" spans="1:42" x14ac:dyDescent="0.2">
      <c r="A438" s="35">
        <f t="shared" si="222"/>
        <v>6</v>
      </c>
      <c r="B438" s="58">
        <f t="shared" si="219"/>
        <v>0</v>
      </c>
      <c r="C438" s="86">
        <f t="shared" ref="C438:AP438" si="226">LOOKUP(C426,$B$390:$AP$390,$B$391:$AP$391)*$B623</f>
        <v>0</v>
      </c>
      <c r="D438" s="52">
        <f t="shared" si="226"/>
        <v>0</v>
      </c>
      <c r="E438" s="52">
        <f t="shared" si="226"/>
        <v>0</v>
      </c>
      <c r="F438" s="52">
        <f t="shared" si="226"/>
        <v>0</v>
      </c>
      <c r="G438" s="52">
        <f t="shared" si="226"/>
        <v>0</v>
      </c>
      <c r="H438" s="52">
        <f t="shared" si="226"/>
        <v>0</v>
      </c>
      <c r="I438" s="52">
        <f t="shared" si="226"/>
        <v>0</v>
      </c>
      <c r="J438" s="52">
        <f t="shared" si="226"/>
        <v>0</v>
      </c>
      <c r="K438" s="52">
        <f t="shared" si="226"/>
        <v>0</v>
      </c>
      <c r="L438" s="52">
        <f t="shared" si="226"/>
        <v>0</v>
      </c>
      <c r="M438" s="52">
        <f t="shared" si="226"/>
        <v>0</v>
      </c>
      <c r="N438" s="52">
        <f t="shared" si="226"/>
        <v>0</v>
      </c>
      <c r="O438" s="52">
        <f t="shared" si="226"/>
        <v>0</v>
      </c>
      <c r="P438" s="52">
        <f t="shared" si="226"/>
        <v>0</v>
      </c>
      <c r="Q438" s="52">
        <f t="shared" si="226"/>
        <v>0</v>
      </c>
      <c r="R438" s="52">
        <f t="shared" si="226"/>
        <v>0</v>
      </c>
      <c r="S438" s="52">
        <f t="shared" si="226"/>
        <v>0</v>
      </c>
      <c r="T438" s="52">
        <f t="shared" si="226"/>
        <v>0</v>
      </c>
      <c r="U438" s="52">
        <f t="shared" si="226"/>
        <v>0</v>
      </c>
      <c r="V438" s="52">
        <f t="shared" si="226"/>
        <v>0</v>
      </c>
      <c r="W438" s="52">
        <f t="shared" si="226"/>
        <v>0</v>
      </c>
      <c r="X438" s="52">
        <f t="shared" si="226"/>
        <v>0</v>
      </c>
      <c r="Y438" s="52">
        <f t="shared" si="226"/>
        <v>0</v>
      </c>
      <c r="Z438" s="52">
        <f t="shared" si="226"/>
        <v>0</v>
      </c>
      <c r="AA438" s="52">
        <f t="shared" si="226"/>
        <v>0</v>
      </c>
      <c r="AB438" s="52">
        <f t="shared" si="226"/>
        <v>0</v>
      </c>
      <c r="AC438" s="52">
        <f t="shared" si="226"/>
        <v>0</v>
      </c>
      <c r="AD438" s="52">
        <f t="shared" si="226"/>
        <v>0</v>
      </c>
      <c r="AE438" s="52">
        <f t="shared" si="226"/>
        <v>0</v>
      </c>
      <c r="AF438" s="52">
        <f t="shared" si="226"/>
        <v>0</v>
      </c>
      <c r="AG438" s="52">
        <f t="shared" si="226"/>
        <v>0</v>
      </c>
      <c r="AH438" s="52">
        <f t="shared" si="226"/>
        <v>0</v>
      </c>
      <c r="AI438" s="52">
        <f t="shared" si="226"/>
        <v>0</v>
      </c>
      <c r="AJ438" s="52">
        <f t="shared" si="226"/>
        <v>0</v>
      </c>
      <c r="AK438" s="52">
        <f t="shared" si="226"/>
        <v>0</v>
      </c>
      <c r="AL438" s="52">
        <f t="shared" si="226"/>
        <v>0</v>
      </c>
      <c r="AM438" s="52">
        <f t="shared" si="226"/>
        <v>0</v>
      </c>
      <c r="AN438" s="52">
        <f t="shared" si="226"/>
        <v>0</v>
      </c>
      <c r="AO438" s="52">
        <f t="shared" si="226"/>
        <v>0</v>
      </c>
      <c r="AP438" s="52">
        <f t="shared" si="226"/>
        <v>0</v>
      </c>
    </row>
    <row r="439" spans="1:42" x14ac:dyDescent="0.2">
      <c r="A439" s="35">
        <f t="shared" si="222"/>
        <v>7</v>
      </c>
      <c r="B439" s="58">
        <f t="shared" si="219"/>
        <v>0</v>
      </c>
      <c r="C439" s="86">
        <f t="shared" ref="C439:AP439" si="227">LOOKUP(C427,$B$390:$AP$390,$B$391:$AP$391)*$B624</f>
        <v>0</v>
      </c>
      <c r="D439" s="52">
        <f t="shared" si="227"/>
        <v>0</v>
      </c>
      <c r="E439" s="52">
        <f t="shared" si="227"/>
        <v>0</v>
      </c>
      <c r="F439" s="52">
        <f t="shared" si="227"/>
        <v>0</v>
      </c>
      <c r="G439" s="52">
        <f t="shared" si="227"/>
        <v>0</v>
      </c>
      <c r="H439" s="52">
        <f t="shared" si="227"/>
        <v>0</v>
      </c>
      <c r="I439" s="52">
        <f t="shared" si="227"/>
        <v>0</v>
      </c>
      <c r="J439" s="52">
        <f t="shared" si="227"/>
        <v>0</v>
      </c>
      <c r="K439" s="52">
        <f t="shared" si="227"/>
        <v>0</v>
      </c>
      <c r="L439" s="52">
        <f t="shared" si="227"/>
        <v>0</v>
      </c>
      <c r="M439" s="52">
        <f t="shared" si="227"/>
        <v>0</v>
      </c>
      <c r="N439" s="52">
        <f t="shared" si="227"/>
        <v>0</v>
      </c>
      <c r="O439" s="52">
        <f t="shared" si="227"/>
        <v>0</v>
      </c>
      <c r="P439" s="52">
        <f t="shared" si="227"/>
        <v>0</v>
      </c>
      <c r="Q439" s="52">
        <f t="shared" si="227"/>
        <v>0</v>
      </c>
      <c r="R439" s="52">
        <f t="shared" si="227"/>
        <v>0</v>
      </c>
      <c r="S439" s="52">
        <f t="shared" si="227"/>
        <v>0</v>
      </c>
      <c r="T439" s="52">
        <f t="shared" si="227"/>
        <v>0</v>
      </c>
      <c r="U439" s="52">
        <f t="shared" si="227"/>
        <v>0</v>
      </c>
      <c r="V439" s="52">
        <f t="shared" si="227"/>
        <v>0</v>
      </c>
      <c r="W439" s="52">
        <f t="shared" si="227"/>
        <v>0</v>
      </c>
      <c r="X439" s="52">
        <f t="shared" si="227"/>
        <v>0</v>
      </c>
      <c r="Y439" s="52">
        <f t="shared" si="227"/>
        <v>0</v>
      </c>
      <c r="Z439" s="52">
        <f t="shared" si="227"/>
        <v>0</v>
      </c>
      <c r="AA439" s="52">
        <f t="shared" si="227"/>
        <v>0</v>
      </c>
      <c r="AB439" s="52">
        <f t="shared" si="227"/>
        <v>0</v>
      </c>
      <c r="AC439" s="52">
        <f t="shared" si="227"/>
        <v>0</v>
      </c>
      <c r="AD439" s="52">
        <f t="shared" si="227"/>
        <v>0</v>
      </c>
      <c r="AE439" s="52">
        <f t="shared" si="227"/>
        <v>0</v>
      </c>
      <c r="AF439" s="52">
        <f t="shared" si="227"/>
        <v>0</v>
      </c>
      <c r="AG439" s="52">
        <f t="shared" si="227"/>
        <v>0</v>
      </c>
      <c r="AH439" s="52">
        <f t="shared" si="227"/>
        <v>0</v>
      </c>
      <c r="AI439" s="52">
        <f t="shared" si="227"/>
        <v>0</v>
      </c>
      <c r="AJ439" s="52">
        <f t="shared" si="227"/>
        <v>0</v>
      </c>
      <c r="AK439" s="52">
        <f t="shared" si="227"/>
        <v>0</v>
      </c>
      <c r="AL439" s="52">
        <f t="shared" si="227"/>
        <v>0</v>
      </c>
      <c r="AM439" s="52">
        <f t="shared" si="227"/>
        <v>0</v>
      </c>
      <c r="AN439" s="52">
        <f t="shared" si="227"/>
        <v>0</v>
      </c>
      <c r="AO439" s="52">
        <f t="shared" si="227"/>
        <v>0</v>
      </c>
      <c r="AP439" s="52">
        <f t="shared" si="227"/>
        <v>0</v>
      </c>
    </row>
    <row r="440" spans="1:42" x14ac:dyDescent="0.2">
      <c r="A440" s="35">
        <f t="shared" si="222"/>
        <v>8</v>
      </c>
      <c r="B440" s="58">
        <f t="shared" si="219"/>
        <v>0</v>
      </c>
      <c r="C440" s="86">
        <f t="shared" ref="C440:AP440" si="228">LOOKUP(C428,$B$390:$AP$390,$B$391:$AP$391)*$B625</f>
        <v>0</v>
      </c>
      <c r="D440" s="52">
        <f t="shared" si="228"/>
        <v>0</v>
      </c>
      <c r="E440" s="52">
        <f t="shared" si="228"/>
        <v>0</v>
      </c>
      <c r="F440" s="52">
        <f t="shared" si="228"/>
        <v>0</v>
      </c>
      <c r="G440" s="52">
        <f t="shared" si="228"/>
        <v>0</v>
      </c>
      <c r="H440" s="52">
        <f t="shared" si="228"/>
        <v>0</v>
      </c>
      <c r="I440" s="52">
        <f t="shared" si="228"/>
        <v>0</v>
      </c>
      <c r="J440" s="52">
        <f t="shared" si="228"/>
        <v>0</v>
      </c>
      <c r="K440" s="52">
        <f t="shared" si="228"/>
        <v>0</v>
      </c>
      <c r="L440" s="52">
        <f t="shared" si="228"/>
        <v>0</v>
      </c>
      <c r="M440" s="52">
        <f t="shared" si="228"/>
        <v>0</v>
      </c>
      <c r="N440" s="52">
        <f t="shared" si="228"/>
        <v>0</v>
      </c>
      <c r="O440" s="52">
        <f t="shared" si="228"/>
        <v>0</v>
      </c>
      <c r="P440" s="52">
        <f t="shared" si="228"/>
        <v>0</v>
      </c>
      <c r="Q440" s="52">
        <f t="shared" si="228"/>
        <v>0</v>
      </c>
      <c r="R440" s="52">
        <f t="shared" si="228"/>
        <v>0</v>
      </c>
      <c r="S440" s="52">
        <f t="shared" si="228"/>
        <v>0</v>
      </c>
      <c r="T440" s="52">
        <f t="shared" si="228"/>
        <v>0</v>
      </c>
      <c r="U440" s="52">
        <f t="shared" si="228"/>
        <v>0</v>
      </c>
      <c r="V440" s="52">
        <f t="shared" si="228"/>
        <v>0</v>
      </c>
      <c r="W440" s="52">
        <f t="shared" si="228"/>
        <v>0</v>
      </c>
      <c r="X440" s="52">
        <f t="shared" si="228"/>
        <v>0</v>
      </c>
      <c r="Y440" s="52">
        <f t="shared" si="228"/>
        <v>0</v>
      </c>
      <c r="Z440" s="52">
        <f t="shared" si="228"/>
        <v>0</v>
      </c>
      <c r="AA440" s="52">
        <f t="shared" si="228"/>
        <v>0</v>
      </c>
      <c r="AB440" s="52">
        <f t="shared" si="228"/>
        <v>0</v>
      </c>
      <c r="AC440" s="52">
        <f t="shared" si="228"/>
        <v>0</v>
      </c>
      <c r="AD440" s="52">
        <f t="shared" si="228"/>
        <v>0</v>
      </c>
      <c r="AE440" s="52">
        <f t="shared" si="228"/>
        <v>0</v>
      </c>
      <c r="AF440" s="52">
        <f t="shared" si="228"/>
        <v>0</v>
      </c>
      <c r="AG440" s="52">
        <f t="shared" si="228"/>
        <v>0</v>
      </c>
      <c r="AH440" s="52">
        <f t="shared" si="228"/>
        <v>0</v>
      </c>
      <c r="AI440" s="52">
        <f t="shared" si="228"/>
        <v>0</v>
      </c>
      <c r="AJ440" s="52">
        <f t="shared" si="228"/>
        <v>0</v>
      </c>
      <c r="AK440" s="52">
        <f t="shared" si="228"/>
        <v>0</v>
      </c>
      <c r="AL440" s="52">
        <f t="shared" si="228"/>
        <v>0</v>
      </c>
      <c r="AM440" s="52">
        <f t="shared" si="228"/>
        <v>0</v>
      </c>
      <c r="AN440" s="52">
        <f t="shared" si="228"/>
        <v>0</v>
      </c>
      <c r="AO440" s="52">
        <f t="shared" si="228"/>
        <v>0</v>
      </c>
      <c r="AP440" s="52">
        <f t="shared" si="228"/>
        <v>0</v>
      </c>
    </row>
    <row r="441" spans="1:42" x14ac:dyDescent="0.2">
      <c r="A441" s="35">
        <f>A440+1</f>
        <v>9</v>
      </c>
      <c r="B441" s="58">
        <f t="shared" si="219"/>
        <v>0</v>
      </c>
      <c r="C441" s="86">
        <f t="shared" ref="C441:AP441" si="229">LOOKUP(C429,$B$390:$AP$390,$B$391:$AP$391)*$B626</f>
        <v>0</v>
      </c>
      <c r="D441" s="52">
        <f t="shared" si="229"/>
        <v>0</v>
      </c>
      <c r="E441" s="52">
        <f t="shared" si="229"/>
        <v>0</v>
      </c>
      <c r="F441" s="52">
        <f t="shared" si="229"/>
        <v>0</v>
      </c>
      <c r="G441" s="52">
        <f t="shared" si="229"/>
        <v>0</v>
      </c>
      <c r="H441" s="52">
        <f t="shared" si="229"/>
        <v>0</v>
      </c>
      <c r="I441" s="52">
        <f t="shared" si="229"/>
        <v>0</v>
      </c>
      <c r="J441" s="52">
        <f t="shared" si="229"/>
        <v>0</v>
      </c>
      <c r="K441" s="52">
        <f t="shared" si="229"/>
        <v>0</v>
      </c>
      <c r="L441" s="52">
        <f t="shared" si="229"/>
        <v>0</v>
      </c>
      <c r="M441" s="52">
        <f t="shared" si="229"/>
        <v>0</v>
      </c>
      <c r="N441" s="52">
        <f t="shared" si="229"/>
        <v>0</v>
      </c>
      <c r="O441" s="52">
        <f t="shared" si="229"/>
        <v>0</v>
      </c>
      <c r="P441" s="52">
        <f t="shared" si="229"/>
        <v>0</v>
      </c>
      <c r="Q441" s="52">
        <f t="shared" si="229"/>
        <v>0</v>
      </c>
      <c r="R441" s="52">
        <f t="shared" si="229"/>
        <v>0</v>
      </c>
      <c r="S441" s="52">
        <f t="shared" si="229"/>
        <v>0</v>
      </c>
      <c r="T441" s="52">
        <f t="shared" si="229"/>
        <v>0</v>
      </c>
      <c r="U441" s="52">
        <f t="shared" si="229"/>
        <v>0</v>
      </c>
      <c r="V441" s="52">
        <f t="shared" si="229"/>
        <v>0</v>
      </c>
      <c r="W441" s="52">
        <f t="shared" si="229"/>
        <v>0</v>
      </c>
      <c r="X441" s="52">
        <f t="shared" si="229"/>
        <v>0</v>
      </c>
      <c r="Y441" s="52">
        <f t="shared" si="229"/>
        <v>0</v>
      </c>
      <c r="Z441" s="52">
        <f t="shared" si="229"/>
        <v>0</v>
      </c>
      <c r="AA441" s="52">
        <f t="shared" si="229"/>
        <v>0</v>
      </c>
      <c r="AB441" s="52">
        <f t="shared" si="229"/>
        <v>0</v>
      </c>
      <c r="AC441" s="52">
        <f t="shared" si="229"/>
        <v>0</v>
      </c>
      <c r="AD441" s="52">
        <f t="shared" si="229"/>
        <v>0</v>
      </c>
      <c r="AE441" s="52">
        <f t="shared" si="229"/>
        <v>0</v>
      </c>
      <c r="AF441" s="52">
        <f t="shared" si="229"/>
        <v>0</v>
      </c>
      <c r="AG441" s="52">
        <f t="shared" si="229"/>
        <v>0</v>
      </c>
      <c r="AH441" s="52">
        <f t="shared" si="229"/>
        <v>0</v>
      </c>
      <c r="AI441" s="52">
        <f t="shared" si="229"/>
        <v>0</v>
      </c>
      <c r="AJ441" s="52">
        <f t="shared" si="229"/>
        <v>0</v>
      </c>
      <c r="AK441" s="52">
        <f t="shared" si="229"/>
        <v>0</v>
      </c>
      <c r="AL441" s="52">
        <f t="shared" si="229"/>
        <v>0</v>
      </c>
      <c r="AM441" s="52">
        <f t="shared" si="229"/>
        <v>0</v>
      </c>
      <c r="AN441" s="52">
        <f t="shared" si="229"/>
        <v>0</v>
      </c>
      <c r="AO441" s="52">
        <f t="shared" si="229"/>
        <v>0</v>
      </c>
      <c r="AP441" s="52">
        <f t="shared" si="229"/>
        <v>0</v>
      </c>
    </row>
    <row r="442" spans="1:42" x14ac:dyDescent="0.2">
      <c r="A442" s="35">
        <f t="shared" ref="A442" si="230">A441+1</f>
        <v>10</v>
      </c>
      <c r="B442" s="58">
        <f t="shared" si="219"/>
        <v>0</v>
      </c>
      <c r="C442" s="82">
        <f t="shared" ref="C442:AP442" si="231">LOOKUP(C430,$B$390:$AP$390,$B$391:$AP$391)*$B627</f>
        <v>0</v>
      </c>
      <c r="D442" s="53">
        <f t="shared" si="231"/>
        <v>0</v>
      </c>
      <c r="E442" s="53">
        <f t="shared" si="231"/>
        <v>0</v>
      </c>
      <c r="F442" s="53">
        <f t="shared" si="231"/>
        <v>0</v>
      </c>
      <c r="G442" s="53">
        <f t="shared" si="231"/>
        <v>0</v>
      </c>
      <c r="H442" s="53">
        <f t="shared" si="231"/>
        <v>0</v>
      </c>
      <c r="I442" s="53">
        <f t="shared" si="231"/>
        <v>0</v>
      </c>
      <c r="J442" s="53">
        <f t="shared" si="231"/>
        <v>0</v>
      </c>
      <c r="K442" s="53">
        <f t="shared" si="231"/>
        <v>0</v>
      </c>
      <c r="L442" s="53">
        <f t="shared" si="231"/>
        <v>0</v>
      </c>
      <c r="M442" s="53">
        <f t="shared" si="231"/>
        <v>0</v>
      </c>
      <c r="N442" s="53">
        <f t="shared" si="231"/>
        <v>0</v>
      </c>
      <c r="O442" s="53">
        <f t="shared" si="231"/>
        <v>0</v>
      </c>
      <c r="P442" s="53">
        <f t="shared" si="231"/>
        <v>0</v>
      </c>
      <c r="Q442" s="53">
        <f t="shared" si="231"/>
        <v>0</v>
      </c>
      <c r="R442" s="53">
        <f t="shared" si="231"/>
        <v>0</v>
      </c>
      <c r="S442" s="53">
        <f t="shared" si="231"/>
        <v>0</v>
      </c>
      <c r="T442" s="53">
        <f t="shared" si="231"/>
        <v>0</v>
      </c>
      <c r="U442" s="53">
        <f t="shared" si="231"/>
        <v>0</v>
      </c>
      <c r="V442" s="53">
        <f t="shared" si="231"/>
        <v>0</v>
      </c>
      <c r="W442" s="53">
        <f t="shared" si="231"/>
        <v>0</v>
      </c>
      <c r="X442" s="53">
        <f t="shared" si="231"/>
        <v>0</v>
      </c>
      <c r="Y442" s="53">
        <f t="shared" si="231"/>
        <v>0</v>
      </c>
      <c r="Z442" s="53">
        <f t="shared" si="231"/>
        <v>0</v>
      </c>
      <c r="AA442" s="53">
        <f t="shared" si="231"/>
        <v>0</v>
      </c>
      <c r="AB442" s="53">
        <f t="shared" si="231"/>
        <v>0</v>
      </c>
      <c r="AC442" s="53">
        <f t="shared" si="231"/>
        <v>0</v>
      </c>
      <c r="AD442" s="53">
        <f t="shared" si="231"/>
        <v>0</v>
      </c>
      <c r="AE442" s="53">
        <f t="shared" si="231"/>
        <v>0</v>
      </c>
      <c r="AF442" s="53">
        <f t="shared" si="231"/>
        <v>0</v>
      </c>
      <c r="AG442" s="53">
        <f t="shared" si="231"/>
        <v>0</v>
      </c>
      <c r="AH442" s="53">
        <f t="shared" si="231"/>
        <v>0</v>
      </c>
      <c r="AI442" s="53">
        <f t="shared" si="231"/>
        <v>0</v>
      </c>
      <c r="AJ442" s="53">
        <f t="shared" si="231"/>
        <v>0</v>
      </c>
      <c r="AK442" s="53">
        <f t="shared" si="231"/>
        <v>0</v>
      </c>
      <c r="AL442" s="53">
        <f t="shared" si="231"/>
        <v>0</v>
      </c>
      <c r="AM442" s="53">
        <f t="shared" si="231"/>
        <v>0</v>
      </c>
      <c r="AN442" s="53">
        <f t="shared" si="231"/>
        <v>0</v>
      </c>
      <c r="AO442" s="53">
        <f t="shared" si="231"/>
        <v>0</v>
      </c>
      <c r="AP442" s="53">
        <f t="shared" si="231"/>
        <v>0</v>
      </c>
    </row>
    <row r="443" spans="1:42" s="35" customFormat="1" x14ac:dyDescent="0.2">
      <c r="A443" s="83" t="s">
        <v>23</v>
      </c>
      <c r="B443" s="38"/>
      <c r="C443" s="38">
        <f>SUM(C433:C442)</f>
        <v>0</v>
      </c>
      <c r="D443" s="38">
        <f t="shared" ref="D443:AP443" si="232">SUM(D433:D442)</f>
        <v>0</v>
      </c>
      <c r="E443" s="38">
        <f t="shared" si="232"/>
        <v>0</v>
      </c>
      <c r="F443" s="38">
        <f t="shared" si="232"/>
        <v>0</v>
      </c>
      <c r="G443" s="38">
        <f t="shared" si="232"/>
        <v>0</v>
      </c>
      <c r="H443" s="38">
        <f t="shared" si="232"/>
        <v>0</v>
      </c>
      <c r="I443" s="38">
        <f t="shared" si="232"/>
        <v>0</v>
      </c>
      <c r="J443" s="38">
        <f t="shared" si="232"/>
        <v>0</v>
      </c>
      <c r="K443" s="38">
        <f t="shared" si="232"/>
        <v>0</v>
      </c>
      <c r="L443" s="38">
        <f t="shared" si="232"/>
        <v>0</v>
      </c>
      <c r="M443" s="38">
        <f t="shared" si="232"/>
        <v>0</v>
      </c>
      <c r="N443" s="38">
        <f t="shared" si="232"/>
        <v>0</v>
      </c>
      <c r="O443" s="38">
        <f t="shared" si="232"/>
        <v>0</v>
      </c>
      <c r="P443" s="38">
        <f t="shared" si="232"/>
        <v>0</v>
      </c>
      <c r="Q443" s="38">
        <f t="shared" si="232"/>
        <v>0</v>
      </c>
      <c r="R443" s="38">
        <f t="shared" si="232"/>
        <v>0</v>
      </c>
      <c r="S443" s="38">
        <f t="shared" si="232"/>
        <v>0</v>
      </c>
      <c r="T443" s="38">
        <f t="shared" si="232"/>
        <v>0</v>
      </c>
      <c r="U443" s="38">
        <f t="shared" si="232"/>
        <v>0</v>
      </c>
      <c r="V443" s="38">
        <f t="shared" si="232"/>
        <v>0</v>
      </c>
      <c r="W443" s="38">
        <f t="shared" si="232"/>
        <v>0</v>
      </c>
      <c r="X443" s="38">
        <f t="shared" si="232"/>
        <v>0</v>
      </c>
      <c r="Y443" s="38">
        <f t="shared" si="232"/>
        <v>0</v>
      </c>
      <c r="Z443" s="38">
        <f t="shared" si="232"/>
        <v>0</v>
      </c>
      <c r="AA443" s="38">
        <f t="shared" si="232"/>
        <v>0</v>
      </c>
      <c r="AB443" s="38">
        <f t="shared" si="232"/>
        <v>0</v>
      </c>
      <c r="AC443" s="38">
        <f t="shared" si="232"/>
        <v>0</v>
      </c>
      <c r="AD443" s="38">
        <f t="shared" si="232"/>
        <v>0</v>
      </c>
      <c r="AE443" s="38">
        <f t="shared" si="232"/>
        <v>0</v>
      </c>
      <c r="AF443" s="38">
        <f t="shared" si="232"/>
        <v>0</v>
      </c>
      <c r="AG443" s="38">
        <f t="shared" si="232"/>
        <v>0</v>
      </c>
      <c r="AH443" s="38">
        <f t="shared" si="232"/>
        <v>0</v>
      </c>
      <c r="AI443" s="38">
        <f t="shared" si="232"/>
        <v>0</v>
      </c>
      <c r="AJ443" s="38">
        <f t="shared" si="232"/>
        <v>0</v>
      </c>
      <c r="AK443" s="38">
        <f t="shared" si="232"/>
        <v>0</v>
      </c>
      <c r="AL443" s="38">
        <f t="shared" si="232"/>
        <v>0</v>
      </c>
      <c r="AM443" s="38">
        <f t="shared" si="232"/>
        <v>0</v>
      </c>
      <c r="AN443" s="38">
        <f t="shared" si="232"/>
        <v>0</v>
      </c>
      <c r="AO443" s="38">
        <f t="shared" si="232"/>
        <v>0</v>
      </c>
      <c r="AP443" s="38">
        <f t="shared" si="232"/>
        <v>0</v>
      </c>
    </row>
    <row r="444" spans="1:42" s="35" customFormat="1" x14ac:dyDescent="0.2">
      <c r="A444" s="83"/>
      <c r="B444" s="38"/>
      <c r="C444" s="38"/>
      <c r="D444" s="38"/>
      <c r="E444" s="38"/>
      <c r="F444" s="38"/>
      <c r="G444" s="38"/>
      <c r="H444" s="38"/>
      <c r="I444" s="38"/>
      <c r="J444" s="38"/>
      <c r="K444" s="38"/>
      <c r="L444" s="38"/>
      <c r="M444" s="38"/>
      <c r="N444" s="38"/>
      <c r="O444" s="38"/>
      <c r="P444" s="38"/>
      <c r="Q444" s="38"/>
      <c r="R444" s="38"/>
      <c r="S444" s="38"/>
      <c r="T444" s="38"/>
      <c r="U444" s="38"/>
      <c r="V444" s="38"/>
      <c r="W444" s="38"/>
      <c r="X444" s="38"/>
      <c r="Y444" s="38"/>
      <c r="Z444" s="38"/>
      <c r="AA444" s="38"/>
      <c r="AB444" s="38"/>
      <c r="AC444" s="38"/>
      <c r="AD444" s="38"/>
      <c r="AE444" s="38"/>
      <c r="AF444" s="38"/>
      <c r="AG444" s="38"/>
      <c r="AH444" s="38"/>
      <c r="AI444" s="38"/>
      <c r="AJ444" s="38"/>
      <c r="AK444" s="38"/>
      <c r="AL444" s="38"/>
      <c r="AM444" s="38"/>
      <c r="AN444" s="38"/>
      <c r="AO444" s="38"/>
      <c r="AP444" s="38"/>
    </row>
    <row r="445" spans="1:42" x14ac:dyDescent="0.2">
      <c r="A445" s="59" t="s">
        <v>169</v>
      </c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52"/>
      <c r="AE445" s="52"/>
      <c r="AF445" s="52"/>
      <c r="AG445" s="52"/>
      <c r="AH445" s="52"/>
      <c r="AI445" s="52"/>
      <c r="AJ445" s="52"/>
      <c r="AK445" s="52"/>
      <c r="AL445" s="52"/>
      <c r="AM445" s="52"/>
      <c r="AN445" s="52"/>
      <c r="AO445" s="52"/>
      <c r="AP445" s="52"/>
    </row>
    <row r="446" spans="1:42" x14ac:dyDescent="0.2">
      <c r="A446" s="65" t="s">
        <v>125</v>
      </c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52"/>
      <c r="AE446" s="52"/>
      <c r="AF446" s="52"/>
      <c r="AG446" s="52"/>
      <c r="AH446" s="52"/>
      <c r="AI446" s="52"/>
      <c r="AJ446" s="52"/>
      <c r="AK446" s="52"/>
      <c r="AL446" s="52"/>
      <c r="AM446" s="52"/>
      <c r="AN446" s="52"/>
      <c r="AO446" s="52"/>
      <c r="AP446" s="52"/>
    </row>
    <row r="447" spans="1:42" x14ac:dyDescent="0.2">
      <c r="A447" s="17">
        <v>1</v>
      </c>
      <c r="C447" s="52">
        <f>C312</f>
        <v>0</v>
      </c>
      <c r="D447" s="52">
        <f t="shared" ref="D447:AP453" si="233">D312</f>
        <v>0</v>
      </c>
      <c r="E447" s="52">
        <f t="shared" si="233"/>
        <v>0</v>
      </c>
      <c r="F447" s="52">
        <f t="shared" si="233"/>
        <v>0</v>
      </c>
      <c r="G447" s="52">
        <f t="shared" si="233"/>
        <v>0</v>
      </c>
      <c r="H447" s="52">
        <f t="shared" si="233"/>
        <v>0</v>
      </c>
      <c r="I447" s="52">
        <f t="shared" si="233"/>
        <v>0</v>
      </c>
      <c r="J447" s="52">
        <f t="shared" si="233"/>
        <v>0</v>
      </c>
      <c r="K447" s="52">
        <f t="shared" si="233"/>
        <v>0</v>
      </c>
      <c r="L447" s="52">
        <f t="shared" si="233"/>
        <v>0</v>
      </c>
      <c r="M447" s="52">
        <f t="shared" si="233"/>
        <v>0</v>
      </c>
      <c r="N447" s="52">
        <f t="shared" si="233"/>
        <v>0</v>
      </c>
      <c r="O447" s="52">
        <f t="shared" si="233"/>
        <v>0</v>
      </c>
      <c r="P447" s="52">
        <f t="shared" si="233"/>
        <v>0</v>
      </c>
      <c r="Q447" s="52">
        <f t="shared" si="233"/>
        <v>0</v>
      </c>
      <c r="R447" s="52">
        <f t="shared" si="233"/>
        <v>0</v>
      </c>
      <c r="S447" s="52">
        <f t="shared" si="233"/>
        <v>0</v>
      </c>
      <c r="T447" s="52">
        <f t="shared" si="233"/>
        <v>0</v>
      </c>
      <c r="U447" s="52">
        <f t="shared" si="233"/>
        <v>0</v>
      </c>
      <c r="V447" s="52">
        <f t="shared" si="233"/>
        <v>0</v>
      </c>
      <c r="W447" s="52">
        <f t="shared" si="233"/>
        <v>0</v>
      </c>
      <c r="X447" s="52">
        <f t="shared" si="233"/>
        <v>0</v>
      </c>
      <c r="Y447" s="52">
        <f t="shared" si="233"/>
        <v>0</v>
      </c>
      <c r="Z447" s="52">
        <f t="shared" si="233"/>
        <v>0</v>
      </c>
      <c r="AA447" s="52">
        <f t="shared" si="233"/>
        <v>0</v>
      </c>
      <c r="AB447" s="52">
        <f t="shared" si="233"/>
        <v>0</v>
      </c>
      <c r="AC447" s="52">
        <f t="shared" si="233"/>
        <v>0</v>
      </c>
      <c r="AD447" s="52">
        <f t="shared" si="233"/>
        <v>0</v>
      </c>
      <c r="AE447" s="52">
        <f t="shared" si="233"/>
        <v>0</v>
      </c>
      <c r="AF447" s="52">
        <f t="shared" si="233"/>
        <v>0</v>
      </c>
      <c r="AG447" s="52">
        <f t="shared" si="233"/>
        <v>0</v>
      </c>
      <c r="AH447" s="52">
        <f t="shared" si="233"/>
        <v>0</v>
      </c>
      <c r="AI447" s="52">
        <f t="shared" si="233"/>
        <v>0</v>
      </c>
      <c r="AJ447" s="52">
        <f t="shared" si="233"/>
        <v>0</v>
      </c>
      <c r="AK447" s="52">
        <f t="shared" si="233"/>
        <v>0</v>
      </c>
      <c r="AL447" s="52">
        <f t="shared" si="233"/>
        <v>0</v>
      </c>
      <c r="AM447" s="52">
        <f t="shared" si="233"/>
        <v>0</v>
      </c>
      <c r="AN447" s="52">
        <f t="shared" si="233"/>
        <v>0</v>
      </c>
      <c r="AO447" s="52">
        <f t="shared" si="233"/>
        <v>0</v>
      </c>
      <c r="AP447" s="52">
        <f t="shared" si="233"/>
        <v>0</v>
      </c>
    </row>
    <row r="448" spans="1:42" x14ac:dyDescent="0.2">
      <c r="A448" s="17">
        <f>A447+1</f>
        <v>2</v>
      </c>
      <c r="C448" s="52">
        <f t="shared" ref="C448:R456" si="234">C313</f>
        <v>0</v>
      </c>
      <c r="D448" s="52">
        <f t="shared" si="234"/>
        <v>0</v>
      </c>
      <c r="E448" s="52">
        <f t="shared" si="234"/>
        <v>0</v>
      </c>
      <c r="F448" s="52">
        <f t="shared" si="234"/>
        <v>0</v>
      </c>
      <c r="G448" s="52">
        <f t="shared" si="234"/>
        <v>0</v>
      </c>
      <c r="H448" s="52">
        <f t="shared" si="234"/>
        <v>0</v>
      </c>
      <c r="I448" s="52">
        <f t="shared" si="234"/>
        <v>0</v>
      </c>
      <c r="J448" s="52">
        <f t="shared" si="234"/>
        <v>0</v>
      </c>
      <c r="K448" s="52">
        <f t="shared" si="234"/>
        <v>0</v>
      </c>
      <c r="L448" s="52">
        <f t="shared" si="234"/>
        <v>0</v>
      </c>
      <c r="M448" s="52">
        <f t="shared" si="234"/>
        <v>0</v>
      </c>
      <c r="N448" s="52">
        <f t="shared" si="234"/>
        <v>0</v>
      </c>
      <c r="O448" s="52">
        <f t="shared" si="234"/>
        <v>0</v>
      </c>
      <c r="P448" s="52">
        <f t="shared" si="234"/>
        <v>0</v>
      </c>
      <c r="Q448" s="52">
        <f t="shared" si="234"/>
        <v>0</v>
      </c>
      <c r="R448" s="52">
        <f t="shared" si="234"/>
        <v>0</v>
      </c>
      <c r="S448" s="52">
        <f t="shared" si="233"/>
        <v>0</v>
      </c>
      <c r="T448" s="52">
        <f t="shared" si="233"/>
        <v>0</v>
      </c>
      <c r="U448" s="52">
        <f t="shared" si="233"/>
        <v>0</v>
      </c>
      <c r="V448" s="52">
        <f t="shared" si="233"/>
        <v>0</v>
      </c>
      <c r="W448" s="52">
        <f t="shared" si="233"/>
        <v>0</v>
      </c>
      <c r="X448" s="52">
        <f t="shared" si="233"/>
        <v>0</v>
      </c>
      <c r="Y448" s="52">
        <f t="shared" si="233"/>
        <v>0</v>
      </c>
      <c r="Z448" s="52">
        <f t="shared" si="233"/>
        <v>0</v>
      </c>
      <c r="AA448" s="52">
        <f t="shared" si="233"/>
        <v>0</v>
      </c>
      <c r="AB448" s="52">
        <f t="shared" si="233"/>
        <v>0</v>
      </c>
      <c r="AC448" s="52">
        <f t="shared" si="233"/>
        <v>0</v>
      </c>
      <c r="AD448" s="52">
        <f t="shared" si="233"/>
        <v>0</v>
      </c>
      <c r="AE448" s="52">
        <f t="shared" si="233"/>
        <v>0</v>
      </c>
      <c r="AF448" s="52">
        <f t="shared" si="233"/>
        <v>0</v>
      </c>
      <c r="AG448" s="52">
        <f t="shared" si="233"/>
        <v>0</v>
      </c>
      <c r="AH448" s="52">
        <f t="shared" si="233"/>
        <v>0</v>
      </c>
      <c r="AI448" s="52">
        <f t="shared" si="233"/>
        <v>0</v>
      </c>
      <c r="AJ448" s="52">
        <f t="shared" si="233"/>
        <v>0</v>
      </c>
      <c r="AK448" s="52">
        <f t="shared" si="233"/>
        <v>0</v>
      </c>
      <c r="AL448" s="52">
        <f t="shared" si="233"/>
        <v>0</v>
      </c>
      <c r="AM448" s="52">
        <f t="shared" si="233"/>
        <v>0</v>
      </c>
      <c r="AN448" s="52">
        <f t="shared" si="233"/>
        <v>0</v>
      </c>
      <c r="AO448" s="52">
        <f t="shared" si="233"/>
        <v>0</v>
      </c>
      <c r="AP448" s="52">
        <f t="shared" si="233"/>
        <v>0</v>
      </c>
    </row>
    <row r="449" spans="1:42" x14ac:dyDescent="0.2">
      <c r="A449" s="17">
        <f t="shared" ref="A449:A454" si="235">A448+1</f>
        <v>3</v>
      </c>
      <c r="C449" s="52">
        <f t="shared" si="234"/>
        <v>0</v>
      </c>
      <c r="D449" s="52">
        <f t="shared" si="233"/>
        <v>0</v>
      </c>
      <c r="E449" s="52">
        <f t="shared" si="233"/>
        <v>0</v>
      </c>
      <c r="F449" s="52">
        <f t="shared" si="233"/>
        <v>0</v>
      </c>
      <c r="G449" s="52">
        <f t="shared" si="233"/>
        <v>0</v>
      </c>
      <c r="H449" s="52">
        <f t="shared" si="233"/>
        <v>0</v>
      </c>
      <c r="I449" s="52">
        <f t="shared" si="233"/>
        <v>0</v>
      </c>
      <c r="J449" s="52">
        <f t="shared" si="233"/>
        <v>0</v>
      </c>
      <c r="K449" s="52">
        <f t="shared" si="233"/>
        <v>0</v>
      </c>
      <c r="L449" s="52">
        <f t="shared" si="233"/>
        <v>0</v>
      </c>
      <c r="M449" s="52">
        <f t="shared" si="233"/>
        <v>0</v>
      </c>
      <c r="N449" s="52">
        <f t="shared" si="233"/>
        <v>0</v>
      </c>
      <c r="O449" s="52">
        <f t="shared" si="233"/>
        <v>0</v>
      </c>
      <c r="P449" s="52">
        <f t="shared" si="233"/>
        <v>0</v>
      </c>
      <c r="Q449" s="52">
        <f t="shared" si="233"/>
        <v>0</v>
      </c>
      <c r="R449" s="52">
        <f t="shared" si="233"/>
        <v>0</v>
      </c>
      <c r="S449" s="52">
        <f t="shared" si="233"/>
        <v>0</v>
      </c>
      <c r="T449" s="52">
        <f t="shared" si="233"/>
        <v>0</v>
      </c>
      <c r="U449" s="52">
        <f t="shared" si="233"/>
        <v>0</v>
      </c>
      <c r="V449" s="52">
        <f t="shared" si="233"/>
        <v>0</v>
      </c>
      <c r="W449" s="52">
        <f t="shared" si="233"/>
        <v>0</v>
      </c>
      <c r="X449" s="52">
        <f t="shared" si="233"/>
        <v>0</v>
      </c>
      <c r="Y449" s="52">
        <f t="shared" si="233"/>
        <v>0</v>
      </c>
      <c r="Z449" s="52">
        <f t="shared" si="233"/>
        <v>0</v>
      </c>
      <c r="AA449" s="52">
        <f t="shared" si="233"/>
        <v>0</v>
      </c>
      <c r="AB449" s="52">
        <f t="shared" si="233"/>
        <v>0</v>
      </c>
      <c r="AC449" s="52">
        <f t="shared" si="233"/>
        <v>0</v>
      </c>
      <c r="AD449" s="52">
        <f t="shared" si="233"/>
        <v>0</v>
      </c>
      <c r="AE449" s="52">
        <f t="shared" si="233"/>
        <v>0</v>
      </c>
      <c r="AF449" s="52">
        <f t="shared" si="233"/>
        <v>0</v>
      </c>
      <c r="AG449" s="52">
        <f t="shared" si="233"/>
        <v>0</v>
      </c>
      <c r="AH449" s="52">
        <f t="shared" si="233"/>
        <v>0</v>
      </c>
      <c r="AI449" s="52">
        <f t="shared" si="233"/>
        <v>0</v>
      </c>
      <c r="AJ449" s="52">
        <f t="shared" si="233"/>
        <v>0</v>
      </c>
      <c r="AK449" s="52">
        <f t="shared" si="233"/>
        <v>0</v>
      </c>
      <c r="AL449" s="52">
        <f t="shared" si="233"/>
        <v>0</v>
      </c>
      <c r="AM449" s="52">
        <f t="shared" si="233"/>
        <v>0</v>
      </c>
      <c r="AN449" s="52">
        <f t="shared" si="233"/>
        <v>0</v>
      </c>
      <c r="AO449" s="52">
        <f t="shared" si="233"/>
        <v>0</v>
      </c>
      <c r="AP449" s="52">
        <f t="shared" si="233"/>
        <v>0</v>
      </c>
    </row>
    <row r="450" spans="1:42" x14ac:dyDescent="0.2">
      <c r="A450" s="17">
        <f t="shared" si="235"/>
        <v>4</v>
      </c>
      <c r="C450" s="52">
        <f t="shared" si="234"/>
        <v>0</v>
      </c>
      <c r="D450" s="52">
        <f t="shared" si="233"/>
        <v>0</v>
      </c>
      <c r="E450" s="52">
        <f t="shared" si="233"/>
        <v>0</v>
      </c>
      <c r="F450" s="52">
        <f t="shared" si="233"/>
        <v>0</v>
      </c>
      <c r="G450" s="52">
        <f t="shared" si="233"/>
        <v>0</v>
      </c>
      <c r="H450" s="52">
        <f t="shared" si="233"/>
        <v>0</v>
      </c>
      <c r="I450" s="52">
        <f t="shared" si="233"/>
        <v>0</v>
      </c>
      <c r="J450" s="52">
        <f t="shared" si="233"/>
        <v>0</v>
      </c>
      <c r="K450" s="52">
        <f t="shared" si="233"/>
        <v>0</v>
      </c>
      <c r="L450" s="52">
        <f t="shared" si="233"/>
        <v>0</v>
      </c>
      <c r="M450" s="52">
        <f t="shared" si="233"/>
        <v>0</v>
      </c>
      <c r="N450" s="52">
        <f t="shared" si="233"/>
        <v>0</v>
      </c>
      <c r="O450" s="52">
        <f t="shared" si="233"/>
        <v>0</v>
      </c>
      <c r="P450" s="52">
        <f t="shared" si="233"/>
        <v>0</v>
      </c>
      <c r="Q450" s="52">
        <f t="shared" si="233"/>
        <v>0</v>
      </c>
      <c r="R450" s="52">
        <f t="shared" si="233"/>
        <v>0</v>
      </c>
      <c r="S450" s="52">
        <f t="shared" si="233"/>
        <v>0</v>
      </c>
      <c r="T450" s="52">
        <f t="shared" si="233"/>
        <v>0</v>
      </c>
      <c r="U450" s="52">
        <f t="shared" si="233"/>
        <v>0</v>
      </c>
      <c r="V450" s="52">
        <f t="shared" si="233"/>
        <v>0</v>
      </c>
      <c r="W450" s="52">
        <f t="shared" si="233"/>
        <v>0</v>
      </c>
      <c r="X450" s="52">
        <f t="shared" si="233"/>
        <v>0</v>
      </c>
      <c r="Y450" s="52">
        <f t="shared" si="233"/>
        <v>0</v>
      </c>
      <c r="Z450" s="52">
        <f t="shared" si="233"/>
        <v>0</v>
      </c>
      <c r="AA450" s="52">
        <f t="shared" si="233"/>
        <v>0</v>
      </c>
      <c r="AB450" s="52">
        <f t="shared" si="233"/>
        <v>0</v>
      </c>
      <c r="AC450" s="52">
        <f t="shared" si="233"/>
        <v>0</v>
      </c>
      <c r="AD450" s="52">
        <f t="shared" si="233"/>
        <v>0</v>
      </c>
      <c r="AE450" s="52">
        <f t="shared" si="233"/>
        <v>0</v>
      </c>
      <c r="AF450" s="52">
        <f t="shared" si="233"/>
        <v>0</v>
      </c>
      <c r="AG450" s="52">
        <f t="shared" si="233"/>
        <v>0</v>
      </c>
      <c r="AH450" s="52">
        <f t="shared" si="233"/>
        <v>0</v>
      </c>
      <c r="AI450" s="52">
        <f t="shared" si="233"/>
        <v>0</v>
      </c>
      <c r="AJ450" s="52">
        <f t="shared" si="233"/>
        <v>0</v>
      </c>
      <c r="AK450" s="52">
        <f t="shared" si="233"/>
        <v>0</v>
      </c>
      <c r="AL450" s="52">
        <f t="shared" si="233"/>
        <v>0</v>
      </c>
      <c r="AM450" s="52">
        <f t="shared" si="233"/>
        <v>0</v>
      </c>
      <c r="AN450" s="52">
        <f t="shared" si="233"/>
        <v>0</v>
      </c>
      <c r="AO450" s="52">
        <f t="shared" si="233"/>
        <v>0</v>
      </c>
      <c r="AP450" s="52">
        <f t="shared" si="233"/>
        <v>0</v>
      </c>
    </row>
    <row r="451" spans="1:42" x14ac:dyDescent="0.2">
      <c r="A451" s="17">
        <f t="shared" si="235"/>
        <v>5</v>
      </c>
      <c r="C451" s="52">
        <f t="shared" si="234"/>
        <v>0</v>
      </c>
      <c r="D451" s="52">
        <f t="shared" si="233"/>
        <v>0</v>
      </c>
      <c r="E451" s="52">
        <f t="shared" si="233"/>
        <v>0</v>
      </c>
      <c r="F451" s="52">
        <f t="shared" si="233"/>
        <v>0</v>
      </c>
      <c r="G451" s="52">
        <f t="shared" si="233"/>
        <v>0</v>
      </c>
      <c r="H451" s="52">
        <f t="shared" si="233"/>
        <v>0</v>
      </c>
      <c r="I451" s="52">
        <f t="shared" si="233"/>
        <v>0</v>
      </c>
      <c r="J451" s="52">
        <f t="shared" si="233"/>
        <v>0</v>
      </c>
      <c r="K451" s="52">
        <f t="shared" si="233"/>
        <v>0</v>
      </c>
      <c r="L451" s="52">
        <f t="shared" si="233"/>
        <v>0</v>
      </c>
      <c r="M451" s="52">
        <f t="shared" si="233"/>
        <v>0</v>
      </c>
      <c r="N451" s="52">
        <f t="shared" si="233"/>
        <v>0</v>
      </c>
      <c r="O451" s="52">
        <f t="shared" si="233"/>
        <v>0</v>
      </c>
      <c r="P451" s="52">
        <f t="shared" si="233"/>
        <v>0</v>
      </c>
      <c r="Q451" s="52">
        <f t="shared" si="233"/>
        <v>0</v>
      </c>
      <c r="R451" s="52">
        <f t="shared" si="233"/>
        <v>0</v>
      </c>
      <c r="S451" s="52">
        <f t="shared" si="233"/>
        <v>0</v>
      </c>
      <c r="T451" s="52">
        <f t="shared" si="233"/>
        <v>0</v>
      </c>
      <c r="U451" s="52">
        <f t="shared" si="233"/>
        <v>0</v>
      </c>
      <c r="V451" s="52">
        <f t="shared" si="233"/>
        <v>0</v>
      </c>
      <c r="W451" s="52">
        <f t="shared" si="233"/>
        <v>0</v>
      </c>
      <c r="X451" s="52">
        <f t="shared" si="233"/>
        <v>0</v>
      </c>
      <c r="Y451" s="52">
        <f t="shared" si="233"/>
        <v>0</v>
      </c>
      <c r="Z451" s="52">
        <f t="shared" si="233"/>
        <v>0</v>
      </c>
      <c r="AA451" s="52">
        <f t="shared" si="233"/>
        <v>0</v>
      </c>
      <c r="AB451" s="52">
        <f t="shared" si="233"/>
        <v>0</v>
      </c>
      <c r="AC451" s="52">
        <f t="shared" si="233"/>
        <v>0</v>
      </c>
      <c r="AD451" s="52">
        <f t="shared" si="233"/>
        <v>0</v>
      </c>
      <c r="AE451" s="52">
        <f t="shared" si="233"/>
        <v>0</v>
      </c>
      <c r="AF451" s="52">
        <f t="shared" si="233"/>
        <v>0</v>
      </c>
      <c r="AG451" s="52">
        <f t="shared" si="233"/>
        <v>0</v>
      </c>
      <c r="AH451" s="52">
        <f t="shared" si="233"/>
        <v>0</v>
      </c>
      <c r="AI451" s="52">
        <f t="shared" si="233"/>
        <v>0</v>
      </c>
      <c r="AJ451" s="52">
        <f t="shared" si="233"/>
        <v>0</v>
      </c>
      <c r="AK451" s="52">
        <f t="shared" si="233"/>
        <v>0</v>
      </c>
      <c r="AL451" s="52">
        <f t="shared" si="233"/>
        <v>0</v>
      </c>
      <c r="AM451" s="52">
        <f t="shared" si="233"/>
        <v>0</v>
      </c>
      <c r="AN451" s="52">
        <f t="shared" si="233"/>
        <v>0</v>
      </c>
      <c r="AO451" s="52">
        <f t="shared" si="233"/>
        <v>0</v>
      </c>
      <c r="AP451" s="52">
        <f t="shared" si="233"/>
        <v>0</v>
      </c>
    </row>
    <row r="452" spans="1:42" x14ac:dyDescent="0.2">
      <c r="A452" s="17">
        <f t="shared" si="235"/>
        <v>6</v>
      </c>
      <c r="C452" s="52">
        <f t="shared" si="234"/>
        <v>0</v>
      </c>
      <c r="D452" s="52">
        <f t="shared" si="233"/>
        <v>0</v>
      </c>
      <c r="E452" s="52">
        <f t="shared" si="233"/>
        <v>0</v>
      </c>
      <c r="F452" s="52">
        <f t="shared" si="233"/>
        <v>0</v>
      </c>
      <c r="G452" s="52">
        <f t="shared" si="233"/>
        <v>0</v>
      </c>
      <c r="H452" s="52">
        <f t="shared" si="233"/>
        <v>0</v>
      </c>
      <c r="I452" s="52">
        <f t="shared" si="233"/>
        <v>0</v>
      </c>
      <c r="J452" s="52">
        <f t="shared" si="233"/>
        <v>0</v>
      </c>
      <c r="K452" s="52">
        <f t="shared" si="233"/>
        <v>0</v>
      </c>
      <c r="L452" s="52">
        <f t="shared" si="233"/>
        <v>0</v>
      </c>
      <c r="M452" s="52">
        <f t="shared" si="233"/>
        <v>0</v>
      </c>
      <c r="N452" s="52">
        <f t="shared" si="233"/>
        <v>0</v>
      </c>
      <c r="O452" s="52">
        <f t="shared" si="233"/>
        <v>0</v>
      </c>
      <c r="P452" s="52">
        <f t="shared" si="233"/>
        <v>0</v>
      </c>
      <c r="Q452" s="52">
        <f t="shared" si="233"/>
        <v>0</v>
      </c>
      <c r="R452" s="52">
        <f t="shared" si="233"/>
        <v>0</v>
      </c>
      <c r="S452" s="52">
        <f t="shared" si="233"/>
        <v>0</v>
      </c>
      <c r="T452" s="52">
        <f t="shared" si="233"/>
        <v>0</v>
      </c>
      <c r="U452" s="52">
        <f t="shared" si="233"/>
        <v>0</v>
      </c>
      <c r="V452" s="52">
        <f t="shared" si="233"/>
        <v>0</v>
      </c>
      <c r="W452" s="52">
        <f t="shared" si="233"/>
        <v>0</v>
      </c>
      <c r="X452" s="52">
        <f t="shared" si="233"/>
        <v>0</v>
      </c>
      <c r="Y452" s="52">
        <f t="shared" si="233"/>
        <v>0</v>
      </c>
      <c r="Z452" s="52">
        <f t="shared" si="233"/>
        <v>0</v>
      </c>
      <c r="AA452" s="52">
        <f t="shared" si="233"/>
        <v>0</v>
      </c>
      <c r="AB452" s="52">
        <f t="shared" si="233"/>
        <v>0</v>
      </c>
      <c r="AC452" s="52">
        <f t="shared" si="233"/>
        <v>0</v>
      </c>
      <c r="AD452" s="52">
        <f t="shared" si="233"/>
        <v>0</v>
      </c>
      <c r="AE452" s="52">
        <f t="shared" si="233"/>
        <v>0</v>
      </c>
      <c r="AF452" s="52">
        <f t="shared" si="233"/>
        <v>0</v>
      </c>
      <c r="AG452" s="52">
        <f t="shared" si="233"/>
        <v>0</v>
      </c>
      <c r="AH452" s="52">
        <f t="shared" si="233"/>
        <v>0</v>
      </c>
      <c r="AI452" s="52">
        <f t="shared" si="233"/>
        <v>0</v>
      </c>
      <c r="AJ452" s="52">
        <f t="shared" si="233"/>
        <v>0</v>
      </c>
      <c r="AK452" s="52">
        <f t="shared" si="233"/>
        <v>0</v>
      </c>
      <c r="AL452" s="52">
        <f t="shared" si="233"/>
        <v>0</v>
      </c>
      <c r="AM452" s="52">
        <f t="shared" si="233"/>
        <v>0</v>
      </c>
      <c r="AN452" s="52">
        <f t="shared" si="233"/>
        <v>0</v>
      </c>
      <c r="AO452" s="52">
        <f t="shared" si="233"/>
        <v>0</v>
      </c>
      <c r="AP452" s="52">
        <f t="shared" si="233"/>
        <v>0</v>
      </c>
    </row>
    <row r="453" spans="1:42" x14ac:dyDescent="0.2">
      <c r="A453" s="17">
        <f t="shared" si="235"/>
        <v>7</v>
      </c>
      <c r="C453" s="52">
        <f t="shared" si="234"/>
        <v>0</v>
      </c>
      <c r="D453" s="52">
        <f t="shared" si="233"/>
        <v>0</v>
      </c>
      <c r="E453" s="52">
        <f t="shared" si="233"/>
        <v>0</v>
      </c>
      <c r="F453" s="52">
        <f t="shared" si="233"/>
        <v>0</v>
      </c>
      <c r="G453" s="52">
        <f t="shared" si="233"/>
        <v>0</v>
      </c>
      <c r="H453" s="52">
        <f t="shared" si="233"/>
        <v>0</v>
      </c>
      <c r="I453" s="52">
        <f t="shared" si="233"/>
        <v>0</v>
      </c>
      <c r="J453" s="52">
        <f t="shared" si="233"/>
        <v>0</v>
      </c>
      <c r="K453" s="52">
        <f t="shared" si="233"/>
        <v>0</v>
      </c>
      <c r="L453" s="52">
        <f t="shared" si="233"/>
        <v>0</v>
      </c>
      <c r="M453" s="52">
        <f t="shared" si="233"/>
        <v>0</v>
      </c>
      <c r="N453" s="52">
        <f t="shared" si="233"/>
        <v>0</v>
      </c>
      <c r="O453" s="52">
        <f t="shared" si="233"/>
        <v>0</v>
      </c>
      <c r="P453" s="52">
        <f t="shared" si="233"/>
        <v>0</v>
      </c>
      <c r="Q453" s="52">
        <f t="shared" si="233"/>
        <v>0</v>
      </c>
      <c r="R453" s="52">
        <f t="shared" si="233"/>
        <v>0</v>
      </c>
      <c r="S453" s="52">
        <f t="shared" si="233"/>
        <v>0</v>
      </c>
      <c r="T453" s="52">
        <f t="shared" si="233"/>
        <v>0</v>
      </c>
      <c r="U453" s="52">
        <f t="shared" si="233"/>
        <v>0</v>
      </c>
      <c r="V453" s="52">
        <f t="shared" si="233"/>
        <v>0</v>
      </c>
      <c r="W453" s="52">
        <f t="shared" si="233"/>
        <v>0</v>
      </c>
      <c r="X453" s="52">
        <f t="shared" si="233"/>
        <v>0</v>
      </c>
      <c r="Y453" s="52">
        <f t="shared" si="233"/>
        <v>0</v>
      </c>
      <c r="Z453" s="52">
        <f t="shared" si="233"/>
        <v>0</v>
      </c>
      <c r="AA453" s="52">
        <f t="shared" si="233"/>
        <v>0</v>
      </c>
      <c r="AB453" s="52">
        <f t="shared" si="233"/>
        <v>0</v>
      </c>
      <c r="AC453" s="52">
        <f t="shared" si="233"/>
        <v>0</v>
      </c>
      <c r="AD453" s="52">
        <f t="shared" si="233"/>
        <v>0</v>
      </c>
      <c r="AE453" s="52">
        <f t="shared" si="233"/>
        <v>0</v>
      </c>
      <c r="AF453" s="52">
        <f t="shared" si="233"/>
        <v>0</v>
      </c>
      <c r="AG453" s="52">
        <f t="shared" si="233"/>
        <v>0</v>
      </c>
      <c r="AH453" s="52">
        <f t="shared" si="233"/>
        <v>0</v>
      </c>
      <c r="AI453" s="52">
        <f t="shared" si="233"/>
        <v>0</v>
      </c>
      <c r="AJ453" s="52">
        <f t="shared" si="233"/>
        <v>0</v>
      </c>
      <c r="AK453" s="52">
        <f t="shared" si="233"/>
        <v>0</v>
      </c>
      <c r="AL453" s="52">
        <f t="shared" si="233"/>
        <v>0</v>
      </c>
      <c r="AM453" s="52">
        <f t="shared" si="233"/>
        <v>0</v>
      </c>
      <c r="AN453" s="52">
        <f t="shared" ref="AN453:AP453" si="236">AN318</f>
        <v>0</v>
      </c>
      <c r="AO453" s="52">
        <f t="shared" si="236"/>
        <v>0</v>
      </c>
      <c r="AP453" s="52">
        <f t="shared" si="236"/>
        <v>0</v>
      </c>
    </row>
    <row r="454" spans="1:42" x14ac:dyDescent="0.2">
      <c r="A454" s="17">
        <f t="shared" si="235"/>
        <v>8</v>
      </c>
      <c r="C454" s="52">
        <f t="shared" si="234"/>
        <v>0</v>
      </c>
      <c r="D454" s="52">
        <f t="shared" si="234"/>
        <v>0</v>
      </c>
      <c r="E454" s="52">
        <f t="shared" si="234"/>
        <v>0</v>
      </c>
      <c r="F454" s="52">
        <f t="shared" si="234"/>
        <v>0</v>
      </c>
      <c r="G454" s="52">
        <f t="shared" si="234"/>
        <v>0</v>
      </c>
      <c r="H454" s="52">
        <f t="shared" si="234"/>
        <v>0</v>
      </c>
      <c r="I454" s="52">
        <f t="shared" si="234"/>
        <v>0</v>
      </c>
      <c r="J454" s="52">
        <f t="shared" si="234"/>
        <v>0</v>
      </c>
      <c r="K454" s="52">
        <f t="shared" si="234"/>
        <v>0</v>
      </c>
      <c r="L454" s="52">
        <f t="shared" si="234"/>
        <v>0</v>
      </c>
      <c r="M454" s="52">
        <f t="shared" si="234"/>
        <v>0</v>
      </c>
      <c r="N454" s="52">
        <f t="shared" si="234"/>
        <v>0</v>
      </c>
      <c r="O454" s="52">
        <f t="shared" si="234"/>
        <v>0</v>
      </c>
      <c r="P454" s="52">
        <f t="shared" si="234"/>
        <v>0</v>
      </c>
      <c r="Q454" s="52">
        <f t="shared" si="234"/>
        <v>0</v>
      </c>
      <c r="R454" s="52">
        <f t="shared" si="234"/>
        <v>0</v>
      </c>
      <c r="S454" s="52">
        <f t="shared" ref="S454:AP456" si="237">S319</f>
        <v>0</v>
      </c>
      <c r="T454" s="52">
        <f t="shared" si="237"/>
        <v>0</v>
      </c>
      <c r="U454" s="52">
        <f t="shared" si="237"/>
        <v>0</v>
      </c>
      <c r="V454" s="52">
        <f t="shared" si="237"/>
        <v>0</v>
      </c>
      <c r="W454" s="52">
        <f t="shared" si="237"/>
        <v>0</v>
      </c>
      <c r="X454" s="52">
        <f t="shared" si="237"/>
        <v>0</v>
      </c>
      <c r="Y454" s="52">
        <f t="shared" si="237"/>
        <v>0</v>
      </c>
      <c r="Z454" s="52">
        <f t="shared" si="237"/>
        <v>0</v>
      </c>
      <c r="AA454" s="52">
        <f t="shared" si="237"/>
        <v>0</v>
      </c>
      <c r="AB454" s="52">
        <f t="shared" si="237"/>
        <v>0</v>
      </c>
      <c r="AC454" s="52">
        <f t="shared" si="237"/>
        <v>0</v>
      </c>
      <c r="AD454" s="52">
        <f t="shared" si="237"/>
        <v>0</v>
      </c>
      <c r="AE454" s="52">
        <f t="shared" si="237"/>
        <v>0</v>
      </c>
      <c r="AF454" s="52">
        <f t="shared" si="237"/>
        <v>0</v>
      </c>
      <c r="AG454" s="52">
        <f t="shared" si="237"/>
        <v>0</v>
      </c>
      <c r="AH454" s="52">
        <f t="shared" si="237"/>
        <v>0</v>
      </c>
      <c r="AI454" s="52">
        <f t="shared" si="237"/>
        <v>0</v>
      </c>
      <c r="AJ454" s="52">
        <f t="shared" si="237"/>
        <v>0</v>
      </c>
      <c r="AK454" s="52">
        <f t="shared" si="237"/>
        <v>0</v>
      </c>
      <c r="AL454" s="52">
        <f t="shared" si="237"/>
        <v>0</v>
      </c>
      <c r="AM454" s="52">
        <f t="shared" si="237"/>
        <v>0</v>
      </c>
      <c r="AN454" s="52">
        <f t="shared" si="237"/>
        <v>0</v>
      </c>
      <c r="AO454" s="52">
        <f t="shared" si="237"/>
        <v>0</v>
      </c>
      <c r="AP454" s="52">
        <f t="shared" si="237"/>
        <v>0</v>
      </c>
    </row>
    <row r="455" spans="1:42" x14ac:dyDescent="0.2">
      <c r="A455" s="17">
        <f>A454+1</f>
        <v>9</v>
      </c>
      <c r="C455" s="52">
        <f t="shared" si="234"/>
        <v>0</v>
      </c>
      <c r="D455" s="52">
        <f t="shared" si="234"/>
        <v>0</v>
      </c>
      <c r="E455" s="52">
        <f t="shared" si="234"/>
        <v>0</v>
      </c>
      <c r="F455" s="52">
        <f t="shared" si="234"/>
        <v>0</v>
      </c>
      <c r="G455" s="52">
        <f t="shared" si="234"/>
        <v>0</v>
      </c>
      <c r="H455" s="52">
        <f t="shared" si="234"/>
        <v>0</v>
      </c>
      <c r="I455" s="52">
        <f t="shared" si="234"/>
        <v>0</v>
      </c>
      <c r="J455" s="52">
        <f t="shared" si="234"/>
        <v>0</v>
      </c>
      <c r="K455" s="52">
        <f t="shared" si="234"/>
        <v>0</v>
      </c>
      <c r="L455" s="52">
        <f t="shared" si="234"/>
        <v>0</v>
      </c>
      <c r="M455" s="52">
        <f t="shared" si="234"/>
        <v>0</v>
      </c>
      <c r="N455" s="52">
        <f t="shared" si="234"/>
        <v>0</v>
      </c>
      <c r="O455" s="52">
        <f t="shared" si="234"/>
        <v>0</v>
      </c>
      <c r="P455" s="52">
        <f t="shared" si="234"/>
        <v>0</v>
      </c>
      <c r="Q455" s="52">
        <f t="shared" si="234"/>
        <v>0</v>
      </c>
      <c r="R455" s="52">
        <f t="shared" si="234"/>
        <v>0</v>
      </c>
      <c r="S455" s="52">
        <f t="shared" si="237"/>
        <v>0</v>
      </c>
      <c r="T455" s="52">
        <f t="shared" si="237"/>
        <v>0</v>
      </c>
      <c r="U455" s="52">
        <f t="shared" si="237"/>
        <v>0</v>
      </c>
      <c r="V455" s="52">
        <f t="shared" si="237"/>
        <v>0</v>
      </c>
      <c r="W455" s="52">
        <f t="shared" si="237"/>
        <v>0</v>
      </c>
      <c r="X455" s="52">
        <f t="shared" si="237"/>
        <v>0</v>
      </c>
      <c r="Y455" s="52">
        <f t="shared" si="237"/>
        <v>0</v>
      </c>
      <c r="Z455" s="52">
        <f t="shared" si="237"/>
        <v>0</v>
      </c>
      <c r="AA455" s="52">
        <f t="shared" si="237"/>
        <v>0</v>
      </c>
      <c r="AB455" s="52">
        <f t="shared" si="237"/>
        <v>0</v>
      </c>
      <c r="AC455" s="52">
        <f t="shared" si="237"/>
        <v>0</v>
      </c>
      <c r="AD455" s="52">
        <f t="shared" si="237"/>
        <v>0</v>
      </c>
      <c r="AE455" s="52">
        <f t="shared" si="237"/>
        <v>0</v>
      </c>
      <c r="AF455" s="52">
        <f t="shared" si="237"/>
        <v>0</v>
      </c>
      <c r="AG455" s="52">
        <f t="shared" si="237"/>
        <v>0</v>
      </c>
      <c r="AH455" s="52">
        <f t="shared" si="237"/>
        <v>0</v>
      </c>
      <c r="AI455" s="52">
        <f t="shared" si="237"/>
        <v>0</v>
      </c>
      <c r="AJ455" s="52">
        <f t="shared" si="237"/>
        <v>0</v>
      </c>
      <c r="AK455" s="52">
        <f t="shared" si="237"/>
        <v>0</v>
      </c>
      <c r="AL455" s="52">
        <f t="shared" si="237"/>
        <v>0</v>
      </c>
      <c r="AM455" s="52">
        <f t="shared" si="237"/>
        <v>0</v>
      </c>
      <c r="AN455" s="52">
        <f t="shared" si="237"/>
        <v>0</v>
      </c>
      <c r="AO455" s="52">
        <f t="shared" si="237"/>
        <v>0</v>
      </c>
      <c r="AP455" s="52">
        <f t="shared" si="237"/>
        <v>0</v>
      </c>
    </row>
    <row r="456" spans="1:42" x14ac:dyDescent="0.2">
      <c r="A456" s="17">
        <f t="shared" ref="A456" si="238">A455+1</f>
        <v>10</v>
      </c>
      <c r="C456" s="52">
        <f t="shared" si="234"/>
        <v>0</v>
      </c>
      <c r="D456" s="52">
        <f t="shared" si="234"/>
        <v>0</v>
      </c>
      <c r="E456" s="52">
        <f t="shared" si="234"/>
        <v>0</v>
      </c>
      <c r="F456" s="52">
        <f t="shared" si="234"/>
        <v>0</v>
      </c>
      <c r="G456" s="52">
        <f t="shared" si="234"/>
        <v>0</v>
      </c>
      <c r="H456" s="52">
        <f t="shared" si="234"/>
        <v>0</v>
      </c>
      <c r="I456" s="52">
        <f t="shared" si="234"/>
        <v>0</v>
      </c>
      <c r="J456" s="52">
        <f t="shared" si="234"/>
        <v>0</v>
      </c>
      <c r="K456" s="52">
        <f t="shared" si="234"/>
        <v>0</v>
      </c>
      <c r="L456" s="52">
        <f t="shared" si="234"/>
        <v>0</v>
      </c>
      <c r="M456" s="52">
        <f t="shared" si="234"/>
        <v>0</v>
      </c>
      <c r="N456" s="52">
        <f t="shared" si="234"/>
        <v>0</v>
      </c>
      <c r="O456" s="52">
        <f t="shared" si="234"/>
        <v>0</v>
      </c>
      <c r="P456" s="52">
        <f t="shared" si="234"/>
        <v>0</v>
      </c>
      <c r="Q456" s="52">
        <f t="shared" si="234"/>
        <v>0</v>
      </c>
      <c r="R456" s="52">
        <f t="shared" si="234"/>
        <v>0</v>
      </c>
      <c r="S456" s="52">
        <f t="shared" si="237"/>
        <v>0</v>
      </c>
      <c r="T456" s="52">
        <f t="shared" si="237"/>
        <v>0</v>
      </c>
      <c r="U456" s="52">
        <f t="shared" si="237"/>
        <v>0</v>
      </c>
      <c r="V456" s="52">
        <f t="shared" si="237"/>
        <v>0</v>
      </c>
      <c r="W456" s="52">
        <f t="shared" si="237"/>
        <v>0</v>
      </c>
      <c r="X456" s="52">
        <f t="shared" si="237"/>
        <v>0</v>
      </c>
      <c r="Y456" s="52">
        <f t="shared" si="237"/>
        <v>0</v>
      </c>
      <c r="Z456" s="52">
        <f t="shared" si="237"/>
        <v>0</v>
      </c>
      <c r="AA456" s="52">
        <f t="shared" si="237"/>
        <v>0</v>
      </c>
      <c r="AB456" s="52">
        <f t="shared" si="237"/>
        <v>0</v>
      </c>
      <c r="AC456" s="52">
        <f t="shared" si="237"/>
        <v>0</v>
      </c>
      <c r="AD456" s="52">
        <f t="shared" si="237"/>
        <v>0</v>
      </c>
      <c r="AE456" s="52">
        <f t="shared" si="237"/>
        <v>0</v>
      </c>
      <c r="AF456" s="52">
        <f t="shared" si="237"/>
        <v>0</v>
      </c>
      <c r="AG456" s="52">
        <f t="shared" si="237"/>
        <v>0</v>
      </c>
      <c r="AH456" s="52">
        <f t="shared" si="237"/>
        <v>0</v>
      </c>
      <c r="AI456" s="52">
        <f t="shared" si="237"/>
        <v>0</v>
      </c>
      <c r="AJ456" s="52">
        <f t="shared" si="237"/>
        <v>0</v>
      </c>
      <c r="AK456" s="52">
        <f t="shared" si="237"/>
        <v>0</v>
      </c>
      <c r="AL456" s="52">
        <f t="shared" si="237"/>
        <v>0</v>
      </c>
      <c r="AM456" s="52">
        <f t="shared" si="237"/>
        <v>0</v>
      </c>
      <c r="AN456" s="52">
        <f t="shared" si="237"/>
        <v>0</v>
      </c>
      <c r="AO456" s="52">
        <f t="shared" si="237"/>
        <v>0</v>
      </c>
      <c r="AP456" s="52">
        <f t="shared" si="237"/>
        <v>0</v>
      </c>
    </row>
    <row r="457" spans="1:42" x14ac:dyDescent="0.2">
      <c r="A457" s="65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52"/>
      <c r="AE457" s="52"/>
      <c r="AF457" s="52"/>
      <c r="AG457" s="52"/>
      <c r="AH457" s="52"/>
      <c r="AI457" s="52"/>
      <c r="AJ457" s="52"/>
      <c r="AK457" s="52"/>
      <c r="AL457" s="52"/>
      <c r="AM457" s="52"/>
      <c r="AN457" s="52"/>
      <c r="AO457" s="52"/>
      <c r="AP457" s="52"/>
    </row>
    <row r="458" spans="1:42" x14ac:dyDescent="0.2">
      <c r="A458" s="65" t="s">
        <v>129</v>
      </c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52"/>
      <c r="AE458" s="52"/>
      <c r="AF458" s="52"/>
      <c r="AG458" s="52"/>
      <c r="AH458" s="52"/>
      <c r="AI458" s="52"/>
      <c r="AJ458" s="52"/>
      <c r="AK458" s="52"/>
      <c r="AL458" s="52"/>
      <c r="AM458" s="52"/>
      <c r="AN458" s="52"/>
      <c r="AO458" s="52"/>
      <c r="AP458" s="52"/>
    </row>
    <row r="459" spans="1:42" x14ac:dyDescent="0.2">
      <c r="A459" s="17">
        <v>1</v>
      </c>
      <c r="B459" s="58">
        <f t="shared" ref="B459:B468" si="239">SUM(C459:AP459)</f>
        <v>0</v>
      </c>
      <c r="C459" s="86">
        <f t="shared" ref="C459:AP459" si="240">LOOKUP(C447,$B$390:$AP$390,$B$391:$AP$391)*$B650</f>
        <v>0</v>
      </c>
      <c r="D459" s="52">
        <f t="shared" si="240"/>
        <v>0</v>
      </c>
      <c r="E459" s="52">
        <f t="shared" si="240"/>
        <v>0</v>
      </c>
      <c r="F459" s="52">
        <f t="shared" si="240"/>
        <v>0</v>
      </c>
      <c r="G459" s="52">
        <f t="shared" si="240"/>
        <v>0</v>
      </c>
      <c r="H459" s="52">
        <f t="shared" si="240"/>
        <v>0</v>
      </c>
      <c r="I459" s="52">
        <f t="shared" si="240"/>
        <v>0</v>
      </c>
      <c r="J459" s="52">
        <f t="shared" si="240"/>
        <v>0</v>
      </c>
      <c r="K459" s="52">
        <f t="shared" si="240"/>
        <v>0</v>
      </c>
      <c r="L459" s="52">
        <f t="shared" si="240"/>
        <v>0</v>
      </c>
      <c r="M459" s="52">
        <f t="shared" si="240"/>
        <v>0</v>
      </c>
      <c r="N459" s="52">
        <f t="shared" si="240"/>
        <v>0</v>
      </c>
      <c r="O459" s="52">
        <f t="shared" si="240"/>
        <v>0</v>
      </c>
      <c r="P459" s="52">
        <f t="shared" si="240"/>
        <v>0</v>
      </c>
      <c r="Q459" s="52">
        <f t="shared" si="240"/>
        <v>0</v>
      </c>
      <c r="R459" s="52">
        <f t="shared" si="240"/>
        <v>0</v>
      </c>
      <c r="S459" s="52">
        <f t="shared" si="240"/>
        <v>0</v>
      </c>
      <c r="T459" s="52">
        <f t="shared" si="240"/>
        <v>0</v>
      </c>
      <c r="U459" s="52">
        <f t="shared" si="240"/>
        <v>0</v>
      </c>
      <c r="V459" s="52">
        <f t="shared" si="240"/>
        <v>0</v>
      </c>
      <c r="W459" s="52">
        <f t="shared" si="240"/>
        <v>0</v>
      </c>
      <c r="X459" s="52">
        <f t="shared" si="240"/>
        <v>0</v>
      </c>
      <c r="Y459" s="52">
        <f t="shared" si="240"/>
        <v>0</v>
      </c>
      <c r="Z459" s="52">
        <f t="shared" si="240"/>
        <v>0</v>
      </c>
      <c r="AA459" s="52">
        <f t="shared" si="240"/>
        <v>0</v>
      </c>
      <c r="AB459" s="52">
        <f t="shared" si="240"/>
        <v>0</v>
      </c>
      <c r="AC459" s="52">
        <f t="shared" si="240"/>
        <v>0</v>
      </c>
      <c r="AD459" s="52">
        <f t="shared" si="240"/>
        <v>0</v>
      </c>
      <c r="AE459" s="52">
        <f t="shared" si="240"/>
        <v>0</v>
      </c>
      <c r="AF459" s="52">
        <f t="shared" si="240"/>
        <v>0</v>
      </c>
      <c r="AG459" s="52">
        <f t="shared" si="240"/>
        <v>0</v>
      </c>
      <c r="AH459" s="52">
        <f t="shared" si="240"/>
        <v>0</v>
      </c>
      <c r="AI459" s="52">
        <f t="shared" si="240"/>
        <v>0</v>
      </c>
      <c r="AJ459" s="52">
        <f t="shared" si="240"/>
        <v>0</v>
      </c>
      <c r="AK459" s="52">
        <f t="shared" si="240"/>
        <v>0</v>
      </c>
      <c r="AL459" s="52">
        <f t="shared" si="240"/>
        <v>0</v>
      </c>
      <c r="AM459" s="52">
        <f t="shared" si="240"/>
        <v>0</v>
      </c>
      <c r="AN459" s="52">
        <f t="shared" si="240"/>
        <v>0</v>
      </c>
      <c r="AO459" s="52">
        <f t="shared" si="240"/>
        <v>0</v>
      </c>
      <c r="AP459" s="52">
        <f t="shared" si="240"/>
        <v>0</v>
      </c>
    </row>
    <row r="460" spans="1:42" x14ac:dyDescent="0.2">
      <c r="A460" s="17">
        <f>A459+1</f>
        <v>2</v>
      </c>
      <c r="B460" s="58">
        <f t="shared" si="239"/>
        <v>0</v>
      </c>
      <c r="C460" s="86">
        <f t="shared" ref="C460:AP460" si="241">LOOKUP(C448,$B$390:$AP$390,$B$391:$AP$391)*$B651</f>
        <v>0</v>
      </c>
      <c r="D460" s="52">
        <f t="shared" si="241"/>
        <v>0</v>
      </c>
      <c r="E460" s="52">
        <f t="shared" si="241"/>
        <v>0</v>
      </c>
      <c r="F460" s="52">
        <f t="shared" si="241"/>
        <v>0</v>
      </c>
      <c r="G460" s="52">
        <f t="shared" si="241"/>
        <v>0</v>
      </c>
      <c r="H460" s="52">
        <f t="shared" si="241"/>
        <v>0</v>
      </c>
      <c r="I460" s="52">
        <f t="shared" si="241"/>
        <v>0</v>
      </c>
      <c r="J460" s="52">
        <f t="shared" si="241"/>
        <v>0</v>
      </c>
      <c r="K460" s="52">
        <f t="shared" si="241"/>
        <v>0</v>
      </c>
      <c r="L460" s="52">
        <f t="shared" si="241"/>
        <v>0</v>
      </c>
      <c r="M460" s="52">
        <f t="shared" si="241"/>
        <v>0</v>
      </c>
      <c r="N460" s="52">
        <f t="shared" si="241"/>
        <v>0</v>
      </c>
      <c r="O460" s="52">
        <f t="shared" si="241"/>
        <v>0</v>
      </c>
      <c r="P460" s="52">
        <f t="shared" si="241"/>
        <v>0</v>
      </c>
      <c r="Q460" s="52">
        <f t="shared" si="241"/>
        <v>0</v>
      </c>
      <c r="R460" s="52">
        <f t="shared" si="241"/>
        <v>0</v>
      </c>
      <c r="S460" s="52">
        <f t="shared" si="241"/>
        <v>0</v>
      </c>
      <c r="T460" s="52">
        <f t="shared" si="241"/>
        <v>0</v>
      </c>
      <c r="U460" s="52">
        <f t="shared" si="241"/>
        <v>0</v>
      </c>
      <c r="V460" s="52">
        <f t="shared" si="241"/>
        <v>0</v>
      </c>
      <c r="W460" s="52">
        <f t="shared" si="241"/>
        <v>0</v>
      </c>
      <c r="X460" s="52">
        <f t="shared" si="241"/>
        <v>0</v>
      </c>
      <c r="Y460" s="52">
        <f t="shared" si="241"/>
        <v>0</v>
      </c>
      <c r="Z460" s="52">
        <f t="shared" si="241"/>
        <v>0</v>
      </c>
      <c r="AA460" s="52">
        <f t="shared" si="241"/>
        <v>0</v>
      </c>
      <c r="AB460" s="52">
        <f t="shared" si="241"/>
        <v>0</v>
      </c>
      <c r="AC460" s="52">
        <f t="shared" si="241"/>
        <v>0</v>
      </c>
      <c r="AD460" s="52">
        <f t="shared" si="241"/>
        <v>0</v>
      </c>
      <c r="AE460" s="52">
        <f t="shared" si="241"/>
        <v>0</v>
      </c>
      <c r="AF460" s="52">
        <f t="shared" si="241"/>
        <v>0</v>
      </c>
      <c r="AG460" s="52">
        <f t="shared" si="241"/>
        <v>0</v>
      </c>
      <c r="AH460" s="52">
        <f t="shared" si="241"/>
        <v>0</v>
      </c>
      <c r="AI460" s="52">
        <f t="shared" si="241"/>
        <v>0</v>
      </c>
      <c r="AJ460" s="52">
        <f t="shared" si="241"/>
        <v>0</v>
      </c>
      <c r="AK460" s="52">
        <f t="shared" si="241"/>
        <v>0</v>
      </c>
      <c r="AL460" s="52">
        <f t="shared" si="241"/>
        <v>0</v>
      </c>
      <c r="AM460" s="52">
        <f t="shared" si="241"/>
        <v>0</v>
      </c>
      <c r="AN460" s="52">
        <f t="shared" si="241"/>
        <v>0</v>
      </c>
      <c r="AO460" s="52">
        <f t="shared" si="241"/>
        <v>0</v>
      </c>
      <c r="AP460" s="52">
        <f t="shared" si="241"/>
        <v>0</v>
      </c>
    </row>
    <row r="461" spans="1:42" x14ac:dyDescent="0.2">
      <c r="A461" s="17">
        <f t="shared" ref="A461:A466" si="242">A460+1</f>
        <v>3</v>
      </c>
      <c r="B461" s="58">
        <f t="shared" si="239"/>
        <v>0</v>
      </c>
      <c r="C461" s="86">
        <f t="shared" ref="C461:AP461" si="243">LOOKUP(C449,$B$390:$AP$390,$B$391:$AP$391)*$B652</f>
        <v>0</v>
      </c>
      <c r="D461" s="52">
        <f t="shared" si="243"/>
        <v>0</v>
      </c>
      <c r="E461" s="52">
        <f t="shared" si="243"/>
        <v>0</v>
      </c>
      <c r="F461" s="52">
        <f t="shared" si="243"/>
        <v>0</v>
      </c>
      <c r="G461" s="52">
        <f t="shared" si="243"/>
        <v>0</v>
      </c>
      <c r="H461" s="52">
        <f t="shared" si="243"/>
        <v>0</v>
      </c>
      <c r="I461" s="52">
        <f t="shared" si="243"/>
        <v>0</v>
      </c>
      <c r="J461" s="52">
        <f t="shared" si="243"/>
        <v>0</v>
      </c>
      <c r="K461" s="52">
        <f t="shared" si="243"/>
        <v>0</v>
      </c>
      <c r="L461" s="52">
        <f t="shared" si="243"/>
        <v>0</v>
      </c>
      <c r="M461" s="52">
        <f t="shared" si="243"/>
        <v>0</v>
      </c>
      <c r="N461" s="52">
        <f t="shared" si="243"/>
        <v>0</v>
      </c>
      <c r="O461" s="52">
        <f t="shared" si="243"/>
        <v>0</v>
      </c>
      <c r="P461" s="52">
        <f t="shared" si="243"/>
        <v>0</v>
      </c>
      <c r="Q461" s="52">
        <f t="shared" si="243"/>
        <v>0</v>
      </c>
      <c r="R461" s="52">
        <f t="shared" si="243"/>
        <v>0</v>
      </c>
      <c r="S461" s="52">
        <f t="shared" si="243"/>
        <v>0</v>
      </c>
      <c r="T461" s="52">
        <f t="shared" si="243"/>
        <v>0</v>
      </c>
      <c r="U461" s="52">
        <f t="shared" si="243"/>
        <v>0</v>
      </c>
      <c r="V461" s="52">
        <f t="shared" si="243"/>
        <v>0</v>
      </c>
      <c r="W461" s="52">
        <f t="shared" si="243"/>
        <v>0</v>
      </c>
      <c r="X461" s="52">
        <f t="shared" si="243"/>
        <v>0</v>
      </c>
      <c r="Y461" s="52">
        <f t="shared" si="243"/>
        <v>0</v>
      </c>
      <c r="Z461" s="52">
        <f t="shared" si="243"/>
        <v>0</v>
      </c>
      <c r="AA461" s="52">
        <f t="shared" si="243"/>
        <v>0</v>
      </c>
      <c r="AB461" s="52">
        <f t="shared" si="243"/>
        <v>0</v>
      </c>
      <c r="AC461" s="52">
        <f t="shared" si="243"/>
        <v>0</v>
      </c>
      <c r="AD461" s="52">
        <f t="shared" si="243"/>
        <v>0</v>
      </c>
      <c r="AE461" s="52">
        <f t="shared" si="243"/>
        <v>0</v>
      </c>
      <c r="AF461" s="52">
        <f t="shared" si="243"/>
        <v>0</v>
      </c>
      <c r="AG461" s="52">
        <f t="shared" si="243"/>
        <v>0</v>
      </c>
      <c r="AH461" s="52">
        <f t="shared" si="243"/>
        <v>0</v>
      </c>
      <c r="AI461" s="52">
        <f t="shared" si="243"/>
        <v>0</v>
      </c>
      <c r="AJ461" s="52">
        <f t="shared" si="243"/>
        <v>0</v>
      </c>
      <c r="AK461" s="52">
        <f t="shared" si="243"/>
        <v>0</v>
      </c>
      <c r="AL461" s="52">
        <f t="shared" si="243"/>
        <v>0</v>
      </c>
      <c r="AM461" s="52">
        <f t="shared" si="243"/>
        <v>0</v>
      </c>
      <c r="AN461" s="52">
        <f t="shared" si="243"/>
        <v>0</v>
      </c>
      <c r="AO461" s="52">
        <f t="shared" si="243"/>
        <v>0</v>
      </c>
      <c r="AP461" s="52">
        <f t="shared" si="243"/>
        <v>0</v>
      </c>
    </row>
    <row r="462" spans="1:42" x14ac:dyDescent="0.2">
      <c r="A462" s="17">
        <f t="shared" si="242"/>
        <v>4</v>
      </c>
      <c r="B462" s="58">
        <f t="shared" si="239"/>
        <v>0</v>
      </c>
      <c r="C462" s="86">
        <f t="shared" ref="C462:AP462" si="244">LOOKUP(C450,$B$390:$AP$390,$B$391:$AP$391)*$B653</f>
        <v>0</v>
      </c>
      <c r="D462" s="52">
        <f t="shared" si="244"/>
        <v>0</v>
      </c>
      <c r="E462" s="52">
        <f t="shared" si="244"/>
        <v>0</v>
      </c>
      <c r="F462" s="52">
        <f t="shared" si="244"/>
        <v>0</v>
      </c>
      <c r="G462" s="52">
        <f t="shared" si="244"/>
        <v>0</v>
      </c>
      <c r="H462" s="52">
        <f t="shared" si="244"/>
        <v>0</v>
      </c>
      <c r="I462" s="52">
        <f t="shared" si="244"/>
        <v>0</v>
      </c>
      <c r="J462" s="52">
        <f t="shared" si="244"/>
        <v>0</v>
      </c>
      <c r="K462" s="52">
        <f t="shared" si="244"/>
        <v>0</v>
      </c>
      <c r="L462" s="52">
        <f t="shared" si="244"/>
        <v>0</v>
      </c>
      <c r="M462" s="52">
        <f t="shared" si="244"/>
        <v>0</v>
      </c>
      <c r="N462" s="52">
        <f t="shared" si="244"/>
        <v>0</v>
      </c>
      <c r="O462" s="52">
        <f t="shared" si="244"/>
        <v>0</v>
      </c>
      <c r="P462" s="52">
        <f t="shared" si="244"/>
        <v>0</v>
      </c>
      <c r="Q462" s="52">
        <f t="shared" si="244"/>
        <v>0</v>
      </c>
      <c r="R462" s="52">
        <f t="shared" si="244"/>
        <v>0</v>
      </c>
      <c r="S462" s="52">
        <f t="shared" si="244"/>
        <v>0</v>
      </c>
      <c r="T462" s="52">
        <f t="shared" si="244"/>
        <v>0</v>
      </c>
      <c r="U462" s="52">
        <f t="shared" si="244"/>
        <v>0</v>
      </c>
      <c r="V462" s="52">
        <f t="shared" si="244"/>
        <v>0</v>
      </c>
      <c r="W462" s="52">
        <f t="shared" si="244"/>
        <v>0</v>
      </c>
      <c r="X462" s="52">
        <f t="shared" si="244"/>
        <v>0</v>
      </c>
      <c r="Y462" s="52">
        <f t="shared" si="244"/>
        <v>0</v>
      </c>
      <c r="Z462" s="52">
        <f t="shared" si="244"/>
        <v>0</v>
      </c>
      <c r="AA462" s="52">
        <f t="shared" si="244"/>
        <v>0</v>
      </c>
      <c r="AB462" s="52">
        <f t="shared" si="244"/>
        <v>0</v>
      </c>
      <c r="AC462" s="52">
        <f t="shared" si="244"/>
        <v>0</v>
      </c>
      <c r="AD462" s="52">
        <f t="shared" si="244"/>
        <v>0</v>
      </c>
      <c r="AE462" s="52">
        <f t="shared" si="244"/>
        <v>0</v>
      </c>
      <c r="AF462" s="52">
        <f t="shared" si="244"/>
        <v>0</v>
      </c>
      <c r="AG462" s="52">
        <f t="shared" si="244"/>
        <v>0</v>
      </c>
      <c r="AH462" s="52">
        <f t="shared" si="244"/>
        <v>0</v>
      </c>
      <c r="AI462" s="52">
        <f t="shared" si="244"/>
        <v>0</v>
      </c>
      <c r="AJ462" s="52">
        <f t="shared" si="244"/>
        <v>0</v>
      </c>
      <c r="AK462" s="52">
        <f t="shared" si="244"/>
        <v>0</v>
      </c>
      <c r="AL462" s="52">
        <f t="shared" si="244"/>
        <v>0</v>
      </c>
      <c r="AM462" s="52">
        <f t="shared" si="244"/>
        <v>0</v>
      </c>
      <c r="AN462" s="52">
        <f t="shared" si="244"/>
        <v>0</v>
      </c>
      <c r="AO462" s="52">
        <f t="shared" si="244"/>
        <v>0</v>
      </c>
      <c r="AP462" s="52">
        <f t="shared" si="244"/>
        <v>0</v>
      </c>
    </row>
    <row r="463" spans="1:42" x14ac:dyDescent="0.2">
      <c r="A463" s="17">
        <f t="shared" si="242"/>
        <v>5</v>
      </c>
      <c r="B463" s="58">
        <f t="shared" si="239"/>
        <v>0</v>
      </c>
      <c r="C463" s="86">
        <f t="shared" ref="C463:AP463" si="245">LOOKUP(C451,$B$390:$AP$390,$B$391:$AP$391)*$B654</f>
        <v>0</v>
      </c>
      <c r="D463" s="52">
        <f t="shared" si="245"/>
        <v>0</v>
      </c>
      <c r="E463" s="52">
        <f t="shared" si="245"/>
        <v>0</v>
      </c>
      <c r="F463" s="52">
        <f t="shared" si="245"/>
        <v>0</v>
      </c>
      <c r="G463" s="52">
        <f t="shared" si="245"/>
        <v>0</v>
      </c>
      <c r="H463" s="52">
        <f t="shared" si="245"/>
        <v>0</v>
      </c>
      <c r="I463" s="52">
        <f t="shared" si="245"/>
        <v>0</v>
      </c>
      <c r="J463" s="52">
        <f t="shared" si="245"/>
        <v>0</v>
      </c>
      <c r="K463" s="52">
        <f t="shared" si="245"/>
        <v>0</v>
      </c>
      <c r="L463" s="52">
        <f t="shared" si="245"/>
        <v>0</v>
      </c>
      <c r="M463" s="52">
        <f t="shared" si="245"/>
        <v>0</v>
      </c>
      <c r="N463" s="52">
        <f t="shared" si="245"/>
        <v>0</v>
      </c>
      <c r="O463" s="52">
        <f t="shared" si="245"/>
        <v>0</v>
      </c>
      <c r="P463" s="52">
        <f t="shared" si="245"/>
        <v>0</v>
      </c>
      <c r="Q463" s="52">
        <f t="shared" si="245"/>
        <v>0</v>
      </c>
      <c r="R463" s="52">
        <f t="shared" si="245"/>
        <v>0</v>
      </c>
      <c r="S463" s="52">
        <f t="shared" si="245"/>
        <v>0</v>
      </c>
      <c r="T463" s="52">
        <f t="shared" si="245"/>
        <v>0</v>
      </c>
      <c r="U463" s="52">
        <f t="shared" si="245"/>
        <v>0</v>
      </c>
      <c r="V463" s="52">
        <f t="shared" si="245"/>
        <v>0</v>
      </c>
      <c r="W463" s="52">
        <f t="shared" si="245"/>
        <v>0</v>
      </c>
      <c r="X463" s="52">
        <f t="shared" si="245"/>
        <v>0</v>
      </c>
      <c r="Y463" s="52">
        <f t="shared" si="245"/>
        <v>0</v>
      </c>
      <c r="Z463" s="52">
        <f t="shared" si="245"/>
        <v>0</v>
      </c>
      <c r="AA463" s="52">
        <f t="shared" si="245"/>
        <v>0</v>
      </c>
      <c r="AB463" s="52">
        <f t="shared" si="245"/>
        <v>0</v>
      </c>
      <c r="AC463" s="52">
        <f t="shared" si="245"/>
        <v>0</v>
      </c>
      <c r="AD463" s="52">
        <f t="shared" si="245"/>
        <v>0</v>
      </c>
      <c r="AE463" s="52">
        <f t="shared" si="245"/>
        <v>0</v>
      </c>
      <c r="AF463" s="52">
        <f t="shared" si="245"/>
        <v>0</v>
      </c>
      <c r="AG463" s="52">
        <f t="shared" si="245"/>
        <v>0</v>
      </c>
      <c r="AH463" s="52">
        <f t="shared" si="245"/>
        <v>0</v>
      </c>
      <c r="AI463" s="52">
        <f t="shared" si="245"/>
        <v>0</v>
      </c>
      <c r="AJ463" s="52">
        <f t="shared" si="245"/>
        <v>0</v>
      </c>
      <c r="AK463" s="52">
        <f t="shared" si="245"/>
        <v>0</v>
      </c>
      <c r="AL463" s="52">
        <f t="shared" si="245"/>
        <v>0</v>
      </c>
      <c r="AM463" s="52">
        <f t="shared" si="245"/>
        <v>0</v>
      </c>
      <c r="AN463" s="52">
        <f t="shared" si="245"/>
        <v>0</v>
      </c>
      <c r="AO463" s="52">
        <f t="shared" si="245"/>
        <v>0</v>
      </c>
      <c r="AP463" s="52">
        <f t="shared" si="245"/>
        <v>0</v>
      </c>
    </row>
    <row r="464" spans="1:42" x14ac:dyDescent="0.2">
      <c r="A464" s="17">
        <f t="shared" si="242"/>
        <v>6</v>
      </c>
      <c r="B464" s="58">
        <f t="shared" si="239"/>
        <v>0</v>
      </c>
      <c r="C464" s="86">
        <f t="shared" ref="C464:AP464" si="246">LOOKUP(C452,$B$390:$AP$390,$B$391:$AP$391)*$B655</f>
        <v>0</v>
      </c>
      <c r="D464" s="52">
        <f t="shared" si="246"/>
        <v>0</v>
      </c>
      <c r="E464" s="52">
        <f t="shared" si="246"/>
        <v>0</v>
      </c>
      <c r="F464" s="52">
        <f t="shared" si="246"/>
        <v>0</v>
      </c>
      <c r="G464" s="52">
        <f t="shared" si="246"/>
        <v>0</v>
      </c>
      <c r="H464" s="52">
        <f t="shared" si="246"/>
        <v>0</v>
      </c>
      <c r="I464" s="52">
        <f t="shared" si="246"/>
        <v>0</v>
      </c>
      <c r="J464" s="52">
        <f t="shared" si="246"/>
        <v>0</v>
      </c>
      <c r="K464" s="52">
        <f t="shared" si="246"/>
        <v>0</v>
      </c>
      <c r="L464" s="52">
        <f t="shared" si="246"/>
        <v>0</v>
      </c>
      <c r="M464" s="52">
        <f t="shared" si="246"/>
        <v>0</v>
      </c>
      <c r="N464" s="52">
        <f t="shared" si="246"/>
        <v>0</v>
      </c>
      <c r="O464" s="52">
        <f t="shared" si="246"/>
        <v>0</v>
      </c>
      <c r="P464" s="52">
        <f t="shared" si="246"/>
        <v>0</v>
      </c>
      <c r="Q464" s="52">
        <f t="shared" si="246"/>
        <v>0</v>
      </c>
      <c r="R464" s="52">
        <f t="shared" si="246"/>
        <v>0</v>
      </c>
      <c r="S464" s="52">
        <f t="shared" si="246"/>
        <v>0</v>
      </c>
      <c r="T464" s="52">
        <f t="shared" si="246"/>
        <v>0</v>
      </c>
      <c r="U464" s="52">
        <f t="shared" si="246"/>
        <v>0</v>
      </c>
      <c r="V464" s="52">
        <f t="shared" si="246"/>
        <v>0</v>
      </c>
      <c r="W464" s="52">
        <f t="shared" si="246"/>
        <v>0</v>
      </c>
      <c r="X464" s="52">
        <f t="shared" si="246"/>
        <v>0</v>
      </c>
      <c r="Y464" s="52">
        <f t="shared" si="246"/>
        <v>0</v>
      </c>
      <c r="Z464" s="52">
        <f t="shared" si="246"/>
        <v>0</v>
      </c>
      <c r="AA464" s="52">
        <f t="shared" si="246"/>
        <v>0</v>
      </c>
      <c r="AB464" s="52">
        <f t="shared" si="246"/>
        <v>0</v>
      </c>
      <c r="AC464" s="52">
        <f t="shared" si="246"/>
        <v>0</v>
      </c>
      <c r="AD464" s="52">
        <f t="shared" si="246"/>
        <v>0</v>
      </c>
      <c r="AE464" s="52">
        <f t="shared" si="246"/>
        <v>0</v>
      </c>
      <c r="AF464" s="52">
        <f t="shared" si="246"/>
        <v>0</v>
      </c>
      <c r="AG464" s="52">
        <f t="shared" si="246"/>
        <v>0</v>
      </c>
      <c r="AH464" s="52">
        <f t="shared" si="246"/>
        <v>0</v>
      </c>
      <c r="AI464" s="52">
        <f t="shared" si="246"/>
        <v>0</v>
      </c>
      <c r="AJ464" s="52">
        <f t="shared" si="246"/>
        <v>0</v>
      </c>
      <c r="AK464" s="52">
        <f t="shared" si="246"/>
        <v>0</v>
      </c>
      <c r="AL464" s="52">
        <f t="shared" si="246"/>
        <v>0</v>
      </c>
      <c r="AM464" s="52">
        <f t="shared" si="246"/>
        <v>0</v>
      </c>
      <c r="AN464" s="52">
        <f t="shared" si="246"/>
        <v>0</v>
      </c>
      <c r="AO464" s="52">
        <f t="shared" si="246"/>
        <v>0</v>
      </c>
      <c r="AP464" s="52">
        <f t="shared" si="246"/>
        <v>0</v>
      </c>
    </row>
    <row r="465" spans="1:42" x14ac:dyDescent="0.2">
      <c r="A465" s="17">
        <f t="shared" si="242"/>
        <v>7</v>
      </c>
      <c r="B465" s="58">
        <f t="shared" si="239"/>
        <v>0</v>
      </c>
      <c r="C465" s="86">
        <f t="shared" ref="C465:AP465" si="247">LOOKUP(C453,$B$390:$AP$390,$B$391:$AP$391)*$B656</f>
        <v>0</v>
      </c>
      <c r="D465" s="52">
        <f t="shared" si="247"/>
        <v>0</v>
      </c>
      <c r="E465" s="52">
        <f t="shared" si="247"/>
        <v>0</v>
      </c>
      <c r="F465" s="52">
        <f t="shared" si="247"/>
        <v>0</v>
      </c>
      <c r="G465" s="52">
        <f t="shared" si="247"/>
        <v>0</v>
      </c>
      <c r="H465" s="52">
        <f t="shared" si="247"/>
        <v>0</v>
      </c>
      <c r="I465" s="52">
        <f t="shared" si="247"/>
        <v>0</v>
      </c>
      <c r="J465" s="52">
        <f t="shared" si="247"/>
        <v>0</v>
      </c>
      <c r="K465" s="52">
        <f t="shared" si="247"/>
        <v>0</v>
      </c>
      <c r="L465" s="52">
        <f t="shared" si="247"/>
        <v>0</v>
      </c>
      <c r="M465" s="52">
        <f t="shared" si="247"/>
        <v>0</v>
      </c>
      <c r="N465" s="52">
        <f t="shared" si="247"/>
        <v>0</v>
      </c>
      <c r="O465" s="52">
        <f t="shared" si="247"/>
        <v>0</v>
      </c>
      <c r="P465" s="52">
        <f t="shared" si="247"/>
        <v>0</v>
      </c>
      <c r="Q465" s="52">
        <f t="shared" si="247"/>
        <v>0</v>
      </c>
      <c r="R465" s="52">
        <f t="shared" si="247"/>
        <v>0</v>
      </c>
      <c r="S465" s="52">
        <f t="shared" si="247"/>
        <v>0</v>
      </c>
      <c r="T465" s="52">
        <f t="shared" si="247"/>
        <v>0</v>
      </c>
      <c r="U465" s="52">
        <f t="shared" si="247"/>
        <v>0</v>
      </c>
      <c r="V465" s="52">
        <f t="shared" si="247"/>
        <v>0</v>
      </c>
      <c r="W465" s="52">
        <f t="shared" si="247"/>
        <v>0</v>
      </c>
      <c r="X465" s="52">
        <f t="shared" si="247"/>
        <v>0</v>
      </c>
      <c r="Y465" s="52">
        <f t="shared" si="247"/>
        <v>0</v>
      </c>
      <c r="Z465" s="52">
        <f t="shared" si="247"/>
        <v>0</v>
      </c>
      <c r="AA465" s="52">
        <f t="shared" si="247"/>
        <v>0</v>
      </c>
      <c r="AB465" s="52">
        <f t="shared" si="247"/>
        <v>0</v>
      </c>
      <c r="AC465" s="52">
        <f t="shared" si="247"/>
        <v>0</v>
      </c>
      <c r="AD465" s="52">
        <f t="shared" si="247"/>
        <v>0</v>
      </c>
      <c r="AE465" s="52">
        <f t="shared" si="247"/>
        <v>0</v>
      </c>
      <c r="AF465" s="52">
        <f t="shared" si="247"/>
        <v>0</v>
      </c>
      <c r="AG465" s="52">
        <f t="shared" si="247"/>
        <v>0</v>
      </c>
      <c r="AH465" s="52">
        <f t="shared" si="247"/>
        <v>0</v>
      </c>
      <c r="AI465" s="52">
        <f t="shared" si="247"/>
        <v>0</v>
      </c>
      <c r="AJ465" s="52">
        <f t="shared" si="247"/>
        <v>0</v>
      </c>
      <c r="AK465" s="52">
        <f t="shared" si="247"/>
        <v>0</v>
      </c>
      <c r="AL465" s="52">
        <f t="shared" si="247"/>
        <v>0</v>
      </c>
      <c r="AM465" s="52">
        <f t="shared" si="247"/>
        <v>0</v>
      </c>
      <c r="AN465" s="52">
        <f t="shared" si="247"/>
        <v>0</v>
      </c>
      <c r="AO465" s="52">
        <f t="shared" si="247"/>
        <v>0</v>
      </c>
      <c r="AP465" s="52">
        <f t="shared" si="247"/>
        <v>0</v>
      </c>
    </row>
    <row r="466" spans="1:42" x14ac:dyDescent="0.2">
      <c r="A466" s="17">
        <f t="shared" si="242"/>
        <v>8</v>
      </c>
      <c r="B466" s="58">
        <f t="shared" si="239"/>
        <v>0</v>
      </c>
      <c r="C466" s="86">
        <f t="shared" ref="C466:AP466" si="248">LOOKUP(C454,$B$390:$AP$390,$B$391:$AP$391)*$B657</f>
        <v>0</v>
      </c>
      <c r="D466" s="52">
        <f t="shared" si="248"/>
        <v>0</v>
      </c>
      <c r="E466" s="52">
        <f t="shared" si="248"/>
        <v>0</v>
      </c>
      <c r="F466" s="52">
        <f t="shared" si="248"/>
        <v>0</v>
      </c>
      <c r="G466" s="52">
        <f t="shared" si="248"/>
        <v>0</v>
      </c>
      <c r="H466" s="52">
        <f t="shared" si="248"/>
        <v>0</v>
      </c>
      <c r="I466" s="52">
        <f t="shared" si="248"/>
        <v>0</v>
      </c>
      <c r="J466" s="52">
        <f t="shared" si="248"/>
        <v>0</v>
      </c>
      <c r="K466" s="52">
        <f t="shared" si="248"/>
        <v>0</v>
      </c>
      <c r="L466" s="52">
        <f t="shared" si="248"/>
        <v>0</v>
      </c>
      <c r="M466" s="52">
        <f t="shared" si="248"/>
        <v>0</v>
      </c>
      <c r="N466" s="52">
        <f t="shared" si="248"/>
        <v>0</v>
      </c>
      <c r="O466" s="52">
        <f t="shared" si="248"/>
        <v>0</v>
      </c>
      <c r="P466" s="52">
        <f t="shared" si="248"/>
        <v>0</v>
      </c>
      <c r="Q466" s="52">
        <f t="shared" si="248"/>
        <v>0</v>
      </c>
      <c r="R466" s="52">
        <f t="shared" si="248"/>
        <v>0</v>
      </c>
      <c r="S466" s="52">
        <f t="shared" si="248"/>
        <v>0</v>
      </c>
      <c r="T466" s="52">
        <f t="shared" si="248"/>
        <v>0</v>
      </c>
      <c r="U466" s="52">
        <f t="shared" si="248"/>
        <v>0</v>
      </c>
      <c r="V466" s="52">
        <f t="shared" si="248"/>
        <v>0</v>
      </c>
      <c r="W466" s="52">
        <f t="shared" si="248"/>
        <v>0</v>
      </c>
      <c r="X466" s="52">
        <f t="shared" si="248"/>
        <v>0</v>
      </c>
      <c r="Y466" s="52">
        <f t="shared" si="248"/>
        <v>0</v>
      </c>
      <c r="Z466" s="52">
        <f t="shared" si="248"/>
        <v>0</v>
      </c>
      <c r="AA466" s="52">
        <f t="shared" si="248"/>
        <v>0</v>
      </c>
      <c r="AB466" s="52">
        <f t="shared" si="248"/>
        <v>0</v>
      </c>
      <c r="AC466" s="52">
        <f t="shared" si="248"/>
        <v>0</v>
      </c>
      <c r="AD466" s="52">
        <f t="shared" si="248"/>
        <v>0</v>
      </c>
      <c r="AE466" s="52">
        <f t="shared" si="248"/>
        <v>0</v>
      </c>
      <c r="AF466" s="52">
        <f t="shared" si="248"/>
        <v>0</v>
      </c>
      <c r="AG466" s="52">
        <f t="shared" si="248"/>
        <v>0</v>
      </c>
      <c r="AH466" s="52">
        <f t="shared" si="248"/>
        <v>0</v>
      </c>
      <c r="AI466" s="52">
        <f t="shared" si="248"/>
        <v>0</v>
      </c>
      <c r="AJ466" s="52">
        <f t="shared" si="248"/>
        <v>0</v>
      </c>
      <c r="AK466" s="52">
        <f t="shared" si="248"/>
        <v>0</v>
      </c>
      <c r="AL466" s="52">
        <f t="shared" si="248"/>
        <v>0</v>
      </c>
      <c r="AM466" s="52">
        <f t="shared" si="248"/>
        <v>0</v>
      </c>
      <c r="AN466" s="52">
        <f t="shared" si="248"/>
        <v>0</v>
      </c>
      <c r="AO466" s="52">
        <f t="shared" si="248"/>
        <v>0</v>
      </c>
      <c r="AP466" s="52">
        <f t="shared" si="248"/>
        <v>0</v>
      </c>
    </row>
    <row r="467" spans="1:42" x14ac:dyDescent="0.2">
      <c r="A467" s="17">
        <f>A466+1</f>
        <v>9</v>
      </c>
      <c r="B467" s="58">
        <f t="shared" si="239"/>
        <v>0</v>
      </c>
      <c r="C467" s="86">
        <f t="shared" ref="C467:AP467" si="249">LOOKUP(C455,$B$390:$AP$390,$B$391:$AP$391)*$B658</f>
        <v>0</v>
      </c>
      <c r="D467" s="52">
        <f t="shared" si="249"/>
        <v>0</v>
      </c>
      <c r="E467" s="52">
        <f t="shared" si="249"/>
        <v>0</v>
      </c>
      <c r="F467" s="52">
        <f t="shared" si="249"/>
        <v>0</v>
      </c>
      <c r="G467" s="52">
        <f t="shared" si="249"/>
        <v>0</v>
      </c>
      <c r="H467" s="52">
        <f t="shared" si="249"/>
        <v>0</v>
      </c>
      <c r="I467" s="52">
        <f t="shared" si="249"/>
        <v>0</v>
      </c>
      <c r="J467" s="52">
        <f t="shared" si="249"/>
        <v>0</v>
      </c>
      <c r="K467" s="52">
        <f t="shared" si="249"/>
        <v>0</v>
      </c>
      <c r="L467" s="52">
        <f t="shared" si="249"/>
        <v>0</v>
      </c>
      <c r="M467" s="52">
        <f t="shared" si="249"/>
        <v>0</v>
      </c>
      <c r="N467" s="52">
        <f t="shared" si="249"/>
        <v>0</v>
      </c>
      <c r="O467" s="52">
        <f t="shared" si="249"/>
        <v>0</v>
      </c>
      <c r="P467" s="52">
        <f t="shared" si="249"/>
        <v>0</v>
      </c>
      <c r="Q467" s="52">
        <f t="shared" si="249"/>
        <v>0</v>
      </c>
      <c r="R467" s="52">
        <f t="shared" si="249"/>
        <v>0</v>
      </c>
      <c r="S467" s="52">
        <f t="shared" si="249"/>
        <v>0</v>
      </c>
      <c r="T467" s="52">
        <f t="shared" si="249"/>
        <v>0</v>
      </c>
      <c r="U467" s="52">
        <f t="shared" si="249"/>
        <v>0</v>
      </c>
      <c r="V467" s="52">
        <f t="shared" si="249"/>
        <v>0</v>
      </c>
      <c r="W467" s="52">
        <f t="shared" si="249"/>
        <v>0</v>
      </c>
      <c r="X467" s="52">
        <f t="shared" si="249"/>
        <v>0</v>
      </c>
      <c r="Y467" s="52">
        <f t="shared" si="249"/>
        <v>0</v>
      </c>
      <c r="Z467" s="52">
        <f t="shared" si="249"/>
        <v>0</v>
      </c>
      <c r="AA467" s="52">
        <f t="shared" si="249"/>
        <v>0</v>
      </c>
      <c r="AB467" s="52">
        <f t="shared" si="249"/>
        <v>0</v>
      </c>
      <c r="AC467" s="52">
        <f t="shared" si="249"/>
        <v>0</v>
      </c>
      <c r="AD467" s="52">
        <f t="shared" si="249"/>
        <v>0</v>
      </c>
      <c r="AE467" s="52">
        <f t="shared" si="249"/>
        <v>0</v>
      </c>
      <c r="AF467" s="52">
        <f t="shared" si="249"/>
        <v>0</v>
      </c>
      <c r="AG467" s="52">
        <f t="shared" si="249"/>
        <v>0</v>
      </c>
      <c r="AH467" s="52">
        <f t="shared" si="249"/>
        <v>0</v>
      </c>
      <c r="AI467" s="52">
        <f t="shared" si="249"/>
        <v>0</v>
      </c>
      <c r="AJ467" s="52">
        <f t="shared" si="249"/>
        <v>0</v>
      </c>
      <c r="AK467" s="52">
        <f t="shared" si="249"/>
        <v>0</v>
      </c>
      <c r="AL467" s="52">
        <f t="shared" si="249"/>
        <v>0</v>
      </c>
      <c r="AM467" s="52">
        <f t="shared" si="249"/>
        <v>0</v>
      </c>
      <c r="AN467" s="52">
        <f t="shared" si="249"/>
        <v>0</v>
      </c>
      <c r="AO467" s="52">
        <f t="shared" si="249"/>
        <v>0</v>
      </c>
      <c r="AP467" s="52">
        <f t="shared" si="249"/>
        <v>0</v>
      </c>
    </row>
    <row r="468" spans="1:42" x14ac:dyDescent="0.2">
      <c r="A468" s="17">
        <f t="shared" ref="A468" si="250">A467+1</f>
        <v>10</v>
      </c>
      <c r="B468" s="58">
        <f t="shared" si="239"/>
        <v>0</v>
      </c>
      <c r="C468" s="82">
        <f t="shared" ref="C468:AP468" si="251">LOOKUP(C456,$B$390:$AP$390,$B$391:$AP$391)*$B659</f>
        <v>0</v>
      </c>
      <c r="D468" s="53">
        <f t="shared" si="251"/>
        <v>0</v>
      </c>
      <c r="E468" s="53">
        <f t="shared" si="251"/>
        <v>0</v>
      </c>
      <c r="F468" s="53">
        <f t="shared" si="251"/>
        <v>0</v>
      </c>
      <c r="G468" s="53">
        <f t="shared" si="251"/>
        <v>0</v>
      </c>
      <c r="H468" s="53">
        <f t="shared" si="251"/>
        <v>0</v>
      </c>
      <c r="I468" s="53">
        <f t="shared" si="251"/>
        <v>0</v>
      </c>
      <c r="J468" s="53">
        <f t="shared" si="251"/>
        <v>0</v>
      </c>
      <c r="K468" s="53">
        <f t="shared" si="251"/>
        <v>0</v>
      </c>
      <c r="L468" s="53">
        <f t="shared" si="251"/>
        <v>0</v>
      </c>
      <c r="M468" s="53">
        <f t="shared" si="251"/>
        <v>0</v>
      </c>
      <c r="N468" s="53">
        <f t="shared" si="251"/>
        <v>0</v>
      </c>
      <c r="O468" s="53">
        <f t="shared" si="251"/>
        <v>0</v>
      </c>
      <c r="P468" s="53">
        <f t="shared" si="251"/>
        <v>0</v>
      </c>
      <c r="Q468" s="53">
        <f t="shared" si="251"/>
        <v>0</v>
      </c>
      <c r="R468" s="53">
        <f t="shared" si="251"/>
        <v>0</v>
      </c>
      <c r="S468" s="53">
        <f t="shared" si="251"/>
        <v>0</v>
      </c>
      <c r="T468" s="53">
        <f t="shared" si="251"/>
        <v>0</v>
      </c>
      <c r="U468" s="53">
        <f t="shared" si="251"/>
        <v>0</v>
      </c>
      <c r="V468" s="53">
        <f t="shared" si="251"/>
        <v>0</v>
      </c>
      <c r="W468" s="53">
        <f t="shared" si="251"/>
        <v>0</v>
      </c>
      <c r="X468" s="53">
        <f t="shared" si="251"/>
        <v>0</v>
      </c>
      <c r="Y468" s="53">
        <f t="shared" si="251"/>
        <v>0</v>
      </c>
      <c r="Z468" s="53">
        <f t="shared" si="251"/>
        <v>0</v>
      </c>
      <c r="AA468" s="53">
        <f t="shared" si="251"/>
        <v>0</v>
      </c>
      <c r="AB468" s="53">
        <f t="shared" si="251"/>
        <v>0</v>
      </c>
      <c r="AC468" s="53">
        <f t="shared" si="251"/>
        <v>0</v>
      </c>
      <c r="AD468" s="53">
        <f t="shared" si="251"/>
        <v>0</v>
      </c>
      <c r="AE468" s="53">
        <f t="shared" si="251"/>
        <v>0</v>
      </c>
      <c r="AF468" s="53">
        <f t="shared" si="251"/>
        <v>0</v>
      </c>
      <c r="AG468" s="53">
        <f t="shared" si="251"/>
        <v>0</v>
      </c>
      <c r="AH468" s="53">
        <f t="shared" si="251"/>
        <v>0</v>
      </c>
      <c r="AI468" s="53">
        <f t="shared" si="251"/>
        <v>0</v>
      </c>
      <c r="AJ468" s="53">
        <f t="shared" si="251"/>
        <v>0</v>
      </c>
      <c r="AK468" s="53">
        <f t="shared" si="251"/>
        <v>0</v>
      </c>
      <c r="AL468" s="53">
        <f t="shared" si="251"/>
        <v>0</v>
      </c>
      <c r="AM468" s="53">
        <f t="shared" si="251"/>
        <v>0</v>
      </c>
      <c r="AN468" s="53">
        <f t="shared" si="251"/>
        <v>0</v>
      </c>
      <c r="AO468" s="53">
        <f t="shared" si="251"/>
        <v>0</v>
      </c>
      <c r="AP468" s="53">
        <f t="shared" si="251"/>
        <v>0</v>
      </c>
    </row>
    <row r="469" spans="1:42" s="35" customFormat="1" x14ac:dyDescent="0.2">
      <c r="A469" s="83" t="s">
        <v>23</v>
      </c>
      <c r="B469" s="38"/>
      <c r="C469" s="38">
        <f>SUM(C459:C468)</f>
        <v>0</v>
      </c>
      <c r="D469" s="38">
        <f t="shared" ref="D469:AP469" si="252">SUM(D459:D468)</f>
        <v>0</v>
      </c>
      <c r="E469" s="38">
        <f t="shared" si="252"/>
        <v>0</v>
      </c>
      <c r="F469" s="38">
        <f t="shared" si="252"/>
        <v>0</v>
      </c>
      <c r="G469" s="38">
        <f t="shared" si="252"/>
        <v>0</v>
      </c>
      <c r="H469" s="38">
        <f t="shared" si="252"/>
        <v>0</v>
      </c>
      <c r="I469" s="38">
        <f t="shared" si="252"/>
        <v>0</v>
      </c>
      <c r="J469" s="38">
        <f t="shared" si="252"/>
        <v>0</v>
      </c>
      <c r="K469" s="38">
        <f t="shared" si="252"/>
        <v>0</v>
      </c>
      <c r="L469" s="38">
        <f t="shared" si="252"/>
        <v>0</v>
      </c>
      <c r="M469" s="38">
        <f t="shared" si="252"/>
        <v>0</v>
      </c>
      <c r="N469" s="38">
        <f t="shared" si="252"/>
        <v>0</v>
      </c>
      <c r="O469" s="38">
        <f t="shared" si="252"/>
        <v>0</v>
      </c>
      <c r="P469" s="38">
        <f t="shared" si="252"/>
        <v>0</v>
      </c>
      <c r="Q469" s="38">
        <f t="shared" si="252"/>
        <v>0</v>
      </c>
      <c r="R469" s="38">
        <f t="shared" si="252"/>
        <v>0</v>
      </c>
      <c r="S469" s="38">
        <f t="shared" si="252"/>
        <v>0</v>
      </c>
      <c r="T469" s="38">
        <f t="shared" si="252"/>
        <v>0</v>
      </c>
      <c r="U469" s="38">
        <f t="shared" si="252"/>
        <v>0</v>
      </c>
      <c r="V469" s="38">
        <f t="shared" si="252"/>
        <v>0</v>
      </c>
      <c r="W469" s="38">
        <f t="shared" si="252"/>
        <v>0</v>
      </c>
      <c r="X469" s="38">
        <f t="shared" si="252"/>
        <v>0</v>
      </c>
      <c r="Y469" s="38">
        <f t="shared" si="252"/>
        <v>0</v>
      </c>
      <c r="Z469" s="38">
        <f t="shared" si="252"/>
        <v>0</v>
      </c>
      <c r="AA469" s="38">
        <f t="shared" si="252"/>
        <v>0</v>
      </c>
      <c r="AB469" s="38">
        <f t="shared" si="252"/>
        <v>0</v>
      </c>
      <c r="AC469" s="38">
        <f t="shared" si="252"/>
        <v>0</v>
      </c>
      <c r="AD469" s="38">
        <f t="shared" si="252"/>
        <v>0</v>
      </c>
      <c r="AE469" s="38">
        <f t="shared" si="252"/>
        <v>0</v>
      </c>
      <c r="AF469" s="38">
        <f t="shared" si="252"/>
        <v>0</v>
      </c>
      <c r="AG469" s="38">
        <f t="shared" si="252"/>
        <v>0</v>
      </c>
      <c r="AH469" s="38">
        <f t="shared" si="252"/>
        <v>0</v>
      </c>
      <c r="AI469" s="38">
        <f t="shared" si="252"/>
        <v>0</v>
      </c>
      <c r="AJ469" s="38">
        <f t="shared" si="252"/>
        <v>0</v>
      </c>
      <c r="AK469" s="38">
        <f t="shared" si="252"/>
        <v>0</v>
      </c>
      <c r="AL469" s="38">
        <f t="shared" si="252"/>
        <v>0</v>
      </c>
      <c r="AM469" s="38">
        <f t="shared" si="252"/>
        <v>0</v>
      </c>
      <c r="AN469" s="38">
        <f t="shared" si="252"/>
        <v>0</v>
      </c>
      <c r="AO469" s="38">
        <f t="shared" si="252"/>
        <v>0</v>
      </c>
      <c r="AP469" s="38">
        <f t="shared" si="252"/>
        <v>0</v>
      </c>
    </row>
    <row r="470" spans="1:42" s="35" customFormat="1" x14ac:dyDescent="0.2">
      <c r="A470" s="83"/>
      <c r="B470" s="38"/>
      <c r="C470" s="38"/>
      <c r="D470" s="38"/>
      <c r="E470" s="38"/>
      <c r="F470" s="38"/>
      <c r="G470" s="38"/>
      <c r="H470" s="38"/>
      <c r="I470" s="38"/>
      <c r="J470" s="38"/>
      <c r="K470" s="38"/>
      <c r="L470" s="38"/>
      <c r="M470" s="38"/>
      <c r="N470" s="38"/>
      <c r="O470" s="38"/>
      <c r="P470" s="38"/>
      <c r="Q470" s="38"/>
      <c r="R470" s="38"/>
      <c r="S470" s="38"/>
      <c r="T470" s="38"/>
      <c r="U470" s="38"/>
      <c r="V470" s="38"/>
      <c r="W470" s="38"/>
      <c r="X470" s="38"/>
      <c r="Y470" s="38"/>
      <c r="Z470" s="38"/>
      <c r="AA470" s="38"/>
      <c r="AB470" s="38"/>
      <c r="AC470" s="38"/>
      <c r="AD470" s="38"/>
      <c r="AE470" s="38"/>
      <c r="AF470" s="38"/>
      <c r="AG470" s="38"/>
      <c r="AH470" s="38"/>
      <c r="AI470" s="38"/>
      <c r="AJ470" s="38"/>
      <c r="AK470" s="38"/>
      <c r="AL470" s="38"/>
      <c r="AM470" s="38"/>
      <c r="AN470" s="38"/>
      <c r="AO470" s="38"/>
      <c r="AP470" s="38"/>
    </row>
    <row r="471" spans="1:42" s="35" customFormat="1" x14ac:dyDescent="0.2">
      <c r="A471" s="45" t="s">
        <v>98</v>
      </c>
      <c r="C471" s="38"/>
      <c r="D471" s="38"/>
      <c r="E471" s="38"/>
      <c r="F471" s="38"/>
      <c r="G471" s="38"/>
      <c r="H471" s="38"/>
      <c r="I471" s="38"/>
      <c r="J471" s="38"/>
      <c r="K471" s="38"/>
      <c r="L471" s="38"/>
      <c r="M471" s="38"/>
      <c r="N471" s="38"/>
      <c r="O471" s="38"/>
      <c r="P471" s="38"/>
      <c r="Q471" s="38"/>
      <c r="R471" s="38"/>
      <c r="S471" s="38"/>
      <c r="T471" s="38"/>
      <c r="U471" s="38"/>
      <c r="V471" s="38"/>
      <c r="W471" s="38"/>
      <c r="X471" s="38"/>
      <c r="Y471" s="38"/>
      <c r="Z471" s="38"/>
      <c r="AA471" s="38"/>
      <c r="AB471" s="38"/>
      <c r="AC471" s="38"/>
      <c r="AD471" s="38"/>
      <c r="AE471" s="38"/>
      <c r="AF471" s="38"/>
      <c r="AG471" s="38"/>
      <c r="AH471" s="38"/>
      <c r="AI471" s="38"/>
      <c r="AJ471" s="38"/>
      <c r="AK471" s="38"/>
      <c r="AL471" s="38"/>
      <c r="AM471" s="38"/>
      <c r="AN471" s="38"/>
      <c r="AO471" s="38"/>
      <c r="AP471" s="38"/>
    </row>
    <row r="472" spans="1:42" s="35" customFormat="1" x14ac:dyDescent="0.2">
      <c r="A472" s="59" t="s">
        <v>10</v>
      </c>
      <c r="C472" s="38"/>
      <c r="D472" s="38"/>
      <c r="E472" s="38"/>
      <c r="F472" s="38"/>
      <c r="G472" s="38"/>
      <c r="H472" s="38"/>
      <c r="I472" s="38"/>
      <c r="J472" s="38"/>
      <c r="K472" s="38"/>
      <c r="L472" s="38"/>
      <c r="M472" s="38"/>
      <c r="N472" s="38"/>
      <c r="O472" s="38"/>
      <c r="P472" s="38"/>
      <c r="Q472" s="38"/>
      <c r="R472" s="38"/>
      <c r="S472" s="38"/>
      <c r="T472" s="38"/>
      <c r="U472" s="38"/>
      <c r="V472" s="38"/>
      <c r="W472" s="38"/>
      <c r="X472" s="38"/>
      <c r="Y472" s="38"/>
      <c r="Z472" s="38"/>
      <c r="AA472" s="38"/>
      <c r="AB472" s="38"/>
      <c r="AC472" s="38"/>
      <c r="AD472" s="38"/>
      <c r="AE472" s="38"/>
      <c r="AF472" s="38"/>
      <c r="AG472" s="38"/>
      <c r="AH472" s="38"/>
      <c r="AI472" s="38"/>
      <c r="AJ472" s="38"/>
      <c r="AK472" s="38"/>
      <c r="AL472" s="38"/>
      <c r="AM472" s="38"/>
      <c r="AN472" s="38"/>
      <c r="AO472" s="38"/>
      <c r="AP472" s="38"/>
    </row>
    <row r="473" spans="1:42" s="35" customFormat="1" x14ac:dyDescent="0.2">
      <c r="A473" s="65" t="s">
        <v>99</v>
      </c>
      <c r="C473" s="92">
        <f t="shared" ref="C473:AP473" si="253">IF(C$2&lt;=StatePTCTerm,StatePTCAmount*(1+Inflation)^B$2,0)</f>
        <v>0</v>
      </c>
      <c r="D473" s="92">
        <f t="shared" si="253"/>
        <v>0</v>
      </c>
      <c r="E473" s="92">
        <f t="shared" si="253"/>
        <v>0</v>
      </c>
      <c r="F473" s="92">
        <f t="shared" si="253"/>
        <v>0</v>
      </c>
      <c r="G473" s="92">
        <f t="shared" si="253"/>
        <v>0</v>
      </c>
      <c r="H473" s="92">
        <f t="shared" si="253"/>
        <v>0</v>
      </c>
      <c r="I473" s="92">
        <f t="shared" si="253"/>
        <v>0</v>
      </c>
      <c r="J473" s="92">
        <f t="shared" si="253"/>
        <v>0</v>
      </c>
      <c r="K473" s="92">
        <f t="shared" si="253"/>
        <v>0</v>
      </c>
      <c r="L473" s="92">
        <f t="shared" si="253"/>
        <v>0</v>
      </c>
      <c r="M473" s="92">
        <f t="shared" si="253"/>
        <v>0</v>
      </c>
      <c r="N473" s="92">
        <f t="shared" si="253"/>
        <v>0</v>
      </c>
      <c r="O473" s="92">
        <f t="shared" si="253"/>
        <v>0</v>
      </c>
      <c r="P473" s="92">
        <f t="shared" si="253"/>
        <v>0</v>
      </c>
      <c r="Q473" s="92">
        <f t="shared" si="253"/>
        <v>0</v>
      </c>
      <c r="R473" s="92">
        <f t="shared" si="253"/>
        <v>0</v>
      </c>
      <c r="S473" s="92">
        <f t="shared" si="253"/>
        <v>0</v>
      </c>
      <c r="T473" s="92">
        <f t="shared" si="253"/>
        <v>0</v>
      </c>
      <c r="U473" s="92">
        <f t="shared" si="253"/>
        <v>0</v>
      </c>
      <c r="V473" s="92">
        <f t="shared" si="253"/>
        <v>0</v>
      </c>
      <c r="W473" s="92">
        <f t="shared" si="253"/>
        <v>0</v>
      </c>
      <c r="X473" s="92">
        <f t="shared" si="253"/>
        <v>0</v>
      </c>
      <c r="Y473" s="92">
        <f t="shared" si="253"/>
        <v>0</v>
      </c>
      <c r="Z473" s="92">
        <f t="shared" si="253"/>
        <v>0</v>
      </c>
      <c r="AA473" s="92">
        <f t="shared" si="253"/>
        <v>0</v>
      </c>
      <c r="AB473" s="92">
        <f t="shared" si="253"/>
        <v>0</v>
      </c>
      <c r="AC473" s="92">
        <f t="shared" si="253"/>
        <v>0</v>
      </c>
      <c r="AD473" s="92">
        <f t="shared" si="253"/>
        <v>0</v>
      </c>
      <c r="AE473" s="92">
        <f t="shared" si="253"/>
        <v>0</v>
      </c>
      <c r="AF473" s="92">
        <f t="shared" si="253"/>
        <v>0</v>
      </c>
      <c r="AG473" s="92">
        <f t="shared" si="253"/>
        <v>0</v>
      </c>
      <c r="AH473" s="92">
        <f t="shared" si="253"/>
        <v>0</v>
      </c>
      <c r="AI473" s="92">
        <f t="shared" si="253"/>
        <v>0</v>
      </c>
      <c r="AJ473" s="92">
        <f t="shared" si="253"/>
        <v>0</v>
      </c>
      <c r="AK473" s="92">
        <f t="shared" si="253"/>
        <v>0</v>
      </c>
      <c r="AL473" s="92">
        <f t="shared" si="253"/>
        <v>0</v>
      </c>
      <c r="AM473" s="92">
        <f t="shared" si="253"/>
        <v>0</v>
      </c>
      <c r="AN473" s="92">
        <f t="shared" si="253"/>
        <v>0</v>
      </c>
      <c r="AO473" s="92">
        <f t="shared" si="253"/>
        <v>0</v>
      </c>
      <c r="AP473" s="92">
        <f t="shared" si="253"/>
        <v>0</v>
      </c>
    </row>
    <row r="474" spans="1:42" s="35" customFormat="1" x14ac:dyDescent="0.2">
      <c r="A474" s="65" t="s">
        <v>100</v>
      </c>
      <c r="C474" s="93">
        <f>ROUND(C473*1000,0)</f>
        <v>0</v>
      </c>
      <c r="D474" s="93">
        <f>ROUND(D473*1000,0)</f>
        <v>0</v>
      </c>
      <c r="E474" s="93">
        <f t="shared" ref="E474:AP474" si="254">ROUND(E473*1000,0)</f>
        <v>0</v>
      </c>
      <c r="F474" s="93">
        <f t="shared" si="254"/>
        <v>0</v>
      </c>
      <c r="G474" s="93">
        <f t="shared" si="254"/>
        <v>0</v>
      </c>
      <c r="H474" s="93">
        <f t="shared" si="254"/>
        <v>0</v>
      </c>
      <c r="I474" s="93">
        <f t="shared" si="254"/>
        <v>0</v>
      </c>
      <c r="J474" s="93">
        <f t="shared" si="254"/>
        <v>0</v>
      </c>
      <c r="K474" s="93">
        <f t="shared" si="254"/>
        <v>0</v>
      </c>
      <c r="L474" s="93">
        <f t="shared" si="254"/>
        <v>0</v>
      </c>
      <c r="M474" s="93">
        <f t="shared" si="254"/>
        <v>0</v>
      </c>
      <c r="N474" s="93">
        <f t="shared" si="254"/>
        <v>0</v>
      </c>
      <c r="O474" s="93">
        <f t="shared" si="254"/>
        <v>0</v>
      </c>
      <c r="P474" s="93">
        <f t="shared" si="254"/>
        <v>0</v>
      </c>
      <c r="Q474" s="93">
        <f t="shared" si="254"/>
        <v>0</v>
      </c>
      <c r="R474" s="93">
        <f t="shared" si="254"/>
        <v>0</v>
      </c>
      <c r="S474" s="93">
        <f t="shared" si="254"/>
        <v>0</v>
      </c>
      <c r="T474" s="93">
        <f t="shared" si="254"/>
        <v>0</v>
      </c>
      <c r="U474" s="93">
        <f t="shared" si="254"/>
        <v>0</v>
      </c>
      <c r="V474" s="93">
        <f t="shared" si="254"/>
        <v>0</v>
      </c>
      <c r="W474" s="93">
        <f t="shared" si="254"/>
        <v>0</v>
      </c>
      <c r="X474" s="93">
        <f t="shared" si="254"/>
        <v>0</v>
      </c>
      <c r="Y474" s="93">
        <f t="shared" si="254"/>
        <v>0</v>
      </c>
      <c r="Z474" s="93">
        <f t="shared" si="254"/>
        <v>0</v>
      </c>
      <c r="AA474" s="93">
        <f t="shared" si="254"/>
        <v>0</v>
      </c>
      <c r="AB474" s="93">
        <f t="shared" si="254"/>
        <v>0</v>
      </c>
      <c r="AC474" s="93">
        <f t="shared" si="254"/>
        <v>0</v>
      </c>
      <c r="AD474" s="93">
        <f t="shared" si="254"/>
        <v>0</v>
      </c>
      <c r="AE474" s="93">
        <f t="shared" si="254"/>
        <v>0</v>
      </c>
      <c r="AF474" s="93">
        <f t="shared" si="254"/>
        <v>0</v>
      </c>
      <c r="AG474" s="93">
        <f t="shared" si="254"/>
        <v>0</v>
      </c>
      <c r="AH474" s="93">
        <f t="shared" si="254"/>
        <v>0</v>
      </c>
      <c r="AI474" s="93">
        <f t="shared" si="254"/>
        <v>0</v>
      </c>
      <c r="AJ474" s="93">
        <f t="shared" si="254"/>
        <v>0</v>
      </c>
      <c r="AK474" s="93">
        <f t="shared" si="254"/>
        <v>0</v>
      </c>
      <c r="AL474" s="93">
        <f t="shared" si="254"/>
        <v>0</v>
      </c>
      <c r="AM474" s="93">
        <f t="shared" si="254"/>
        <v>0</v>
      </c>
      <c r="AN474" s="93">
        <f t="shared" si="254"/>
        <v>0</v>
      </c>
      <c r="AO474" s="93">
        <f t="shared" si="254"/>
        <v>0</v>
      </c>
      <c r="AP474" s="93">
        <f t="shared" si="254"/>
        <v>0</v>
      </c>
    </row>
    <row r="475" spans="1:42" s="35" customFormat="1" x14ac:dyDescent="0.2">
      <c r="A475" s="65" t="s">
        <v>101</v>
      </c>
      <c r="C475" s="64">
        <f>C$5/1000</f>
        <v>32344.835999999999</v>
      </c>
      <c r="D475" s="64">
        <f>D$5/1000</f>
        <v>32183.111820000002</v>
      </c>
      <c r="E475" s="64">
        <f t="shared" ref="E475:AP475" si="255">E$5/1000</f>
        <v>32022.1962609</v>
      </c>
      <c r="F475" s="64">
        <f t="shared" si="255"/>
        <v>31862.085279595503</v>
      </c>
      <c r="G475" s="64">
        <f t="shared" si="255"/>
        <v>31702.774853197523</v>
      </c>
      <c r="H475" s="64">
        <f t="shared" si="255"/>
        <v>31544.260978931536</v>
      </c>
      <c r="I475" s="64">
        <f t="shared" si="255"/>
        <v>31386.539674036878</v>
      </c>
      <c r="J475" s="64">
        <f t="shared" si="255"/>
        <v>31229.606975666695</v>
      </c>
      <c r="K475" s="64">
        <f t="shared" si="255"/>
        <v>31073.458940788361</v>
      </c>
      <c r="L475" s="64">
        <f t="shared" si="255"/>
        <v>30918.09164608442</v>
      </c>
      <c r="M475" s="64">
        <f t="shared" si="255"/>
        <v>30763.501187853999</v>
      </c>
      <c r="N475" s="64">
        <f t="shared" si="255"/>
        <v>30609.683681914728</v>
      </c>
      <c r="O475" s="64">
        <f t="shared" si="255"/>
        <v>30456.635263505152</v>
      </c>
      <c r="P475" s="64">
        <f t="shared" si="255"/>
        <v>30304.352087187628</v>
      </c>
      <c r="Q475" s="64">
        <f t="shared" si="255"/>
        <v>30152.830326751689</v>
      </c>
      <c r="R475" s="64">
        <f t="shared" si="255"/>
        <v>30002.066175117932</v>
      </c>
      <c r="S475" s="64">
        <f t="shared" si="255"/>
        <v>29852.055844242343</v>
      </c>
      <c r="T475" s="64">
        <f t="shared" si="255"/>
        <v>29702.79556502113</v>
      </c>
      <c r="U475" s="64">
        <f t="shared" si="255"/>
        <v>29554.281587196027</v>
      </c>
      <c r="V475" s="64">
        <f t="shared" si="255"/>
        <v>29406.510179260044</v>
      </c>
      <c r="W475" s="64">
        <f t="shared" si="255"/>
        <v>29259.477628363744</v>
      </c>
      <c r="X475" s="64">
        <f t="shared" si="255"/>
        <v>29113.180240221925</v>
      </c>
      <c r="Y475" s="64">
        <f t="shared" si="255"/>
        <v>28967.614339020816</v>
      </c>
      <c r="Z475" s="64">
        <f t="shared" si="255"/>
        <v>28822.776267325709</v>
      </c>
      <c r="AA475" s="64">
        <f t="shared" si="255"/>
        <v>28678.662385989082</v>
      </c>
      <c r="AB475" s="64">
        <f t="shared" si="255"/>
        <v>28535.269074059135</v>
      </c>
      <c r="AC475" s="64">
        <f t="shared" si="255"/>
        <v>28392.59272868884</v>
      </c>
      <c r="AD475" s="64">
        <f t="shared" si="255"/>
        <v>28250.629765045396</v>
      </c>
      <c r="AE475" s="64">
        <f t="shared" si="255"/>
        <v>28109.376616220168</v>
      </c>
      <c r="AF475" s="64">
        <f t="shared" si="255"/>
        <v>27968.829733139068</v>
      </c>
      <c r="AG475" s="64">
        <f t="shared" si="255"/>
        <v>27828.985584473372</v>
      </c>
      <c r="AH475" s="64">
        <f t="shared" si="255"/>
        <v>27689.840656551005</v>
      </c>
      <c r="AI475" s="64">
        <f t="shared" si="255"/>
        <v>27551.39145326825</v>
      </c>
      <c r="AJ475" s="64">
        <f t="shared" si="255"/>
        <v>27413.634496001905</v>
      </c>
      <c r="AK475" s="64">
        <f t="shared" si="255"/>
        <v>27276.566323521896</v>
      </c>
      <c r="AL475" s="64">
        <f t="shared" si="255"/>
        <v>27140.183491904289</v>
      </c>
      <c r="AM475" s="64">
        <f t="shared" si="255"/>
        <v>27004.482574444766</v>
      </c>
      <c r="AN475" s="64">
        <f t="shared" si="255"/>
        <v>26869.460161572541</v>
      </c>
      <c r="AO475" s="64">
        <f t="shared" si="255"/>
        <v>26735.112860764679</v>
      </c>
      <c r="AP475" s="64">
        <f t="shared" si="255"/>
        <v>26601.437296460856</v>
      </c>
    </row>
    <row r="476" spans="1:42" s="35" customFormat="1" x14ac:dyDescent="0.2">
      <c r="A476" s="65" t="s">
        <v>23</v>
      </c>
      <c r="C476" s="38">
        <f>C474*C475</f>
        <v>0</v>
      </c>
      <c r="D476" s="38">
        <f>D474*D475</f>
        <v>0</v>
      </c>
      <c r="E476" s="38">
        <f t="shared" ref="E476:AP476" si="256">E474*E475</f>
        <v>0</v>
      </c>
      <c r="F476" s="38">
        <f t="shared" si="256"/>
        <v>0</v>
      </c>
      <c r="G476" s="38">
        <f t="shared" si="256"/>
        <v>0</v>
      </c>
      <c r="H476" s="38">
        <f t="shared" si="256"/>
        <v>0</v>
      </c>
      <c r="I476" s="38">
        <f t="shared" si="256"/>
        <v>0</v>
      </c>
      <c r="J476" s="38">
        <f t="shared" si="256"/>
        <v>0</v>
      </c>
      <c r="K476" s="38">
        <f t="shared" si="256"/>
        <v>0</v>
      </c>
      <c r="L476" s="38">
        <f t="shared" si="256"/>
        <v>0</v>
      </c>
      <c r="M476" s="38">
        <f t="shared" si="256"/>
        <v>0</v>
      </c>
      <c r="N476" s="38">
        <f t="shared" si="256"/>
        <v>0</v>
      </c>
      <c r="O476" s="38">
        <f t="shared" si="256"/>
        <v>0</v>
      </c>
      <c r="P476" s="38">
        <f t="shared" si="256"/>
        <v>0</v>
      </c>
      <c r="Q476" s="38">
        <f t="shared" si="256"/>
        <v>0</v>
      </c>
      <c r="R476" s="38">
        <f t="shared" si="256"/>
        <v>0</v>
      </c>
      <c r="S476" s="38">
        <f t="shared" si="256"/>
        <v>0</v>
      </c>
      <c r="T476" s="38">
        <f t="shared" si="256"/>
        <v>0</v>
      </c>
      <c r="U476" s="38">
        <f t="shared" si="256"/>
        <v>0</v>
      </c>
      <c r="V476" s="38">
        <f t="shared" si="256"/>
        <v>0</v>
      </c>
      <c r="W476" s="38">
        <f t="shared" si="256"/>
        <v>0</v>
      </c>
      <c r="X476" s="38">
        <f t="shared" si="256"/>
        <v>0</v>
      </c>
      <c r="Y476" s="38">
        <f t="shared" si="256"/>
        <v>0</v>
      </c>
      <c r="Z476" s="38">
        <f t="shared" si="256"/>
        <v>0</v>
      </c>
      <c r="AA476" s="38">
        <f t="shared" si="256"/>
        <v>0</v>
      </c>
      <c r="AB476" s="38">
        <f t="shared" si="256"/>
        <v>0</v>
      </c>
      <c r="AC476" s="38">
        <f t="shared" si="256"/>
        <v>0</v>
      </c>
      <c r="AD476" s="38">
        <f t="shared" si="256"/>
        <v>0</v>
      </c>
      <c r="AE476" s="38">
        <f t="shared" si="256"/>
        <v>0</v>
      </c>
      <c r="AF476" s="38">
        <f t="shared" si="256"/>
        <v>0</v>
      </c>
      <c r="AG476" s="38">
        <f t="shared" si="256"/>
        <v>0</v>
      </c>
      <c r="AH476" s="38">
        <f t="shared" si="256"/>
        <v>0</v>
      </c>
      <c r="AI476" s="38">
        <f t="shared" si="256"/>
        <v>0</v>
      </c>
      <c r="AJ476" s="38">
        <f t="shared" si="256"/>
        <v>0</v>
      </c>
      <c r="AK476" s="38">
        <f t="shared" si="256"/>
        <v>0</v>
      </c>
      <c r="AL476" s="38">
        <f t="shared" si="256"/>
        <v>0</v>
      </c>
      <c r="AM476" s="38">
        <f t="shared" si="256"/>
        <v>0</v>
      </c>
      <c r="AN476" s="38">
        <f t="shared" si="256"/>
        <v>0</v>
      </c>
      <c r="AO476" s="38">
        <f t="shared" si="256"/>
        <v>0</v>
      </c>
      <c r="AP476" s="38">
        <f t="shared" si="256"/>
        <v>0</v>
      </c>
    </row>
    <row r="477" spans="1:42" s="35" customFormat="1" x14ac:dyDescent="0.2">
      <c r="A477" s="59"/>
      <c r="C477" s="38"/>
      <c r="D477" s="38"/>
      <c r="E477" s="38"/>
      <c r="F477" s="38"/>
      <c r="G477" s="38"/>
      <c r="H477" s="38"/>
      <c r="I477" s="38"/>
      <c r="J477" s="38"/>
      <c r="K477" s="38"/>
      <c r="L477" s="38"/>
      <c r="M477" s="38"/>
      <c r="N477" s="38"/>
      <c r="O477" s="38"/>
      <c r="P477" s="38"/>
      <c r="Q477" s="38"/>
      <c r="R477" s="38"/>
      <c r="S477" s="38"/>
      <c r="T477" s="38"/>
      <c r="U477" s="38"/>
      <c r="V477" s="38"/>
      <c r="W477" s="38"/>
      <c r="X477" s="38"/>
      <c r="Y477" s="38"/>
      <c r="Z477" s="38"/>
      <c r="AA477" s="38"/>
      <c r="AB477" s="38"/>
      <c r="AC477" s="38"/>
      <c r="AD477" s="38"/>
      <c r="AE477" s="38"/>
      <c r="AF477" s="38"/>
      <c r="AG477" s="38"/>
      <c r="AH477" s="38"/>
      <c r="AI477" s="38"/>
      <c r="AJ477" s="38"/>
      <c r="AK477" s="38"/>
      <c r="AL477" s="38"/>
      <c r="AM477" s="38"/>
      <c r="AN477" s="38"/>
      <c r="AO477" s="38"/>
      <c r="AP477" s="38"/>
    </row>
    <row r="478" spans="1:42" s="35" customFormat="1" x14ac:dyDescent="0.2">
      <c r="A478" s="59" t="s">
        <v>9</v>
      </c>
      <c r="C478" s="38"/>
      <c r="D478" s="38"/>
      <c r="E478" s="38"/>
      <c r="F478" s="38"/>
      <c r="G478" s="38"/>
      <c r="H478" s="38"/>
      <c r="I478" s="38"/>
      <c r="J478" s="38"/>
      <c r="K478" s="38"/>
      <c r="L478" s="38"/>
      <c r="M478" s="38"/>
      <c r="N478" s="38"/>
      <c r="O478" s="38"/>
      <c r="P478" s="38"/>
      <c r="Q478" s="38"/>
      <c r="R478" s="38"/>
      <c r="S478" s="38"/>
      <c r="T478" s="38"/>
      <c r="U478" s="38"/>
      <c r="V478" s="38"/>
      <c r="W478" s="38"/>
      <c r="X478" s="38"/>
      <c r="Y478" s="38"/>
      <c r="Z478" s="38"/>
      <c r="AA478" s="38"/>
      <c r="AB478" s="38"/>
      <c r="AC478" s="38"/>
      <c r="AD478" s="38"/>
      <c r="AE478" s="38"/>
      <c r="AF478" s="38"/>
      <c r="AG478" s="38"/>
      <c r="AH478" s="38"/>
      <c r="AI478" s="38"/>
      <c r="AJ478" s="38"/>
      <c r="AK478" s="38"/>
      <c r="AL478" s="38"/>
      <c r="AM478" s="38"/>
      <c r="AN478" s="38"/>
      <c r="AO478" s="38"/>
      <c r="AP478" s="38"/>
    </row>
    <row r="479" spans="1:42" s="35" customFormat="1" x14ac:dyDescent="0.2">
      <c r="A479" s="65" t="s">
        <v>99</v>
      </c>
      <c r="C479" s="92">
        <f t="shared" ref="C479:AP479" si="257">IF(C$2&lt;=FedPTCTerm,FedPTCAmount*(1+Inflation)^B$2,0)</f>
        <v>0</v>
      </c>
      <c r="D479" s="92">
        <f t="shared" si="257"/>
        <v>0</v>
      </c>
      <c r="E479" s="92">
        <f t="shared" si="257"/>
        <v>0</v>
      </c>
      <c r="F479" s="92">
        <f t="shared" si="257"/>
        <v>0</v>
      </c>
      <c r="G479" s="92">
        <f t="shared" si="257"/>
        <v>0</v>
      </c>
      <c r="H479" s="92">
        <f t="shared" si="257"/>
        <v>0</v>
      </c>
      <c r="I479" s="92">
        <f t="shared" si="257"/>
        <v>0</v>
      </c>
      <c r="J479" s="92">
        <f t="shared" si="257"/>
        <v>0</v>
      </c>
      <c r="K479" s="92">
        <f t="shared" si="257"/>
        <v>0</v>
      </c>
      <c r="L479" s="92">
        <f t="shared" si="257"/>
        <v>0</v>
      </c>
      <c r="M479" s="92">
        <f t="shared" si="257"/>
        <v>0</v>
      </c>
      <c r="N479" s="92">
        <f t="shared" si="257"/>
        <v>0</v>
      </c>
      <c r="O479" s="92">
        <f t="shared" si="257"/>
        <v>0</v>
      </c>
      <c r="P479" s="92">
        <f t="shared" si="257"/>
        <v>0</v>
      </c>
      <c r="Q479" s="92">
        <f t="shared" si="257"/>
        <v>0</v>
      </c>
      <c r="R479" s="92">
        <f t="shared" si="257"/>
        <v>0</v>
      </c>
      <c r="S479" s="92">
        <f t="shared" si="257"/>
        <v>0</v>
      </c>
      <c r="T479" s="92">
        <f t="shared" si="257"/>
        <v>0</v>
      </c>
      <c r="U479" s="92">
        <f t="shared" si="257"/>
        <v>0</v>
      </c>
      <c r="V479" s="92">
        <f t="shared" si="257"/>
        <v>0</v>
      </c>
      <c r="W479" s="92">
        <f t="shared" si="257"/>
        <v>0</v>
      </c>
      <c r="X479" s="92">
        <f t="shared" si="257"/>
        <v>0</v>
      </c>
      <c r="Y479" s="92">
        <f t="shared" si="257"/>
        <v>0</v>
      </c>
      <c r="Z479" s="92">
        <f t="shared" si="257"/>
        <v>0</v>
      </c>
      <c r="AA479" s="92">
        <f t="shared" si="257"/>
        <v>0</v>
      </c>
      <c r="AB479" s="92">
        <f t="shared" si="257"/>
        <v>0</v>
      </c>
      <c r="AC479" s="92">
        <f t="shared" si="257"/>
        <v>0</v>
      </c>
      <c r="AD479" s="92">
        <f t="shared" si="257"/>
        <v>0</v>
      </c>
      <c r="AE479" s="92">
        <f t="shared" si="257"/>
        <v>0</v>
      </c>
      <c r="AF479" s="92">
        <f t="shared" si="257"/>
        <v>0</v>
      </c>
      <c r="AG479" s="92">
        <f t="shared" si="257"/>
        <v>0</v>
      </c>
      <c r="AH479" s="92">
        <f t="shared" si="257"/>
        <v>0</v>
      </c>
      <c r="AI479" s="92">
        <f t="shared" si="257"/>
        <v>0</v>
      </c>
      <c r="AJ479" s="92">
        <f t="shared" si="257"/>
        <v>0</v>
      </c>
      <c r="AK479" s="92">
        <f t="shared" si="257"/>
        <v>0</v>
      </c>
      <c r="AL479" s="92">
        <f t="shared" si="257"/>
        <v>0</v>
      </c>
      <c r="AM479" s="92">
        <f t="shared" si="257"/>
        <v>0</v>
      </c>
      <c r="AN479" s="92">
        <f t="shared" si="257"/>
        <v>0</v>
      </c>
      <c r="AO479" s="92">
        <f t="shared" si="257"/>
        <v>0</v>
      </c>
      <c r="AP479" s="92">
        <f t="shared" si="257"/>
        <v>0</v>
      </c>
    </row>
    <row r="480" spans="1:42" s="35" customFormat="1" x14ac:dyDescent="0.2">
      <c r="A480" s="65" t="s">
        <v>100</v>
      </c>
      <c r="C480" s="93">
        <f>ROUND(C479*1000,0)</f>
        <v>0</v>
      </c>
      <c r="D480" s="93">
        <f>ROUND(D479*1000,0)</f>
        <v>0</v>
      </c>
      <c r="E480" s="93">
        <f t="shared" ref="E480:AP480" si="258">ROUND(E479*1000,0)</f>
        <v>0</v>
      </c>
      <c r="F480" s="93">
        <f t="shared" si="258"/>
        <v>0</v>
      </c>
      <c r="G480" s="93">
        <f t="shared" si="258"/>
        <v>0</v>
      </c>
      <c r="H480" s="93">
        <f t="shared" si="258"/>
        <v>0</v>
      </c>
      <c r="I480" s="93">
        <f t="shared" si="258"/>
        <v>0</v>
      </c>
      <c r="J480" s="93">
        <f t="shared" si="258"/>
        <v>0</v>
      </c>
      <c r="K480" s="93">
        <f t="shared" si="258"/>
        <v>0</v>
      </c>
      <c r="L480" s="93">
        <f t="shared" si="258"/>
        <v>0</v>
      </c>
      <c r="M480" s="93">
        <f t="shared" si="258"/>
        <v>0</v>
      </c>
      <c r="N480" s="93">
        <f t="shared" si="258"/>
        <v>0</v>
      </c>
      <c r="O480" s="93">
        <f t="shared" si="258"/>
        <v>0</v>
      </c>
      <c r="P480" s="93">
        <f t="shared" si="258"/>
        <v>0</v>
      </c>
      <c r="Q480" s="93">
        <f t="shared" si="258"/>
        <v>0</v>
      </c>
      <c r="R480" s="93">
        <f t="shared" si="258"/>
        <v>0</v>
      </c>
      <c r="S480" s="93">
        <f t="shared" si="258"/>
        <v>0</v>
      </c>
      <c r="T480" s="93">
        <f t="shared" si="258"/>
        <v>0</v>
      </c>
      <c r="U480" s="93">
        <f t="shared" si="258"/>
        <v>0</v>
      </c>
      <c r="V480" s="93">
        <f t="shared" si="258"/>
        <v>0</v>
      </c>
      <c r="W480" s="93">
        <f t="shared" si="258"/>
        <v>0</v>
      </c>
      <c r="X480" s="93">
        <f t="shared" si="258"/>
        <v>0</v>
      </c>
      <c r="Y480" s="93">
        <f t="shared" si="258"/>
        <v>0</v>
      </c>
      <c r="Z480" s="93">
        <f t="shared" si="258"/>
        <v>0</v>
      </c>
      <c r="AA480" s="93">
        <f t="shared" si="258"/>
        <v>0</v>
      </c>
      <c r="AB480" s="93">
        <f t="shared" si="258"/>
        <v>0</v>
      </c>
      <c r="AC480" s="93">
        <f t="shared" si="258"/>
        <v>0</v>
      </c>
      <c r="AD480" s="93">
        <f t="shared" si="258"/>
        <v>0</v>
      </c>
      <c r="AE480" s="93">
        <f t="shared" si="258"/>
        <v>0</v>
      </c>
      <c r="AF480" s="93">
        <f t="shared" si="258"/>
        <v>0</v>
      </c>
      <c r="AG480" s="93">
        <f t="shared" si="258"/>
        <v>0</v>
      </c>
      <c r="AH480" s="93">
        <f t="shared" si="258"/>
        <v>0</v>
      </c>
      <c r="AI480" s="93">
        <f t="shared" si="258"/>
        <v>0</v>
      </c>
      <c r="AJ480" s="93">
        <f t="shared" si="258"/>
        <v>0</v>
      </c>
      <c r="AK480" s="93">
        <f t="shared" si="258"/>
        <v>0</v>
      </c>
      <c r="AL480" s="93">
        <f t="shared" si="258"/>
        <v>0</v>
      </c>
      <c r="AM480" s="93">
        <f t="shared" si="258"/>
        <v>0</v>
      </c>
      <c r="AN480" s="93">
        <f t="shared" si="258"/>
        <v>0</v>
      </c>
      <c r="AO480" s="93">
        <f t="shared" si="258"/>
        <v>0</v>
      </c>
      <c r="AP480" s="93">
        <f t="shared" si="258"/>
        <v>0</v>
      </c>
    </row>
    <row r="481" spans="1:42" s="35" customFormat="1" x14ac:dyDescent="0.2">
      <c r="A481" s="65" t="s">
        <v>101</v>
      </c>
      <c r="C481" s="64">
        <f>C$5/1000</f>
        <v>32344.835999999999</v>
      </c>
      <c r="D481" s="64">
        <f>D$5/1000</f>
        <v>32183.111820000002</v>
      </c>
      <c r="E481" s="64">
        <f t="shared" ref="E481:AP481" si="259">E$5/1000</f>
        <v>32022.1962609</v>
      </c>
      <c r="F481" s="64">
        <f t="shared" si="259"/>
        <v>31862.085279595503</v>
      </c>
      <c r="G481" s="64">
        <f t="shared" si="259"/>
        <v>31702.774853197523</v>
      </c>
      <c r="H481" s="64">
        <f t="shared" si="259"/>
        <v>31544.260978931536</v>
      </c>
      <c r="I481" s="64">
        <f t="shared" si="259"/>
        <v>31386.539674036878</v>
      </c>
      <c r="J481" s="64">
        <f t="shared" si="259"/>
        <v>31229.606975666695</v>
      </c>
      <c r="K481" s="64">
        <f t="shared" si="259"/>
        <v>31073.458940788361</v>
      </c>
      <c r="L481" s="64">
        <f t="shared" si="259"/>
        <v>30918.09164608442</v>
      </c>
      <c r="M481" s="64">
        <f t="shared" si="259"/>
        <v>30763.501187853999</v>
      </c>
      <c r="N481" s="64">
        <f t="shared" si="259"/>
        <v>30609.683681914728</v>
      </c>
      <c r="O481" s="64">
        <f t="shared" si="259"/>
        <v>30456.635263505152</v>
      </c>
      <c r="P481" s="64">
        <f t="shared" si="259"/>
        <v>30304.352087187628</v>
      </c>
      <c r="Q481" s="64">
        <f t="shared" si="259"/>
        <v>30152.830326751689</v>
      </c>
      <c r="R481" s="64">
        <f t="shared" si="259"/>
        <v>30002.066175117932</v>
      </c>
      <c r="S481" s="64">
        <f t="shared" si="259"/>
        <v>29852.055844242343</v>
      </c>
      <c r="T481" s="64">
        <f t="shared" si="259"/>
        <v>29702.79556502113</v>
      </c>
      <c r="U481" s="64">
        <f t="shared" si="259"/>
        <v>29554.281587196027</v>
      </c>
      <c r="V481" s="64">
        <f t="shared" si="259"/>
        <v>29406.510179260044</v>
      </c>
      <c r="W481" s="64">
        <f t="shared" si="259"/>
        <v>29259.477628363744</v>
      </c>
      <c r="X481" s="64">
        <f t="shared" si="259"/>
        <v>29113.180240221925</v>
      </c>
      <c r="Y481" s="64">
        <f t="shared" si="259"/>
        <v>28967.614339020816</v>
      </c>
      <c r="Z481" s="64">
        <f t="shared" si="259"/>
        <v>28822.776267325709</v>
      </c>
      <c r="AA481" s="64">
        <f t="shared" si="259"/>
        <v>28678.662385989082</v>
      </c>
      <c r="AB481" s="64">
        <f t="shared" si="259"/>
        <v>28535.269074059135</v>
      </c>
      <c r="AC481" s="64">
        <f t="shared" si="259"/>
        <v>28392.59272868884</v>
      </c>
      <c r="AD481" s="64">
        <f t="shared" si="259"/>
        <v>28250.629765045396</v>
      </c>
      <c r="AE481" s="64">
        <f t="shared" si="259"/>
        <v>28109.376616220168</v>
      </c>
      <c r="AF481" s="64">
        <f t="shared" si="259"/>
        <v>27968.829733139068</v>
      </c>
      <c r="AG481" s="64">
        <f t="shared" si="259"/>
        <v>27828.985584473372</v>
      </c>
      <c r="AH481" s="64">
        <f t="shared" si="259"/>
        <v>27689.840656551005</v>
      </c>
      <c r="AI481" s="64">
        <f t="shared" si="259"/>
        <v>27551.39145326825</v>
      </c>
      <c r="AJ481" s="64">
        <f t="shared" si="259"/>
        <v>27413.634496001905</v>
      </c>
      <c r="AK481" s="64">
        <f t="shared" si="259"/>
        <v>27276.566323521896</v>
      </c>
      <c r="AL481" s="64">
        <f t="shared" si="259"/>
        <v>27140.183491904289</v>
      </c>
      <c r="AM481" s="64">
        <f t="shared" si="259"/>
        <v>27004.482574444766</v>
      </c>
      <c r="AN481" s="64">
        <f t="shared" si="259"/>
        <v>26869.460161572541</v>
      </c>
      <c r="AO481" s="64">
        <f t="shared" si="259"/>
        <v>26735.112860764679</v>
      </c>
      <c r="AP481" s="64">
        <f t="shared" si="259"/>
        <v>26601.437296460856</v>
      </c>
    </row>
    <row r="482" spans="1:42" s="35" customFormat="1" x14ac:dyDescent="0.2">
      <c r="A482" s="65" t="s">
        <v>23</v>
      </c>
      <c r="C482" s="38">
        <f>C480*C481</f>
        <v>0</v>
      </c>
      <c r="D482" s="38">
        <f>D480*D481</f>
        <v>0</v>
      </c>
      <c r="E482" s="38">
        <f t="shared" ref="E482:AP482" si="260">E480*E481</f>
        <v>0</v>
      </c>
      <c r="F482" s="38">
        <f t="shared" si="260"/>
        <v>0</v>
      </c>
      <c r="G482" s="38">
        <f t="shared" si="260"/>
        <v>0</v>
      </c>
      <c r="H482" s="38">
        <f t="shared" si="260"/>
        <v>0</v>
      </c>
      <c r="I482" s="38">
        <f t="shared" si="260"/>
        <v>0</v>
      </c>
      <c r="J482" s="38">
        <f t="shared" si="260"/>
        <v>0</v>
      </c>
      <c r="K482" s="38">
        <f t="shared" si="260"/>
        <v>0</v>
      </c>
      <c r="L482" s="38">
        <f t="shared" si="260"/>
        <v>0</v>
      </c>
      <c r="M482" s="38">
        <f t="shared" si="260"/>
        <v>0</v>
      </c>
      <c r="N482" s="38">
        <f t="shared" si="260"/>
        <v>0</v>
      </c>
      <c r="O482" s="38">
        <f t="shared" si="260"/>
        <v>0</v>
      </c>
      <c r="P482" s="38">
        <f t="shared" si="260"/>
        <v>0</v>
      </c>
      <c r="Q482" s="38">
        <f t="shared" si="260"/>
        <v>0</v>
      </c>
      <c r="R482" s="38">
        <f t="shared" si="260"/>
        <v>0</v>
      </c>
      <c r="S482" s="38">
        <f t="shared" si="260"/>
        <v>0</v>
      </c>
      <c r="T482" s="38">
        <f t="shared" si="260"/>
        <v>0</v>
      </c>
      <c r="U482" s="38">
        <f t="shared" si="260"/>
        <v>0</v>
      </c>
      <c r="V482" s="38">
        <f t="shared" si="260"/>
        <v>0</v>
      </c>
      <c r="W482" s="38">
        <f t="shared" si="260"/>
        <v>0</v>
      </c>
      <c r="X482" s="38">
        <f t="shared" si="260"/>
        <v>0</v>
      </c>
      <c r="Y482" s="38">
        <f t="shared" si="260"/>
        <v>0</v>
      </c>
      <c r="Z482" s="38">
        <f t="shared" si="260"/>
        <v>0</v>
      </c>
      <c r="AA482" s="38">
        <f t="shared" si="260"/>
        <v>0</v>
      </c>
      <c r="AB482" s="38">
        <f t="shared" si="260"/>
        <v>0</v>
      </c>
      <c r="AC482" s="38">
        <f t="shared" si="260"/>
        <v>0</v>
      </c>
      <c r="AD482" s="38">
        <f t="shared" si="260"/>
        <v>0</v>
      </c>
      <c r="AE482" s="38">
        <f t="shared" si="260"/>
        <v>0</v>
      </c>
      <c r="AF482" s="38">
        <f t="shared" si="260"/>
        <v>0</v>
      </c>
      <c r="AG482" s="38">
        <f t="shared" si="260"/>
        <v>0</v>
      </c>
      <c r="AH482" s="38">
        <f t="shared" si="260"/>
        <v>0</v>
      </c>
      <c r="AI482" s="38">
        <f t="shared" si="260"/>
        <v>0</v>
      </c>
      <c r="AJ482" s="38">
        <f t="shared" si="260"/>
        <v>0</v>
      </c>
      <c r="AK482" s="38">
        <f t="shared" si="260"/>
        <v>0</v>
      </c>
      <c r="AL482" s="38">
        <f t="shared" si="260"/>
        <v>0</v>
      </c>
      <c r="AM482" s="38">
        <f t="shared" si="260"/>
        <v>0</v>
      </c>
      <c r="AN482" s="38">
        <f t="shared" si="260"/>
        <v>0</v>
      </c>
      <c r="AO482" s="38">
        <f t="shared" si="260"/>
        <v>0</v>
      </c>
      <c r="AP482" s="38">
        <f t="shared" si="260"/>
        <v>0</v>
      </c>
    </row>
    <row r="483" spans="1:42" s="35" customFormat="1" x14ac:dyDescent="0.2">
      <c r="A483" s="65"/>
      <c r="C483" s="38"/>
      <c r="D483" s="38"/>
      <c r="E483" s="38"/>
      <c r="F483" s="38"/>
      <c r="G483" s="38"/>
      <c r="H483" s="38"/>
      <c r="I483" s="38"/>
      <c r="J483" s="38"/>
      <c r="K483" s="38"/>
      <c r="L483" s="38"/>
      <c r="M483" s="38"/>
      <c r="N483" s="38"/>
      <c r="O483" s="38"/>
      <c r="P483" s="38"/>
      <c r="Q483" s="38"/>
      <c r="R483" s="38"/>
      <c r="S483" s="38"/>
      <c r="T483" s="38"/>
      <c r="U483" s="38"/>
      <c r="V483" s="38"/>
      <c r="W483" s="38"/>
      <c r="X483" s="38"/>
      <c r="Y483" s="38"/>
      <c r="Z483" s="38"/>
      <c r="AA483" s="38"/>
      <c r="AB483" s="38"/>
      <c r="AC483" s="38"/>
      <c r="AD483" s="38"/>
      <c r="AE483" s="38"/>
      <c r="AF483" s="38"/>
      <c r="AG483" s="38"/>
      <c r="AH483" s="38"/>
      <c r="AI483" s="38"/>
      <c r="AJ483" s="38"/>
      <c r="AK483" s="38"/>
      <c r="AL483" s="38"/>
      <c r="AM483" s="38"/>
      <c r="AN483" s="38"/>
      <c r="AO483" s="38"/>
      <c r="AP483" s="38"/>
    </row>
    <row r="484" spans="1:42" x14ac:dyDescent="0.2">
      <c r="A484" s="45" t="s">
        <v>26</v>
      </c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52"/>
      <c r="AE484" s="52"/>
      <c r="AF484" s="52"/>
      <c r="AG484" s="52"/>
      <c r="AH484" s="52"/>
      <c r="AI484" s="52"/>
      <c r="AJ484" s="52"/>
      <c r="AK484" s="52"/>
      <c r="AL484" s="52"/>
      <c r="AM484" s="52"/>
      <c r="AN484" s="52"/>
      <c r="AO484" s="52"/>
      <c r="AP484" s="52"/>
    </row>
    <row r="485" spans="1:42" x14ac:dyDescent="0.2">
      <c r="A485" s="59" t="str">
        <f>Inputs!B103</f>
        <v>As fixed amount</v>
      </c>
      <c r="B485" s="35"/>
      <c r="C485" s="35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52"/>
      <c r="AE485" s="52"/>
      <c r="AF485" s="52"/>
      <c r="AG485" s="52"/>
      <c r="AH485" s="52"/>
      <c r="AI485" s="52"/>
      <c r="AJ485" s="52"/>
      <c r="AK485" s="52"/>
      <c r="AL485" s="52"/>
      <c r="AM485" s="52"/>
      <c r="AN485" s="52"/>
      <c r="AO485" s="52"/>
      <c r="AP485" s="52"/>
    </row>
    <row r="486" spans="1:42" x14ac:dyDescent="0.2">
      <c r="A486" s="65" t="str">
        <f>Inputs!B104</f>
        <v>Federal ($)</v>
      </c>
      <c r="B486" s="35"/>
      <c r="C486" s="60">
        <f>IBIFedFixed</f>
        <v>0</v>
      </c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52"/>
      <c r="AE486" s="52"/>
      <c r="AF486" s="52"/>
      <c r="AG486" s="52"/>
      <c r="AH486" s="52"/>
      <c r="AI486" s="52"/>
      <c r="AJ486" s="52"/>
      <c r="AK486" s="52"/>
      <c r="AL486" s="52"/>
      <c r="AM486" s="52"/>
      <c r="AN486" s="52"/>
      <c r="AO486" s="52"/>
      <c r="AP486" s="52"/>
    </row>
    <row r="487" spans="1:42" x14ac:dyDescent="0.2">
      <c r="A487" s="65" t="str">
        <f>Inputs!B105</f>
        <v>State ($)</v>
      </c>
      <c r="B487" s="35"/>
      <c r="C487" s="60">
        <f>IBIStateFixed</f>
        <v>0</v>
      </c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52"/>
      <c r="AE487" s="52"/>
      <c r="AF487" s="52"/>
      <c r="AG487" s="52"/>
      <c r="AH487" s="52"/>
      <c r="AI487" s="52"/>
      <c r="AJ487" s="52"/>
      <c r="AK487" s="52"/>
      <c r="AL487" s="52"/>
      <c r="AM487" s="52"/>
      <c r="AN487" s="52"/>
      <c r="AO487" s="52"/>
      <c r="AP487" s="52"/>
    </row>
    <row r="488" spans="1:42" x14ac:dyDescent="0.2">
      <c r="A488" s="65" t="str">
        <f>Inputs!B106</f>
        <v>Utility ($)</v>
      </c>
      <c r="B488" s="35"/>
      <c r="C488" s="60">
        <f>IBIUtilityFixed</f>
        <v>0</v>
      </c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52"/>
      <c r="AE488" s="52"/>
      <c r="AF488" s="52"/>
      <c r="AG488" s="52"/>
      <c r="AH488" s="52"/>
      <c r="AI488" s="52"/>
      <c r="AJ488" s="52"/>
      <c r="AK488" s="52"/>
      <c r="AL488" s="52"/>
      <c r="AM488" s="52"/>
      <c r="AN488" s="52"/>
      <c r="AO488" s="52"/>
      <c r="AP488" s="52"/>
    </row>
    <row r="489" spans="1:42" x14ac:dyDescent="0.2">
      <c r="A489" s="65" t="str">
        <f>Inputs!B107</f>
        <v>Other ($)</v>
      </c>
      <c r="C489" s="64">
        <f>IBIOtherFixed</f>
        <v>0</v>
      </c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52"/>
      <c r="AE489" s="52"/>
      <c r="AF489" s="52"/>
      <c r="AG489" s="52"/>
      <c r="AH489" s="52"/>
      <c r="AI489" s="52"/>
      <c r="AJ489" s="52"/>
      <c r="AK489" s="52"/>
      <c r="AL489" s="52"/>
      <c r="AM489" s="52"/>
      <c r="AN489" s="52"/>
      <c r="AO489" s="52"/>
      <c r="AP489" s="52"/>
    </row>
    <row r="490" spans="1:42" x14ac:dyDescent="0.2">
      <c r="A490" s="50" t="s">
        <v>23</v>
      </c>
      <c r="C490" s="52">
        <f>SUM(C486:C489)</f>
        <v>0</v>
      </c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52"/>
      <c r="AE490" s="52"/>
      <c r="AF490" s="52"/>
      <c r="AG490" s="52"/>
      <c r="AH490" s="52"/>
      <c r="AI490" s="52"/>
      <c r="AJ490" s="52"/>
      <c r="AK490" s="52"/>
      <c r="AL490" s="52"/>
      <c r="AM490" s="52"/>
      <c r="AN490" s="52"/>
      <c r="AO490" s="52"/>
      <c r="AP490" s="52"/>
    </row>
    <row r="491" spans="1:42" x14ac:dyDescent="0.2">
      <c r="A491" s="59" t="str">
        <f>Inputs!B108</f>
        <v>As percentage</v>
      </c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52"/>
      <c r="AE491" s="52"/>
      <c r="AF491" s="52"/>
      <c r="AG491" s="52"/>
      <c r="AH491" s="52"/>
      <c r="AI491" s="52"/>
      <c r="AJ491" s="52"/>
      <c r="AK491" s="52"/>
      <c r="AL491" s="52"/>
      <c r="AM491" s="52"/>
      <c r="AN491" s="52"/>
      <c r="AO491" s="52"/>
      <c r="AP491" s="52"/>
    </row>
    <row r="492" spans="1:42" x14ac:dyDescent="0.2">
      <c r="A492" s="65" t="str">
        <f>Inputs!B109</f>
        <v>Federal (% of total installed cost)</v>
      </c>
      <c r="C492" s="60">
        <f>IBIFedPercent</f>
        <v>0</v>
      </c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52"/>
      <c r="AE492" s="52"/>
      <c r="AF492" s="52"/>
      <c r="AG492" s="52"/>
      <c r="AH492" s="52"/>
      <c r="AI492" s="52"/>
      <c r="AJ492" s="52"/>
      <c r="AK492" s="52"/>
      <c r="AL492" s="52"/>
      <c r="AM492" s="52"/>
      <c r="AN492" s="52"/>
      <c r="AO492" s="52"/>
      <c r="AP492" s="52"/>
    </row>
    <row r="493" spans="1:42" x14ac:dyDescent="0.2">
      <c r="A493" s="65" t="str">
        <f>Inputs!B110</f>
        <v>State (% of total installed cost)</v>
      </c>
      <c r="C493" s="60">
        <f>IBIStatePercent</f>
        <v>0</v>
      </c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52"/>
      <c r="AE493" s="52"/>
      <c r="AF493" s="52"/>
      <c r="AG493" s="52"/>
      <c r="AH493" s="52"/>
      <c r="AI493" s="52"/>
      <c r="AJ493" s="52"/>
      <c r="AK493" s="52"/>
      <c r="AL493" s="52"/>
      <c r="AM493" s="52"/>
      <c r="AN493" s="52"/>
      <c r="AO493" s="52"/>
      <c r="AP493" s="52"/>
    </row>
    <row r="494" spans="1:42" x14ac:dyDescent="0.2">
      <c r="A494" s="65" t="str">
        <f>Inputs!B111</f>
        <v>Utility (% of total installed cost)</v>
      </c>
      <c r="C494" s="60">
        <f>IBIUtilityPercent</f>
        <v>0</v>
      </c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52"/>
      <c r="AE494" s="52"/>
      <c r="AF494" s="52"/>
      <c r="AG494" s="52"/>
      <c r="AH494" s="52"/>
      <c r="AI494" s="52"/>
      <c r="AJ494" s="52"/>
      <c r="AK494" s="52"/>
      <c r="AL494" s="52"/>
      <c r="AM494" s="52"/>
      <c r="AN494" s="52"/>
      <c r="AO494" s="52"/>
      <c r="AP494" s="52"/>
    </row>
    <row r="495" spans="1:42" x14ac:dyDescent="0.2">
      <c r="A495" s="65" t="str">
        <f>Inputs!B112</f>
        <v>Other (% of total installed cost)</v>
      </c>
      <c r="C495" s="64">
        <f>IBIOtherPercent</f>
        <v>0</v>
      </c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52"/>
      <c r="AE495" s="52"/>
      <c r="AF495" s="52"/>
      <c r="AG495" s="52"/>
      <c r="AH495" s="52"/>
      <c r="AI495" s="52"/>
      <c r="AJ495" s="52"/>
      <c r="AK495" s="52"/>
      <c r="AL495" s="52"/>
      <c r="AM495" s="52"/>
      <c r="AN495" s="52"/>
      <c r="AO495" s="52"/>
      <c r="AP495" s="52"/>
    </row>
    <row r="496" spans="1:42" x14ac:dyDescent="0.2">
      <c r="A496" s="65" t="s">
        <v>23</v>
      </c>
      <c r="C496" s="52">
        <f>SUM(C492:C495)</f>
        <v>0</v>
      </c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52"/>
      <c r="AE496" s="52"/>
      <c r="AF496" s="52"/>
      <c r="AG496" s="52"/>
      <c r="AH496" s="52"/>
      <c r="AI496" s="52"/>
      <c r="AJ496" s="52"/>
      <c r="AK496" s="52"/>
      <c r="AL496" s="52"/>
      <c r="AM496" s="52"/>
      <c r="AN496" s="52"/>
      <c r="AO496" s="52"/>
      <c r="AP496" s="52"/>
    </row>
    <row r="497" spans="1:42" x14ac:dyDescent="0.2">
      <c r="A497" s="45" t="s">
        <v>65</v>
      </c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52"/>
      <c r="AE497" s="52"/>
      <c r="AF497" s="52"/>
      <c r="AG497" s="52"/>
      <c r="AH497" s="52"/>
      <c r="AI497" s="52"/>
      <c r="AJ497" s="52"/>
      <c r="AK497" s="52"/>
      <c r="AL497" s="52"/>
      <c r="AM497" s="52"/>
      <c r="AN497" s="52"/>
      <c r="AO497" s="52"/>
      <c r="AP497" s="52"/>
    </row>
    <row r="498" spans="1:42" x14ac:dyDescent="0.2">
      <c r="A498" s="59" t="str">
        <f>Inputs!B114</f>
        <v>Federal ($/W)</v>
      </c>
      <c r="B498" s="35"/>
      <c r="C498" s="60">
        <f>CBIFed</f>
        <v>0</v>
      </c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52"/>
      <c r="AE498" s="52"/>
      <c r="AF498" s="52"/>
      <c r="AG498" s="52"/>
      <c r="AH498" s="52"/>
      <c r="AI498" s="52"/>
      <c r="AJ498" s="52"/>
      <c r="AK498" s="52"/>
      <c r="AL498" s="52"/>
      <c r="AM498" s="52"/>
      <c r="AN498" s="52"/>
      <c r="AO498" s="52"/>
      <c r="AP498" s="52"/>
    </row>
    <row r="499" spans="1:42" x14ac:dyDescent="0.2">
      <c r="A499" s="59" t="str">
        <f>Inputs!B115</f>
        <v>State ($/W)</v>
      </c>
      <c r="B499" s="35"/>
      <c r="C499" s="60">
        <f>CBIState</f>
        <v>0</v>
      </c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52"/>
      <c r="AE499" s="52"/>
      <c r="AF499" s="52"/>
      <c r="AG499" s="52"/>
      <c r="AH499" s="52"/>
      <c r="AI499" s="52"/>
      <c r="AJ499" s="52"/>
      <c r="AK499" s="52"/>
      <c r="AL499" s="52"/>
      <c r="AM499" s="52"/>
      <c r="AN499" s="52"/>
      <c r="AO499" s="52"/>
      <c r="AP499" s="52"/>
    </row>
    <row r="500" spans="1:42" x14ac:dyDescent="0.2">
      <c r="A500" s="59" t="str">
        <f>Inputs!B116</f>
        <v>Utility ($/W)</v>
      </c>
      <c r="B500" s="35"/>
      <c r="C500" s="60">
        <f>CBIUtility</f>
        <v>0</v>
      </c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52"/>
      <c r="AE500" s="52"/>
      <c r="AF500" s="52"/>
      <c r="AG500" s="52"/>
      <c r="AH500" s="52"/>
      <c r="AI500" s="52"/>
      <c r="AJ500" s="52"/>
      <c r="AK500" s="52"/>
      <c r="AL500" s="52"/>
      <c r="AM500" s="52"/>
      <c r="AN500" s="52"/>
      <c r="AO500" s="52"/>
      <c r="AP500" s="52"/>
    </row>
    <row r="501" spans="1:42" x14ac:dyDescent="0.2">
      <c r="A501" s="59" t="str">
        <f>Inputs!B117</f>
        <v>Other ($/W)</v>
      </c>
      <c r="C501" s="64">
        <f>CBIOther</f>
        <v>0</v>
      </c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52"/>
      <c r="AE501" s="52"/>
      <c r="AF501" s="52"/>
      <c r="AG501" s="52"/>
      <c r="AH501" s="52"/>
      <c r="AI501" s="52"/>
      <c r="AJ501" s="52"/>
      <c r="AK501" s="52"/>
      <c r="AL501" s="52"/>
      <c r="AM501" s="52"/>
      <c r="AN501" s="52"/>
      <c r="AO501" s="52"/>
      <c r="AP501" s="52"/>
    </row>
    <row r="502" spans="1:42" x14ac:dyDescent="0.2">
      <c r="A502" s="46" t="s">
        <v>23</v>
      </c>
      <c r="C502" s="52">
        <f>SUM(C498:C501)</f>
        <v>0</v>
      </c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52"/>
      <c r="AE502" s="52"/>
      <c r="AF502" s="52"/>
      <c r="AG502" s="52"/>
      <c r="AH502" s="52"/>
      <c r="AI502" s="52"/>
      <c r="AJ502" s="52"/>
      <c r="AK502" s="52"/>
      <c r="AL502" s="52"/>
      <c r="AM502" s="52"/>
      <c r="AN502" s="52"/>
      <c r="AO502" s="52"/>
      <c r="AP502" s="52"/>
    </row>
    <row r="503" spans="1:42" x14ac:dyDescent="0.2"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52"/>
      <c r="AE503" s="52"/>
      <c r="AF503" s="52"/>
      <c r="AG503" s="52"/>
      <c r="AH503" s="52"/>
      <c r="AI503" s="52"/>
      <c r="AJ503" s="52"/>
      <c r="AK503" s="52"/>
      <c r="AL503" s="52"/>
      <c r="AM503" s="52"/>
      <c r="AN503" s="52"/>
      <c r="AO503" s="52"/>
      <c r="AP503" s="52"/>
    </row>
    <row r="504" spans="1:42" x14ac:dyDescent="0.2">
      <c r="A504" s="45" t="s">
        <v>62</v>
      </c>
    </row>
    <row r="505" spans="1:42" x14ac:dyDescent="0.2">
      <c r="A505" s="46" t="str">
        <f>Inputs!B119</f>
        <v>Federal ($/kWh)</v>
      </c>
    </row>
    <row r="506" spans="1:42" x14ac:dyDescent="0.2">
      <c r="A506" s="50" t="s">
        <v>63</v>
      </c>
      <c r="C506" s="92">
        <f t="shared" ref="C506:AP506" si="261">IF(AND(C$2&lt;=PBIFedTerm,C$2&lt;=AnalysisPeriod),PBIFed*(1+PBIFedEsc)^B$2,0)</f>
        <v>0</v>
      </c>
      <c r="D506" s="92">
        <f t="shared" si="261"/>
        <v>0</v>
      </c>
      <c r="E506" s="92">
        <f t="shared" si="261"/>
        <v>0</v>
      </c>
      <c r="F506" s="92">
        <f t="shared" si="261"/>
        <v>0</v>
      </c>
      <c r="G506" s="92">
        <f t="shared" si="261"/>
        <v>0</v>
      </c>
      <c r="H506" s="92">
        <f t="shared" si="261"/>
        <v>0</v>
      </c>
      <c r="I506" s="92">
        <f t="shared" si="261"/>
        <v>0</v>
      </c>
      <c r="J506" s="92">
        <f t="shared" si="261"/>
        <v>0</v>
      </c>
      <c r="K506" s="92">
        <f t="shared" si="261"/>
        <v>0</v>
      </c>
      <c r="L506" s="92">
        <f t="shared" si="261"/>
        <v>0</v>
      </c>
      <c r="M506" s="92">
        <f t="shared" si="261"/>
        <v>0</v>
      </c>
      <c r="N506" s="92">
        <f t="shared" si="261"/>
        <v>0</v>
      </c>
      <c r="O506" s="92">
        <f t="shared" si="261"/>
        <v>0</v>
      </c>
      <c r="P506" s="92">
        <f t="shared" si="261"/>
        <v>0</v>
      </c>
      <c r="Q506" s="92">
        <f t="shared" si="261"/>
        <v>0</v>
      </c>
      <c r="R506" s="92">
        <f t="shared" si="261"/>
        <v>0</v>
      </c>
      <c r="S506" s="92">
        <f t="shared" si="261"/>
        <v>0</v>
      </c>
      <c r="T506" s="92">
        <f t="shared" si="261"/>
        <v>0</v>
      </c>
      <c r="U506" s="92">
        <f t="shared" si="261"/>
        <v>0</v>
      </c>
      <c r="V506" s="92">
        <f t="shared" si="261"/>
        <v>0</v>
      </c>
      <c r="W506" s="92">
        <f t="shared" si="261"/>
        <v>0</v>
      </c>
      <c r="X506" s="92">
        <f t="shared" si="261"/>
        <v>0</v>
      </c>
      <c r="Y506" s="92">
        <f t="shared" si="261"/>
        <v>0</v>
      </c>
      <c r="Z506" s="92">
        <f t="shared" si="261"/>
        <v>0</v>
      </c>
      <c r="AA506" s="92">
        <f t="shared" si="261"/>
        <v>0</v>
      </c>
      <c r="AB506" s="92">
        <f t="shared" si="261"/>
        <v>0</v>
      </c>
      <c r="AC506" s="92">
        <f t="shared" si="261"/>
        <v>0</v>
      </c>
      <c r="AD506" s="92">
        <f t="shared" si="261"/>
        <v>0</v>
      </c>
      <c r="AE506" s="92">
        <f t="shared" si="261"/>
        <v>0</v>
      </c>
      <c r="AF506" s="92">
        <f t="shared" si="261"/>
        <v>0</v>
      </c>
      <c r="AG506" s="92">
        <f t="shared" si="261"/>
        <v>0</v>
      </c>
      <c r="AH506" s="92">
        <f t="shared" si="261"/>
        <v>0</v>
      </c>
      <c r="AI506" s="92">
        <f t="shared" si="261"/>
        <v>0</v>
      </c>
      <c r="AJ506" s="92">
        <f t="shared" si="261"/>
        <v>0</v>
      </c>
      <c r="AK506" s="92">
        <f t="shared" si="261"/>
        <v>0</v>
      </c>
      <c r="AL506" s="92">
        <f t="shared" si="261"/>
        <v>0</v>
      </c>
      <c r="AM506" s="92">
        <f t="shared" si="261"/>
        <v>0</v>
      </c>
      <c r="AN506" s="92">
        <f t="shared" si="261"/>
        <v>0</v>
      </c>
      <c r="AO506" s="92">
        <f t="shared" si="261"/>
        <v>0</v>
      </c>
      <c r="AP506" s="92">
        <f t="shared" si="261"/>
        <v>0</v>
      </c>
    </row>
    <row r="507" spans="1:42" x14ac:dyDescent="0.2">
      <c r="A507" s="50" t="s">
        <v>64</v>
      </c>
      <c r="C507" s="64">
        <f>C$5</f>
        <v>32344836</v>
      </c>
      <c r="D507" s="64">
        <f t="shared" ref="D507:AP507" si="262">D$5</f>
        <v>32183111.82</v>
      </c>
      <c r="E507" s="64">
        <f t="shared" si="262"/>
        <v>32022196.260900002</v>
      </c>
      <c r="F507" s="64">
        <f t="shared" si="262"/>
        <v>31862085.279595502</v>
      </c>
      <c r="G507" s="64">
        <f t="shared" si="262"/>
        <v>31702774.853197522</v>
      </c>
      <c r="H507" s="64">
        <f t="shared" si="262"/>
        <v>31544260.978931535</v>
      </c>
      <c r="I507" s="64">
        <f t="shared" si="262"/>
        <v>31386539.674036879</v>
      </c>
      <c r="J507" s="64">
        <f t="shared" si="262"/>
        <v>31229606.975666694</v>
      </c>
      <c r="K507" s="64">
        <f t="shared" si="262"/>
        <v>31073458.940788362</v>
      </c>
      <c r="L507" s="64">
        <f t="shared" si="262"/>
        <v>30918091.64608442</v>
      </c>
      <c r="M507" s="64">
        <f t="shared" si="262"/>
        <v>30763501.187853999</v>
      </c>
      <c r="N507" s="64">
        <f t="shared" si="262"/>
        <v>30609683.681914728</v>
      </c>
      <c r="O507" s="64">
        <f t="shared" si="262"/>
        <v>30456635.263505153</v>
      </c>
      <c r="P507" s="64">
        <f t="shared" si="262"/>
        <v>30304352.087187629</v>
      </c>
      <c r="Q507" s="64">
        <f t="shared" si="262"/>
        <v>30152830.32675169</v>
      </c>
      <c r="R507" s="64">
        <f t="shared" si="262"/>
        <v>30002066.175117932</v>
      </c>
      <c r="S507" s="64">
        <f t="shared" si="262"/>
        <v>29852055.844242342</v>
      </c>
      <c r="T507" s="64">
        <f t="shared" si="262"/>
        <v>29702795.565021131</v>
      </c>
      <c r="U507" s="64">
        <f t="shared" si="262"/>
        <v>29554281.587196026</v>
      </c>
      <c r="V507" s="64">
        <f t="shared" si="262"/>
        <v>29406510.179260045</v>
      </c>
      <c r="W507" s="64">
        <f t="shared" si="262"/>
        <v>29259477.628363743</v>
      </c>
      <c r="X507" s="64">
        <f t="shared" si="262"/>
        <v>29113180.240221925</v>
      </c>
      <c r="Y507" s="64">
        <f t="shared" si="262"/>
        <v>28967614.339020815</v>
      </c>
      <c r="Z507" s="64">
        <f t="shared" si="262"/>
        <v>28822776.267325711</v>
      </c>
      <c r="AA507" s="64">
        <f t="shared" si="262"/>
        <v>28678662.385989081</v>
      </c>
      <c r="AB507" s="64">
        <f t="shared" si="262"/>
        <v>28535269.074059136</v>
      </c>
      <c r="AC507" s="64">
        <f t="shared" si="262"/>
        <v>28392592.72868884</v>
      </c>
      <c r="AD507" s="64">
        <f t="shared" si="262"/>
        <v>28250629.765045397</v>
      </c>
      <c r="AE507" s="64">
        <f t="shared" si="262"/>
        <v>28109376.616220169</v>
      </c>
      <c r="AF507" s="64">
        <f t="shared" si="262"/>
        <v>27968829.733139068</v>
      </c>
      <c r="AG507" s="64">
        <f t="shared" si="262"/>
        <v>27828985.584473372</v>
      </c>
      <c r="AH507" s="64">
        <f t="shared" si="262"/>
        <v>27689840.656551003</v>
      </c>
      <c r="AI507" s="64">
        <f t="shared" si="262"/>
        <v>27551391.453268249</v>
      </c>
      <c r="AJ507" s="64">
        <f t="shared" si="262"/>
        <v>27413634.496001907</v>
      </c>
      <c r="AK507" s="64">
        <f t="shared" si="262"/>
        <v>27276566.323521897</v>
      </c>
      <c r="AL507" s="64">
        <f t="shared" si="262"/>
        <v>27140183.491904289</v>
      </c>
      <c r="AM507" s="64">
        <f t="shared" si="262"/>
        <v>27004482.574444767</v>
      </c>
      <c r="AN507" s="64">
        <f t="shared" si="262"/>
        <v>26869460.161572542</v>
      </c>
      <c r="AO507" s="64">
        <f t="shared" si="262"/>
        <v>26735112.860764679</v>
      </c>
      <c r="AP507" s="64">
        <f t="shared" si="262"/>
        <v>26601437.296460856</v>
      </c>
    </row>
    <row r="508" spans="1:42" x14ac:dyDescent="0.2">
      <c r="A508" s="50" t="s">
        <v>23</v>
      </c>
      <c r="C508" s="60">
        <f>C506*C507</f>
        <v>0</v>
      </c>
      <c r="D508" s="60">
        <f t="shared" ref="D508:AP508" si="263">D506*D507</f>
        <v>0</v>
      </c>
      <c r="E508" s="60">
        <f t="shared" si="263"/>
        <v>0</v>
      </c>
      <c r="F508" s="60">
        <f t="shared" si="263"/>
        <v>0</v>
      </c>
      <c r="G508" s="60">
        <f t="shared" si="263"/>
        <v>0</v>
      </c>
      <c r="H508" s="60">
        <f t="shared" si="263"/>
        <v>0</v>
      </c>
      <c r="I508" s="60">
        <f t="shared" si="263"/>
        <v>0</v>
      </c>
      <c r="J508" s="60">
        <f t="shared" si="263"/>
        <v>0</v>
      </c>
      <c r="K508" s="60">
        <f t="shared" si="263"/>
        <v>0</v>
      </c>
      <c r="L508" s="60">
        <f t="shared" si="263"/>
        <v>0</v>
      </c>
      <c r="M508" s="60">
        <f t="shared" si="263"/>
        <v>0</v>
      </c>
      <c r="N508" s="60">
        <f t="shared" si="263"/>
        <v>0</v>
      </c>
      <c r="O508" s="60">
        <f t="shared" si="263"/>
        <v>0</v>
      </c>
      <c r="P508" s="60">
        <f t="shared" si="263"/>
        <v>0</v>
      </c>
      <c r="Q508" s="60">
        <f t="shared" si="263"/>
        <v>0</v>
      </c>
      <c r="R508" s="60">
        <f t="shared" si="263"/>
        <v>0</v>
      </c>
      <c r="S508" s="60">
        <f t="shared" si="263"/>
        <v>0</v>
      </c>
      <c r="T508" s="60">
        <f t="shared" si="263"/>
        <v>0</v>
      </c>
      <c r="U508" s="60">
        <f t="shared" si="263"/>
        <v>0</v>
      </c>
      <c r="V508" s="60">
        <f t="shared" si="263"/>
        <v>0</v>
      </c>
      <c r="W508" s="60">
        <f t="shared" si="263"/>
        <v>0</v>
      </c>
      <c r="X508" s="60">
        <f t="shared" si="263"/>
        <v>0</v>
      </c>
      <c r="Y508" s="60">
        <f t="shared" si="263"/>
        <v>0</v>
      </c>
      <c r="Z508" s="60">
        <f t="shared" si="263"/>
        <v>0</v>
      </c>
      <c r="AA508" s="60">
        <f t="shared" si="263"/>
        <v>0</v>
      </c>
      <c r="AB508" s="60">
        <f t="shared" si="263"/>
        <v>0</v>
      </c>
      <c r="AC508" s="60">
        <f t="shared" si="263"/>
        <v>0</v>
      </c>
      <c r="AD508" s="60">
        <f t="shared" si="263"/>
        <v>0</v>
      </c>
      <c r="AE508" s="60">
        <f t="shared" si="263"/>
        <v>0</v>
      </c>
      <c r="AF508" s="60">
        <f t="shared" si="263"/>
        <v>0</v>
      </c>
      <c r="AG508" s="60">
        <f t="shared" si="263"/>
        <v>0</v>
      </c>
      <c r="AH508" s="60">
        <f t="shared" si="263"/>
        <v>0</v>
      </c>
      <c r="AI508" s="60">
        <f t="shared" si="263"/>
        <v>0</v>
      </c>
      <c r="AJ508" s="60">
        <f t="shared" si="263"/>
        <v>0</v>
      </c>
      <c r="AK508" s="60">
        <f t="shared" si="263"/>
        <v>0</v>
      </c>
      <c r="AL508" s="60">
        <f t="shared" si="263"/>
        <v>0</v>
      </c>
      <c r="AM508" s="60">
        <f t="shared" si="263"/>
        <v>0</v>
      </c>
      <c r="AN508" s="60">
        <f t="shared" si="263"/>
        <v>0</v>
      </c>
      <c r="AO508" s="60">
        <f t="shared" si="263"/>
        <v>0</v>
      </c>
      <c r="AP508" s="60">
        <f t="shared" si="263"/>
        <v>0</v>
      </c>
    </row>
    <row r="509" spans="1:42" x14ac:dyDescent="0.2">
      <c r="A509" s="46" t="str">
        <f>Inputs!B120</f>
        <v>State ($/kWh)</v>
      </c>
    </row>
    <row r="510" spans="1:42" x14ac:dyDescent="0.2">
      <c r="A510" s="50" t="s">
        <v>63</v>
      </c>
      <c r="C510" s="92">
        <f t="shared" ref="C510:AP510" si="264">IF(AND(C$2&lt;=PBIStateTerm,C$2&lt;=AnalysisPeriod),PBIState*(1+PBIStateEsc)^B$2,0)</f>
        <v>0</v>
      </c>
      <c r="D510" s="92">
        <f t="shared" si="264"/>
        <v>0</v>
      </c>
      <c r="E510" s="92">
        <f t="shared" si="264"/>
        <v>0</v>
      </c>
      <c r="F510" s="92">
        <f t="shared" si="264"/>
        <v>0</v>
      </c>
      <c r="G510" s="92">
        <f t="shared" si="264"/>
        <v>0</v>
      </c>
      <c r="H510" s="92">
        <f t="shared" si="264"/>
        <v>0</v>
      </c>
      <c r="I510" s="92">
        <f t="shared" si="264"/>
        <v>0</v>
      </c>
      <c r="J510" s="92">
        <f t="shared" si="264"/>
        <v>0</v>
      </c>
      <c r="K510" s="92">
        <f t="shared" si="264"/>
        <v>0</v>
      </c>
      <c r="L510" s="92">
        <f t="shared" si="264"/>
        <v>0</v>
      </c>
      <c r="M510" s="92">
        <f t="shared" si="264"/>
        <v>0</v>
      </c>
      <c r="N510" s="92">
        <f t="shared" si="264"/>
        <v>0</v>
      </c>
      <c r="O510" s="92">
        <f t="shared" si="264"/>
        <v>0</v>
      </c>
      <c r="P510" s="92">
        <f t="shared" si="264"/>
        <v>0</v>
      </c>
      <c r="Q510" s="92">
        <f t="shared" si="264"/>
        <v>0</v>
      </c>
      <c r="R510" s="92">
        <f t="shared" si="264"/>
        <v>0</v>
      </c>
      <c r="S510" s="92">
        <f t="shared" si="264"/>
        <v>0</v>
      </c>
      <c r="T510" s="92">
        <f t="shared" si="264"/>
        <v>0</v>
      </c>
      <c r="U510" s="92">
        <f t="shared" si="264"/>
        <v>0</v>
      </c>
      <c r="V510" s="92">
        <f t="shared" si="264"/>
        <v>0</v>
      </c>
      <c r="W510" s="92">
        <f t="shared" si="264"/>
        <v>0</v>
      </c>
      <c r="X510" s="92">
        <f t="shared" si="264"/>
        <v>0</v>
      </c>
      <c r="Y510" s="92">
        <f t="shared" si="264"/>
        <v>0</v>
      </c>
      <c r="Z510" s="92">
        <f t="shared" si="264"/>
        <v>0</v>
      </c>
      <c r="AA510" s="92">
        <f t="shared" si="264"/>
        <v>0</v>
      </c>
      <c r="AB510" s="92">
        <f t="shared" si="264"/>
        <v>0</v>
      </c>
      <c r="AC510" s="92">
        <f t="shared" si="264"/>
        <v>0</v>
      </c>
      <c r="AD510" s="92">
        <f t="shared" si="264"/>
        <v>0</v>
      </c>
      <c r="AE510" s="92">
        <f t="shared" si="264"/>
        <v>0</v>
      </c>
      <c r="AF510" s="92">
        <f t="shared" si="264"/>
        <v>0</v>
      </c>
      <c r="AG510" s="92">
        <f t="shared" si="264"/>
        <v>0</v>
      </c>
      <c r="AH510" s="92">
        <f t="shared" si="264"/>
        <v>0</v>
      </c>
      <c r="AI510" s="92">
        <f t="shared" si="264"/>
        <v>0</v>
      </c>
      <c r="AJ510" s="92">
        <f t="shared" si="264"/>
        <v>0</v>
      </c>
      <c r="AK510" s="92">
        <f t="shared" si="264"/>
        <v>0</v>
      </c>
      <c r="AL510" s="92">
        <f t="shared" si="264"/>
        <v>0</v>
      </c>
      <c r="AM510" s="92">
        <f t="shared" si="264"/>
        <v>0</v>
      </c>
      <c r="AN510" s="92">
        <f t="shared" si="264"/>
        <v>0</v>
      </c>
      <c r="AO510" s="92">
        <f t="shared" si="264"/>
        <v>0</v>
      </c>
      <c r="AP510" s="92">
        <f t="shared" si="264"/>
        <v>0</v>
      </c>
    </row>
    <row r="511" spans="1:42" x14ac:dyDescent="0.2">
      <c r="A511" s="50" t="s">
        <v>64</v>
      </c>
      <c r="C511" s="64">
        <f>C$5</f>
        <v>32344836</v>
      </c>
      <c r="D511" s="64">
        <f t="shared" ref="D511:AP511" si="265">D$5</f>
        <v>32183111.82</v>
      </c>
      <c r="E511" s="64">
        <f t="shared" si="265"/>
        <v>32022196.260900002</v>
      </c>
      <c r="F511" s="64">
        <f t="shared" si="265"/>
        <v>31862085.279595502</v>
      </c>
      <c r="G511" s="64">
        <f t="shared" si="265"/>
        <v>31702774.853197522</v>
      </c>
      <c r="H511" s="64">
        <f t="shared" si="265"/>
        <v>31544260.978931535</v>
      </c>
      <c r="I511" s="64">
        <f t="shared" si="265"/>
        <v>31386539.674036879</v>
      </c>
      <c r="J511" s="64">
        <f t="shared" si="265"/>
        <v>31229606.975666694</v>
      </c>
      <c r="K511" s="64">
        <f t="shared" si="265"/>
        <v>31073458.940788362</v>
      </c>
      <c r="L511" s="64">
        <f t="shared" si="265"/>
        <v>30918091.64608442</v>
      </c>
      <c r="M511" s="64">
        <f t="shared" si="265"/>
        <v>30763501.187853999</v>
      </c>
      <c r="N511" s="64">
        <f t="shared" si="265"/>
        <v>30609683.681914728</v>
      </c>
      <c r="O511" s="64">
        <f t="shared" si="265"/>
        <v>30456635.263505153</v>
      </c>
      <c r="P511" s="64">
        <f t="shared" si="265"/>
        <v>30304352.087187629</v>
      </c>
      <c r="Q511" s="64">
        <f t="shared" si="265"/>
        <v>30152830.32675169</v>
      </c>
      <c r="R511" s="64">
        <f t="shared" si="265"/>
        <v>30002066.175117932</v>
      </c>
      <c r="S511" s="64">
        <f t="shared" si="265"/>
        <v>29852055.844242342</v>
      </c>
      <c r="T511" s="64">
        <f t="shared" si="265"/>
        <v>29702795.565021131</v>
      </c>
      <c r="U511" s="64">
        <f t="shared" si="265"/>
        <v>29554281.587196026</v>
      </c>
      <c r="V511" s="64">
        <f t="shared" si="265"/>
        <v>29406510.179260045</v>
      </c>
      <c r="W511" s="64">
        <f t="shared" si="265"/>
        <v>29259477.628363743</v>
      </c>
      <c r="X511" s="64">
        <f t="shared" si="265"/>
        <v>29113180.240221925</v>
      </c>
      <c r="Y511" s="64">
        <f t="shared" si="265"/>
        <v>28967614.339020815</v>
      </c>
      <c r="Z511" s="64">
        <f t="shared" si="265"/>
        <v>28822776.267325711</v>
      </c>
      <c r="AA511" s="64">
        <f t="shared" si="265"/>
        <v>28678662.385989081</v>
      </c>
      <c r="AB511" s="64">
        <f t="shared" si="265"/>
        <v>28535269.074059136</v>
      </c>
      <c r="AC511" s="64">
        <f t="shared" si="265"/>
        <v>28392592.72868884</v>
      </c>
      <c r="AD511" s="64">
        <f t="shared" si="265"/>
        <v>28250629.765045397</v>
      </c>
      <c r="AE511" s="64">
        <f t="shared" si="265"/>
        <v>28109376.616220169</v>
      </c>
      <c r="AF511" s="64">
        <f t="shared" si="265"/>
        <v>27968829.733139068</v>
      </c>
      <c r="AG511" s="64">
        <f t="shared" si="265"/>
        <v>27828985.584473372</v>
      </c>
      <c r="AH511" s="64">
        <f t="shared" si="265"/>
        <v>27689840.656551003</v>
      </c>
      <c r="AI511" s="64">
        <f t="shared" si="265"/>
        <v>27551391.453268249</v>
      </c>
      <c r="AJ511" s="64">
        <f t="shared" si="265"/>
        <v>27413634.496001907</v>
      </c>
      <c r="AK511" s="64">
        <f t="shared" si="265"/>
        <v>27276566.323521897</v>
      </c>
      <c r="AL511" s="64">
        <f t="shared" si="265"/>
        <v>27140183.491904289</v>
      </c>
      <c r="AM511" s="64">
        <f t="shared" si="265"/>
        <v>27004482.574444767</v>
      </c>
      <c r="AN511" s="64">
        <f t="shared" si="265"/>
        <v>26869460.161572542</v>
      </c>
      <c r="AO511" s="64">
        <f t="shared" si="265"/>
        <v>26735112.860764679</v>
      </c>
      <c r="AP511" s="64">
        <f t="shared" si="265"/>
        <v>26601437.296460856</v>
      </c>
    </row>
    <row r="512" spans="1:42" x14ac:dyDescent="0.2">
      <c r="A512" s="50" t="s">
        <v>23</v>
      </c>
      <c r="C512" s="60">
        <f>C510*C511</f>
        <v>0</v>
      </c>
      <c r="D512" s="60">
        <f t="shared" ref="D512:AP512" si="266">D510*D511</f>
        <v>0</v>
      </c>
      <c r="E512" s="60">
        <f t="shared" si="266"/>
        <v>0</v>
      </c>
      <c r="F512" s="60">
        <f t="shared" si="266"/>
        <v>0</v>
      </c>
      <c r="G512" s="60">
        <f t="shared" si="266"/>
        <v>0</v>
      </c>
      <c r="H512" s="60">
        <f t="shared" si="266"/>
        <v>0</v>
      </c>
      <c r="I512" s="60">
        <f t="shared" si="266"/>
        <v>0</v>
      </c>
      <c r="J512" s="60">
        <f t="shared" si="266"/>
        <v>0</v>
      </c>
      <c r="K512" s="60">
        <f t="shared" si="266"/>
        <v>0</v>
      </c>
      <c r="L512" s="60">
        <f t="shared" si="266"/>
        <v>0</v>
      </c>
      <c r="M512" s="60">
        <f t="shared" si="266"/>
        <v>0</v>
      </c>
      <c r="N512" s="60">
        <f t="shared" si="266"/>
        <v>0</v>
      </c>
      <c r="O512" s="60">
        <f t="shared" si="266"/>
        <v>0</v>
      </c>
      <c r="P512" s="60">
        <f t="shared" si="266"/>
        <v>0</v>
      </c>
      <c r="Q512" s="60">
        <f t="shared" si="266"/>
        <v>0</v>
      </c>
      <c r="R512" s="60">
        <f t="shared" si="266"/>
        <v>0</v>
      </c>
      <c r="S512" s="60">
        <f t="shared" si="266"/>
        <v>0</v>
      </c>
      <c r="T512" s="60">
        <f t="shared" si="266"/>
        <v>0</v>
      </c>
      <c r="U512" s="60">
        <f t="shared" si="266"/>
        <v>0</v>
      </c>
      <c r="V512" s="60">
        <f t="shared" si="266"/>
        <v>0</v>
      </c>
      <c r="W512" s="60">
        <f t="shared" si="266"/>
        <v>0</v>
      </c>
      <c r="X512" s="60">
        <f t="shared" si="266"/>
        <v>0</v>
      </c>
      <c r="Y512" s="60">
        <f t="shared" si="266"/>
        <v>0</v>
      </c>
      <c r="Z512" s="60">
        <f t="shared" si="266"/>
        <v>0</v>
      </c>
      <c r="AA512" s="60">
        <f t="shared" si="266"/>
        <v>0</v>
      </c>
      <c r="AB512" s="60">
        <f t="shared" si="266"/>
        <v>0</v>
      </c>
      <c r="AC512" s="60">
        <f t="shared" si="266"/>
        <v>0</v>
      </c>
      <c r="AD512" s="60">
        <f t="shared" si="266"/>
        <v>0</v>
      </c>
      <c r="AE512" s="60">
        <f t="shared" si="266"/>
        <v>0</v>
      </c>
      <c r="AF512" s="60">
        <f t="shared" si="266"/>
        <v>0</v>
      </c>
      <c r="AG512" s="60">
        <f t="shared" si="266"/>
        <v>0</v>
      </c>
      <c r="AH512" s="60">
        <f t="shared" si="266"/>
        <v>0</v>
      </c>
      <c r="AI512" s="60">
        <f t="shared" si="266"/>
        <v>0</v>
      </c>
      <c r="AJ512" s="60">
        <f t="shared" si="266"/>
        <v>0</v>
      </c>
      <c r="AK512" s="60">
        <f t="shared" si="266"/>
        <v>0</v>
      </c>
      <c r="AL512" s="60">
        <f t="shared" si="266"/>
        <v>0</v>
      </c>
      <c r="AM512" s="60">
        <f t="shared" si="266"/>
        <v>0</v>
      </c>
      <c r="AN512" s="60">
        <f t="shared" si="266"/>
        <v>0</v>
      </c>
      <c r="AO512" s="60">
        <f t="shared" si="266"/>
        <v>0</v>
      </c>
      <c r="AP512" s="60">
        <f t="shared" si="266"/>
        <v>0</v>
      </c>
    </row>
    <row r="513" spans="1:42" x14ac:dyDescent="0.2">
      <c r="A513" s="46" t="str">
        <f>Inputs!B121</f>
        <v>Utility ($/kWh)</v>
      </c>
    </row>
    <row r="514" spans="1:42" x14ac:dyDescent="0.2">
      <c r="A514" s="50" t="s">
        <v>63</v>
      </c>
      <c r="C514" s="92">
        <f t="shared" ref="C514:AP514" si="267">IF(AND(C$2&lt;=PBIUtilityTerm,C$2&lt;=AnalysisPeriod),PBIUtility*(1+PBIUtilityEsc)^B$2,0)</f>
        <v>0</v>
      </c>
      <c r="D514" s="92">
        <f t="shared" si="267"/>
        <v>0</v>
      </c>
      <c r="E514" s="92">
        <f t="shared" si="267"/>
        <v>0</v>
      </c>
      <c r="F514" s="92">
        <f t="shared" si="267"/>
        <v>0</v>
      </c>
      <c r="G514" s="92">
        <f t="shared" si="267"/>
        <v>0</v>
      </c>
      <c r="H514" s="92">
        <f t="shared" si="267"/>
        <v>0</v>
      </c>
      <c r="I514" s="92">
        <f t="shared" si="267"/>
        <v>0</v>
      </c>
      <c r="J514" s="92">
        <f t="shared" si="267"/>
        <v>0</v>
      </c>
      <c r="K514" s="92">
        <f t="shared" si="267"/>
        <v>0</v>
      </c>
      <c r="L514" s="92">
        <f t="shared" si="267"/>
        <v>0</v>
      </c>
      <c r="M514" s="92">
        <f t="shared" si="267"/>
        <v>0</v>
      </c>
      <c r="N514" s="92">
        <f t="shared" si="267"/>
        <v>0</v>
      </c>
      <c r="O514" s="92">
        <f t="shared" si="267"/>
        <v>0</v>
      </c>
      <c r="P514" s="92">
        <f t="shared" si="267"/>
        <v>0</v>
      </c>
      <c r="Q514" s="92">
        <f t="shared" si="267"/>
        <v>0</v>
      </c>
      <c r="R514" s="92">
        <f t="shared" si="267"/>
        <v>0</v>
      </c>
      <c r="S514" s="92">
        <f t="shared" si="267"/>
        <v>0</v>
      </c>
      <c r="T514" s="92">
        <f t="shared" si="267"/>
        <v>0</v>
      </c>
      <c r="U514" s="92">
        <f t="shared" si="267"/>
        <v>0</v>
      </c>
      <c r="V514" s="92">
        <f t="shared" si="267"/>
        <v>0</v>
      </c>
      <c r="W514" s="92">
        <f t="shared" si="267"/>
        <v>0</v>
      </c>
      <c r="X514" s="92">
        <f t="shared" si="267"/>
        <v>0</v>
      </c>
      <c r="Y514" s="92">
        <f t="shared" si="267"/>
        <v>0</v>
      </c>
      <c r="Z514" s="92">
        <f t="shared" si="267"/>
        <v>0</v>
      </c>
      <c r="AA514" s="92">
        <f t="shared" si="267"/>
        <v>0</v>
      </c>
      <c r="AB514" s="92">
        <f t="shared" si="267"/>
        <v>0</v>
      </c>
      <c r="AC514" s="92">
        <f t="shared" si="267"/>
        <v>0</v>
      </c>
      <c r="AD514" s="92">
        <f t="shared" si="267"/>
        <v>0</v>
      </c>
      <c r="AE514" s="92">
        <f t="shared" si="267"/>
        <v>0</v>
      </c>
      <c r="AF514" s="92">
        <f t="shared" si="267"/>
        <v>0</v>
      </c>
      <c r="AG514" s="92">
        <f t="shared" si="267"/>
        <v>0</v>
      </c>
      <c r="AH514" s="92">
        <f t="shared" si="267"/>
        <v>0</v>
      </c>
      <c r="AI514" s="92">
        <f t="shared" si="267"/>
        <v>0</v>
      </c>
      <c r="AJ514" s="92">
        <f t="shared" si="267"/>
        <v>0</v>
      </c>
      <c r="AK514" s="92">
        <f t="shared" si="267"/>
        <v>0</v>
      </c>
      <c r="AL514" s="92">
        <f t="shared" si="267"/>
        <v>0</v>
      </c>
      <c r="AM514" s="92">
        <f t="shared" si="267"/>
        <v>0</v>
      </c>
      <c r="AN514" s="92">
        <f t="shared" si="267"/>
        <v>0</v>
      </c>
      <c r="AO514" s="92">
        <f t="shared" si="267"/>
        <v>0</v>
      </c>
      <c r="AP514" s="92">
        <f t="shared" si="267"/>
        <v>0</v>
      </c>
    </row>
    <row r="515" spans="1:42" x14ac:dyDescent="0.2">
      <c r="A515" s="50" t="s">
        <v>64</v>
      </c>
      <c r="C515" s="64">
        <f>C$5</f>
        <v>32344836</v>
      </c>
      <c r="D515" s="64">
        <f t="shared" ref="D515:AP515" si="268">D$5</f>
        <v>32183111.82</v>
      </c>
      <c r="E515" s="64">
        <f t="shared" si="268"/>
        <v>32022196.260900002</v>
      </c>
      <c r="F515" s="64">
        <f t="shared" si="268"/>
        <v>31862085.279595502</v>
      </c>
      <c r="G515" s="64">
        <f t="shared" si="268"/>
        <v>31702774.853197522</v>
      </c>
      <c r="H515" s="64">
        <f t="shared" si="268"/>
        <v>31544260.978931535</v>
      </c>
      <c r="I515" s="64">
        <f t="shared" si="268"/>
        <v>31386539.674036879</v>
      </c>
      <c r="J515" s="64">
        <f t="shared" si="268"/>
        <v>31229606.975666694</v>
      </c>
      <c r="K515" s="64">
        <f t="shared" si="268"/>
        <v>31073458.940788362</v>
      </c>
      <c r="L515" s="64">
        <f t="shared" si="268"/>
        <v>30918091.64608442</v>
      </c>
      <c r="M515" s="64">
        <f t="shared" si="268"/>
        <v>30763501.187853999</v>
      </c>
      <c r="N515" s="64">
        <f t="shared" si="268"/>
        <v>30609683.681914728</v>
      </c>
      <c r="O515" s="64">
        <f t="shared" si="268"/>
        <v>30456635.263505153</v>
      </c>
      <c r="P515" s="64">
        <f t="shared" si="268"/>
        <v>30304352.087187629</v>
      </c>
      <c r="Q515" s="64">
        <f t="shared" si="268"/>
        <v>30152830.32675169</v>
      </c>
      <c r="R515" s="64">
        <f t="shared" si="268"/>
        <v>30002066.175117932</v>
      </c>
      <c r="S515" s="64">
        <f t="shared" si="268"/>
        <v>29852055.844242342</v>
      </c>
      <c r="T515" s="64">
        <f t="shared" si="268"/>
        <v>29702795.565021131</v>
      </c>
      <c r="U515" s="64">
        <f t="shared" si="268"/>
        <v>29554281.587196026</v>
      </c>
      <c r="V515" s="64">
        <f t="shared" si="268"/>
        <v>29406510.179260045</v>
      </c>
      <c r="W515" s="64">
        <f t="shared" si="268"/>
        <v>29259477.628363743</v>
      </c>
      <c r="X515" s="64">
        <f t="shared" si="268"/>
        <v>29113180.240221925</v>
      </c>
      <c r="Y515" s="64">
        <f t="shared" si="268"/>
        <v>28967614.339020815</v>
      </c>
      <c r="Z515" s="64">
        <f t="shared" si="268"/>
        <v>28822776.267325711</v>
      </c>
      <c r="AA515" s="64">
        <f t="shared" si="268"/>
        <v>28678662.385989081</v>
      </c>
      <c r="AB515" s="64">
        <f t="shared" si="268"/>
        <v>28535269.074059136</v>
      </c>
      <c r="AC515" s="64">
        <f t="shared" si="268"/>
        <v>28392592.72868884</v>
      </c>
      <c r="AD515" s="64">
        <f t="shared" si="268"/>
        <v>28250629.765045397</v>
      </c>
      <c r="AE515" s="64">
        <f t="shared" si="268"/>
        <v>28109376.616220169</v>
      </c>
      <c r="AF515" s="64">
        <f t="shared" si="268"/>
        <v>27968829.733139068</v>
      </c>
      <c r="AG515" s="64">
        <f t="shared" si="268"/>
        <v>27828985.584473372</v>
      </c>
      <c r="AH515" s="64">
        <f t="shared" si="268"/>
        <v>27689840.656551003</v>
      </c>
      <c r="AI515" s="64">
        <f t="shared" si="268"/>
        <v>27551391.453268249</v>
      </c>
      <c r="AJ515" s="64">
        <f t="shared" si="268"/>
        <v>27413634.496001907</v>
      </c>
      <c r="AK515" s="64">
        <f t="shared" si="268"/>
        <v>27276566.323521897</v>
      </c>
      <c r="AL515" s="64">
        <f t="shared" si="268"/>
        <v>27140183.491904289</v>
      </c>
      <c r="AM515" s="64">
        <f t="shared" si="268"/>
        <v>27004482.574444767</v>
      </c>
      <c r="AN515" s="64">
        <f t="shared" si="268"/>
        <v>26869460.161572542</v>
      </c>
      <c r="AO515" s="64">
        <f t="shared" si="268"/>
        <v>26735112.860764679</v>
      </c>
      <c r="AP515" s="64">
        <f t="shared" si="268"/>
        <v>26601437.296460856</v>
      </c>
    </row>
    <row r="516" spans="1:42" x14ac:dyDescent="0.2">
      <c r="A516" s="50" t="s">
        <v>23</v>
      </c>
      <c r="C516" s="60">
        <f>C514*C515</f>
        <v>0</v>
      </c>
      <c r="D516" s="60">
        <f t="shared" ref="D516:AP516" si="269">D514*D515</f>
        <v>0</v>
      </c>
      <c r="E516" s="60">
        <f t="shared" si="269"/>
        <v>0</v>
      </c>
      <c r="F516" s="60">
        <f t="shared" si="269"/>
        <v>0</v>
      </c>
      <c r="G516" s="60">
        <f t="shared" si="269"/>
        <v>0</v>
      </c>
      <c r="H516" s="60">
        <f t="shared" si="269"/>
        <v>0</v>
      </c>
      <c r="I516" s="60">
        <f t="shared" si="269"/>
        <v>0</v>
      </c>
      <c r="J516" s="60">
        <f t="shared" si="269"/>
        <v>0</v>
      </c>
      <c r="K516" s="60">
        <f t="shared" si="269"/>
        <v>0</v>
      </c>
      <c r="L516" s="60">
        <f t="shared" si="269"/>
        <v>0</v>
      </c>
      <c r="M516" s="60">
        <f t="shared" si="269"/>
        <v>0</v>
      </c>
      <c r="N516" s="60">
        <f t="shared" si="269"/>
        <v>0</v>
      </c>
      <c r="O516" s="60">
        <f t="shared" si="269"/>
        <v>0</v>
      </c>
      <c r="P516" s="60">
        <f t="shared" si="269"/>
        <v>0</v>
      </c>
      <c r="Q516" s="60">
        <f t="shared" si="269"/>
        <v>0</v>
      </c>
      <c r="R516" s="60">
        <f t="shared" si="269"/>
        <v>0</v>
      </c>
      <c r="S516" s="60">
        <f t="shared" si="269"/>
        <v>0</v>
      </c>
      <c r="T516" s="60">
        <f t="shared" si="269"/>
        <v>0</v>
      </c>
      <c r="U516" s="60">
        <f t="shared" si="269"/>
        <v>0</v>
      </c>
      <c r="V516" s="60">
        <f t="shared" si="269"/>
        <v>0</v>
      </c>
      <c r="W516" s="60">
        <f t="shared" si="269"/>
        <v>0</v>
      </c>
      <c r="X516" s="60">
        <f t="shared" si="269"/>
        <v>0</v>
      </c>
      <c r="Y516" s="60">
        <f t="shared" si="269"/>
        <v>0</v>
      </c>
      <c r="Z516" s="60">
        <f t="shared" si="269"/>
        <v>0</v>
      </c>
      <c r="AA516" s="60">
        <f t="shared" si="269"/>
        <v>0</v>
      </c>
      <c r="AB516" s="60">
        <f t="shared" si="269"/>
        <v>0</v>
      </c>
      <c r="AC516" s="60">
        <f t="shared" si="269"/>
        <v>0</v>
      </c>
      <c r="AD516" s="60">
        <f t="shared" si="269"/>
        <v>0</v>
      </c>
      <c r="AE516" s="60">
        <f t="shared" si="269"/>
        <v>0</v>
      </c>
      <c r="AF516" s="60">
        <f t="shared" si="269"/>
        <v>0</v>
      </c>
      <c r="AG516" s="60">
        <f t="shared" si="269"/>
        <v>0</v>
      </c>
      <c r="AH516" s="60">
        <f t="shared" si="269"/>
        <v>0</v>
      </c>
      <c r="AI516" s="60">
        <f t="shared" si="269"/>
        <v>0</v>
      </c>
      <c r="AJ516" s="60">
        <f t="shared" si="269"/>
        <v>0</v>
      </c>
      <c r="AK516" s="60">
        <f t="shared" si="269"/>
        <v>0</v>
      </c>
      <c r="AL516" s="60">
        <f t="shared" si="269"/>
        <v>0</v>
      </c>
      <c r="AM516" s="60">
        <f t="shared" si="269"/>
        <v>0</v>
      </c>
      <c r="AN516" s="60">
        <f t="shared" si="269"/>
        <v>0</v>
      </c>
      <c r="AO516" s="60">
        <f t="shared" si="269"/>
        <v>0</v>
      </c>
      <c r="AP516" s="60">
        <f t="shared" si="269"/>
        <v>0</v>
      </c>
    </row>
    <row r="517" spans="1:42" x14ac:dyDescent="0.2">
      <c r="A517" s="46" t="str">
        <f>Inputs!B122</f>
        <v>Other ($/kWh)</v>
      </c>
    </row>
    <row r="518" spans="1:42" x14ac:dyDescent="0.2">
      <c r="A518" s="50" t="s">
        <v>63</v>
      </c>
      <c r="C518" s="94">
        <f t="shared" ref="C518:AP518" si="270">IF(AND(C$2&lt;=PBIOtherTerm,C$2&lt;=AnalysisPeriod),PBIOther*(1+PBIOtherEsc)^B$2,0)</f>
        <v>0</v>
      </c>
      <c r="D518" s="94">
        <f t="shared" si="270"/>
        <v>0</v>
      </c>
      <c r="E518" s="94">
        <f t="shared" si="270"/>
        <v>0</v>
      </c>
      <c r="F518" s="94">
        <f t="shared" si="270"/>
        <v>0</v>
      </c>
      <c r="G518" s="94">
        <f t="shared" si="270"/>
        <v>0</v>
      </c>
      <c r="H518" s="94">
        <f t="shared" si="270"/>
        <v>0</v>
      </c>
      <c r="I518" s="94">
        <f t="shared" si="270"/>
        <v>0</v>
      </c>
      <c r="J518" s="94">
        <f t="shared" si="270"/>
        <v>0</v>
      </c>
      <c r="K518" s="94">
        <f t="shared" si="270"/>
        <v>0</v>
      </c>
      <c r="L518" s="94">
        <f t="shared" si="270"/>
        <v>0</v>
      </c>
      <c r="M518" s="94">
        <f t="shared" si="270"/>
        <v>0</v>
      </c>
      <c r="N518" s="94">
        <f t="shared" si="270"/>
        <v>0</v>
      </c>
      <c r="O518" s="94">
        <f t="shared" si="270"/>
        <v>0</v>
      </c>
      <c r="P518" s="94">
        <f t="shared" si="270"/>
        <v>0</v>
      </c>
      <c r="Q518" s="94">
        <f t="shared" si="270"/>
        <v>0</v>
      </c>
      <c r="R518" s="94">
        <f t="shared" si="270"/>
        <v>0</v>
      </c>
      <c r="S518" s="94">
        <f t="shared" si="270"/>
        <v>0</v>
      </c>
      <c r="T518" s="94">
        <f t="shared" si="270"/>
        <v>0</v>
      </c>
      <c r="U518" s="94">
        <f t="shared" si="270"/>
        <v>0</v>
      </c>
      <c r="V518" s="94">
        <f t="shared" si="270"/>
        <v>0</v>
      </c>
      <c r="W518" s="94">
        <f t="shared" si="270"/>
        <v>0</v>
      </c>
      <c r="X518" s="94">
        <f t="shared" si="270"/>
        <v>0</v>
      </c>
      <c r="Y518" s="94">
        <f t="shared" si="270"/>
        <v>0</v>
      </c>
      <c r="Z518" s="94">
        <f t="shared" si="270"/>
        <v>0</v>
      </c>
      <c r="AA518" s="94">
        <f t="shared" si="270"/>
        <v>0</v>
      </c>
      <c r="AB518" s="94">
        <f t="shared" si="270"/>
        <v>0</v>
      </c>
      <c r="AC518" s="94">
        <f t="shared" si="270"/>
        <v>0</v>
      </c>
      <c r="AD518" s="94">
        <f t="shared" si="270"/>
        <v>0</v>
      </c>
      <c r="AE518" s="94">
        <f t="shared" si="270"/>
        <v>0</v>
      </c>
      <c r="AF518" s="94">
        <f t="shared" si="270"/>
        <v>0</v>
      </c>
      <c r="AG518" s="94">
        <f t="shared" si="270"/>
        <v>0</v>
      </c>
      <c r="AH518" s="94">
        <f t="shared" si="270"/>
        <v>0</v>
      </c>
      <c r="AI518" s="94">
        <f t="shared" si="270"/>
        <v>0</v>
      </c>
      <c r="AJ518" s="94">
        <f t="shared" si="270"/>
        <v>0</v>
      </c>
      <c r="AK518" s="94">
        <f t="shared" si="270"/>
        <v>0</v>
      </c>
      <c r="AL518" s="94">
        <f t="shared" si="270"/>
        <v>0</v>
      </c>
      <c r="AM518" s="94">
        <f t="shared" si="270"/>
        <v>0</v>
      </c>
      <c r="AN518" s="94">
        <f t="shared" si="270"/>
        <v>0</v>
      </c>
      <c r="AO518" s="94">
        <f t="shared" si="270"/>
        <v>0</v>
      </c>
      <c r="AP518" s="94">
        <f t="shared" si="270"/>
        <v>0</v>
      </c>
    </row>
    <row r="519" spans="1:42" x14ac:dyDescent="0.2">
      <c r="A519" s="50" t="s">
        <v>64</v>
      </c>
      <c r="C519" s="64">
        <f>C$5</f>
        <v>32344836</v>
      </c>
      <c r="D519" s="64">
        <f t="shared" ref="D519:AP519" si="271">D$5</f>
        <v>32183111.82</v>
      </c>
      <c r="E519" s="64">
        <f t="shared" si="271"/>
        <v>32022196.260900002</v>
      </c>
      <c r="F519" s="64">
        <f t="shared" si="271"/>
        <v>31862085.279595502</v>
      </c>
      <c r="G519" s="64">
        <f t="shared" si="271"/>
        <v>31702774.853197522</v>
      </c>
      <c r="H519" s="64">
        <f t="shared" si="271"/>
        <v>31544260.978931535</v>
      </c>
      <c r="I519" s="64">
        <f t="shared" si="271"/>
        <v>31386539.674036879</v>
      </c>
      <c r="J519" s="64">
        <f t="shared" si="271"/>
        <v>31229606.975666694</v>
      </c>
      <c r="K519" s="64">
        <f t="shared" si="271"/>
        <v>31073458.940788362</v>
      </c>
      <c r="L519" s="64">
        <f t="shared" si="271"/>
        <v>30918091.64608442</v>
      </c>
      <c r="M519" s="64">
        <f t="shared" si="271"/>
        <v>30763501.187853999</v>
      </c>
      <c r="N519" s="64">
        <f t="shared" si="271"/>
        <v>30609683.681914728</v>
      </c>
      <c r="O519" s="64">
        <f t="shared" si="271"/>
        <v>30456635.263505153</v>
      </c>
      <c r="P519" s="64">
        <f t="shared" si="271"/>
        <v>30304352.087187629</v>
      </c>
      <c r="Q519" s="64">
        <f t="shared" si="271"/>
        <v>30152830.32675169</v>
      </c>
      <c r="R519" s="64">
        <f t="shared" si="271"/>
        <v>30002066.175117932</v>
      </c>
      <c r="S519" s="64">
        <f t="shared" si="271"/>
        <v>29852055.844242342</v>
      </c>
      <c r="T519" s="64">
        <f t="shared" si="271"/>
        <v>29702795.565021131</v>
      </c>
      <c r="U519" s="64">
        <f t="shared" si="271"/>
        <v>29554281.587196026</v>
      </c>
      <c r="V519" s="64">
        <f t="shared" si="271"/>
        <v>29406510.179260045</v>
      </c>
      <c r="W519" s="64">
        <f t="shared" si="271"/>
        <v>29259477.628363743</v>
      </c>
      <c r="X519" s="64">
        <f t="shared" si="271"/>
        <v>29113180.240221925</v>
      </c>
      <c r="Y519" s="64">
        <f t="shared" si="271"/>
        <v>28967614.339020815</v>
      </c>
      <c r="Z519" s="64">
        <f t="shared" si="271"/>
        <v>28822776.267325711</v>
      </c>
      <c r="AA519" s="64">
        <f t="shared" si="271"/>
        <v>28678662.385989081</v>
      </c>
      <c r="AB519" s="64">
        <f t="shared" si="271"/>
        <v>28535269.074059136</v>
      </c>
      <c r="AC519" s="64">
        <f t="shared" si="271"/>
        <v>28392592.72868884</v>
      </c>
      <c r="AD519" s="64">
        <f t="shared" si="271"/>
        <v>28250629.765045397</v>
      </c>
      <c r="AE519" s="64">
        <f t="shared" si="271"/>
        <v>28109376.616220169</v>
      </c>
      <c r="AF519" s="64">
        <f t="shared" si="271"/>
        <v>27968829.733139068</v>
      </c>
      <c r="AG519" s="64">
        <f t="shared" si="271"/>
        <v>27828985.584473372</v>
      </c>
      <c r="AH519" s="64">
        <f t="shared" si="271"/>
        <v>27689840.656551003</v>
      </c>
      <c r="AI519" s="64">
        <f t="shared" si="271"/>
        <v>27551391.453268249</v>
      </c>
      <c r="AJ519" s="64">
        <f t="shared" si="271"/>
        <v>27413634.496001907</v>
      </c>
      <c r="AK519" s="64">
        <f t="shared" si="271"/>
        <v>27276566.323521897</v>
      </c>
      <c r="AL519" s="64">
        <f t="shared" si="271"/>
        <v>27140183.491904289</v>
      </c>
      <c r="AM519" s="64">
        <f t="shared" si="271"/>
        <v>27004482.574444767</v>
      </c>
      <c r="AN519" s="64">
        <f t="shared" si="271"/>
        <v>26869460.161572542</v>
      </c>
      <c r="AO519" s="64">
        <f t="shared" si="271"/>
        <v>26735112.860764679</v>
      </c>
      <c r="AP519" s="64">
        <f t="shared" si="271"/>
        <v>26601437.296460856</v>
      </c>
    </row>
    <row r="520" spans="1:42" x14ac:dyDescent="0.2">
      <c r="A520" s="50" t="s">
        <v>23</v>
      </c>
      <c r="C520" s="60">
        <f>C518*C519</f>
        <v>0</v>
      </c>
      <c r="D520" s="60">
        <f t="shared" ref="D520:AP520" si="272">D518*D519</f>
        <v>0</v>
      </c>
      <c r="E520" s="60">
        <f t="shared" si="272"/>
        <v>0</v>
      </c>
      <c r="F520" s="60">
        <f t="shared" si="272"/>
        <v>0</v>
      </c>
      <c r="G520" s="60">
        <f t="shared" si="272"/>
        <v>0</v>
      </c>
      <c r="H520" s="60">
        <f t="shared" si="272"/>
        <v>0</v>
      </c>
      <c r="I520" s="60">
        <f t="shared" si="272"/>
        <v>0</v>
      </c>
      <c r="J520" s="60">
        <f t="shared" si="272"/>
        <v>0</v>
      </c>
      <c r="K520" s="60">
        <f t="shared" si="272"/>
        <v>0</v>
      </c>
      <c r="L520" s="60">
        <f t="shared" si="272"/>
        <v>0</v>
      </c>
      <c r="M520" s="60">
        <f t="shared" si="272"/>
        <v>0</v>
      </c>
      <c r="N520" s="60">
        <f t="shared" si="272"/>
        <v>0</v>
      </c>
      <c r="O520" s="60">
        <f t="shared" si="272"/>
        <v>0</v>
      </c>
      <c r="P520" s="60">
        <f t="shared" si="272"/>
        <v>0</v>
      </c>
      <c r="Q520" s="60">
        <f t="shared" si="272"/>
        <v>0</v>
      </c>
      <c r="R520" s="60">
        <f t="shared" si="272"/>
        <v>0</v>
      </c>
      <c r="S520" s="60">
        <f t="shared" si="272"/>
        <v>0</v>
      </c>
      <c r="T520" s="60">
        <f t="shared" si="272"/>
        <v>0</v>
      </c>
      <c r="U520" s="60">
        <f t="shared" si="272"/>
        <v>0</v>
      </c>
      <c r="V520" s="60">
        <f t="shared" si="272"/>
        <v>0</v>
      </c>
      <c r="W520" s="60">
        <f t="shared" si="272"/>
        <v>0</v>
      </c>
      <c r="X520" s="60">
        <f t="shared" si="272"/>
        <v>0</v>
      </c>
      <c r="Y520" s="60">
        <f t="shared" si="272"/>
        <v>0</v>
      </c>
      <c r="Z520" s="60">
        <f t="shared" si="272"/>
        <v>0</v>
      </c>
      <c r="AA520" s="60">
        <f t="shared" si="272"/>
        <v>0</v>
      </c>
      <c r="AB520" s="60">
        <f t="shared" si="272"/>
        <v>0</v>
      </c>
      <c r="AC520" s="60">
        <f t="shared" si="272"/>
        <v>0</v>
      </c>
      <c r="AD520" s="60">
        <f t="shared" si="272"/>
        <v>0</v>
      </c>
      <c r="AE520" s="60">
        <f t="shared" si="272"/>
        <v>0</v>
      </c>
      <c r="AF520" s="60">
        <f t="shared" si="272"/>
        <v>0</v>
      </c>
      <c r="AG520" s="60">
        <f t="shared" si="272"/>
        <v>0</v>
      </c>
      <c r="AH520" s="60">
        <f t="shared" si="272"/>
        <v>0</v>
      </c>
      <c r="AI520" s="60">
        <f t="shared" si="272"/>
        <v>0</v>
      </c>
      <c r="AJ520" s="60">
        <f t="shared" si="272"/>
        <v>0</v>
      </c>
      <c r="AK520" s="60">
        <f t="shared" si="272"/>
        <v>0</v>
      </c>
      <c r="AL520" s="60">
        <f t="shared" si="272"/>
        <v>0</v>
      </c>
      <c r="AM520" s="60">
        <f t="shared" si="272"/>
        <v>0</v>
      </c>
      <c r="AN520" s="60">
        <f t="shared" si="272"/>
        <v>0</v>
      </c>
      <c r="AO520" s="60">
        <f t="shared" si="272"/>
        <v>0</v>
      </c>
      <c r="AP520" s="60">
        <f t="shared" si="272"/>
        <v>0</v>
      </c>
    </row>
    <row r="521" spans="1:42" x14ac:dyDescent="0.2"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52"/>
      <c r="AE521" s="52"/>
      <c r="AF521" s="52"/>
      <c r="AG521" s="52"/>
      <c r="AH521" s="52"/>
      <c r="AI521" s="52"/>
      <c r="AJ521" s="52"/>
      <c r="AK521" s="52"/>
      <c r="AL521" s="52"/>
      <c r="AM521" s="52"/>
      <c r="AN521" s="52"/>
      <c r="AO521" s="52"/>
      <c r="AP521" s="52"/>
    </row>
    <row r="522" spans="1:42" x14ac:dyDescent="0.2">
      <c r="A522" s="17" t="s">
        <v>23</v>
      </c>
      <c r="C522" s="56">
        <f>C508+C512+C516+C520</f>
        <v>0</v>
      </c>
      <c r="D522" s="56">
        <f t="shared" ref="D522:AP522" si="273">D508+D512+D516+D520</f>
        <v>0</v>
      </c>
      <c r="E522" s="56">
        <f t="shared" si="273"/>
        <v>0</v>
      </c>
      <c r="F522" s="56">
        <f t="shared" si="273"/>
        <v>0</v>
      </c>
      <c r="G522" s="56">
        <f t="shared" si="273"/>
        <v>0</v>
      </c>
      <c r="H522" s="56">
        <f t="shared" si="273"/>
        <v>0</v>
      </c>
      <c r="I522" s="56">
        <f t="shared" si="273"/>
        <v>0</v>
      </c>
      <c r="J522" s="56">
        <f t="shared" si="273"/>
        <v>0</v>
      </c>
      <c r="K522" s="56">
        <f t="shared" si="273"/>
        <v>0</v>
      </c>
      <c r="L522" s="56">
        <f t="shared" si="273"/>
        <v>0</v>
      </c>
      <c r="M522" s="56">
        <f t="shared" si="273"/>
        <v>0</v>
      </c>
      <c r="N522" s="56">
        <f t="shared" si="273"/>
        <v>0</v>
      </c>
      <c r="O522" s="56">
        <f t="shared" si="273"/>
        <v>0</v>
      </c>
      <c r="P522" s="56">
        <f t="shared" si="273"/>
        <v>0</v>
      </c>
      <c r="Q522" s="56">
        <f t="shared" si="273"/>
        <v>0</v>
      </c>
      <c r="R522" s="56">
        <f t="shared" si="273"/>
        <v>0</v>
      </c>
      <c r="S522" s="56">
        <f t="shared" si="273"/>
        <v>0</v>
      </c>
      <c r="T522" s="56">
        <f t="shared" si="273"/>
        <v>0</v>
      </c>
      <c r="U522" s="56">
        <f t="shared" si="273"/>
        <v>0</v>
      </c>
      <c r="V522" s="56">
        <f t="shared" si="273"/>
        <v>0</v>
      </c>
      <c r="W522" s="56">
        <f t="shared" si="273"/>
        <v>0</v>
      </c>
      <c r="X522" s="56">
        <f t="shared" si="273"/>
        <v>0</v>
      </c>
      <c r="Y522" s="56">
        <f t="shared" si="273"/>
        <v>0</v>
      </c>
      <c r="Z522" s="56">
        <f t="shared" si="273"/>
        <v>0</v>
      </c>
      <c r="AA522" s="56">
        <f t="shared" si="273"/>
        <v>0</v>
      </c>
      <c r="AB522" s="56">
        <f t="shared" si="273"/>
        <v>0</v>
      </c>
      <c r="AC522" s="56">
        <f t="shared" si="273"/>
        <v>0</v>
      </c>
      <c r="AD522" s="56">
        <f t="shared" si="273"/>
        <v>0</v>
      </c>
      <c r="AE522" s="56">
        <f t="shared" si="273"/>
        <v>0</v>
      </c>
      <c r="AF522" s="56">
        <f t="shared" si="273"/>
        <v>0</v>
      </c>
      <c r="AG522" s="56">
        <f t="shared" si="273"/>
        <v>0</v>
      </c>
      <c r="AH522" s="56">
        <f t="shared" si="273"/>
        <v>0</v>
      </c>
      <c r="AI522" s="56">
        <f t="shared" si="273"/>
        <v>0</v>
      </c>
      <c r="AJ522" s="56">
        <f t="shared" si="273"/>
        <v>0</v>
      </c>
      <c r="AK522" s="56">
        <f t="shared" si="273"/>
        <v>0</v>
      </c>
      <c r="AL522" s="56">
        <f t="shared" si="273"/>
        <v>0</v>
      </c>
      <c r="AM522" s="56">
        <f t="shared" si="273"/>
        <v>0</v>
      </c>
      <c r="AN522" s="56">
        <f t="shared" si="273"/>
        <v>0</v>
      </c>
      <c r="AO522" s="56">
        <f t="shared" si="273"/>
        <v>0</v>
      </c>
      <c r="AP522" s="56">
        <f t="shared" si="273"/>
        <v>0</v>
      </c>
    </row>
    <row r="524" spans="1:42" x14ac:dyDescent="0.2">
      <c r="A524" s="45" t="s">
        <v>42</v>
      </c>
    </row>
    <row r="525" spans="1:42" s="35" customFormat="1" x14ac:dyDescent="0.2">
      <c r="A525" s="57" t="s">
        <v>190</v>
      </c>
    </row>
    <row r="526" spans="1:42" s="35" customFormat="1" x14ac:dyDescent="0.2">
      <c r="A526" s="50" t="s">
        <v>45</v>
      </c>
    </row>
    <row r="527" spans="1:42" s="35" customFormat="1" x14ac:dyDescent="0.2">
      <c r="A527" s="62" t="s">
        <v>43</v>
      </c>
      <c r="B527" s="39">
        <v>0</v>
      </c>
      <c r="C527" s="39">
        <f>B530</f>
        <v>33328469.114150748</v>
      </c>
      <c r="D527" s="39">
        <f t="shared" ref="D527:AP527" si="274">C530</f>
        <v>31932736.407495733</v>
      </c>
      <c r="E527" s="39">
        <f t="shared" si="274"/>
        <v>30394083.063664671</v>
      </c>
      <c r="F527" s="39">
        <f t="shared" si="274"/>
        <v>28701049.446451899</v>
      </c>
      <c r="G527" s="39">
        <f t="shared" si="274"/>
        <v>26841184.621135544</v>
      </c>
      <c r="H527" s="39">
        <f t="shared" si="274"/>
        <v>24800963.623793926</v>
      </c>
      <c r="I527" s="39">
        <f t="shared" si="274"/>
        <v>22565697.642902765</v>
      </c>
      <c r="J527" s="39">
        <f t="shared" si="274"/>
        <v>20119436.514179997</v>
      </c>
      <c r="K527" s="39">
        <f t="shared" si="274"/>
        <v>17444862.878576092</v>
      </c>
      <c r="L527" s="39">
        <f t="shared" si="274"/>
        <v>14523177.297906009</v>
      </c>
      <c r="M527" s="39">
        <f t="shared" si="274"/>
        <v>11333973.56251597</v>
      </c>
      <c r="N527" s="39">
        <f t="shared" si="274"/>
        <v>7855103.3601738382</v>
      </c>
      <c r="O527" s="39">
        <f t="shared" si="274"/>
        <v>4062529.4046322899</v>
      </c>
      <c r="P527" s="39">
        <f t="shared" si="274"/>
        <v>0</v>
      </c>
      <c r="Q527" s="39">
        <f t="shared" si="274"/>
        <v>0</v>
      </c>
      <c r="R527" s="39">
        <f t="shared" si="274"/>
        <v>0</v>
      </c>
      <c r="S527" s="39">
        <f t="shared" si="274"/>
        <v>0</v>
      </c>
      <c r="T527" s="39">
        <f t="shared" si="274"/>
        <v>0</v>
      </c>
      <c r="U527" s="39">
        <f t="shared" si="274"/>
        <v>0</v>
      </c>
      <c r="V527" s="39">
        <f t="shared" si="274"/>
        <v>0</v>
      </c>
      <c r="W527" s="39">
        <f t="shared" si="274"/>
        <v>0</v>
      </c>
      <c r="X527" s="39">
        <f t="shared" si="274"/>
        <v>0</v>
      </c>
      <c r="Y527" s="39">
        <f t="shared" si="274"/>
        <v>0</v>
      </c>
      <c r="Z527" s="39">
        <f t="shared" si="274"/>
        <v>0</v>
      </c>
      <c r="AA527" s="39">
        <f t="shared" si="274"/>
        <v>0</v>
      </c>
      <c r="AB527" s="39">
        <f t="shared" si="274"/>
        <v>0</v>
      </c>
      <c r="AC527" s="39">
        <f t="shared" si="274"/>
        <v>0</v>
      </c>
      <c r="AD527" s="39">
        <f t="shared" si="274"/>
        <v>0</v>
      </c>
      <c r="AE527" s="39">
        <f t="shared" si="274"/>
        <v>0</v>
      </c>
      <c r="AF527" s="39">
        <f t="shared" si="274"/>
        <v>0</v>
      </c>
      <c r="AG527" s="39">
        <f t="shared" si="274"/>
        <v>0</v>
      </c>
      <c r="AH527" s="39">
        <f t="shared" si="274"/>
        <v>0</v>
      </c>
      <c r="AI527" s="39">
        <f t="shared" si="274"/>
        <v>0</v>
      </c>
      <c r="AJ527" s="39">
        <f t="shared" si="274"/>
        <v>0</v>
      </c>
      <c r="AK527" s="39">
        <f t="shared" si="274"/>
        <v>0</v>
      </c>
      <c r="AL527" s="39">
        <f t="shared" si="274"/>
        <v>0</v>
      </c>
      <c r="AM527" s="39">
        <f t="shared" si="274"/>
        <v>0</v>
      </c>
      <c r="AN527" s="39">
        <f t="shared" si="274"/>
        <v>0</v>
      </c>
      <c r="AO527" s="39">
        <f t="shared" si="274"/>
        <v>0</v>
      </c>
      <c r="AP527" s="39">
        <f t="shared" si="274"/>
        <v>0</v>
      </c>
    </row>
    <row r="528" spans="1:42" s="35" customFormat="1" x14ac:dyDescent="0.2">
      <c r="A528" s="62" t="s">
        <v>44</v>
      </c>
      <c r="B528" s="39">
        <f>B550</f>
        <v>33328469.114150748</v>
      </c>
      <c r="C528" s="39">
        <v>0</v>
      </c>
      <c r="D528" s="39">
        <v>0</v>
      </c>
      <c r="E528" s="39">
        <v>0</v>
      </c>
      <c r="F528" s="39">
        <v>0</v>
      </c>
      <c r="G528" s="39">
        <v>0</v>
      </c>
      <c r="H528" s="39">
        <v>0</v>
      </c>
      <c r="I528" s="39">
        <v>0</v>
      </c>
      <c r="J528" s="39">
        <v>0</v>
      </c>
      <c r="K528" s="39">
        <v>0</v>
      </c>
      <c r="L528" s="39">
        <v>0</v>
      </c>
      <c r="M528" s="39">
        <v>0</v>
      </c>
      <c r="N528" s="39">
        <v>0</v>
      </c>
      <c r="O528" s="39">
        <v>0</v>
      </c>
      <c r="P528" s="39">
        <v>0</v>
      </c>
      <c r="Q528" s="39">
        <v>0</v>
      </c>
      <c r="R528" s="39">
        <v>0</v>
      </c>
      <c r="S528" s="39">
        <v>0</v>
      </c>
      <c r="T528" s="39">
        <v>0</v>
      </c>
      <c r="U528" s="39">
        <v>0</v>
      </c>
      <c r="V528" s="39">
        <v>0</v>
      </c>
      <c r="W528" s="39">
        <v>0</v>
      </c>
      <c r="X528" s="39">
        <v>0</v>
      </c>
      <c r="Y528" s="39">
        <v>0</v>
      </c>
      <c r="Z528" s="39">
        <v>0</v>
      </c>
      <c r="AA528" s="39">
        <v>0</v>
      </c>
      <c r="AB528" s="39">
        <v>0</v>
      </c>
      <c r="AC528" s="39">
        <v>0</v>
      </c>
      <c r="AD528" s="39">
        <v>0</v>
      </c>
      <c r="AE528" s="39">
        <v>0</v>
      </c>
      <c r="AF528" s="39">
        <v>0</v>
      </c>
      <c r="AG528" s="39">
        <v>0</v>
      </c>
      <c r="AH528" s="39">
        <v>0</v>
      </c>
      <c r="AI528" s="39">
        <v>0</v>
      </c>
      <c r="AJ528" s="39">
        <v>0</v>
      </c>
      <c r="AK528" s="39">
        <v>0</v>
      </c>
      <c r="AL528" s="39">
        <v>0</v>
      </c>
      <c r="AM528" s="39">
        <v>0</v>
      </c>
      <c r="AN528" s="39">
        <v>0</v>
      </c>
      <c r="AO528" s="39">
        <v>0</v>
      </c>
      <c r="AP528" s="39">
        <v>0</v>
      </c>
    </row>
    <row r="529" spans="1:42" s="35" customFormat="1" x14ac:dyDescent="0.2">
      <c r="A529" s="62" t="s">
        <v>45</v>
      </c>
      <c r="B529" s="53">
        <v>0</v>
      </c>
      <c r="C529" s="53">
        <f>-C532</f>
        <v>-1395732.7066550148</v>
      </c>
      <c r="D529" s="53">
        <f t="shared" ref="D529:AP529" si="275">-D532</f>
        <v>-1538653.3438310628</v>
      </c>
      <c r="E529" s="53">
        <f t="shared" si="275"/>
        <v>-1693033.6172127714</v>
      </c>
      <c r="F529" s="53">
        <f t="shared" si="275"/>
        <v>-1859864.825316356</v>
      </c>
      <c r="G529" s="53">
        <f t="shared" si="275"/>
        <v>-2040220.9973416165</v>
      </c>
      <c r="H529" s="53">
        <f t="shared" si="275"/>
        <v>-2235265.9808911607</v>
      </c>
      <c r="I529" s="53">
        <f t="shared" si="275"/>
        <v>-2446261.1287227683</v>
      </c>
      <c r="J529" s="53">
        <f t="shared" si="275"/>
        <v>-2674573.6356039029</v>
      </c>
      <c r="K529" s="53">
        <f t="shared" si="275"/>
        <v>-2921685.5806700829</v>
      </c>
      <c r="L529" s="53">
        <f t="shared" si="275"/>
        <v>-3189203.7353900392</v>
      </c>
      <c r="M529" s="53">
        <f t="shared" si="275"/>
        <v>-3478870.2023421316</v>
      </c>
      <c r="N529" s="53">
        <f t="shared" si="275"/>
        <v>-3792573.9555415483</v>
      </c>
      <c r="O529" s="53">
        <f t="shared" si="275"/>
        <v>-4062529.4046322932</v>
      </c>
      <c r="P529" s="53">
        <f t="shared" si="275"/>
        <v>0</v>
      </c>
      <c r="Q529" s="53">
        <f t="shared" si="275"/>
        <v>0</v>
      </c>
      <c r="R529" s="53">
        <f t="shared" si="275"/>
        <v>0</v>
      </c>
      <c r="S529" s="53">
        <f t="shared" si="275"/>
        <v>0</v>
      </c>
      <c r="T529" s="53">
        <f t="shared" si="275"/>
        <v>0</v>
      </c>
      <c r="U529" s="53">
        <f t="shared" si="275"/>
        <v>0</v>
      </c>
      <c r="V529" s="53">
        <f t="shared" si="275"/>
        <v>0</v>
      </c>
      <c r="W529" s="53">
        <f t="shared" si="275"/>
        <v>0</v>
      </c>
      <c r="X529" s="53">
        <f t="shared" si="275"/>
        <v>0</v>
      </c>
      <c r="Y529" s="53">
        <f t="shared" si="275"/>
        <v>0</v>
      </c>
      <c r="Z529" s="53">
        <f t="shared" si="275"/>
        <v>0</v>
      </c>
      <c r="AA529" s="53">
        <f t="shared" si="275"/>
        <v>0</v>
      </c>
      <c r="AB529" s="53">
        <f t="shared" si="275"/>
        <v>0</v>
      </c>
      <c r="AC529" s="53">
        <f t="shared" si="275"/>
        <v>0</v>
      </c>
      <c r="AD529" s="53">
        <f t="shared" si="275"/>
        <v>0</v>
      </c>
      <c r="AE529" s="53">
        <f t="shared" si="275"/>
        <v>0</v>
      </c>
      <c r="AF529" s="53">
        <f t="shared" si="275"/>
        <v>0</v>
      </c>
      <c r="AG529" s="53">
        <f t="shared" si="275"/>
        <v>0</v>
      </c>
      <c r="AH529" s="53">
        <f t="shared" si="275"/>
        <v>0</v>
      </c>
      <c r="AI529" s="53">
        <f t="shared" si="275"/>
        <v>0</v>
      </c>
      <c r="AJ529" s="53">
        <f t="shared" si="275"/>
        <v>0</v>
      </c>
      <c r="AK529" s="53">
        <f t="shared" si="275"/>
        <v>0</v>
      </c>
      <c r="AL529" s="53">
        <f t="shared" si="275"/>
        <v>0</v>
      </c>
      <c r="AM529" s="53">
        <f t="shared" si="275"/>
        <v>0</v>
      </c>
      <c r="AN529" s="53">
        <f t="shared" si="275"/>
        <v>0</v>
      </c>
      <c r="AO529" s="53">
        <f t="shared" si="275"/>
        <v>0</v>
      </c>
      <c r="AP529" s="53">
        <f t="shared" si="275"/>
        <v>0</v>
      </c>
    </row>
    <row r="530" spans="1:42" s="35" customFormat="1" x14ac:dyDescent="0.2">
      <c r="A530" s="62" t="s">
        <v>46</v>
      </c>
      <c r="B530" s="39">
        <f>SUM(B527:B529)</f>
        <v>33328469.114150748</v>
      </c>
      <c r="C530" s="39">
        <f>SUM(C527:C529)</f>
        <v>31932736.407495733</v>
      </c>
      <c r="D530" s="39">
        <f t="shared" ref="D530:AP530" si="276">SUM(D527:D529)</f>
        <v>30394083.063664671</v>
      </c>
      <c r="E530" s="39">
        <f t="shared" si="276"/>
        <v>28701049.446451899</v>
      </c>
      <c r="F530" s="39">
        <f t="shared" si="276"/>
        <v>26841184.621135544</v>
      </c>
      <c r="G530" s="39">
        <f t="shared" si="276"/>
        <v>24800963.623793926</v>
      </c>
      <c r="H530" s="39">
        <f t="shared" si="276"/>
        <v>22565697.642902765</v>
      </c>
      <c r="I530" s="39">
        <f t="shared" si="276"/>
        <v>20119436.514179997</v>
      </c>
      <c r="J530" s="39">
        <f t="shared" si="276"/>
        <v>17444862.878576092</v>
      </c>
      <c r="K530" s="39">
        <f t="shared" si="276"/>
        <v>14523177.297906009</v>
      </c>
      <c r="L530" s="39">
        <f t="shared" si="276"/>
        <v>11333973.56251597</v>
      </c>
      <c r="M530" s="39">
        <f t="shared" si="276"/>
        <v>7855103.3601738382</v>
      </c>
      <c r="N530" s="39">
        <f t="shared" si="276"/>
        <v>4062529.4046322899</v>
      </c>
      <c r="O530" s="39">
        <f t="shared" si="276"/>
        <v>0</v>
      </c>
      <c r="P530" s="39">
        <f t="shared" si="276"/>
        <v>0</v>
      </c>
      <c r="Q530" s="39">
        <f t="shared" si="276"/>
        <v>0</v>
      </c>
      <c r="R530" s="39">
        <f t="shared" si="276"/>
        <v>0</v>
      </c>
      <c r="S530" s="39">
        <f t="shared" si="276"/>
        <v>0</v>
      </c>
      <c r="T530" s="39">
        <f t="shared" si="276"/>
        <v>0</v>
      </c>
      <c r="U530" s="39">
        <f t="shared" si="276"/>
        <v>0</v>
      </c>
      <c r="V530" s="39">
        <f t="shared" si="276"/>
        <v>0</v>
      </c>
      <c r="W530" s="39">
        <f t="shared" si="276"/>
        <v>0</v>
      </c>
      <c r="X530" s="39">
        <f t="shared" si="276"/>
        <v>0</v>
      </c>
      <c r="Y530" s="39">
        <f t="shared" si="276"/>
        <v>0</v>
      </c>
      <c r="Z530" s="39">
        <f t="shared" si="276"/>
        <v>0</v>
      </c>
      <c r="AA530" s="39">
        <f t="shared" si="276"/>
        <v>0</v>
      </c>
      <c r="AB530" s="39">
        <f t="shared" si="276"/>
        <v>0</v>
      </c>
      <c r="AC530" s="39">
        <f t="shared" si="276"/>
        <v>0</v>
      </c>
      <c r="AD530" s="39">
        <f t="shared" si="276"/>
        <v>0</v>
      </c>
      <c r="AE530" s="39">
        <f t="shared" si="276"/>
        <v>0</v>
      </c>
      <c r="AF530" s="39">
        <f t="shared" si="276"/>
        <v>0</v>
      </c>
      <c r="AG530" s="39">
        <f t="shared" si="276"/>
        <v>0</v>
      </c>
      <c r="AH530" s="39">
        <f t="shared" si="276"/>
        <v>0</v>
      </c>
      <c r="AI530" s="39">
        <f t="shared" si="276"/>
        <v>0</v>
      </c>
      <c r="AJ530" s="39">
        <f t="shared" si="276"/>
        <v>0</v>
      </c>
      <c r="AK530" s="39">
        <f t="shared" si="276"/>
        <v>0</v>
      </c>
      <c r="AL530" s="39">
        <f t="shared" si="276"/>
        <v>0</v>
      </c>
      <c r="AM530" s="39">
        <f t="shared" si="276"/>
        <v>0</v>
      </c>
      <c r="AN530" s="39">
        <f t="shared" si="276"/>
        <v>0</v>
      </c>
      <c r="AO530" s="39">
        <f t="shared" si="276"/>
        <v>0</v>
      </c>
      <c r="AP530" s="39">
        <f t="shared" si="276"/>
        <v>0</v>
      </c>
    </row>
    <row r="531" spans="1:42" s="35" customFormat="1" x14ac:dyDescent="0.2">
      <c r="A531" s="50"/>
      <c r="C531" s="52"/>
      <c r="D531" s="52"/>
    </row>
    <row r="532" spans="1:42" s="35" customFormat="1" x14ac:dyDescent="0.2">
      <c r="A532" s="62" t="s">
        <v>47</v>
      </c>
      <c r="B532" s="108">
        <f>SUM(C532:AP532)</f>
        <v>33328469.114150744</v>
      </c>
      <c r="C532" s="52">
        <f>C554</f>
        <v>1395732.7066550148</v>
      </c>
      <c r="D532" s="52">
        <f t="shared" ref="D532:AP532" si="277">D554</f>
        <v>1538653.3438310628</v>
      </c>
      <c r="E532" s="52">
        <f t="shared" si="277"/>
        <v>1693033.6172127714</v>
      </c>
      <c r="F532" s="52">
        <f t="shared" si="277"/>
        <v>1859864.825316356</v>
      </c>
      <c r="G532" s="52">
        <f t="shared" si="277"/>
        <v>2040220.9973416165</v>
      </c>
      <c r="H532" s="52">
        <f t="shared" si="277"/>
        <v>2235265.9808911607</v>
      </c>
      <c r="I532" s="52">
        <f t="shared" si="277"/>
        <v>2446261.1287227683</v>
      </c>
      <c r="J532" s="52">
        <f t="shared" si="277"/>
        <v>2674573.6356039029</v>
      </c>
      <c r="K532" s="52">
        <f t="shared" si="277"/>
        <v>2921685.5806700829</v>
      </c>
      <c r="L532" s="52">
        <f t="shared" si="277"/>
        <v>3189203.7353900392</v>
      </c>
      <c r="M532" s="52">
        <f t="shared" si="277"/>
        <v>3478870.2023421316</v>
      </c>
      <c r="N532" s="52">
        <f t="shared" si="277"/>
        <v>3792573.9555415483</v>
      </c>
      <c r="O532" s="52">
        <f t="shared" si="277"/>
        <v>4062529.4046322932</v>
      </c>
      <c r="P532" s="52">
        <f t="shared" si="277"/>
        <v>0</v>
      </c>
      <c r="Q532" s="52">
        <f t="shared" si="277"/>
        <v>0</v>
      </c>
      <c r="R532" s="52">
        <f t="shared" si="277"/>
        <v>0</v>
      </c>
      <c r="S532" s="52">
        <f t="shared" si="277"/>
        <v>0</v>
      </c>
      <c r="T532" s="52">
        <f t="shared" si="277"/>
        <v>0</v>
      </c>
      <c r="U532" s="52">
        <f t="shared" si="277"/>
        <v>0</v>
      </c>
      <c r="V532" s="52">
        <f t="shared" si="277"/>
        <v>0</v>
      </c>
      <c r="W532" s="52">
        <f t="shared" si="277"/>
        <v>0</v>
      </c>
      <c r="X532" s="52">
        <f t="shared" si="277"/>
        <v>0</v>
      </c>
      <c r="Y532" s="52">
        <f t="shared" si="277"/>
        <v>0</v>
      </c>
      <c r="Z532" s="52">
        <f t="shared" si="277"/>
        <v>0</v>
      </c>
      <c r="AA532" s="52">
        <f t="shared" si="277"/>
        <v>0</v>
      </c>
      <c r="AB532" s="52">
        <f t="shared" si="277"/>
        <v>0</v>
      </c>
      <c r="AC532" s="52">
        <f t="shared" si="277"/>
        <v>0</v>
      </c>
      <c r="AD532" s="52">
        <f t="shared" si="277"/>
        <v>0</v>
      </c>
      <c r="AE532" s="52">
        <f t="shared" si="277"/>
        <v>0</v>
      </c>
      <c r="AF532" s="52">
        <f t="shared" si="277"/>
        <v>0</v>
      </c>
      <c r="AG532" s="52">
        <f t="shared" si="277"/>
        <v>0</v>
      </c>
      <c r="AH532" s="52">
        <f t="shared" si="277"/>
        <v>0</v>
      </c>
      <c r="AI532" s="52">
        <f t="shared" si="277"/>
        <v>0</v>
      </c>
      <c r="AJ532" s="52">
        <f t="shared" si="277"/>
        <v>0</v>
      </c>
      <c r="AK532" s="52">
        <f t="shared" si="277"/>
        <v>0</v>
      </c>
      <c r="AL532" s="52">
        <f t="shared" si="277"/>
        <v>0</v>
      </c>
      <c r="AM532" s="52">
        <f t="shared" si="277"/>
        <v>0</v>
      </c>
      <c r="AN532" s="52">
        <f t="shared" si="277"/>
        <v>0</v>
      </c>
      <c r="AO532" s="52">
        <f t="shared" si="277"/>
        <v>0</v>
      </c>
      <c r="AP532" s="52">
        <f t="shared" si="277"/>
        <v>0</v>
      </c>
    </row>
    <row r="533" spans="1:42" s="35" customFormat="1" x14ac:dyDescent="0.2">
      <c r="A533" s="62" t="s">
        <v>48</v>
      </c>
      <c r="B533" s="108">
        <f>SUM(C533:AP533)</f>
        <v>23281777.689694256</v>
      </c>
      <c r="C533" s="53">
        <f>C555</f>
        <v>2832919.8747028136</v>
      </c>
      <c r="D533" s="53">
        <f t="shared" ref="D533:AP533" si="278">D555</f>
        <v>2714282.5946371374</v>
      </c>
      <c r="E533" s="53">
        <f t="shared" si="278"/>
        <v>2583497.060411497</v>
      </c>
      <c r="F533" s="53">
        <f t="shared" si="278"/>
        <v>2439589.2029484115</v>
      </c>
      <c r="G533" s="53">
        <f t="shared" si="278"/>
        <v>2281500.6927965214</v>
      </c>
      <c r="H533" s="53">
        <f t="shared" si="278"/>
        <v>2108081.9080224838</v>
      </c>
      <c r="I533" s="53">
        <f t="shared" si="278"/>
        <v>1918084.2996467352</v>
      </c>
      <c r="J533" s="53">
        <f t="shared" si="278"/>
        <v>1710152.1037052998</v>
      </c>
      <c r="K533" s="53">
        <f t="shared" si="278"/>
        <v>1482813.344678968</v>
      </c>
      <c r="L533" s="53">
        <f t="shared" si="278"/>
        <v>1234470.0703220109</v>
      </c>
      <c r="M533" s="53">
        <f t="shared" si="278"/>
        <v>963387.75281385751</v>
      </c>
      <c r="N533" s="53">
        <f t="shared" si="278"/>
        <v>667683.78561477631</v>
      </c>
      <c r="O533" s="53">
        <f t="shared" si="278"/>
        <v>345314.99939374469</v>
      </c>
      <c r="P533" s="53">
        <f t="shared" si="278"/>
        <v>0</v>
      </c>
      <c r="Q533" s="53">
        <f t="shared" si="278"/>
        <v>0</v>
      </c>
      <c r="R533" s="53">
        <f t="shared" si="278"/>
        <v>0</v>
      </c>
      <c r="S533" s="53">
        <f t="shared" si="278"/>
        <v>0</v>
      </c>
      <c r="T533" s="53">
        <f t="shared" si="278"/>
        <v>0</v>
      </c>
      <c r="U533" s="53">
        <f t="shared" si="278"/>
        <v>0</v>
      </c>
      <c r="V533" s="53">
        <f t="shared" si="278"/>
        <v>0</v>
      </c>
      <c r="W533" s="53">
        <f t="shared" si="278"/>
        <v>0</v>
      </c>
      <c r="X533" s="53">
        <f t="shared" si="278"/>
        <v>0</v>
      </c>
      <c r="Y533" s="53">
        <f t="shared" si="278"/>
        <v>0</v>
      </c>
      <c r="Z533" s="53">
        <f t="shared" si="278"/>
        <v>0</v>
      </c>
      <c r="AA533" s="53">
        <f t="shared" si="278"/>
        <v>0</v>
      </c>
      <c r="AB533" s="53">
        <f t="shared" si="278"/>
        <v>0</v>
      </c>
      <c r="AC533" s="53">
        <f t="shared" si="278"/>
        <v>0</v>
      </c>
      <c r="AD533" s="53">
        <f t="shared" si="278"/>
        <v>0</v>
      </c>
      <c r="AE533" s="53">
        <f t="shared" si="278"/>
        <v>0</v>
      </c>
      <c r="AF533" s="53">
        <f t="shared" si="278"/>
        <v>0</v>
      </c>
      <c r="AG533" s="53">
        <f t="shared" si="278"/>
        <v>0</v>
      </c>
      <c r="AH533" s="53">
        <f t="shared" si="278"/>
        <v>0</v>
      </c>
      <c r="AI533" s="53">
        <f t="shared" si="278"/>
        <v>0</v>
      </c>
      <c r="AJ533" s="53">
        <f t="shared" si="278"/>
        <v>0</v>
      </c>
      <c r="AK533" s="53">
        <f t="shared" si="278"/>
        <v>0</v>
      </c>
      <c r="AL533" s="53">
        <f t="shared" si="278"/>
        <v>0</v>
      </c>
      <c r="AM533" s="53">
        <f t="shared" si="278"/>
        <v>0</v>
      </c>
      <c r="AN533" s="53">
        <f t="shared" si="278"/>
        <v>0</v>
      </c>
      <c r="AO533" s="53">
        <f t="shared" si="278"/>
        <v>0</v>
      </c>
      <c r="AP533" s="53">
        <f t="shared" si="278"/>
        <v>0</v>
      </c>
    </row>
    <row r="534" spans="1:42" s="35" customFormat="1" x14ac:dyDescent="0.2">
      <c r="A534" s="62" t="s">
        <v>49</v>
      </c>
      <c r="B534" s="108">
        <f>SUM(C534:AP534)</f>
        <v>56610246.803845011</v>
      </c>
      <c r="C534" s="52">
        <f>SUM(C532:C533)</f>
        <v>4228652.5813578283</v>
      </c>
      <c r="D534" s="52">
        <f t="shared" ref="D534:AP534" si="279">SUM(D532:D533)</f>
        <v>4252935.9384682002</v>
      </c>
      <c r="E534" s="52">
        <f t="shared" si="279"/>
        <v>4276530.6776242685</v>
      </c>
      <c r="F534" s="52">
        <f t="shared" si="279"/>
        <v>4299454.0282647675</v>
      </c>
      <c r="G534" s="52">
        <f t="shared" si="279"/>
        <v>4321721.6901381379</v>
      </c>
      <c r="H534" s="52">
        <f t="shared" si="279"/>
        <v>4343347.8889136445</v>
      </c>
      <c r="I534" s="52">
        <f t="shared" si="279"/>
        <v>4364345.4283695035</v>
      </c>
      <c r="J534" s="52">
        <f t="shared" si="279"/>
        <v>4384725.7393092029</v>
      </c>
      <c r="K534" s="52">
        <f t="shared" si="279"/>
        <v>4404498.9253490511</v>
      </c>
      <c r="L534" s="52">
        <f t="shared" si="279"/>
        <v>4423673.8057120498</v>
      </c>
      <c r="M534" s="52">
        <f t="shared" si="279"/>
        <v>4442257.9551559892</v>
      </c>
      <c r="N534" s="52">
        <f t="shared" si="279"/>
        <v>4460257.7411563247</v>
      </c>
      <c r="O534" s="52">
        <f t="shared" si="279"/>
        <v>4407844.404026038</v>
      </c>
      <c r="P534" s="52">
        <f t="shared" si="279"/>
        <v>0</v>
      </c>
      <c r="Q534" s="52">
        <f t="shared" si="279"/>
        <v>0</v>
      </c>
      <c r="R534" s="52">
        <f t="shared" si="279"/>
        <v>0</v>
      </c>
      <c r="S534" s="52">
        <f t="shared" si="279"/>
        <v>0</v>
      </c>
      <c r="T534" s="52">
        <f t="shared" si="279"/>
        <v>0</v>
      </c>
      <c r="U534" s="52">
        <f t="shared" si="279"/>
        <v>0</v>
      </c>
      <c r="V534" s="52">
        <f t="shared" si="279"/>
        <v>0</v>
      </c>
      <c r="W534" s="52">
        <f t="shared" si="279"/>
        <v>0</v>
      </c>
      <c r="X534" s="52">
        <f t="shared" si="279"/>
        <v>0</v>
      </c>
      <c r="Y534" s="52">
        <f t="shared" si="279"/>
        <v>0</v>
      </c>
      <c r="Z534" s="52">
        <f t="shared" si="279"/>
        <v>0</v>
      </c>
      <c r="AA534" s="52">
        <f t="shared" si="279"/>
        <v>0</v>
      </c>
      <c r="AB534" s="52">
        <f t="shared" si="279"/>
        <v>0</v>
      </c>
      <c r="AC534" s="52">
        <f t="shared" si="279"/>
        <v>0</v>
      </c>
      <c r="AD534" s="52">
        <f t="shared" si="279"/>
        <v>0</v>
      </c>
      <c r="AE534" s="52">
        <f t="shared" si="279"/>
        <v>0</v>
      </c>
      <c r="AF534" s="52">
        <f t="shared" si="279"/>
        <v>0</v>
      </c>
      <c r="AG534" s="52">
        <f t="shared" si="279"/>
        <v>0</v>
      </c>
      <c r="AH534" s="52">
        <f t="shared" si="279"/>
        <v>0</v>
      </c>
      <c r="AI534" s="52">
        <f t="shared" si="279"/>
        <v>0</v>
      </c>
      <c r="AJ534" s="52">
        <f t="shared" si="279"/>
        <v>0</v>
      </c>
      <c r="AK534" s="52">
        <f t="shared" si="279"/>
        <v>0</v>
      </c>
      <c r="AL534" s="52">
        <f t="shared" si="279"/>
        <v>0</v>
      </c>
      <c r="AM534" s="52">
        <f t="shared" si="279"/>
        <v>0</v>
      </c>
      <c r="AN534" s="52">
        <f t="shared" si="279"/>
        <v>0</v>
      </c>
      <c r="AO534" s="52">
        <f t="shared" si="279"/>
        <v>0</v>
      </c>
      <c r="AP534" s="52">
        <f t="shared" si="279"/>
        <v>0</v>
      </c>
    </row>
    <row r="535" spans="1:42" s="35" customFormat="1" x14ac:dyDescent="0.2">
      <c r="A535" s="22"/>
    </row>
    <row r="536" spans="1:42" s="35" customFormat="1" x14ac:dyDescent="0.2">
      <c r="A536" s="57" t="s">
        <v>189</v>
      </c>
    </row>
    <row r="537" spans="1:42" s="35" customFormat="1" x14ac:dyDescent="0.2">
      <c r="A537" s="50" t="s">
        <v>148</v>
      </c>
    </row>
    <row r="538" spans="1:42" s="35" customFormat="1" x14ac:dyDescent="0.2">
      <c r="A538" s="62" t="s">
        <v>149</v>
      </c>
      <c r="C538" s="95">
        <f t="shared" ref="C538:AP538" si="280">IF(AND(C$2&lt;=SODebtTerm,C$2&lt;=AnalysisPeriod),SODebtRate,0)</f>
        <v>8.5000000000000006E-2</v>
      </c>
      <c r="D538" s="95">
        <f t="shared" si="280"/>
        <v>8.5000000000000006E-2</v>
      </c>
      <c r="E538" s="95">
        <f t="shared" si="280"/>
        <v>8.5000000000000006E-2</v>
      </c>
      <c r="F538" s="95">
        <f t="shared" si="280"/>
        <v>8.5000000000000006E-2</v>
      </c>
      <c r="G538" s="95">
        <f t="shared" si="280"/>
        <v>8.5000000000000006E-2</v>
      </c>
      <c r="H538" s="95">
        <f t="shared" si="280"/>
        <v>8.5000000000000006E-2</v>
      </c>
      <c r="I538" s="95">
        <f t="shared" si="280"/>
        <v>8.5000000000000006E-2</v>
      </c>
      <c r="J538" s="95">
        <f t="shared" si="280"/>
        <v>8.5000000000000006E-2</v>
      </c>
      <c r="K538" s="95">
        <f t="shared" si="280"/>
        <v>8.5000000000000006E-2</v>
      </c>
      <c r="L538" s="95">
        <f t="shared" si="280"/>
        <v>8.5000000000000006E-2</v>
      </c>
      <c r="M538" s="95">
        <f t="shared" si="280"/>
        <v>8.5000000000000006E-2</v>
      </c>
      <c r="N538" s="95">
        <f t="shared" si="280"/>
        <v>8.5000000000000006E-2</v>
      </c>
      <c r="O538" s="95">
        <f t="shared" si="280"/>
        <v>8.5000000000000006E-2</v>
      </c>
      <c r="P538" s="95">
        <f t="shared" si="280"/>
        <v>0</v>
      </c>
      <c r="Q538" s="95">
        <f t="shared" si="280"/>
        <v>0</v>
      </c>
      <c r="R538" s="95">
        <f t="shared" si="280"/>
        <v>0</v>
      </c>
      <c r="S538" s="95">
        <f t="shared" si="280"/>
        <v>0</v>
      </c>
      <c r="T538" s="95">
        <f t="shared" si="280"/>
        <v>0</v>
      </c>
      <c r="U538" s="95">
        <f t="shared" si="280"/>
        <v>0</v>
      </c>
      <c r="V538" s="95">
        <f t="shared" si="280"/>
        <v>0</v>
      </c>
      <c r="W538" s="95">
        <f t="shared" si="280"/>
        <v>0</v>
      </c>
      <c r="X538" s="95">
        <f t="shared" si="280"/>
        <v>0</v>
      </c>
      <c r="Y538" s="95">
        <f t="shared" si="280"/>
        <v>0</v>
      </c>
      <c r="Z538" s="95">
        <f t="shared" si="280"/>
        <v>0</v>
      </c>
      <c r="AA538" s="95">
        <f t="shared" si="280"/>
        <v>0</v>
      </c>
      <c r="AB538" s="95">
        <f t="shared" si="280"/>
        <v>0</v>
      </c>
      <c r="AC538" s="95">
        <f t="shared" si="280"/>
        <v>0</v>
      </c>
      <c r="AD538" s="95">
        <f t="shared" si="280"/>
        <v>0</v>
      </c>
      <c r="AE538" s="95">
        <f t="shared" si="280"/>
        <v>0</v>
      </c>
      <c r="AF538" s="95">
        <f t="shared" si="280"/>
        <v>0</v>
      </c>
      <c r="AG538" s="95">
        <f t="shared" si="280"/>
        <v>0</v>
      </c>
      <c r="AH538" s="95">
        <f t="shared" si="280"/>
        <v>0</v>
      </c>
      <c r="AI538" s="95">
        <f t="shared" si="280"/>
        <v>0</v>
      </c>
      <c r="AJ538" s="95">
        <f t="shared" si="280"/>
        <v>0</v>
      </c>
      <c r="AK538" s="95">
        <f t="shared" si="280"/>
        <v>0</v>
      </c>
      <c r="AL538" s="95">
        <f t="shared" si="280"/>
        <v>0</v>
      </c>
      <c r="AM538" s="95">
        <f t="shared" si="280"/>
        <v>0</v>
      </c>
      <c r="AN538" s="95">
        <f t="shared" si="280"/>
        <v>0</v>
      </c>
      <c r="AO538" s="95">
        <f t="shared" si="280"/>
        <v>0</v>
      </c>
      <c r="AP538" s="95">
        <f t="shared" si="280"/>
        <v>0</v>
      </c>
    </row>
    <row r="539" spans="1:42" s="35" customFormat="1" x14ac:dyDescent="0.2">
      <c r="A539" s="62" t="s">
        <v>150</v>
      </c>
      <c r="C539" s="96">
        <f>IF(AND(C$2&lt;=SODebtTerm,C$2&lt;=AnalysisPeriod),1/(1+C538),0)</f>
        <v>0.92165898617511521</v>
      </c>
      <c r="D539" s="97">
        <f t="shared" ref="D539:AP539" si="281">IF(AND(D$2&lt;=SODebtTerm,D$2&lt;=AnalysisPeriod),C539/(1+D538),0)</f>
        <v>0.84945528679734128</v>
      </c>
      <c r="E539" s="97">
        <f t="shared" si="281"/>
        <v>0.78290809843072928</v>
      </c>
      <c r="F539" s="97">
        <f t="shared" si="281"/>
        <v>0.72157428426795323</v>
      </c>
      <c r="G539" s="97">
        <f t="shared" si="281"/>
        <v>0.66504542328843619</v>
      </c>
      <c r="H539" s="97">
        <f t="shared" si="281"/>
        <v>0.6129450905884205</v>
      </c>
      <c r="I539" s="97">
        <f t="shared" si="281"/>
        <v>0.56492635077273778</v>
      </c>
      <c r="J539" s="97">
        <f t="shared" si="281"/>
        <v>0.52066944771680901</v>
      </c>
      <c r="K539" s="97">
        <f t="shared" si="281"/>
        <v>0.47987967531503134</v>
      </c>
      <c r="L539" s="97">
        <f t="shared" si="281"/>
        <v>0.44228541503689528</v>
      </c>
      <c r="M539" s="97">
        <f t="shared" si="281"/>
        <v>0.40763632722294496</v>
      </c>
      <c r="N539" s="97">
        <f t="shared" si="281"/>
        <v>0.375701684076447</v>
      </c>
      <c r="O539" s="97">
        <f t="shared" si="281"/>
        <v>0.3462688332501816</v>
      </c>
      <c r="P539" s="97">
        <f t="shared" si="281"/>
        <v>0</v>
      </c>
      <c r="Q539" s="97">
        <f t="shared" si="281"/>
        <v>0</v>
      </c>
      <c r="R539" s="97">
        <f t="shared" si="281"/>
        <v>0</v>
      </c>
      <c r="S539" s="97">
        <f t="shared" si="281"/>
        <v>0</v>
      </c>
      <c r="T539" s="97">
        <f t="shared" si="281"/>
        <v>0</v>
      </c>
      <c r="U539" s="97">
        <f t="shared" si="281"/>
        <v>0</v>
      </c>
      <c r="V539" s="97">
        <f t="shared" si="281"/>
        <v>0</v>
      </c>
      <c r="W539" s="97">
        <f t="shared" si="281"/>
        <v>0</v>
      </c>
      <c r="X539" s="97">
        <f t="shared" si="281"/>
        <v>0</v>
      </c>
      <c r="Y539" s="97">
        <f t="shared" si="281"/>
        <v>0</v>
      </c>
      <c r="Z539" s="97">
        <f t="shared" si="281"/>
        <v>0</v>
      </c>
      <c r="AA539" s="97">
        <f t="shared" si="281"/>
        <v>0</v>
      </c>
      <c r="AB539" s="97">
        <f t="shared" si="281"/>
        <v>0</v>
      </c>
      <c r="AC539" s="97">
        <f t="shared" si="281"/>
        <v>0</v>
      </c>
      <c r="AD539" s="97">
        <f t="shared" si="281"/>
        <v>0</v>
      </c>
      <c r="AE539" s="97">
        <f t="shared" si="281"/>
        <v>0</v>
      </c>
      <c r="AF539" s="97">
        <f t="shared" si="281"/>
        <v>0</v>
      </c>
      <c r="AG539" s="97">
        <f t="shared" si="281"/>
        <v>0</v>
      </c>
      <c r="AH539" s="97">
        <f t="shared" si="281"/>
        <v>0</v>
      </c>
      <c r="AI539" s="97">
        <f t="shared" si="281"/>
        <v>0</v>
      </c>
      <c r="AJ539" s="97">
        <f t="shared" si="281"/>
        <v>0</v>
      </c>
      <c r="AK539" s="97">
        <f t="shared" si="281"/>
        <v>0</v>
      </c>
      <c r="AL539" s="97">
        <f t="shared" si="281"/>
        <v>0</v>
      </c>
      <c r="AM539" s="97">
        <f t="shared" si="281"/>
        <v>0</v>
      </c>
      <c r="AN539" s="97">
        <f t="shared" si="281"/>
        <v>0</v>
      </c>
      <c r="AO539" s="97">
        <f t="shared" si="281"/>
        <v>0</v>
      </c>
      <c r="AP539" s="97">
        <f t="shared" si="281"/>
        <v>0</v>
      </c>
    </row>
    <row r="540" spans="1:42" s="35" customFormat="1" x14ac:dyDescent="0.2">
      <c r="A540" s="62" t="s">
        <v>52</v>
      </c>
      <c r="C540" s="96"/>
      <c r="D540" s="97"/>
      <c r="E540" s="97"/>
      <c r="F540" s="97"/>
      <c r="G540" s="97"/>
      <c r="H540" s="97"/>
      <c r="I540" s="97"/>
      <c r="J540" s="97"/>
      <c r="K540" s="97"/>
      <c r="L540" s="97"/>
      <c r="M540" s="97"/>
      <c r="N540" s="97"/>
      <c r="O540" s="97"/>
      <c r="P540" s="97"/>
      <c r="Q540" s="97"/>
      <c r="R540" s="97"/>
      <c r="S540" s="97"/>
      <c r="T540" s="97"/>
      <c r="U540" s="97"/>
      <c r="V540" s="97"/>
      <c r="W540" s="97"/>
      <c r="X540" s="97"/>
      <c r="Y540" s="97"/>
      <c r="Z540" s="97"/>
      <c r="AA540" s="97"/>
      <c r="AB540" s="97"/>
      <c r="AC540" s="97"/>
      <c r="AD540" s="97"/>
      <c r="AE540" s="97"/>
      <c r="AF540" s="97"/>
      <c r="AG540" s="97"/>
      <c r="AH540" s="97"/>
      <c r="AI540" s="97"/>
      <c r="AJ540" s="97"/>
      <c r="AK540" s="97"/>
      <c r="AL540" s="97"/>
      <c r="AM540" s="97"/>
      <c r="AN540" s="97"/>
      <c r="AO540" s="97"/>
      <c r="AP540" s="97"/>
    </row>
    <row r="541" spans="1:42" s="35" customFormat="1" x14ac:dyDescent="0.2">
      <c r="A541" s="74" t="s">
        <v>57</v>
      </c>
      <c r="B541" s="108">
        <f>SUM(C541:AP541)</f>
        <v>80071677.055218861</v>
      </c>
      <c r="C541" s="52">
        <f t="shared" ref="C541:AP541" si="282">IF(AND(C$2&lt;=SODebtTerm,C$2&lt;=AnalysisPeriod),C38,0)</f>
        <v>5982032.3718749993</v>
      </c>
      <c r="D541" s="52">
        <f t="shared" si="282"/>
        <v>6014814.9039740004</v>
      </c>
      <c r="E541" s="52">
        <f t="shared" si="282"/>
        <v>6046667.8018346932</v>
      </c>
      <c r="F541" s="52">
        <f t="shared" si="282"/>
        <v>6077614.3251993665</v>
      </c>
      <c r="G541" s="52">
        <f t="shared" si="282"/>
        <v>6107675.6687284168</v>
      </c>
      <c r="H541" s="52">
        <f t="shared" si="282"/>
        <v>6136871.0370753501</v>
      </c>
      <c r="I541" s="52">
        <f t="shared" si="282"/>
        <v>6165217.7153407605</v>
      </c>
      <c r="J541" s="52">
        <f t="shared" si="282"/>
        <v>6192731.1351093547</v>
      </c>
      <c r="K541" s="52">
        <f t="shared" si="282"/>
        <v>6219424.9362631496</v>
      </c>
      <c r="L541" s="52">
        <f t="shared" si="282"/>
        <v>6245311.024753198</v>
      </c>
      <c r="M541" s="52">
        <f t="shared" si="282"/>
        <v>6270399.6265025157</v>
      </c>
      <c r="N541" s="52">
        <f t="shared" si="282"/>
        <v>6294699.3376029693</v>
      </c>
      <c r="O541" s="52">
        <f t="shared" si="282"/>
        <v>6318217.1709600678</v>
      </c>
      <c r="P541" s="52">
        <f t="shared" si="282"/>
        <v>0</v>
      </c>
      <c r="Q541" s="52">
        <f t="shared" si="282"/>
        <v>0</v>
      </c>
      <c r="R541" s="52">
        <f t="shared" si="282"/>
        <v>0</v>
      </c>
      <c r="S541" s="52">
        <f t="shared" si="282"/>
        <v>0</v>
      </c>
      <c r="T541" s="52">
        <f t="shared" si="282"/>
        <v>0</v>
      </c>
      <c r="U541" s="52">
        <f t="shared" si="282"/>
        <v>0</v>
      </c>
      <c r="V541" s="52">
        <f t="shared" si="282"/>
        <v>0</v>
      </c>
      <c r="W541" s="52">
        <f t="shared" si="282"/>
        <v>0</v>
      </c>
      <c r="X541" s="52">
        <f t="shared" si="282"/>
        <v>0</v>
      </c>
      <c r="Y541" s="52">
        <f t="shared" si="282"/>
        <v>0</v>
      </c>
      <c r="Z541" s="52">
        <f t="shared" si="282"/>
        <v>0</v>
      </c>
      <c r="AA541" s="52">
        <f t="shared" si="282"/>
        <v>0</v>
      </c>
      <c r="AB541" s="52">
        <f t="shared" si="282"/>
        <v>0</v>
      </c>
      <c r="AC541" s="52">
        <f t="shared" si="282"/>
        <v>0</v>
      </c>
      <c r="AD541" s="52">
        <f t="shared" si="282"/>
        <v>0</v>
      </c>
      <c r="AE541" s="52">
        <f t="shared" si="282"/>
        <v>0</v>
      </c>
      <c r="AF541" s="52">
        <f t="shared" si="282"/>
        <v>0</v>
      </c>
      <c r="AG541" s="52">
        <f t="shared" si="282"/>
        <v>0</v>
      </c>
      <c r="AH541" s="52">
        <f t="shared" si="282"/>
        <v>0</v>
      </c>
      <c r="AI541" s="52">
        <f t="shared" si="282"/>
        <v>0</v>
      </c>
      <c r="AJ541" s="52">
        <f t="shared" si="282"/>
        <v>0</v>
      </c>
      <c r="AK541" s="52">
        <f t="shared" si="282"/>
        <v>0</v>
      </c>
      <c r="AL541" s="52">
        <f t="shared" si="282"/>
        <v>0</v>
      </c>
      <c r="AM541" s="52">
        <f t="shared" si="282"/>
        <v>0</v>
      </c>
      <c r="AN541" s="52">
        <f t="shared" si="282"/>
        <v>0</v>
      </c>
      <c r="AO541" s="52">
        <f t="shared" si="282"/>
        <v>0</v>
      </c>
      <c r="AP541" s="52">
        <f t="shared" si="282"/>
        <v>0</v>
      </c>
    </row>
    <row r="542" spans="1:42" s="35" customFormat="1" x14ac:dyDescent="0.2">
      <c r="A542" s="105" t="s">
        <v>182</v>
      </c>
      <c r="B542" s="108">
        <f>SUM(C542:AP542)</f>
        <v>-3647843.8700280818</v>
      </c>
      <c r="C542" s="38">
        <f t="shared" ref="C542:AP542" si="283">IF(AND(C$2&lt;=SODebtTerm,C$2&lt;=AnalysisPeriod),-C580-C612-C644,0)</f>
        <v>-273351.3870419304</v>
      </c>
      <c r="D542" s="38">
        <f t="shared" si="283"/>
        <v>-273351.3870419304</v>
      </c>
      <c r="E542" s="38">
        <f t="shared" si="283"/>
        <v>-273351.3870419304</v>
      </c>
      <c r="F542" s="38">
        <f t="shared" si="283"/>
        <v>-273351.3870419304</v>
      </c>
      <c r="G542" s="38">
        <f t="shared" si="283"/>
        <v>-273351.3870419304</v>
      </c>
      <c r="H542" s="38">
        <f t="shared" si="283"/>
        <v>-273351.3870419304</v>
      </c>
      <c r="I542" s="38">
        <f t="shared" si="283"/>
        <v>-273351.3870419304</v>
      </c>
      <c r="J542" s="38">
        <f t="shared" si="283"/>
        <v>-273351.3870419304</v>
      </c>
      <c r="K542" s="38">
        <f t="shared" si="283"/>
        <v>-273351.3870419304</v>
      </c>
      <c r="L542" s="38">
        <f t="shared" si="283"/>
        <v>-273351.3870419304</v>
      </c>
      <c r="M542" s="38">
        <f t="shared" si="283"/>
        <v>-273351.3870419304</v>
      </c>
      <c r="N542" s="38">
        <f t="shared" si="283"/>
        <v>-273351.3870419304</v>
      </c>
      <c r="O542" s="38">
        <f t="shared" si="283"/>
        <v>-367627.22552491649</v>
      </c>
      <c r="P542" s="38">
        <f t="shared" si="283"/>
        <v>0</v>
      </c>
      <c r="Q542" s="38">
        <f t="shared" si="283"/>
        <v>0</v>
      </c>
      <c r="R542" s="38">
        <f t="shared" si="283"/>
        <v>0</v>
      </c>
      <c r="S542" s="38">
        <f t="shared" si="283"/>
        <v>0</v>
      </c>
      <c r="T542" s="38">
        <f t="shared" si="283"/>
        <v>0</v>
      </c>
      <c r="U542" s="38">
        <f t="shared" si="283"/>
        <v>0</v>
      </c>
      <c r="V542" s="38">
        <f t="shared" si="283"/>
        <v>0</v>
      </c>
      <c r="W542" s="38">
        <f t="shared" si="283"/>
        <v>0</v>
      </c>
      <c r="X542" s="38">
        <f t="shared" si="283"/>
        <v>0</v>
      </c>
      <c r="Y542" s="38">
        <f t="shared" si="283"/>
        <v>0</v>
      </c>
      <c r="Z542" s="38">
        <f t="shared" si="283"/>
        <v>0</v>
      </c>
      <c r="AA542" s="38">
        <f t="shared" si="283"/>
        <v>0</v>
      </c>
      <c r="AB542" s="38">
        <f t="shared" si="283"/>
        <v>0</v>
      </c>
      <c r="AC542" s="38">
        <f t="shared" si="283"/>
        <v>0</v>
      </c>
      <c r="AD542" s="38">
        <f t="shared" si="283"/>
        <v>0</v>
      </c>
      <c r="AE542" s="38">
        <f t="shared" si="283"/>
        <v>0</v>
      </c>
      <c r="AF542" s="38">
        <f t="shared" si="283"/>
        <v>0</v>
      </c>
      <c r="AG542" s="38">
        <f t="shared" si="283"/>
        <v>0</v>
      </c>
      <c r="AH542" s="38">
        <f t="shared" si="283"/>
        <v>0</v>
      </c>
      <c r="AI542" s="38">
        <f t="shared" si="283"/>
        <v>0</v>
      </c>
      <c r="AJ542" s="38">
        <f t="shared" si="283"/>
        <v>0</v>
      </c>
      <c r="AK542" s="38">
        <f t="shared" si="283"/>
        <v>0</v>
      </c>
      <c r="AL542" s="38">
        <f t="shared" si="283"/>
        <v>0</v>
      </c>
      <c r="AM542" s="38">
        <f t="shared" si="283"/>
        <v>0</v>
      </c>
      <c r="AN542" s="38">
        <f t="shared" si="283"/>
        <v>0</v>
      </c>
      <c r="AO542" s="38">
        <f t="shared" si="283"/>
        <v>0</v>
      </c>
      <c r="AP542" s="38">
        <f t="shared" si="283"/>
        <v>0</v>
      </c>
    </row>
    <row r="543" spans="1:42" s="35" customFormat="1" x14ac:dyDescent="0.2">
      <c r="A543" s="74" t="s">
        <v>52</v>
      </c>
      <c r="B543" s="262">
        <f>SUM(C543:AP543)</f>
        <v>76423833.185190752</v>
      </c>
      <c r="C543" s="53">
        <f>SUM(C541:C542)</f>
        <v>5708680.9848330691</v>
      </c>
      <c r="D543" s="53">
        <f t="shared" ref="D543:AP543" si="284">SUM(D541:D542)</f>
        <v>5741463.5169320703</v>
      </c>
      <c r="E543" s="53">
        <f t="shared" si="284"/>
        <v>5773316.4147927631</v>
      </c>
      <c r="F543" s="53">
        <f t="shared" si="284"/>
        <v>5804262.9381574364</v>
      </c>
      <c r="G543" s="53">
        <f t="shared" si="284"/>
        <v>5834324.2816864867</v>
      </c>
      <c r="H543" s="53">
        <f t="shared" si="284"/>
        <v>5863519.65003342</v>
      </c>
      <c r="I543" s="53">
        <f t="shared" si="284"/>
        <v>5891866.3282988304</v>
      </c>
      <c r="J543" s="53">
        <f t="shared" si="284"/>
        <v>5919379.7480674246</v>
      </c>
      <c r="K543" s="53">
        <f t="shared" si="284"/>
        <v>5946073.5492212195</v>
      </c>
      <c r="L543" s="53">
        <f t="shared" si="284"/>
        <v>5971959.6377112679</v>
      </c>
      <c r="M543" s="53">
        <f t="shared" si="284"/>
        <v>5997048.2394605856</v>
      </c>
      <c r="N543" s="53">
        <f t="shared" si="284"/>
        <v>6021347.9505610391</v>
      </c>
      <c r="O543" s="53">
        <f t="shared" si="284"/>
        <v>5950589.9454351515</v>
      </c>
      <c r="P543" s="53">
        <f t="shared" si="284"/>
        <v>0</v>
      </c>
      <c r="Q543" s="53">
        <f t="shared" si="284"/>
        <v>0</v>
      </c>
      <c r="R543" s="53">
        <f t="shared" si="284"/>
        <v>0</v>
      </c>
      <c r="S543" s="53">
        <f t="shared" si="284"/>
        <v>0</v>
      </c>
      <c r="T543" s="53">
        <f t="shared" si="284"/>
        <v>0</v>
      </c>
      <c r="U543" s="53">
        <f t="shared" si="284"/>
        <v>0</v>
      </c>
      <c r="V543" s="53">
        <f t="shared" si="284"/>
        <v>0</v>
      </c>
      <c r="W543" s="53">
        <f t="shared" si="284"/>
        <v>0</v>
      </c>
      <c r="X543" s="53">
        <f t="shared" si="284"/>
        <v>0</v>
      </c>
      <c r="Y543" s="53">
        <f t="shared" si="284"/>
        <v>0</v>
      </c>
      <c r="Z543" s="53">
        <f t="shared" si="284"/>
        <v>0</v>
      </c>
      <c r="AA543" s="53">
        <f t="shared" si="284"/>
        <v>0</v>
      </c>
      <c r="AB543" s="53">
        <f t="shared" si="284"/>
        <v>0</v>
      </c>
      <c r="AC543" s="53">
        <f t="shared" si="284"/>
        <v>0</v>
      </c>
      <c r="AD543" s="53">
        <f t="shared" si="284"/>
        <v>0</v>
      </c>
      <c r="AE543" s="53">
        <f t="shared" si="284"/>
        <v>0</v>
      </c>
      <c r="AF543" s="53">
        <f t="shared" si="284"/>
        <v>0</v>
      </c>
      <c r="AG543" s="53">
        <f t="shared" si="284"/>
        <v>0</v>
      </c>
      <c r="AH543" s="53">
        <f t="shared" si="284"/>
        <v>0</v>
      </c>
      <c r="AI543" s="53">
        <f t="shared" si="284"/>
        <v>0</v>
      </c>
      <c r="AJ543" s="53">
        <f t="shared" si="284"/>
        <v>0</v>
      </c>
      <c r="AK543" s="53">
        <f t="shared" si="284"/>
        <v>0</v>
      </c>
      <c r="AL543" s="53">
        <f t="shared" si="284"/>
        <v>0</v>
      </c>
      <c r="AM543" s="53">
        <f t="shared" si="284"/>
        <v>0</v>
      </c>
      <c r="AN543" s="53">
        <f t="shared" si="284"/>
        <v>0</v>
      </c>
      <c r="AO543" s="53">
        <f t="shared" si="284"/>
        <v>0</v>
      </c>
      <c r="AP543" s="53">
        <f t="shared" si="284"/>
        <v>0</v>
      </c>
    </row>
    <row r="544" spans="1:42" s="35" customFormat="1" x14ac:dyDescent="0.2">
      <c r="A544" s="62" t="s">
        <v>151</v>
      </c>
      <c r="B544" s="98">
        <f>SUM(C544:AP544)</f>
        <v>44993433.304103523</v>
      </c>
      <c r="C544" s="39">
        <f>C539*C543</f>
        <v>5261457.1288784044</v>
      </c>
      <c r="D544" s="39">
        <f t="shared" ref="D544:AP544" si="285">D539*D543</f>
        <v>4877116.5384120038</v>
      </c>
      <c r="E544" s="39">
        <f t="shared" si="285"/>
        <v>4519976.1759443181</v>
      </c>
      <c r="F544" s="39">
        <f t="shared" si="285"/>
        <v>4188206.8753039595</v>
      </c>
      <c r="G544" s="39">
        <f t="shared" si="285"/>
        <v>3880090.661516191</v>
      </c>
      <c r="H544" s="39">
        <f t="shared" si="285"/>
        <v>3594015.5830567181</v>
      </c>
      <c r="I544" s="39">
        <f t="shared" si="285"/>
        <v>3328470.5440866277</v>
      </c>
      <c r="J544" s="39">
        <f t="shared" si="285"/>
        <v>3082040.1842523301</v>
      </c>
      <c r="K544" s="39">
        <f t="shared" si="285"/>
        <v>2853399.844199575</v>
      </c>
      <c r="L544" s="39">
        <f t="shared" si="285"/>
        <v>2641310.6469487147</v>
      </c>
      <c r="M544" s="39">
        <f t="shared" si="285"/>
        <v>2444614.7185125411</v>
      </c>
      <c r="N544" s="39">
        <f t="shared" si="285"/>
        <v>2262230.5654360452</v>
      </c>
      <c r="O544" s="39">
        <f t="shared" si="285"/>
        <v>2060503.8375560916</v>
      </c>
      <c r="P544" s="39">
        <f t="shared" si="285"/>
        <v>0</v>
      </c>
      <c r="Q544" s="39">
        <f t="shared" si="285"/>
        <v>0</v>
      </c>
      <c r="R544" s="39">
        <f t="shared" si="285"/>
        <v>0</v>
      </c>
      <c r="S544" s="39">
        <f t="shared" si="285"/>
        <v>0</v>
      </c>
      <c r="T544" s="39">
        <f t="shared" si="285"/>
        <v>0</v>
      </c>
      <c r="U544" s="39">
        <f t="shared" si="285"/>
        <v>0</v>
      </c>
      <c r="V544" s="39">
        <f t="shared" si="285"/>
        <v>0</v>
      </c>
      <c r="W544" s="39">
        <f t="shared" si="285"/>
        <v>0</v>
      </c>
      <c r="X544" s="39">
        <f t="shared" si="285"/>
        <v>0</v>
      </c>
      <c r="Y544" s="39">
        <f t="shared" si="285"/>
        <v>0</v>
      </c>
      <c r="Z544" s="39">
        <f t="shared" si="285"/>
        <v>0</v>
      </c>
      <c r="AA544" s="39">
        <f t="shared" si="285"/>
        <v>0</v>
      </c>
      <c r="AB544" s="39">
        <f t="shared" si="285"/>
        <v>0</v>
      </c>
      <c r="AC544" s="39">
        <f t="shared" si="285"/>
        <v>0</v>
      </c>
      <c r="AD544" s="39">
        <f t="shared" si="285"/>
        <v>0</v>
      </c>
      <c r="AE544" s="39">
        <f t="shared" si="285"/>
        <v>0</v>
      </c>
      <c r="AF544" s="39">
        <f t="shared" si="285"/>
        <v>0</v>
      </c>
      <c r="AG544" s="39">
        <f t="shared" si="285"/>
        <v>0</v>
      </c>
      <c r="AH544" s="39">
        <f t="shared" si="285"/>
        <v>0</v>
      </c>
      <c r="AI544" s="39">
        <f t="shared" si="285"/>
        <v>0</v>
      </c>
      <c r="AJ544" s="39">
        <f t="shared" si="285"/>
        <v>0</v>
      </c>
      <c r="AK544" s="39">
        <f t="shared" si="285"/>
        <v>0</v>
      </c>
      <c r="AL544" s="39">
        <f t="shared" si="285"/>
        <v>0</v>
      </c>
      <c r="AM544" s="39">
        <f t="shared" si="285"/>
        <v>0</v>
      </c>
      <c r="AN544" s="39">
        <f t="shared" si="285"/>
        <v>0</v>
      </c>
      <c r="AO544" s="39">
        <f t="shared" si="285"/>
        <v>0</v>
      </c>
      <c r="AP544" s="39">
        <f t="shared" si="285"/>
        <v>0</v>
      </c>
    </row>
    <row r="545" spans="1:42" s="35" customFormat="1" x14ac:dyDescent="0.2">
      <c r="A545" s="62" t="s">
        <v>51</v>
      </c>
      <c r="C545" s="99">
        <f t="shared" ref="C545:AP545" si="286">IF(AND(C$2&lt;=SODebtTerm,C$2&lt;=AnalysisPeriod),SODSCR,0)</f>
        <v>1.35</v>
      </c>
      <c r="D545" s="99">
        <f t="shared" si="286"/>
        <v>1.35</v>
      </c>
      <c r="E545" s="99">
        <f t="shared" si="286"/>
        <v>1.35</v>
      </c>
      <c r="F545" s="99">
        <f t="shared" si="286"/>
        <v>1.35</v>
      </c>
      <c r="G545" s="99">
        <f t="shared" si="286"/>
        <v>1.35</v>
      </c>
      <c r="H545" s="99">
        <f t="shared" si="286"/>
        <v>1.35</v>
      </c>
      <c r="I545" s="99">
        <f t="shared" si="286"/>
        <v>1.35</v>
      </c>
      <c r="J545" s="99">
        <f t="shared" si="286"/>
        <v>1.35</v>
      </c>
      <c r="K545" s="99">
        <f t="shared" si="286"/>
        <v>1.35</v>
      </c>
      <c r="L545" s="99">
        <f t="shared" si="286"/>
        <v>1.35</v>
      </c>
      <c r="M545" s="99">
        <f t="shared" si="286"/>
        <v>1.35</v>
      </c>
      <c r="N545" s="99">
        <f t="shared" si="286"/>
        <v>1.35</v>
      </c>
      <c r="O545" s="99">
        <f t="shared" si="286"/>
        <v>1.35</v>
      </c>
      <c r="P545" s="99">
        <f t="shared" si="286"/>
        <v>0</v>
      </c>
      <c r="Q545" s="99">
        <f t="shared" si="286"/>
        <v>0</v>
      </c>
      <c r="R545" s="99">
        <f t="shared" si="286"/>
        <v>0</v>
      </c>
      <c r="S545" s="99">
        <f t="shared" si="286"/>
        <v>0</v>
      </c>
      <c r="T545" s="99">
        <f t="shared" si="286"/>
        <v>0</v>
      </c>
      <c r="U545" s="99">
        <f t="shared" si="286"/>
        <v>0</v>
      </c>
      <c r="V545" s="99">
        <f t="shared" si="286"/>
        <v>0</v>
      </c>
      <c r="W545" s="99">
        <f t="shared" si="286"/>
        <v>0</v>
      </c>
      <c r="X545" s="99">
        <f t="shared" si="286"/>
        <v>0</v>
      </c>
      <c r="Y545" s="99">
        <f t="shared" si="286"/>
        <v>0</v>
      </c>
      <c r="Z545" s="99">
        <f t="shared" si="286"/>
        <v>0</v>
      </c>
      <c r="AA545" s="99">
        <f t="shared" si="286"/>
        <v>0</v>
      </c>
      <c r="AB545" s="99">
        <f t="shared" si="286"/>
        <v>0</v>
      </c>
      <c r="AC545" s="99">
        <f t="shared" si="286"/>
        <v>0</v>
      </c>
      <c r="AD545" s="99">
        <f t="shared" si="286"/>
        <v>0</v>
      </c>
      <c r="AE545" s="99">
        <f t="shared" si="286"/>
        <v>0</v>
      </c>
      <c r="AF545" s="99">
        <f t="shared" si="286"/>
        <v>0</v>
      </c>
      <c r="AG545" s="99">
        <f t="shared" si="286"/>
        <v>0</v>
      </c>
      <c r="AH545" s="99">
        <f t="shared" si="286"/>
        <v>0</v>
      </c>
      <c r="AI545" s="99">
        <f t="shared" si="286"/>
        <v>0</v>
      </c>
      <c r="AJ545" s="99">
        <f t="shared" si="286"/>
        <v>0</v>
      </c>
      <c r="AK545" s="99">
        <f t="shared" si="286"/>
        <v>0</v>
      </c>
      <c r="AL545" s="99">
        <f t="shared" si="286"/>
        <v>0</v>
      </c>
      <c r="AM545" s="99">
        <f t="shared" si="286"/>
        <v>0</v>
      </c>
      <c r="AN545" s="99">
        <f t="shared" si="286"/>
        <v>0</v>
      </c>
      <c r="AO545" s="99">
        <f t="shared" si="286"/>
        <v>0</v>
      </c>
      <c r="AP545" s="99">
        <f t="shared" si="286"/>
        <v>0</v>
      </c>
    </row>
    <row r="546" spans="1:42" s="35" customFormat="1" x14ac:dyDescent="0.2">
      <c r="A546" s="62" t="s">
        <v>152</v>
      </c>
      <c r="B546" s="98">
        <f>SUM(C546:AP546)</f>
        <v>33328469.114150748</v>
      </c>
      <c r="C546" s="39">
        <f t="shared" ref="C546:AP546" si="287">IF(AND(C$2&lt;=SODebtTerm,C$2&lt;=AnalysisPeriod),C544/C545,0)</f>
        <v>3897375.65102104</v>
      </c>
      <c r="D546" s="39">
        <f t="shared" si="287"/>
        <v>3612678.9173422246</v>
      </c>
      <c r="E546" s="39">
        <f t="shared" si="287"/>
        <v>3348130.5006994945</v>
      </c>
      <c r="F546" s="39">
        <f t="shared" si="287"/>
        <v>3102375.4631881178</v>
      </c>
      <c r="G546" s="39">
        <f t="shared" si="287"/>
        <v>2874141.230752734</v>
      </c>
      <c r="H546" s="39">
        <f t="shared" si="287"/>
        <v>2662233.7652271986</v>
      </c>
      <c r="I546" s="39">
        <f t="shared" si="287"/>
        <v>2465533.7363604647</v>
      </c>
      <c r="J546" s="39">
        <f t="shared" si="287"/>
        <v>2282992.7290757997</v>
      </c>
      <c r="K546" s="39">
        <f t="shared" si="287"/>
        <v>2113629.5142219071</v>
      </c>
      <c r="L546" s="39">
        <f t="shared" si="287"/>
        <v>1956526.405147196</v>
      </c>
      <c r="M546" s="39">
        <f t="shared" si="287"/>
        <v>1810825.7174166969</v>
      </c>
      <c r="N546" s="39">
        <f t="shared" si="287"/>
        <v>1675726.3447674408</v>
      </c>
      <c r="O546" s="39">
        <f t="shared" si="287"/>
        <v>1526299.1389304381</v>
      </c>
      <c r="P546" s="39">
        <f t="shared" si="287"/>
        <v>0</v>
      </c>
      <c r="Q546" s="39">
        <f t="shared" si="287"/>
        <v>0</v>
      </c>
      <c r="R546" s="39">
        <f t="shared" si="287"/>
        <v>0</v>
      </c>
      <c r="S546" s="39">
        <f t="shared" si="287"/>
        <v>0</v>
      </c>
      <c r="T546" s="39">
        <f t="shared" si="287"/>
        <v>0</v>
      </c>
      <c r="U546" s="39">
        <f t="shared" si="287"/>
        <v>0</v>
      </c>
      <c r="V546" s="39">
        <f t="shared" si="287"/>
        <v>0</v>
      </c>
      <c r="W546" s="39">
        <f t="shared" si="287"/>
        <v>0</v>
      </c>
      <c r="X546" s="39">
        <f t="shared" si="287"/>
        <v>0</v>
      </c>
      <c r="Y546" s="39">
        <f t="shared" si="287"/>
        <v>0</v>
      </c>
      <c r="Z546" s="39">
        <f t="shared" si="287"/>
        <v>0</v>
      </c>
      <c r="AA546" s="39">
        <f t="shared" si="287"/>
        <v>0</v>
      </c>
      <c r="AB546" s="39">
        <f t="shared" si="287"/>
        <v>0</v>
      </c>
      <c r="AC546" s="39">
        <f t="shared" si="287"/>
        <v>0</v>
      </c>
      <c r="AD546" s="39">
        <f t="shared" si="287"/>
        <v>0</v>
      </c>
      <c r="AE546" s="39">
        <f t="shared" si="287"/>
        <v>0</v>
      </c>
      <c r="AF546" s="39">
        <f t="shared" si="287"/>
        <v>0</v>
      </c>
      <c r="AG546" s="39">
        <f t="shared" si="287"/>
        <v>0</v>
      </c>
      <c r="AH546" s="39">
        <f t="shared" si="287"/>
        <v>0</v>
      </c>
      <c r="AI546" s="39">
        <f t="shared" si="287"/>
        <v>0</v>
      </c>
      <c r="AJ546" s="39">
        <f t="shared" si="287"/>
        <v>0</v>
      </c>
      <c r="AK546" s="39">
        <f t="shared" si="287"/>
        <v>0</v>
      </c>
      <c r="AL546" s="39">
        <f t="shared" si="287"/>
        <v>0</v>
      </c>
      <c r="AM546" s="39">
        <f t="shared" si="287"/>
        <v>0</v>
      </c>
      <c r="AN546" s="39">
        <f t="shared" si="287"/>
        <v>0</v>
      </c>
      <c r="AO546" s="39">
        <f t="shared" si="287"/>
        <v>0</v>
      </c>
      <c r="AP546" s="39">
        <f t="shared" si="287"/>
        <v>0</v>
      </c>
    </row>
    <row r="547" spans="1:42" s="35" customFormat="1" x14ac:dyDescent="0.2">
      <c r="A547" s="129"/>
    </row>
    <row r="548" spans="1:42" x14ac:dyDescent="0.2">
      <c r="A548" s="50" t="s">
        <v>45</v>
      </c>
      <c r="C548" s="39"/>
      <c r="D548" s="39"/>
      <c r="E548" s="39"/>
      <c r="F548" s="39"/>
      <c r="G548" s="39"/>
      <c r="H548" s="39"/>
      <c r="I548" s="39"/>
      <c r="J548" s="39"/>
      <c r="K548" s="39"/>
      <c r="L548" s="39"/>
      <c r="M548" s="39"/>
      <c r="N548" s="39"/>
      <c r="O548" s="39"/>
      <c r="P548" s="39"/>
      <c r="Q548" s="39"/>
      <c r="R548" s="39"/>
      <c r="S548" s="39"/>
      <c r="T548" s="39"/>
      <c r="U548" s="39"/>
      <c r="V548" s="39"/>
      <c r="W548" s="39"/>
      <c r="X548" s="39"/>
      <c r="Y548" s="39"/>
      <c r="Z548" s="39"/>
      <c r="AA548" s="39"/>
      <c r="AB548" s="39"/>
      <c r="AC548" s="39"/>
      <c r="AD548" s="39"/>
      <c r="AE548" s="39"/>
      <c r="AF548" s="39"/>
      <c r="AG548" s="39"/>
      <c r="AH548" s="39"/>
      <c r="AI548" s="39"/>
      <c r="AJ548" s="39"/>
      <c r="AK548" s="39"/>
      <c r="AL548" s="39"/>
      <c r="AM548" s="39"/>
      <c r="AN548" s="39"/>
      <c r="AO548" s="39"/>
      <c r="AP548" s="39"/>
    </row>
    <row r="549" spans="1:42" x14ac:dyDescent="0.2">
      <c r="A549" s="62" t="s">
        <v>43</v>
      </c>
      <c r="B549" s="39">
        <v>0</v>
      </c>
      <c r="C549" s="39">
        <f>B552</f>
        <v>33328469.114150748</v>
      </c>
      <c r="D549" s="39">
        <f t="shared" ref="D549:AP549" si="288">C552</f>
        <v>31932736.407495733</v>
      </c>
      <c r="E549" s="39">
        <f t="shared" si="288"/>
        <v>30394083.063664671</v>
      </c>
      <c r="F549" s="39">
        <f t="shared" si="288"/>
        <v>28701049.446451899</v>
      </c>
      <c r="G549" s="39">
        <f t="shared" si="288"/>
        <v>26841184.621135544</v>
      </c>
      <c r="H549" s="39">
        <f t="shared" si="288"/>
        <v>24800963.623793926</v>
      </c>
      <c r="I549" s="39">
        <f t="shared" si="288"/>
        <v>22565697.642902765</v>
      </c>
      <c r="J549" s="39">
        <f t="shared" si="288"/>
        <v>20119436.514179997</v>
      </c>
      <c r="K549" s="39">
        <f t="shared" si="288"/>
        <v>17444862.878576092</v>
      </c>
      <c r="L549" s="39">
        <f t="shared" si="288"/>
        <v>14523177.297906009</v>
      </c>
      <c r="M549" s="39">
        <f t="shared" si="288"/>
        <v>11333973.56251597</v>
      </c>
      <c r="N549" s="39">
        <f t="shared" si="288"/>
        <v>7855103.3601738382</v>
      </c>
      <c r="O549" s="39">
        <f t="shared" si="288"/>
        <v>4062529.4046322899</v>
      </c>
      <c r="P549" s="39">
        <f t="shared" si="288"/>
        <v>0</v>
      </c>
      <c r="Q549" s="39">
        <f t="shared" si="288"/>
        <v>0</v>
      </c>
      <c r="R549" s="39">
        <f t="shared" si="288"/>
        <v>0</v>
      </c>
      <c r="S549" s="39">
        <f t="shared" si="288"/>
        <v>0</v>
      </c>
      <c r="T549" s="39">
        <f t="shared" si="288"/>
        <v>0</v>
      </c>
      <c r="U549" s="39">
        <f t="shared" si="288"/>
        <v>0</v>
      </c>
      <c r="V549" s="39">
        <f t="shared" si="288"/>
        <v>0</v>
      </c>
      <c r="W549" s="39">
        <f t="shared" si="288"/>
        <v>0</v>
      </c>
      <c r="X549" s="39">
        <f t="shared" si="288"/>
        <v>0</v>
      </c>
      <c r="Y549" s="39">
        <f t="shared" si="288"/>
        <v>0</v>
      </c>
      <c r="Z549" s="39">
        <f t="shared" si="288"/>
        <v>0</v>
      </c>
      <c r="AA549" s="39">
        <f t="shared" si="288"/>
        <v>0</v>
      </c>
      <c r="AB549" s="39">
        <f t="shared" si="288"/>
        <v>0</v>
      </c>
      <c r="AC549" s="39">
        <f t="shared" si="288"/>
        <v>0</v>
      </c>
      <c r="AD549" s="39">
        <f t="shared" si="288"/>
        <v>0</v>
      </c>
      <c r="AE549" s="39">
        <f t="shared" si="288"/>
        <v>0</v>
      </c>
      <c r="AF549" s="39">
        <f t="shared" si="288"/>
        <v>0</v>
      </c>
      <c r="AG549" s="39">
        <f t="shared" si="288"/>
        <v>0</v>
      </c>
      <c r="AH549" s="39">
        <f t="shared" si="288"/>
        <v>0</v>
      </c>
      <c r="AI549" s="39">
        <f t="shared" si="288"/>
        <v>0</v>
      </c>
      <c r="AJ549" s="39">
        <f t="shared" si="288"/>
        <v>0</v>
      </c>
      <c r="AK549" s="39">
        <f t="shared" si="288"/>
        <v>0</v>
      </c>
      <c r="AL549" s="39">
        <f t="shared" si="288"/>
        <v>0</v>
      </c>
      <c r="AM549" s="39">
        <f t="shared" si="288"/>
        <v>0</v>
      </c>
      <c r="AN549" s="39">
        <f t="shared" si="288"/>
        <v>0</v>
      </c>
      <c r="AO549" s="39">
        <f t="shared" si="288"/>
        <v>0</v>
      </c>
      <c r="AP549" s="39">
        <f t="shared" si="288"/>
        <v>0</v>
      </c>
    </row>
    <row r="550" spans="1:42" x14ac:dyDescent="0.2">
      <c r="A550" s="62" t="s">
        <v>44</v>
      </c>
      <c r="B550" s="39">
        <f>B546</f>
        <v>33328469.114150748</v>
      </c>
      <c r="C550" s="39">
        <v>0</v>
      </c>
      <c r="D550" s="39">
        <v>0</v>
      </c>
      <c r="E550" s="39">
        <v>0</v>
      </c>
      <c r="F550" s="39">
        <v>0</v>
      </c>
      <c r="G550" s="39">
        <v>0</v>
      </c>
      <c r="H550" s="39">
        <v>0</v>
      </c>
      <c r="I550" s="39">
        <v>0</v>
      </c>
      <c r="J550" s="39">
        <v>0</v>
      </c>
      <c r="K550" s="39">
        <v>0</v>
      </c>
      <c r="L550" s="39">
        <v>0</v>
      </c>
      <c r="M550" s="39">
        <v>0</v>
      </c>
      <c r="N550" s="39">
        <v>0</v>
      </c>
      <c r="O550" s="39">
        <v>0</v>
      </c>
      <c r="P550" s="39">
        <v>0</v>
      </c>
      <c r="Q550" s="39">
        <v>0</v>
      </c>
      <c r="R550" s="39">
        <v>0</v>
      </c>
      <c r="S550" s="39">
        <v>0</v>
      </c>
      <c r="T550" s="39">
        <v>0</v>
      </c>
      <c r="U550" s="39">
        <v>0</v>
      </c>
      <c r="V550" s="39">
        <v>0</v>
      </c>
      <c r="W550" s="39">
        <v>0</v>
      </c>
      <c r="X550" s="39">
        <v>0</v>
      </c>
      <c r="Y550" s="39">
        <v>0</v>
      </c>
      <c r="Z550" s="39">
        <v>0</v>
      </c>
      <c r="AA550" s="39">
        <v>0</v>
      </c>
      <c r="AB550" s="39">
        <v>0</v>
      </c>
      <c r="AC550" s="39">
        <v>0</v>
      </c>
      <c r="AD550" s="39">
        <v>0</v>
      </c>
      <c r="AE550" s="39">
        <v>0</v>
      </c>
      <c r="AF550" s="39">
        <v>0</v>
      </c>
      <c r="AG550" s="39">
        <v>0</v>
      </c>
      <c r="AH550" s="39">
        <v>0</v>
      </c>
      <c r="AI550" s="39">
        <v>0</v>
      </c>
      <c r="AJ550" s="39">
        <v>0</v>
      </c>
      <c r="AK550" s="39">
        <v>0</v>
      </c>
      <c r="AL550" s="39">
        <v>0</v>
      </c>
      <c r="AM550" s="39">
        <v>0</v>
      </c>
      <c r="AN550" s="39">
        <v>0</v>
      </c>
      <c r="AO550" s="39">
        <v>0</v>
      </c>
      <c r="AP550" s="39">
        <v>0</v>
      </c>
    </row>
    <row r="551" spans="1:42" x14ac:dyDescent="0.2">
      <c r="A551" s="62" t="s">
        <v>45</v>
      </c>
      <c r="B551" s="53">
        <v>0</v>
      </c>
      <c r="C551" s="53">
        <f>-C554</f>
        <v>-1395732.7066550148</v>
      </c>
      <c r="D551" s="53">
        <f t="shared" ref="D551:AP551" si="289">-D554</f>
        <v>-1538653.3438310628</v>
      </c>
      <c r="E551" s="53">
        <f t="shared" si="289"/>
        <v>-1693033.6172127714</v>
      </c>
      <c r="F551" s="53">
        <f t="shared" si="289"/>
        <v>-1859864.825316356</v>
      </c>
      <c r="G551" s="53">
        <f t="shared" si="289"/>
        <v>-2040220.9973416165</v>
      </c>
      <c r="H551" s="53">
        <f t="shared" si="289"/>
        <v>-2235265.9808911607</v>
      </c>
      <c r="I551" s="53">
        <f t="shared" si="289"/>
        <v>-2446261.1287227683</v>
      </c>
      <c r="J551" s="53">
        <f t="shared" si="289"/>
        <v>-2674573.6356039029</v>
      </c>
      <c r="K551" s="53">
        <f t="shared" si="289"/>
        <v>-2921685.5806700829</v>
      </c>
      <c r="L551" s="53">
        <f t="shared" si="289"/>
        <v>-3189203.7353900392</v>
      </c>
      <c r="M551" s="53">
        <f t="shared" si="289"/>
        <v>-3478870.2023421316</v>
      </c>
      <c r="N551" s="53">
        <f t="shared" si="289"/>
        <v>-3792573.9555415483</v>
      </c>
      <c r="O551" s="53">
        <f t="shared" si="289"/>
        <v>-4062529.4046322932</v>
      </c>
      <c r="P551" s="53">
        <f t="shared" si="289"/>
        <v>0</v>
      </c>
      <c r="Q551" s="53">
        <f t="shared" si="289"/>
        <v>0</v>
      </c>
      <c r="R551" s="53">
        <f t="shared" si="289"/>
        <v>0</v>
      </c>
      <c r="S551" s="53">
        <f t="shared" si="289"/>
        <v>0</v>
      </c>
      <c r="T551" s="53">
        <f t="shared" si="289"/>
        <v>0</v>
      </c>
      <c r="U551" s="53">
        <f t="shared" si="289"/>
        <v>0</v>
      </c>
      <c r="V551" s="53">
        <f t="shared" si="289"/>
        <v>0</v>
      </c>
      <c r="W551" s="53">
        <f t="shared" si="289"/>
        <v>0</v>
      </c>
      <c r="X551" s="53">
        <f t="shared" si="289"/>
        <v>0</v>
      </c>
      <c r="Y551" s="53">
        <f t="shared" si="289"/>
        <v>0</v>
      </c>
      <c r="Z551" s="53">
        <f t="shared" si="289"/>
        <v>0</v>
      </c>
      <c r="AA551" s="53">
        <f t="shared" si="289"/>
        <v>0</v>
      </c>
      <c r="AB551" s="53">
        <f t="shared" si="289"/>
        <v>0</v>
      </c>
      <c r="AC551" s="53">
        <f t="shared" si="289"/>
        <v>0</v>
      </c>
      <c r="AD551" s="53">
        <f t="shared" si="289"/>
        <v>0</v>
      </c>
      <c r="AE551" s="53">
        <f t="shared" si="289"/>
        <v>0</v>
      </c>
      <c r="AF551" s="53">
        <f t="shared" si="289"/>
        <v>0</v>
      </c>
      <c r="AG551" s="53">
        <f t="shared" si="289"/>
        <v>0</v>
      </c>
      <c r="AH551" s="53">
        <f t="shared" si="289"/>
        <v>0</v>
      </c>
      <c r="AI551" s="53">
        <f t="shared" si="289"/>
        <v>0</v>
      </c>
      <c r="AJ551" s="53">
        <f t="shared" si="289"/>
        <v>0</v>
      </c>
      <c r="AK551" s="53">
        <f t="shared" si="289"/>
        <v>0</v>
      </c>
      <c r="AL551" s="53">
        <f t="shared" si="289"/>
        <v>0</v>
      </c>
      <c r="AM551" s="53">
        <f t="shared" si="289"/>
        <v>0</v>
      </c>
      <c r="AN551" s="53">
        <f t="shared" si="289"/>
        <v>0</v>
      </c>
      <c r="AO551" s="53">
        <f t="shared" si="289"/>
        <v>0</v>
      </c>
      <c r="AP551" s="53">
        <f t="shared" si="289"/>
        <v>0</v>
      </c>
    </row>
    <row r="552" spans="1:42" x14ac:dyDescent="0.2">
      <c r="A552" s="62" t="s">
        <v>46</v>
      </c>
      <c r="B552" s="39">
        <f>SUM(B549:B551)</f>
        <v>33328469.114150748</v>
      </c>
      <c r="C552" s="39">
        <f>SUM(C549:C551)</f>
        <v>31932736.407495733</v>
      </c>
      <c r="D552" s="39">
        <f t="shared" ref="D552:AP552" si="290">SUM(D549:D551)</f>
        <v>30394083.063664671</v>
      </c>
      <c r="E552" s="39">
        <f t="shared" si="290"/>
        <v>28701049.446451899</v>
      </c>
      <c r="F552" s="39">
        <f t="shared" si="290"/>
        <v>26841184.621135544</v>
      </c>
      <c r="G552" s="39">
        <f t="shared" si="290"/>
        <v>24800963.623793926</v>
      </c>
      <c r="H552" s="39">
        <f t="shared" si="290"/>
        <v>22565697.642902765</v>
      </c>
      <c r="I552" s="39">
        <f t="shared" si="290"/>
        <v>20119436.514179997</v>
      </c>
      <c r="J552" s="39">
        <f t="shared" si="290"/>
        <v>17444862.878576092</v>
      </c>
      <c r="K552" s="39">
        <f t="shared" si="290"/>
        <v>14523177.297906009</v>
      </c>
      <c r="L552" s="39">
        <f t="shared" si="290"/>
        <v>11333973.56251597</v>
      </c>
      <c r="M552" s="39">
        <f t="shared" si="290"/>
        <v>7855103.3601738382</v>
      </c>
      <c r="N552" s="39">
        <f t="shared" si="290"/>
        <v>4062529.4046322899</v>
      </c>
      <c r="O552" s="39">
        <f t="shared" si="290"/>
        <v>0</v>
      </c>
      <c r="P552" s="39">
        <f t="shared" si="290"/>
        <v>0</v>
      </c>
      <c r="Q552" s="39">
        <f t="shared" si="290"/>
        <v>0</v>
      </c>
      <c r="R552" s="39">
        <f t="shared" si="290"/>
        <v>0</v>
      </c>
      <c r="S552" s="39">
        <f t="shared" si="290"/>
        <v>0</v>
      </c>
      <c r="T552" s="39">
        <f t="shared" si="290"/>
        <v>0</v>
      </c>
      <c r="U552" s="39">
        <f t="shared" si="290"/>
        <v>0</v>
      </c>
      <c r="V552" s="39">
        <f t="shared" si="290"/>
        <v>0</v>
      </c>
      <c r="W552" s="39">
        <f t="shared" si="290"/>
        <v>0</v>
      </c>
      <c r="X552" s="39">
        <f t="shared" si="290"/>
        <v>0</v>
      </c>
      <c r="Y552" s="39">
        <f t="shared" si="290"/>
        <v>0</v>
      </c>
      <c r="Z552" s="39">
        <f t="shared" si="290"/>
        <v>0</v>
      </c>
      <c r="AA552" s="39">
        <f t="shared" si="290"/>
        <v>0</v>
      </c>
      <c r="AB552" s="39">
        <f t="shared" si="290"/>
        <v>0</v>
      </c>
      <c r="AC552" s="39">
        <f t="shared" si="290"/>
        <v>0</v>
      </c>
      <c r="AD552" s="39">
        <f t="shared" si="290"/>
        <v>0</v>
      </c>
      <c r="AE552" s="39">
        <f t="shared" si="290"/>
        <v>0</v>
      </c>
      <c r="AF552" s="39">
        <f t="shared" si="290"/>
        <v>0</v>
      </c>
      <c r="AG552" s="39">
        <f t="shared" si="290"/>
        <v>0</v>
      </c>
      <c r="AH552" s="39">
        <f t="shared" si="290"/>
        <v>0</v>
      </c>
      <c r="AI552" s="39">
        <f t="shared" si="290"/>
        <v>0</v>
      </c>
      <c r="AJ552" s="39">
        <f t="shared" si="290"/>
        <v>0</v>
      </c>
      <c r="AK552" s="39">
        <f t="shared" si="290"/>
        <v>0</v>
      </c>
      <c r="AL552" s="39">
        <f t="shared" si="290"/>
        <v>0</v>
      </c>
      <c r="AM552" s="39">
        <f t="shared" si="290"/>
        <v>0</v>
      </c>
      <c r="AN552" s="39">
        <f t="shared" si="290"/>
        <v>0</v>
      </c>
      <c r="AO552" s="39">
        <f t="shared" si="290"/>
        <v>0</v>
      </c>
      <c r="AP552" s="39">
        <f t="shared" si="290"/>
        <v>0</v>
      </c>
    </row>
    <row r="553" spans="1:42" x14ac:dyDescent="0.2">
      <c r="A553" s="50"/>
      <c r="B553" s="39"/>
      <c r="C553" s="39"/>
      <c r="D553" s="39"/>
      <c r="E553" s="39"/>
      <c r="F553" s="39"/>
      <c r="G553" s="39"/>
      <c r="H553" s="39"/>
      <c r="I553" s="39"/>
      <c r="J553" s="39"/>
      <c r="K553" s="39"/>
      <c r="L553" s="39"/>
      <c r="M553" s="39"/>
      <c r="N553" s="39"/>
      <c r="O553" s="39"/>
      <c r="P553" s="39"/>
      <c r="Q553" s="39"/>
      <c r="R553" s="39"/>
      <c r="S553" s="39"/>
      <c r="T553" s="39"/>
      <c r="U553" s="39"/>
      <c r="V553" s="39"/>
      <c r="W553" s="39"/>
      <c r="X553" s="39"/>
      <c r="Y553" s="39"/>
      <c r="Z553" s="39"/>
      <c r="AA553" s="39"/>
      <c r="AB553" s="39"/>
      <c r="AC553" s="39"/>
      <c r="AD553" s="39"/>
      <c r="AE553" s="39"/>
      <c r="AF553" s="39"/>
      <c r="AG553" s="39"/>
      <c r="AH553" s="39"/>
      <c r="AI553" s="39"/>
      <c r="AJ553" s="39"/>
      <c r="AK553" s="39"/>
      <c r="AL553" s="39"/>
      <c r="AM553" s="39"/>
      <c r="AN553" s="39"/>
      <c r="AO553" s="39"/>
      <c r="AP553" s="39"/>
    </row>
    <row r="554" spans="1:42" x14ac:dyDescent="0.2">
      <c r="A554" s="62" t="s">
        <v>47</v>
      </c>
      <c r="B554" s="58">
        <f>SUM(C554:AP554)</f>
        <v>33328469.114150744</v>
      </c>
      <c r="C554" s="39">
        <f>C556-C555</f>
        <v>1395732.7066550148</v>
      </c>
      <c r="D554" s="39">
        <f t="shared" ref="D554:AP554" si="291">D556-D555</f>
        <v>1538653.3438310628</v>
      </c>
      <c r="E554" s="39">
        <f t="shared" si="291"/>
        <v>1693033.6172127714</v>
      </c>
      <c r="F554" s="39">
        <f t="shared" si="291"/>
        <v>1859864.825316356</v>
      </c>
      <c r="G554" s="39">
        <f t="shared" si="291"/>
        <v>2040220.9973416165</v>
      </c>
      <c r="H554" s="39">
        <f t="shared" si="291"/>
        <v>2235265.9808911607</v>
      </c>
      <c r="I554" s="39">
        <f t="shared" si="291"/>
        <v>2446261.1287227683</v>
      </c>
      <c r="J554" s="39">
        <f t="shared" si="291"/>
        <v>2674573.6356039029</v>
      </c>
      <c r="K554" s="39">
        <f t="shared" si="291"/>
        <v>2921685.5806700829</v>
      </c>
      <c r="L554" s="39">
        <f t="shared" si="291"/>
        <v>3189203.7353900392</v>
      </c>
      <c r="M554" s="39">
        <f t="shared" si="291"/>
        <v>3478870.2023421316</v>
      </c>
      <c r="N554" s="39">
        <f t="shared" si="291"/>
        <v>3792573.9555415483</v>
      </c>
      <c r="O554" s="39">
        <f t="shared" si="291"/>
        <v>4062529.4046322932</v>
      </c>
      <c r="P554" s="39">
        <f t="shared" si="291"/>
        <v>0</v>
      </c>
      <c r="Q554" s="39">
        <f t="shared" si="291"/>
        <v>0</v>
      </c>
      <c r="R554" s="39">
        <f t="shared" si="291"/>
        <v>0</v>
      </c>
      <c r="S554" s="39">
        <f t="shared" si="291"/>
        <v>0</v>
      </c>
      <c r="T554" s="39">
        <f t="shared" si="291"/>
        <v>0</v>
      </c>
      <c r="U554" s="39">
        <f t="shared" si="291"/>
        <v>0</v>
      </c>
      <c r="V554" s="39">
        <f t="shared" si="291"/>
        <v>0</v>
      </c>
      <c r="W554" s="39">
        <f t="shared" si="291"/>
        <v>0</v>
      </c>
      <c r="X554" s="39">
        <f t="shared" si="291"/>
        <v>0</v>
      </c>
      <c r="Y554" s="39">
        <f t="shared" si="291"/>
        <v>0</v>
      </c>
      <c r="Z554" s="39">
        <f t="shared" si="291"/>
        <v>0</v>
      </c>
      <c r="AA554" s="39">
        <f t="shared" si="291"/>
        <v>0</v>
      </c>
      <c r="AB554" s="39">
        <f t="shared" si="291"/>
        <v>0</v>
      </c>
      <c r="AC554" s="39">
        <f t="shared" si="291"/>
        <v>0</v>
      </c>
      <c r="AD554" s="39">
        <f t="shared" si="291"/>
        <v>0</v>
      </c>
      <c r="AE554" s="39">
        <f t="shared" si="291"/>
        <v>0</v>
      </c>
      <c r="AF554" s="39">
        <f t="shared" si="291"/>
        <v>0</v>
      </c>
      <c r="AG554" s="39">
        <f t="shared" si="291"/>
        <v>0</v>
      </c>
      <c r="AH554" s="39">
        <f t="shared" si="291"/>
        <v>0</v>
      </c>
      <c r="AI554" s="39">
        <f t="shared" si="291"/>
        <v>0</v>
      </c>
      <c r="AJ554" s="39">
        <f t="shared" si="291"/>
        <v>0</v>
      </c>
      <c r="AK554" s="39">
        <f t="shared" si="291"/>
        <v>0</v>
      </c>
      <c r="AL554" s="39">
        <f t="shared" si="291"/>
        <v>0</v>
      </c>
      <c r="AM554" s="39">
        <f t="shared" si="291"/>
        <v>0</v>
      </c>
      <c r="AN554" s="39">
        <f t="shared" si="291"/>
        <v>0</v>
      </c>
      <c r="AO554" s="39">
        <f t="shared" si="291"/>
        <v>0</v>
      </c>
      <c r="AP554" s="39">
        <f t="shared" si="291"/>
        <v>0</v>
      </c>
    </row>
    <row r="555" spans="1:42" x14ac:dyDescent="0.2">
      <c r="A555" s="62" t="s">
        <v>48</v>
      </c>
      <c r="B555" s="58">
        <f>SUM(C555:AP555)</f>
        <v>23281777.689694256</v>
      </c>
      <c r="C555" s="53">
        <f t="shared" ref="C555:AP555" si="292">IF(AND(C$2&lt;=SODebtTerm,C$2&lt;=AnalysisPeriod),B552*C538,0)</f>
        <v>2832919.8747028136</v>
      </c>
      <c r="D555" s="53">
        <f t="shared" si="292"/>
        <v>2714282.5946371374</v>
      </c>
      <c r="E555" s="53">
        <f t="shared" si="292"/>
        <v>2583497.060411497</v>
      </c>
      <c r="F555" s="53">
        <f t="shared" si="292"/>
        <v>2439589.2029484115</v>
      </c>
      <c r="G555" s="53">
        <f t="shared" si="292"/>
        <v>2281500.6927965214</v>
      </c>
      <c r="H555" s="53">
        <f t="shared" si="292"/>
        <v>2108081.9080224838</v>
      </c>
      <c r="I555" s="53">
        <f t="shared" si="292"/>
        <v>1918084.2996467352</v>
      </c>
      <c r="J555" s="53">
        <f t="shared" si="292"/>
        <v>1710152.1037052998</v>
      </c>
      <c r="K555" s="53">
        <f t="shared" si="292"/>
        <v>1482813.344678968</v>
      </c>
      <c r="L555" s="53">
        <f t="shared" si="292"/>
        <v>1234470.0703220109</v>
      </c>
      <c r="M555" s="53">
        <f t="shared" si="292"/>
        <v>963387.75281385751</v>
      </c>
      <c r="N555" s="53">
        <f t="shared" si="292"/>
        <v>667683.78561477631</v>
      </c>
      <c r="O555" s="53">
        <f t="shared" si="292"/>
        <v>345314.99939374469</v>
      </c>
      <c r="P555" s="53">
        <f t="shared" si="292"/>
        <v>0</v>
      </c>
      <c r="Q555" s="53">
        <f t="shared" si="292"/>
        <v>0</v>
      </c>
      <c r="R555" s="53">
        <f t="shared" si="292"/>
        <v>0</v>
      </c>
      <c r="S555" s="53">
        <f t="shared" si="292"/>
        <v>0</v>
      </c>
      <c r="T555" s="53">
        <f t="shared" si="292"/>
        <v>0</v>
      </c>
      <c r="U555" s="53">
        <f t="shared" si="292"/>
        <v>0</v>
      </c>
      <c r="V555" s="53">
        <f t="shared" si="292"/>
        <v>0</v>
      </c>
      <c r="W555" s="53">
        <f t="shared" si="292"/>
        <v>0</v>
      </c>
      <c r="X555" s="53">
        <f t="shared" si="292"/>
        <v>0</v>
      </c>
      <c r="Y555" s="53">
        <f t="shared" si="292"/>
        <v>0</v>
      </c>
      <c r="Z555" s="53">
        <f t="shared" si="292"/>
        <v>0</v>
      </c>
      <c r="AA555" s="53">
        <f t="shared" si="292"/>
        <v>0</v>
      </c>
      <c r="AB555" s="53">
        <f t="shared" si="292"/>
        <v>0</v>
      </c>
      <c r="AC555" s="53">
        <f t="shared" si="292"/>
        <v>0</v>
      </c>
      <c r="AD555" s="53">
        <f t="shared" si="292"/>
        <v>0</v>
      </c>
      <c r="AE555" s="53">
        <f t="shared" si="292"/>
        <v>0</v>
      </c>
      <c r="AF555" s="53">
        <f t="shared" si="292"/>
        <v>0</v>
      </c>
      <c r="AG555" s="53">
        <f t="shared" si="292"/>
        <v>0</v>
      </c>
      <c r="AH555" s="53">
        <f t="shared" si="292"/>
        <v>0</v>
      </c>
      <c r="AI555" s="53">
        <f t="shared" si="292"/>
        <v>0</v>
      </c>
      <c r="AJ555" s="53">
        <f t="shared" si="292"/>
        <v>0</v>
      </c>
      <c r="AK555" s="53">
        <f t="shared" si="292"/>
        <v>0</v>
      </c>
      <c r="AL555" s="53">
        <f t="shared" si="292"/>
        <v>0</v>
      </c>
      <c r="AM555" s="53">
        <f t="shared" si="292"/>
        <v>0</v>
      </c>
      <c r="AN555" s="53">
        <f t="shared" si="292"/>
        <v>0</v>
      </c>
      <c r="AO555" s="53">
        <f t="shared" si="292"/>
        <v>0</v>
      </c>
      <c r="AP555" s="53">
        <f t="shared" si="292"/>
        <v>0</v>
      </c>
    </row>
    <row r="556" spans="1:42" x14ac:dyDescent="0.2">
      <c r="A556" s="62" t="s">
        <v>49</v>
      </c>
      <c r="B556" s="58">
        <f>SUM(C556:AP556)</f>
        <v>56610246.803845011</v>
      </c>
      <c r="C556" s="39">
        <f>IF(C545&gt;0,C543/C545,0)</f>
        <v>4228652.5813578283</v>
      </c>
      <c r="D556" s="39">
        <f>IF(D545&gt;0,D543/D545,0)</f>
        <v>4252935.9384682002</v>
      </c>
      <c r="E556" s="39">
        <f t="shared" ref="E556:AP556" si="293">IF(E545&gt;0,E543/E545,0)</f>
        <v>4276530.6776242685</v>
      </c>
      <c r="F556" s="39">
        <f t="shared" si="293"/>
        <v>4299454.0282647675</v>
      </c>
      <c r="G556" s="39">
        <f t="shared" si="293"/>
        <v>4321721.6901381379</v>
      </c>
      <c r="H556" s="39">
        <f t="shared" si="293"/>
        <v>4343347.8889136445</v>
      </c>
      <c r="I556" s="39">
        <f t="shared" si="293"/>
        <v>4364345.4283695035</v>
      </c>
      <c r="J556" s="39">
        <f t="shared" si="293"/>
        <v>4384725.7393092029</v>
      </c>
      <c r="K556" s="39">
        <f t="shared" si="293"/>
        <v>4404498.9253490511</v>
      </c>
      <c r="L556" s="39">
        <f t="shared" si="293"/>
        <v>4423673.8057120498</v>
      </c>
      <c r="M556" s="39">
        <f t="shared" si="293"/>
        <v>4442257.9551559892</v>
      </c>
      <c r="N556" s="39">
        <f t="shared" si="293"/>
        <v>4460257.7411563247</v>
      </c>
      <c r="O556" s="39">
        <f t="shared" si="293"/>
        <v>4407844.404026038</v>
      </c>
      <c r="P556" s="39">
        <f t="shared" si="293"/>
        <v>0</v>
      </c>
      <c r="Q556" s="39">
        <f t="shared" si="293"/>
        <v>0</v>
      </c>
      <c r="R556" s="39">
        <f t="shared" si="293"/>
        <v>0</v>
      </c>
      <c r="S556" s="39">
        <f t="shared" si="293"/>
        <v>0</v>
      </c>
      <c r="T556" s="39">
        <f t="shared" si="293"/>
        <v>0</v>
      </c>
      <c r="U556" s="39">
        <f t="shared" si="293"/>
        <v>0</v>
      </c>
      <c r="V556" s="39">
        <f t="shared" si="293"/>
        <v>0</v>
      </c>
      <c r="W556" s="39">
        <f t="shared" si="293"/>
        <v>0</v>
      </c>
      <c r="X556" s="39">
        <f t="shared" si="293"/>
        <v>0</v>
      </c>
      <c r="Y556" s="39">
        <f t="shared" si="293"/>
        <v>0</v>
      </c>
      <c r="Z556" s="39">
        <f t="shared" si="293"/>
        <v>0</v>
      </c>
      <c r="AA556" s="39">
        <f t="shared" si="293"/>
        <v>0</v>
      </c>
      <c r="AB556" s="39">
        <f t="shared" si="293"/>
        <v>0</v>
      </c>
      <c r="AC556" s="39">
        <f t="shared" si="293"/>
        <v>0</v>
      </c>
      <c r="AD556" s="39">
        <f t="shared" si="293"/>
        <v>0</v>
      </c>
      <c r="AE556" s="39">
        <f t="shared" si="293"/>
        <v>0</v>
      </c>
      <c r="AF556" s="39">
        <f t="shared" si="293"/>
        <v>0</v>
      </c>
      <c r="AG556" s="39">
        <f t="shared" si="293"/>
        <v>0</v>
      </c>
      <c r="AH556" s="39">
        <f t="shared" si="293"/>
        <v>0</v>
      </c>
      <c r="AI556" s="39">
        <f t="shared" si="293"/>
        <v>0</v>
      </c>
      <c r="AJ556" s="39">
        <f t="shared" si="293"/>
        <v>0</v>
      </c>
      <c r="AK556" s="39">
        <f t="shared" si="293"/>
        <v>0</v>
      </c>
      <c r="AL556" s="39">
        <f t="shared" si="293"/>
        <v>0</v>
      </c>
      <c r="AM556" s="39">
        <f t="shared" si="293"/>
        <v>0</v>
      </c>
      <c r="AN556" s="39">
        <f t="shared" si="293"/>
        <v>0</v>
      </c>
      <c r="AO556" s="39">
        <f t="shared" si="293"/>
        <v>0</v>
      </c>
      <c r="AP556" s="39">
        <f t="shared" si="293"/>
        <v>0</v>
      </c>
    </row>
    <row r="557" spans="1:42" x14ac:dyDescent="0.2">
      <c r="A557" s="62"/>
    </row>
    <row r="558" spans="1:42" x14ac:dyDescent="0.2">
      <c r="A558" s="50" t="s">
        <v>51</v>
      </c>
    </row>
    <row r="559" spans="1:42" x14ac:dyDescent="0.2">
      <c r="A559" s="62" t="s">
        <v>52</v>
      </c>
      <c r="B559" s="58">
        <f>SUM(C559:AP559)</f>
        <v>76423833.185190752</v>
      </c>
      <c r="C559" s="39">
        <f t="shared" ref="C559:AP559" si="294">IF(C$2&lt;=SODebtTerm,C38-C580-C612-C644,0)</f>
        <v>5708680.9848330691</v>
      </c>
      <c r="D559" s="39">
        <f t="shared" si="294"/>
        <v>5741463.5169320703</v>
      </c>
      <c r="E559" s="39">
        <f t="shared" si="294"/>
        <v>5773316.4147927631</v>
      </c>
      <c r="F559" s="39">
        <f t="shared" si="294"/>
        <v>5804262.9381574364</v>
      </c>
      <c r="G559" s="39">
        <f t="shared" si="294"/>
        <v>5834324.2816864867</v>
      </c>
      <c r="H559" s="39">
        <f t="shared" si="294"/>
        <v>5863519.65003342</v>
      </c>
      <c r="I559" s="39">
        <f t="shared" si="294"/>
        <v>5891866.3282988304</v>
      </c>
      <c r="J559" s="39">
        <f t="shared" si="294"/>
        <v>5919379.7480674246</v>
      </c>
      <c r="K559" s="39">
        <f t="shared" si="294"/>
        <v>5946073.5492212195</v>
      </c>
      <c r="L559" s="39">
        <f t="shared" si="294"/>
        <v>5971959.6377112679</v>
      </c>
      <c r="M559" s="39">
        <f t="shared" si="294"/>
        <v>5997048.2394605856</v>
      </c>
      <c r="N559" s="39">
        <f t="shared" si="294"/>
        <v>6021347.9505610391</v>
      </c>
      <c r="O559" s="39">
        <f t="shared" si="294"/>
        <v>5950589.9454351515</v>
      </c>
      <c r="P559" s="39">
        <f t="shared" si="294"/>
        <v>0</v>
      </c>
      <c r="Q559" s="39">
        <f t="shared" si="294"/>
        <v>0</v>
      </c>
      <c r="R559" s="39">
        <f t="shared" si="294"/>
        <v>0</v>
      </c>
      <c r="S559" s="39">
        <f t="shared" si="294"/>
        <v>0</v>
      </c>
      <c r="T559" s="39">
        <f t="shared" si="294"/>
        <v>0</v>
      </c>
      <c r="U559" s="39">
        <f t="shared" si="294"/>
        <v>0</v>
      </c>
      <c r="V559" s="39">
        <f t="shared" si="294"/>
        <v>0</v>
      </c>
      <c r="W559" s="39">
        <f t="shared" si="294"/>
        <v>0</v>
      </c>
      <c r="X559" s="39">
        <f t="shared" si="294"/>
        <v>0</v>
      </c>
      <c r="Y559" s="39">
        <f t="shared" si="294"/>
        <v>0</v>
      </c>
      <c r="Z559" s="39">
        <f t="shared" si="294"/>
        <v>0</v>
      </c>
      <c r="AA559" s="39">
        <f t="shared" si="294"/>
        <v>0</v>
      </c>
      <c r="AB559" s="39">
        <f t="shared" si="294"/>
        <v>0</v>
      </c>
      <c r="AC559" s="39">
        <f t="shared" si="294"/>
        <v>0</v>
      </c>
      <c r="AD559" s="39">
        <f t="shared" si="294"/>
        <v>0</v>
      </c>
      <c r="AE559" s="39">
        <f t="shared" si="294"/>
        <v>0</v>
      </c>
      <c r="AF559" s="39">
        <f t="shared" si="294"/>
        <v>0</v>
      </c>
      <c r="AG559" s="39">
        <f t="shared" si="294"/>
        <v>0</v>
      </c>
      <c r="AH559" s="39">
        <f t="shared" si="294"/>
        <v>0</v>
      </c>
      <c r="AI559" s="39">
        <f t="shared" si="294"/>
        <v>0</v>
      </c>
      <c r="AJ559" s="39">
        <f t="shared" si="294"/>
        <v>0</v>
      </c>
      <c r="AK559" s="39">
        <f t="shared" si="294"/>
        <v>0</v>
      </c>
      <c r="AL559" s="39">
        <f t="shared" si="294"/>
        <v>0</v>
      </c>
      <c r="AM559" s="39">
        <f t="shared" si="294"/>
        <v>0</v>
      </c>
      <c r="AN559" s="39">
        <f t="shared" si="294"/>
        <v>0</v>
      </c>
      <c r="AO559" s="39">
        <f t="shared" si="294"/>
        <v>0</v>
      </c>
      <c r="AP559" s="39">
        <f t="shared" si="294"/>
        <v>0</v>
      </c>
    </row>
    <row r="560" spans="1:42" x14ac:dyDescent="0.2">
      <c r="A560" s="62" t="s">
        <v>53</v>
      </c>
      <c r="B560" s="58">
        <f>SUM(C560:AP560)</f>
        <v>56610246.803845011</v>
      </c>
      <c r="C560" s="39">
        <f>C556</f>
        <v>4228652.5813578283</v>
      </c>
      <c r="D560" s="39">
        <f t="shared" ref="D560:AP560" si="295">D556</f>
        <v>4252935.9384682002</v>
      </c>
      <c r="E560" s="39">
        <f t="shared" si="295"/>
        <v>4276530.6776242685</v>
      </c>
      <c r="F560" s="39">
        <f t="shared" si="295"/>
        <v>4299454.0282647675</v>
      </c>
      <c r="G560" s="39">
        <f t="shared" si="295"/>
        <v>4321721.6901381379</v>
      </c>
      <c r="H560" s="39">
        <f t="shared" si="295"/>
        <v>4343347.8889136445</v>
      </c>
      <c r="I560" s="39">
        <f t="shared" si="295"/>
        <v>4364345.4283695035</v>
      </c>
      <c r="J560" s="39">
        <f t="shared" si="295"/>
        <v>4384725.7393092029</v>
      </c>
      <c r="K560" s="39">
        <f t="shared" si="295"/>
        <v>4404498.9253490511</v>
      </c>
      <c r="L560" s="39">
        <f t="shared" si="295"/>
        <v>4423673.8057120498</v>
      </c>
      <c r="M560" s="39">
        <f t="shared" si="295"/>
        <v>4442257.9551559892</v>
      </c>
      <c r="N560" s="39">
        <f t="shared" si="295"/>
        <v>4460257.7411563247</v>
      </c>
      <c r="O560" s="39">
        <f t="shared" si="295"/>
        <v>4407844.404026038</v>
      </c>
      <c r="P560" s="39">
        <f t="shared" si="295"/>
        <v>0</v>
      </c>
      <c r="Q560" s="39">
        <f t="shared" si="295"/>
        <v>0</v>
      </c>
      <c r="R560" s="39">
        <f t="shared" si="295"/>
        <v>0</v>
      </c>
      <c r="S560" s="39">
        <f t="shared" si="295"/>
        <v>0</v>
      </c>
      <c r="T560" s="39">
        <f t="shared" si="295"/>
        <v>0</v>
      </c>
      <c r="U560" s="39">
        <f t="shared" si="295"/>
        <v>0</v>
      </c>
      <c r="V560" s="39">
        <f t="shared" si="295"/>
        <v>0</v>
      </c>
      <c r="W560" s="39">
        <f t="shared" si="295"/>
        <v>0</v>
      </c>
      <c r="X560" s="39">
        <f t="shared" si="295"/>
        <v>0</v>
      </c>
      <c r="Y560" s="39">
        <f t="shared" si="295"/>
        <v>0</v>
      </c>
      <c r="Z560" s="39">
        <f t="shared" si="295"/>
        <v>0</v>
      </c>
      <c r="AA560" s="39">
        <f t="shared" si="295"/>
        <v>0</v>
      </c>
      <c r="AB560" s="39">
        <f t="shared" si="295"/>
        <v>0</v>
      </c>
      <c r="AC560" s="39">
        <f t="shared" si="295"/>
        <v>0</v>
      </c>
      <c r="AD560" s="39">
        <f t="shared" si="295"/>
        <v>0</v>
      </c>
      <c r="AE560" s="39">
        <f t="shared" si="295"/>
        <v>0</v>
      </c>
      <c r="AF560" s="39">
        <f t="shared" si="295"/>
        <v>0</v>
      </c>
      <c r="AG560" s="39">
        <f t="shared" si="295"/>
        <v>0</v>
      </c>
      <c r="AH560" s="39">
        <f t="shared" si="295"/>
        <v>0</v>
      </c>
      <c r="AI560" s="39">
        <f t="shared" si="295"/>
        <v>0</v>
      </c>
      <c r="AJ560" s="39">
        <f t="shared" si="295"/>
        <v>0</v>
      </c>
      <c r="AK560" s="39">
        <f t="shared" si="295"/>
        <v>0</v>
      </c>
      <c r="AL560" s="39">
        <f t="shared" si="295"/>
        <v>0</v>
      </c>
      <c r="AM560" s="39">
        <f t="shared" si="295"/>
        <v>0</v>
      </c>
      <c r="AN560" s="39">
        <f t="shared" si="295"/>
        <v>0</v>
      </c>
      <c r="AO560" s="39">
        <f t="shared" si="295"/>
        <v>0</v>
      </c>
      <c r="AP560" s="39">
        <f t="shared" si="295"/>
        <v>0</v>
      </c>
    </row>
    <row r="561" spans="1:42" x14ac:dyDescent="0.2">
      <c r="A561" s="62" t="s">
        <v>51</v>
      </c>
      <c r="C561" s="100">
        <f t="shared" ref="C561:AP561" si="296">IF(ISERROR(IF(C$2&lt;=SODebtTerm,C559/C560,"")),0,IF(C$2&lt;=SODebtTerm,C559/C560,""))</f>
        <v>1.3500000000000003</v>
      </c>
      <c r="D561" s="100">
        <f t="shared" si="296"/>
        <v>1.35</v>
      </c>
      <c r="E561" s="100">
        <f t="shared" si="296"/>
        <v>1.35</v>
      </c>
      <c r="F561" s="100">
        <f t="shared" si="296"/>
        <v>1.35</v>
      </c>
      <c r="G561" s="100">
        <f t="shared" si="296"/>
        <v>1.35</v>
      </c>
      <c r="H561" s="100">
        <f t="shared" si="296"/>
        <v>1.35</v>
      </c>
      <c r="I561" s="100">
        <f t="shared" si="296"/>
        <v>1.35</v>
      </c>
      <c r="J561" s="100">
        <f t="shared" si="296"/>
        <v>1.35</v>
      </c>
      <c r="K561" s="100">
        <f t="shared" si="296"/>
        <v>1.35</v>
      </c>
      <c r="L561" s="100">
        <f t="shared" si="296"/>
        <v>1.35</v>
      </c>
      <c r="M561" s="100">
        <f t="shared" si="296"/>
        <v>1.35</v>
      </c>
      <c r="N561" s="100">
        <f t="shared" si="296"/>
        <v>1.35</v>
      </c>
      <c r="O561" s="100">
        <f t="shared" si="296"/>
        <v>1.35</v>
      </c>
      <c r="P561" s="100" t="str">
        <f t="shared" si="296"/>
        <v/>
      </c>
      <c r="Q561" s="100" t="str">
        <f t="shared" si="296"/>
        <v/>
      </c>
      <c r="R561" s="100" t="str">
        <f t="shared" si="296"/>
        <v/>
      </c>
      <c r="S561" s="100" t="str">
        <f t="shared" si="296"/>
        <v/>
      </c>
      <c r="T561" s="100" t="str">
        <f t="shared" si="296"/>
        <v/>
      </c>
      <c r="U561" s="100" t="str">
        <f t="shared" si="296"/>
        <v/>
      </c>
      <c r="V561" s="100" t="str">
        <f t="shared" si="296"/>
        <v/>
      </c>
      <c r="W561" s="100" t="str">
        <f t="shared" si="296"/>
        <v/>
      </c>
      <c r="X561" s="100" t="str">
        <f t="shared" si="296"/>
        <v/>
      </c>
      <c r="Y561" s="100" t="str">
        <f t="shared" si="296"/>
        <v/>
      </c>
      <c r="Z561" s="100" t="str">
        <f t="shared" si="296"/>
        <v/>
      </c>
      <c r="AA561" s="100" t="str">
        <f t="shared" si="296"/>
        <v/>
      </c>
      <c r="AB561" s="100" t="str">
        <f t="shared" si="296"/>
        <v/>
      </c>
      <c r="AC561" s="100" t="str">
        <f t="shared" si="296"/>
        <v/>
      </c>
      <c r="AD561" s="100" t="str">
        <f t="shared" si="296"/>
        <v/>
      </c>
      <c r="AE561" s="100" t="str">
        <f t="shared" si="296"/>
        <v/>
      </c>
      <c r="AF561" s="100" t="str">
        <f t="shared" si="296"/>
        <v/>
      </c>
      <c r="AG561" s="100" t="str">
        <f t="shared" si="296"/>
        <v/>
      </c>
      <c r="AH561" s="100" t="str">
        <f t="shared" si="296"/>
        <v/>
      </c>
      <c r="AI561" s="100" t="str">
        <f t="shared" si="296"/>
        <v/>
      </c>
      <c r="AJ561" s="100" t="str">
        <f t="shared" si="296"/>
        <v/>
      </c>
      <c r="AK561" s="100" t="str">
        <f t="shared" si="296"/>
        <v/>
      </c>
      <c r="AL561" s="100" t="str">
        <f t="shared" si="296"/>
        <v/>
      </c>
      <c r="AM561" s="100" t="str">
        <f t="shared" si="296"/>
        <v/>
      </c>
      <c r="AN561" s="100" t="str">
        <f t="shared" si="296"/>
        <v/>
      </c>
      <c r="AO561" s="100" t="str">
        <f t="shared" si="296"/>
        <v/>
      </c>
      <c r="AP561" s="100" t="str">
        <f t="shared" si="296"/>
        <v/>
      </c>
    </row>
    <row r="562" spans="1:42" x14ac:dyDescent="0.2">
      <c r="A562" s="62" t="s">
        <v>54</v>
      </c>
      <c r="B562" s="61">
        <f>IF(ISERROR(B559/B560),0,B559/B560)</f>
        <v>1.3499999999999999</v>
      </c>
    </row>
    <row r="563" spans="1:42" x14ac:dyDescent="0.2">
      <c r="A563" s="62" t="s">
        <v>55</v>
      </c>
      <c r="B563" s="61">
        <f>MIN(C561:AP561)</f>
        <v>1.35</v>
      </c>
    </row>
    <row r="564" spans="1:42" x14ac:dyDescent="0.2">
      <c r="A564" s="62"/>
      <c r="B564" s="114"/>
    </row>
    <row r="565" spans="1:42" x14ac:dyDescent="0.2">
      <c r="A565" s="45" t="s">
        <v>114</v>
      </c>
      <c r="B565" s="39"/>
      <c r="C565" s="39"/>
      <c r="D565" s="39"/>
      <c r="E565" s="39"/>
      <c r="F565" s="39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52"/>
      <c r="AE565" s="52"/>
      <c r="AF565" s="52"/>
      <c r="AG565" s="52"/>
      <c r="AH565" s="52"/>
      <c r="AI565" s="52"/>
      <c r="AJ565" s="52"/>
      <c r="AK565" s="52"/>
      <c r="AL565" s="52"/>
      <c r="AM565" s="52"/>
      <c r="AN565" s="52"/>
      <c r="AO565" s="52"/>
      <c r="AP565" s="52"/>
    </row>
    <row r="566" spans="1:42" x14ac:dyDescent="0.2">
      <c r="A566" s="48" t="s">
        <v>41</v>
      </c>
      <c r="C566" s="39"/>
      <c r="D566" s="39"/>
      <c r="E566" s="39"/>
      <c r="F566" s="39"/>
      <c r="G566" s="39"/>
      <c r="H566" s="39"/>
      <c r="I566" s="39"/>
      <c r="J566" s="39"/>
      <c r="K566" s="39"/>
      <c r="L566" s="39"/>
      <c r="M566" s="39"/>
      <c r="N566" s="39"/>
      <c r="O566" s="39"/>
      <c r="P566" s="39"/>
      <c r="Q566" s="39"/>
      <c r="R566" s="39"/>
      <c r="S566" s="39"/>
      <c r="T566" s="39"/>
      <c r="U566" s="39"/>
      <c r="V566" s="39"/>
      <c r="W566" s="39"/>
      <c r="X566" s="39"/>
      <c r="Y566" s="39"/>
      <c r="Z566" s="39"/>
      <c r="AA566" s="39"/>
      <c r="AB566" s="39"/>
      <c r="AC566" s="39"/>
      <c r="AD566" s="39"/>
      <c r="AE566" s="39"/>
      <c r="AF566" s="39"/>
      <c r="AG566" s="39"/>
      <c r="AH566" s="39"/>
      <c r="AI566" s="39"/>
      <c r="AJ566" s="39"/>
      <c r="AK566" s="39"/>
      <c r="AL566" s="39"/>
      <c r="AM566" s="39"/>
      <c r="AN566" s="39"/>
      <c r="AO566" s="39"/>
      <c r="AP566" s="39"/>
    </row>
    <row r="567" spans="1:42" x14ac:dyDescent="0.2">
      <c r="A567" s="17" t="s">
        <v>43</v>
      </c>
      <c r="B567" s="39">
        <v>0</v>
      </c>
      <c r="C567" s="39">
        <f>B570</f>
        <v>2114326.2906789142</v>
      </c>
      <c r="D567" s="39">
        <f t="shared" ref="D567:AP567" si="297">C570</f>
        <v>2126467.9692341001</v>
      </c>
      <c r="E567" s="39">
        <f t="shared" si="297"/>
        <v>2138265.3388121342</v>
      </c>
      <c r="F567" s="39">
        <f t="shared" si="297"/>
        <v>2149727.0141323837</v>
      </c>
      <c r="G567" s="39">
        <f t="shared" si="297"/>
        <v>2160860.8450690689</v>
      </c>
      <c r="H567" s="39">
        <f t="shared" si="297"/>
        <v>2171673.9444568222</v>
      </c>
      <c r="I567" s="39">
        <f t="shared" si="297"/>
        <v>2182172.7141847517</v>
      </c>
      <c r="J567" s="39">
        <f t="shared" si="297"/>
        <v>2192362.8696546014</v>
      </c>
      <c r="K567" s="39">
        <f t="shared" si="297"/>
        <v>2202249.4626745256</v>
      </c>
      <c r="L567" s="39">
        <f t="shared" si="297"/>
        <v>2211836.9028560249</v>
      </c>
      <c r="M567" s="39">
        <f t="shared" si="297"/>
        <v>2221128.9775779946</v>
      </c>
      <c r="N567" s="39">
        <f t="shared" si="297"/>
        <v>2230128.8705781624</v>
      </c>
      <c r="O567" s="39">
        <f t="shared" si="297"/>
        <v>2203922.202013019</v>
      </c>
      <c r="P567" s="39">
        <f t="shared" si="297"/>
        <v>0</v>
      </c>
      <c r="Q567" s="39">
        <f t="shared" si="297"/>
        <v>0</v>
      </c>
      <c r="R567" s="39">
        <f t="shared" si="297"/>
        <v>0</v>
      </c>
      <c r="S567" s="39">
        <f t="shared" si="297"/>
        <v>0</v>
      </c>
      <c r="T567" s="39">
        <f t="shared" si="297"/>
        <v>0</v>
      </c>
      <c r="U567" s="39">
        <f t="shared" si="297"/>
        <v>0</v>
      </c>
      <c r="V567" s="39">
        <f t="shared" si="297"/>
        <v>0</v>
      </c>
      <c r="W567" s="39">
        <f t="shared" si="297"/>
        <v>0</v>
      </c>
      <c r="X567" s="39">
        <f t="shared" si="297"/>
        <v>0</v>
      </c>
      <c r="Y567" s="39">
        <f t="shared" si="297"/>
        <v>0</v>
      </c>
      <c r="Z567" s="39">
        <f t="shared" si="297"/>
        <v>0</v>
      </c>
      <c r="AA567" s="39">
        <f t="shared" si="297"/>
        <v>0</v>
      </c>
      <c r="AB567" s="39">
        <f t="shared" si="297"/>
        <v>0</v>
      </c>
      <c r="AC567" s="39">
        <f t="shared" si="297"/>
        <v>0</v>
      </c>
      <c r="AD567" s="39">
        <f t="shared" si="297"/>
        <v>0</v>
      </c>
      <c r="AE567" s="39">
        <f t="shared" si="297"/>
        <v>0</v>
      </c>
      <c r="AF567" s="39">
        <f t="shared" si="297"/>
        <v>0</v>
      </c>
      <c r="AG567" s="39">
        <f t="shared" si="297"/>
        <v>0</v>
      </c>
      <c r="AH567" s="39">
        <f t="shared" si="297"/>
        <v>0</v>
      </c>
      <c r="AI567" s="39">
        <f t="shared" si="297"/>
        <v>0</v>
      </c>
      <c r="AJ567" s="39">
        <f t="shared" si="297"/>
        <v>0</v>
      </c>
      <c r="AK567" s="39">
        <f t="shared" si="297"/>
        <v>0</v>
      </c>
      <c r="AL567" s="39">
        <f t="shared" si="297"/>
        <v>0</v>
      </c>
      <c r="AM567" s="39">
        <f t="shared" si="297"/>
        <v>0</v>
      </c>
      <c r="AN567" s="39">
        <f t="shared" si="297"/>
        <v>0</v>
      </c>
      <c r="AO567" s="39">
        <f t="shared" si="297"/>
        <v>0</v>
      </c>
      <c r="AP567" s="39">
        <f t="shared" si="297"/>
        <v>0</v>
      </c>
    </row>
    <row r="568" spans="1:42" x14ac:dyDescent="0.2">
      <c r="A568" s="17" t="s">
        <v>44</v>
      </c>
      <c r="B568" s="39">
        <f>IF(B2&lt;MIN(SODebtTerm,AnalysisPeriod),B570-B567,0)</f>
        <v>2114326.2906789142</v>
      </c>
      <c r="C568" s="39">
        <f t="shared" ref="C568:AP568" si="298">IF(C2&lt;MIN(SODebtTerm,AnalysisPeriod),C570-C567,0)</f>
        <v>12141.678555185907</v>
      </c>
      <c r="D568" s="39">
        <f t="shared" si="298"/>
        <v>11797.369578034151</v>
      </c>
      <c r="E568" s="39">
        <f t="shared" si="298"/>
        <v>11461.675320249517</v>
      </c>
      <c r="F568" s="39">
        <f t="shared" si="298"/>
        <v>11133.830936685205</v>
      </c>
      <c r="G568" s="39">
        <f t="shared" si="298"/>
        <v>10813.099387753289</v>
      </c>
      <c r="H568" s="39">
        <f t="shared" si="298"/>
        <v>10498.769727929495</v>
      </c>
      <c r="I568" s="39">
        <f t="shared" si="298"/>
        <v>10190.155469849706</v>
      </c>
      <c r="J568" s="39">
        <f t="shared" si="298"/>
        <v>9886.5930199241266</v>
      </c>
      <c r="K568" s="39">
        <f t="shared" si="298"/>
        <v>9587.4401814993471</v>
      </c>
      <c r="L568" s="39">
        <f t="shared" si="298"/>
        <v>9292.0747219696641</v>
      </c>
      <c r="M568" s="39">
        <f t="shared" si="298"/>
        <v>8999.8930001677945</v>
      </c>
      <c r="N568" s="39">
        <f t="shared" si="298"/>
        <v>-26206.668565143365</v>
      </c>
      <c r="O568" s="39">
        <f t="shared" si="298"/>
        <v>0</v>
      </c>
      <c r="P568" s="39">
        <f t="shared" si="298"/>
        <v>0</v>
      </c>
      <c r="Q568" s="39">
        <f t="shared" si="298"/>
        <v>0</v>
      </c>
      <c r="R568" s="39">
        <f t="shared" si="298"/>
        <v>0</v>
      </c>
      <c r="S568" s="39">
        <f t="shared" si="298"/>
        <v>0</v>
      </c>
      <c r="T568" s="39">
        <f t="shared" si="298"/>
        <v>0</v>
      </c>
      <c r="U568" s="39">
        <f t="shared" si="298"/>
        <v>0</v>
      </c>
      <c r="V568" s="39">
        <f t="shared" si="298"/>
        <v>0</v>
      </c>
      <c r="W568" s="39">
        <f t="shared" si="298"/>
        <v>0</v>
      </c>
      <c r="X568" s="39">
        <f t="shared" si="298"/>
        <v>0</v>
      </c>
      <c r="Y568" s="39">
        <f t="shared" si="298"/>
        <v>0</v>
      </c>
      <c r="Z568" s="39">
        <f t="shared" si="298"/>
        <v>0</v>
      </c>
      <c r="AA568" s="39">
        <f t="shared" si="298"/>
        <v>0</v>
      </c>
      <c r="AB568" s="39">
        <f t="shared" si="298"/>
        <v>0</v>
      </c>
      <c r="AC568" s="39">
        <f t="shared" si="298"/>
        <v>0</v>
      </c>
      <c r="AD568" s="39">
        <f t="shared" si="298"/>
        <v>0</v>
      </c>
      <c r="AE568" s="39">
        <f t="shared" si="298"/>
        <v>0</v>
      </c>
      <c r="AF568" s="39">
        <f t="shared" si="298"/>
        <v>0</v>
      </c>
      <c r="AG568" s="39">
        <f t="shared" si="298"/>
        <v>0</v>
      </c>
      <c r="AH568" s="39">
        <f t="shared" si="298"/>
        <v>0</v>
      </c>
      <c r="AI568" s="39">
        <f t="shared" si="298"/>
        <v>0</v>
      </c>
      <c r="AJ568" s="39">
        <f t="shared" si="298"/>
        <v>0</v>
      </c>
      <c r="AK568" s="39">
        <f t="shared" si="298"/>
        <v>0</v>
      </c>
      <c r="AL568" s="39">
        <f t="shared" si="298"/>
        <v>0</v>
      </c>
      <c r="AM568" s="39">
        <f t="shared" si="298"/>
        <v>0</v>
      </c>
      <c r="AN568" s="39">
        <f t="shared" si="298"/>
        <v>0</v>
      </c>
      <c r="AO568" s="39">
        <f t="shared" si="298"/>
        <v>0</v>
      </c>
      <c r="AP568" s="39">
        <f t="shared" si="298"/>
        <v>0</v>
      </c>
    </row>
    <row r="569" spans="1:42" x14ac:dyDescent="0.2">
      <c r="A569" s="17" t="s">
        <v>50</v>
      </c>
      <c r="B569" s="53">
        <v>0</v>
      </c>
      <c r="C569" s="53">
        <f t="shared" ref="C569:AP569" si="299">IF(C$2=SODebtTerm,-C567,0)</f>
        <v>0</v>
      </c>
      <c r="D569" s="53">
        <f t="shared" si="299"/>
        <v>0</v>
      </c>
      <c r="E569" s="53">
        <f t="shared" si="299"/>
        <v>0</v>
      </c>
      <c r="F569" s="53">
        <f t="shared" si="299"/>
        <v>0</v>
      </c>
      <c r="G569" s="53">
        <f t="shared" si="299"/>
        <v>0</v>
      </c>
      <c r="H569" s="53">
        <f t="shared" si="299"/>
        <v>0</v>
      </c>
      <c r="I569" s="53">
        <f t="shared" si="299"/>
        <v>0</v>
      </c>
      <c r="J569" s="53">
        <f t="shared" si="299"/>
        <v>0</v>
      </c>
      <c r="K569" s="53">
        <f t="shared" si="299"/>
        <v>0</v>
      </c>
      <c r="L569" s="53">
        <f t="shared" si="299"/>
        <v>0</v>
      </c>
      <c r="M569" s="53">
        <f t="shared" si="299"/>
        <v>0</v>
      </c>
      <c r="N569" s="53">
        <f t="shared" si="299"/>
        <v>0</v>
      </c>
      <c r="O569" s="53">
        <f t="shared" si="299"/>
        <v>-2203922.202013019</v>
      </c>
      <c r="P569" s="53">
        <f t="shared" si="299"/>
        <v>0</v>
      </c>
      <c r="Q569" s="53">
        <f t="shared" si="299"/>
        <v>0</v>
      </c>
      <c r="R569" s="53">
        <f t="shared" si="299"/>
        <v>0</v>
      </c>
      <c r="S569" s="53">
        <f t="shared" si="299"/>
        <v>0</v>
      </c>
      <c r="T569" s="53">
        <f t="shared" si="299"/>
        <v>0</v>
      </c>
      <c r="U569" s="53">
        <f t="shared" si="299"/>
        <v>0</v>
      </c>
      <c r="V569" s="53">
        <f t="shared" si="299"/>
        <v>0</v>
      </c>
      <c r="W569" s="53">
        <f t="shared" si="299"/>
        <v>0</v>
      </c>
      <c r="X569" s="53">
        <f t="shared" si="299"/>
        <v>0</v>
      </c>
      <c r="Y569" s="53">
        <f t="shared" si="299"/>
        <v>0</v>
      </c>
      <c r="Z569" s="53">
        <f t="shared" si="299"/>
        <v>0</v>
      </c>
      <c r="AA569" s="53">
        <f t="shared" si="299"/>
        <v>0</v>
      </c>
      <c r="AB569" s="53">
        <f t="shared" si="299"/>
        <v>0</v>
      </c>
      <c r="AC569" s="53">
        <f t="shared" si="299"/>
        <v>0</v>
      </c>
      <c r="AD569" s="53">
        <f t="shared" si="299"/>
        <v>0</v>
      </c>
      <c r="AE569" s="53">
        <f t="shared" si="299"/>
        <v>0</v>
      </c>
      <c r="AF569" s="53">
        <f t="shared" si="299"/>
        <v>0</v>
      </c>
      <c r="AG569" s="53">
        <f t="shared" si="299"/>
        <v>0</v>
      </c>
      <c r="AH569" s="53">
        <f t="shared" si="299"/>
        <v>0</v>
      </c>
      <c r="AI569" s="53">
        <f t="shared" si="299"/>
        <v>0</v>
      </c>
      <c r="AJ569" s="53">
        <f t="shared" si="299"/>
        <v>0</v>
      </c>
      <c r="AK569" s="53">
        <f t="shared" si="299"/>
        <v>0</v>
      </c>
      <c r="AL569" s="53">
        <f t="shared" si="299"/>
        <v>0</v>
      </c>
      <c r="AM569" s="53">
        <f t="shared" si="299"/>
        <v>0</v>
      </c>
      <c r="AN569" s="53">
        <f t="shared" si="299"/>
        <v>0</v>
      </c>
      <c r="AO569" s="53">
        <f t="shared" si="299"/>
        <v>0</v>
      </c>
      <c r="AP569" s="53">
        <f t="shared" si="299"/>
        <v>0</v>
      </c>
    </row>
    <row r="570" spans="1:42" x14ac:dyDescent="0.2">
      <c r="A570" s="17" t="s">
        <v>46</v>
      </c>
      <c r="B570" s="39">
        <f t="shared" ref="B570:AP570" si="300">IF(B2&lt;=MIN(SODebtTerm,AnalysisPeriod),(SODSRASize/12)*C534,0)</f>
        <v>2114326.2906789142</v>
      </c>
      <c r="C570" s="39">
        <f t="shared" si="300"/>
        <v>2126467.9692341001</v>
      </c>
      <c r="D570" s="39">
        <f t="shared" si="300"/>
        <v>2138265.3388121342</v>
      </c>
      <c r="E570" s="39">
        <f t="shared" si="300"/>
        <v>2149727.0141323837</v>
      </c>
      <c r="F570" s="39">
        <f t="shared" si="300"/>
        <v>2160860.8450690689</v>
      </c>
      <c r="G570" s="39">
        <f t="shared" si="300"/>
        <v>2171673.9444568222</v>
      </c>
      <c r="H570" s="39">
        <f t="shared" si="300"/>
        <v>2182172.7141847517</v>
      </c>
      <c r="I570" s="39">
        <f t="shared" si="300"/>
        <v>2192362.8696546014</v>
      </c>
      <c r="J570" s="39">
        <f t="shared" si="300"/>
        <v>2202249.4626745256</v>
      </c>
      <c r="K570" s="39">
        <f t="shared" si="300"/>
        <v>2211836.9028560249</v>
      </c>
      <c r="L570" s="39">
        <f t="shared" si="300"/>
        <v>2221128.9775779946</v>
      </c>
      <c r="M570" s="39">
        <f t="shared" si="300"/>
        <v>2230128.8705781624</v>
      </c>
      <c r="N570" s="39">
        <f t="shared" si="300"/>
        <v>2203922.202013019</v>
      </c>
      <c r="O570" s="39">
        <f t="shared" si="300"/>
        <v>0</v>
      </c>
      <c r="P570" s="39">
        <f t="shared" si="300"/>
        <v>0</v>
      </c>
      <c r="Q570" s="39">
        <f t="shared" si="300"/>
        <v>0</v>
      </c>
      <c r="R570" s="39">
        <f t="shared" si="300"/>
        <v>0</v>
      </c>
      <c r="S570" s="39">
        <f t="shared" si="300"/>
        <v>0</v>
      </c>
      <c r="T570" s="39">
        <f t="shared" si="300"/>
        <v>0</v>
      </c>
      <c r="U570" s="39">
        <f t="shared" si="300"/>
        <v>0</v>
      </c>
      <c r="V570" s="39">
        <f t="shared" si="300"/>
        <v>0</v>
      </c>
      <c r="W570" s="39">
        <f t="shared" si="300"/>
        <v>0</v>
      </c>
      <c r="X570" s="39">
        <f t="shared" si="300"/>
        <v>0</v>
      </c>
      <c r="Y570" s="39">
        <f t="shared" si="300"/>
        <v>0</v>
      </c>
      <c r="Z570" s="39">
        <f t="shared" si="300"/>
        <v>0</v>
      </c>
      <c r="AA570" s="39">
        <f t="shared" si="300"/>
        <v>0</v>
      </c>
      <c r="AB570" s="39">
        <f t="shared" si="300"/>
        <v>0</v>
      </c>
      <c r="AC570" s="39">
        <f t="shared" si="300"/>
        <v>0</v>
      </c>
      <c r="AD570" s="39">
        <f t="shared" si="300"/>
        <v>0</v>
      </c>
      <c r="AE570" s="39">
        <f t="shared" si="300"/>
        <v>0</v>
      </c>
      <c r="AF570" s="39">
        <f t="shared" si="300"/>
        <v>0</v>
      </c>
      <c r="AG570" s="39">
        <f t="shared" si="300"/>
        <v>0</v>
      </c>
      <c r="AH570" s="39">
        <f t="shared" si="300"/>
        <v>0</v>
      </c>
      <c r="AI570" s="39">
        <f t="shared" si="300"/>
        <v>0</v>
      </c>
      <c r="AJ570" s="39">
        <f t="shared" si="300"/>
        <v>0</v>
      </c>
      <c r="AK570" s="39">
        <f t="shared" si="300"/>
        <v>0</v>
      </c>
      <c r="AL570" s="39">
        <f t="shared" si="300"/>
        <v>0</v>
      </c>
      <c r="AM570" s="39">
        <f t="shared" si="300"/>
        <v>0</v>
      </c>
      <c r="AN570" s="39">
        <f t="shared" si="300"/>
        <v>0</v>
      </c>
      <c r="AO570" s="39">
        <f t="shared" si="300"/>
        <v>0</v>
      </c>
      <c r="AP570" s="39">
        <f t="shared" si="300"/>
        <v>0</v>
      </c>
    </row>
    <row r="571" spans="1:42" x14ac:dyDescent="0.2">
      <c r="B571" s="39"/>
      <c r="C571" s="39"/>
      <c r="D571" s="39"/>
      <c r="E571" s="39"/>
      <c r="F571" s="39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52"/>
      <c r="AE571" s="52"/>
      <c r="AF571" s="52"/>
      <c r="AG571" s="52"/>
      <c r="AH571" s="52"/>
      <c r="AI571" s="52"/>
      <c r="AJ571" s="52"/>
      <c r="AK571" s="52"/>
      <c r="AL571" s="52"/>
      <c r="AM571" s="52"/>
      <c r="AN571" s="52"/>
      <c r="AO571" s="52"/>
      <c r="AP571" s="52"/>
    </row>
    <row r="572" spans="1:42" x14ac:dyDescent="0.2">
      <c r="A572" s="48" t="e">
        <f>Inputs!#REF!</f>
        <v>#REF!</v>
      </c>
      <c r="C572" s="39"/>
      <c r="D572" s="39"/>
      <c r="E572" s="39"/>
      <c r="F572" s="39"/>
      <c r="G572" s="39"/>
      <c r="H572" s="39"/>
      <c r="I572" s="39"/>
      <c r="J572" s="39"/>
      <c r="K572" s="39"/>
      <c r="L572" s="39"/>
      <c r="M572" s="39"/>
      <c r="N572" s="39"/>
      <c r="O572" s="39"/>
      <c r="P572" s="39"/>
      <c r="Q572" s="39"/>
      <c r="R572" s="39"/>
      <c r="S572" s="39"/>
      <c r="T572" s="39"/>
      <c r="U572" s="39"/>
      <c r="V572" s="39"/>
      <c r="W572" s="39"/>
      <c r="X572" s="39"/>
      <c r="Y572" s="39"/>
      <c r="Z572" s="39"/>
      <c r="AA572" s="39"/>
      <c r="AB572" s="39"/>
      <c r="AC572" s="39"/>
      <c r="AD572" s="39"/>
      <c r="AE572" s="39"/>
      <c r="AF572" s="39"/>
      <c r="AG572" s="39"/>
      <c r="AH572" s="39"/>
      <c r="AI572" s="39"/>
      <c r="AJ572" s="39"/>
      <c r="AK572" s="39"/>
      <c r="AL572" s="39"/>
      <c r="AM572" s="39"/>
      <c r="AN572" s="39"/>
      <c r="AO572" s="39"/>
      <c r="AP572" s="39"/>
    </row>
    <row r="573" spans="1:42" x14ac:dyDescent="0.2">
      <c r="A573" s="17" t="s">
        <v>43</v>
      </c>
      <c r="B573" s="39">
        <v>0</v>
      </c>
      <c r="C573" s="39">
        <f>B576</f>
        <v>405191.59406249999</v>
      </c>
      <c r="D573" s="39">
        <f t="shared" ref="D573:AP573" si="301">C576</f>
        <v>405611.55652399996</v>
      </c>
      <c r="E573" s="39">
        <f t="shared" si="301"/>
        <v>406579.55168578285</v>
      </c>
      <c r="F573" s="39">
        <f t="shared" si="301"/>
        <v>408084.36159383197</v>
      </c>
      <c r="G573" s="39">
        <f t="shared" si="301"/>
        <v>410115.80287406466</v>
      </c>
      <c r="H573" s="39">
        <f t="shared" si="301"/>
        <v>412664.68920492666</v>
      </c>
      <c r="I573" s="39">
        <f t="shared" si="301"/>
        <v>415722.79610054882</v>
      </c>
      <c r="J573" s="39">
        <f t="shared" si="301"/>
        <v>419282.82790241606</v>
      </c>
      <c r="K573" s="39">
        <f t="shared" si="301"/>
        <v>423338.38688303321</v>
      </c>
      <c r="L573" s="39">
        <f t="shared" si="301"/>
        <v>427883.94437033101</v>
      </c>
      <c r="M573" s="39">
        <f t="shared" si="301"/>
        <v>432914.81380656984</v>
      </c>
      <c r="N573" s="39">
        <f t="shared" si="301"/>
        <v>438427.12566027831</v>
      </c>
      <c r="O573" s="39">
        <f t="shared" si="301"/>
        <v>444417.80411431484</v>
      </c>
      <c r="P573" s="39">
        <f t="shared" si="301"/>
        <v>450884.54545748385</v>
      </c>
      <c r="Q573" s="39">
        <f t="shared" si="301"/>
        <v>457825.79811127565</v>
      </c>
      <c r="R573" s="39">
        <f t="shared" si="301"/>
        <v>465240.74422725057</v>
      </c>
      <c r="S573" s="39">
        <f t="shared" si="301"/>
        <v>473129.2827943525</v>
      </c>
      <c r="T573" s="39">
        <f t="shared" si="301"/>
        <v>481492.0141990406</v>
      </c>
      <c r="U573" s="39">
        <f t="shared" si="301"/>
        <v>490330.22618455545</v>
      </c>
      <c r="V573" s="39">
        <f t="shared" si="301"/>
        <v>499645.88115892257</v>
      </c>
      <c r="W573" s="39">
        <f t="shared" si="301"/>
        <v>509441.60480443365</v>
      </c>
      <c r="X573" s="39">
        <f t="shared" si="301"/>
        <v>519720.67594434216</v>
      </c>
      <c r="Y573" s="39">
        <f t="shared" si="301"/>
        <v>530487.01762538264</v>
      </c>
      <c r="Z573" s="39">
        <f t="shared" si="301"/>
        <v>541745.18937746761</v>
      </c>
      <c r="AA573" s="39">
        <f t="shared" si="301"/>
        <v>553500.38061455148</v>
      </c>
      <c r="AB573" s="39">
        <f t="shared" si="301"/>
        <v>565758.40514316934</v>
      </c>
      <c r="AC573" s="39">
        <f t="shared" si="301"/>
        <v>578525.69674757938</v>
      </c>
      <c r="AD573" s="39">
        <f t="shared" si="301"/>
        <v>591809.30582275882</v>
      </c>
      <c r="AE573" s="39">
        <f t="shared" si="301"/>
        <v>605616.89702873444</v>
      </c>
      <c r="AF573" s="39">
        <f t="shared" si="301"/>
        <v>619956.74794187234</v>
      </c>
      <c r="AG573" s="39">
        <f t="shared" si="301"/>
        <v>634837.74868081277</v>
      </c>
      <c r="AH573" s="39">
        <f t="shared" si="301"/>
        <v>650269.40248672827</v>
      </c>
      <c r="AI573" s="39">
        <f t="shared" si="301"/>
        <v>666261.82723948627</v>
      </c>
      <c r="AJ573" s="39">
        <f t="shared" si="301"/>
        <v>682825.75789316418</v>
      </c>
      <c r="AK573" s="39">
        <f t="shared" si="301"/>
        <v>699972.54981612926</v>
      </c>
      <c r="AL573" s="39">
        <f t="shared" si="301"/>
        <v>717714.18302263843</v>
      </c>
      <c r="AM573" s="39">
        <f t="shared" si="301"/>
        <v>736063.26728457608</v>
      </c>
      <c r="AN573" s="39">
        <f t="shared" si="301"/>
        <v>755033.04811357125</v>
      </c>
      <c r="AO573" s="39">
        <f t="shared" si="301"/>
        <v>774637.41360531026</v>
      </c>
      <c r="AP573" s="39">
        <f t="shared" si="301"/>
        <v>794890.902139385</v>
      </c>
    </row>
    <row r="574" spans="1:42" x14ac:dyDescent="0.2">
      <c r="A574" s="17" t="s">
        <v>44</v>
      </c>
      <c r="B574" s="39">
        <f t="shared" ref="B574:AP574" si="302">IF(B$2&lt;AnalysisPeriod,B576-B573,0)</f>
        <v>405191.59406249999</v>
      </c>
      <c r="C574" s="39">
        <f t="shared" si="302"/>
        <v>419.96246149996296</v>
      </c>
      <c r="D574" s="39">
        <f t="shared" si="302"/>
        <v>967.99516178289196</v>
      </c>
      <c r="E574" s="39">
        <f t="shared" si="302"/>
        <v>1504.8099080491229</v>
      </c>
      <c r="F574" s="39">
        <f t="shared" si="302"/>
        <v>2031.4412802326842</v>
      </c>
      <c r="G574" s="39">
        <f t="shared" si="302"/>
        <v>2548.8863308620057</v>
      </c>
      <c r="H574" s="39">
        <f t="shared" si="302"/>
        <v>3058.106895622157</v>
      </c>
      <c r="I574" s="39">
        <f t="shared" si="302"/>
        <v>3560.0318018672406</v>
      </c>
      <c r="J574" s="39">
        <f t="shared" si="302"/>
        <v>4055.5589806171483</v>
      </c>
      <c r="K574" s="39">
        <f t="shared" si="302"/>
        <v>4545.5574872978032</v>
      </c>
      <c r="L574" s="39">
        <f t="shared" si="302"/>
        <v>5030.8694362388342</v>
      </c>
      <c r="M574" s="39">
        <f t="shared" si="302"/>
        <v>5512.3118537084665</v>
      </c>
      <c r="N574" s="39">
        <f t="shared" si="302"/>
        <v>5990.6784540365334</v>
      </c>
      <c r="O574" s="39">
        <f t="shared" si="302"/>
        <v>6466.7413431690075</v>
      </c>
      <c r="P574" s="39">
        <f t="shared" si="302"/>
        <v>6941.252653791802</v>
      </c>
      <c r="Q574" s="39">
        <f t="shared" si="302"/>
        <v>7414.9461159749189</v>
      </c>
      <c r="R574" s="39">
        <f t="shared" si="302"/>
        <v>7888.5385671019321</v>
      </c>
      <c r="S574" s="39">
        <f t="shared" si="302"/>
        <v>8362.7314046880929</v>
      </c>
      <c r="T574" s="39">
        <f t="shared" si="302"/>
        <v>8838.2119855148485</v>
      </c>
      <c r="U574" s="39">
        <f t="shared" si="302"/>
        <v>9315.6549743671203</v>
      </c>
      <c r="V574" s="39">
        <f t="shared" si="302"/>
        <v>9795.7236455110833</v>
      </c>
      <c r="W574" s="39">
        <f t="shared" si="302"/>
        <v>10279.071139908512</v>
      </c>
      <c r="X574" s="39">
        <f t="shared" si="302"/>
        <v>10766.341681040474</v>
      </c>
      <c r="Y574" s="39">
        <f t="shared" si="302"/>
        <v>11258.171752084978</v>
      </c>
      <c r="Z574" s="39">
        <f t="shared" si="302"/>
        <v>11755.191237083869</v>
      </c>
      <c r="AA574" s="39">
        <f t="shared" si="302"/>
        <v>12258.024528617854</v>
      </c>
      <c r="AB574" s="39">
        <f t="shared" si="302"/>
        <v>12767.291604410042</v>
      </c>
      <c r="AC574" s="39">
        <f t="shared" si="302"/>
        <v>13283.60907517944</v>
      </c>
      <c r="AD574" s="39">
        <f t="shared" si="302"/>
        <v>13807.591205975623</v>
      </c>
      <c r="AE574" s="39">
        <f t="shared" si="302"/>
        <v>14339.850913137896</v>
      </c>
      <c r="AF574" s="39">
        <f t="shared" si="302"/>
        <v>14881.000738940435</v>
      </c>
      <c r="AG574" s="39">
        <f t="shared" si="302"/>
        <v>15431.653805915499</v>
      </c>
      <c r="AH574" s="39">
        <f t="shared" si="302"/>
        <v>15992.424752758001</v>
      </c>
      <c r="AI574" s="39">
        <f t="shared" si="302"/>
        <v>16563.930653677904</v>
      </c>
      <c r="AJ574" s="39">
        <f t="shared" si="302"/>
        <v>17146.791922965087</v>
      </c>
      <c r="AK574" s="39">
        <f t="shared" si="302"/>
        <v>17741.63320650917</v>
      </c>
      <c r="AL574" s="39">
        <f t="shared" si="302"/>
        <v>18349.084261937649</v>
      </c>
      <c r="AM574" s="39">
        <f t="shared" si="302"/>
        <v>18969.780828995164</v>
      </c>
      <c r="AN574" s="39">
        <f t="shared" si="302"/>
        <v>19604.365491739009</v>
      </c>
      <c r="AO574" s="39">
        <f t="shared" si="302"/>
        <v>20253.488534074742</v>
      </c>
      <c r="AP574" s="39">
        <f t="shared" si="302"/>
        <v>0</v>
      </c>
    </row>
    <row r="575" spans="1:42" x14ac:dyDescent="0.2">
      <c r="A575" s="17" t="s">
        <v>50</v>
      </c>
      <c r="B575" s="53">
        <v>0</v>
      </c>
      <c r="C575" s="53">
        <f t="shared" ref="C575:AP575" si="303">IF(C$2=AnalysisPeriod,-C573,0)</f>
        <v>0</v>
      </c>
      <c r="D575" s="53">
        <f t="shared" si="303"/>
        <v>0</v>
      </c>
      <c r="E575" s="53">
        <f t="shared" si="303"/>
        <v>0</v>
      </c>
      <c r="F575" s="53">
        <f t="shared" si="303"/>
        <v>0</v>
      </c>
      <c r="G575" s="53">
        <f t="shared" si="303"/>
        <v>0</v>
      </c>
      <c r="H575" s="53">
        <f t="shared" si="303"/>
        <v>0</v>
      </c>
      <c r="I575" s="53">
        <f t="shared" si="303"/>
        <v>0</v>
      </c>
      <c r="J575" s="53">
        <f t="shared" si="303"/>
        <v>0</v>
      </c>
      <c r="K575" s="53">
        <f t="shared" si="303"/>
        <v>0</v>
      </c>
      <c r="L575" s="53">
        <f t="shared" si="303"/>
        <v>0</v>
      </c>
      <c r="M575" s="53">
        <f t="shared" si="303"/>
        <v>0</v>
      </c>
      <c r="N575" s="53">
        <f t="shared" si="303"/>
        <v>0</v>
      </c>
      <c r="O575" s="53">
        <f t="shared" si="303"/>
        <v>0</v>
      </c>
      <c r="P575" s="53">
        <f t="shared" si="303"/>
        <v>0</v>
      </c>
      <c r="Q575" s="53">
        <f t="shared" si="303"/>
        <v>0</v>
      </c>
      <c r="R575" s="53">
        <f t="shared" si="303"/>
        <v>0</v>
      </c>
      <c r="S575" s="53">
        <f t="shared" si="303"/>
        <v>0</v>
      </c>
      <c r="T575" s="53">
        <f t="shared" si="303"/>
        <v>0</v>
      </c>
      <c r="U575" s="53">
        <f t="shared" si="303"/>
        <v>0</v>
      </c>
      <c r="V575" s="53">
        <f t="shared" si="303"/>
        <v>0</v>
      </c>
      <c r="W575" s="53">
        <f t="shared" si="303"/>
        <v>0</v>
      </c>
      <c r="X575" s="53">
        <f t="shared" si="303"/>
        <v>0</v>
      </c>
      <c r="Y575" s="53">
        <f t="shared" si="303"/>
        <v>0</v>
      </c>
      <c r="Z575" s="53">
        <f t="shared" si="303"/>
        <v>0</v>
      </c>
      <c r="AA575" s="53">
        <f t="shared" si="303"/>
        <v>0</v>
      </c>
      <c r="AB575" s="53">
        <f t="shared" si="303"/>
        <v>0</v>
      </c>
      <c r="AC575" s="53">
        <f t="shared" si="303"/>
        <v>0</v>
      </c>
      <c r="AD575" s="53">
        <f t="shared" si="303"/>
        <v>0</v>
      </c>
      <c r="AE575" s="53">
        <f t="shared" si="303"/>
        <v>0</v>
      </c>
      <c r="AF575" s="53">
        <f t="shared" si="303"/>
        <v>0</v>
      </c>
      <c r="AG575" s="53">
        <f t="shared" si="303"/>
        <v>0</v>
      </c>
      <c r="AH575" s="53">
        <f t="shared" si="303"/>
        <v>0</v>
      </c>
      <c r="AI575" s="53">
        <f t="shared" si="303"/>
        <v>0</v>
      </c>
      <c r="AJ575" s="53">
        <f t="shared" si="303"/>
        <v>0</v>
      </c>
      <c r="AK575" s="53">
        <f t="shared" si="303"/>
        <v>0</v>
      </c>
      <c r="AL575" s="53">
        <f t="shared" si="303"/>
        <v>0</v>
      </c>
      <c r="AM575" s="53">
        <f t="shared" si="303"/>
        <v>0</v>
      </c>
      <c r="AN575" s="53">
        <f t="shared" si="303"/>
        <v>0</v>
      </c>
      <c r="AO575" s="53">
        <f t="shared" si="303"/>
        <v>0</v>
      </c>
      <c r="AP575" s="53">
        <f t="shared" si="303"/>
        <v>-794890.902139385</v>
      </c>
    </row>
    <row r="576" spans="1:42" s="35" customFormat="1" x14ac:dyDescent="0.2">
      <c r="A576" s="35" t="s">
        <v>46</v>
      </c>
      <c r="B576" s="60">
        <f t="shared" ref="B576:AP576" si="304">C$36*(SOWC/12)</f>
        <v>405191.59406249999</v>
      </c>
      <c r="C576" s="60">
        <f t="shared" si="304"/>
        <v>405611.55652399996</v>
      </c>
      <c r="D576" s="60">
        <f t="shared" si="304"/>
        <v>406579.55168578285</v>
      </c>
      <c r="E576" s="60">
        <f t="shared" si="304"/>
        <v>408084.36159383197</v>
      </c>
      <c r="F576" s="60">
        <f t="shared" si="304"/>
        <v>410115.80287406466</v>
      </c>
      <c r="G576" s="60">
        <f t="shared" si="304"/>
        <v>412664.68920492666</v>
      </c>
      <c r="H576" s="60">
        <f t="shared" si="304"/>
        <v>415722.79610054882</v>
      </c>
      <c r="I576" s="60">
        <f t="shared" si="304"/>
        <v>419282.82790241606</v>
      </c>
      <c r="J576" s="60">
        <f t="shared" si="304"/>
        <v>423338.38688303321</v>
      </c>
      <c r="K576" s="60">
        <f t="shared" si="304"/>
        <v>427883.94437033101</v>
      </c>
      <c r="L576" s="60">
        <f t="shared" si="304"/>
        <v>432914.81380656984</v>
      </c>
      <c r="M576" s="60">
        <f t="shared" si="304"/>
        <v>438427.12566027831</v>
      </c>
      <c r="N576" s="60">
        <f t="shared" si="304"/>
        <v>444417.80411431484</v>
      </c>
      <c r="O576" s="60">
        <f t="shared" si="304"/>
        <v>450884.54545748385</v>
      </c>
      <c r="P576" s="60">
        <f t="shared" si="304"/>
        <v>457825.79811127565</v>
      </c>
      <c r="Q576" s="60">
        <f t="shared" si="304"/>
        <v>465240.74422725057</v>
      </c>
      <c r="R576" s="60">
        <f t="shared" si="304"/>
        <v>473129.2827943525</v>
      </c>
      <c r="S576" s="60">
        <f t="shared" si="304"/>
        <v>481492.0141990406</v>
      </c>
      <c r="T576" s="60">
        <f t="shared" si="304"/>
        <v>490330.22618455545</v>
      </c>
      <c r="U576" s="60">
        <f t="shared" si="304"/>
        <v>499645.88115892257</v>
      </c>
      <c r="V576" s="60">
        <f t="shared" si="304"/>
        <v>509441.60480443365</v>
      </c>
      <c r="W576" s="60">
        <f t="shared" si="304"/>
        <v>519720.67594434216</v>
      </c>
      <c r="X576" s="60">
        <f t="shared" si="304"/>
        <v>530487.01762538264</v>
      </c>
      <c r="Y576" s="60">
        <f t="shared" si="304"/>
        <v>541745.18937746761</v>
      </c>
      <c r="Z576" s="60">
        <f t="shared" si="304"/>
        <v>553500.38061455148</v>
      </c>
      <c r="AA576" s="60">
        <f t="shared" si="304"/>
        <v>565758.40514316934</v>
      </c>
      <c r="AB576" s="60">
        <f t="shared" si="304"/>
        <v>578525.69674757938</v>
      </c>
      <c r="AC576" s="60">
        <f t="shared" si="304"/>
        <v>591809.30582275882</v>
      </c>
      <c r="AD576" s="60">
        <f t="shared" si="304"/>
        <v>605616.89702873444</v>
      </c>
      <c r="AE576" s="60">
        <f t="shared" si="304"/>
        <v>619956.74794187234</v>
      </c>
      <c r="AF576" s="60">
        <f t="shared" si="304"/>
        <v>634837.74868081277</v>
      </c>
      <c r="AG576" s="60">
        <f t="shared" si="304"/>
        <v>650269.40248672827</v>
      </c>
      <c r="AH576" s="60">
        <f t="shared" si="304"/>
        <v>666261.82723948627</v>
      </c>
      <c r="AI576" s="60">
        <f t="shared" si="304"/>
        <v>682825.75789316418</v>
      </c>
      <c r="AJ576" s="60">
        <f t="shared" si="304"/>
        <v>699972.54981612926</v>
      </c>
      <c r="AK576" s="60">
        <f t="shared" si="304"/>
        <v>717714.18302263843</v>
      </c>
      <c r="AL576" s="60">
        <f t="shared" si="304"/>
        <v>736063.26728457608</v>
      </c>
      <c r="AM576" s="60">
        <f t="shared" si="304"/>
        <v>755033.04811357125</v>
      </c>
      <c r="AN576" s="60">
        <f t="shared" si="304"/>
        <v>774637.41360531026</v>
      </c>
      <c r="AO576" s="60">
        <f t="shared" si="304"/>
        <v>794890.902139385</v>
      </c>
      <c r="AP576" s="60">
        <f t="shared" si="304"/>
        <v>0</v>
      </c>
    </row>
    <row r="577" spans="1:42" x14ac:dyDescent="0.2">
      <c r="B577" s="39"/>
      <c r="C577" s="39"/>
      <c r="D577" s="39"/>
      <c r="E577" s="39"/>
      <c r="F577" s="39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52"/>
      <c r="AE577" s="52"/>
      <c r="AF577" s="52"/>
      <c r="AG577" s="52"/>
      <c r="AH577" s="52"/>
      <c r="AI577" s="52"/>
      <c r="AJ577" s="52"/>
      <c r="AK577" s="52"/>
      <c r="AL577" s="52"/>
      <c r="AM577" s="52"/>
      <c r="AN577" s="52"/>
      <c r="AO577" s="52"/>
      <c r="AP577" s="52"/>
    </row>
    <row r="578" spans="1:42" x14ac:dyDescent="0.2">
      <c r="A578" s="48" t="s">
        <v>159</v>
      </c>
      <c r="C578" s="39"/>
      <c r="D578" s="39"/>
      <c r="E578" s="39"/>
      <c r="F578" s="39"/>
      <c r="G578" s="39"/>
      <c r="H578" s="39"/>
      <c r="I578" s="39"/>
      <c r="J578" s="39"/>
      <c r="K578" s="39"/>
      <c r="L578" s="39"/>
      <c r="M578" s="39"/>
      <c r="N578" s="39"/>
      <c r="O578" s="39"/>
      <c r="P578" s="39"/>
      <c r="Q578" s="39"/>
      <c r="R578" s="39"/>
      <c r="S578" s="39"/>
      <c r="T578" s="39"/>
      <c r="U578" s="39"/>
      <c r="V578" s="39"/>
      <c r="W578" s="39"/>
      <c r="X578" s="39"/>
      <c r="Y578" s="39"/>
      <c r="Z578" s="39"/>
      <c r="AA578" s="39"/>
      <c r="AB578" s="39"/>
      <c r="AC578" s="39"/>
      <c r="AD578" s="39"/>
      <c r="AE578" s="39"/>
      <c r="AF578" s="39"/>
      <c r="AG578" s="39"/>
      <c r="AH578" s="39"/>
      <c r="AI578" s="39"/>
      <c r="AJ578" s="39"/>
      <c r="AK578" s="39"/>
      <c r="AL578" s="39"/>
      <c r="AM578" s="39"/>
      <c r="AN578" s="39"/>
      <c r="AO578" s="39"/>
      <c r="AP578" s="39"/>
    </row>
    <row r="579" spans="1:42" x14ac:dyDescent="0.2">
      <c r="A579" s="17" t="s">
        <v>43</v>
      </c>
      <c r="B579" s="39">
        <v>0</v>
      </c>
      <c r="C579" s="39">
        <f>B582</f>
        <v>0</v>
      </c>
      <c r="D579" s="39">
        <f t="shared" ref="D579:AP579" si="305">C582</f>
        <v>273351.3870419304</v>
      </c>
      <c r="E579" s="39">
        <f t="shared" si="305"/>
        <v>546702.7740838608</v>
      </c>
      <c r="F579" s="39">
        <f t="shared" si="305"/>
        <v>820054.16112579126</v>
      </c>
      <c r="G579" s="39">
        <f t="shared" si="305"/>
        <v>1093405.5481677216</v>
      </c>
      <c r="H579" s="39">
        <f t="shared" si="305"/>
        <v>1366756.9352096519</v>
      </c>
      <c r="I579" s="39">
        <f t="shared" si="305"/>
        <v>1640108.3222515823</v>
      </c>
      <c r="J579" s="39">
        <f t="shared" si="305"/>
        <v>1913459.7092935126</v>
      </c>
      <c r="K579" s="39">
        <f t="shared" si="305"/>
        <v>2186811.0963354432</v>
      </c>
      <c r="L579" s="39">
        <f t="shared" si="305"/>
        <v>2460162.4833773738</v>
      </c>
      <c r="M579" s="39">
        <f t="shared" si="305"/>
        <v>2733513.8704193044</v>
      </c>
      <c r="N579" s="39">
        <f t="shared" si="305"/>
        <v>3006865.2574612349</v>
      </c>
      <c r="O579" s="39">
        <f t="shared" si="305"/>
        <v>0</v>
      </c>
      <c r="P579" s="39">
        <f t="shared" si="305"/>
        <v>367627.22552491649</v>
      </c>
      <c r="Q579" s="39">
        <f t="shared" si="305"/>
        <v>735254.45104983298</v>
      </c>
      <c r="R579" s="39">
        <f t="shared" si="305"/>
        <v>1102881.6765747494</v>
      </c>
      <c r="S579" s="39">
        <f t="shared" si="305"/>
        <v>1470508.902099666</v>
      </c>
      <c r="T579" s="39">
        <f t="shared" si="305"/>
        <v>1838136.1276245825</v>
      </c>
      <c r="U579" s="39">
        <f t="shared" si="305"/>
        <v>2205763.3531494988</v>
      </c>
      <c r="V579" s="39">
        <f t="shared" si="305"/>
        <v>2573390.5786744151</v>
      </c>
      <c r="W579" s="39">
        <f t="shared" si="305"/>
        <v>2941017.8041993314</v>
      </c>
      <c r="X579" s="39">
        <f t="shared" si="305"/>
        <v>3308645.0297242478</v>
      </c>
      <c r="Y579" s="39">
        <f t="shared" si="305"/>
        <v>3676272.2552491641</v>
      </c>
      <c r="Z579" s="39">
        <f t="shared" si="305"/>
        <v>4043899.4807740804</v>
      </c>
      <c r="AA579" s="39">
        <f t="shared" si="305"/>
        <v>0</v>
      </c>
      <c r="AB579" s="39">
        <f t="shared" si="305"/>
        <v>494417.74709713337</v>
      </c>
      <c r="AC579" s="39">
        <f t="shared" si="305"/>
        <v>988835.49419426674</v>
      </c>
      <c r="AD579" s="39">
        <f t="shared" si="305"/>
        <v>1483253.2412914</v>
      </c>
      <c r="AE579" s="39">
        <f t="shared" si="305"/>
        <v>1977670.9883885335</v>
      </c>
      <c r="AF579" s="39">
        <f t="shared" si="305"/>
        <v>2472088.7354856669</v>
      </c>
      <c r="AG579" s="39">
        <f t="shared" si="305"/>
        <v>2966506.4825828001</v>
      </c>
      <c r="AH579" s="39">
        <f t="shared" si="305"/>
        <v>3460924.2296799333</v>
      </c>
      <c r="AI579" s="39">
        <f t="shared" si="305"/>
        <v>3955341.9767770665</v>
      </c>
      <c r="AJ579" s="39">
        <f t="shared" si="305"/>
        <v>4449759.7238742001</v>
      </c>
      <c r="AK579" s="39">
        <f t="shared" si="305"/>
        <v>4944177.4709713338</v>
      </c>
      <c r="AL579" s="39">
        <f t="shared" si="305"/>
        <v>5438595.2180684675</v>
      </c>
      <c r="AM579" s="39">
        <f t="shared" si="305"/>
        <v>0</v>
      </c>
      <c r="AN579" s="39">
        <f t="shared" si="305"/>
        <v>0</v>
      </c>
      <c r="AO579" s="39">
        <f t="shared" si="305"/>
        <v>0</v>
      </c>
      <c r="AP579" s="39">
        <f t="shared" si="305"/>
        <v>0</v>
      </c>
    </row>
    <row r="580" spans="1:42" x14ac:dyDescent="0.2">
      <c r="A580" s="17" t="s">
        <v>117</v>
      </c>
      <c r="B580" s="39">
        <v>0</v>
      </c>
      <c r="C580" s="39">
        <f>C608</f>
        <v>273351.3870419304</v>
      </c>
      <c r="D580" s="39">
        <f t="shared" ref="D580:AP580" si="306">D608</f>
        <v>273351.3870419304</v>
      </c>
      <c r="E580" s="39">
        <f t="shared" si="306"/>
        <v>273351.3870419304</v>
      </c>
      <c r="F580" s="39">
        <f t="shared" si="306"/>
        <v>273351.3870419304</v>
      </c>
      <c r="G580" s="39">
        <f t="shared" si="306"/>
        <v>273351.3870419304</v>
      </c>
      <c r="H580" s="39">
        <f t="shared" si="306"/>
        <v>273351.3870419304</v>
      </c>
      <c r="I580" s="39">
        <f t="shared" si="306"/>
        <v>273351.3870419304</v>
      </c>
      <c r="J580" s="39">
        <f t="shared" si="306"/>
        <v>273351.3870419304</v>
      </c>
      <c r="K580" s="39">
        <f t="shared" si="306"/>
        <v>273351.3870419304</v>
      </c>
      <c r="L580" s="39">
        <f t="shared" si="306"/>
        <v>273351.3870419304</v>
      </c>
      <c r="M580" s="39">
        <f t="shared" si="306"/>
        <v>273351.3870419304</v>
      </c>
      <c r="N580" s="39">
        <f t="shared" si="306"/>
        <v>273351.3870419304</v>
      </c>
      <c r="O580" s="39">
        <f t="shared" si="306"/>
        <v>367627.22552491649</v>
      </c>
      <c r="P580" s="39">
        <f t="shared" si="306"/>
        <v>367627.22552491649</v>
      </c>
      <c r="Q580" s="39">
        <f t="shared" si="306"/>
        <v>367627.22552491649</v>
      </c>
      <c r="R580" s="39">
        <f t="shared" si="306"/>
        <v>367627.22552491649</v>
      </c>
      <c r="S580" s="39">
        <f t="shared" si="306"/>
        <v>367627.22552491649</v>
      </c>
      <c r="T580" s="39">
        <f t="shared" si="306"/>
        <v>367627.22552491649</v>
      </c>
      <c r="U580" s="39">
        <f t="shared" si="306"/>
        <v>367627.22552491649</v>
      </c>
      <c r="V580" s="39">
        <f t="shared" si="306"/>
        <v>367627.22552491649</v>
      </c>
      <c r="W580" s="39">
        <f t="shared" si="306"/>
        <v>367627.22552491649</v>
      </c>
      <c r="X580" s="39">
        <f t="shared" si="306"/>
        <v>367627.22552491649</v>
      </c>
      <c r="Y580" s="39">
        <f t="shared" si="306"/>
        <v>367627.22552491649</v>
      </c>
      <c r="Z580" s="39">
        <f t="shared" si="306"/>
        <v>367627.22552491649</v>
      </c>
      <c r="AA580" s="39">
        <f t="shared" si="306"/>
        <v>494417.74709713337</v>
      </c>
      <c r="AB580" s="39">
        <f t="shared" si="306"/>
        <v>494417.74709713337</v>
      </c>
      <c r="AC580" s="39">
        <f t="shared" si="306"/>
        <v>494417.74709713337</v>
      </c>
      <c r="AD580" s="39">
        <f t="shared" si="306"/>
        <v>494417.74709713337</v>
      </c>
      <c r="AE580" s="39">
        <f t="shared" si="306"/>
        <v>494417.74709713337</v>
      </c>
      <c r="AF580" s="39">
        <f t="shared" si="306"/>
        <v>494417.74709713337</v>
      </c>
      <c r="AG580" s="39">
        <f t="shared" si="306"/>
        <v>494417.74709713337</v>
      </c>
      <c r="AH580" s="39">
        <f t="shared" si="306"/>
        <v>494417.74709713337</v>
      </c>
      <c r="AI580" s="39">
        <f t="shared" si="306"/>
        <v>494417.74709713337</v>
      </c>
      <c r="AJ580" s="39">
        <f t="shared" si="306"/>
        <v>494417.74709713337</v>
      </c>
      <c r="AK580" s="39">
        <f t="shared" si="306"/>
        <v>494417.74709713337</v>
      </c>
      <c r="AL580" s="39">
        <f t="shared" si="306"/>
        <v>494417.74709713337</v>
      </c>
      <c r="AM580" s="39">
        <f t="shared" si="306"/>
        <v>0</v>
      </c>
      <c r="AN580" s="39">
        <f t="shared" si="306"/>
        <v>0</v>
      </c>
      <c r="AO580" s="39">
        <f t="shared" si="306"/>
        <v>0</v>
      </c>
      <c r="AP580" s="39">
        <f t="shared" si="306"/>
        <v>0</v>
      </c>
    </row>
    <row r="581" spans="1:42" x14ac:dyDescent="0.2">
      <c r="A581" s="17" t="s">
        <v>50</v>
      </c>
      <c r="B581" s="53">
        <v>0</v>
      </c>
      <c r="C581" s="53">
        <f>-C596</f>
        <v>0</v>
      </c>
      <c r="D581" s="53">
        <f t="shared" ref="D581:AP581" si="307">-D596</f>
        <v>0</v>
      </c>
      <c r="E581" s="53">
        <f t="shared" si="307"/>
        <v>0</v>
      </c>
      <c r="F581" s="53">
        <f t="shared" si="307"/>
        <v>0</v>
      </c>
      <c r="G581" s="53">
        <f t="shared" si="307"/>
        <v>0</v>
      </c>
      <c r="H581" s="53">
        <f t="shared" si="307"/>
        <v>0</v>
      </c>
      <c r="I581" s="53">
        <f t="shared" si="307"/>
        <v>0</v>
      </c>
      <c r="J581" s="53">
        <f t="shared" si="307"/>
        <v>0</v>
      </c>
      <c r="K581" s="53">
        <f t="shared" si="307"/>
        <v>0</v>
      </c>
      <c r="L581" s="53">
        <f t="shared" si="307"/>
        <v>0</v>
      </c>
      <c r="M581" s="53">
        <f t="shared" si="307"/>
        <v>0</v>
      </c>
      <c r="N581" s="53">
        <f t="shared" si="307"/>
        <v>-3280216.644503165</v>
      </c>
      <c r="O581" s="53">
        <f t="shared" si="307"/>
        <v>0</v>
      </c>
      <c r="P581" s="53">
        <f t="shared" si="307"/>
        <v>0</v>
      </c>
      <c r="Q581" s="53">
        <f t="shared" si="307"/>
        <v>0</v>
      </c>
      <c r="R581" s="53">
        <f t="shared" si="307"/>
        <v>0</v>
      </c>
      <c r="S581" s="53">
        <f t="shared" si="307"/>
        <v>0</v>
      </c>
      <c r="T581" s="53">
        <f t="shared" si="307"/>
        <v>0</v>
      </c>
      <c r="U581" s="53">
        <f t="shared" si="307"/>
        <v>0</v>
      </c>
      <c r="V581" s="53">
        <f t="shared" si="307"/>
        <v>0</v>
      </c>
      <c r="W581" s="53">
        <f t="shared" si="307"/>
        <v>0</v>
      </c>
      <c r="X581" s="53">
        <f t="shared" si="307"/>
        <v>0</v>
      </c>
      <c r="Y581" s="53">
        <f t="shared" si="307"/>
        <v>0</v>
      </c>
      <c r="Z581" s="53">
        <f t="shared" si="307"/>
        <v>-4411526.7062989976</v>
      </c>
      <c r="AA581" s="53">
        <f t="shared" si="307"/>
        <v>0</v>
      </c>
      <c r="AB581" s="53">
        <f t="shared" si="307"/>
        <v>0</v>
      </c>
      <c r="AC581" s="53">
        <f t="shared" si="307"/>
        <v>0</v>
      </c>
      <c r="AD581" s="53">
        <f t="shared" si="307"/>
        <v>0</v>
      </c>
      <c r="AE581" s="53">
        <f t="shared" si="307"/>
        <v>0</v>
      </c>
      <c r="AF581" s="53">
        <f t="shared" si="307"/>
        <v>0</v>
      </c>
      <c r="AG581" s="53">
        <f t="shared" si="307"/>
        <v>0</v>
      </c>
      <c r="AH581" s="53">
        <f t="shared" si="307"/>
        <v>0</v>
      </c>
      <c r="AI581" s="53">
        <f t="shared" si="307"/>
        <v>0</v>
      </c>
      <c r="AJ581" s="53">
        <f t="shared" si="307"/>
        <v>0</v>
      </c>
      <c r="AK581" s="53">
        <f t="shared" si="307"/>
        <v>0</v>
      </c>
      <c r="AL581" s="53">
        <f t="shared" si="307"/>
        <v>-5933012.9651656002</v>
      </c>
      <c r="AM581" s="53">
        <f t="shared" si="307"/>
        <v>0</v>
      </c>
      <c r="AN581" s="53">
        <f t="shared" si="307"/>
        <v>0</v>
      </c>
      <c r="AO581" s="53">
        <f t="shared" si="307"/>
        <v>0</v>
      </c>
      <c r="AP581" s="53">
        <f t="shared" si="307"/>
        <v>0</v>
      </c>
    </row>
    <row r="582" spans="1:42" x14ac:dyDescent="0.2">
      <c r="A582" s="17" t="s">
        <v>46</v>
      </c>
      <c r="B582" s="39">
        <f>SUM(B579:B581)</f>
        <v>0</v>
      </c>
      <c r="C582" s="39">
        <f>SUM(C579:C581)</f>
        <v>273351.3870419304</v>
      </c>
      <c r="D582" s="39">
        <f t="shared" ref="D582:AP582" si="308">SUM(D579:D581)</f>
        <v>546702.7740838608</v>
      </c>
      <c r="E582" s="39">
        <f t="shared" si="308"/>
        <v>820054.16112579126</v>
      </c>
      <c r="F582" s="39">
        <f t="shared" si="308"/>
        <v>1093405.5481677216</v>
      </c>
      <c r="G582" s="39">
        <f t="shared" si="308"/>
        <v>1366756.9352096519</v>
      </c>
      <c r="H582" s="39">
        <f t="shared" si="308"/>
        <v>1640108.3222515823</v>
      </c>
      <c r="I582" s="39">
        <f t="shared" si="308"/>
        <v>1913459.7092935126</v>
      </c>
      <c r="J582" s="39">
        <f t="shared" si="308"/>
        <v>2186811.0963354432</v>
      </c>
      <c r="K582" s="39">
        <f t="shared" si="308"/>
        <v>2460162.4833773738</v>
      </c>
      <c r="L582" s="39">
        <f t="shared" si="308"/>
        <v>2733513.8704193044</v>
      </c>
      <c r="M582" s="39">
        <f t="shared" si="308"/>
        <v>3006865.2574612349</v>
      </c>
      <c r="N582" s="39">
        <f t="shared" si="308"/>
        <v>0</v>
      </c>
      <c r="O582" s="39">
        <f t="shared" si="308"/>
        <v>367627.22552491649</v>
      </c>
      <c r="P582" s="39">
        <f t="shared" si="308"/>
        <v>735254.45104983298</v>
      </c>
      <c r="Q582" s="39">
        <f t="shared" si="308"/>
        <v>1102881.6765747494</v>
      </c>
      <c r="R582" s="39">
        <f t="shared" si="308"/>
        <v>1470508.902099666</v>
      </c>
      <c r="S582" s="39">
        <f t="shared" si="308"/>
        <v>1838136.1276245825</v>
      </c>
      <c r="T582" s="39">
        <f t="shared" si="308"/>
        <v>2205763.3531494988</v>
      </c>
      <c r="U582" s="39">
        <f t="shared" si="308"/>
        <v>2573390.5786744151</v>
      </c>
      <c r="V582" s="39">
        <f t="shared" si="308"/>
        <v>2941017.8041993314</v>
      </c>
      <c r="W582" s="39">
        <f t="shared" si="308"/>
        <v>3308645.0297242478</v>
      </c>
      <c r="X582" s="39">
        <f t="shared" si="308"/>
        <v>3676272.2552491641</v>
      </c>
      <c r="Y582" s="39">
        <f t="shared" si="308"/>
        <v>4043899.4807740804</v>
      </c>
      <c r="Z582" s="39">
        <f t="shared" si="308"/>
        <v>0</v>
      </c>
      <c r="AA582" s="39">
        <f t="shared" si="308"/>
        <v>494417.74709713337</v>
      </c>
      <c r="AB582" s="39">
        <f t="shared" si="308"/>
        <v>988835.49419426674</v>
      </c>
      <c r="AC582" s="39">
        <f t="shared" si="308"/>
        <v>1483253.2412914</v>
      </c>
      <c r="AD582" s="39">
        <f t="shared" si="308"/>
        <v>1977670.9883885335</v>
      </c>
      <c r="AE582" s="39">
        <f t="shared" si="308"/>
        <v>2472088.7354856669</v>
      </c>
      <c r="AF582" s="39">
        <f t="shared" si="308"/>
        <v>2966506.4825828001</v>
      </c>
      <c r="AG582" s="39">
        <f t="shared" si="308"/>
        <v>3460924.2296799333</v>
      </c>
      <c r="AH582" s="39">
        <f t="shared" si="308"/>
        <v>3955341.9767770665</v>
      </c>
      <c r="AI582" s="39">
        <f t="shared" si="308"/>
        <v>4449759.7238742001</v>
      </c>
      <c r="AJ582" s="39">
        <f t="shared" si="308"/>
        <v>4944177.4709713338</v>
      </c>
      <c r="AK582" s="39">
        <f t="shared" si="308"/>
        <v>5438595.2180684675</v>
      </c>
      <c r="AL582" s="39">
        <f t="shared" si="308"/>
        <v>0</v>
      </c>
      <c r="AM582" s="39">
        <f t="shared" si="308"/>
        <v>0</v>
      </c>
      <c r="AN582" s="39">
        <f t="shared" si="308"/>
        <v>0</v>
      </c>
      <c r="AO582" s="39">
        <f t="shared" si="308"/>
        <v>0</v>
      </c>
      <c r="AP582" s="39">
        <f t="shared" si="308"/>
        <v>0</v>
      </c>
    </row>
    <row r="583" spans="1:42" x14ac:dyDescent="0.2">
      <c r="B583" s="39"/>
      <c r="C583" s="39"/>
      <c r="D583" s="39"/>
      <c r="E583" s="39"/>
      <c r="F583" s="39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52"/>
      <c r="AE583" s="52"/>
      <c r="AF583" s="52"/>
      <c r="AG583" s="52"/>
      <c r="AH583" s="52"/>
      <c r="AI583" s="52"/>
      <c r="AJ583" s="52"/>
      <c r="AK583" s="52"/>
      <c r="AL583" s="52"/>
      <c r="AM583" s="52"/>
      <c r="AN583" s="52"/>
      <c r="AO583" s="52"/>
      <c r="AP583" s="52"/>
    </row>
    <row r="584" spans="1:42" x14ac:dyDescent="0.2">
      <c r="A584" s="17" t="s">
        <v>115</v>
      </c>
      <c r="B584" s="39"/>
      <c r="C584" s="39"/>
      <c r="D584" s="39"/>
      <c r="E584" s="39"/>
      <c r="F584" s="39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52"/>
      <c r="AE584" s="52"/>
      <c r="AF584" s="52"/>
      <c r="AG584" s="52"/>
      <c r="AH584" s="52"/>
      <c r="AI584" s="52"/>
      <c r="AJ584" s="52"/>
      <c r="AK584" s="52"/>
      <c r="AL584" s="52"/>
      <c r="AM584" s="52"/>
      <c r="AN584" s="52"/>
      <c r="AO584" s="52"/>
      <c r="AP584" s="52"/>
    </row>
    <row r="585" spans="1:42" x14ac:dyDescent="0.2">
      <c r="A585" s="17" t="s">
        <v>116</v>
      </c>
      <c r="B585" s="39"/>
      <c r="C585" s="39"/>
      <c r="D585" s="39"/>
      <c r="E585" s="39"/>
      <c r="F585" s="39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52"/>
      <c r="AE585" s="52"/>
      <c r="AF585" s="52"/>
      <c r="AG585" s="52"/>
      <c r="AH585" s="52"/>
      <c r="AI585" s="52"/>
      <c r="AJ585" s="52"/>
      <c r="AK585" s="52"/>
      <c r="AL585" s="52"/>
      <c r="AM585" s="52"/>
      <c r="AN585" s="52"/>
      <c r="AO585" s="52"/>
      <c r="AP585" s="52"/>
    </row>
    <row r="586" spans="1:42" x14ac:dyDescent="0.2">
      <c r="A586" s="17">
        <v>1</v>
      </c>
      <c r="B586" s="58">
        <f t="shared" ref="B586:B595" si="309">SUM(C586:AP586)</f>
        <v>3280216.644503165</v>
      </c>
      <c r="C586" s="52">
        <f t="shared" ref="C586:AP592" si="310">IF(C$2&gt;AnalysisPeriod,0,IF(C$2=MMFrequency*$A586,MMCost*CapacityDC*1000*(1+Inflation)^B$2,0))</f>
        <v>0</v>
      </c>
      <c r="D586" s="52">
        <f t="shared" si="310"/>
        <v>0</v>
      </c>
      <c r="E586" s="52">
        <f t="shared" si="310"/>
        <v>0</v>
      </c>
      <c r="F586" s="52">
        <f t="shared" si="310"/>
        <v>0</v>
      </c>
      <c r="G586" s="52">
        <f t="shared" si="310"/>
        <v>0</v>
      </c>
      <c r="H586" s="52">
        <f t="shared" si="310"/>
        <v>0</v>
      </c>
      <c r="I586" s="52">
        <f t="shared" si="310"/>
        <v>0</v>
      </c>
      <c r="J586" s="52">
        <f t="shared" si="310"/>
        <v>0</v>
      </c>
      <c r="K586" s="52">
        <f t="shared" si="310"/>
        <v>0</v>
      </c>
      <c r="L586" s="52">
        <f t="shared" si="310"/>
        <v>0</v>
      </c>
      <c r="M586" s="52">
        <f t="shared" si="310"/>
        <v>0</v>
      </c>
      <c r="N586" s="52">
        <f t="shared" si="310"/>
        <v>3280216.644503165</v>
      </c>
      <c r="O586" s="52">
        <f t="shared" si="310"/>
        <v>0</v>
      </c>
      <c r="P586" s="52">
        <f t="shared" si="310"/>
        <v>0</v>
      </c>
      <c r="Q586" s="52">
        <f t="shared" si="310"/>
        <v>0</v>
      </c>
      <c r="R586" s="52">
        <f t="shared" si="310"/>
        <v>0</v>
      </c>
      <c r="S586" s="52">
        <f t="shared" si="310"/>
        <v>0</v>
      </c>
      <c r="T586" s="52">
        <f t="shared" si="310"/>
        <v>0</v>
      </c>
      <c r="U586" s="52">
        <f t="shared" si="310"/>
        <v>0</v>
      </c>
      <c r="V586" s="52">
        <f t="shared" si="310"/>
        <v>0</v>
      </c>
      <c r="W586" s="52">
        <f t="shared" si="310"/>
        <v>0</v>
      </c>
      <c r="X586" s="52">
        <f t="shared" si="310"/>
        <v>0</v>
      </c>
      <c r="Y586" s="52">
        <f t="shared" si="310"/>
        <v>0</v>
      </c>
      <c r="Z586" s="52">
        <f t="shared" si="310"/>
        <v>0</v>
      </c>
      <c r="AA586" s="52">
        <f t="shared" si="310"/>
        <v>0</v>
      </c>
      <c r="AB586" s="52">
        <f t="shared" si="310"/>
        <v>0</v>
      </c>
      <c r="AC586" s="52">
        <f t="shared" si="310"/>
        <v>0</v>
      </c>
      <c r="AD586" s="52">
        <f t="shared" si="310"/>
        <v>0</v>
      </c>
      <c r="AE586" s="52">
        <f t="shared" si="310"/>
        <v>0</v>
      </c>
      <c r="AF586" s="52">
        <f t="shared" si="310"/>
        <v>0</v>
      </c>
      <c r="AG586" s="52">
        <f t="shared" si="310"/>
        <v>0</v>
      </c>
      <c r="AH586" s="52">
        <f t="shared" si="310"/>
        <v>0</v>
      </c>
      <c r="AI586" s="52">
        <f t="shared" si="310"/>
        <v>0</v>
      </c>
      <c r="AJ586" s="52">
        <f t="shared" si="310"/>
        <v>0</v>
      </c>
      <c r="AK586" s="52">
        <f t="shared" si="310"/>
        <v>0</v>
      </c>
      <c r="AL586" s="52">
        <f t="shared" si="310"/>
        <v>0</v>
      </c>
      <c r="AM586" s="52">
        <f t="shared" si="310"/>
        <v>0</v>
      </c>
      <c r="AN586" s="52">
        <f t="shared" si="310"/>
        <v>0</v>
      </c>
      <c r="AO586" s="52">
        <f t="shared" si="310"/>
        <v>0</v>
      </c>
      <c r="AP586" s="52">
        <f t="shared" si="310"/>
        <v>0</v>
      </c>
    </row>
    <row r="587" spans="1:42" x14ac:dyDescent="0.2">
      <c r="A587" s="17">
        <f>A586+1</f>
        <v>2</v>
      </c>
      <c r="B587" s="58">
        <f t="shared" si="309"/>
        <v>4411526.7062989976</v>
      </c>
      <c r="C587" s="52">
        <f t="shared" si="310"/>
        <v>0</v>
      </c>
      <c r="D587" s="52">
        <f t="shared" si="310"/>
        <v>0</v>
      </c>
      <c r="E587" s="52">
        <f t="shared" si="310"/>
        <v>0</v>
      </c>
      <c r="F587" s="52">
        <f t="shared" si="310"/>
        <v>0</v>
      </c>
      <c r="G587" s="52">
        <f t="shared" si="310"/>
        <v>0</v>
      </c>
      <c r="H587" s="52">
        <f t="shared" si="310"/>
        <v>0</v>
      </c>
      <c r="I587" s="52">
        <f t="shared" si="310"/>
        <v>0</v>
      </c>
      <c r="J587" s="52">
        <f t="shared" si="310"/>
        <v>0</v>
      </c>
      <c r="K587" s="52">
        <f t="shared" si="310"/>
        <v>0</v>
      </c>
      <c r="L587" s="52">
        <f t="shared" si="310"/>
        <v>0</v>
      </c>
      <c r="M587" s="52">
        <f t="shared" si="310"/>
        <v>0</v>
      </c>
      <c r="N587" s="52">
        <f t="shared" si="310"/>
        <v>0</v>
      </c>
      <c r="O587" s="52">
        <f t="shared" si="310"/>
        <v>0</v>
      </c>
      <c r="P587" s="52">
        <f t="shared" si="310"/>
        <v>0</v>
      </c>
      <c r="Q587" s="52">
        <f t="shared" si="310"/>
        <v>0</v>
      </c>
      <c r="R587" s="52">
        <f t="shared" si="310"/>
        <v>0</v>
      </c>
      <c r="S587" s="52">
        <f t="shared" si="310"/>
        <v>0</v>
      </c>
      <c r="T587" s="52">
        <f t="shared" si="310"/>
        <v>0</v>
      </c>
      <c r="U587" s="52">
        <f t="shared" si="310"/>
        <v>0</v>
      </c>
      <c r="V587" s="52">
        <f t="shared" si="310"/>
        <v>0</v>
      </c>
      <c r="W587" s="52">
        <f t="shared" si="310"/>
        <v>0</v>
      </c>
      <c r="X587" s="52">
        <f t="shared" si="310"/>
        <v>0</v>
      </c>
      <c r="Y587" s="52">
        <f t="shared" si="310"/>
        <v>0</v>
      </c>
      <c r="Z587" s="52">
        <f t="shared" si="310"/>
        <v>4411526.7062989976</v>
      </c>
      <c r="AA587" s="52">
        <f t="shared" si="310"/>
        <v>0</v>
      </c>
      <c r="AB587" s="52">
        <f t="shared" si="310"/>
        <v>0</v>
      </c>
      <c r="AC587" s="52">
        <f t="shared" si="310"/>
        <v>0</v>
      </c>
      <c r="AD587" s="52">
        <f t="shared" si="310"/>
        <v>0</v>
      </c>
      <c r="AE587" s="52">
        <f t="shared" si="310"/>
        <v>0</v>
      </c>
      <c r="AF587" s="52">
        <f t="shared" si="310"/>
        <v>0</v>
      </c>
      <c r="AG587" s="52">
        <f t="shared" si="310"/>
        <v>0</v>
      </c>
      <c r="AH587" s="52">
        <f t="shared" si="310"/>
        <v>0</v>
      </c>
      <c r="AI587" s="52">
        <f t="shared" si="310"/>
        <v>0</v>
      </c>
      <c r="AJ587" s="52">
        <f t="shared" si="310"/>
        <v>0</v>
      </c>
      <c r="AK587" s="52">
        <f t="shared" si="310"/>
        <v>0</v>
      </c>
      <c r="AL587" s="52">
        <f t="shared" si="310"/>
        <v>0</v>
      </c>
      <c r="AM587" s="52">
        <f t="shared" si="310"/>
        <v>0</v>
      </c>
      <c r="AN587" s="52">
        <f t="shared" si="310"/>
        <v>0</v>
      </c>
      <c r="AO587" s="52">
        <f t="shared" si="310"/>
        <v>0</v>
      </c>
      <c r="AP587" s="52">
        <f t="shared" si="310"/>
        <v>0</v>
      </c>
    </row>
    <row r="588" spans="1:42" x14ac:dyDescent="0.2">
      <c r="A588" s="17">
        <f t="shared" ref="A588:A595" si="311">A587+1</f>
        <v>3</v>
      </c>
      <c r="B588" s="58">
        <f t="shared" si="309"/>
        <v>5933012.9651656002</v>
      </c>
      <c r="C588" s="52">
        <f t="shared" si="310"/>
        <v>0</v>
      </c>
      <c r="D588" s="52">
        <f t="shared" si="310"/>
        <v>0</v>
      </c>
      <c r="E588" s="52">
        <f t="shared" si="310"/>
        <v>0</v>
      </c>
      <c r="F588" s="52">
        <f t="shared" si="310"/>
        <v>0</v>
      </c>
      <c r="G588" s="52">
        <f t="shared" si="310"/>
        <v>0</v>
      </c>
      <c r="H588" s="52">
        <f t="shared" si="310"/>
        <v>0</v>
      </c>
      <c r="I588" s="52">
        <f t="shared" si="310"/>
        <v>0</v>
      </c>
      <c r="J588" s="52">
        <f t="shared" si="310"/>
        <v>0</v>
      </c>
      <c r="K588" s="52">
        <f t="shared" si="310"/>
        <v>0</v>
      </c>
      <c r="L588" s="52">
        <f t="shared" si="310"/>
        <v>0</v>
      </c>
      <c r="M588" s="52">
        <f t="shared" si="310"/>
        <v>0</v>
      </c>
      <c r="N588" s="52">
        <f t="shared" si="310"/>
        <v>0</v>
      </c>
      <c r="O588" s="52">
        <f t="shared" si="310"/>
        <v>0</v>
      </c>
      <c r="P588" s="52">
        <f t="shared" si="310"/>
        <v>0</v>
      </c>
      <c r="Q588" s="52">
        <f t="shared" si="310"/>
        <v>0</v>
      </c>
      <c r="R588" s="52">
        <f t="shared" si="310"/>
        <v>0</v>
      </c>
      <c r="S588" s="52">
        <f t="shared" si="310"/>
        <v>0</v>
      </c>
      <c r="T588" s="52">
        <f t="shared" si="310"/>
        <v>0</v>
      </c>
      <c r="U588" s="52">
        <f t="shared" si="310"/>
        <v>0</v>
      </c>
      <c r="V588" s="52">
        <f t="shared" si="310"/>
        <v>0</v>
      </c>
      <c r="W588" s="52">
        <f t="shared" si="310"/>
        <v>0</v>
      </c>
      <c r="X588" s="52">
        <f t="shared" si="310"/>
        <v>0</v>
      </c>
      <c r="Y588" s="52">
        <f t="shared" si="310"/>
        <v>0</v>
      </c>
      <c r="Z588" s="52">
        <f t="shared" si="310"/>
        <v>0</v>
      </c>
      <c r="AA588" s="52">
        <f t="shared" si="310"/>
        <v>0</v>
      </c>
      <c r="AB588" s="52">
        <f t="shared" si="310"/>
        <v>0</v>
      </c>
      <c r="AC588" s="52">
        <f t="shared" si="310"/>
        <v>0</v>
      </c>
      <c r="AD588" s="52">
        <f t="shared" si="310"/>
        <v>0</v>
      </c>
      <c r="AE588" s="52">
        <f t="shared" si="310"/>
        <v>0</v>
      </c>
      <c r="AF588" s="52">
        <f t="shared" si="310"/>
        <v>0</v>
      </c>
      <c r="AG588" s="52">
        <f t="shared" si="310"/>
        <v>0</v>
      </c>
      <c r="AH588" s="52">
        <f t="shared" si="310"/>
        <v>0</v>
      </c>
      <c r="AI588" s="52">
        <f t="shared" si="310"/>
        <v>0</v>
      </c>
      <c r="AJ588" s="52">
        <f t="shared" si="310"/>
        <v>0</v>
      </c>
      <c r="AK588" s="52">
        <f t="shared" si="310"/>
        <v>0</v>
      </c>
      <c r="AL588" s="52">
        <f t="shared" si="310"/>
        <v>5933012.9651656002</v>
      </c>
      <c r="AM588" s="52">
        <f t="shared" si="310"/>
        <v>0</v>
      </c>
      <c r="AN588" s="52">
        <f t="shared" si="310"/>
        <v>0</v>
      </c>
      <c r="AO588" s="52">
        <f t="shared" si="310"/>
        <v>0</v>
      </c>
      <c r="AP588" s="52">
        <f t="shared" si="310"/>
        <v>0</v>
      </c>
    </row>
    <row r="589" spans="1:42" x14ac:dyDescent="0.2">
      <c r="A589" s="17">
        <f t="shared" si="311"/>
        <v>4</v>
      </c>
      <c r="B589" s="58">
        <f t="shared" si="309"/>
        <v>0</v>
      </c>
      <c r="C589" s="52">
        <f t="shared" si="310"/>
        <v>0</v>
      </c>
      <c r="D589" s="52">
        <f t="shared" si="310"/>
        <v>0</v>
      </c>
      <c r="E589" s="52">
        <f t="shared" si="310"/>
        <v>0</v>
      </c>
      <c r="F589" s="52">
        <f t="shared" si="310"/>
        <v>0</v>
      </c>
      <c r="G589" s="52">
        <f t="shared" si="310"/>
        <v>0</v>
      </c>
      <c r="H589" s="52">
        <f t="shared" si="310"/>
        <v>0</v>
      </c>
      <c r="I589" s="52">
        <f t="shared" si="310"/>
        <v>0</v>
      </c>
      <c r="J589" s="52">
        <f t="shared" si="310"/>
        <v>0</v>
      </c>
      <c r="K589" s="52">
        <f t="shared" si="310"/>
        <v>0</v>
      </c>
      <c r="L589" s="52">
        <f t="shared" si="310"/>
        <v>0</v>
      </c>
      <c r="M589" s="52">
        <f t="shared" si="310"/>
        <v>0</v>
      </c>
      <c r="N589" s="52">
        <f t="shared" si="310"/>
        <v>0</v>
      </c>
      <c r="O589" s="52">
        <f t="shared" si="310"/>
        <v>0</v>
      </c>
      <c r="P589" s="52">
        <f t="shared" si="310"/>
        <v>0</v>
      </c>
      <c r="Q589" s="52">
        <f t="shared" si="310"/>
        <v>0</v>
      </c>
      <c r="R589" s="52">
        <f t="shared" si="310"/>
        <v>0</v>
      </c>
      <c r="S589" s="52">
        <f t="shared" si="310"/>
        <v>0</v>
      </c>
      <c r="T589" s="52">
        <f t="shared" si="310"/>
        <v>0</v>
      </c>
      <c r="U589" s="52">
        <f t="shared" si="310"/>
        <v>0</v>
      </c>
      <c r="V589" s="52">
        <f t="shared" si="310"/>
        <v>0</v>
      </c>
      <c r="W589" s="52">
        <f t="shared" si="310"/>
        <v>0</v>
      </c>
      <c r="X589" s="52">
        <f t="shared" si="310"/>
        <v>0</v>
      </c>
      <c r="Y589" s="52">
        <f t="shared" si="310"/>
        <v>0</v>
      </c>
      <c r="Z589" s="52">
        <f t="shared" si="310"/>
        <v>0</v>
      </c>
      <c r="AA589" s="52">
        <f t="shared" si="310"/>
        <v>0</v>
      </c>
      <c r="AB589" s="52">
        <f t="shared" si="310"/>
        <v>0</v>
      </c>
      <c r="AC589" s="52">
        <f t="shared" si="310"/>
        <v>0</v>
      </c>
      <c r="AD589" s="52">
        <f t="shared" si="310"/>
        <v>0</v>
      </c>
      <c r="AE589" s="52">
        <f t="shared" si="310"/>
        <v>0</v>
      </c>
      <c r="AF589" s="52">
        <f t="shared" si="310"/>
        <v>0</v>
      </c>
      <c r="AG589" s="52">
        <f t="shared" si="310"/>
        <v>0</v>
      </c>
      <c r="AH589" s="52">
        <f t="shared" si="310"/>
        <v>0</v>
      </c>
      <c r="AI589" s="52">
        <f t="shared" si="310"/>
        <v>0</v>
      </c>
      <c r="AJ589" s="52">
        <f t="shared" si="310"/>
        <v>0</v>
      </c>
      <c r="AK589" s="52">
        <f t="shared" si="310"/>
        <v>0</v>
      </c>
      <c r="AL589" s="52">
        <f t="shared" si="310"/>
        <v>0</v>
      </c>
      <c r="AM589" s="52">
        <f t="shared" si="310"/>
        <v>0</v>
      </c>
      <c r="AN589" s="52">
        <f t="shared" si="310"/>
        <v>0</v>
      </c>
      <c r="AO589" s="52">
        <f t="shared" si="310"/>
        <v>0</v>
      </c>
      <c r="AP589" s="52">
        <f t="shared" si="310"/>
        <v>0</v>
      </c>
    </row>
    <row r="590" spans="1:42" x14ac:dyDescent="0.2">
      <c r="A590" s="17">
        <f t="shared" si="311"/>
        <v>5</v>
      </c>
      <c r="B590" s="58">
        <f t="shared" si="309"/>
        <v>0</v>
      </c>
      <c r="C590" s="52">
        <f t="shared" si="310"/>
        <v>0</v>
      </c>
      <c r="D590" s="52">
        <f t="shared" si="310"/>
        <v>0</v>
      </c>
      <c r="E590" s="52">
        <f t="shared" si="310"/>
        <v>0</v>
      </c>
      <c r="F590" s="52">
        <f t="shared" si="310"/>
        <v>0</v>
      </c>
      <c r="G590" s="52">
        <f t="shared" si="310"/>
        <v>0</v>
      </c>
      <c r="H590" s="52">
        <f t="shared" si="310"/>
        <v>0</v>
      </c>
      <c r="I590" s="52">
        <f t="shared" si="310"/>
        <v>0</v>
      </c>
      <c r="J590" s="52">
        <f t="shared" si="310"/>
        <v>0</v>
      </c>
      <c r="K590" s="52">
        <f t="shared" si="310"/>
        <v>0</v>
      </c>
      <c r="L590" s="52">
        <f t="shared" si="310"/>
        <v>0</v>
      </c>
      <c r="M590" s="52">
        <f t="shared" si="310"/>
        <v>0</v>
      </c>
      <c r="N590" s="52">
        <f t="shared" si="310"/>
        <v>0</v>
      </c>
      <c r="O590" s="52">
        <f t="shared" si="310"/>
        <v>0</v>
      </c>
      <c r="P590" s="52">
        <f t="shared" si="310"/>
        <v>0</v>
      </c>
      <c r="Q590" s="52">
        <f t="shared" si="310"/>
        <v>0</v>
      </c>
      <c r="R590" s="52">
        <f t="shared" si="310"/>
        <v>0</v>
      </c>
      <c r="S590" s="52">
        <f t="shared" si="310"/>
        <v>0</v>
      </c>
      <c r="T590" s="52">
        <f t="shared" si="310"/>
        <v>0</v>
      </c>
      <c r="U590" s="52">
        <f t="shared" si="310"/>
        <v>0</v>
      </c>
      <c r="V590" s="52">
        <f t="shared" si="310"/>
        <v>0</v>
      </c>
      <c r="W590" s="52">
        <f t="shared" si="310"/>
        <v>0</v>
      </c>
      <c r="X590" s="52">
        <f t="shared" si="310"/>
        <v>0</v>
      </c>
      <c r="Y590" s="52">
        <f t="shared" si="310"/>
        <v>0</v>
      </c>
      <c r="Z590" s="52">
        <f t="shared" si="310"/>
        <v>0</v>
      </c>
      <c r="AA590" s="52">
        <f t="shared" si="310"/>
        <v>0</v>
      </c>
      <c r="AB590" s="52">
        <f t="shared" si="310"/>
        <v>0</v>
      </c>
      <c r="AC590" s="52">
        <f t="shared" si="310"/>
        <v>0</v>
      </c>
      <c r="AD590" s="52">
        <f t="shared" si="310"/>
        <v>0</v>
      </c>
      <c r="AE590" s="52">
        <f t="shared" si="310"/>
        <v>0</v>
      </c>
      <c r="AF590" s="52">
        <f t="shared" si="310"/>
        <v>0</v>
      </c>
      <c r="AG590" s="52">
        <f t="shared" si="310"/>
        <v>0</v>
      </c>
      <c r="AH590" s="52">
        <f t="shared" si="310"/>
        <v>0</v>
      </c>
      <c r="AI590" s="52">
        <f t="shared" si="310"/>
        <v>0</v>
      </c>
      <c r="AJ590" s="52">
        <f t="shared" si="310"/>
        <v>0</v>
      </c>
      <c r="AK590" s="52">
        <f t="shared" si="310"/>
        <v>0</v>
      </c>
      <c r="AL590" s="52">
        <f t="shared" si="310"/>
        <v>0</v>
      </c>
      <c r="AM590" s="52">
        <f t="shared" si="310"/>
        <v>0</v>
      </c>
      <c r="AN590" s="52">
        <f t="shared" si="310"/>
        <v>0</v>
      </c>
      <c r="AO590" s="52">
        <f t="shared" si="310"/>
        <v>0</v>
      </c>
      <c r="AP590" s="52">
        <f t="shared" si="310"/>
        <v>0</v>
      </c>
    </row>
    <row r="591" spans="1:42" x14ac:dyDescent="0.2">
      <c r="A591" s="17">
        <f t="shared" si="311"/>
        <v>6</v>
      </c>
      <c r="B591" s="58">
        <f t="shared" si="309"/>
        <v>0</v>
      </c>
      <c r="C591" s="52">
        <f t="shared" si="310"/>
        <v>0</v>
      </c>
      <c r="D591" s="52">
        <f t="shared" si="310"/>
        <v>0</v>
      </c>
      <c r="E591" s="52">
        <f t="shared" si="310"/>
        <v>0</v>
      </c>
      <c r="F591" s="52">
        <f t="shared" si="310"/>
        <v>0</v>
      </c>
      <c r="G591" s="52">
        <f t="shared" si="310"/>
        <v>0</v>
      </c>
      <c r="H591" s="52">
        <f t="shared" si="310"/>
        <v>0</v>
      </c>
      <c r="I591" s="52">
        <f t="shared" si="310"/>
        <v>0</v>
      </c>
      <c r="J591" s="52">
        <f t="shared" si="310"/>
        <v>0</v>
      </c>
      <c r="K591" s="52">
        <f t="shared" si="310"/>
        <v>0</v>
      </c>
      <c r="L591" s="52">
        <f t="shared" si="310"/>
        <v>0</v>
      </c>
      <c r="M591" s="52">
        <f t="shared" si="310"/>
        <v>0</v>
      </c>
      <c r="N591" s="52">
        <f t="shared" si="310"/>
        <v>0</v>
      </c>
      <c r="O591" s="52">
        <f t="shared" si="310"/>
        <v>0</v>
      </c>
      <c r="P591" s="52">
        <f t="shared" si="310"/>
        <v>0</v>
      </c>
      <c r="Q591" s="52">
        <f t="shared" si="310"/>
        <v>0</v>
      </c>
      <c r="R591" s="52">
        <f t="shared" si="310"/>
        <v>0</v>
      </c>
      <c r="S591" s="52">
        <f t="shared" si="310"/>
        <v>0</v>
      </c>
      <c r="T591" s="52">
        <f t="shared" si="310"/>
        <v>0</v>
      </c>
      <c r="U591" s="52">
        <f t="shared" si="310"/>
        <v>0</v>
      </c>
      <c r="V591" s="52">
        <f t="shared" si="310"/>
        <v>0</v>
      </c>
      <c r="W591" s="52">
        <f t="shared" si="310"/>
        <v>0</v>
      </c>
      <c r="X591" s="52">
        <f t="shared" si="310"/>
        <v>0</v>
      </c>
      <c r="Y591" s="52">
        <f t="shared" si="310"/>
        <v>0</v>
      </c>
      <c r="Z591" s="52">
        <f t="shared" si="310"/>
        <v>0</v>
      </c>
      <c r="AA591" s="52">
        <f t="shared" si="310"/>
        <v>0</v>
      </c>
      <c r="AB591" s="52">
        <f t="shared" si="310"/>
        <v>0</v>
      </c>
      <c r="AC591" s="52">
        <f t="shared" si="310"/>
        <v>0</v>
      </c>
      <c r="AD591" s="52">
        <f t="shared" si="310"/>
        <v>0</v>
      </c>
      <c r="AE591" s="52">
        <f t="shared" si="310"/>
        <v>0</v>
      </c>
      <c r="AF591" s="52">
        <f t="shared" si="310"/>
        <v>0</v>
      </c>
      <c r="AG591" s="52">
        <f t="shared" si="310"/>
        <v>0</v>
      </c>
      <c r="AH591" s="52">
        <f t="shared" si="310"/>
        <v>0</v>
      </c>
      <c r="AI591" s="52">
        <f t="shared" si="310"/>
        <v>0</v>
      </c>
      <c r="AJ591" s="52">
        <f t="shared" si="310"/>
        <v>0</v>
      </c>
      <c r="AK591" s="52">
        <f t="shared" si="310"/>
        <v>0</v>
      </c>
      <c r="AL591" s="52">
        <f t="shared" si="310"/>
        <v>0</v>
      </c>
      <c r="AM591" s="52">
        <f t="shared" si="310"/>
        <v>0</v>
      </c>
      <c r="AN591" s="52">
        <f t="shared" si="310"/>
        <v>0</v>
      </c>
      <c r="AO591" s="52">
        <f t="shared" si="310"/>
        <v>0</v>
      </c>
      <c r="AP591" s="52">
        <f t="shared" si="310"/>
        <v>0</v>
      </c>
    </row>
    <row r="592" spans="1:42" x14ac:dyDescent="0.2">
      <c r="A592" s="17">
        <f t="shared" si="311"/>
        <v>7</v>
      </c>
      <c r="B592" s="58">
        <f t="shared" si="309"/>
        <v>0</v>
      </c>
      <c r="C592" s="52">
        <f t="shared" si="310"/>
        <v>0</v>
      </c>
      <c r="D592" s="52">
        <f t="shared" si="310"/>
        <v>0</v>
      </c>
      <c r="E592" s="52">
        <f t="shared" si="310"/>
        <v>0</v>
      </c>
      <c r="F592" s="52">
        <f t="shared" si="310"/>
        <v>0</v>
      </c>
      <c r="G592" s="52">
        <f t="shared" si="310"/>
        <v>0</v>
      </c>
      <c r="H592" s="52">
        <f t="shared" si="310"/>
        <v>0</v>
      </c>
      <c r="I592" s="52">
        <f t="shared" si="310"/>
        <v>0</v>
      </c>
      <c r="J592" s="52">
        <f t="shared" si="310"/>
        <v>0</v>
      </c>
      <c r="K592" s="52">
        <f t="shared" si="310"/>
        <v>0</v>
      </c>
      <c r="L592" s="52">
        <f t="shared" si="310"/>
        <v>0</v>
      </c>
      <c r="M592" s="52">
        <f t="shared" si="310"/>
        <v>0</v>
      </c>
      <c r="N592" s="52">
        <f t="shared" si="310"/>
        <v>0</v>
      </c>
      <c r="O592" s="52">
        <f t="shared" si="310"/>
        <v>0</v>
      </c>
      <c r="P592" s="52">
        <f t="shared" si="310"/>
        <v>0</v>
      </c>
      <c r="Q592" s="52">
        <f t="shared" si="310"/>
        <v>0</v>
      </c>
      <c r="R592" s="52">
        <f t="shared" ref="R592:AP592" si="312">IF(R$2&gt;AnalysisPeriod,0,IF(R$2=MMFrequency*$A592,MMCost*CapacityDC*1000*(1+Inflation)^Q$2,0))</f>
        <v>0</v>
      </c>
      <c r="S592" s="52">
        <f t="shared" si="312"/>
        <v>0</v>
      </c>
      <c r="T592" s="52">
        <f t="shared" si="312"/>
        <v>0</v>
      </c>
      <c r="U592" s="52">
        <f t="shared" si="312"/>
        <v>0</v>
      </c>
      <c r="V592" s="52">
        <f t="shared" si="312"/>
        <v>0</v>
      </c>
      <c r="W592" s="52">
        <f t="shared" si="312"/>
        <v>0</v>
      </c>
      <c r="X592" s="52">
        <f t="shared" si="312"/>
        <v>0</v>
      </c>
      <c r="Y592" s="52">
        <f t="shared" si="312"/>
        <v>0</v>
      </c>
      <c r="Z592" s="52">
        <f t="shared" si="312"/>
        <v>0</v>
      </c>
      <c r="AA592" s="52">
        <f t="shared" si="312"/>
        <v>0</v>
      </c>
      <c r="AB592" s="52">
        <f t="shared" si="312"/>
        <v>0</v>
      </c>
      <c r="AC592" s="52">
        <f t="shared" si="312"/>
        <v>0</v>
      </c>
      <c r="AD592" s="52">
        <f t="shared" si="312"/>
        <v>0</v>
      </c>
      <c r="AE592" s="52">
        <f t="shared" si="312"/>
        <v>0</v>
      </c>
      <c r="AF592" s="52">
        <f t="shared" si="312"/>
        <v>0</v>
      </c>
      <c r="AG592" s="52">
        <f t="shared" si="312"/>
        <v>0</v>
      </c>
      <c r="AH592" s="52">
        <f t="shared" si="312"/>
        <v>0</v>
      </c>
      <c r="AI592" s="52">
        <f t="shared" si="312"/>
        <v>0</v>
      </c>
      <c r="AJ592" s="52">
        <f t="shared" si="312"/>
        <v>0</v>
      </c>
      <c r="AK592" s="52">
        <f t="shared" si="312"/>
        <v>0</v>
      </c>
      <c r="AL592" s="52">
        <f t="shared" si="312"/>
        <v>0</v>
      </c>
      <c r="AM592" s="52">
        <f t="shared" si="312"/>
        <v>0</v>
      </c>
      <c r="AN592" s="52">
        <f t="shared" si="312"/>
        <v>0</v>
      </c>
      <c r="AO592" s="52">
        <f t="shared" si="312"/>
        <v>0</v>
      </c>
      <c r="AP592" s="52">
        <f t="shared" si="312"/>
        <v>0</v>
      </c>
    </row>
    <row r="593" spans="1:42" x14ac:dyDescent="0.2">
      <c r="A593" s="17">
        <f t="shared" si="311"/>
        <v>8</v>
      </c>
      <c r="B593" s="58">
        <f t="shared" si="309"/>
        <v>0</v>
      </c>
      <c r="C593" s="52">
        <f t="shared" ref="C593:AP595" si="313">IF(C$2&gt;AnalysisPeriod,0,IF(C$2=MMFrequency*$A593,MMCost*CapacityDC*1000*(1+Inflation)^B$2,0))</f>
        <v>0</v>
      </c>
      <c r="D593" s="52">
        <f t="shared" si="313"/>
        <v>0</v>
      </c>
      <c r="E593" s="52">
        <f t="shared" si="313"/>
        <v>0</v>
      </c>
      <c r="F593" s="52">
        <f t="shared" si="313"/>
        <v>0</v>
      </c>
      <c r="G593" s="52">
        <f t="shared" si="313"/>
        <v>0</v>
      </c>
      <c r="H593" s="52">
        <f t="shared" si="313"/>
        <v>0</v>
      </c>
      <c r="I593" s="52">
        <f t="shared" si="313"/>
        <v>0</v>
      </c>
      <c r="J593" s="52">
        <f t="shared" si="313"/>
        <v>0</v>
      </c>
      <c r="K593" s="52">
        <f t="shared" si="313"/>
        <v>0</v>
      </c>
      <c r="L593" s="52">
        <f t="shared" si="313"/>
        <v>0</v>
      </c>
      <c r="M593" s="52">
        <f t="shared" si="313"/>
        <v>0</v>
      </c>
      <c r="N593" s="52">
        <f t="shared" si="313"/>
        <v>0</v>
      </c>
      <c r="O593" s="52">
        <f t="shared" si="313"/>
        <v>0</v>
      </c>
      <c r="P593" s="52">
        <f t="shared" si="313"/>
        <v>0</v>
      </c>
      <c r="Q593" s="52">
        <f t="shared" si="313"/>
        <v>0</v>
      </c>
      <c r="R593" s="52">
        <f t="shared" si="313"/>
        <v>0</v>
      </c>
      <c r="S593" s="52">
        <f t="shared" si="313"/>
        <v>0</v>
      </c>
      <c r="T593" s="52">
        <f t="shared" si="313"/>
        <v>0</v>
      </c>
      <c r="U593" s="52">
        <f t="shared" si="313"/>
        <v>0</v>
      </c>
      <c r="V593" s="52">
        <f t="shared" si="313"/>
        <v>0</v>
      </c>
      <c r="W593" s="52">
        <f t="shared" si="313"/>
        <v>0</v>
      </c>
      <c r="X593" s="52">
        <f t="shared" si="313"/>
        <v>0</v>
      </c>
      <c r="Y593" s="52">
        <f t="shared" si="313"/>
        <v>0</v>
      </c>
      <c r="Z593" s="52">
        <f t="shared" si="313"/>
        <v>0</v>
      </c>
      <c r="AA593" s="52">
        <f t="shared" si="313"/>
        <v>0</v>
      </c>
      <c r="AB593" s="52">
        <f t="shared" si="313"/>
        <v>0</v>
      </c>
      <c r="AC593" s="52">
        <f t="shared" si="313"/>
        <v>0</v>
      </c>
      <c r="AD593" s="52">
        <f t="shared" si="313"/>
        <v>0</v>
      </c>
      <c r="AE593" s="52">
        <f t="shared" si="313"/>
        <v>0</v>
      </c>
      <c r="AF593" s="52">
        <f t="shared" si="313"/>
        <v>0</v>
      </c>
      <c r="AG593" s="52">
        <f t="shared" si="313"/>
        <v>0</v>
      </c>
      <c r="AH593" s="52">
        <f t="shared" si="313"/>
        <v>0</v>
      </c>
      <c r="AI593" s="52">
        <f t="shared" si="313"/>
        <v>0</v>
      </c>
      <c r="AJ593" s="52">
        <f t="shared" si="313"/>
        <v>0</v>
      </c>
      <c r="AK593" s="52">
        <f t="shared" si="313"/>
        <v>0</v>
      </c>
      <c r="AL593" s="52">
        <f t="shared" si="313"/>
        <v>0</v>
      </c>
      <c r="AM593" s="52">
        <f t="shared" si="313"/>
        <v>0</v>
      </c>
      <c r="AN593" s="52">
        <f t="shared" si="313"/>
        <v>0</v>
      </c>
      <c r="AO593" s="52">
        <f t="shared" si="313"/>
        <v>0</v>
      </c>
      <c r="AP593" s="52">
        <f t="shared" si="313"/>
        <v>0</v>
      </c>
    </row>
    <row r="594" spans="1:42" x14ac:dyDescent="0.2">
      <c r="A594" s="17">
        <f>A593+1</f>
        <v>9</v>
      </c>
      <c r="B594" s="58">
        <f t="shared" si="309"/>
        <v>0</v>
      </c>
      <c r="C594" s="52">
        <f t="shared" si="313"/>
        <v>0</v>
      </c>
      <c r="D594" s="52">
        <f t="shared" si="313"/>
        <v>0</v>
      </c>
      <c r="E594" s="52">
        <f t="shared" si="313"/>
        <v>0</v>
      </c>
      <c r="F594" s="52">
        <f t="shared" si="313"/>
        <v>0</v>
      </c>
      <c r="G594" s="52">
        <f t="shared" si="313"/>
        <v>0</v>
      </c>
      <c r="H594" s="52">
        <f t="shared" si="313"/>
        <v>0</v>
      </c>
      <c r="I594" s="52">
        <f t="shared" si="313"/>
        <v>0</v>
      </c>
      <c r="J594" s="52">
        <f t="shared" si="313"/>
        <v>0</v>
      </c>
      <c r="K594" s="52">
        <f t="shared" si="313"/>
        <v>0</v>
      </c>
      <c r="L594" s="52">
        <f t="shared" si="313"/>
        <v>0</v>
      </c>
      <c r="M594" s="52">
        <f t="shared" si="313"/>
        <v>0</v>
      </c>
      <c r="N594" s="52">
        <f t="shared" si="313"/>
        <v>0</v>
      </c>
      <c r="O594" s="52">
        <f t="shared" si="313"/>
        <v>0</v>
      </c>
      <c r="P594" s="52">
        <f t="shared" si="313"/>
        <v>0</v>
      </c>
      <c r="Q594" s="52">
        <f t="shared" si="313"/>
        <v>0</v>
      </c>
      <c r="R594" s="52">
        <f t="shared" si="313"/>
        <v>0</v>
      </c>
      <c r="S594" s="52">
        <f t="shared" si="313"/>
        <v>0</v>
      </c>
      <c r="T594" s="52">
        <f t="shared" si="313"/>
        <v>0</v>
      </c>
      <c r="U594" s="52">
        <f t="shared" si="313"/>
        <v>0</v>
      </c>
      <c r="V594" s="52">
        <f t="shared" si="313"/>
        <v>0</v>
      </c>
      <c r="W594" s="52">
        <f t="shared" si="313"/>
        <v>0</v>
      </c>
      <c r="X594" s="52">
        <f t="shared" si="313"/>
        <v>0</v>
      </c>
      <c r="Y594" s="52">
        <f t="shared" si="313"/>
        <v>0</v>
      </c>
      <c r="Z594" s="52">
        <f t="shared" si="313"/>
        <v>0</v>
      </c>
      <c r="AA594" s="52">
        <f t="shared" si="313"/>
        <v>0</v>
      </c>
      <c r="AB594" s="52">
        <f t="shared" si="313"/>
        <v>0</v>
      </c>
      <c r="AC594" s="52">
        <f t="shared" si="313"/>
        <v>0</v>
      </c>
      <c r="AD594" s="52">
        <f t="shared" si="313"/>
        <v>0</v>
      </c>
      <c r="AE594" s="52">
        <f t="shared" si="313"/>
        <v>0</v>
      </c>
      <c r="AF594" s="52">
        <f t="shared" si="313"/>
        <v>0</v>
      </c>
      <c r="AG594" s="52">
        <f t="shared" si="313"/>
        <v>0</v>
      </c>
      <c r="AH594" s="52">
        <f t="shared" si="313"/>
        <v>0</v>
      </c>
      <c r="AI594" s="52">
        <f t="shared" si="313"/>
        <v>0</v>
      </c>
      <c r="AJ594" s="52">
        <f t="shared" si="313"/>
        <v>0</v>
      </c>
      <c r="AK594" s="52">
        <f t="shared" si="313"/>
        <v>0</v>
      </c>
      <c r="AL594" s="52">
        <f t="shared" si="313"/>
        <v>0</v>
      </c>
      <c r="AM594" s="52">
        <f t="shared" si="313"/>
        <v>0</v>
      </c>
      <c r="AN594" s="52">
        <f t="shared" si="313"/>
        <v>0</v>
      </c>
      <c r="AO594" s="52">
        <f t="shared" si="313"/>
        <v>0</v>
      </c>
      <c r="AP594" s="52">
        <f t="shared" si="313"/>
        <v>0</v>
      </c>
    </row>
    <row r="595" spans="1:42" x14ac:dyDescent="0.2">
      <c r="A595" s="17">
        <f t="shared" si="311"/>
        <v>10</v>
      </c>
      <c r="B595" s="58">
        <f t="shared" si="309"/>
        <v>0</v>
      </c>
      <c r="C595" s="53">
        <f t="shared" si="313"/>
        <v>0</v>
      </c>
      <c r="D595" s="53">
        <f t="shared" si="313"/>
        <v>0</v>
      </c>
      <c r="E595" s="53">
        <f t="shared" si="313"/>
        <v>0</v>
      </c>
      <c r="F595" s="53">
        <f t="shared" si="313"/>
        <v>0</v>
      </c>
      <c r="G595" s="53">
        <f t="shared" si="313"/>
        <v>0</v>
      </c>
      <c r="H595" s="53">
        <f t="shared" si="313"/>
        <v>0</v>
      </c>
      <c r="I595" s="53">
        <f t="shared" si="313"/>
        <v>0</v>
      </c>
      <c r="J595" s="53">
        <f t="shared" si="313"/>
        <v>0</v>
      </c>
      <c r="K595" s="53">
        <f t="shared" si="313"/>
        <v>0</v>
      </c>
      <c r="L595" s="53">
        <f t="shared" si="313"/>
        <v>0</v>
      </c>
      <c r="M595" s="53">
        <f t="shared" si="313"/>
        <v>0</v>
      </c>
      <c r="N595" s="53">
        <f t="shared" si="313"/>
        <v>0</v>
      </c>
      <c r="O595" s="53">
        <f t="shared" si="313"/>
        <v>0</v>
      </c>
      <c r="P595" s="53">
        <f t="shared" si="313"/>
        <v>0</v>
      </c>
      <c r="Q595" s="53">
        <f t="shared" si="313"/>
        <v>0</v>
      </c>
      <c r="R595" s="53">
        <f t="shared" si="313"/>
        <v>0</v>
      </c>
      <c r="S595" s="53">
        <f t="shared" si="313"/>
        <v>0</v>
      </c>
      <c r="T595" s="53">
        <f t="shared" si="313"/>
        <v>0</v>
      </c>
      <c r="U595" s="53">
        <f t="shared" si="313"/>
        <v>0</v>
      </c>
      <c r="V595" s="53">
        <f t="shared" si="313"/>
        <v>0</v>
      </c>
      <c r="W595" s="53">
        <f t="shared" si="313"/>
        <v>0</v>
      </c>
      <c r="X595" s="53">
        <f t="shared" si="313"/>
        <v>0</v>
      </c>
      <c r="Y595" s="53">
        <f t="shared" si="313"/>
        <v>0</v>
      </c>
      <c r="Z595" s="53">
        <f t="shared" si="313"/>
        <v>0</v>
      </c>
      <c r="AA595" s="53">
        <f t="shared" si="313"/>
        <v>0</v>
      </c>
      <c r="AB595" s="53">
        <f t="shared" si="313"/>
        <v>0</v>
      </c>
      <c r="AC595" s="53">
        <f t="shared" si="313"/>
        <v>0</v>
      </c>
      <c r="AD595" s="53">
        <f t="shared" si="313"/>
        <v>0</v>
      </c>
      <c r="AE595" s="53">
        <f t="shared" si="313"/>
        <v>0</v>
      </c>
      <c r="AF595" s="53">
        <f t="shared" si="313"/>
        <v>0</v>
      </c>
      <c r="AG595" s="53">
        <f t="shared" si="313"/>
        <v>0</v>
      </c>
      <c r="AH595" s="53">
        <f t="shared" si="313"/>
        <v>0</v>
      </c>
      <c r="AI595" s="53">
        <f t="shared" si="313"/>
        <v>0</v>
      </c>
      <c r="AJ595" s="53">
        <f t="shared" si="313"/>
        <v>0</v>
      </c>
      <c r="AK595" s="53">
        <f t="shared" si="313"/>
        <v>0</v>
      </c>
      <c r="AL595" s="53">
        <f t="shared" si="313"/>
        <v>0</v>
      </c>
      <c r="AM595" s="53">
        <f t="shared" si="313"/>
        <v>0</v>
      </c>
      <c r="AN595" s="53">
        <f t="shared" si="313"/>
        <v>0</v>
      </c>
      <c r="AO595" s="53">
        <f t="shared" si="313"/>
        <v>0</v>
      </c>
      <c r="AP595" s="53">
        <f t="shared" si="313"/>
        <v>0</v>
      </c>
    </row>
    <row r="596" spans="1:42" x14ac:dyDescent="0.2">
      <c r="A596" s="80" t="s">
        <v>23</v>
      </c>
      <c r="B596" s="52"/>
      <c r="C596" s="39">
        <f>SUM(C586:C595)</f>
        <v>0</v>
      </c>
      <c r="D596" s="39">
        <f t="shared" ref="D596:AD596" si="314">SUM(D586:D595)</f>
        <v>0</v>
      </c>
      <c r="E596" s="39">
        <f t="shared" si="314"/>
        <v>0</v>
      </c>
      <c r="F596" s="39">
        <f t="shared" si="314"/>
        <v>0</v>
      </c>
      <c r="G596" s="39">
        <f t="shared" si="314"/>
        <v>0</v>
      </c>
      <c r="H596" s="39">
        <f t="shared" si="314"/>
        <v>0</v>
      </c>
      <c r="I596" s="39">
        <f t="shared" si="314"/>
        <v>0</v>
      </c>
      <c r="J596" s="39">
        <f t="shared" si="314"/>
        <v>0</v>
      </c>
      <c r="K596" s="39">
        <f t="shared" si="314"/>
        <v>0</v>
      </c>
      <c r="L596" s="39">
        <f t="shared" si="314"/>
        <v>0</v>
      </c>
      <c r="M596" s="39">
        <f t="shared" si="314"/>
        <v>0</v>
      </c>
      <c r="N596" s="39">
        <f t="shared" si="314"/>
        <v>3280216.644503165</v>
      </c>
      <c r="O596" s="39">
        <f t="shared" si="314"/>
        <v>0</v>
      </c>
      <c r="P596" s="39">
        <f t="shared" si="314"/>
        <v>0</v>
      </c>
      <c r="Q596" s="39">
        <f t="shared" si="314"/>
        <v>0</v>
      </c>
      <c r="R596" s="39">
        <f t="shared" si="314"/>
        <v>0</v>
      </c>
      <c r="S596" s="39">
        <f t="shared" si="314"/>
        <v>0</v>
      </c>
      <c r="T596" s="39">
        <f t="shared" si="314"/>
        <v>0</v>
      </c>
      <c r="U596" s="39">
        <f t="shared" si="314"/>
        <v>0</v>
      </c>
      <c r="V596" s="39">
        <f t="shared" si="314"/>
        <v>0</v>
      </c>
      <c r="W596" s="39">
        <f t="shared" si="314"/>
        <v>0</v>
      </c>
      <c r="X596" s="39">
        <f t="shared" si="314"/>
        <v>0</v>
      </c>
      <c r="Y596" s="39">
        <f t="shared" si="314"/>
        <v>0</v>
      </c>
      <c r="Z596" s="39">
        <f t="shared" si="314"/>
        <v>4411526.7062989976</v>
      </c>
      <c r="AA596" s="39">
        <f t="shared" si="314"/>
        <v>0</v>
      </c>
      <c r="AB596" s="39">
        <f t="shared" si="314"/>
        <v>0</v>
      </c>
      <c r="AC596" s="39">
        <f t="shared" si="314"/>
        <v>0</v>
      </c>
      <c r="AD596" s="39">
        <f t="shared" si="314"/>
        <v>0</v>
      </c>
      <c r="AE596" s="39">
        <f t="shared" ref="AE596" si="315">SUM(AE586:AE595)</f>
        <v>0</v>
      </c>
      <c r="AF596" s="39">
        <f t="shared" ref="AF596:AP596" si="316">SUM(AF586:AF595)</f>
        <v>0</v>
      </c>
      <c r="AG596" s="39">
        <f t="shared" si="316"/>
        <v>0</v>
      </c>
      <c r="AH596" s="39">
        <f t="shared" si="316"/>
        <v>0</v>
      </c>
      <c r="AI596" s="39">
        <f t="shared" si="316"/>
        <v>0</v>
      </c>
      <c r="AJ596" s="39">
        <f t="shared" si="316"/>
        <v>0</v>
      </c>
      <c r="AK596" s="39">
        <f t="shared" si="316"/>
        <v>0</v>
      </c>
      <c r="AL596" s="39">
        <f t="shared" si="316"/>
        <v>5933012.9651656002</v>
      </c>
      <c r="AM596" s="39">
        <f t="shared" si="316"/>
        <v>0</v>
      </c>
      <c r="AN596" s="39">
        <f t="shared" si="316"/>
        <v>0</v>
      </c>
      <c r="AO596" s="39">
        <f t="shared" si="316"/>
        <v>0</v>
      </c>
      <c r="AP596" s="39">
        <f t="shared" si="316"/>
        <v>0</v>
      </c>
    </row>
    <row r="597" spans="1:42" x14ac:dyDescent="0.2">
      <c r="A597" s="17" t="s">
        <v>118</v>
      </c>
      <c r="B597" s="39"/>
      <c r="C597" s="39"/>
      <c r="D597" s="39"/>
      <c r="E597" s="39"/>
      <c r="F597" s="39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52"/>
      <c r="AE597" s="52"/>
      <c r="AF597" s="52"/>
      <c r="AG597" s="52"/>
      <c r="AH597" s="52"/>
      <c r="AI597" s="52"/>
      <c r="AJ597" s="52"/>
      <c r="AK597" s="52"/>
      <c r="AL597" s="52"/>
      <c r="AM597" s="52"/>
      <c r="AN597" s="52"/>
      <c r="AO597" s="52"/>
      <c r="AP597" s="52"/>
    </row>
    <row r="598" spans="1:42" x14ac:dyDescent="0.2">
      <c r="A598" s="17">
        <v>1</v>
      </c>
      <c r="B598" s="58">
        <f t="shared" ref="B598:B607" si="317">SUM(C598:AP598)</f>
        <v>3280216.6445031655</v>
      </c>
      <c r="C598" s="39">
        <f t="shared" ref="C598:AP598" si="318">IF(C$2&lt;=MMFrequency*$A$586,$B$586/(MMFrequency),0)</f>
        <v>273351.3870419304</v>
      </c>
      <c r="D598" s="39">
        <f t="shared" si="318"/>
        <v>273351.3870419304</v>
      </c>
      <c r="E598" s="39">
        <f t="shared" si="318"/>
        <v>273351.3870419304</v>
      </c>
      <c r="F598" s="39">
        <f t="shared" si="318"/>
        <v>273351.3870419304</v>
      </c>
      <c r="G598" s="39">
        <f t="shared" si="318"/>
        <v>273351.3870419304</v>
      </c>
      <c r="H598" s="39">
        <f t="shared" si="318"/>
        <v>273351.3870419304</v>
      </c>
      <c r="I598" s="39">
        <f t="shared" si="318"/>
        <v>273351.3870419304</v>
      </c>
      <c r="J598" s="39">
        <f t="shared" si="318"/>
        <v>273351.3870419304</v>
      </c>
      <c r="K598" s="39">
        <f t="shared" si="318"/>
        <v>273351.3870419304</v>
      </c>
      <c r="L598" s="39">
        <f t="shared" si="318"/>
        <v>273351.3870419304</v>
      </c>
      <c r="M598" s="39">
        <f t="shared" si="318"/>
        <v>273351.3870419304</v>
      </c>
      <c r="N598" s="39">
        <f t="shared" si="318"/>
        <v>273351.3870419304</v>
      </c>
      <c r="O598" s="39">
        <f t="shared" si="318"/>
        <v>0</v>
      </c>
      <c r="P598" s="39">
        <f t="shared" si="318"/>
        <v>0</v>
      </c>
      <c r="Q598" s="39">
        <f t="shared" si="318"/>
        <v>0</v>
      </c>
      <c r="R598" s="39">
        <f t="shared" si="318"/>
        <v>0</v>
      </c>
      <c r="S598" s="39">
        <f t="shared" si="318"/>
        <v>0</v>
      </c>
      <c r="T598" s="39">
        <f t="shared" si="318"/>
        <v>0</v>
      </c>
      <c r="U598" s="39">
        <f t="shared" si="318"/>
        <v>0</v>
      </c>
      <c r="V598" s="39">
        <f t="shared" si="318"/>
        <v>0</v>
      </c>
      <c r="W598" s="39">
        <f t="shared" si="318"/>
        <v>0</v>
      </c>
      <c r="X598" s="39">
        <f t="shared" si="318"/>
        <v>0</v>
      </c>
      <c r="Y598" s="39">
        <f t="shared" si="318"/>
        <v>0</v>
      </c>
      <c r="Z598" s="39">
        <f t="shared" si="318"/>
        <v>0</v>
      </c>
      <c r="AA598" s="39">
        <f t="shared" si="318"/>
        <v>0</v>
      </c>
      <c r="AB598" s="39">
        <f t="shared" si="318"/>
        <v>0</v>
      </c>
      <c r="AC598" s="39">
        <f t="shared" si="318"/>
        <v>0</v>
      </c>
      <c r="AD598" s="39">
        <f t="shared" si="318"/>
        <v>0</v>
      </c>
      <c r="AE598" s="39">
        <f t="shared" si="318"/>
        <v>0</v>
      </c>
      <c r="AF598" s="39">
        <f t="shared" si="318"/>
        <v>0</v>
      </c>
      <c r="AG598" s="39">
        <f t="shared" si="318"/>
        <v>0</v>
      </c>
      <c r="AH598" s="39">
        <f t="shared" si="318"/>
        <v>0</v>
      </c>
      <c r="AI598" s="39">
        <f t="shared" si="318"/>
        <v>0</v>
      </c>
      <c r="AJ598" s="39">
        <f t="shared" si="318"/>
        <v>0</v>
      </c>
      <c r="AK598" s="39">
        <f t="shared" si="318"/>
        <v>0</v>
      </c>
      <c r="AL598" s="39">
        <f t="shared" si="318"/>
        <v>0</v>
      </c>
      <c r="AM598" s="39">
        <f t="shared" si="318"/>
        <v>0</v>
      </c>
      <c r="AN598" s="39">
        <f t="shared" si="318"/>
        <v>0</v>
      </c>
      <c r="AO598" s="39">
        <f t="shared" si="318"/>
        <v>0</v>
      </c>
      <c r="AP598" s="39">
        <f t="shared" si="318"/>
        <v>0</v>
      </c>
    </row>
    <row r="599" spans="1:42" x14ac:dyDescent="0.2">
      <c r="A599" s="17">
        <f>A598+1</f>
        <v>2</v>
      </c>
      <c r="B599" s="58">
        <f t="shared" si="317"/>
        <v>4411526.7062989967</v>
      </c>
      <c r="C599" s="86">
        <f t="shared" ref="C599:AP605" si="319">IF(AND(C$2&gt;MMFrequency*$A586,C$2&lt;=MMFrequency*$A587),$B587/(MMFrequency),0)</f>
        <v>0</v>
      </c>
      <c r="D599" s="52">
        <f t="shared" si="319"/>
        <v>0</v>
      </c>
      <c r="E599" s="52">
        <f t="shared" si="319"/>
        <v>0</v>
      </c>
      <c r="F599" s="52">
        <f t="shared" si="319"/>
        <v>0</v>
      </c>
      <c r="G599" s="52">
        <f t="shared" si="319"/>
        <v>0</v>
      </c>
      <c r="H599" s="52">
        <f t="shared" si="319"/>
        <v>0</v>
      </c>
      <c r="I599" s="52">
        <f t="shared" si="319"/>
        <v>0</v>
      </c>
      <c r="J599" s="52">
        <f t="shared" si="319"/>
        <v>0</v>
      </c>
      <c r="K599" s="52">
        <f t="shared" si="319"/>
        <v>0</v>
      </c>
      <c r="L599" s="52">
        <f t="shared" si="319"/>
        <v>0</v>
      </c>
      <c r="M599" s="52">
        <f t="shared" si="319"/>
        <v>0</v>
      </c>
      <c r="N599" s="52">
        <f t="shared" si="319"/>
        <v>0</v>
      </c>
      <c r="O599" s="52">
        <f t="shared" si="319"/>
        <v>367627.22552491649</v>
      </c>
      <c r="P599" s="52">
        <f t="shared" si="319"/>
        <v>367627.22552491649</v>
      </c>
      <c r="Q599" s="52">
        <f t="shared" si="319"/>
        <v>367627.22552491649</v>
      </c>
      <c r="R599" s="52">
        <f t="shared" si="319"/>
        <v>367627.22552491649</v>
      </c>
      <c r="S599" s="52">
        <f t="shared" si="319"/>
        <v>367627.22552491649</v>
      </c>
      <c r="T599" s="52">
        <f t="shared" si="319"/>
        <v>367627.22552491649</v>
      </c>
      <c r="U599" s="52">
        <f t="shared" si="319"/>
        <v>367627.22552491649</v>
      </c>
      <c r="V599" s="52">
        <f t="shared" si="319"/>
        <v>367627.22552491649</v>
      </c>
      <c r="W599" s="52">
        <f t="shared" si="319"/>
        <v>367627.22552491649</v>
      </c>
      <c r="X599" s="52">
        <f t="shared" si="319"/>
        <v>367627.22552491649</v>
      </c>
      <c r="Y599" s="52">
        <f t="shared" si="319"/>
        <v>367627.22552491649</v>
      </c>
      <c r="Z599" s="52">
        <f t="shared" si="319"/>
        <v>367627.22552491649</v>
      </c>
      <c r="AA599" s="52">
        <f t="shared" si="319"/>
        <v>0</v>
      </c>
      <c r="AB599" s="52">
        <f t="shared" si="319"/>
        <v>0</v>
      </c>
      <c r="AC599" s="52">
        <f t="shared" si="319"/>
        <v>0</v>
      </c>
      <c r="AD599" s="52">
        <f t="shared" si="319"/>
        <v>0</v>
      </c>
      <c r="AE599" s="52">
        <f t="shared" si="319"/>
        <v>0</v>
      </c>
      <c r="AF599" s="52">
        <f t="shared" si="319"/>
        <v>0</v>
      </c>
      <c r="AG599" s="52">
        <f t="shared" si="319"/>
        <v>0</v>
      </c>
      <c r="AH599" s="52">
        <f t="shared" si="319"/>
        <v>0</v>
      </c>
      <c r="AI599" s="52">
        <f t="shared" si="319"/>
        <v>0</v>
      </c>
      <c r="AJ599" s="52">
        <f t="shared" si="319"/>
        <v>0</v>
      </c>
      <c r="AK599" s="52">
        <f t="shared" si="319"/>
        <v>0</v>
      </c>
      <c r="AL599" s="52">
        <f t="shared" si="319"/>
        <v>0</v>
      </c>
      <c r="AM599" s="52">
        <f t="shared" si="319"/>
        <v>0</v>
      </c>
      <c r="AN599" s="52">
        <f t="shared" si="319"/>
        <v>0</v>
      </c>
      <c r="AO599" s="52">
        <f t="shared" si="319"/>
        <v>0</v>
      </c>
      <c r="AP599" s="52">
        <f t="shared" si="319"/>
        <v>0</v>
      </c>
    </row>
    <row r="600" spans="1:42" x14ac:dyDescent="0.2">
      <c r="A600" s="17">
        <f t="shared" ref="A600:A605" si="320">A599+1</f>
        <v>3</v>
      </c>
      <c r="B600" s="58">
        <f t="shared" si="317"/>
        <v>5933012.9651656011</v>
      </c>
      <c r="C600" s="86">
        <f t="shared" si="319"/>
        <v>0</v>
      </c>
      <c r="D600" s="52">
        <f t="shared" si="319"/>
        <v>0</v>
      </c>
      <c r="E600" s="52">
        <f t="shared" si="319"/>
        <v>0</v>
      </c>
      <c r="F600" s="52">
        <f t="shared" si="319"/>
        <v>0</v>
      </c>
      <c r="G600" s="52">
        <f t="shared" si="319"/>
        <v>0</v>
      </c>
      <c r="H600" s="52">
        <f t="shared" si="319"/>
        <v>0</v>
      </c>
      <c r="I600" s="52">
        <f t="shared" si="319"/>
        <v>0</v>
      </c>
      <c r="J600" s="52">
        <f t="shared" si="319"/>
        <v>0</v>
      </c>
      <c r="K600" s="52">
        <f t="shared" si="319"/>
        <v>0</v>
      </c>
      <c r="L600" s="52">
        <f t="shared" si="319"/>
        <v>0</v>
      </c>
      <c r="M600" s="52">
        <f t="shared" si="319"/>
        <v>0</v>
      </c>
      <c r="N600" s="52">
        <f t="shared" si="319"/>
        <v>0</v>
      </c>
      <c r="O600" s="52">
        <f t="shared" si="319"/>
        <v>0</v>
      </c>
      <c r="P600" s="52">
        <f t="shared" si="319"/>
        <v>0</v>
      </c>
      <c r="Q600" s="52">
        <f t="shared" si="319"/>
        <v>0</v>
      </c>
      <c r="R600" s="52">
        <f t="shared" si="319"/>
        <v>0</v>
      </c>
      <c r="S600" s="52">
        <f t="shared" si="319"/>
        <v>0</v>
      </c>
      <c r="T600" s="52">
        <f t="shared" si="319"/>
        <v>0</v>
      </c>
      <c r="U600" s="52">
        <f t="shared" si="319"/>
        <v>0</v>
      </c>
      <c r="V600" s="52">
        <f t="shared" si="319"/>
        <v>0</v>
      </c>
      <c r="W600" s="52">
        <f t="shared" si="319"/>
        <v>0</v>
      </c>
      <c r="X600" s="52">
        <f t="shared" si="319"/>
        <v>0</v>
      </c>
      <c r="Y600" s="52">
        <f t="shared" si="319"/>
        <v>0</v>
      </c>
      <c r="Z600" s="52">
        <f t="shared" si="319"/>
        <v>0</v>
      </c>
      <c r="AA600" s="52">
        <f t="shared" si="319"/>
        <v>494417.74709713337</v>
      </c>
      <c r="AB600" s="52">
        <f t="shared" si="319"/>
        <v>494417.74709713337</v>
      </c>
      <c r="AC600" s="52">
        <f t="shared" si="319"/>
        <v>494417.74709713337</v>
      </c>
      <c r="AD600" s="52">
        <f t="shared" si="319"/>
        <v>494417.74709713337</v>
      </c>
      <c r="AE600" s="52">
        <f t="shared" si="319"/>
        <v>494417.74709713337</v>
      </c>
      <c r="AF600" s="52">
        <f t="shared" si="319"/>
        <v>494417.74709713337</v>
      </c>
      <c r="AG600" s="52">
        <f t="shared" si="319"/>
        <v>494417.74709713337</v>
      </c>
      <c r="AH600" s="52">
        <f t="shared" si="319"/>
        <v>494417.74709713337</v>
      </c>
      <c r="AI600" s="52">
        <f t="shared" si="319"/>
        <v>494417.74709713337</v>
      </c>
      <c r="AJ600" s="52">
        <f t="shared" si="319"/>
        <v>494417.74709713337</v>
      </c>
      <c r="AK600" s="52">
        <f t="shared" si="319"/>
        <v>494417.74709713337</v>
      </c>
      <c r="AL600" s="52">
        <f t="shared" si="319"/>
        <v>494417.74709713337</v>
      </c>
      <c r="AM600" s="52">
        <f t="shared" si="319"/>
        <v>0</v>
      </c>
      <c r="AN600" s="52">
        <f t="shared" si="319"/>
        <v>0</v>
      </c>
      <c r="AO600" s="52">
        <f t="shared" si="319"/>
        <v>0</v>
      </c>
      <c r="AP600" s="52">
        <f t="shared" si="319"/>
        <v>0</v>
      </c>
    </row>
    <row r="601" spans="1:42" x14ac:dyDescent="0.2">
      <c r="A601" s="17">
        <f t="shared" si="320"/>
        <v>4</v>
      </c>
      <c r="B601" s="58">
        <f t="shared" si="317"/>
        <v>0</v>
      </c>
      <c r="C601" s="86">
        <f t="shared" si="319"/>
        <v>0</v>
      </c>
      <c r="D601" s="52">
        <f t="shared" si="319"/>
        <v>0</v>
      </c>
      <c r="E601" s="52">
        <f t="shared" si="319"/>
        <v>0</v>
      </c>
      <c r="F601" s="52">
        <f t="shared" si="319"/>
        <v>0</v>
      </c>
      <c r="G601" s="52">
        <f t="shared" si="319"/>
        <v>0</v>
      </c>
      <c r="H601" s="52">
        <f t="shared" si="319"/>
        <v>0</v>
      </c>
      <c r="I601" s="52">
        <f t="shared" si="319"/>
        <v>0</v>
      </c>
      <c r="J601" s="52">
        <f t="shared" si="319"/>
        <v>0</v>
      </c>
      <c r="K601" s="52">
        <f t="shared" si="319"/>
        <v>0</v>
      </c>
      <c r="L601" s="52">
        <f t="shared" si="319"/>
        <v>0</v>
      </c>
      <c r="M601" s="52">
        <f t="shared" si="319"/>
        <v>0</v>
      </c>
      <c r="N601" s="52">
        <f t="shared" si="319"/>
        <v>0</v>
      </c>
      <c r="O601" s="52">
        <f t="shared" si="319"/>
        <v>0</v>
      </c>
      <c r="P601" s="52">
        <f t="shared" si="319"/>
        <v>0</v>
      </c>
      <c r="Q601" s="52">
        <f t="shared" si="319"/>
        <v>0</v>
      </c>
      <c r="R601" s="52">
        <f t="shared" si="319"/>
        <v>0</v>
      </c>
      <c r="S601" s="52">
        <f t="shared" si="319"/>
        <v>0</v>
      </c>
      <c r="T601" s="52">
        <f t="shared" si="319"/>
        <v>0</v>
      </c>
      <c r="U601" s="52">
        <f t="shared" si="319"/>
        <v>0</v>
      </c>
      <c r="V601" s="52">
        <f t="shared" si="319"/>
        <v>0</v>
      </c>
      <c r="W601" s="52">
        <f t="shared" si="319"/>
        <v>0</v>
      </c>
      <c r="X601" s="52">
        <f t="shared" si="319"/>
        <v>0</v>
      </c>
      <c r="Y601" s="52">
        <f t="shared" si="319"/>
        <v>0</v>
      </c>
      <c r="Z601" s="52">
        <f t="shared" si="319"/>
        <v>0</v>
      </c>
      <c r="AA601" s="52">
        <f t="shared" si="319"/>
        <v>0</v>
      </c>
      <c r="AB601" s="52">
        <f t="shared" si="319"/>
        <v>0</v>
      </c>
      <c r="AC601" s="52">
        <f t="shared" si="319"/>
        <v>0</v>
      </c>
      <c r="AD601" s="52">
        <f t="shared" si="319"/>
        <v>0</v>
      </c>
      <c r="AE601" s="52">
        <f t="shared" si="319"/>
        <v>0</v>
      </c>
      <c r="AF601" s="52">
        <f t="shared" si="319"/>
        <v>0</v>
      </c>
      <c r="AG601" s="52">
        <f t="shared" si="319"/>
        <v>0</v>
      </c>
      <c r="AH601" s="52">
        <f t="shared" si="319"/>
        <v>0</v>
      </c>
      <c r="AI601" s="52">
        <f t="shared" si="319"/>
        <v>0</v>
      </c>
      <c r="AJ601" s="52">
        <f t="shared" si="319"/>
        <v>0</v>
      </c>
      <c r="AK601" s="52">
        <f t="shared" si="319"/>
        <v>0</v>
      </c>
      <c r="AL601" s="52">
        <f t="shared" si="319"/>
        <v>0</v>
      </c>
      <c r="AM601" s="52">
        <f t="shared" si="319"/>
        <v>0</v>
      </c>
      <c r="AN601" s="52">
        <f t="shared" si="319"/>
        <v>0</v>
      </c>
      <c r="AO601" s="52">
        <f t="shared" si="319"/>
        <v>0</v>
      </c>
      <c r="AP601" s="52">
        <f t="shared" si="319"/>
        <v>0</v>
      </c>
    </row>
    <row r="602" spans="1:42" x14ac:dyDescent="0.2">
      <c r="A602" s="17">
        <f t="shared" si="320"/>
        <v>5</v>
      </c>
      <c r="B602" s="58">
        <f t="shared" si="317"/>
        <v>0</v>
      </c>
      <c r="C602" s="86">
        <f t="shared" si="319"/>
        <v>0</v>
      </c>
      <c r="D602" s="52">
        <f t="shared" si="319"/>
        <v>0</v>
      </c>
      <c r="E602" s="52">
        <f t="shared" si="319"/>
        <v>0</v>
      </c>
      <c r="F602" s="52">
        <f t="shared" si="319"/>
        <v>0</v>
      </c>
      <c r="G602" s="52">
        <f t="shared" si="319"/>
        <v>0</v>
      </c>
      <c r="H602" s="52">
        <f t="shared" si="319"/>
        <v>0</v>
      </c>
      <c r="I602" s="52">
        <f t="shared" si="319"/>
        <v>0</v>
      </c>
      <c r="J602" s="52">
        <f t="shared" si="319"/>
        <v>0</v>
      </c>
      <c r="K602" s="52">
        <f t="shared" si="319"/>
        <v>0</v>
      </c>
      <c r="L602" s="52">
        <f t="shared" si="319"/>
        <v>0</v>
      </c>
      <c r="M602" s="52">
        <f t="shared" si="319"/>
        <v>0</v>
      </c>
      <c r="N602" s="52">
        <f t="shared" si="319"/>
        <v>0</v>
      </c>
      <c r="O602" s="52">
        <f t="shared" si="319"/>
        <v>0</v>
      </c>
      <c r="P602" s="52">
        <f t="shared" si="319"/>
        <v>0</v>
      </c>
      <c r="Q602" s="52">
        <f t="shared" si="319"/>
        <v>0</v>
      </c>
      <c r="R602" s="52">
        <f t="shared" si="319"/>
        <v>0</v>
      </c>
      <c r="S602" s="52">
        <f t="shared" si="319"/>
        <v>0</v>
      </c>
      <c r="T602" s="52">
        <f t="shared" si="319"/>
        <v>0</v>
      </c>
      <c r="U602" s="52">
        <f t="shared" si="319"/>
        <v>0</v>
      </c>
      <c r="V602" s="52">
        <f t="shared" si="319"/>
        <v>0</v>
      </c>
      <c r="W602" s="52">
        <f t="shared" si="319"/>
        <v>0</v>
      </c>
      <c r="X602" s="52">
        <f t="shared" si="319"/>
        <v>0</v>
      </c>
      <c r="Y602" s="52">
        <f t="shared" si="319"/>
        <v>0</v>
      </c>
      <c r="Z602" s="52">
        <f t="shared" si="319"/>
        <v>0</v>
      </c>
      <c r="AA602" s="52">
        <f t="shared" si="319"/>
        <v>0</v>
      </c>
      <c r="AB602" s="52">
        <f t="shared" si="319"/>
        <v>0</v>
      </c>
      <c r="AC602" s="52">
        <f t="shared" si="319"/>
        <v>0</v>
      </c>
      <c r="AD602" s="52">
        <f t="shared" si="319"/>
        <v>0</v>
      </c>
      <c r="AE602" s="52">
        <f t="shared" si="319"/>
        <v>0</v>
      </c>
      <c r="AF602" s="52">
        <f t="shared" si="319"/>
        <v>0</v>
      </c>
      <c r="AG602" s="52">
        <f t="shared" si="319"/>
        <v>0</v>
      </c>
      <c r="AH602" s="52">
        <f t="shared" si="319"/>
        <v>0</v>
      </c>
      <c r="AI602" s="52">
        <f t="shared" si="319"/>
        <v>0</v>
      </c>
      <c r="AJ602" s="52">
        <f t="shared" si="319"/>
        <v>0</v>
      </c>
      <c r="AK602" s="52">
        <f t="shared" si="319"/>
        <v>0</v>
      </c>
      <c r="AL602" s="52">
        <f t="shared" si="319"/>
        <v>0</v>
      </c>
      <c r="AM602" s="52">
        <f t="shared" si="319"/>
        <v>0</v>
      </c>
      <c r="AN602" s="52">
        <f t="shared" si="319"/>
        <v>0</v>
      </c>
      <c r="AO602" s="52">
        <f t="shared" si="319"/>
        <v>0</v>
      </c>
      <c r="AP602" s="52">
        <f t="shared" si="319"/>
        <v>0</v>
      </c>
    </row>
    <row r="603" spans="1:42" x14ac:dyDescent="0.2">
      <c r="A603" s="17">
        <f t="shared" si="320"/>
        <v>6</v>
      </c>
      <c r="B603" s="58">
        <f t="shared" si="317"/>
        <v>0</v>
      </c>
      <c r="C603" s="86">
        <f t="shared" si="319"/>
        <v>0</v>
      </c>
      <c r="D603" s="52">
        <f t="shared" si="319"/>
        <v>0</v>
      </c>
      <c r="E603" s="52">
        <f t="shared" si="319"/>
        <v>0</v>
      </c>
      <c r="F603" s="52">
        <f t="shared" si="319"/>
        <v>0</v>
      </c>
      <c r="G603" s="52">
        <f t="shared" si="319"/>
        <v>0</v>
      </c>
      <c r="H603" s="52">
        <f t="shared" si="319"/>
        <v>0</v>
      </c>
      <c r="I603" s="52">
        <f t="shared" si="319"/>
        <v>0</v>
      </c>
      <c r="J603" s="52">
        <f t="shared" si="319"/>
        <v>0</v>
      </c>
      <c r="K603" s="52">
        <f t="shared" si="319"/>
        <v>0</v>
      </c>
      <c r="L603" s="52">
        <f t="shared" si="319"/>
        <v>0</v>
      </c>
      <c r="M603" s="52">
        <f t="shared" si="319"/>
        <v>0</v>
      </c>
      <c r="N603" s="52">
        <f t="shared" si="319"/>
        <v>0</v>
      </c>
      <c r="O603" s="52">
        <f t="shared" si="319"/>
        <v>0</v>
      </c>
      <c r="P603" s="52">
        <f t="shared" si="319"/>
        <v>0</v>
      </c>
      <c r="Q603" s="52">
        <f t="shared" si="319"/>
        <v>0</v>
      </c>
      <c r="R603" s="52">
        <f t="shared" si="319"/>
        <v>0</v>
      </c>
      <c r="S603" s="52">
        <f t="shared" si="319"/>
        <v>0</v>
      </c>
      <c r="T603" s="52">
        <f t="shared" si="319"/>
        <v>0</v>
      </c>
      <c r="U603" s="52">
        <f t="shared" si="319"/>
        <v>0</v>
      </c>
      <c r="V603" s="52">
        <f t="shared" si="319"/>
        <v>0</v>
      </c>
      <c r="W603" s="52">
        <f t="shared" si="319"/>
        <v>0</v>
      </c>
      <c r="X603" s="52">
        <f t="shared" si="319"/>
        <v>0</v>
      </c>
      <c r="Y603" s="52">
        <f t="shared" si="319"/>
        <v>0</v>
      </c>
      <c r="Z603" s="52">
        <f t="shared" si="319"/>
        <v>0</v>
      </c>
      <c r="AA603" s="52">
        <f t="shared" si="319"/>
        <v>0</v>
      </c>
      <c r="AB603" s="52">
        <f t="shared" si="319"/>
        <v>0</v>
      </c>
      <c r="AC603" s="52">
        <f t="shared" si="319"/>
        <v>0</v>
      </c>
      <c r="AD603" s="52">
        <f t="shared" si="319"/>
        <v>0</v>
      </c>
      <c r="AE603" s="52">
        <f t="shared" si="319"/>
        <v>0</v>
      </c>
      <c r="AF603" s="52">
        <f t="shared" si="319"/>
        <v>0</v>
      </c>
      <c r="AG603" s="52">
        <f t="shared" si="319"/>
        <v>0</v>
      </c>
      <c r="AH603" s="52">
        <f t="shared" si="319"/>
        <v>0</v>
      </c>
      <c r="AI603" s="52">
        <f t="shared" si="319"/>
        <v>0</v>
      </c>
      <c r="AJ603" s="52">
        <f t="shared" si="319"/>
        <v>0</v>
      </c>
      <c r="AK603" s="52">
        <f t="shared" si="319"/>
        <v>0</v>
      </c>
      <c r="AL603" s="52">
        <f t="shared" si="319"/>
        <v>0</v>
      </c>
      <c r="AM603" s="52">
        <f t="shared" si="319"/>
        <v>0</v>
      </c>
      <c r="AN603" s="52">
        <f t="shared" si="319"/>
        <v>0</v>
      </c>
      <c r="AO603" s="52">
        <f t="shared" si="319"/>
        <v>0</v>
      </c>
      <c r="AP603" s="52">
        <f t="shared" si="319"/>
        <v>0</v>
      </c>
    </row>
    <row r="604" spans="1:42" x14ac:dyDescent="0.2">
      <c r="A604" s="17">
        <f t="shared" si="320"/>
        <v>7</v>
      </c>
      <c r="B604" s="58">
        <f t="shared" si="317"/>
        <v>0</v>
      </c>
      <c r="C604" s="86">
        <f t="shared" si="319"/>
        <v>0</v>
      </c>
      <c r="D604" s="52">
        <f t="shared" si="319"/>
        <v>0</v>
      </c>
      <c r="E604" s="52">
        <f t="shared" si="319"/>
        <v>0</v>
      </c>
      <c r="F604" s="52">
        <f t="shared" si="319"/>
        <v>0</v>
      </c>
      <c r="G604" s="52">
        <f t="shared" si="319"/>
        <v>0</v>
      </c>
      <c r="H604" s="52">
        <f t="shared" si="319"/>
        <v>0</v>
      </c>
      <c r="I604" s="52">
        <f t="shared" si="319"/>
        <v>0</v>
      </c>
      <c r="J604" s="52">
        <f t="shared" si="319"/>
        <v>0</v>
      </c>
      <c r="K604" s="52">
        <f t="shared" si="319"/>
        <v>0</v>
      </c>
      <c r="L604" s="52">
        <f t="shared" si="319"/>
        <v>0</v>
      </c>
      <c r="M604" s="52">
        <f t="shared" si="319"/>
        <v>0</v>
      </c>
      <c r="N604" s="52">
        <f t="shared" si="319"/>
        <v>0</v>
      </c>
      <c r="O604" s="52">
        <f t="shared" si="319"/>
        <v>0</v>
      </c>
      <c r="P604" s="52">
        <f t="shared" si="319"/>
        <v>0</v>
      </c>
      <c r="Q604" s="52">
        <f t="shared" si="319"/>
        <v>0</v>
      </c>
      <c r="R604" s="52">
        <f t="shared" si="319"/>
        <v>0</v>
      </c>
      <c r="S604" s="52">
        <f t="shared" si="319"/>
        <v>0</v>
      </c>
      <c r="T604" s="52">
        <f t="shared" si="319"/>
        <v>0</v>
      </c>
      <c r="U604" s="52">
        <f t="shared" si="319"/>
        <v>0</v>
      </c>
      <c r="V604" s="52">
        <f t="shared" si="319"/>
        <v>0</v>
      </c>
      <c r="W604" s="52">
        <f t="shared" si="319"/>
        <v>0</v>
      </c>
      <c r="X604" s="52">
        <f t="shared" si="319"/>
        <v>0</v>
      </c>
      <c r="Y604" s="52">
        <f t="shared" si="319"/>
        <v>0</v>
      </c>
      <c r="Z604" s="52">
        <f t="shared" si="319"/>
        <v>0</v>
      </c>
      <c r="AA604" s="52">
        <f t="shared" si="319"/>
        <v>0</v>
      </c>
      <c r="AB604" s="52">
        <f t="shared" si="319"/>
        <v>0</v>
      </c>
      <c r="AC604" s="52">
        <f t="shared" si="319"/>
        <v>0</v>
      </c>
      <c r="AD604" s="52">
        <f t="shared" si="319"/>
        <v>0</v>
      </c>
      <c r="AE604" s="52">
        <f t="shared" si="319"/>
        <v>0</v>
      </c>
      <c r="AF604" s="52">
        <f t="shared" si="319"/>
        <v>0</v>
      </c>
      <c r="AG604" s="52">
        <f t="shared" si="319"/>
        <v>0</v>
      </c>
      <c r="AH604" s="52">
        <f t="shared" si="319"/>
        <v>0</v>
      </c>
      <c r="AI604" s="52">
        <f t="shared" si="319"/>
        <v>0</v>
      </c>
      <c r="AJ604" s="52">
        <f t="shared" si="319"/>
        <v>0</v>
      </c>
      <c r="AK604" s="52">
        <f t="shared" si="319"/>
        <v>0</v>
      </c>
      <c r="AL604" s="52">
        <f t="shared" si="319"/>
        <v>0</v>
      </c>
      <c r="AM604" s="52">
        <f t="shared" si="319"/>
        <v>0</v>
      </c>
      <c r="AN604" s="52">
        <f t="shared" si="319"/>
        <v>0</v>
      </c>
      <c r="AO604" s="52">
        <f t="shared" si="319"/>
        <v>0</v>
      </c>
      <c r="AP604" s="52">
        <f t="shared" si="319"/>
        <v>0</v>
      </c>
    </row>
    <row r="605" spans="1:42" x14ac:dyDescent="0.2">
      <c r="A605" s="17">
        <f t="shared" si="320"/>
        <v>8</v>
      </c>
      <c r="B605" s="58">
        <f t="shared" si="317"/>
        <v>0</v>
      </c>
      <c r="C605" s="86">
        <f t="shared" si="319"/>
        <v>0</v>
      </c>
      <c r="D605" s="52">
        <f t="shared" si="319"/>
        <v>0</v>
      </c>
      <c r="E605" s="52">
        <f t="shared" si="319"/>
        <v>0</v>
      </c>
      <c r="F605" s="52">
        <f t="shared" si="319"/>
        <v>0</v>
      </c>
      <c r="G605" s="52">
        <f t="shared" si="319"/>
        <v>0</v>
      </c>
      <c r="H605" s="52">
        <f t="shared" si="319"/>
        <v>0</v>
      </c>
      <c r="I605" s="52">
        <f t="shared" si="319"/>
        <v>0</v>
      </c>
      <c r="J605" s="52">
        <f t="shared" si="319"/>
        <v>0</v>
      </c>
      <c r="K605" s="52">
        <f t="shared" si="319"/>
        <v>0</v>
      </c>
      <c r="L605" s="52">
        <f t="shared" si="319"/>
        <v>0</v>
      </c>
      <c r="M605" s="52">
        <f t="shared" si="319"/>
        <v>0</v>
      </c>
      <c r="N605" s="52">
        <f t="shared" si="319"/>
        <v>0</v>
      </c>
      <c r="O605" s="52">
        <f t="shared" si="319"/>
        <v>0</v>
      </c>
      <c r="P605" s="52">
        <f t="shared" si="319"/>
        <v>0</v>
      </c>
      <c r="Q605" s="52">
        <f t="shared" si="319"/>
        <v>0</v>
      </c>
      <c r="R605" s="52">
        <f t="shared" ref="R605:AP605" si="321">IF(AND(R$2&gt;MMFrequency*$A592,R$2&lt;=MMFrequency*$A593),$B593/(MMFrequency),0)</f>
        <v>0</v>
      </c>
      <c r="S605" s="52">
        <f t="shared" si="321"/>
        <v>0</v>
      </c>
      <c r="T605" s="52">
        <f t="shared" si="321"/>
        <v>0</v>
      </c>
      <c r="U605" s="52">
        <f t="shared" si="321"/>
        <v>0</v>
      </c>
      <c r="V605" s="52">
        <f t="shared" si="321"/>
        <v>0</v>
      </c>
      <c r="W605" s="52">
        <f t="shared" si="321"/>
        <v>0</v>
      </c>
      <c r="X605" s="52">
        <f t="shared" si="321"/>
        <v>0</v>
      </c>
      <c r="Y605" s="52">
        <f t="shared" si="321"/>
        <v>0</v>
      </c>
      <c r="Z605" s="52">
        <f t="shared" si="321"/>
        <v>0</v>
      </c>
      <c r="AA605" s="52">
        <f t="shared" si="321"/>
        <v>0</v>
      </c>
      <c r="AB605" s="52">
        <f t="shared" si="321"/>
        <v>0</v>
      </c>
      <c r="AC605" s="52">
        <f t="shared" si="321"/>
        <v>0</v>
      </c>
      <c r="AD605" s="52">
        <f t="shared" si="321"/>
        <v>0</v>
      </c>
      <c r="AE605" s="52">
        <f t="shared" si="321"/>
        <v>0</v>
      </c>
      <c r="AF605" s="52">
        <f t="shared" si="321"/>
        <v>0</v>
      </c>
      <c r="AG605" s="52">
        <f t="shared" si="321"/>
        <v>0</v>
      </c>
      <c r="AH605" s="52">
        <f t="shared" si="321"/>
        <v>0</v>
      </c>
      <c r="AI605" s="52">
        <f t="shared" si="321"/>
        <v>0</v>
      </c>
      <c r="AJ605" s="52">
        <f t="shared" si="321"/>
        <v>0</v>
      </c>
      <c r="AK605" s="52">
        <f t="shared" si="321"/>
        <v>0</v>
      </c>
      <c r="AL605" s="52">
        <f t="shared" si="321"/>
        <v>0</v>
      </c>
      <c r="AM605" s="52">
        <f t="shared" si="321"/>
        <v>0</v>
      </c>
      <c r="AN605" s="52">
        <f t="shared" si="321"/>
        <v>0</v>
      </c>
      <c r="AO605" s="52">
        <f t="shared" si="321"/>
        <v>0</v>
      </c>
      <c r="AP605" s="52">
        <f t="shared" si="321"/>
        <v>0</v>
      </c>
    </row>
    <row r="606" spans="1:42" x14ac:dyDescent="0.2">
      <c r="A606" s="17">
        <f>A605+1</f>
        <v>9</v>
      </c>
      <c r="B606" s="58">
        <f t="shared" si="317"/>
        <v>0</v>
      </c>
      <c r="C606" s="86">
        <f t="shared" ref="C606:AP607" si="322">IF(AND(C$2&gt;MMFrequency*$A593,C$2&lt;=MMFrequency*$A594),$B594/(MMFrequency),0)</f>
        <v>0</v>
      </c>
      <c r="D606" s="52">
        <f t="shared" si="322"/>
        <v>0</v>
      </c>
      <c r="E606" s="52">
        <f t="shared" si="322"/>
        <v>0</v>
      </c>
      <c r="F606" s="52">
        <f t="shared" si="322"/>
        <v>0</v>
      </c>
      <c r="G606" s="52">
        <f t="shared" si="322"/>
        <v>0</v>
      </c>
      <c r="H606" s="52">
        <f t="shared" si="322"/>
        <v>0</v>
      </c>
      <c r="I606" s="52">
        <f t="shared" si="322"/>
        <v>0</v>
      </c>
      <c r="J606" s="52">
        <f t="shared" si="322"/>
        <v>0</v>
      </c>
      <c r="K606" s="52">
        <f t="shared" si="322"/>
        <v>0</v>
      </c>
      <c r="L606" s="52">
        <f t="shared" si="322"/>
        <v>0</v>
      </c>
      <c r="M606" s="52">
        <f t="shared" si="322"/>
        <v>0</v>
      </c>
      <c r="N606" s="52">
        <f t="shared" si="322"/>
        <v>0</v>
      </c>
      <c r="O606" s="52">
        <f t="shared" si="322"/>
        <v>0</v>
      </c>
      <c r="P606" s="52">
        <f t="shared" si="322"/>
        <v>0</v>
      </c>
      <c r="Q606" s="52">
        <f t="shared" si="322"/>
        <v>0</v>
      </c>
      <c r="R606" s="52">
        <f t="shared" si="322"/>
        <v>0</v>
      </c>
      <c r="S606" s="52">
        <f t="shared" si="322"/>
        <v>0</v>
      </c>
      <c r="T606" s="52">
        <f t="shared" si="322"/>
        <v>0</v>
      </c>
      <c r="U606" s="52">
        <f t="shared" si="322"/>
        <v>0</v>
      </c>
      <c r="V606" s="52">
        <f t="shared" si="322"/>
        <v>0</v>
      </c>
      <c r="W606" s="52">
        <f t="shared" si="322"/>
        <v>0</v>
      </c>
      <c r="X606" s="52">
        <f t="shared" si="322"/>
        <v>0</v>
      </c>
      <c r="Y606" s="52">
        <f t="shared" si="322"/>
        <v>0</v>
      </c>
      <c r="Z606" s="52">
        <f t="shared" si="322"/>
        <v>0</v>
      </c>
      <c r="AA606" s="52">
        <f t="shared" si="322"/>
        <v>0</v>
      </c>
      <c r="AB606" s="52">
        <f t="shared" si="322"/>
        <v>0</v>
      </c>
      <c r="AC606" s="52">
        <f t="shared" si="322"/>
        <v>0</v>
      </c>
      <c r="AD606" s="52">
        <f t="shared" si="322"/>
        <v>0</v>
      </c>
      <c r="AE606" s="52">
        <f t="shared" si="322"/>
        <v>0</v>
      </c>
      <c r="AF606" s="52">
        <f t="shared" si="322"/>
        <v>0</v>
      </c>
      <c r="AG606" s="52">
        <f t="shared" si="322"/>
        <v>0</v>
      </c>
      <c r="AH606" s="52">
        <f t="shared" si="322"/>
        <v>0</v>
      </c>
      <c r="AI606" s="52">
        <f t="shared" si="322"/>
        <v>0</v>
      </c>
      <c r="AJ606" s="52">
        <f t="shared" si="322"/>
        <v>0</v>
      </c>
      <c r="AK606" s="52">
        <f t="shared" si="322"/>
        <v>0</v>
      </c>
      <c r="AL606" s="52">
        <f t="shared" si="322"/>
        <v>0</v>
      </c>
      <c r="AM606" s="52">
        <f t="shared" si="322"/>
        <v>0</v>
      </c>
      <c r="AN606" s="52">
        <f t="shared" si="322"/>
        <v>0</v>
      </c>
      <c r="AO606" s="52">
        <f t="shared" si="322"/>
        <v>0</v>
      </c>
      <c r="AP606" s="52">
        <f t="shared" si="322"/>
        <v>0</v>
      </c>
    </row>
    <row r="607" spans="1:42" x14ac:dyDescent="0.2">
      <c r="A607" s="17">
        <f t="shared" ref="A607" si="323">A606+1</f>
        <v>10</v>
      </c>
      <c r="B607" s="58">
        <f t="shared" si="317"/>
        <v>0</v>
      </c>
      <c r="C607" s="82">
        <f t="shared" si="322"/>
        <v>0</v>
      </c>
      <c r="D607" s="53">
        <f t="shared" si="322"/>
        <v>0</v>
      </c>
      <c r="E607" s="53">
        <f t="shared" si="322"/>
        <v>0</v>
      </c>
      <c r="F607" s="53">
        <f t="shared" si="322"/>
        <v>0</v>
      </c>
      <c r="G607" s="53">
        <f t="shared" si="322"/>
        <v>0</v>
      </c>
      <c r="H607" s="53">
        <f t="shared" si="322"/>
        <v>0</v>
      </c>
      <c r="I607" s="53">
        <f t="shared" si="322"/>
        <v>0</v>
      </c>
      <c r="J607" s="53">
        <f t="shared" si="322"/>
        <v>0</v>
      </c>
      <c r="K607" s="53">
        <f t="shared" si="322"/>
        <v>0</v>
      </c>
      <c r="L607" s="53">
        <f t="shared" si="322"/>
        <v>0</v>
      </c>
      <c r="M607" s="53">
        <f t="shared" si="322"/>
        <v>0</v>
      </c>
      <c r="N607" s="53">
        <f t="shared" si="322"/>
        <v>0</v>
      </c>
      <c r="O607" s="53">
        <f t="shared" si="322"/>
        <v>0</v>
      </c>
      <c r="P607" s="53">
        <f t="shared" si="322"/>
        <v>0</v>
      </c>
      <c r="Q607" s="53">
        <f t="shared" si="322"/>
        <v>0</v>
      </c>
      <c r="R607" s="53">
        <f t="shared" si="322"/>
        <v>0</v>
      </c>
      <c r="S607" s="53">
        <f t="shared" si="322"/>
        <v>0</v>
      </c>
      <c r="T607" s="53">
        <f t="shared" si="322"/>
        <v>0</v>
      </c>
      <c r="U607" s="53">
        <f t="shared" si="322"/>
        <v>0</v>
      </c>
      <c r="V607" s="53">
        <f t="shared" si="322"/>
        <v>0</v>
      </c>
      <c r="W607" s="53">
        <f t="shared" si="322"/>
        <v>0</v>
      </c>
      <c r="X607" s="53">
        <f t="shared" si="322"/>
        <v>0</v>
      </c>
      <c r="Y607" s="53">
        <f t="shared" si="322"/>
        <v>0</v>
      </c>
      <c r="Z607" s="53">
        <f t="shared" si="322"/>
        <v>0</v>
      </c>
      <c r="AA607" s="53">
        <f t="shared" si="322"/>
        <v>0</v>
      </c>
      <c r="AB607" s="53">
        <f t="shared" si="322"/>
        <v>0</v>
      </c>
      <c r="AC607" s="53">
        <f t="shared" si="322"/>
        <v>0</v>
      </c>
      <c r="AD607" s="53">
        <f t="shared" si="322"/>
        <v>0</v>
      </c>
      <c r="AE607" s="53">
        <f t="shared" si="322"/>
        <v>0</v>
      </c>
      <c r="AF607" s="53">
        <f t="shared" si="322"/>
        <v>0</v>
      </c>
      <c r="AG607" s="53">
        <f t="shared" si="322"/>
        <v>0</v>
      </c>
      <c r="AH607" s="53">
        <f t="shared" si="322"/>
        <v>0</v>
      </c>
      <c r="AI607" s="53">
        <f t="shared" si="322"/>
        <v>0</v>
      </c>
      <c r="AJ607" s="53">
        <f t="shared" si="322"/>
        <v>0</v>
      </c>
      <c r="AK607" s="53">
        <f t="shared" si="322"/>
        <v>0</v>
      </c>
      <c r="AL607" s="53">
        <f t="shared" si="322"/>
        <v>0</v>
      </c>
      <c r="AM607" s="53">
        <f t="shared" si="322"/>
        <v>0</v>
      </c>
      <c r="AN607" s="53">
        <f t="shared" si="322"/>
        <v>0</v>
      </c>
      <c r="AO607" s="53">
        <f t="shared" si="322"/>
        <v>0</v>
      </c>
      <c r="AP607" s="53">
        <f t="shared" si="322"/>
        <v>0</v>
      </c>
    </row>
    <row r="608" spans="1:42" x14ac:dyDescent="0.2">
      <c r="A608" s="80" t="s">
        <v>23</v>
      </c>
      <c r="B608" s="52"/>
      <c r="C608" s="39">
        <f>SUM(C598:C607)</f>
        <v>273351.3870419304</v>
      </c>
      <c r="D608" s="39">
        <f t="shared" ref="D608:AP608" si="324">SUM(D598:D607)</f>
        <v>273351.3870419304</v>
      </c>
      <c r="E608" s="39">
        <f t="shared" si="324"/>
        <v>273351.3870419304</v>
      </c>
      <c r="F608" s="39">
        <f t="shared" si="324"/>
        <v>273351.3870419304</v>
      </c>
      <c r="G608" s="39">
        <f t="shared" si="324"/>
        <v>273351.3870419304</v>
      </c>
      <c r="H608" s="39">
        <f t="shared" si="324"/>
        <v>273351.3870419304</v>
      </c>
      <c r="I608" s="39">
        <f t="shared" si="324"/>
        <v>273351.3870419304</v>
      </c>
      <c r="J608" s="39">
        <f t="shared" si="324"/>
        <v>273351.3870419304</v>
      </c>
      <c r="K608" s="39">
        <f t="shared" si="324"/>
        <v>273351.3870419304</v>
      </c>
      <c r="L608" s="39">
        <f t="shared" si="324"/>
        <v>273351.3870419304</v>
      </c>
      <c r="M608" s="39">
        <f t="shared" si="324"/>
        <v>273351.3870419304</v>
      </c>
      <c r="N608" s="39">
        <f t="shared" si="324"/>
        <v>273351.3870419304</v>
      </c>
      <c r="O608" s="39">
        <f t="shared" si="324"/>
        <v>367627.22552491649</v>
      </c>
      <c r="P608" s="39">
        <f t="shared" si="324"/>
        <v>367627.22552491649</v>
      </c>
      <c r="Q608" s="39">
        <f t="shared" si="324"/>
        <v>367627.22552491649</v>
      </c>
      <c r="R608" s="39">
        <f t="shared" si="324"/>
        <v>367627.22552491649</v>
      </c>
      <c r="S608" s="39">
        <f t="shared" si="324"/>
        <v>367627.22552491649</v>
      </c>
      <c r="T608" s="39">
        <f t="shared" si="324"/>
        <v>367627.22552491649</v>
      </c>
      <c r="U608" s="39">
        <f t="shared" si="324"/>
        <v>367627.22552491649</v>
      </c>
      <c r="V608" s="39">
        <f t="shared" si="324"/>
        <v>367627.22552491649</v>
      </c>
      <c r="W608" s="39">
        <f t="shared" si="324"/>
        <v>367627.22552491649</v>
      </c>
      <c r="X608" s="39">
        <f t="shared" si="324"/>
        <v>367627.22552491649</v>
      </c>
      <c r="Y608" s="39">
        <f t="shared" si="324"/>
        <v>367627.22552491649</v>
      </c>
      <c r="Z608" s="39">
        <f t="shared" si="324"/>
        <v>367627.22552491649</v>
      </c>
      <c r="AA608" s="39">
        <f t="shared" si="324"/>
        <v>494417.74709713337</v>
      </c>
      <c r="AB608" s="39">
        <f t="shared" si="324"/>
        <v>494417.74709713337</v>
      </c>
      <c r="AC608" s="39">
        <f t="shared" si="324"/>
        <v>494417.74709713337</v>
      </c>
      <c r="AD608" s="39">
        <f t="shared" si="324"/>
        <v>494417.74709713337</v>
      </c>
      <c r="AE608" s="39">
        <f t="shared" si="324"/>
        <v>494417.74709713337</v>
      </c>
      <c r="AF608" s="39">
        <f t="shared" si="324"/>
        <v>494417.74709713337</v>
      </c>
      <c r="AG608" s="39">
        <f t="shared" si="324"/>
        <v>494417.74709713337</v>
      </c>
      <c r="AH608" s="39">
        <f t="shared" si="324"/>
        <v>494417.74709713337</v>
      </c>
      <c r="AI608" s="39">
        <f t="shared" si="324"/>
        <v>494417.74709713337</v>
      </c>
      <c r="AJ608" s="39">
        <f t="shared" si="324"/>
        <v>494417.74709713337</v>
      </c>
      <c r="AK608" s="39">
        <f t="shared" si="324"/>
        <v>494417.74709713337</v>
      </c>
      <c r="AL608" s="39">
        <f t="shared" si="324"/>
        <v>494417.74709713337</v>
      </c>
      <c r="AM608" s="39">
        <f t="shared" si="324"/>
        <v>0</v>
      </c>
      <c r="AN608" s="39">
        <f t="shared" si="324"/>
        <v>0</v>
      </c>
      <c r="AO608" s="39">
        <f t="shared" si="324"/>
        <v>0</v>
      </c>
      <c r="AP608" s="39">
        <f t="shared" si="324"/>
        <v>0</v>
      </c>
    </row>
    <row r="609" spans="1:42" x14ac:dyDescent="0.2">
      <c r="B609" s="52"/>
      <c r="C609" s="39"/>
      <c r="D609" s="39"/>
      <c r="E609" s="39"/>
      <c r="F609" s="39"/>
      <c r="G609" s="39"/>
      <c r="H609" s="39"/>
      <c r="I609" s="39"/>
      <c r="J609" s="39"/>
      <c r="K609" s="39"/>
      <c r="L609" s="39"/>
      <c r="M609" s="39"/>
      <c r="N609" s="39"/>
      <c r="O609" s="39"/>
      <c r="P609" s="39"/>
      <c r="Q609" s="39"/>
      <c r="R609" s="39"/>
      <c r="S609" s="39"/>
      <c r="T609" s="39"/>
      <c r="U609" s="39"/>
      <c r="V609" s="39"/>
      <c r="W609" s="39"/>
      <c r="X609" s="39"/>
      <c r="Y609" s="39"/>
      <c r="Z609" s="39"/>
      <c r="AA609" s="39"/>
      <c r="AB609" s="39"/>
      <c r="AC609" s="39"/>
      <c r="AD609" s="39"/>
      <c r="AE609" s="39"/>
      <c r="AF609" s="39"/>
      <c r="AG609" s="39"/>
      <c r="AH609" s="39"/>
      <c r="AI609" s="39"/>
      <c r="AJ609" s="39"/>
      <c r="AK609" s="39"/>
      <c r="AL609" s="39"/>
      <c r="AM609" s="39"/>
      <c r="AN609" s="39"/>
      <c r="AO609" s="39"/>
      <c r="AP609" s="39"/>
    </row>
    <row r="610" spans="1:42" x14ac:dyDescent="0.2">
      <c r="A610" s="48" t="s">
        <v>160</v>
      </c>
      <c r="C610" s="39"/>
      <c r="D610" s="39"/>
      <c r="E610" s="39"/>
      <c r="F610" s="39"/>
      <c r="G610" s="39"/>
      <c r="H610" s="39"/>
      <c r="I610" s="39"/>
      <c r="J610" s="39"/>
      <c r="K610" s="39"/>
      <c r="L610" s="39"/>
      <c r="M610" s="39"/>
      <c r="N610" s="39"/>
      <c r="O610" s="39"/>
      <c r="P610" s="39"/>
      <c r="Q610" s="39"/>
      <c r="R610" s="39"/>
      <c r="S610" s="39"/>
      <c r="T610" s="39"/>
      <c r="U610" s="39"/>
      <c r="V610" s="39"/>
      <c r="W610" s="39"/>
      <c r="X610" s="39"/>
      <c r="Y610" s="39"/>
      <c r="Z610" s="39"/>
      <c r="AA610" s="39"/>
      <c r="AB610" s="39"/>
      <c r="AC610" s="39"/>
      <c r="AD610" s="39"/>
      <c r="AE610" s="39"/>
      <c r="AF610" s="39"/>
      <c r="AG610" s="39"/>
      <c r="AH610" s="39"/>
      <c r="AI610" s="39"/>
      <c r="AJ610" s="39"/>
      <c r="AK610" s="39"/>
      <c r="AL610" s="39"/>
      <c r="AM610" s="39"/>
      <c r="AN610" s="39"/>
      <c r="AO610" s="39"/>
      <c r="AP610" s="39"/>
    </row>
    <row r="611" spans="1:42" x14ac:dyDescent="0.2">
      <c r="A611" s="17" t="s">
        <v>43</v>
      </c>
      <c r="B611" s="39">
        <v>0</v>
      </c>
      <c r="C611" s="39">
        <f>B614</f>
        <v>0</v>
      </c>
      <c r="D611" s="39">
        <f t="shared" ref="D611:AP611" si="325">C614</f>
        <v>0</v>
      </c>
      <c r="E611" s="39">
        <f t="shared" si="325"/>
        <v>0</v>
      </c>
      <c r="F611" s="39">
        <f t="shared" si="325"/>
        <v>0</v>
      </c>
      <c r="G611" s="39">
        <f t="shared" si="325"/>
        <v>0</v>
      </c>
      <c r="H611" s="39">
        <f t="shared" si="325"/>
        <v>0</v>
      </c>
      <c r="I611" s="39">
        <f t="shared" si="325"/>
        <v>0</v>
      </c>
      <c r="J611" s="39">
        <f t="shared" si="325"/>
        <v>0</v>
      </c>
      <c r="K611" s="39">
        <f t="shared" si="325"/>
        <v>0</v>
      </c>
      <c r="L611" s="39">
        <f t="shared" si="325"/>
        <v>0</v>
      </c>
      <c r="M611" s="39">
        <f t="shared" si="325"/>
        <v>0</v>
      </c>
      <c r="N611" s="39">
        <f t="shared" si="325"/>
        <v>0</v>
      </c>
      <c r="O611" s="39">
        <f t="shared" si="325"/>
        <v>0</v>
      </c>
      <c r="P611" s="39">
        <f t="shared" si="325"/>
        <v>0</v>
      </c>
      <c r="Q611" s="39">
        <f t="shared" si="325"/>
        <v>0</v>
      </c>
      <c r="R611" s="39">
        <f t="shared" si="325"/>
        <v>0</v>
      </c>
      <c r="S611" s="39">
        <f t="shared" si="325"/>
        <v>0</v>
      </c>
      <c r="T611" s="39">
        <f t="shared" si="325"/>
        <v>0</v>
      </c>
      <c r="U611" s="39">
        <f t="shared" si="325"/>
        <v>0</v>
      </c>
      <c r="V611" s="39">
        <f t="shared" si="325"/>
        <v>0</v>
      </c>
      <c r="W611" s="39">
        <f t="shared" si="325"/>
        <v>0</v>
      </c>
      <c r="X611" s="39">
        <f t="shared" si="325"/>
        <v>0</v>
      </c>
      <c r="Y611" s="39">
        <f t="shared" si="325"/>
        <v>0</v>
      </c>
      <c r="Z611" s="39">
        <f t="shared" si="325"/>
        <v>0</v>
      </c>
      <c r="AA611" s="39">
        <f t="shared" si="325"/>
        <v>0</v>
      </c>
      <c r="AB611" s="39">
        <f t="shared" si="325"/>
        <v>0</v>
      </c>
      <c r="AC611" s="39">
        <f t="shared" si="325"/>
        <v>0</v>
      </c>
      <c r="AD611" s="39">
        <f t="shared" si="325"/>
        <v>0</v>
      </c>
      <c r="AE611" s="39">
        <f t="shared" si="325"/>
        <v>0</v>
      </c>
      <c r="AF611" s="39">
        <f t="shared" si="325"/>
        <v>0</v>
      </c>
      <c r="AG611" s="39">
        <f t="shared" si="325"/>
        <v>0</v>
      </c>
      <c r="AH611" s="39">
        <f t="shared" si="325"/>
        <v>0</v>
      </c>
      <c r="AI611" s="39">
        <f t="shared" si="325"/>
        <v>0</v>
      </c>
      <c r="AJ611" s="39">
        <f t="shared" si="325"/>
        <v>0</v>
      </c>
      <c r="AK611" s="39">
        <f t="shared" si="325"/>
        <v>0</v>
      </c>
      <c r="AL611" s="39">
        <f t="shared" si="325"/>
        <v>0</v>
      </c>
      <c r="AM611" s="39">
        <f t="shared" si="325"/>
        <v>0</v>
      </c>
      <c r="AN611" s="39">
        <f t="shared" si="325"/>
        <v>0</v>
      </c>
      <c r="AO611" s="39">
        <f t="shared" si="325"/>
        <v>0</v>
      </c>
      <c r="AP611" s="39">
        <f t="shared" si="325"/>
        <v>0</v>
      </c>
    </row>
    <row r="612" spans="1:42" x14ac:dyDescent="0.2">
      <c r="A612" s="17" t="s">
        <v>117</v>
      </c>
      <c r="B612" s="39">
        <v>0</v>
      </c>
      <c r="C612" s="39">
        <f>C640</f>
        <v>0</v>
      </c>
      <c r="D612" s="39">
        <f t="shared" ref="D612:AP612" si="326">D640</f>
        <v>0</v>
      </c>
      <c r="E612" s="39">
        <f t="shared" si="326"/>
        <v>0</v>
      </c>
      <c r="F612" s="39">
        <f t="shared" si="326"/>
        <v>0</v>
      </c>
      <c r="G612" s="39">
        <f t="shared" si="326"/>
        <v>0</v>
      </c>
      <c r="H612" s="39">
        <f t="shared" si="326"/>
        <v>0</v>
      </c>
      <c r="I612" s="39">
        <f t="shared" si="326"/>
        <v>0</v>
      </c>
      <c r="J612" s="39">
        <f t="shared" si="326"/>
        <v>0</v>
      </c>
      <c r="K612" s="39">
        <f t="shared" si="326"/>
        <v>0</v>
      </c>
      <c r="L612" s="39">
        <f t="shared" si="326"/>
        <v>0</v>
      </c>
      <c r="M612" s="39">
        <f t="shared" si="326"/>
        <v>0</v>
      </c>
      <c r="N612" s="39">
        <f t="shared" si="326"/>
        <v>0</v>
      </c>
      <c r="O612" s="39">
        <f t="shared" si="326"/>
        <v>0</v>
      </c>
      <c r="P612" s="39">
        <f t="shared" si="326"/>
        <v>0</v>
      </c>
      <c r="Q612" s="39">
        <f t="shared" si="326"/>
        <v>0</v>
      </c>
      <c r="R612" s="39">
        <f t="shared" si="326"/>
        <v>0</v>
      </c>
      <c r="S612" s="39">
        <f t="shared" si="326"/>
        <v>0</v>
      </c>
      <c r="T612" s="39">
        <f t="shared" si="326"/>
        <v>0</v>
      </c>
      <c r="U612" s="39">
        <f t="shared" si="326"/>
        <v>0</v>
      </c>
      <c r="V612" s="39">
        <f t="shared" si="326"/>
        <v>0</v>
      </c>
      <c r="W612" s="39">
        <f t="shared" si="326"/>
        <v>0</v>
      </c>
      <c r="X612" s="39">
        <f t="shared" si="326"/>
        <v>0</v>
      </c>
      <c r="Y612" s="39">
        <f t="shared" si="326"/>
        <v>0</v>
      </c>
      <c r="Z612" s="39">
        <f t="shared" si="326"/>
        <v>0</v>
      </c>
      <c r="AA612" s="39">
        <f t="shared" si="326"/>
        <v>0</v>
      </c>
      <c r="AB612" s="39">
        <f t="shared" si="326"/>
        <v>0</v>
      </c>
      <c r="AC612" s="39">
        <f t="shared" si="326"/>
        <v>0</v>
      </c>
      <c r="AD612" s="39">
        <f t="shared" si="326"/>
        <v>0</v>
      </c>
      <c r="AE612" s="39">
        <f t="shared" si="326"/>
        <v>0</v>
      </c>
      <c r="AF612" s="39">
        <f t="shared" si="326"/>
        <v>0</v>
      </c>
      <c r="AG612" s="39">
        <f t="shared" si="326"/>
        <v>0</v>
      </c>
      <c r="AH612" s="39">
        <f t="shared" si="326"/>
        <v>0</v>
      </c>
      <c r="AI612" s="39">
        <f t="shared" si="326"/>
        <v>0</v>
      </c>
      <c r="AJ612" s="39">
        <f t="shared" si="326"/>
        <v>0</v>
      </c>
      <c r="AK612" s="39">
        <f t="shared" si="326"/>
        <v>0</v>
      </c>
      <c r="AL612" s="39">
        <f t="shared" si="326"/>
        <v>0</v>
      </c>
      <c r="AM612" s="39">
        <f t="shared" si="326"/>
        <v>0</v>
      </c>
      <c r="AN612" s="39">
        <f t="shared" si="326"/>
        <v>0</v>
      </c>
      <c r="AO612" s="39">
        <f t="shared" si="326"/>
        <v>0</v>
      </c>
      <c r="AP612" s="39">
        <f t="shared" si="326"/>
        <v>0</v>
      </c>
    </row>
    <row r="613" spans="1:42" x14ac:dyDescent="0.2">
      <c r="A613" s="17" t="s">
        <v>50</v>
      </c>
      <c r="B613" s="53">
        <v>0</v>
      </c>
      <c r="C613" s="53">
        <f>-C628</f>
        <v>0</v>
      </c>
      <c r="D613" s="53">
        <f t="shared" ref="D613:AP613" si="327">-D628</f>
        <v>0</v>
      </c>
      <c r="E613" s="53">
        <f t="shared" si="327"/>
        <v>0</v>
      </c>
      <c r="F613" s="53">
        <f t="shared" si="327"/>
        <v>0</v>
      </c>
      <c r="G613" s="53">
        <f t="shared" si="327"/>
        <v>0</v>
      </c>
      <c r="H613" s="53">
        <f t="shared" si="327"/>
        <v>0</v>
      </c>
      <c r="I613" s="53">
        <f t="shared" si="327"/>
        <v>0</v>
      </c>
      <c r="J613" s="53">
        <f t="shared" si="327"/>
        <v>0</v>
      </c>
      <c r="K613" s="53">
        <f t="shared" si="327"/>
        <v>0</v>
      </c>
      <c r="L613" s="53">
        <f t="shared" si="327"/>
        <v>0</v>
      </c>
      <c r="M613" s="53">
        <f t="shared" si="327"/>
        <v>0</v>
      </c>
      <c r="N613" s="53">
        <f t="shared" si="327"/>
        <v>0</v>
      </c>
      <c r="O613" s="53">
        <f t="shared" si="327"/>
        <v>0</v>
      </c>
      <c r="P613" s="53">
        <f t="shared" si="327"/>
        <v>0</v>
      </c>
      <c r="Q613" s="53">
        <f t="shared" si="327"/>
        <v>0</v>
      </c>
      <c r="R613" s="53">
        <f t="shared" si="327"/>
        <v>0</v>
      </c>
      <c r="S613" s="53">
        <f t="shared" si="327"/>
        <v>0</v>
      </c>
      <c r="T613" s="53">
        <f t="shared" si="327"/>
        <v>0</v>
      </c>
      <c r="U613" s="53">
        <f t="shared" si="327"/>
        <v>0</v>
      </c>
      <c r="V613" s="53">
        <f t="shared" si="327"/>
        <v>0</v>
      </c>
      <c r="W613" s="53">
        <f t="shared" si="327"/>
        <v>0</v>
      </c>
      <c r="X613" s="53">
        <f t="shared" si="327"/>
        <v>0</v>
      </c>
      <c r="Y613" s="53">
        <f t="shared" si="327"/>
        <v>0</v>
      </c>
      <c r="Z613" s="53">
        <f t="shared" si="327"/>
        <v>0</v>
      </c>
      <c r="AA613" s="53">
        <f t="shared" si="327"/>
        <v>0</v>
      </c>
      <c r="AB613" s="53">
        <f t="shared" si="327"/>
        <v>0</v>
      </c>
      <c r="AC613" s="53">
        <f t="shared" si="327"/>
        <v>0</v>
      </c>
      <c r="AD613" s="53">
        <f t="shared" si="327"/>
        <v>0</v>
      </c>
      <c r="AE613" s="53">
        <f t="shared" si="327"/>
        <v>0</v>
      </c>
      <c r="AF613" s="53">
        <f t="shared" si="327"/>
        <v>0</v>
      </c>
      <c r="AG613" s="53">
        <f t="shared" si="327"/>
        <v>0</v>
      </c>
      <c r="AH613" s="53">
        <f t="shared" si="327"/>
        <v>0</v>
      </c>
      <c r="AI613" s="53">
        <f t="shared" si="327"/>
        <v>0</v>
      </c>
      <c r="AJ613" s="53">
        <f t="shared" si="327"/>
        <v>0</v>
      </c>
      <c r="AK613" s="53">
        <f t="shared" si="327"/>
        <v>0</v>
      </c>
      <c r="AL613" s="53">
        <f t="shared" si="327"/>
        <v>0</v>
      </c>
      <c r="AM613" s="53">
        <f t="shared" si="327"/>
        <v>0</v>
      </c>
      <c r="AN613" s="53">
        <f t="shared" si="327"/>
        <v>0</v>
      </c>
      <c r="AO613" s="53">
        <f t="shared" si="327"/>
        <v>0</v>
      </c>
      <c r="AP613" s="53">
        <f t="shared" si="327"/>
        <v>0</v>
      </c>
    </row>
    <row r="614" spans="1:42" x14ac:dyDescent="0.2">
      <c r="A614" s="17" t="s">
        <v>46</v>
      </c>
      <c r="B614" s="39">
        <f>SUM(B611:B613)</f>
        <v>0</v>
      </c>
      <c r="C614" s="39">
        <f>SUM(C611:C613)</f>
        <v>0</v>
      </c>
      <c r="D614" s="39">
        <f t="shared" ref="D614:AP614" si="328">SUM(D611:D613)</f>
        <v>0</v>
      </c>
      <c r="E614" s="39">
        <f t="shared" si="328"/>
        <v>0</v>
      </c>
      <c r="F614" s="39">
        <f t="shared" si="328"/>
        <v>0</v>
      </c>
      <c r="G614" s="39">
        <f t="shared" si="328"/>
        <v>0</v>
      </c>
      <c r="H614" s="39">
        <f t="shared" si="328"/>
        <v>0</v>
      </c>
      <c r="I614" s="39">
        <f t="shared" si="328"/>
        <v>0</v>
      </c>
      <c r="J614" s="39">
        <f t="shared" si="328"/>
        <v>0</v>
      </c>
      <c r="K614" s="39">
        <f t="shared" si="328"/>
        <v>0</v>
      </c>
      <c r="L614" s="39">
        <f t="shared" si="328"/>
        <v>0</v>
      </c>
      <c r="M614" s="39">
        <f t="shared" si="328"/>
        <v>0</v>
      </c>
      <c r="N614" s="39">
        <f t="shared" si="328"/>
        <v>0</v>
      </c>
      <c r="O614" s="39">
        <f t="shared" si="328"/>
        <v>0</v>
      </c>
      <c r="P614" s="39">
        <f t="shared" si="328"/>
        <v>0</v>
      </c>
      <c r="Q614" s="39">
        <f t="shared" si="328"/>
        <v>0</v>
      </c>
      <c r="R614" s="39">
        <f t="shared" si="328"/>
        <v>0</v>
      </c>
      <c r="S614" s="39">
        <f t="shared" si="328"/>
        <v>0</v>
      </c>
      <c r="T614" s="39">
        <f t="shared" si="328"/>
        <v>0</v>
      </c>
      <c r="U614" s="39">
        <f t="shared" si="328"/>
        <v>0</v>
      </c>
      <c r="V614" s="39">
        <f t="shared" si="328"/>
        <v>0</v>
      </c>
      <c r="W614" s="39">
        <f t="shared" si="328"/>
        <v>0</v>
      </c>
      <c r="X614" s="39">
        <f t="shared" si="328"/>
        <v>0</v>
      </c>
      <c r="Y614" s="39">
        <f t="shared" si="328"/>
        <v>0</v>
      </c>
      <c r="Z614" s="39">
        <f t="shared" si="328"/>
        <v>0</v>
      </c>
      <c r="AA614" s="39">
        <f t="shared" si="328"/>
        <v>0</v>
      </c>
      <c r="AB614" s="39">
        <f t="shared" si="328"/>
        <v>0</v>
      </c>
      <c r="AC614" s="39">
        <f t="shared" si="328"/>
        <v>0</v>
      </c>
      <c r="AD614" s="39">
        <f t="shared" si="328"/>
        <v>0</v>
      </c>
      <c r="AE614" s="39">
        <f t="shared" si="328"/>
        <v>0</v>
      </c>
      <c r="AF614" s="39">
        <f t="shared" si="328"/>
        <v>0</v>
      </c>
      <c r="AG614" s="39">
        <f t="shared" si="328"/>
        <v>0</v>
      </c>
      <c r="AH614" s="39">
        <f t="shared" si="328"/>
        <v>0</v>
      </c>
      <c r="AI614" s="39">
        <f t="shared" si="328"/>
        <v>0</v>
      </c>
      <c r="AJ614" s="39">
        <f t="shared" si="328"/>
        <v>0</v>
      </c>
      <c r="AK614" s="39">
        <f t="shared" si="328"/>
        <v>0</v>
      </c>
      <c r="AL614" s="39">
        <f t="shared" si="328"/>
        <v>0</v>
      </c>
      <c r="AM614" s="39">
        <f t="shared" si="328"/>
        <v>0</v>
      </c>
      <c r="AN614" s="39">
        <f t="shared" si="328"/>
        <v>0</v>
      </c>
      <c r="AO614" s="39">
        <f t="shared" si="328"/>
        <v>0</v>
      </c>
      <c r="AP614" s="39">
        <f t="shared" si="328"/>
        <v>0</v>
      </c>
    </row>
    <row r="615" spans="1:42" x14ac:dyDescent="0.2">
      <c r="B615" s="39"/>
      <c r="C615" s="39"/>
      <c r="D615" s="39"/>
      <c r="E615" s="39"/>
      <c r="F615" s="39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52"/>
      <c r="AE615" s="52"/>
      <c r="AF615" s="52"/>
      <c r="AG615" s="52"/>
      <c r="AH615" s="52"/>
      <c r="AI615" s="52"/>
      <c r="AJ615" s="52"/>
      <c r="AK615" s="52"/>
      <c r="AL615" s="52"/>
      <c r="AM615" s="52"/>
      <c r="AN615" s="52"/>
      <c r="AO615" s="52"/>
      <c r="AP615" s="52"/>
    </row>
    <row r="616" spans="1:42" x14ac:dyDescent="0.2">
      <c r="A616" s="17" t="s">
        <v>115</v>
      </c>
      <c r="B616" s="39"/>
      <c r="C616" s="39"/>
      <c r="D616" s="39"/>
      <c r="E616" s="39"/>
      <c r="F616" s="39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52"/>
      <c r="AE616" s="52"/>
      <c r="AF616" s="52"/>
      <c r="AG616" s="52"/>
      <c r="AH616" s="52"/>
      <c r="AI616" s="52"/>
      <c r="AJ616" s="52"/>
      <c r="AK616" s="52"/>
      <c r="AL616" s="52"/>
      <c r="AM616" s="52"/>
      <c r="AN616" s="52"/>
      <c r="AO616" s="52"/>
      <c r="AP616" s="52"/>
    </row>
    <row r="617" spans="1:42" x14ac:dyDescent="0.2">
      <c r="A617" s="17" t="s">
        <v>116</v>
      </c>
      <c r="B617" s="39"/>
      <c r="C617" s="39"/>
      <c r="D617" s="39"/>
      <c r="E617" s="39"/>
      <c r="F617" s="39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52"/>
      <c r="AE617" s="52"/>
      <c r="AF617" s="52"/>
      <c r="AG617" s="52"/>
      <c r="AH617" s="52"/>
      <c r="AI617" s="52"/>
      <c r="AJ617" s="52"/>
      <c r="AK617" s="52"/>
      <c r="AL617" s="52"/>
      <c r="AM617" s="52"/>
      <c r="AN617" s="52"/>
      <c r="AO617" s="52"/>
      <c r="AP617" s="52"/>
    </row>
    <row r="618" spans="1:42" x14ac:dyDescent="0.2">
      <c r="A618" s="17">
        <v>1</v>
      </c>
      <c r="B618" s="58">
        <f t="shared" ref="B618:B627" si="329">SUM(C618:AP618)</f>
        <v>0</v>
      </c>
      <c r="C618" s="52">
        <f t="shared" ref="C618:AP624" si="330">IF(C$2&gt;AnalysisPeriod,0,IF(C$2=MMFrequency2*$A618,MMCost2*CapacityDC*1000*(1+Inflation)^B$2,0))</f>
        <v>0</v>
      </c>
      <c r="D618" s="52">
        <f t="shared" si="330"/>
        <v>0</v>
      </c>
      <c r="E618" s="52">
        <f t="shared" si="330"/>
        <v>0</v>
      </c>
      <c r="F618" s="52">
        <f t="shared" si="330"/>
        <v>0</v>
      </c>
      <c r="G618" s="52">
        <f t="shared" si="330"/>
        <v>0</v>
      </c>
      <c r="H618" s="52">
        <f t="shared" si="330"/>
        <v>0</v>
      </c>
      <c r="I618" s="52">
        <f t="shared" si="330"/>
        <v>0</v>
      </c>
      <c r="J618" s="52">
        <f t="shared" si="330"/>
        <v>0</v>
      </c>
      <c r="K618" s="52">
        <f t="shared" si="330"/>
        <v>0</v>
      </c>
      <c r="L618" s="52">
        <f t="shared" si="330"/>
        <v>0</v>
      </c>
      <c r="M618" s="52">
        <f t="shared" si="330"/>
        <v>0</v>
      </c>
      <c r="N618" s="52">
        <f t="shared" si="330"/>
        <v>0</v>
      </c>
      <c r="O618" s="52">
        <f t="shared" si="330"/>
        <v>0</v>
      </c>
      <c r="P618" s="52">
        <f t="shared" si="330"/>
        <v>0</v>
      </c>
      <c r="Q618" s="52">
        <f t="shared" si="330"/>
        <v>0</v>
      </c>
      <c r="R618" s="52">
        <f t="shared" si="330"/>
        <v>0</v>
      </c>
      <c r="S618" s="52">
        <f t="shared" si="330"/>
        <v>0</v>
      </c>
      <c r="T618" s="52">
        <f t="shared" si="330"/>
        <v>0</v>
      </c>
      <c r="U618" s="52">
        <f t="shared" si="330"/>
        <v>0</v>
      </c>
      <c r="V618" s="52">
        <f t="shared" si="330"/>
        <v>0</v>
      </c>
      <c r="W618" s="52">
        <f t="shared" si="330"/>
        <v>0</v>
      </c>
      <c r="X618" s="52">
        <f t="shared" si="330"/>
        <v>0</v>
      </c>
      <c r="Y618" s="52">
        <f t="shared" si="330"/>
        <v>0</v>
      </c>
      <c r="Z618" s="52">
        <f t="shared" si="330"/>
        <v>0</v>
      </c>
      <c r="AA618" s="52">
        <f t="shared" si="330"/>
        <v>0</v>
      </c>
      <c r="AB618" s="52">
        <f t="shared" si="330"/>
        <v>0</v>
      </c>
      <c r="AC618" s="52">
        <f t="shared" si="330"/>
        <v>0</v>
      </c>
      <c r="AD618" s="52">
        <f t="shared" si="330"/>
        <v>0</v>
      </c>
      <c r="AE618" s="52">
        <f t="shared" si="330"/>
        <v>0</v>
      </c>
      <c r="AF618" s="52">
        <f t="shared" si="330"/>
        <v>0</v>
      </c>
      <c r="AG618" s="52">
        <f t="shared" si="330"/>
        <v>0</v>
      </c>
      <c r="AH618" s="52">
        <f t="shared" si="330"/>
        <v>0</v>
      </c>
      <c r="AI618" s="52">
        <f t="shared" si="330"/>
        <v>0</v>
      </c>
      <c r="AJ618" s="52">
        <f t="shared" si="330"/>
        <v>0</v>
      </c>
      <c r="AK618" s="52">
        <f t="shared" si="330"/>
        <v>0</v>
      </c>
      <c r="AL618" s="52">
        <f t="shared" si="330"/>
        <v>0</v>
      </c>
      <c r="AM618" s="52">
        <f t="shared" si="330"/>
        <v>0</v>
      </c>
      <c r="AN618" s="52">
        <f t="shared" si="330"/>
        <v>0</v>
      </c>
      <c r="AO618" s="52">
        <f t="shared" si="330"/>
        <v>0</v>
      </c>
      <c r="AP618" s="52">
        <f t="shared" si="330"/>
        <v>0</v>
      </c>
    </row>
    <row r="619" spans="1:42" x14ac:dyDescent="0.2">
      <c r="A619" s="17">
        <f>A618+1</f>
        <v>2</v>
      </c>
      <c r="B619" s="58">
        <f t="shared" si="329"/>
        <v>0</v>
      </c>
      <c r="C619" s="52">
        <f t="shared" si="330"/>
        <v>0</v>
      </c>
      <c r="D619" s="52">
        <f t="shared" si="330"/>
        <v>0</v>
      </c>
      <c r="E619" s="52">
        <f t="shared" si="330"/>
        <v>0</v>
      </c>
      <c r="F619" s="52">
        <f t="shared" si="330"/>
        <v>0</v>
      </c>
      <c r="G619" s="52">
        <f t="shared" si="330"/>
        <v>0</v>
      </c>
      <c r="H619" s="52">
        <f t="shared" si="330"/>
        <v>0</v>
      </c>
      <c r="I619" s="52">
        <f t="shared" si="330"/>
        <v>0</v>
      </c>
      <c r="J619" s="52">
        <f t="shared" si="330"/>
        <v>0</v>
      </c>
      <c r="K619" s="52">
        <f t="shared" si="330"/>
        <v>0</v>
      </c>
      <c r="L619" s="52">
        <f t="shared" si="330"/>
        <v>0</v>
      </c>
      <c r="M619" s="52">
        <f t="shared" si="330"/>
        <v>0</v>
      </c>
      <c r="N619" s="52">
        <f t="shared" si="330"/>
        <v>0</v>
      </c>
      <c r="O619" s="52">
        <f t="shared" si="330"/>
        <v>0</v>
      </c>
      <c r="P619" s="52">
        <f t="shared" si="330"/>
        <v>0</v>
      </c>
      <c r="Q619" s="52">
        <f t="shared" si="330"/>
        <v>0</v>
      </c>
      <c r="R619" s="52">
        <f t="shared" si="330"/>
        <v>0</v>
      </c>
      <c r="S619" s="52">
        <f t="shared" si="330"/>
        <v>0</v>
      </c>
      <c r="T619" s="52">
        <f t="shared" si="330"/>
        <v>0</v>
      </c>
      <c r="U619" s="52">
        <f t="shared" si="330"/>
        <v>0</v>
      </c>
      <c r="V619" s="52">
        <f t="shared" si="330"/>
        <v>0</v>
      </c>
      <c r="W619" s="52">
        <f t="shared" si="330"/>
        <v>0</v>
      </c>
      <c r="X619" s="52">
        <f t="shared" si="330"/>
        <v>0</v>
      </c>
      <c r="Y619" s="52">
        <f t="shared" si="330"/>
        <v>0</v>
      </c>
      <c r="Z619" s="52">
        <f t="shared" si="330"/>
        <v>0</v>
      </c>
      <c r="AA619" s="52">
        <f t="shared" si="330"/>
        <v>0</v>
      </c>
      <c r="AB619" s="52">
        <f t="shared" si="330"/>
        <v>0</v>
      </c>
      <c r="AC619" s="52">
        <f t="shared" si="330"/>
        <v>0</v>
      </c>
      <c r="AD619" s="52">
        <f t="shared" si="330"/>
        <v>0</v>
      </c>
      <c r="AE619" s="52">
        <f t="shared" si="330"/>
        <v>0</v>
      </c>
      <c r="AF619" s="52">
        <f t="shared" si="330"/>
        <v>0</v>
      </c>
      <c r="AG619" s="52">
        <f t="shared" si="330"/>
        <v>0</v>
      </c>
      <c r="AH619" s="52">
        <f t="shared" si="330"/>
        <v>0</v>
      </c>
      <c r="AI619" s="52">
        <f t="shared" si="330"/>
        <v>0</v>
      </c>
      <c r="AJ619" s="52">
        <f t="shared" si="330"/>
        <v>0</v>
      </c>
      <c r="AK619" s="52">
        <f t="shared" si="330"/>
        <v>0</v>
      </c>
      <c r="AL619" s="52">
        <f t="shared" si="330"/>
        <v>0</v>
      </c>
      <c r="AM619" s="52">
        <f t="shared" si="330"/>
        <v>0</v>
      </c>
      <c r="AN619" s="52">
        <f t="shared" si="330"/>
        <v>0</v>
      </c>
      <c r="AO619" s="52">
        <f t="shared" si="330"/>
        <v>0</v>
      </c>
      <c r="AP619" s="52">
        <f t="shared" si="330"/>
        <v>0</v>
      </c>
    </row>
    <row r="620" spans="1:42" x14ac:dyDescent="0.2">
      <c r="A620" s="17">
        <f t="shared" ref="A620:A627" si="331">A619+1</f>
        <v>3</v>
      </c>
      <c r="B620" s="58">
        <f t="shared" si="329"/>
        <v>0</v>
      </c>
      <c r="C620" s="52">
        <f t="shared" si="330"/>
        <v>0</v>
      </c>
      <c r="D620" s="52">
        <f t="shared" si="330"/>
        <v>0</v>
      </c>
      <c r="E620" s="52">
        <f t="shared" si="330"/>
        <v>0</v>
      </c>
      <c r="F620" s="52">
        <f t="shared" si="330"/>
        <v>0</v>
      </c>
      <c r="G620" s="52">
        <f t="shared" si="330"/>
        <v>0</v>
      </c>
      <c r="H620" s="52">
        <f t="shared" si="330"/>
        <v>0</v>
      </c>
      <c r="I620" s="52">
        <f t="shared" si="330"/>
        <v>0</v>
      </c>
      <c r="J620" s="52">
        <f t="shared" si="330"/>
        <v>0</v>
      </c>
      <c r="K620" s="52">
        <f t="shared" si="330"/>
        <v>0</v>
      </c>
      <c r="L620" s="52">
        <f t="shared" si="330"/>
        <v>0</v>
      </c>
      <c r="M620" s="52">
        <f t="shared" si="330"/>
        <v>0</v>
      </c>
      <c r="N620" s="52">
        <f t="shared" si="330"/>
        <v>0</v>
      </c>
      <c r="O620" s="52">
        <f t="shared" si="330"/>
        <v>0</v>
      </c>
      <c r="P620" s="52">
        <f t="shared" si="330"/>
        <v>0</v>
      </c>
      <c r="Q620" s="52">
        <f t="shared" si="330"/>
        <v>0</v>
      </c>
      <c r="R620" s="52">
        <f t="shared" si="330"/>
        <v>0</v>
      </c>
      <c r="S620" s="52">
        <f t="shared" si="330"/>
        <v>0</v>
      </c>
      <c r="T620" s="52">
        <f t="shared" si="330"/>
        <v>0</v>
      </c>
      <c r="U620" s="52">
        <f t="shared" si="330"/>
        <v>0</v>
      </c>
      <c r="V620" s="52">
        <f t="shared" si="330"/>
        <v>0</v>
      </c>
      <c r="W620" s="52">
        <f t="shared" si="330"/>
        <v>0</v>
      </c>
      <c r="X620" s="52">
        <f t="shared" si="330"/>
        <v>0</v>
      </c>
      <c r="Y620" s="52">
        <f t="shared" si="330"/>
        <v>0</v>
      </c>
      <c r="Z620" s="52">
        <f t="shared" si="330"/>
        <v>0</v>
      </c>
      <c r="AA620" s="52">
        <f t="shared" si="330"/>
        <v>0</v>
      </c>
      <c r="AB620" s="52">
        <f t="shared" si="330"/>
        <v>0</v>
      </c>
      <c r="AC620" s="52">
        <f t="shared" si="330"/>
        <v>0</v>
      </c>
      <c r="AD620" s="52">
        <f t="shared" si="330"/>
        <v>0</v>
      </c>
      <c r="AE620" s="52">
        <f t="shared" si="330"/>
        <v>0</v>
      </c>
      <c r="AF620" s="52">
        <f t="shared" si="330"/>
        <v>0</v>
      </c>
      <c r="AG620" s="52">
        <f t="shared" si="330"/>
        <v>0</v>
      </c>
      <c r="AH620" s="52">
        <f t="shared" si="330"/>
        <v>0</v>
      </c>
      <c r="AI620" s="52">
        <f t="shared" si="330"/>
        <v>0</v>
      </c>
      <c r="AJ620" s="52">
        <f t="shared" si="330"/>
        <v>0</v>
      </c>
      <c r="AK620" s="52">
        <f t="shared" si="330"/>
        <v>0</v>
      </c>
      <c r="AL620" s="52">
        <f t="shared" si="330"/>
        <v>0</v>
      </c>
      <c r="AM620" s="52">
        <f t="shared" si="330"/>
        <v>0</v>
      </c>
      <c r="AN620" s="52">
        <f t="shared" si="330"/>
        <v>0</v>
      </c>
      <c r="AO620" s="52">
        <f t="shared" si="330"/>
        <v>0</v>
      </c>
      <c r="AP620" s="52">
        <f t="shared" si="330"/>
        <v>0</v>
      </c>
    </row>
    <row r="621" spans="1:42" x14ac:dyDescent="0.2">
      <c r="A621" s="17">
        <f t="shared" si="331"/>
        <v>4</v>
      </c>
      <c r="B621" s="58">
        <f t="shared" si="329"/>
        <v>0</v>
      </c>
      <c r="C621" s="52">
        <f t="shared" si="330"/>
        <v>0</v>
      </c>
      <c r="D621" s="52">
        <f t="shared" si="330"/>
        <v>0</v>
      </c>
      <c r="E621" s="52">
        <f t="shared" si="330"/>
        <v>0</v>
      </c>
      <c r="F621" s="52">
        <f t="shared" si="330"/>
        <v>0</v>
      </c>
      <c r="G621" s="52">
        <f t="shared" si="330"/>
        <v>0</v>
      </c>
      <c r="H621" s="52">
        <f t="shared" si="330"/>
        <v>0</v>
      </c>
      <c r="I621" s="52">
        <f t="shared" si="330"/>
        <v>0</v>
      </c>
      <c r="J621" s="52">
        <f t="shared" si="330"/>
        <v>0</v>
      </c>
      <c r="K621" s="52">
        <f t="shared" si="330"/>
        <v>0</v>
      </c>
      <c r="L621" s="52">
        <f t="shared" si="330"/>
        <v>0</v>
      </c>
      <c r="M621" s="52">
        <f t="shared" si="330"/>
        <v>0</v>
      </c>
      <c r="N621" s="52">
        <f t="shared" si="330"/>
        <v>0</v>
      </c>
      <c r="O621" s="52">
        <f t="shared" si="330"/>
        <v>0</v>
      </c>
      <c r="P621" s="52">
        <f t="shared" si="330"/>
        <v>0</v>
      </c>
      <c r="Q621" s="52">
        <f t="shared" si="330"/>
        <v>0</v>
      </c>
      <c r="R621" s="52">
        <f t="shared" si="330"/>
        <v>0</v>
      </c>
      <c r="S621" s="52">
        <f t="shared" si="330"/>
        <v>0</v>
      </c>
      <c r="T621" s="52">
        <f t="shared" si="330"/>
        <v>0</v>
      </c>
      <c r="U621" s="52">
        <f t="shared" si="330"/>
        <v>0</v>
      </c>
      <c r="V621" s="52">
        <f t="shared" si="330"/>
        <v>0</v>
      </c>
      <c r="W621" s="52">
        <f t="shared" si="330"/>
        <v>0</v>
      </c>
      <c r="X621" s="52">
        <f t="shared" si="330"/>
        <v>0</v>
      </c>
      <c r="Y621" s="52">
        <f t="shared" si="330"/>
        <v>0</v>
      </c>
      <c r="Z621" s="52">
        <f t="shared" si="330"/>
        <v>0</v>
      </c>
      <c r="AA621" s="52">
        <f t="shared" si="330"/>
        <v>0</v>
      </c>
      <c r="AB621" s="52">
        <f t="shared" si="330"/>
        <v>0</v>
      </c>
      <c r="AC621" s="52">
        <f t="shared" si="330"/>
        <v>0</v>
      </c>
      <c r="AD621" s="52">
        <f t="shared" si="330"/>
        <v>0</v>
      </c>
      <c r="AE621" s="52">
        <f t="shared" si="330"/>
        <v>0</v>
      </c>
      <c r="AF621" s="52">
        <f t="shared" si="330"/>
        <v>0</v>
      </c>
      <c r="AG621" s="52">
        <f t="shared" si="330"/>
        <v>0</v>
      </c>
      <c r="AH621" s="52">
        <f t="shared" si="330"/>
        <v>0</v>
      </c>
      <c r="AI621" s="52">
        <f t="shared" si="330"/>
        <v>0</v>
      </c>
      <c r="AJ621" s="52">
        <f t="shared" si="330"/>
        <v>0</v>
      </c>
      <c r="AK621" s="52">
        <f t="shared" si="330"/>
        <v>0</v>
      </c>
      <c r="AL621" s="52">
        <f t="shared" si="330"/>
        <v>0</v>
      </c>
      <c r="AM621" s="52">
        <f t="shared" si="330"/>
        <v>0</v>
      </c>
      <c r="AN621" s="52">
        <f t="shared" si="330"/>
        <v>0</v>
      </c>
      <c r="AO621" s="52">
        <f t="shared" si="330"/>
        <v>0</v>
      </c>
      <c r="AP621" s="52">
        <f t="shared" si="330"/>
        <v>0</v>
      </c>
    </row>
    <row r="622" spans="1:42" x14ac:dyDescent="0.2">
      <c r="A622" s="17">
        <f t="shared" si="331"/>
        <v>5</v>
      </c>
      <c r="B622" s="58">
        <f t="shared" si="329"/>
        <v>0</v>
      </c>
      <c r="C622" s="52">
        <f t="shared" si="330"/>
        <v>0</v>
      </c>
      <c r="D622" s="52">
        <f t="shared" si="330"/>
        <v>0</v>
      </c>
      <c r="E622" s="52">
        <f t="shared" si="330"/>
        <v>0</v>
      </c>
      <c r="F622" s="52">
        <f t="shared" si="330"/>
        <v>0</v>
      </c>
      <c r="G622" s="52">
        <f t="shared" si="330"/>
        <v>0</v>
      </c>
      <c r="H622" s="52">
        <f t="shared" si="330"/>
        <v>0</v>
      </c>
      <c r="I622" s="52">
        <f t="shared" si="330"/>
        <v>0</v>
      </c>
      <c r="J622" s="52">
        <f t="shared" si="330"/>
        <v>0</v>
      </c>
      <c r="K622" s="52">
        <f t="shared" si="330"/>
        <v>0</v>
      </c>
      <c r="L622" s="52">
        <f t="shared" si="330"/>
        <v>0</v>
      </c>
      <c r="M622" s="52">
        <f t="shared" si="330"/>
        <v>0</v>
      </c>
      <c r="N622" s="52">
        <f t="shared" si="330"/>
        <v>0</v>
      </c>
      <c r="O622" s="52">
        <f t="shared" si="330"/>
        <v>0</v>
      </c>
      <c r="P622" s="52">
        <f t="shared" si="330"/>
        <v>0</v>
      </c>
      <c r="Q622" s="52">
        <f t="shared" si="330"/>
        <v>0</v>
      </c>
      <c r="R622" s="52">
        <f t="shared" si="330"/>
        <v>0</v>
      </c>
      <c r="S622" s="52">
        <f t="shared" si="330"/>
        <v>0</v>
      </c>
      <c r="T622" s="52">
        <f t="shared" si="330"/>
        <v>0</v>
      </c>
      <c r="U622" s="52">
        <f t="shared" si="330"/>
        <v>0</v>
      </c>
      <c r="V622" s="52">
        <f t="shared" si="330"/>
        <v>0</v>
      </c>
      <c r="W622" s="52">
        <f t="shared" si="330"/>
        <v>0</v>
      </c>
      <c r="X622" s="52">
        <f t="shared" si="330"/>
        <v>0</v>
      </c>
      <c r="Y622" s="52">
        <f t="shared" si="330"/>
        <v>0</v>
      </c>
      <c r="Z622" s="52">
        <f t="shared" si="330"/>
        <v>0</v>
      </c>
      <c r="AA622" s="52">
        <f t="shared" si="330"/>
        <v>0</v>
      </c>
      <c r="AB622" s="52">
        <f t="shared" si="330"/>
        <v>0</v>
      </c>
      <c r="AC622" s="52">
        <f t="shared" si="330"/>
        <v>0</v>
      </c>
      <c r="AD622" s="52">
        <f t="shared" si="330"/>
        <v>0</v>
      </c>
      <c r="AE622" s="52">
        <f t="shared" si="330"/>
        <v>0</v>
      </c>
      <c r="AF622" s="52">
        <f t="shared" si="330"/>
        <v>0</v>
      </c>
      <c r="AG622" s="52">
        <f t="shared" si="330"/>
        <v>0</v>
      </c>
      <c r="AH622" s="52">
        <f t="shared" si="330"/>
        <v>0</v>
      </c>
      <c r="AI622" s="52">
        <f t="shared" si="330"/>
        <v>0</v>
      </c>
      <c r="AJ622" s="52">
        <f t="shared" si="330"/>
        <v>0</v>
      </c>
      <c r="AK622" s="52">
        <f t="shared" si="330"/>
        <v>0</v>
      </c>
      <c r="AL622" s="52">
        <f t="shared" si="330"/>
        <v>0</v>
      </c>
      <c r="AM622" s="52">
        <f t="shared" si="330"/>
        <v>0</v>
      </c>
      <c r="AN622" s="52">
        <f t="shared" si="330"/>
        <v>0</v>
      </c>
      <c r="AO622" s="52">
        <f t="shared" si="330"/>
        <v>0</v>
      </c>
      <c r="AP622" s="52">
        <f t="shared" si="330"/>
        <v>0</v>
      </c>
    </row>
    <row r="623" spans="1:42" x14ac:dyDescent="0.2">
      <c r="A623" s="17">
        <f t="shared" si="331"/>
        <v>6</v>
      </c>
      <c r="B623" s="58">
        <f t="shared" si="329"/>
        <v>0</v>
      </c>
      <c r="C623" s="52">
        <f t="shared" si="330"/>
        <v>0</v>
      </c>
      <c r="D623" s="52">
        <f t="shared" si="330"/>
        <v>0</v>
      </c>
      <c r="E623" s="52">
        <f t="shared" si="330"/>
        <v>0</v>
      </c>
      <c r="F623" s="52">
        <f t="shared" si="330"/>
        <v>0</v>
      </c>
      <c r="G623" s="52">
        <f t="shared" si="330"/>
        <v>0</v>
      </c>
      <c r="H623" s="52">
        <f t="shared" si="330"/>
        <v>0</v>
      </c>
      <c r="I623" s="52">
        <f t="shared" si="330"/>
        <v>0</v>
      </c>
      <c r="J623" s="52">
        <f t="shared" si="330"/>
        <v>0</v>
      </c>
      <c r="K623" s="52">
        <f t="shared" si="330"/>
        <v>0</v>
      </c>
      <c r="L623" s="52">
        <f t="shared" si="330"/>
        <v>0</v>
      </c>
      <c r="M623" s="52">
        <f t="shared" si="330"/>
        <v>0</v>
      </c>
      <c r="N623" s="52">
        <f t="shared" si="330"/>
        <v>0</v>
      </c>
      <c r="O623" s="52">
        <f t="shared" si="330"/>
        <v>0</v>
      </c>
      <c r="P623" s="52">
        <f t="shared" si="330"/>
        <v>0</v>
      </c>
      <c r="Q623" s="52">
        <f t="shared" si="330"/>
        <v>0</v>
      </c>
      <c r="R623" s="52">
        <f t="shared" si="330"/>
        <v>0</v>
      </c>
      <c r="S623" s="52">
        <f t="shared" si="330"/>
        <v>0</v>
      </c>
      <c r="T623" s="52">
        <f t="shared" si="330"/>
        <v>0</v>
      </c>
      <c r="U623" s="52">
        <f t="shared" si="330"/>
        <v>0</v>
      </c>
      <c r="V623" s="52">
        <f t="shared" si="330"/>
        <v>0</v>
      </c>
      <c r="W623" s="52">
        <f t="shared" si="330"/>
        <v>0</v>
      </c>
      <c r="X623" s="52">
        <f t="shared" si="330"/>
        <v>0</v>
      </c>
      <c r="Y623" s="52">
        <f t="shared" si="330"/>
        <v>0</v>
      </c>
      <c r="Z623" s="52">
        <f t="shared" si="330"/>
        <v>0</v>
      </c>
      <c r="AA623" s="52">
        <f t="shared" si="330"/>
        <v>0</v>
      </c>
      <c r="AB623" s="52">
        <f t="shared" si="330"/>
        <v>0</v>
      </c>
      <c r="AC623" s="52">
        <f t="shared" si="330"/>
        <v>0</v>
      </c>
      <c r="AD623" s="52">
        <f t="shared" si="330"/>
        <v>0</v>
      </c>
      <c r="AE623" s="52">
        <f t="shared" si="330"/>
        <v>0</v>
      </c>
      <c r="AF623" s="52">
        <f t="shared" si="330"/>
        <v>0</v>
      </c>
      <c r="AG623" s="52">
        <f t="shared" si="330"/>
        <v>0</v>
      </c>
      <c r="AH623" s="52">
        <f t="shared" si="330"/>
        <v>0</v>
      </c>
      <c r="AI623" s="52">
        <f t="shared" si="330"/>
        <v>0</v>
      </c>
      <c r="AJ623" s="52">
        <f t="shared" si="330"/>
        <v>0</v>
      </c>
      <c r="AK623" s="52">
        <f t="shared" si="330"/>
        <v>0</v>
      </c>
      <c r="AL623" s="52">
        <f t="shared" si="330"/>
        <v>0</v>
      </c>
      <c r="AM623" s="52">
        <f t="shared" si="330"/>
        <v>0</v>
      </c>
      <c r="AN623" s="52">
        <f t="shared" si="330"/>
        <v>0</v>
      </c>
      <c r="AO623" s="52">
        <f t="shared" si="330"/>
        <v>0</v>
      </c>
      <c r="AP623" s="52">
        <f t="shared" si="330"/>
        <v>0</v>
      </c>
    </row>
    <row r="624" spans="1:42" x14ac:dyDescent="0.2">
      <c r="A624" s="17">
        <f t="shared" si="331"/>
        <v>7</v>
      </c>
      <c r="B624" s="58">
        <f t="shared" si="329"/>
        <v>0</v>
      </c>
      <c r="C624" s="52">
        <f t="shared" si="330"/>
        <v>0</v>
      </c>
      <c r="D624" s="52">
        <f t="shared" si="330"/>
        <v>0</v>
      </c>
      <c r="E624" s="52">
        <f t="shared" si="330"/>
        <v>0</v>
      </c>
      <c r="F624" s="52">
        <f t="shared" si="330"/>
        <v>0</v>
      </c>
      <c r="G624" s="52">
        <f t="shared" si="330"/>
        <v>0</v>
      </c>
      <c r="H624" s="52">
        <f t="shared" si="330"/>
        <v>0</v>
      </c>
      <c r="I624" s="52">
        <f t="shared" si="330"/>
        <v>0</v>
      </c>
      <c r="J624" s="52">
        <f t="shared" si="330"/>
        <v>0</v>
      </c>
      <c r="K624" s="52">
        <f t="shared" si="330"/>
        <v>0</v>
      </c>
      <c r="L624" s="52">
        <f t="shared" si="330"/>
        <v>0</v>
      </c>
      <c r="M624" s="52">
        <f t="shared" si="330"/>
        <v>0</v>
      </c>
      <c r="N624" s="52">
        <f t="shared" si="330"/>
        <v>0</v>
      </c>
      <c r="O624" s="52">
        <f t="shared" si="330"/>
        <v>0</v>
      </c>
      <c r="P624" s="52">
        <f t="shared" si="330"/>
        <v>0</v>
      </c>
      <c r="Q624" s="52">
        <f t="shared" si="330"/>
        <v>0</v>
      </c>
      <c r="R624" s="52">
        <f t="shared" ref="R624:AP624" si="332">IF(R$2&gt;AnalysisPeriod,0,IF(R$2=MMFrequency2*$A624,MMCost2*CapacityDC*1000*(1+Inflation)^Q$2,0))</f>
        <v>0</v>
      </c>
      <c r="S624" s="52">
        <f t="shared" si="332"/>
        <v>0</v>
      </c>
      <c r="T624" s="52">
        <f t="shared" si="332"/>
        <v>0</v>
      </c>
      <c r="U624" s="52">
        <f t="shared" si="332"/>
        <v>0</v>
      </c>
      <c r="V624" s="52">
        <f t="shared" si="332"/>
        <v>0</v>
      </c>
      <c r="W624" s="52">
        <f t="shared" si="332"/>
        <v>0</v>
      </c>
      <c r="X624" s="52">
        <f t="shared" si="332"/>
        <v>0</v>
      </c>
      <c r="Y624" s="52">
        <f t="shared" si="332"/>
        <v>0</v>
      </c>
      <c r="Z624" s="52">
        <f t="shared" si="332"/>
        <v>0</v>
      </c>
      <c r="AA624" s="52">
        <f t="shared" si="332"/>
        <v>0</v>
      </c>
      <c r="AB624" s="52">
        <f t="shared" si="332"/>
        <v>0</v>
      </c>
      <c r="AC624" s="52">
        <f t="shared" si="332"/>
        <v>0</v>
      </c>
      <c r="AD624" s="52">
        <f t="shared" si="332"/>
        <v>0</v>
      </c>
      <c r="AE624" s="52">
        <f t="shared" si="332"/>
        <v>0</v>
      </c>
      <c r="AF624" s="52">
        <f t="shared" si="332"/>
        <v>0</v>
      </c>
      <c r="AG624" s="52">
        <f t="shared" si="332"/>
        <v>0</v>
      </c>
      <c r="AH624" s="52">
        <f t="shared" si="332"/>
        <v>0</v>
      </c>
      <c r="AI624" s="52">
        <f t="shared" si="332"/>
        <v>0</v>
      </c>
      <c r="AJ624" s="52">
        <f t="shared" si="332"/>
        <v>0</v>
      </c>
      <c r="AK624" s="52">
        <f t="shared" si="332"/>
        <v>0</v>
      </c>
      <c r="AL624" s="52">
        <f t="shared" si="332"/>
        <v>0</v>
      </c>
      <c r="AM624" s="52">
        <f t="shared" si="332"/>
        <v>0</v>
      </c>
      <c r="AN624" s="52">
        <f t="shared" si="332"/>
        <v>0</v>
      </c>
      <c r="AO624" s="52">
        <f t="shared" si="332"/>
        <v>0</v>
      </c>
      <c r="AP624" s="52">
        <f t="shared" si="332"/>
        <v>0</v>
      </c>
    </row>
    <row r="625" spans="1:42" x14ac:dyDescent="0.2">
      <c r="A625" s="17">
        <f t="shared" si="331"/>
        <v>8</v>
      </c>
      <c r="B625" s="58">
        <f t="shared" si="329"/>
        <v>0</v>
      </c>
      <c r="C625" s="52">
        <f t="shared" ref="C625:AP627" si="333">IF(C$2&gt;AnalysisPeriod,0,IF(C$2=MMFrequency2*$A625,MMCost2*CapacityDC*1000*(1+Inflation)^B$2,0))</f>
        <v>0</v>
      </c>
      <c r="D625" s="52">
        <f t="shared" si="333"/>
        <v>0</v>
      </c>
      <c r="E625" s="52">
        <f t="shared" si="333"/>
        <v>0</v>
      </c>
      <c r="F625" s="52">
        <f t="shared" si="333"/>
        <v>0</v>
      </c>
      <c r="G625" s="52">
        <f t="shared" si="333"/>
        <v>0</v>
      </c>
      <c r="H625" s="52">
        <f t="shared" si="333"/>
        <v>0</v>
      </c>
      <c r="I625" s="52">
        <f t="shared" si="333"/>
        <v>0</v>
      </c>
      <c r="J625" s="52">
        <f t="shared" si="333"/>
        <v>0</v>
      </c>
      <c r="K625" s="52">
        <f t="shared" si="333"/>
        <v>0</v>
      </c>
      <c r="L625" s="52">
        <f t="shared" si="333"/>
        <v>0</v>
      </c>
      <c r="M625" s="52">
        <f t="shared" si="333"/>
        <v>0</v>
      </c>
      <c r="N625" s="52">
        <f t="shared" si="333"/>
        <v>0</v>
      </c>
      <c r="O625" s="52">
        <f t="shared" si="333"/>
        <v>0</v>
      </c>
      <c r="P625" s="52">
        <f t="shared" si="333"/>
        <v>0</v>
      </c>
      <c r="Q625" s="52">
        <f t="shared" si="333"/>
        <v>0</v>
      </c>
      <c r="R625" s="52">
        <f t="shared" si="333"/>
        <v>0</v>
      </c>
      <c r="S625" s="52">
        <f t="shared" si="333"/>
        <v>0</v>
      </c>
      <c r="T625" s="52">
        <f t="shared" si="333"/>
        <v>0</v>
      </c>
      <c r="U625" s="52">
        <f t="shared" si="333"/>
        <v>0</v>
      </c>
      <c r="V625" s="52">
        <f t="shared" si="333"/>
        <v>0</v>
      </c>
      <c r="W625" s="52">
        <f t="shared" si="333"/>
        <v>0</v>
      </c>
      <c r="X625" s="52">
        <f t="shared" si="333"/>
        <v>0</v>
      </c>
      <c r="Y625" s="52">
        <f t="shared" si="333"/>
        <v>0</v>
      </c>
      <c r="Z625" s="52">
        <f t="shared" si="333"/>
        <v>0</v>
      </c>
      <c r="AA625" s="52">
        <f t="shared" si="333"/>
        <v>0</v>
      </c>
      <c r="AB625" s="52">
        <f t="shared" si="333"/>
        <v>0</v>
      </c>
      <c r="AC625" s="52">
        <f t="shared" si="333"/>
        <v>0</v>
      </c>
      <c r="AD625" s="52">
        <f t="shared" si="333"/>
        <v>0</v>
      </c>
      <c r="AE625" s="52">
        <f t="shared" si="333"/>
        <v>0</v>
      </c>
      <c r="AF625" s="52">
        <f t="shared" si="333"/>
        <v>0</v>
      </c>
      <c r="AG625" s="52">
        <f t="shared" si="333"/>
        <v>0</v>
      </c>
      <c r="AH625" s="52">
        <f t="shared" si="333"/>
        <v>0</v>
      </c>
      <c r="AI625" s="52">
        <f t="shared" si="333"/>
        <v>0</v>
      </c>
      <c r="AJ625" s="52">
        <f t="shared" si="333"/>
        <v>0</v>
      </c>
      <c r="AK625" s="52">
        <f t="shared" si="333"/>
        <v>0</v>
      </c>
      <c r="AL625" s="52">
        <f t="shared" si="333"/>
        <v>0</v>
      </c>
      <c r="AM625" s="52">
        <f t="shared" si="333"/>
        <v>0</v>
      </c>
      <c r="AN625" s="52">
        <f t="shared" si="333"/>
        <v>0</v>
      </c>
      <c r="AO625" s="52">
        <f t="shared" si="333"/>
        <v>0</v>
      </c>
      <c r="AP625" s="52">
        <f t="shared" si="333"/>
        <v>0</v>
      </c>
    </row>
    <row r="626" spans="1:42" x14ac:dyDescent="0.2">
      <c r="A626" s="17">
        <f>A625+1</f>
        <v>9</v>
      </c>
      <c r="B626" s="58">
        <f t="shared" si="329"/>
        <v>0</v>
      </c>
      <c r="C626" s="52">
        <f t="shared" si="333"/>
        <v>0</v>
      </c>
      <c r="D626" s="52">
        <f t="shared" si="333"/>
        <v>0</v>
      </c>
      <c r="E626" s="52">
        <f t="shared" si="333"/>
        <v>0</v>
      </c>
      <c r="F626" s="52">
        <f t="shared" si="333"/>
        <v>0</v>
      </c>
      <c r="G626" s="52">
        <f t="shared" si="333"/>
        <v>0</v>
      </c>
      <c r="H626" s="52">
        <f t="shared" si="333"/>
        <v>0</v>
      </c>
      <c r="I626" s="52">
        <f t="shared" si="333"/>
        <v>0</v>
      </c>
      <c r="J626" s="52">
        <f t="shared" si="333"/>
        <v>0</v>
      </c>
      <c r="K626" s="52">
        <f t="shared" si="333"/>
        <v>0</v>
      </c>
      <c r="L626" s="52">
        <f t="shared" si="333"/>
        <v>0</v>
      </c>
      <c r="M626" s="52">
        <f t="shared" si="333"/>
        <v>0</v>
      </c>
      <c r="N626" s="52">
        <f t="shared" si="333"/>
        <v>0</v>
      </c>
      <c r="O626" s="52">
        <f t="shared" si="333"/>
        <v>0</v>
      </c>
      <c r="P626" s="52">
        <f t="shared" si="333"/>
        <v>0</v>
      </c>
      <c r="Q626" s="52">
        <f t="shared" si="333"/>
        <v>0</v>
      </c>
      <c r="R626" s="52">
        <f t="shared" si="333"/>
        <v>0</v>
      </c>
      <c r="S626" s="52">
        <f t="shared" si="333"/>
        <v>0</v>
      </c>
      <c r="T626" s="52">
        <f t="shared" si="333"/>
        <v>0</v>
      </c>
      <c r="U626" s="52">
        <f t="shared" si="333"/>
        <v>0</v>
      </c>
      <c r="V626" s="52">
        <f t="shared" si="333"/>
        <v>0</v>
      </c>
      <c r="W626" s="52">
        <f t="shared" si="333"/>
        <v>0</v>
      </c>
      <c r="X626" s="52">
        <f t="shared" si="333"/>
        <v>0</v>
      </c>
      <c r="Y626" s="52">
        <f t="shared" si="333"/>
        <v>0</v>
      </c>
      <c r="Z626" s="52">
        <f t="shared" si="333"/>
        <v>0</v>
      </c>
      <c r="AA626" s="52">
        <f t="shared" si="333"/>
        <v>0</v>
      </c>
      <c r="AB626" s="52">
        <f t="shared" si="333"/>
        <v>0</v>
      </c>
      <c r="AC626" s="52">
        <f t="shared" si="333"/>
        <v>0</v>
      </c>
      <c r="AD626" s="52">
        <f t="shared" si="333"/>
        <v>0</v>
      </c>
      <c r="AE626" s="52">
        <f t="shared" si="333"/>
        <v>0</v>
      </c>
      <c r="AF626" s="52">
        <f t="shared" si="333"/>
        <v>0</v>
      </c>
      <c r="AG626" s="52">
        <f t="shared" si="333"/>
        <v>0</v>
      </c>
      <c r="AH626" s="52">
        <f t="shared" si="333"/>
        <v>0</v>
      </c>
      <c r="AI626" s="52">
        <f t="shared" si="333"/>
        <v>0</v>
      </c>
      <c r="AJ626" s="52">
        <f t="shared" si="333"/>
        <v>0</v>
      </c>
      <c r="AK626" s="52">
        <f t="shared" si="333"/>
        <v>0</v>
      </c>
      <c r="AL626" s="52">
        <f t="shared" si="333"/>
        <v>0</v>
      </c>
      <c r="AM626" s="52">
        <f t="shared" si="333"/>
        <v>0</v>
      </c>
      <c r="AN626" s="52">
        <f t="shared" si="333"/>
        <v>0</v>
      </c>
      <c r="AO626" s="52">
        <f t="shared" si="333"/>
        <v>0</v>
      </c>
      <c r="AP626" s="52">
        <f t="shared" si="333"/>
        <v>0</v>
      </c>
    </row>
    <row r="627" spans="1:42" x14ac:dyDescent="0.2">
      <c r="A627" s="17">
        <f t="shared" si="331"/>
        <v>10</v>
      </c>
      <c r="B627" s="58">
        <f t="shared" si="329"/>
        <v>0</v>
      </c>
      <c r="C627" s="53">
        <f t="shared" si="333"/>
        <v>0</v>
      </c>
      <c r="D627" s="53">
        <f t="shared" si="333"/>
        <v>0</v>
      </c>
      <c r="E627" s="53">
        <f t="shared" si="333"/>
        <v>0</v>
      </c>
      <c r="F627" s="53">
        <f t="shared" si="333"/>
        <v>0</v>
      </c>
      <c r="G627" s="53">
        <f t="shared" si="333"/>
        <v>0</v>
      </c>
      <c r="H627" s="53">
        <f t="shared" si="333"/>
        <v>0</v>
      </c>
      <c r="I627" s="53">
        <f t="shared" si="333"/>
        <v>0</v>
      </c>
      <c r="J627" s="53">
        <f t="shared" si="333"/>
        <v>0</v>
      </c>
      <c r="K627" s="53">
        <f t="shared" si="333"/>
        <v>0</v>
      </c>
      <c r="L627" s="53">
        <f t="shared" si="333"/>
        <v>0</v>
      </c>
      <c r="M627" s="53">
        <f t="shared" si="333"/>
        <v>0</v>
      </c>
      <c r="N627" s="53">
        <f t="shared" si="333"/>
        <v>0</v>
      </c>
      <c r="O627" s="53">
        <f t="shared" si="333"/>
        <v>0</v>
      </c>
      <c r="P627" s="53">
        <f t="shared" si="333"/>
        <v>0</v>
      </c>
      <c r="Q627" s="53">
        <f t="shared" si="333"/>
        <v>0</v>
      </c>
      <c r="R627" s="53">
        <f t="shared" si="333"/>
        <v>0</v>
      </c>
      <c r="S627" s="53">
        <f t="shared" si="333"/>
        <v>0</v>
      </c>
      <c r="T627" s="53">
        <f t="shared" si="333"/>
        <v>0</v>
      </c>
      <c r="U627" s="53">
        <f t="shared" si="333"/>
        <v>0</v>
      </c>
      <c r="V627" s="53">
        <f t="shared" si="333"/>
        <v>0</v>
      </c>
      <c r="W627" s="53">
        <f t="shared" si="333"/>
        <v>0</v>
      </c>
      <c r="X627" s="53">
        <f t="shared" si="333"/>
        <v>0</v>
      </c>
      <c r="Y627" s="53">
        <f t="shared" si="333"/>
        <v>0</v>
      </c>
      <c r="Z627" s="53">
        <f t="shared" si="333"/>
        <v>0</v>
      </c>
      <c r="AA627" s="53">
        <f t="shared" si="333"/>
        <v>0</v>
      </c>
      <c r="AB627" s="53">
        <f t="shared" si="333"/>
        <v>0</v>
      </c>
      <c r="AC627" s="53">
        <f t="shared" si="333"/>
        <v>0</v>
      </c>
      <c r="AD627" s="53">
        <f t="shared" si="333"/>
        <v>0</v>
      </c>
      <c r="AE627" s="53">
        <f t="shared" si="333"/>
        <v>0</v>
      </c>
      <c r="AF627" s="53">
        <f t="shared" si="333"/>
        <v>0</v>
      </c>
      <c r="AG627" s="53">
        <f t="shared" si="333"/>
        <v>0</v>
      </c>
      <c r="AH627" s="53">
        <f t="shared" si="333"/>
        <v>0</v>
      </c>
      <c r="AI627" s="53">
        <f t="shared" si="333"/>
        <v>0</v>
      </c>
      <c r="AJ627" s="53">
        <f t="shared" si="333"/>
        <v>0</v>
      </c>
      <c r="AK627" s="53">
        <f t="shared" si="333"/>
        <v>0</v>
      </c>
      <c r="AL627" s="53">
        <f t="shared" si="333"/>
        <v>0</v>
      </c>
      <c r="AM627" s="53">
        <f t="shared" si="333"/>
        <v>0</v>
      </c>
      <c r="AN627" s="53">
        <f t="shared" si="333"/>
        <v>0</v>
      </c>
      <c r="AO627" s="53">
        <f t="shared" si="333"/>
        <v>0</v>
      </c>
      <c r="AP627" s="53">
        <f t="shared" si="333"/>
        <v>0</v>
      </c>
    </row>
    <row r="628" spans="1:42" x14ac:dyDescent="0.2">
      <c r="A628" s="80" t="s">
        <v>23</v>
      </c>
      <c r="B628" s="52"/>
      <c r="C628" s="39">
        <f>SUM(C618:C627)</f>
        <v>0</v>
      </c>
      <c r="D628" s="39">
        <f t="shared" ref="D628:AP628" si="334">SUM(D618:D627)</f>
        <v>0</v>
      </c>
      <c r="E628" s="39">
        <f t="shared" si="334"/>
        <v>0</v>
      </c>
      <c r="F628" s="39">
        <f t="shared" si="334"/>
        <v>0</v>
      </c>
      <c r="G628" s="39">
        <f t="shared" si="334"/>
        <v>0</v>
      </c>
      <c r="H628" s="39">
        <f t="shared" si="334"/>
        <v>0</v>
      </c>
      <c r="I628" s="39">
        <f t="shared" si="334"/>
        <v>0</v>
      </c>
      <c r="J628" s="39">
        <f t="shared" si="334"/>
        <v>0</v>
      </c>
      <c r="K628" s="39">
        <f t="shared" si="334"/>
        <v>0</v>
      </c>
      <c r="L628" s="39">
        <f t="shared" si="334"/>
        <v>0</v>
      </c>
      <c r="M628" s="39">
        <f t="shared" si="334"/>
        <v>0</v>
      </c>
      <c r="N628" s="39">
        <f t="shared" si="334"/>
        <v>0</v>
      </c>
      <c r="O628" s="39">
        <f t="shared" si="334"/>
        <v>0</v>
      </c>
      <c r="P628" s="39">
        <f t="shared" si="334"/>
        <v>0</v>
      </c>
      <c r="Q628" s="39">
        <f t="shared" si="334"/>
        <v>0</v>
      </c>
      <c r="R628" s="39">
        <f t="shared" si="334"/>
        <v>0</v>
      </c>
      <c r="S628" s="39">
        <f t="shared" si="334"/>
        <v>0</v>
      </c>
      <c r="T628" s="39">
        <f t="shared" si="334"/>
        <v>0</v>
      </c>
      <c r="U628" s="39">
        <f t="shared" si="334"/>
        <v>0</v>
      </c>
      <c r="V628" s="39">
        <f t="shared" si="334"/>
        <v>0</v>
      </c>
      <c r="W628" s="39">
        <f t="shared" si="334"/>
        <v>0</v>
      </c>
      <c r="X628" s="39">
        <f t="shared" si="334"/>
        <v>0</v>
      </c>
      <c r="Y628" s="39">
        <f t="shared" si="334"/>
        <v>0</v>
      </c>
      <c r="Z628" s="39">
        <f t="shared" si="334"/>
        <v>0</v>
      </c>
      <c r="AA628" s="39">
        <f t="shared" si="334"/>
        <v>0</v>
      </c>
      <c r="AB628" s="39">
        <f t="shared" si="334"/>
        <v>0</v>
      </c>
      <c r="AC628" s="39">
        <f t="shared" si="334"/>
        <v>0</v>
      </c>
      <c r="AD628" s="39">
        <f t="shared" si="334"/>
        <v>0</v>
      </c>
      <c r="AE628" s="39">
        <f t="shared" si="334"/>
        <v>0</v>
      </c>
      <c r="AF628" s="39">
        <f t="shared" si="334"/>
        <v>0</v>
      </c>
      <c r="AG628" s="39">
        <f t="shared" si="334"/>
        <v>0</v>
      </c>
      <c r="AH628" s="39">
        <f t="shared" si="334"/>
        <v>0</v>
      </c>
      <c r="AI628" s="39">
        <f t="shared" si="334"/>
        <v>0</v>
      </c>
      <c r="AJ628" s="39">
        <f t="shared" si="334"/>
        <v>0</v>
      </c>
      <c r="AK628" s="39">
        <f t="shared" si="334"/>
        <v>0</v>
      </c>
      <c r="AL628" s="39">
        <f t="shared" si="334"/>
        <v>0</v>
      </c>
      <c r="AM628" s="39">
        <f t="shared" si="334"/>
        <v>0</v>
      </c>
      <c r="AN628" s="39">
        <f t="shared" si="334"/>
        <v>0</v>
      </c>
      <c r="AO628" s="39">
        <f t="shared" si="334"/>
        <v>0</v>
      </c>
      <c r="AP628" s="39">
        <f t="shared" si="334"/>
        <v>0</v>
      </c>
    </row>
    <row r="629" spans="1:42" x14ac:dyDescent="0.2">
      <c r="A629" s="17" t="s">
        <v>118</v>
      </c>
      <c r="B629" s="39"/>
      <c r="C629" s="39"/>
      <c r="D629" s="39"/>
      <c r="E629" s="39"/>
      <c r="F629" s="39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52"/>
      <c r="AE629" s="52"/>
      <c r="AF629" s="52"/>
      <c r="AG629" s="52"/>
      <c r="AH629" s="52"/>
      <c r="AI629" s="52"/>
      <c r="AJ629" s="52"/>
      <c r="AK629" s="52"/>
      <c r="AL629" s="52"/>
      <c r="AM629" s="52"/>
      <c r="AN629" s="52"/>
      <c r="AO629" s="52"/>
      <c r="AP629" s="52"/>
    </row>
    <row r="630" spans="1:42" x14ac:dyDescent="0.2">
      <c r="A630" s="17">
        <v>1</v>
      </c>
      <c r="B630" s="102">
        <f t="shared" ref="B630:B639" si="335">SUM(C630:AP630)</f>
        <v>0</v>
      </c>
      <c r="C630" s="52">
        <f t="shared" ref="C630:AP630" si="336">IF(C$2&lt;=MMFrequency2*$A$618,$B$618/(MMFrequency2),0)</f>
        <v>0</v>
      </c>
      <c r="D630" s="52">
        <f t="shared" si="336"/>
        <v>0</v>
      </c>
      <c r="E630" s="52">
        <f t="shared" si="336"/>
        <v>0</v>
      </c>
      <c r="F630" s="52">
        <f t="shared" si="336"/>
        <v>0</v>
      </c>
      <c r="G630" s="52">
        <f t="shared" si="336"/>
        <v>0</v>
      </c>
      <c r="H630" s="52">
        <f t="shared" si="336"/>
        <v>0</v>
      </c>
      <c r="I630" s="52">
        <f t="shared" si="336"/>
        <v>0</v>
      </c>
      <c r="J630" s="52">
        <f t="shared" si="336"/>
        <v>0</v>
      </c>
      <c r="K630" s="52">
        <f t="shared" si="336"/>
        <v>0</v>
      </c>
      <c r="L630" s="52">
        <f t="shared" si="336"/>
        <v>0</v>
      </c>
      <c r="M630" s="52">
        <f t="shared" si="336"/>
        <v>0</v>
      </c>
      <c r="N630" s="52">
        <f t="shared" si="336"/>
        <v>0</v>
      </c>
      <c r="O630" s="52">
        <f t="shared" si="336"/>
        <v>0</v>
      </c>
      <c r="P630" s="52">
        <f t="shared" si="336"/>
        <v>0</v>
      </c>
      <c r="Q630" s="52">
        <f t="shared" si="336"/>
        <v>0</v>
      </c>
      <c r="R630" s="52">
        <f t="shared" si="336"/>
        <v>0</v>
      </c>
      <c r="S630" s="52">
        <f t="shared" si="336"/>
        <v>0</v>
      </c>
      <c r="T630" s="52">
        <f t="shared" si="336"/>
        <v>0</v>
      </c>
      <c r="U630" s="52">
        <f t="shared" si="336"/>
        <v>0</v>
      </c>
      <c r="V630" s="52">
        <f t="shared" si="336"/>
        <v>0</v>
      </c>
      <c r="W630" s="52">
        <f t="shared" si="336"/>
        <v>0</v>
      </c>
      <c r="X630" s="52">
        <f t="shared" si="336"/>
        <v>0</v>
      </c>
      <c r="Y630" s="52">
        <f t="shared" si="336"/>
        <v>0</v>
      </c>
      <c r="Z630" s="52">
        <f t="shared" si="336"/>
        <v>0</v>
      </c>
      <c r="AA630" s="52">
        <f t="shared" si="336"/>
        <v>0</v>
      </c>
      <c r="AB630" s="52">
        <f t="shared" si="336"/>
        <v>0</v>
      </c>
      <c r="AC630" s="52">
        <f t="shared" si="336"/>
        <v>0</v>
      </c>
      <c r="AD630" s="52">
        <f t="shared" si="336"/>
        <v>0</v>
      </c>
      <c r="AE630" s="52">
        <f t="shared" si="336"/>
        <v>0</v>
      </c>
      <c r="AF630" s="52">
        <f t="shared" si="336"/>
        <v>0</v>
      </c>
      <c r="AG630" s="52">
        <f t="shared" si="336"/>
        <v>0</v>
      </c>
      <c r="AH630" s="52">
        <f t="shared" si="336"/>
        <v>0</v>
      </c>
      <c r="AI630" s="52">
        <f t="shared" si="336"/>
        <v>0</v>
      </c>
      <c r="AJ630" s="52">
        <f t="shared" si="336"/>
        <v>0</v>
      </c>
      <c r="AK630" s="52">
        <f t="shared" si="336"/>
        <v>0</v>
      </c>
      <c r="AL630" s="52">
        <f t="shared" si="336"/>
        <v>0</v>
      </c>
      <c r="AM630" s="52">
        <f t="shared" si="336"/>
        <v>0</v>
      </c>
      <c r="AN630" s="52">
        <f t="shared" si="336"/>
        <v>0</v>
      </c>
      <c r="AO630" s="52">
        <f t="shared" si="336"/>
        <v>0</v>
      </c>
      <c r="AP630" s="52">
        <f t="shared" si="336"/>
        <v>0</v>
      </c>
    </row>
    <row r="631" spans="1:42" x14ac:dyDescent="0.2">
      <c r="A631" s="17">
        <f>A630+1</f>
        <v>2</v>
      </c>
      <c r="B631" s="102">
        <f t="shared" si="335"/>
        <v>0</v>
      </c>
      <c r="C631" s="52">
        <f t="shared" ref="C631:AP637" si="337">IF(AND(C$2&gt;MMFrequency2*$A618,C$2&lt;=MMFrequency2*$A619),$B619/(MMFrequency2),0)</f>
        <v>0</v>
      </c>
      <c r="D631" s="52">
        <f t="shared" si="337"/>
        <v>0</v>
      </c>
      <c r="E631" s="52">
        <f t="shared" si="337"/>
        <v>0</v>
      </c>
      <c r="F631" s="52">
        <f t="shared" si="337"/>
        <v>0</v>
      </c>
      <c r="G631" s="52">
        <f t="shared" si="337"/>
        <v>0</v>
      </c>
      <c r="H631" s="52">
        <f t="shared" si="337"/>
        <v>0</v>
      </c>
      <c r="I631" s="52">
        <f t="shared" si="337"/>
        <v>0</v>
      </c>
      <c r="J631" s="52">
        <f t="shared" si="337"/>
        <v>0</v>
      </c>
      <c r="K631" s="52">
        <f t="shared" si="337"/>
        <v>0</v>
      </c>
      <c r="L631" s="52">
        <f t="shared" si="337"/>
        <v>0</v>
      </c>
      <c r="M631" s="52">
        <f t="shared" si="337"/>
        <v>0</v>
      </c>
      <c r="N631" s="52">
        <f t="shared" si="337"/>
        <v>0</v>
      </c>
      <c r="O631" s="52">
        <f t="shared" si="337"/>
        <v>0</v>
      </c>
      <c r="P631" s="52">
        <f t="shared" si="337"/>
        <v>0</v>
      </c>
      <c r="Q631" s="52">
        <f t="shared" si="337"/>
        <v>0</v>
      </c>
      <c r="R631" s="52">
        <f t="shared" si="337"/>
        <v>0</v>
      </c>
      <c r="S631" s="52">
        <f t="shared" si="337"/>
        <v>0</v>
      </c>
      <c r="T631" s="52">
        <f t="shared" si="337"/>
        <v>0</v>
      </c>
      <c r="U631" s="52">
        <f t="shared" si="337"/>
        <v>0</v>
      </c>
      <c r="V631" s="52">
        <f t="shared" si="337"/>
        <v>0</v>
      </c>
      <c r="W631" s="52">
        <f t="shared" si="337"/>
        <v>0</v>
      </c>
      <c r="X631" s="52">
        <f t="shared" si="337"/>
        <v>0</v>
      </c>
      <c r="Y631" s="52">
        <f t="shared" si="337"/>
        <v>0</v>
      </c>
      <c r="Z631" s="52">
        <f t="shared" si="337"/>
        <v>0</v>
      </c>
      <c r="AA631" s="52">
        <f t="shared" si="337"/>
        <v>0</v>
      </c>
      <c r="AB631" s="52">
        <f t="shared" si="337"/>
        <v>0</v>
      </c>
      <c r="AC631" s="52">
        <f t="shared" si="337"/>
        <v>0</v>
      </c>
      <c r="AD631" s="52">
        <f t="shared" si="337"/>
        <v>0</v>
      </c>
      <c r="AE631" s="52">
        <f t="shared" si="337"/>
        <v>0</v>
      </c>
      <c r="AF631" s="52">
        <f t="shared" si="337"/>
        <v>0</v>
      </c>
      <c r="AG631" s="52">
        <f t="shared" si="337"/>
        <v>0</v>
      </c>
      <c r="AH631" s="52">
        <f t="shared" si="337"/>
        <v>0</v>
      </c>
      <c r="AI631" s="52">
        <f t="shared" si="337"/>
        <v>0</v>
      </c>
      <c r="AJ631" s="52">
        <f t="shared" si="337"/>
        <v>0</v>
      </c>
      <c r="AK631" s="52">
        <f t="shared" si="337"/>
        <v>0</v>
      </c>
      <c r="AL631" s="52">
        <f t="shared" si="337"/>
        <v>0</v>
      </c>
      <c r="AM631" s="52">
        <f t="shared" si="337"/>
        <v>0</v>
      </c>
      <c r="AN631" s="52">
        <f t="shared" si="337"/>
        <v>0</v>
      </c>
      <c r="AO631" s="52">
        <f t="shared" si="337"/>
        <v>0</v>
      </c>
      <c r="AP631" s="52">
        <f t="shared" si="337"/>
        <v>0</v>
      </c>
    </row>
    <row r="632" spans="1:42" x14ac:dyDescent="0.2">
      <c r="A632" s="17">
        <f t="shared" ref="A632:A637" si="338">A631+1</f>
        <v>3</v>
      </c>
      <c r="B632" s="102">
        <f t="shared" si="335"/>
        <v>0</v>
      </c>
      <c r="C632" s="52">
        <f t="shared" si="337"/>
        <v>0</v>
      </c>
      <c r="D632" s="52">
        <f t="shared" si="337"/>
        <v>0</v>
      </c>
      <c r="E632" s="52">
        <f t="shared" si="337"/>
        <v>0</v>
      </c>
      <c r="F632" s="52">
        <f t="shared" si="337"/>
        <v>0</v>
      </c>
      <c r="G632" s="52">
        <f t="shared" si="337"/>
        <v>0</v>
      </c>
      <c r="H632" s="52">
        <f t="shared" si="337"/>
        <v>0</v>
      </c>
      <c r="I632" s="52">
        <f t="shared" si="337"/>
        <v>0</v>
      </c>
      <c r="J632" s="52">
        <f t="shared" si="337"/>
        <v>0</v>
      </c>
      <c r="K632" s="52">
        <f t="shared" si="337"/>
        <v>0</v>
      </c>
      <c r="L632" s="52">
        <f t="shared" si="337"/>
        <v>0</v>
      </c>
      <c r="M632" s="52">
        <f t="shared" si="337"/>
        <v>0</v>
      </c>
      <c r="N632" s="52">
        <f t="shared" si="337"/>
        <v>0</v>
      </c>
      <c r="O632" s="52">
        <f t="shared" si="337"/>
        <v>0</v>
      </c>
      <c r="P632" s="52">
        <f t="shared" si="337"/>
        <v>0</v>
      </c>
      <c r="Q632" s="52">
        <f t="shared" si="337"/>
        <v>0</v>
      </c>
      <c r="R632" s="52">
        <f t="shared" si="337"/>
        <v>0</v>
      </c>
      <c r="S632" s="52">
        <f t="shared" si="337"/>
        <v>0</v>
      </c>
      <c r="T632" s="52">
        <f t="shared" si="337"/>
        <v>0</v>
      </c>
      <c r="U632" s="52">
        <f t="shared" si="337"/>
        <v>0</v>
      </c>
      <c r="V632" s="52">
        <f t="shared" si="337"/>
        <v>0</v>
      </c>
      <c r="W632" s="52">
        <f t="shared" si="337"/>
        <v>0</v>
      </c>
      <c r="X632" s="52">
        <f t="shared" si="337"/>
        <v>0</v>
      </c>
      <c r="Y632" s="52">
        <f t="shared" si="337"/>
        <v>0</v>
      </c>
      <c r="Z632" s="52">
        <f t="shared" si="337"/>
        <v>0</v>
      </c>
      <c r="AA632" s="52">
        <f t="shared" si="337"/>
        <v>0</v>
      </c>
      <c r="AB632" s="52">
        <f t="shared" si="337"/>
        <v>0</v>
      </c>
      <c r="AC632" s="52">
        <f t="shared" si="337"/>
        <v>0</v>
      </c>
      <c r="AD632" s="52">
        <f t="shared" si="337"/>
        <v>0</v>
      </c>
      <c r="AE632" s="52">
        <f t="shared" si="337"/>
        <v>0</v>
      </c>
      <c r="AF632" s="52">
        <f t="shared" si="337"/>
        <v>0</v>
      </c>
      <c r="AG632" s="52">
        <f t="shared" si="337"/>
        <v>0</v>
      </c>
      <c r="AH632" s="52">
        <f t="shared" si="337"/>
        <v>0</v>
      </c>
      <c r="AI632" s="52">
        <f t="shared" si="337"/>
        <v>0</v>
      </c>
      <c r="AJ632" s="52">
        <f t="shared" si="337"/>
        <v>0</v>
      </c>
      <c r="AK632" s="52">
        <f t="shared" si="337"/>
        <v>0</v>
      </c>
      <c r="AL632" s="52">
        <f t="shared" si="337"/>
        <v>0</v>
      </c>
      <c r="AM632" s="52">
        <f t="shared" si="337"/>
        <v>0</v>
      </c>
      <c r="AN632" s="52">
        <f t="shared" si="337"/>
        <v>0</v>
      </c>
      <c r="AO632" s="52">
        <f t="shared" si="337"/>
        <v>0</v>
      </c>
      <c r="AP632" s="52">
        <f t="shared" si="337"/>
        <v>0</v>
      </c>
    </row>
    <row r="633" spans="1:42" x14ac:dyDescent="0.2">
      <c r="A633" s="17">
        <f t="shared" si="338"/>
        <v>4</v>
      </c>
      <c r="B633" s="102">
        <f t="shared" si="335"/>
        <v>0</v>
      </c>
      <c r="C633" s="52">
        <f t="shared" si="337"/>
        <v>0</v>
      </c>
      <c r="D633" s="52">
        <f t="shared" si="337"/>
        <v>0</v>
      </c>
      <c r="E633" s="52">
        <f t="shared" si="337"/>
        <v>0</v>
      </c>
      <c r="F633" s="52">
        <f t="shared" si="337"/>
        <v>0</v>
      </c>
      <c r="G633" s="52">
        <f t="shared" si="337"/>
        <v>0</v>
      </c>
      <c r="H633" s="52">
        <f t="shared" si="337"/>
        <v>0</v>
      </c>
      <c r="I633" s="52">
        <f t="shared" si="337"/>
        <v>0</v>
      </c>
      <c r="J633" s="52">
        <f t="shared" si="337"/>
        <v>0</v>
      </c>
      <c r="K633" s="52">
        <f t="shared" si="337"/>
        <v>0</v>
      </c>
      <c r="L633" s="52">
        <f t="shared" si="337"/>
        <v>0</v>
      </c>
      <c r="M633" s="52">
        <f t="shared" si="337"/>
        <v>0</v>
      </c>
      <c r="N633" s="52">
        <f t="shared" si="337"/>
        <v>0</v>
      </c>
      <c r="O633" s="52">
        <f t="shared" si="337"/>
        <v>0</v>
      </c>
      <c r="P633" s="52">
        <f t="shared" si="337"/>
        <v>0</v>
      </c>
      <c r="Q633" s="52">
        <f t="shared" si="337"/>
        <v>0</v>
      </c>
      <c r="R633" s="52">
        <f t="shared" si="337"/>
        <v>0</v>
      </c>
      <c r="S633" s="52">
        <f t="shared" si="337"/>
        <v>0</v>
      </c>
      <c r="T633" s="52">
        <f t="shared" si="337"/>
        <v>0</v>
      </c>
      <c r="U633" s="52">
        <f t="shared" si="337"/>
        <v>0</v>
      </c>
      <c r="V633" s="52">
        <f t="shared" si="337"/>
        <v>0</v>
      </c>
      <c r="W633" s="52">
        <f t="shared" si="337"/>
        <v>0</v>
      </c>
      <c r="X633" s="52">
        <f t="shared" si="337"/>
        <v>0</v>
      </c>
      <c r="Y633" s="52">
        <f t="shared" si="337"/>
        <v>0</v>
      </c>
      <c r="Z633" s="52">
        <f t="shared" si="337"/>
        <v>0</v>
      </c>
      <c r="AA633" s="52">
        <f t="shared" si="337"/>
        <v>0</v>
      </c>
      <c r="AB633" s="52">
        <f t="shared" si="337"/>
        <v>0</v>
      </c>
      <c r="AC633" s="52">
        <f t="shared" si="337"/>
        <v>0</v>
      </c>
      <c r="AD633" s="52">
        <f t="shared" si="337"/>
        <v>0</v>
      </c>
      <c r="AE633" s="52">
        <f t="shared" si="337"/>
        <v>0</v>
      </c>
      <c r="AF633" s="52">
        <f t="shared" si="337"/>
        <v>0</v>
      </c>
      <c r="AG633" s="52">
        <f t="shared" si="337"/>
        <v>0</v>
      </c>
      <c r="AH633" s="52">
        <f t="shared" si="337"/>
        <v>0</v>
      </c>
      <c r="AI633" s="52">
        <f t="shared" si="337"/>
        <v>0</v>
      </c>
      <c r="AJ633" s="52">
        <f t="shared" si="337"/>
        <v>0</v>
      </c>
      <c r="AK633" s="52">
        <f t="shared" si="337"/>
        <v>0</v>
      </c>
      <c r="AL633" s="52">
        <f t="shared" si="337"/>
        <v>0</v>
      </c>
      <c r="AM633" s="52">
        <f t="shared" si="337"/>
        <v>0</v>
      </c>
      <c r="AN633" s="52">
        <f t="shared" si="337"/>
        <v>0</v>
      </c>
      <c r="AO633" s="52">
        <f t="shared" si="337"/>
        <v>0</v>
      </c>
      <c r="AP633" s="52">
        <f t="shared" si="337"/>
        <v>0</v>
      </c>
    </row>
    <row r="634" spans="1:42" x14ac:dyDescent="0.2">
      <c r="A634" s="17">
        <f t="shared" si="338"/>
        <v>5</v>
      </c>
      <c r="B634" s="102">
        <f t="shared" si="335"/>
        <v>0</v>
      </c>
      <c r="C634" s="52">
        <f t="shared" si="337"/>
        <v>0</v>
      </c>
      <c r="D634" s="52">
        <f t="shared" si="337"/>
        <v>0</v>
      </c>
      <c r="E634" s="52">
        <f t="shared" si="337"/>
        <v>0</v>
      </c>
      <c r="F634" s="52">
        <f t="shared" si="337"/>
        <v>0</v>
      </c>
      <c r="G634" s="52">
        <f t="shared" si="337"/>
        <v>0</v>
      </c>
      <c r="H634" s="52">
        <f t="shared" si="337"/>
        <v>0</v>
      </c>
      <c r="I634" s="52">
        <f t="shared" si="337"/>
        <v>0</v>
      </c>
      <c r="J634" s="52">
        <f t="shared" si="337"/>
        <v>0</v>
      </c>
      <c r="K634" s="52">
        <f t="shared" si="337"/>
        <v>0</v>
      </c>
      <c r="L634" s="52">
        <f t="shared" si="337"/>
        <v>0</v>
      </c>
      <c r="M634" s="52">
        <f t="shared" si="337"/>
        <v>0</v>
      </c>
      <c r="N634" s="52">
        <f t="shared" si="337"/>
        <v>0</v>
      </c>
      <c r="O634" s="52">
        <f t="shared" si="337"/>
        <v>0</v>
      </c>
      <c r="P634" s="52">
        <f t="shared" si="337"/>
        <v>0</v>
      </c>
      <c r="Q634" s="52">
        <f t="shared" si="337"/>
        <v>0</v>
      </c>
      <c r="R634" s="52">
        <f t="shared" si="337"/>
        <v>0</v>
      </c>
      <c r="S634" s="52">
        <f t="shared" si="337"/>
        <v>0</v>
      </c>
      <c r="T634" s="52">
        <f t="shared" si="337"/>
        <v>0</v>
      </c>
      <c r="U634" s="52">
        <f t="shared" si="337"/>
        <v>0</v>
      </c>
      <c r="V634" s="52">
        <f t="shared" si="337"/>
        <v>0</v>
      </c>
      <c r="W634" s="52">
        <f t="shared" si="337"/>
        <v>0</v>
      </c>
      <c r="X634" s="52">
        <f t="shared" si="337"/>
        <v>0</v>
      </c>
      <c r="Y634" s="52">
        <f t="shared" si="337"/>
        <v>0</v>
      </c>
      <c r="Z634" s="52">
        <f t="shared" si="337"/>
        <v>0</v>
      </c>
      <c r="AA634" s="52">
        <f t="shared" si="337"/>
        <v>0</v>
      </c>
      <c r="AB634" s="52">
        <f t="shared" si="337"/>
        <v>0</v>
      </c>
      <c r="AC634" s="52">
        <f t="shared" si="337"/>
        <v>0</v>
      </c>
      <c r="AD634" s="52">
        <f t="shared" si="337"/>
        <v>0</v>
      </c>
      <c r="AE634" s="52">
        <f t="shared" si="337"/>
        <v>0</v>
      </c>
      <c r="AF634" s="52">
        <f t="shared" si="337"/>
        <v>0</v>
      </c>
      <c r="AG634" s="52">
        <f t="shared" si="337"/>
        <v>0</v>
      </c>
      <c r="AH634" s="52">
        <f t="shared" si="337"/>
        <v>0</v>
      </c>
      <c r="AI634" s="52">
        <f t="shared" si="337"/>
        <v>0</v>
      </c>
      <c r="AJ634" s="52">
        <f t="shared" si="337"/>
        <v>0</v>
      </c>
      <c r="AK634" s="52">
        <f t="shared" si="337"/>
        <v>0</v>
      </c>
      <c r="AL634" s="52">
        <f t="shared" si="337"/>
        <v>0</v>
      </c>
      <c r="AM634" s="52">
        <f t="shared" si="337"/>
        <v>0</v>
      </c>
      <c r="AN634" s="52">
        <f t="shared" si="337"/>
        <v>0</v>
      </c>
      <c r="AO634" s="52">
        <f t="shared" si="337"/>
        <v>0</v>
      </c>
      <c r="AP634" s="52">
        <f t="shared" si="337"/>
        <v>0</v>
      </c>
    </row>
    <row r="635" spans="1:42" x14ac:dyDescent="0.2">
      <c r="A635" s="17">
        <f t="shared" si="338"/>
        <v>6</v>
      </c>
      <c r="B635" s="102">
        <f t="shared" si="335"/>
        <v>0</v>
      </c>
      <c r="C635" s="52">
        <f t="shared" si="337"/>
        <v>0</v>
      </c>
      <c r="D635" s="52">
        <f t="shared" si="337"/>
        <v>0</v>
      </c>
      <c r="E635" s="52">
        <f t="shared" si="337"/>
        <v>0</v>
      </c>
      <c r="F635" s="52">
        <f t="shared" si="337"/>
        <v>0</v>
      </c>
      <c r="G635" s="52">
        <f t="shared" si="337"/>
        <v>0</v>
      </c>
      <c r="H635" s="52">
        <f t="shared" si="337"/>
        <v>0</v>
      </c>
      <c r="I635" s="52">
        <f t="shared" si="337"/>
        <v>0</v>
      </c>
      <c r="J635" s="52">
        <f t="shared" si="337"/>
        <v>0</v>
      </c>
      <c r="K635" s="52">
        <f t="shared" si="337"/>
        <v>0</v>
      </c>
      <c r="L635" s="52">
        <f t="shared" si="337"/>
        <v>0</v>
      </c>
      <c r="M635" s="52">
        <f t="shared" si="337"/>
        <v>0</v>
      </c>
      <c r="N635" s="52">
        <f t="shared" si="337"/>
        <v>0</v>
      </c>
      <c r="O635" s="52">
        <f t="shared" si="337"/>
        <v>0</v>
      </c>
      <c r="P635" s="52">
        <f t="shared" si="337"/>
        <v>0</v>
      </c>
      <c r="Q635" s="52">
        <f t="shared" si="337"/>
        <v>0</v>
      </c>
      <c r="R635" s="52">
        <f t="shared" si="337"/>
        <v>0</v>
      </c>
      <c r="S635" s="52">
        <f t="shared" si="337"/>
        <v>0</v>
      </c>
      <c r="T635" s="52">
        <f t="shared" si="337"/>
        <v>0</v>
      </c>
      <c r="U635" s="52">
        <f t="shared" si="337"/>
        <v>0</v>
      </c>
      <c r="V635" s="52">
        <f t="shared" si="337"/>
        <v>0</v>
      </c>
      <c r="W635" s="52">
        <f t="shared" si="337"/>
        <v>0</v>
      </c>
      <c r="X635" s="52">
        <f t="shared" si="337"/>
        <v>0</v>
      </c>
      <c r="Y635" s="52">
        <f t="shared" si="337"/>
        <v>0</v>
      </c>
      <c r="Z635" s="52">
        <f t="shared" si="337"/>
        <v>0</v>
      </c>
      <c r="AA635" s="52">
        <f t="shared" si="337"/>
        <v>0</v>
      </c>
      <c r="AB635" s="52">
        <f t="shared" si="337"/>
        <v>0</v>
      </c>
      <c r="AC635" s="52">
        <f t="shared" si="337"/>
        <v>0</v>
      </c>
      <c r="AD635" s="52">
        <f t="shared" si="337"/>
        <v>0</v>
      </c>
      <c r="AE635" s="52">
        <f t="shared" si="337"/>
        <v>0</v>
      </c>
      <c r="AF635" s="52">
        <f t="shared" si="337"/>
        <v>0</v>
      </c>
      <c r="AG635" s="52">
        <f t="shared" si="337"/>
        <v>0</v>
      </c>
      <c r="AH635" s="52">
        <f t="shared" si="337"/>
        <v>0</v>
      </c>
      <c r="AI635" s="52">
        <f t="shared" si="337"/>
        <v>0</v>
      </c>
      <c r="AJ635" s="52">
        <f t="shared" si="337"/>
        <v>0</v>
      </c>
      <c r="AK635" s="52">
        <f t="shared" si="337"/>
        <v>0</v>
      </c>
      <c r="AL635" s="52">
        <f t="shared" si="337"/>
        <v>0</v>
      </c>
      <c r="AM635" s="52">
        <f t="shared" si="337"/>
        <v>0</v>
      </c>
      <c r="AN635" s="52">
        <f t="shared" si="337"/>
        <v>0</v>
      </c>
      <c r="AO635" s="52">
        <f t="shared" si="337"/>
        <v>0</v>
      </c>
      <c r="AP635" s="52">
        <f t="shared" si="337"/>
        <v>0</v>
      </c>
    </row>
    <row r="636" spans="1:42" x14ac:dyDescent="0.2">
      <c r="A636" s="17">
        <f t="shared" si="338"/>
        <v>7</v>
      </c>
      <c r="B636" s="102">
        <f t="shared" si="335"/>
        <v>0</v>
      </c>
      <c r="C636" s="52">
        <f t="shared" si="337"/>
        <v>0</v>
      </c>
      <c r="D636" s="52">
        <f t="shared" si="337"/>
        <v>0</v>
      </c>
      <c r="E636" s="52">
        <f t="shared" si="337"/>
        <v>0</v>
      </c>
      <c r="F636" s="52">
        <f t="shared" si="337"/>
        <v>0</v>
      </c>
      <c r="G636" s="52">
        <f t="shared" si="337"/>
        <v>0</v>
      </c>
      <c r="H636" s="52">
        <f t="shared" si="337"/>
        <v>0</v>
      </c>
      <c r="I636" s="52">
        <f t="shared" si="337"/>
        <v>0</v>
      </c>
      <c r="J636" s="52">
        <f t="shared" si="337"/>
        <v>0</v>
      </c>
      <c r="K636" s="52">
        <f t="shared" si="337"/>
        <v>0</v>
      </c>
      <c r="L636" s="52">
        <f t="shared" si="337"/>
        <v>0</v>
      </c>
      <c r="M636" s="52">
        <f t="shared" si="337"/>
        <v>0</v>
      </c>
      <c r="N636" s="52">
        <f t="shared" si="337"/>
        <v>0</v>
      </c>
      <c r="O636" s="52">
        <f t="shared" si="337"/>
        <v>0</v>
      </c>
      <c r="P636" s="52">
        <f t="shared" si="337"/>
        <v>0</v>
      </c>
      <c r="Q636" s="52">
        <f t="shared" si="337"/>
        <v>0</v>
      </c>
      <c r="R636" s="52">
        <f t="shared" si="337"/>
        <v>0</v>
      </c>
      <c r="S636" s="52">
        <f t="shared" si="337"/>
        <v>0</v>
      </c>
      <c r="T636" s="52">
        <f t="shared" si="337"/>
        <v>0</v>
      </c>
      <c r="U636" s="52">
        <f t="shared" si="337"/>
        <v>0</v>
      </c>
      <c r="V636" s="52">
        <f t="shared" si="337"/>
        <v>0</v>
      </c>
      <c r="W636" s="52">
        <f t="shared" si="337"/>
        <v>0</v>
      </c>
      <c r="X636" s="52">
        <f t="shared" si="337"/>
        <v>0</v>
      </c>
      <c r="Y636" s="52">
        <f t="shared" si="337"/>
        <v>0</v>
      </c>
      <c r="Z636" s="52">
        <f t="shared" si="337"/>
        <v>0</v>
      </c>
      <c r="AA636" s="52">
        <f t="shared" si="337"/>
        <v>0</v>
      </c>
      <c r="AB636" s="52">
        <f t="shared" si="337"/>
        <v>0</v>
      </c>
      <c r="AC636" s="52">
        <f t="shared" si="337"/>
        <v>0</v>
      </c>
      <c r="AD636" s="52">
        <f t="shared" si="337"/>
        <v>0</v>
      </c>
      <c r="AE636" s="52">
        <f t="shared" si="337"/>
        <v>0</v>
      </c>
      <c r="AF636" s="52">
        <f t="shared" si="337"/>
        <v>0</v>
      </c>
      <c r="AG636" s="52">
        <f t="shared" si="337"/>
        <v>0</v>
      </c>
      <c r="AH636" s="52">
        <f t="shared" si="337"/>
        <v>0</v>
      </c>
      <c r="AI636" s="52">
        <f t="shared" si="337"/>
        <v>0</v>
      </c>
      <c r="AJ636" s="52">
        <f t="shared" si="337"/>
        <v>0</v>
      </c>
      <c r="AK636" s="52">
        <f t="shared" si="337"/>
        <v>0</v>
      </c>
      <c r="AL636" s="52">
        <f t="shared" si="337"/>
        <v>0</v>
      </c>
      <c r="AM636" s="52">
        <f t="shared" si="337"/>
        <v>0</v>
      </c>
      <c r="AN636" s="52">
        <f t="shared" si="337"/>
        <v>0</v>
      </c>
      <c r="AO636" s="52">
        <f t="shared" si="337"/>
        <v>0</v>
      </c>
      <c r="AP636" s="52">
        <f t="shared" si="337"/>
        <v>0</v>
      </c>
    </row>
    <row r="637" spans="1:42" x14ac:dyDescent="0.2">
      <c r="A637" s="17">
        <f t="shared" si="338"/>
        <v>8</v>
      </c>
      <c r="B637" s="102">
        <f t="shared" si="335"/>
        <v>0</v>
      </c>
      <c r="C637" s="52">
        <f t="shared" si="337"/>
        <v>0</v>
      </c>
      <c r="D637" s="52">
        <f t="shared" si="337"/>
        <v>0</v>
      </c>
      <c r="E637" s="52">
        <f t="shared" si="337"/>
        <v>0</v>
      </c>
      <c r="F637" s="52">
        <f t="shared" si="337"/>
        <v>0</v>
      </c>
      <c r="G637" s="52">
        <f t="shared" si="337"/>
        <v>0</v>
      </c>
      <c r="H637" s="52">
        <f t="shared" si="337"/>
        <v>0</v>
      </c>
      <c r="I637" s="52">
        <f t="shared" si="337"/>
        <v>0</v>
      </c>
      <c r="J637" s="52">
        <f t="shared" si="337"/>
        <v>0</v>
      </c>
      <c r="K637" s="52">
        <f t="shared" si="337"/>
        <v>0</v>
      </c>
      <c r="L637" s="52">
        <f t="shared" si="337"/>
        <v>0</v>
      </c>
      <c r="M637" s="52">
        <f t="shared" si="337"/>
        <v>0</v>
      </c>
      <c r="N637" s="52">
        <f t="shared" si="337"/>
        <v>0</v>
      </c>
      <c r="O637" s="52">
        <f t="shared" si="337"/>
        <v>0</v>
      </c>
      <c r="P637" s="52">
        <f t="shared" si="337"/>
        <v>0</v>
      </c>
      <c r="Q637" s="52">
        <f t="shared" si="337"/>
        <v>0</v>
      </c>
      <c r="R637" s="52">
        <f t="shared" ref="R637:AP637" si="339">IF(AND(R$2&gt;MMFrequency2*$A624,R$2&lt;=MMFrequency2*$A625),$B625/(MMFrequency2),0)</f>
        <v>0</v>
      </c>
      <c r="S637" s="52">
        <f t="shared" si="339"/>
        <v>0</v>
      </c>
      <c r="T637" s="52">
        <f t="shared" si="339"/>
        <v>0</v>
      </c>
      <c r="U637" s="52">
        <f t="shared" si="339"/>
        <v>0</v>
      </c>
      <c r="V637" s="52">
        <f t="shared" si="339"/>
        <v>0</v>
      </c>
      <c r="W637" s="52">
        <f t="shared" si="339"/>
        <v>0</v>
      </c>
      <c r="X637" s="52">
        <f t="shared" si="339"/>
        <v>0</v>
      </c>
      <c r="Y637" s="52">
        <f t="shared" si="339"/>
        <v>0</v>
      </c>
      <c r="Z637" s="52">
        <f t="shared" si="339"/>
        <v>0</v>
      </c>
      <c r="AA637" s="52">
        <f t="shared" si="339"/>
        <v>0</v>
      </c>
      <c r="AB637" s="52">
        <f t="shared" si="339"/>
        <v>0</v>
      </c>
      <c r="AC637" s="52">
        <f t="shared" si="339"/>
        <v>0</v>
      </c>
      <c r="AD637" s="52">
        <f t="shared" si="339"/>
        <v>0</v>
      </c>
      <c r="AE637" s="52">
        <f t="shared" si="339"/>
        <v>0</v>
      </c>
      <c r="AF637" s="52">
        <f t="shared" si="339"/>
        <v>0</v>
      </c>
      <c r="AG637" s="52">
        <f t="shared" si="339"/>
        <v>0</v>
      </c>
      <c r="AH637" s="52">
        <f t="shared" si="339"/>
        <v>0</v>
      </c>
      <c r="AI637" s="52">
        <f t="shared" si="339"/>
        <v>0</v>
      </c>
      <c r="AJ637" s="52">
        <f t="shared" si="339"/>
        <v>0</v>
      </c>
      <c r="AK637" s="52">
        <f t="shared" si="339"/>
        <v>0</v>
      </c>
      <c r="AL637" s="52">
        <f t="shared" si="339"/>
        <v>0</v>
      </c>
      <c r="AM637" s="52">
        <f t="shared" si="339"/>
        <v>0</v>
      </c>
      <c r="AN637" s="52">
        <f t="shared" si="339"/>
        <v>0</v>
      </c>
      <c r="AO637" s="52">
        <f t="shared" si="339"/>
        <v>0</v>
      </c>
      <c r="AP637" s="52">
        <f t="shared" si="339"/>
        <v>0</v>
      </c>
    </row>
    <row r="638" spans="1:42" x14ac:dyDescent="0.2">
      <c r="A638" s="17">
        <f>A637+1</f>
        <v>9</v>
      </c>
      <c r="B638" s="102">
        <f t="shared" si="335"/>
        <v>0</v>
      </c>
      <c r="C638" s="52">
        <f t="shared" ref="C638:AP639" si="340">IF(AND(C$2&gt;MMFrequency2*$A625,C$2&lt;=MMFrequency2*$A626),$B626/(MMFrequency2),0)</f>
        <v>0</v>
      </c>
      <c r="D638" s="52">
        <f t="shared" si="340"/>
        <v>0</v>
      </c>
      <c r="E638" s="52">
        <f t="shared" si="340"/>
        <v>0</v>
      </c>
      <c r="F638" s="52">
        <f t="shared" si="340"/>
        <v>0</v>
      </c>
      <c r="G638" s="52">
        <f t="shared" si="340"/>
        <v>0</v>
      </c>
      <c r="H638" s="52">
        <f t="shared" si="340"/>
        <v>0</v>
      </c>
      <c r="I638" s="52">
        <f t="shared" si="340"/>
        <v>0</v>
      </c>
      <c r="J638" s="52">
        <f t="shared" si="340"/>
        <v>0</v>
      </c>
      <c r="K638" s="52">
        <f t="shared" si="340"/>
        <v>0</v>
      </c>
      <c r="L638" s="52">
        <f t="shared" si="340"/>
        <v>0</v>
      </c>
      <c r="M638" s="52">
        <f t="shared" si="340"/>
        <v>0</v>
      </c>
      <c r="N638" s="52">
        <f t="shared" si="340"/>
        <v>0</v>
      </c>
      <c r="O638" s="52">
        <f t="shared" si="340"/>
        <v>0</v>
      </c>
      <c r="P638" s="52">
        <f t="shared" si="340"/>
        <v>0</v>
      </c>
      <c r="Q638" s="52">
        <f t="shared" si="340"/>
        <v>0</v>
      </c>
      <c r="R638" s="52">
        <f t="shared" si="340"/>
        <v>0</v>
      </c>
      <c r="S638" s="52">
        <f t="shared" si="340"/>
        <v>0</v>
      </c>
      <c r="T638" s="52">
        <f t="shared" si="340"/>
        <v>0</v>
      </c>
      <c r="U638" s="52">
        <f t="shared" si="340"/>
        <v>0</v>
      </c>
      <c r="V638" s="52">
        <f t="shared" si="340"/>
        <v>0</v>
      </c>
      <c r="W638" s="52">
        <f t="shared" si="340"/>
        <v>0</v>
      </c>
      <c r="X638" s="52">
        <f t="shared" si="340"/>
        <v>0</v>
      </c>
      <c r="Y638" s="52">
        <f t="shared" si="340"/>
        <v>0</v>
      </c>
      <c r="Z638" s="52">
        <f t="shared" si="340"/>
        <v>0</v>
      </c>
      <c r="AA638" s="52">
        <f t="shared" si="340"/>
        <v>0</v>
      </c>
      <c r="AB638" s="52">
        <f t="shared" si="340"/>
        <v>0</v>
      </c>
      <c r="AC638" s="52">
        <f t="shared" si="340"/>
        <v>0</v>
      </c>
      <c r="AD638" s="52">
        <f t="shared" si="340"/>
        <v>0</v>
      </c>
      <c r="AE638" s="52">
        <f t="shared" si="340"/>
        <v>0</v>
      </c>
      <c r="AF638" s="52">
        <f t="shared" si="340"/>
        <v>0</v>
      </c>
      <c r="AG638" s="52">
        <f t="shared" si="340"/>
        <v>0</v>
      </c>
      <c r="AH638" s="52">
        <f t="shared" si="340"/>
        <v>0</v>
      </c>
      <c r="AI638" s="52">
        <f t="shared" si="340"/>
        <v>0</v>
      </c>
      <c r="AJ638" s="52">
        <f t="shared" si="340"/>
        <v>0</v>
      </c>
      <c r="AK638" s="52">
        <f t="shared" si="340"/>
        <v>0</v>
      </c>
      <c r="AL638" s="52">
        <f t="shared" si="340"/>
        <v>0</v>
      </c>
      <c r="AM638" s="52">
        <f t="shared" si="340"/>
        <v>0</v>
      </c>
      <c r="AN638" s="52">
        <f t="shared" si="340"/>
        <v>0</v>
      </c>
      <c r="AO638" s="52">
        <f t="shared" si="340"/>
        <v>0</v>
      </c>
      <c r="AP638" s="52">
        <f t="shared" si="340"/>
        <v>0</v>
      </c>
    </row>
    <row r="639" spans="1:42" x14ac:dyDescent="0.2">
      <c r="A639" s="17">
        <f t="shared" ref="A639" si="341">A638+1</f>
        <v>10</v>
      </c>
      <c r="B639" s="102">
        <f t="shared" si="335"/>
        <v>0</v>
      </c>
      <c r="C639" s="53">
        <f t="shared" si="340"/>
        <v>0</v>
      </c>
      <c r="D639" s="53">
        <f t="shared" si="340"/>
        <v>0</v>
      </c>
      <c r="E639" s="53">
        <f t="shared" si="340"/>
        <v>0</v>
      </c>
      <c r="F639" s="53">
        <f t="shared" si="340"/>
        <v>0</v>
      </c>
      <c r="G639" s="53">
        <f t="shared" si="340"/>
        <v>0</v>
      </c>
      <c r="H639" s="53">
        <f t="shared" si="340"/>
        <v>0</v>
      </c>
      <c r="I639" s="53">
        <f t="shared" si="340"/>
        <v>0</v>
      </c>
      <c r="J639" s="53">
        <f t="shared" si="340"/>
        <v>0</v>
      </c>
      <c r="K639" s="53">
        <f t="shared" si="340"/>
        <v>0</v>
      </c>
      <c r="L639" s="53">
        <f t="shared" si="340"/>
        <v>0</v>
      </c>
      <c r="M639" s="53">
        <f t="shared" si="340"/>
        <v>0</v>
      </c>
      <c r="N639" s="53">
        <f t="shared" si="340"/>
        <v>0</v>
      </c>
      <c r="O639" s="53">
        <f t="shared" si="340"/>
        <v>0</v>
      </c>
      <c r="P639" s="53">
        <f t="shared" si="340"/>
        <v>0</v>
      </c>
      <c r="Q639" s="53">
        <f t="shared" si="340"/>
        <v>0</v>
      </c>
      <c r="R639" s="53">
        <f t="shared" si="340"/>
        <v>0</v>
      </c>
      <c r="S639" s="53">
        <f t="shared" si="340"/>
        <v>0</v>
      </c>
      <c r="T639" s="53">
        <f t="shared" si="340"/>
        <v>0</v>
      </c>
      <c r="U639" s="53">
        <f t="shared" si="340"/>
        <v>0</v>
      </c>
      <c r="V639" s="53">
        <f t="shared" si="340"/>
        <v>0</v>
      </c>
      <c r="W639" s="53">
        <f t="shared" si="340"/>
        <v>0</v>
      </c>
      <c r="X639" s="53">
        <f t="shared" si="340"/>
        <v>0</v>
      </c>
      <c r="Y639" s="53">
        <f t="shared" si="340"/>
        <v>0</v>
      </c>
      <c r="Z639" s="53">
        <f t="shared" si="340"/>
        <v>0</v>
      </c>
      <c r="AA639" s="53">
        <f t="shared" si="340"/>
        <v>0</v>
      </c>
      <c r="AB639" s="53">
        <f t="shared" si="340"/>
        <v>0</v>
      </c>
      <c r="AC639" s="53">
        <f t="shared" si="340"/>
        <v>0</v>
      </c>
      <c r="AD639" s="53">
        <f t="shared" si="340"/>
        <v>0</v>
      </c>
      <c r="AE639" s="53">
        <f t="shared" si="340"/>
        <v>0</v>
      </c>
      <c r="AF639" s="53">
        <f t="shared" si="340"/>
        <v>0</v>
      </c>
      <c r="AG639" s="53">
        <f t="shared" si="340"/>
        <v>0</v>
      </c>
      <c r="AH639" s="53">
        <f t="shared" si="340"/>
        <v>0</v>
      </c>
      <c r="AI639" s="53">
        <f t="shared" si="340"/>
        <v>0</v>
      </c>
      <c r="AJ639" s="53">
        <f t="shared" si="340"/>
        <v>0</v>
      </c>
      <c r="AK639" s="53">
        <f t="shared" si="340"/>
        <v>0</v>
      </c>
      <c r="AL639" s="53">
        <f t="shared" si="340"/>
        <v>0</v>
      </c>
      <c r="AM639" s="53">
        <f t="shared" si="340"/>
        <v>0</v>
      </c>
      <c r="AN639" s="53">
        <f t="shared" si="340"/>
        <v>0</v>
      </c>
      <c r="AO639" s="53">
        <f t="shared" si="340"/>
        <v>0</v>
      </c>
      <c r="AP639" s="53">
        <f t="shared" si="340"/>
        <v>0</v>
      </c>
    </row>
    <row r="640" spans="1:42" x14ac:dyDescent="0.2">
      <c r="A640" s="80" t="s">
        <v>23</v>
      </c>
      <c r="B640" s="52"/>
      <c r="C640" s="39">
        <f>SUM(C630:C639)</f>
        <v>0</v>
      </c>
      <c r="D640" s="39">
        <f t="shared" ref="D640:AP640" si="342">SUM(D630:D639)</f>
        <v>0</v>
      </c>
      <c r="E640" s="39">
        <f t="shared" si="342"/>
        <v>0</v>
      </c>
      <c r="F640" s="39">
        <f t="shared" si="342"/>
        <v>0</v>
      </c>
      <c r="G640" s="39">
        <f t="shared" si="342"/>
        <v>0</v>
      </c>
      <c r="H640" s="39">
        <f t="shared" si="342"/>
        <v>0</v>
      </c>
      <c r="I640" s="39">
        <f t="shared" si="342"/>
        <v>0</v>
      </c>
      <c r="J640" s="39">
        <f t="shared" si="342"/>
        <v>0</v>
      </c>
      <c r="K640" s="39">
        <f t="shared" si="342"/>
        <v>0</v>
      </c>
      <c r="L640" s="39">
        <f t="shared" si="342"/>
        <v>0</v>
      </c>
      <c r="M640" s="39">
        <f t="shared" si="342"/>
        <v>0</v>
      </c>
      <c r="N640" s="39">
        <f t="shared" si="342"/>
        <v>0</v>
      </c>
      <c r="O640" s="39">
        <f t="shared" si="342"/>
        <v>0</v>
      </c>
      <c r="P640" s="39">
        <f t="shared" si="342"/>
        <v>0</v>
      </c>
      <c r="Q640" s="39">
        <f t="shared" si="342"/>
        <v>0</v>
      </c>
      <c r="R640" s="39">
        <f t="shared" si="342"/>
        <v>0</v>
      </c>
      <c r="S640" s="39">
        <f t="shared" si="342"/>
        <v>0</v>
      </c>
      <c r="T640" s="39">
        <f t="shared" si="342"/>
        <v>0</v>
      </c>
      <c r="U640" s="39">
        <f t="shared" si="342"/>
        <v>0</v>
      </c>
      <c r="V640" s="39">
        <f t="shared" si="342"/>
        <v>0</v>
      </c>
      <c r="W640" s="39">
        <f t="shared" si="342"/>
        <v>0</v>
      </c>
      <c r="X640" s="39">
        <f t="shared" si="342"/>
        <v>0</v>
      </c>
      <c r="Y640" s="39">
        <f t="shared" si="342"/>
        <v>0</v>
      </c>
      <c r="Z640" s="39">
        <f t="shared" si="342"/>
        <v>0</v>
      </c>
      <c r="AA640" s="39">
        <f t="shared" si="342"/>
        <v>0</v>
      </c>
      <c r="AB640" s="39">
        <f t="shared" si="342"/>
        <v>0</v>
      </c>
      <c r="AC640" s="39">
        <f t="shared" si="342"/>
        <v>0</v>
      </c>
      <c r="AD640" s="39">
        <f t="shared" si="342"/>
        <v>0</v>
      </c>
      <c r="AE640" s="39">
        <f t="shared" si="342"/>
        <v>0</v>
      </c>
      <c r="AF640" s="39">
        <f t="shared" si="342"/>
        <v>0</v>
      </c>
      <c r="AG640" s="39">
        <f t="shared" si="342"/>
        <v>0</v>
      </c>
      <c r="AH640" s="39">
        <f t="shared" si="342"/>
        <v>0</v>
      </c>
      <c r="AI640" s="39">
        <f t="shared" si="342"/>
        <v>0</v>
      </c>
      <c r="AJ640" s="39">
        <f t="shared" si="342"/>
        <v>0</v>
      </c>
      <c r="AK640" s="39">
        <f t="shared" si="342"/>
        <v>0</v>
      </c>
      <c r="AL640" s="39">
        <f t="shared" si="342"/>
        <v>0</v>
      </c>
      <c r="AM640" s="39">
        <f t="shared" si="342"/>
        <v>0</v>
      </c>
      <c r="AN640" s="39">
        <f t="shared" si="342"/>
        <v>0</v>
      </c>
      <c r="AO640" s="39">
        <f t="shared" si="342"/>
        <v>0</v>
      </c>
      <c r="AP640" s="39">
        <f t="shared" si="342"/>
        <v>0</v>
      </c>
    </row>
    <row r="641" spans="1:42" x14ac:dyDescent="0.2">
      <c r="B641" s="52"/>
      <c r="C641" s="39"/>
      <c r="D641" s="39"/>
      <c r="E641" s="39"/>
      <c r="F641" s="39"/>
      <c r="G641" s="39"/>
      <c r="H641" s="39"/>
      <c r="I641" s="39"/>
      <c r="J641" s="39"/>
      <c r="K641" s="39"/>
      <c r="L641" s="39"/>
      <c r="M641" s="39"/>
      <c r="N641" s="39"/>
      <c r="O641" s="39"/>
      <c r="P641" s="39"/>
      <c r="Q641" s="39"/>
      <c r="R641" s="39"/>
      <c r="S641" s="39"/>
      <c r="T641" s="39"/>
      <c r="U641" s="39"/>
      <c r="V641" s="39"/>
      <c r="W641" s="39"/>
      <c r="X641" s="39"/>
      <c r="Y641" s="39"/>
      <c r="Z641" s="39"/>
      <c r="AA641" s="39"/>
      <c r="AB641" s="39"/>
      <c r="AC641" s="39"/>
      <c r="AD641" s="39"/>
      <c r="AE641" s="39"/>
      <c r="AF641" s="39"/>
      <c r="AG641" s="39"/>
      <c r="AH641" s="39"/>
      <c r="AI641" s="39"/>
      <c r="AJ641" s="39"/>
      <c r="AK641" s="39"/>
      <c r="AL641" s="39"/>
      <c r="AM641" s="39"/>
      <c r="AN641" s="39"/>
      <c r="AO641" s="39"/>
      <c r="AP641" s="39"/>
    </row>
    <row r="642" spans="1:42" x14ac:dyDescent="0.2">
      <c r="A642" s="48" t="s">
        <v>161</v>
      </c>
      <c r="C642" s="39"/>
      <c r="D642" s="39"/>
      <c r="E642" s="39"/>
      <c r="F642" s="39"/>
      <c r="G642" s="39"/>
      <c r="H642" s="39"/>
      <c r="I642" s="39"/>
      <c r="J642" s="39"/>
      <c r="K642" s="39"/>
      <c r="L642" s="39"/>
      <c r="M642" s="39"/>
      <c r="N642" s="39"/>
      <c r="O642" s="39"/>
      <c r="P642" s="39"/>
      <c r="Q642" s="39"/>
      <c r="R642" s="39"/>
      <c r="S642" s="39"/>
      <c r="T642" s="39"/>
      <c r="U642" s="39"/>
      <c r="V642" s="39"/>
      <c r="W642" s="39"/>
      <c r="X642" s="39"/>
      <c r="Y642" s="39"/>
      <c r="Z642" s="39"/>
      <c r="AA642" s="39"/>
      <c r="AB642" s="39"/>
      <c r="AC642" s="39"/>
      <c r="AD642" s="39"/>
      <c r="AE642" s="39"/>
      <c r="AF642" s="39"/>
      <c r="AG642" s="39"/>
      <c r="AH642" s="39"/>
      <c r="AI642" s="39"/>
      <c r="AJ642" s="39"/>
      <c r="AK642" s="39"/>
      <c r="AL642" s="39"/>
      <c r="AM642" s="39"/>
      <c r="AN642" s="39"/>
      <c r="AO642" s="39"/>
      <c r="AP642" s="39"/>
    </row>
    <row r="643" spans="1:42" x14ac:dyDescent="0.2">
      <c r="A643" s="17" t="s">
        <v>43</v>
      </c>
      <c r="B643" s="39">
        <v>0</v>
      </c>
      <c r="C643" s="39">
        <f>B646</f>
        <v>0</v>
      </c>
      <c r="D643" s="39">
        <f t="shared" ref="D643:AP643" si="343">C646</f>
        <v>0</v>
      </c>
      <c r="E643" s="39">
        <f t="shared" si="343"/>
        <v>0</v>
      </c>
      <c r="F643" s="39">
        <f t="shared" si="343"/>
        <v>0</v>
      </c>
      <c r="G643" s="39">
        <f t="shared" si="343"/>
        <v>0</v>
      </c>
      <c r="H643" s="39">
        <f t="shared" si="343"/>
        <v>0</v>
      </c>
      <c r="I643" s="39">
        <f t="shared" si="343"/>
        <v>0</v>
      </c>
      <c r="J643" s="39">
        <f t="shared" si="343"/>
        <v>0</v>
      </c>
      <c r="K643" s="39">
        <f t="shared" si="343"/>
        <v>0</v>
      </c>
      <c r="L643" s="39">
        <f t="shared" si="343"/>
        <v>0</v>
      </c>
      <c r="M643" s="39">
        <f t="shared" si="343"/>
        <v>0</v>
      </c>
      <c r="N643" s="39">
        <f t="shared" si="343"/>
        <v>0</v>
      </c>
      <c r="O643" s="39">
        <f t="shared" si="343"/>
        <v>0</v>
      </c>
      <c r="P643" s="39">
        <f t="shared" si="343"/>
        <v>0</v>
      </c>
      <c r="Q643" s="39">
        <f t="shared" si="343"/>
        <v>0</v>
      </c>
      <c r="R643" s="39">
        <f t="shared" si="343"/>
        <v>0</v>
      </c>
      <c r="S643" s="39">
        <f t="shared" si="343"/>
        <v>0</v>
      </c>
      <c r="T643" s="39">
        <f t="shared" si="343"/>
        <v>0</v>
      </c>
      <c r="U643" s="39">
        <f t="shared" si="343"/>
        <v>0</v>
      </c>
      <c r="V643" s="39">
        <f t="shared" si="343"/>
        <v>0</v>
      </c>
      <c r="W643" s="39">
        <f t="shared" si="343"/>
        <v>0</v>
      </c>
      <c r="X643" s="39">
        <f t="shared" si="343"/>
        <v>0</v>
      </c>
      <c r="Y643" s="39">
        <f t="shared" si="343"/>
        <v>0</v>
      </c>
      <c r="Z643" s="39">
        <f t="shared" si="343"/>
        <v>0</v>
      </c>
      <c r="AA643" s="39">
        <f t="shared" si="343"/>
        <v>0</v>
      </c>
      <c r="AB643" s="39">
        <f t="shared" si="343"/>
        <v>0</v>
      </c>
      <c r="AC643" s="39">
        <f t="shared" si="343"/>
        <v>0</v>
      </c>
      <c r="AD643" s="39">
        <f t="shared" si="343"/>
        <v>0</v>
      </c>
      <c r="AE643" s="39">
        <f t="shared" si="343"/>
        <v>0</v>
      </c>
      <c r="AF643" s="39">
        <f t="shared" si="343"/>
        <v>0</v>
      </c>
      <c r="AG643" s="39">
        <f t="shared" si="343"/>
        <v>0</v>
      </c>
      <c r="AH643" s="39">
        <f t="shared" si="343"/>
        <v>0</v>
      </c>
      <c r="AI643" s="39">
        <f t="shared" si="343"/>
        <v>0</v>
      </c>
      <c r="AJ643" s="39">
        <f t="shared" si="343"/>
        <v>0</v>
      </c>
      <c r="AK643" s="39">
        <f t="shared" si="343"/>
        <v>0</v>
      </c>
      <c r="AL643" s="39">
        <f t="shared" si="343"/>
        <v>0</v>
      </c>
      <c r="AM643" s="39">
        <f t="shared" si="343"/>
        <v>0</v>
      </c>
      <c r="AN643" s="39">
        <f t="shared" si="343"/>
        <v>0</v>
      </c>
      <c r="AO643" s="39">
        <f t="shared" si="343"/>
        <v>0</v>
      </c>
      <c r="AP643" s="39">
        <f t="shared" si="343"/>
        <v>0</v>
      </c>
    </row>
    <row r="644" spans="1:42" x14ac:dyDescent="0.2">
      <c r="A644" s="17" t="s">
        <v>117</v>
      </c>
      <c r="B644" s="39">
        <v>0</v>
      </c>
      <c r="C644" s="39">
        <f>C672</f>
        <v>0</v>
      </c>
      <c r="D644" s="39">
        <f t="shared" ref="D644:AP644" si="344">D672</f>
        <v>0</v>
      </c>
      <c r="E644" s="39">
        <f t="shared" si="344"/>
        <v>0</v>
      </c>
      <c r="F644" s="39">
        <f t="shared" si="344"/>
        <v>0</v>
      </c>
      <c r="G644" s="39">
        <f t="shared" si="344"/>
        <v>0</v>
      </c>
      <c r="H644" s="39">
        <f t="shared" si="344"/>
        <v>0</v>
      </c>
      <c r="I644" s="39">
        <f t="shared" si="344"/>
        <v>0</v>
      </c>
      <c r="J644" s="39">
        <f t="shared" si="344"/>
        <v>0</v>
      </c>
      <c r="K644" s="39">
        <f t="shared" si="344"/>
        <v>0</v>
      </c>
      <c r="L644" s="39">
        <f t="shared" si="344"/>
        <v>0</v>
      </c>
      <c r="M644" s="39">
        <f t="shared" si="344"/>
        <v>0</v>
      </c>
      <c r="N644" s="39">
        <f t="shared" si="344"/>
        <v>0</v>
      </c>
      <c r="O644" s="39">
        <f t="shared" si="344"/>
        <v>0</v>
      </c>
      <c r="P644" s="39">
        <f t="shared" si="344"/>
        <v>0</v>
      </c>
      <c r="Q644" s="39">
        <f t="shared" si="344"/>
        <v>0</v>
      </c>
      <c r="R644" s="39">
        <f t="shared" si="344"/>
        <v>0</v>
      </c>
      <c r="S644" s="39">
        <f t="shared" si="344"/>
        <v>0</v>
      </c>
      <c r="T644" s="39">
        <f t="shared" si="344"/>
        <v>0</v>
      </c>
      <c r="U644" s="39">
        <f t="shared" si="344"/>
        <v>0</v>
      </c>
      <c r="V644" s="39">
        <f t="shared" si="344"/>
        <v>0</v>
      </c>
      <c r="W644" s="39">
        <f t="shared" si="344"/>
        <v>0</v>
      </c>
      <c r="X644" s="39">
        <f t="shared" si="344"/>
        <v>0</v>
      </c>
      <c r="Y644" s="39">
        <f t="shared" si="344"/>
        <v>0</v>
      </c>
      <c r="Z644" s="39">
        <f t="shared" si="344"/>
        <v>0</v>
      </c>
      <c r="AA644" s="39">
        <f t="shared" si="344"/>
        <v>0</v>
      </c>
      <c r="AB644" s="39">
        <f t="shared" si="344"/>
        <v>0</v>
      </c>
      <c r="AC644" s="39">
        <f t="shared" si="344"/>
        <v>0</v>
      </c>
      <c r="AD644" s="39">
        <f t="shared" si="344"/>
        <v>0</v>
      </c>
      <c r="AE644" s="39">
        <f t="shared" si="344"/>
        <v>0</v>
      </c>
      <c r="AF644" s="39">
        <f t="shared" si="344"/>
        <v>0</v>
      </c>
      <c r="AG644" s="39">
        <f t="shared" si="344"/>
        <v>0</v>
      </c>
      <c r="AH644" s="39">
        <f t="shared" si="344"/>
        <v>0</v>
      </c>
      <c r="AI644" s="39">
        <f t="shared" si="344"/>
        <v>0</v>
      </c>
      <c r="AJ644" s="39">
        <f t="shared" si="344"/>
        <v>0</v>
      </c>
      <c r="AK644" s="39">
        <f t="shared" si="344"/>
        <v>0</v>
      </c>
      <c r="AL644" s="39">
        <f t="shared" si="344"/>
        <v>0</v>
      </c>
      <c r="AM644" s="39">
        <f t="shared" si="344"/>
        <v>0</v>
      </c>
      <c r="AN644" s="39">
        <f t="shared" si="344"/>
        <v>0</v>
      </c>
      <c r="AO644" s="39">
        <f t="shared" si="344"/>
        <v>0</v>
      </c>
      <c r="AP644" s="39">
        <f t="shared" si="344"/>
        <v>0</v>
      </c>
    </row>
    <row r="645" spans="1:42" x14ac:dyDescent="0.2">
      <c r="A645" s="17" t="s">
        <v>50</v>
      </c>
      <c r="B645" s="53">
        <v>0</v>
      </c>
      <c r="C645" s="53">
        <f>-C660</f>
        <v>0</v>
      </c>
      <c r="D645" s="53">
        <f t="shared" ref="D645:AP645" si="345">-D660</f>
        <v>0</v>
      </c>
      <c r="E645" s="53">
        <f t="shared" si="345"/>
        <v>0</v>
      </c>
      <c r="F645" s="53">
        <f t="shared" si="345"/>
        <v>0</v>
      </c>
      <c r="G645" s="53">
        <f t="shared" si="345"/>
        <v>0</v>
      </c>
      <c r="H645" s="53">
        <f t="shared" si="345"/>
        <v>0</v>
      </c>
      <c r="I645" s="53">
        <f t="shared" si="345"/>
        <v>0</v>
      </c>
      <c r="J645" s="53">
        <f t="shared" si="345"/>
        <v>0</v>
      </c>
      <c r="K645" s="53">
        <f t="shared" si="345"/>
        <v>0</v>
      </c>
      <c r="L645" s="53">
        <f t="shared" si="345"/>
        <v>0</v>
      </c>
      <c r="M645" s="53">
        <f t="shared" si="345"/>
        <v>0</v>
      </c>
      <c r="N645" s="53">
        <f t="shared" si="345"/>
        <v>0</v>
      </c>
      <c r="O645" s="53">
        <f t="shared" si="345"/>
        <v>0</v>
      </c>
      <c r="P645" s="53">
        <f t="shared" si="345"/>
        <v>0</v>
      </c>
      <c r="Q645" s="53">
        <f t="shared" si="345"/>
        <v>0</v>
      </c>
      <c r="R645" s="53">
        <f t="shared" si="345"/>
        <v>0</v>
      </c>
      <c r="S645" s="53">
        <f t="shared" si="345"/>
        <v>0</v>
      </c>
      <c r="T645" s="53">
        <f t="shared" si="345"/>
        <v>0</v>
      </c>
      <c r="U645" s="53">
        <f t="shared" si="345"/>
        <v>0</v>
      </c>
      <c r="V645" s="53">
        <f t="shared" si="345"/>
        <v>0</v>
      </c>
      <c r="W645" s="53">
        <f t="shared" si="345"/>
        <v>0</v>
      </c>
      <c r="X645" s="53">
        <f t="shared" si="345"/>
        <v>0</v>
      </c>
      <c r="Y645" s="53">
        <f t="shared" si="345"/>
        <v>0</v>
      </c>
      <c r="Z645" s="53">
        <f t="shared" si="345"/>
        <v>0</v>
      </c>
      <c r="AA645" s="53">
        <f t="shared" si="345"/>
        <v>0</v>
      </c>
      <c r="AB645" s="53">
        <f t="shared" si="345"/>
        <v>0</v>
      </c>
      <c r="AC645" s="53">
        <f t="shared" si="345"/>
        <v>0</v>
      </c>
      <c r="AD645" s="53">
        <f t="shared" si="345"/>
        <v>0</v>
      </c>
      <c r="AE645" s="53">
        <f t="shared" si="345"/>
        <v>0</v>
      </c>
      <c r="AF645" s="53">
        <f t="shared" si="345"/>
        <v>0</v>
      </c>
      <c r="AG645" s="53">
        <f t="shared" si="345"/>
        <v>0</v>
      </c>
      <c r="AH645" s="53">
        <f t="shared" si="345"/>
        <v>0</v>
      </c>
      <c r="AI645" s="53">
        <f t="shared" si="345"/>
        <v>0</v>
      </c>
      <c r="AJ645" s="53">
        <f t="shared" si="345"/>
        <v>0</v>
      </c>
      <c r="AK645" s="53">
        <f t="shared" si="345"/>
        <v>0</v>
      </c>
      <c r="AL645" s="53">
        <f t="shared" si="345"/>
        <v>0</v>
      </c>
      <c r="AM645" s="53">
        <f t="shared" si="345"/>
        <v>0</v>
      </c>
      <c r="AN645" s="53">
        <f t="shared" si="345"/>
        <v>0</v>
      </c>
      <c r="AO645" s="53">
        <f t="shared" si="345"/>
        <v>0</v>
      </c>
      <c r="AP645" s="53">
        <f t="shared" si="345"/>
        <v>0</v>
      </c>
    </row>
    <row r="646" spans="1:42" x14ac:dyDescent="0.2">
      <c r="A646" s="17" t="s">
        <v>46</v>
      </c>
      <c r="B646" s="39">
        <f>SUM(B643:B645)</f>
        <v>0</v>
      </c>
      <c r="C646" s="39">
        <f>SUM(C643:C645)</f>
        <v>0</v>
      </c>
      <c r="D646" s="39">
        <f t="shared" ref="D646:AP646" si="346">SUM(D643:D645)</f>
        <v>0</v>
      </c>
      <c r="E646" s="39">
        <f t="shared" si="346"/>
        <v>0</v>
      </c>
      <c r="F646" s="39">
        <f t="shared" si="346"/>
        <v>0</v>
      </c>
      <c r="G646" s="39">
        <f t="shared" si="346"/>
        <v>0</v>
      </c>
      <c r="H646" s="39">
        <f t="shared" si="346"/>
        <v>0</v>
      </c>
      <c r="I646" s="39">
        <f t="shared" si="346"/>
        <v>0</v>
      </c>
      <c r="J646" s="39">
        <f t="shared" si="346"/>
        <v>0</v>
      </c>
      <c r="K646" s="39">
        <f t="shared" si="346"/>
        <v>0</v>
      </c>
      <c r="L646" s="39">
        <f t="shared" si="346"/>
        <v>0</v>
      </c>
      <c r="M646" s="39">
        <f t="shared" si="346"/>
        <v>0</v>
      </c>
      <c r="N646" s="39">
        <f t="shared" si="346"/>
        <v>0</v>
      </c>
      <c r="O646" s="39">
        <f t="shared" si="346"/>
        <v>0</v>
      </c>
      <c r="P646" s="39">
        <f t="shared" si="346"/>
        <v>0</v>
      </c>
      <c r="Q646" s="39">
        <f t="shared" si="346"/>
        <v>0</v>
      </c>
      <c r="R646" s="39">
        <f t="shared" si="346"/>
        <v>0</v>
      </c>
      <c r="S646" s="39">
        <f t="shared" si="346"/>
        <v>0</v>
      </c>
      <c r="T646" s="39">
        <f t="shared" si="346"/>
        <v>0</v>
      </c>
      <c r="U646" s="39">
        <f t="shared" si="346"/>
        <v>0</v>
      </c>
      <c r="V646" s="39">
        <f t="shared" si="346"/>
        <v>0</v>
      </c>
      <c r="W646" s="39">
        <f t="shared" si="346"/>
        <v>0</v>
      </c>
      <c r="X646" s="39">
        <f t="shared" si="346"/>
        <v>0</v>
      </c>
      <c r="Y646" s="39">
        <f t="shared" si="346"/>
        <v>0</v>
      </c>
      <c r="Z646" s="39">
        <f t="shared" si="346"/>
        <v>0</v>
      </c>
      <c r="AA646" s="39">
        <f t="shared" si="346"/>
        <v>0</v>
      </c>
      <c r="AB646" s="39">
        <f t="shared" si="346"/>
        <v>0</v>
      </c>
      <c r="AC646" s="39">
        <f t="shared" si="346"/>
        <v>0</v>
      </c>
      <c r="AD646" s="39">
        <f t="shared" si="346"/>
        <v>0</v>
      </c>
      <c r="AE646" s="39">
        <f t="shared" si="346"/>
        <v>0</v>
      </c>
      <c r="AF646" s="39">
        <f t="shared" si="346"/>
        <v>0</v>
      </c>
      <c r="AG646" s="39">
        <f t="shared" si="346"/>
        <v>0</v>
      </c>
      <c r="AH646" s="39">
        <f t="shared" si="346"/>
        <v>0</v>
      </c>
      <c r="AI646" s="39">
        <f t="shared" si="346"/>
        <v>0</v>
      </c>
      <c r="AJ646" s="39">
        <f t="shared" si="346"/>
        <v>0</v>
      </c>
      <c r="AK646" s="39">
        <f t="shared" si="346"/>
        <v>0</v>
      </c>
      <c r="AL646" s="39">
        <f t="shared" si="346"/>
        <v>0</v>
      </c>
      <c r="AM646" s="39">
        <f t="shared" si="346"/>
        <v>0</v>
      </c>
      <c r="AN646" s="39">
        <f t="shared" si="346"/>
        <v>0</v>
      </c>
      <c r="AO646" s="39">
        <f t="shared" si="346"/>
        <v>0</v>
      </c>
      <c r="AP646" s="39">
        <f t="shared" si="346"/>
        <v>0</v>
      </c>
    </row>
    <row r="647" spans="1:42" x14ac:dyDescent="0.2">
      <c r="B647" s="39"/>
      <c r="C647" s="39"/>
      <c r="D647" s="39"/>
      <c r="E647" s="39"/>
      <c r="F647" s="39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52"/>
      <c r="AE647" s="52"/>
      <c r="AF647" s="52"/>
      <c r="AG647" s="52"/>
      <c r="AH647" s="52"/>
      <c r="AI647" s="52"/>
      <c r="AJ647" s="52"/>
      <c r="AK647" s="52"/>
      <c r="AL647" s="52"/>
      <c r="AM647" s="52"/>
      <c r="AN647" s="52"/>
      <c r="AO647" s="52"/>
      <c r="AP647" s="52"/>
    </row>
    <row r="648" spans="1:42" x14ac:dyDescent="0.2">
      <c r="A648" s="17" t="s">
        <v>115</v>
      </c>
      <c r="B648" s="39"/>
      <c r="C648" s="39"/>
      <c r="D648" s="39"/>
      <c r="E648" s="39"/>
      <c r="F648" s="39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52"/>
      <c r="AE648" s="52"/>
      <c r="AF648" s="52"/>
      <c r="AG648" s="52"/>
      <c r="AH648" s="52"/>
      <c r="AI648" s="52"/>
      <c r="AJ648" s="52"/>
      <c r="AK648" s="52"/>
      <c r="AL648" s="52"/>
      <c r="AM648" s="52"/>
      <c r="AN648" s="52"/>
      <c r="AO648" s="52"/>
      <c r="AP648" s="52"/>
    </row>
    <row r="649" spans="1:42" x14ac:dyDescent="0.2">
      <c r="A649" s="17" t="s">
        <v>116</v>
      </c>
      <c r="B649" s="39"/>
      <c r="C649" s="39"/>
      <c r="D649" s="39"/>
      <c r="E649" s="39"/>
      <c r="F649" s="39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52"/>
      <c r="AE649" s="52"/>
      <c r="AF649" s="52"/>
      <c r="AG649" s="52"/>
      <c r="AH649" s="52"/>
      <c r="AI649" s="52"/>
      <c r="AJ649" s="52"/>
      <c r="AK649" s="52"/>
      <c r="AL649" s="52"/>
      <c r="AM649" s="52"/>
      <c r="AN649" s="52"/>
      <c r="AO649" s="52"/>
      <c r="AP649" s="52"/>
    </row>
    <row r="650" spans="1:42" x14ac:dyDescent="0.2">
      <c r="A650" s="17">
        <v>1</v>
      </c>
      <c r="B650" s="102">
        <f t="shared" ref="B650:B659" si="347">SUM(C650:AP650)</f>
        <v>0</v>
      </c>
      <c r="C650" s="52">
        <f t="shared" ref="C650:AP656" si="348">IF(C$2&gt;AnalysisPeriod,0,IF(C$2=MMFrequency3*$A650,MMCost3*CapacityDC*1000*(1+Inflation)^B$2,0))</f>
        <v>0</v>
      </c>
      <c r="D650" s="52">
        <f t="shared" si="348"/>
        <v>0</v>
      </c>
      <c r="E650" s="52">
        <f t="shared" si="348"/>
        <v>0</v>
      </c>
      <c r="F650" s="52">
        <f t="shared" si="348"/>
        <v>0</v>
      </c>
      <c r="G650" s="52">
        <f t="shared" si="348"/>
        <v>0</v>
      </c>
      <c r="H650" s="52">
        <f t="shared" si="348"/>
        <v>0</v>
      </c>
      <c r="I650" s="52">
        <f t="shared" si="348"/>
        <v>0</v>
      </c>
      <c r="J650" s="52">
        <f t="shared" si="348"/>
        <v>0</v>
      </c>
      <c r="K650" s="52">
        <f t="shared" si="348"/>
        <v>0</v>
      </c>
      <c r="L650" s="52">
        <f t="shared" si="348"/>
        <v>0</v>
      </c>
      <c r="M650" s="52">
        <f t="shared" si="348"/>
        <v>0</v>
      </c>
      <c r="N650" s="52">
        <f t="shared" si="348"/>
        <v>0</v>
      </c>
      <c r="O650" s="52">
        <f t="shared" si="348"/>
        <v>0</v>
      </c>
      <c r="P650" s="52">
        <f t="shared" si="348"/>
        <v>0</v>
      </c>
      <c r="Q650" s="52">
        <f t="shared" si="348"/>
        <v>0</v>
      </c>
      <c r="R650" s="52">
        <f t="shared" si="348"/>
        <v>0</v>
      </c>
      <c r="S650" s="52">
        <f t="shared" si="348"/>
        <v>0</v>
      </c>
      <c r="T650" s="52">
        <f t="shared" si="348"/>
        <v>0</v>
      </c>
      <c r="U650" s="52">
        <f t="shared" si="348"/>
        <v>0</v>
      </c>
      <c r="V650" s="52">
        <f t="shared" si="348"/>
        <v>0</v>
      </c>
      <c r="W650" s="52">
        <f t="shared" si="348"/>
        <v>0</v>
      </c>
      <c r="X650" s="52">
        <f t="shared" si="348"/>
        <v>0</v>
      </c>
      <c r="Y650" s="52">
        <f t="shared" si="348"/>
        <v>0</v>
      </c>
      <c r="Z650" s="52">
        <f t="shared" si="348"/>
        <v>0</v>
      </c>
      <c r="AA650" s="52">
        <f t="shared" si="348"/>
        <v>0</v>
      </c>
      <c r="AB650" s="52">
        <f t="shared" si="348"/>
        <v>0</v>
      </c>
      <c r="AC650" s="52">
        <f t="shared" si="348"/>
        <v>0</v>
      </c>
      <c r="AD650" s="52">
        <f t="shared" si="348"/>
        <v>0</v>
      </c>
      <c r="AE650" s="52">
        <f t="shared" si="348"/>
        <v>0</v>
      </c>
      <c r="AF650" s="52">
        <f t="shared" si="348"/>
        <v>0</v>
      </c>
      <c r="AG650" s="52">
        <f t="shared" si="348"/>
        <v>0</v>
      </c>
      <c r="AH650" s="52">
        <f t="shared" si="348"/>
        <v>0</v>
      </c>
      <c r="AI650" s="52">
        <f t="shared" si="348"/>
        <v>0</v>
      </c>
      <c r="AJ650" s="52">
        <f t="shared" si="348"/>
        <v>0</v>
      </c>
      <c r="AK650" s="52">
        <f t="shared" si="348"/>
        <v>0</v>
      </c>
      <c r="AL650" s="52">
        <f t="shared" si="348"/>
        <v>0</v>
      </c>
      <c r="AM650" s="52">
        <f t="shared" si="348"/>
        <v>0</v>
      </c>
      <c r="AN650" s="52">
        <f t="shared" si="348"/>
        <v>0</v>
      </c>
      <c r="AO650" s="52">
        <f t="shared" si="348"/>
        <v>0</v>
      </c>
      <c r="AP650" s="52">
        <f t="shared" si="348"/>
        <v>0</v>
      </c>
    </row>
    <row r="651" spans="1:42" x14ac:dyDescent="0.2">
      <c r="A651" s="17">
        <f>A650+1</f>
        <v>2</v>
      </c>
      <c r="B651" s="102">
        <f t="shared" si="347"/>
        <v>0</v>
      </c>
      <c r="C651" s="52">
        <f t="shared" si="348"/>
        <v>0</v>
      </c>
      <c r="D651" s="52">
        <f t="shared" si="348"/>
        <v>0</v>
      </c>
      <c r="E651" s="52">
        <f t="shared" si="348"/>
        <v>0</v>
      </c>
      <c r="F651" s="52">
        <f t="shared" si="348"/>
        <v>0</v>
      </c>
      <c r="G651" s="52">
        <f t="shared" si="348"/>
        <v>0</v>
      </c>
      <c r="H651" s="52">
        <f t="shared" si="348"/>
        <v>0</v>
      </c>
      <c r="I651" s="52">
        <f t="shared" si="348"/>
        <v>0</v>
      </c>
      <c r="J651" s="52">
        <f t="shared" si="348"/>
        <v>0</v>
      </c>
      <c r="K651" s="52">
        <f t="shared" si="348"/>
        <v>0</v>
      </c>
      <c r="L651" s="52">
        <f t="shared" si="348"/>
        <v>0</v>
      </c>
      <c r="M651" s="52">
        <f t="shared" si="348"/>
        <v>0</v>
      </c>
      <c r="N651" s="52">
        <f t="shared" si="348"/>
        <v>0</v>
      </c>
      <c r="O651" s="52">
        <f t="shared" si="348"/>
        <v>0</v>
      </c>
      <c r="P651" s="52">
        <f t="shared" si="348"/>
        <v>0</v>
      </c>
      <c r="Q651" s="52">
        <f t="shared" si="348"/>
        <v>0</v>
      </c>
      <c r="R651" s="52">
        <f t="shared" si="348"/>
        <v>0</v>
      </c>
      <c r="S651" s="52">
        <f t="shared" si="348"/>
        <v>0</v>
      </c>
      <c r="T651" s="52">
        <f t="shared" si="348"/>
        <v>0</v>
      </c>
      <c r="U651" s="52">
        <f t="shared" si="348"/>
        <v>0</v>
      </c>
      <c r="V651" s="52">
        <f t="shared" si="348"/>
        <v>0</v>
      </c>
      <c r="W651" s="52">
        <f t="shared" si="348"/>
        <v>0</v>
      </c>
      <c r="X651" s="52">
        <f t="shared" si="348"/>
        <v>0</v>
      </c>
      <c r="Y651" s="52">
        <f t="shared" si="348"/>
        <v>0</v>
      </c>
      <c r="Z651" s="52">
        <f t="shared" si="348"/>
        <v>0</v>
      </c>
      <c r="AA651" s="52">
        <f t="shared" si="348"/>
        <v>0</v>
      </c>
      <c r="AB651" s="52">
        <f t="shared" si="348"/>
        <v>0</v>
      </c>
      <c r="AC651" s="52">
        <f t="shared" si="348"/>
        <v>0</v>
      </c>
      <c r="AD651" s="52">
        <f t="shared" si="348"/>
        <v>0</v>
      </c>
      <c r="AE651" s="52">
        <f t="shared" si="348"/>
        <v>0</v>
      </c>
      <c r="AF651" s="52">
        <f t="shared" si="348"/>
        <v>0</v>
      </c>
      <c r="AG651" s="52">
        <f t="shared" si="348"/>
        <v>0</v>
      </c>
      <c r="AH651" s="52">
        <f t="shared" si="348"/>
        <v>0</v>
      </c>
      <c r="AI651" s="52">
        <f t="shared" si="348"/>
        <v>0</v>
      </c>
      <c r="AJ651" s="52">
        <f t="shared" si="348"/>
        <v>0</v>
      </c>
      <c r="AK651" s="52">
        <f t="shared" si="348"/>
        <v>0</v>
      </c>
      <c r="AL651" s="52">
        <f t="shared" si="348"/>
        <v>0</v>
      </c>
      <c r="AM651" s="52">
        <f t="shared" si="348"/>
        <v>0</v>
      </c>
      <c r="AN651" s="52">
        <f t="shared" si="348"/>
        <v>0</v>
      </c>
      <c r="AO651" s="52">
        <f t="shared" si="348"/>
        <v>0</v>
      </c>
      <c r="AP651" s="52">
        <f t="shared" si="348"/>
        <v>0</v>
      </c>
    </row>
    <row r="652" spans="1:42" x14ac:dyDescent="0.2">
      <c r="A652" s="17">
        <f t="shared" ref="A652:A659" si="349">A651+1</f>
        <v>3</v>
      </c>
      <c r="B652" s="102">
        <f t="shared" si="347"/>
        <v>0</v>
      </c>
      <c r="C652" s="52">
        <f t="shared" si="348"/>
        <v>0</v>
      </c>
      <c r="D652" s="52">
        <f t="shared" si="348"/>
        <v>0</v>
      </c>
      <c r="E652" s="52">
        <f t="shared" si="348"/>
        <v>0</v>
      </c>
      <c r="F652" s="52">
        <f t="shared" si="348"/>
        <v>0</v>
      </c>
      <c r="G652" s="52">
        <f t="shared" si="348"/>
        <v>0</v>
      </c>
      <c r="H652" s="52">
        <f t="shared" si="348"/>
        <v>0</v>
      </c>
      <c r="I652" s="52">
        <f t="shared" si="348"/>
        <v>0</v>
      </c>
      <c r="J652" s="52">
        <f t="shared" si="348"/>
        <v>0</v>
      </c>
      <c r="K652" s="52">
        <f t="shared" si="348"/>
        <v>0</v>
      </c>
      <c r="L652" s="52">
        <f t="shared" si="348"/>
        <v>0</v>
      </c>
      <c r="M652" s="52">
        <f t="shared" si="348"/>
        <v>0</v>
      </c>
      <c r="N652" s="52">
        <f t="shared" si="348"/>
        <v>0</v>
      </c>
      <c r="O652" s="52">
        <f t="shared" si="348"/>
        <v>0</v>
      </c>
      <c r="P652" s="52">
        <f t="shared" si="348"/>
        <v>0</v>
      </c>
      <c r="Q652" s="52">
        <f t="shared" si="348"/>
        <v>0</v>
      </c>
      <c r="R652" s="52">
        <f t="shared" si="348"/>
        <v>0</v>
      </c>
      <c r="S652" s="52">
        <f t="shared" si="348"/>
        <v>0</v>
      </c>
      <c r="T652" s="52">
        <f t="shared" si="348"/>
        <v>0</v>
      </c>
      <c r="U652" s="52">
        <f t="shared" si="348"/>
        <v>0</v>
      </c>
      <c r="V652" s="52">
        <f t="shared" si="348"/>
        <v>0</v>
      </c>
      <c r="W652" s="52">
        <f t="shared" si="348"/>
        <v>0</v>
      </c>
      <c r="X652" s="52">
        <f t="shared" si="348"/>
        <v>0</v>
      </c>
      <c r="Y652" s="52">
        <f t="shared" si="348"/>
        <v>0</v>
      </c>
      <c r="Z652" s="52">
        <f t="shared" si="348"/>
        <v>0</v>
      </c>
      <c r="AA652" s="52">
        <f t="shared" si="348"/>
        <v>0</v>
      </c>
      <c r="AB652" s="52">
        <f t="shared" si="348"/>
        <v>0</v>
      </c>
      <c r="AC652" s="52">
        <f t="shared" si="348"/>
        <v>0</v>
      </c>
      <c r="AD652" s="52">
        <f t="shared" si="348"/>
        <v>0</v>
      </c>
      <c r="AE652" s="52">
        <f t="shared" si="348"/>
        <v>0</v>
      </c>
      <c r="AF652" s="52">
        <f t="shared" si="348"/>
        <v>0</v>
      </c>
      <c r="AG652" s="52">
        <f t="shared" si="348"/>
        <v>0</v>
      </c>
      <c r="AH652" s="52">
        <f t="shared" si="348"/>
        <v>0</v>
      </c>
      <c r="AI652" s="52">
        <f t="shared" si="348"/>
        <v>0</v>
      </c>
      <c r="AJ652" s="52">
        <f t="shared" si="348"/>
        <v>0</v>
      </c>
      <c r="AK652" s="52">
        <f t="shared" si="348"/>
        <v>0</v>
      </c>
      <c r="AL652" s="52">
        <f t="shared" si="348"/>
        <v>0</v>
      </c>
      <c r="AM652" s="52">
        <f t="shared" si="348"/>
        <v>0</v>
      </c>
      <c r="AN652" s="52">
        <f t="shared" si="348"/>
        <v>0</v>
      </c>
      <c r="AO652" s="52">
        <f t="shared" si="348"/>
        <v>0</v>
      </c>
      <c r="AP652" s="52">
        <f t="shared" si="348"/>
        <v>0</v>
      </c>
    </row>
    <row r="653" spans="1:42" x14ac:dyDescent="0.2">
      <c r="A653" s="17">
        <f t="shared" si="349"/>
        <v>4</v>
      </c>
      <c r="B653" s="102">
        <f t="shared" si="347"/>
        <v>0</v>
      </c>
      <c r="C653" s="52">
        <f t="shared" si="348"/>
        <v>0</v>
      </c>
      <c r="D653" s="52">
        <f t="shared" si="348"/>
        <v>0</v>
      </c>
      <c r="E653" s="52">
        <f t="shared" si="348"/>
        <v>0</v>
      </c>
      <c r="F653" s="52">
        <f t="shared" si="348"/>
        <v>0</v>
      </c>
      <c r="G653" s="52">
        <f t="shared" si="348"/>
        <v>0</v>
      </c>
      <c r="H653" s="52">
        <f t="shared" si="348"/>
        <v>0</v>
      </c>
      <c r="I653" s="52">
        <f t="shared" si="348"/>
        <v>0</v>
      </c>
      <c r="J653" s="52">
        <f t="shared" si="348"/>
        <v>0</v>
      </c>
      <c r="K653" s="52">
        <f t="shared" si="348"/>
        <v>0</v>
      </c>
      <c r="L653" s="52">
        <f t="shared" si="348"/>
        <v>0</v>
      </c>
      <c r="M653" s="52">
        <f t="shared" si="348"/>
        <v>0</v>
      </c>
      <c r="N653" s="52">
        <f t="shared" si="348"/>
        <v>0</v>
      </c>
      <c r="O653" s="52">
        <f t="shared" si="348"/>
        <v>0</v>
      </c>
      <c r="P653" s="52">
        <f t="shared" si="348"/>
        <v>0</v>
      </c>
      <c r="Q653" s="52">
        <f t="shared" si="348"/>
        <v>0</v>
      </c>
      <c r="R653" s="52">
        <f t="shared" si="348"/>
        <v>0</v>
      </c>
      <c r="S653" s="52">
        <f t="shared" si="348"/>
        <v>0</v>
      </c>
      <c r="T653" s="52">
        <f t="shared" si="348"/>
        <v>0</v>
      </c>
      <c r="U653" s="52">
        <f t="shared" si="348"/>
        <v>0</v>
      </c>
      <c r="V653" s="52">
        <f t="shared" si="348"/>
        <v>0</v>
      </c>
      <c r="W653" s="52">
        <f t="shared" si="348"/>
        <v>0</v>
      </c>
      <c r="X653" s="52">
        <f t="shared" si="348"/>
        <v>0</v>
      </c>
      <c r="Y653" s="52">
        <f t="shared" si="348"/>
        <v>0</v>
      </c>
      <c r="Z653" s="52">
        <f t="shared" si="348"/>
        <v>0</v>
      </c>
      <c r="AA653" s="52">
        <f t="shared" si="348"/>
        <v>0</v>
      </c>
      <c r="AB653" s="52">
        <f t="shared" si="348"/>
        <v>0</v>
      </c>
      <c r="AC653" s="52">
        <f t="shared" si="348"/>
        <v>0</v>
      </c>
      <c r="AD653" s="52">
        <f t="shared" si="348"/>
        <v>0</v>
      </c>
      <c r="AE653" s="52">
        <f t="shared" si="348"/>
        <v>0</v>
      </c>
      <c r="AF653" s="52">
        <f t="shared" si="348"/>
        <v>0</v>
      </c>
      <c r="AG653" s="52">
        <f t="shared" si="348"/>
        <v>0</v>
      </c>
      <c r="AH653" s="52">
        <f t="shared" si="348"/>
        <v>0</v>
      </c>
      <c r="AI653" s="52">
        <f t="shared" si="348"/>
        <v>0</v>
      </c>
      <c r="AJ653" s="52">
        <f t="shared" si="348"/>
        <v>0</v>
      </c>
      <c r="AK653" s="52">
        <f t="shared" si="348"/>
        <v>0</v>
      </c>
      <c r="AL653" s="52">
        <f t="shared" si="348"/>
        <v>0</v>
      </c>
      <c r="AM653" s="52">
        <f t="shared" si="348"/>
        <v>0</v>
      </c>
      <c r="AN653" s="52">
        <f t="shared" si="348"/>
        <v>0</v>
      </c>
      <c r="AO653" s="52">
        <f t="shared" si="348"/>
        <v>0</v>
      </c>
      <c r="AP653" s="52">
        <f t="shared" si="348"/>
        <v>0</v>
      </c>
    </row>
    <row r="654" spans="1:42" x14ac:dyDescent="0.2">
      <c r="A654" s="17">
        <f t="shared" si="349"/>
        <v>5</v>
      </c>
      <c r="B654" s="102">
        <f t="shared" si="347"/>
        <v>0</v>
      </c>
      <c r="C654" s="52">
        <f t="shared" si="348"/>
        <v>0</v>
      </c>
      <c r="D654" s="52">
        <f t="shared" si="348"/>
        <v>0</v>
      </c>
      <c r="E654" s="52">
        <f t="shared" si="348"/>
        <v>0</v>
      </c>
      <c r="F654" s="52">
        <f t="shared" si="348"/>
        <v>0</v>
      </c>
      <c r="G654" s="52">
        <f t="shared" si="348"/>
        <v>0</v>
      </c>
      <c r="H654" s="52">
        <f t="shared" si="348"/>
        <v>0</v>
      </c>
      <c r="I654" s="52">
        <f t="shared" si="348"/>
        <v>0</v>
      </c>
      <c r="J654" s="52">
        <f t="shared" si="348"/>
        <v>0</v>
      </c>
      <c r="K654" s="52">
        <f t="shared" si="348"/>
        <v>0</v>
      </c>
      <c r="L654" s="52">
        <f t="shared" si="348"/>
        <v>0</v>
      </c>
      <c r="M654" s="52">
        <f t="shared" si="348"/>
        <v>0</v>
      </c>
      <c r="N654" s="52">
        <f t="shared" si="348"/>
        <v>0</v>
      </c>
      <c r="O654" s="52">
        <f t="shared" si="348"/>
        <v>0</v>
      </c>
      <c r="P654" s="52">
        <f t="shared" si="348"/>
        <v>0</v>
      </c>
      <c r="Q654" s="52">
        <f t="shared" si="348"/>
        <v>0</v>
      </c>
      <c r="R654" s="52">
        <f t="shared" si="348"/>
        <v>0</v>
      </c>
      <c r="S654" s="52">
        <f t="shared" si="348"/>
        <v>0</v>
      </c>
      <c r="T654" s="52">
        <f t="shared" si="348"/>
        <v>0</v>
      </c>
      <c r="U654" s="52">
        <f t="shared" si="348"/>
        <v>0</v>
      </c>
      <c r="V654" s="52">
        <f t="shared" si="348"/>
        <v>0</v>
      </c>
      <c r="W654" s="52">
        <f t="shared" si="348"/>
        <v>0</v>
      </c>
      <c r="X654" s="52">
        <f t="shared" si="348"/>
        <v>0</v>
      </c>
      <c r="Y654" s="52">
        <f t="shared" si="348"/>
        <v>0</v>
      </c>
      <c r="Z654" s="52">
        <f t="shared" si="348"/>
        <v>0</v>
      </c>
      <c r="AA654" s="52">
        <f t="shared" si="348"/>
        <v>0</v>
      </c>
      <c r="AB654" s="52">
        <f t="shared" si="348"/>
        <v>0</v>
      </c>
      <c r="AC654" s="52">
        <f t="shared" si="348"/>
        <v>0</v>
      </c>
      <c r="AD654" s="52">
        <f t="shared" si="348"/>
        <v>0</v>
      </c>
      <c r="AE654" s="52">
        <f t="shared" si="348"/>
        <v>0</v>
      </c>
      <c r="AF654" s="52">
        <f t="shared" si="348"/>
        <v>0</v>
      </c>
      <c r="AG654" s="52">
        <f t="shared" si="348"/>
        <v>0</v>
      </c>
      <c r="AH654" s="52">
        <f t="shared" si="348"/>
        <v>0</v>
      </c>
      <c r="AI654" s="52">
        <f t="shared" si="348"/>
        <v>0</v>
      </c>
      <c r="AJ654" s="52">
        <f t="shared" si="348"/>
        <v>0</v>
      </c>
      <c r="AK654" s="52">
        <f t="shared" si="348"/>
        <v>0</v>
      </c>
      <c r="AL654" s="52">
        <f t="shared" si="348"/>
        <v>0</v>
      </c>
      <c r="AM654" s="52">
        <f t="shared" si="348"/>
        <v>0</v>
      </c>
      <c r="AN654" s="52">
        <f t="shared" si="348"/>
        <v>0</v>
      </c>
      <c r="AO654" s="52">
        <f t="shared" si="348"/>
        <v>0</v>
      </c>
      <c r="AP654" s="52">
        <f t="shared" si="348"/>
        <v>0</v>
      </c>
    </row>
    <row r="655" spans="1:42" x14ac:dyDescent="0.2">
      <c r="A655" s="17">
        <f t="shared" si="349"/>
        <v>6</v>
      </c>
      <c r="B655" s="102">
        <f t="shared" si="347"/>
        <v>0</v>
      </c>
      <c r="C655" s="52">
        <f t="shared" si="348"/>
        <v>0</v>
      </c>
      <c r="D655" s="52">
        <f t="shared" si="348"/>
        <v>0</v>
      </c>
      <c r="E655" s="52">
        <f t="shared" si="348"/>
        <v>0</v>
      </c>
      <c r="F655" s="52">
        <f t="shared" si="348"/>
        <v>0</v>
      </c>
      <c r="G655" s="52">
        <f t="shared" si="348"/>
        <v>0</v>
      </c>
      <c r="H655" s="52">
        <f t="shared" si="348"/>
        <v>0</v>
      </c>
      <c r="I655" s="52">
        <f t="shared" si="348"/>
        <v>0</v>
      </c>
      <c r="J655" s="52">
        <f t="shared" si="348"/>
        <v>0</v>
      </c>
      <c r="K655" s="52">
        <f t="shared" si="348"/>
        <v>0</v>
      </c>
      <c r="L655" s="52">
        <f t="shared" si="348"/>
        <v>0</v>
      </c>
      <c r="M655" s="52">
        <f t="shared" si="348"/>
        <v>0</v>
      </c>
      <c r="N655" s="52">
        <f t="shared" si="348"/>
        <v>0</v>
      </c>
      <c r="O655" s="52">
        <f t="shared" si="348"/>
        <v>0</v>
      </c>
      <c r="P655" s="52">
        <f t="shared" si="348"/>
        <v>0</v>
      </c>
      <c r="Q655" s="52">
        <f t="shared" si="348"/>
        <v>0</v>
      </c>
      <c r="R655" s="52">
        <f t="shared" si="348"/>
        <v>0</v>
      </c>
      <c r="S655" s="52">
        <f t="shared" si="348"/>
        <v>0</v>
      </c>
      <c r="T655" s="52">
        <f t="shared" si="348"/>
        <v>0</v>
      </c>
      <c r="U655" s="52">
        <f t="shared" si="348"/>
        <v>0</v>
      </c>
      <c r="V655" s="52">
        <f t="shared" si="348"/>
        <v>0</v>
      </c>
      <c r="W655" s="52">
        <f t="shared" si="348"/>
        <v>0</v>
      </c>
      <c r="X655" s="52">
        <f t="shared" si="348"/>
        <v>0</v>
      </c>
      <c r="Y655" s="52">
        <f t="shared" si="348"/>
        <v>0</v>
      </c>
      <c r="Z655" s="52">
        <f t="shared" si="348"/>
        <v>0</v>
      </c>
      <c r="AA655" s="52">
        <f t="shared" si="348"/>
        <v>0</v>
      </c>
      <c r="AB655" s="52">
        <f t="shared" si="348"/>
        <v>0</v>
      </c>
      <c r="AC655" s="52">
        <f t="shared" si="348"/>
        <v>0</v>
      </c>
      <c r="AD655" s="52">
        <f t="shared" si="348"/>
        <v>0</v>
      </c>
      <c r="AE655" s="52">
        <f t="shared" si="348"/>
        <v>0</v>
      </c>
      <c r="AF655" s="52">
        <f t="shared" si="348"/>
        <v>0</v>
      </c>
      <c r="AG655" s="52">
        <f t="shared" si="348"/>
        <v>0</v>
      </c>
      <c r="AH655" s="52">
        <f t="shared" si="348"/>
        <v>0</v>
      </c>
      <c r="AI655" s="52">
        <f t="shared" si="348"/>
        <v>0</v>
      </c>
      <c r="AJ655" s="52">
        <f t="shared" si="348"/>
        <v>0</v>
      </c>
      <c r="AK655" s="52">
        <f t="shared" si="348"/>
        <v>0</v>
      </c>
      <c r="AL655" s="52">
        <f t="shared" si="348"/>
        <v>0</v>
      </c>
      <c r="AM655" s="52">
        <f t="shared" si="348"/>
        <v>0</v>
      </c>
      <c r="AN655" s="52">
        <f t="shared" si="348"/>
        <v>0</v>
      </c>
      <c r="AO655" s="52">
        <f t="shared" si="348"/>
        <v>0</v>
      </c>
      <c r="AP655" s="52">
        <f t="shared" si="348"/>
        <v>0</v>
      </c>
    </row>
    <row r="656" spans="1:42" x14ac:dyDescent="0.2">
      <c r="A656" s="17">
        <f t="shared" si="349"/>
        <v>7</v>
      </c>
      <c r="B656" s="102">
        <f t="shared" si="347"/>
        <v>0</v>
      </c>
      <c r="C656" s="52">
        <f t="shared" si="348"/>
        <v>0</v>
      </c>
      <c r="D656" s="52">
        <f t="shared" si="348"/>
        <v>0</v>
      </c>
      <c r="E656" s="52">
        <f t="shared" si="348"/>
        <v>0</v>
      </c>
      <c r="F656" s="52">
        <f t="shared" si="348"/>
        <v>0</v>
      </c>
      <c r="G656" s="52">
        <f t="shared" si="348"/>
        <v>0</v>
      </c>
      <c r="H656" s="52">
        <f t="shared" si="348"/>
        <v>0</v>
      </c>
      <c r="I656" s="52">
        <f t="shared" si="348"/>
        <v>0</v>
      </c>
      <c r="J656" s="52">
        <f t="shared" si="348"/>
        <v>0</v>
      </c>
      <c r="K656" s="52">
        <f t="shared" si="348"/>
        <v>0</v>
      </c>
      <c r="L656" s="52">
        <f t="shared" si="348"/>
        <v>0</v>
      </c>
      <c r="M656" s="52">
        <f t="shared" si="348"/>
        <v>0</v>
      </c>
      <c r="N656" s="52">
        <f t="shared" si="348"/>
        <v>0</v>
      </c>
      <c r="O656" s="52">
        <f t="shared" si="348"/>
        <v>0</v>
      </c>
      <c r="P656" s="52">
        <f t="shared" si="348"/>
        <v>0</v>
      </c>
      <c r="Q656" s="52">
        <f t="shared" si="348"/>
        <v>0</v>
      </c>
      <c r="R656" s="52">
        <f t="shared" ref="R656:AP656" si="350">IF(R$2&gt;AnalysisPeriod,0,IF(R$2=MMFrequency3*$A656,MMCost3*CapacityDC*1000*(1+Inflation)^Q$2,0))</f>
        <v>0</v>
      </c>
      <c r="S656" s="52">
        <f t="shared" si="350"/>
        <v>0</v>
      </c>
      <c r="T656" s="52">
        <f t="shared" si="350"/>
        <v>0</v>
      </c>
      <c r="U656" s="52">
        <f t="shared" si="350"/>
        <v>0</v>
      </c>
      <c r="V656" s="52">
        <f t="shared" si="350"/>
        <v>0</v>
      </c>
      <c r="W656" s="52">
        <f t="shared" si="350"/>
        <v>0</v>
      </c>
      <c r="X656" s="52">
        <f t="shared" si="350"/>
        <v>0</v>
      </c>
      <c r="Y656" s="52">
        <f t="shared" si="350"/>
        <v>0</v>
      </c>
      <c r="Z656" s="52">
        <f t="shared" si="350"/>
        <v>0</v>
      </c>
      <c r="AA656" s="52">
        <f t="shared" si="350"/>
        <v>0</v>
      </c>
      <c r="AB656" s="52">
        <f t="shared" si="350"/>
        <v>0</v>
      </c>
      <c r="AC656" s="52">
        <f t="shared" si="350"/>
        <v>0</v>
      </c>
      <c r="AD656" s="52">
        <f t="shared" si="350"/>
        <v>0</v>
      </c>
      <c r="AE656" s="52">
        <f t="shared" si="350"/>
        <v>0</v>
      </c>
      <c r="AF656" s="52">
        <f t="shared" si="350"/>
        <v>0</v>
      </c>
      <c r="AG656" s="52">
        <f t="shared" si="350"/>
        <v>0</v>
      </c>
      <c r="AH656" s="52">
        <f t="shared" si="350"/>
        <v>0</v>
      </c>
      <c r="AI656" s="52">
        <f t="shared" si="350"/>
        <v>0</v>
      </c>
      <c r="AJ656" s="52">
        <f t="shared" si="350"/>
        <v>0</v>
      </c>
      <c r="AK656" s="52">
        <f t="shared" si="350"/>
        <v>0</v>
      </c>
      <c r="AL656" s="52">
        <f t="shared" si="350"/>
        <v>0</v>
      </c>
      <c r="AM656" s="52">
        <f t="shared" si="350"/>
        <v>0</v>
      </c>
      <c r="AN656" s="52">
        <f t="shared" si="350"/>
        <v>0</v>
      </c>
      <c r="AO656" s="52">
        <f t="shared" si="350"/>
        <v>0</v>
      </c>
      <c r="AP656" s="52">
        <f t="shared" si="350"/>
        <v>0</v>
      </c>
    </row>
    <row r="657" spans="1:42" x14ac:dyDescent="0.2">
      <c r="A657" s="17">
        <f t="shared" si="349"/>
        <v>8</v>
      </c>
      <c r="B657" s="102">
        <f t="shared" si="347"/>
        <v>0</v>
      </c>
      <c r="C657" s="52">
        <f t="shared" ref="C657:AP659" si="351">IF(C$2&gt;AnalysisPeriod,0,IF(C$2=MMFrequency3*$A657,MMCost3*CapacityDC*1000*(1+Inflation)^B$2,0))</f>
        <v>0</v>
      </c>
      <c r="D657" s="52">
        <f t="shared" si="351"/>
        <v>0</v>
      </c>
      <c r="E657" s="52">
        <f t="shared" si="351"/>
        <v>0</v>
      </c>
      <c r="F657" s="52">
        <f t="shared" si="351"/>
        <v>0</v>
      </c>
      <c r="G657" s="52">
        <f t="shared" si="351"/>
        <v>0</v>
      </c>
      <c r="H657" s="52">
        <f t="shared" si="351"/>
        <v>0</v>
      </c>
      <c r="I657" s="52">
        <f t="shared" si="351"/>
        <v>0</v>
      </c>
      <c r="J657" s="52">
        <f t="shared" si="351"/>
        <v>0</v>
      </c>
      <c r="K657" s="52">
        <f t="shared" si="351"/>
        <v>0</v>
      </c>
      <c r="L657" s="52">
        <f t="shared" si="351"/>
        <v>0</v>
      </c>
      <c r="M657" s="52">
        <f t="shared" si="351"/>
        <v>0</v>
      </c>
      <c r="N657" s="52">
        <f t="shared" si="351"/>
        <v>0</v>
      </c>
      <c r="O657" s="52">
        <f t="shared" si="351"/>
        <v>0</v>
      </c>
      <c r="P657" s="52">
        <f t="shared" si="351"/>
        <v>0</v>
      </c>
      <c r="Q657" s="52">
        <f t="shared" si="351"/>
        <v>0</v>
      </c>
      <c r="R657" s="52">
        <f t="shared" si="351"/>
        <v>0</v>
      </c>
      <c r="S657" s="52">
        <f t="shared" si="351"/>
        <v>0</v>
      </c>
      <c r="T657" s="52">
        <f t="shared" si="351"/>
        <v>0</v>
      </c>
      <c r="U657" s="52">
        <f t="shared" si="351"/>
        <v>0</v>
      </c>
      <c r="V657" s="52">
        <f t="shared" si="351"/>
        <v>0</v>
      </c>
      <c r="W657" s="52">
        <f t="shared" si="351"/>
        <v>0</v>
      </c>
      <c r="X657" s="52">
        <f t="shared" si="351"/>
        <v>0</v>
      </c>
      <c r="Y657" s="52">
        <f t="shared" si="351"/>
        <v>0</v>
      </c>
      <c r="Z657" s="52">
        <f t="shared" si="351"/>
        <v>0</v>
      </c>
      <c r="AA657" s="52">
        <f t="shared" si="351"/>
        <v>0</v>
      </c>
      <c r="AB657" s="52">
        <f t="shared" si="351"/>
        <v>0</v>
      </c>
      <c r="AC657" s="52">
        <f t="shared" si="351"/>
        <v>0</v>
      </c>
      <c r="AD657" s="52">
        <f t="shared" si="351"/>
        <v>0</v>
      </c>
      <c r="AE657" s="52">
        <f t="shared" si="351"/>
        <v>0</v>
      </c>
      <c r="AF657" s="52">
        <f t="shared" si="351"/>
        <v>0</v>
      </c>
      <c r="AG657" s="52">
        <f t="shared" si="351"/>
        <v>0</v>
      </c>
      <c r="AH657" s="52">
        <f t="shared" si="351"/>
        <v>0</v>
      </c>
      <c r="AI657" s="52">
        <f t="shared" si="351"/>
        <v>0</v>
      </c>
      <c r="AJ657" s="52">
        <f t="shared" si="351"/>
        <v>0</v>
      </c>
      <c r="AK657" s="52">
        <f t="shared" si="351"/>
        <v>0</v>
      </c>
      <c r="AL657" s="52">
        <f t="shared" si="351"/>
        <v>0</v>
      </c>
      <c r="AM657" s="52">
        <f t="shared" si="351"/>
        <v>0</v>
      </c>
      <c r="AN657" s="52">
        <f t="shared" si="351"/>
        <v>0</v>
      </c>
      <c r="AO657" s="52">
        <f t="shared" si="351"/>
        <v>0</v>
      </c>
      <c r="AP657" s="52">
        <f t="shared" si="351"/>
        <v>0</v>
      </c>
    </row>
    <row r="658" spans="1:42" x14ac:dyDescent="0.2">
      <c r="A658" s="17">
        <f>A657+1</f>
        <v>9</v>
      </c>
      <c r="B658" s="102">
        <f t="shared" si="347"/>
        <v>0</v>
      </c>
      <c r="C658" s="52">
        <f t="shared" si="351"/>
        <v>0</v>
      </c>
      <c r="D658" s="52">
        <f t="shared" si="351"/>
        <v>0</v>
      </c>
      <c r="E658" s="52">
        <f t="shared" si="351"/>
        <v>0</v>
      </c>
      <c r="F658" s="52">
        <f t="shared" si="351"/>
        <v>0</v>
      </c>
      <c r="G658" s="52">
        <f t="shared" si="351"/>
        <v>0</v>
      </c>
      <c r="H658" s="52">
        <f t="shared" si="351"/>
        <v>0</v>
      </c>
      <c r="I658" s="52">
        <f t="shared" si="351"/>
        <v>0</v>
      </c>
      <c r="J658" s="52">
        <f t="shared" si="351"/>
        <v>0</v>
      </c>
      <c r="K658" s="52">
        <f t="shared" si="351"/>
        <v>0</v>
      </c>
      <c r="L658" s="52">
        <f t="shared" si="351"/>
        <v>0</v>
      </c>
      <c r="M658" s="52">
        <f t="shared" si="351"/>
        <v>0</v>
      </c>
      <c r="N658" s="52">
        <f t="shared" si="351"/>
        <v>0</v>
      </c>
      <c r="O658" s="52">
        <f t="shared" si="351"/>
        <v>0</v>
      </c>
      <c r="P658" s="52">
        <f t="shared" si="351"/>
        <v>0</v>
      </c>
      <c r="Q658" s="52">
        <f t="shared" si="351"/>
        <v>0</v>
      </c>
      <c r="R658" s="52">
        <f t="shared" si="351"/>
        <v>0</v>
      </c>
      <c r="S658" s="52">
        <f t="shared" si="351"/>
        <v>0</v>
      </c>
      <c r="T658" s="52">
        <f t="shared" si="351"/>
        <v>0</v>
      </c>
      <c r="U658" s="52">
        <f t="shared" si="351"/>
        <v>0</v>
      </c>
      <c r="V658" s="52">
        <f t="shared" si="351"/>
        <v>0</v>
      </c>
      <c r="W658" s="52">
        <f t="shared" si="351"/>
        <v>0</v>
      </c>
      <c r="X658" s="52">
        <f t="shared" si="351"/>
        <v>0</v>
      </c>
      <c r="Y658" s="52">
        <f t="shared" si="351"/>
        <v>0</v>
      </c>
      <c r="Z658" s="52">
        <f t="shared" si="351"/>
        <v>0</v>
      </c>
      <c r="AA658" s="52">
        <f t="shared" si="351"/>
        <v>0</v>
      </c>
      <c r="AB658" s="52">
        <f t="shared" si="351"/>
        <v>0</v>
      </c>
      <c r="AC658" s="52">
        <f t="shared" si="351"/>
        <v>0</v>
      </c>
      <c r="AD658" s="52">
        <f t="shared" si="351"/>
        <v>0</v>
      </c>
      <c r="AE658" s="52">
        <f t="shared" si="351"/>
        <v>0</v>
      </c>
      <c r="AF658" s="52">
        <f t="shared" si="351"/>
        <v>0</v>
      </c>
      <c r="AG658" s="52">
        <f t="shared" si="351"/>
        <v>0</v>
      </c>
      <c r="AH658" s="52">
        <f t="shared" si="351"/>
        <v>0</v>
      </c>
      <c r="AI658" s="52">
        <f t="shared" si="351"/>
        <v>0</v>
      </c>
      <c r="AJ658" s="52">
        <f t="shared" si="351"/>
        <v>0</v>
      </c>
      <c r="AK658" s="52">
        <f t="shared" si="351"/>
        <v>0</v>
      </c>
      <c r="AL658" s="52">
        <f t="shared" si="351"/>
        <v>0</v>
      </c>
      <c r="AM658" s="52">
        <f t="shared" si="351"/>
        <v>0</v>
      </c>
      <c r="AN658" s="52">
        <f t="shared" si="351"/>
        <v>0</v>
      </c>
      <c r="AO658" s="52">
        <f t="shared" si="351"/>
        <v>0</v>
      </c>
      <c r="AP658" s="52">
        <f t="shared" si="351"/>
        <v>0</v>
      </c>
    </row>
    <row r="659" spans="1:42" x14ac:dyDescent="0.2">
      <c r="A659" s="17">
        <f t="shared" si="349"/>
        <v>10</v>
      </c>
      <c r="B659" s="102">
        <f t="shared" si="347"/>
        <v>0</v>
      </c>
      <c r="C659" s="53">
        <f t="shared" si="351"/>
        <v>0</v>
      </c>
      <c r="D659" s="53">
        <f t="shared" si="351"/>
        <v>0</v>
      </c>
      <c r="E659" s="53">
        <f t="shared" si="351"/>
        <v>0</v>
      </c>
      <c r="F659" s="53">
        <f t="shared" si="351"/>
        <v>0</v>
      </c>
      <c r="G659" s="53">
        <f t="shared" si="351"/>
        <v>0</v>
      </c>
      <c r="H659" s="53">
        <f t="shared" si="351"/>
        <v>0</v>
      </c>
      <c r="I659" s="53">
        <f t="shared" si="351"/>
        <v>0</v>
      </c>
      <c r="J659" s="53">
        <f t="shared" si="351"/>
        <v>0</v>
      </c>
      <c r="K659" s="53">
        <f t="shared" si="351"/>
        <v>0</v>
      </c>
      <c r="L659" s="53">
        <f t="shared" si="351"/>
        <v>0</v>
      </c>
      <c r="M659" s="53">
        <f t="shared" si="351"/>
        <v>0</v>
      </c>
      <c r="N659" s="53">
        <f t="shared" si="351"/>
        <v>0</v>
      </c>
      <c r="O659" s="53">
        <f t="shared" si="351"/>
        <v>0</v>
      </c>
      <c r="P659" s="53">
        <f t="shared" si="351"/>
        <v>0</v>
      </c>
      <c r="Q659" s="53">
        <f t="shared" si="351"/>
        <v>0</v>
      </c>
      <c r="R659" s="53">
        <f t="shared" si="351"/>
        <v>0</v>
      </c>
      <c r="S659" s="53">
        <f t="shared" si="351"/>
        <v>0</v>
      </c>
      <c r="T659" s="53">
        <f t="shared" si="351"/>
        <v>0</v>
      </c>
      <c r="U659" s="53">
        <f t="shared" si="351"/>
        <v>0</v>
      </c>
      <c r="V659" s="53">
        <f t="shared" si="351"/>
        <v>0</v>
      </c>
      <c r="W659" s="53">
        <f t="shared" si="351"/>
        <v>0</v>
      </c>
      <c r="X659" s="53">
        <f t="shared" si="351"/>
        <v>0</v>
      </c>
      <c r="Y659" s="53">
        <f t="shared" si="351"/>
        <v>0</v>
      </c>
      <c r="Z659" s="53">
        <f t="shared" si="351"/>
        <v>0</v>
      </c>
      <c r="AA659" s="53">
        <f t="shared" si="351"/>
        <v>0</v>
      </c>
      <c r="AB659" s="53">
        <f t="shared" si="351"/>
        <v>0</v>
      </c>
      <c r="AC659" s="53">
        <f t="shared" si="351"/>
        <v>0</v>
      </c>
      <c r="AD659" s="53">
        <f t="shared" si="351"/>
        <v>0</v>
      </c>
      <c r="AE659" s="53">
        <f t="shared" si="351"/>
        <v>0</v>
      </c>
      <c r="AF659" s="53">
        <f t="shared" si="351"/>
        <v>0</v>
      </c>
      <c r="AG659" s="53">
        <f t="shared" si="351"/>
        <v>0</v>
      </c>
      <c r="AH659" s="53">
        <f t="shared" si="351"/>
        <v>0</v>
      </c>
      <c r="AI659" s="53">
        <f t="shared" si="351"/>
        <v>0</v>
      </c>
      <c r="AJ659" s="53">
        <f t="shared" si="351"/>
        <v>0</v>
      </c>
      <c r="AK659" s="53">
        <f t="shared" si="351"/>
        <v>0</v>
      </c>
      <c r="AL659" s="53">
        <f t="shared" si="351"/>
        <v>0</v>
      </c>
      <c r="AM659" s="53">
        <f t="shared" si="351"/>
        <v>0</v>
      </c>
      <c r="AN659" s="53">
        <f t="shared" si="351"/>
        <v>0</v>
      </c>
      <c r="AO659" s="53">
        <f t="shared" si="351"/>
        <v>0</v>
      </c>
      <c r="AP659" s="53">
        <f t="shared" si="351"/>
        <v>0</v>
      </c>
    </row>
    <row r="660" spans="1:42" x14ac:dyDescent="0.2">
      <c r="A660" s="80" t="s">
        <v>23</v>
      </c>
      <c r="B660" s="52"/>
      <c r="C660" s="39">
        <f>SUM(C650:C659)</f>
        <v>0</v>
      </c>
      <c r="D660" s="39">
        <f t="shared" ref="D660:AP660" si="352">SUM(D650:D659)</f>
        <v>0</v>
      </c>
      <c r="E660" s="39">
        <f t="shared" si="352"/>
        <v>0</v>
      </c>
      <c r="F660" s="39">
        <f t="shared" si="352"/>
        <v>0</v>
      </c>
      <c r="G660" s="39">
        <f t="shared" si="352"/>
        <v>0</v>
      </c>
      <c r="H660" s="39">
        <f t="shared" si="352"/>
        <v>0</v>
      </c>
      <c r="I660" s="39">
        <f t="shared" si="352"/>
        <v>0</v>
      </c>
      <c r="J660" s="39">
        <f t="shared" si="352"/>
        <v>0</v>
      </c>
      <c r="K660" s="39">
        <f t="shared" si="352"/>
        <v>0</v>
      </c>
      <c r="L660" s="39">
        <f t="shared" si="352"/>
        <v>0</v>
      </c>
      <c r="M660" s="39">
        <f t="shared" si="352"/>
        <v>0</v>
      </c>
      <c r="N660" s="39">
        <f t="shared" si="352"/>
        <v>0</v>
      </c>
      <c r="O660" s="39">
        <f t="shared" si="352"/>
        <v>0</v>
      </c>
      <c r="P660" s="39">
        <f t="shared" si="352"/>
        <v>0</v>
      </c>
      <c r="Q660" s="39">
        <f t="shared" si="352"/>
        <v>0</v>
      </c>
      <c r="R660" s="39">
        <f t="shared" si="352"/>
        <v>0</v>
      </c>
      <c r="S660" s="39">
        <f t="shared" si="352"/>
        <v>0</v>
      </c>
      <c r="T660" s="39">
        <f t="shared" si="352"/>
        <v>0</v>
      </c>
      <c r="U660" s="39">
        <f t="shared" si="352"/>
        <v>0</v>
      </c>
      <c r="V660" s="39">
        <f t="shared" si="352"/>
        <v>0</v>
      </c>
      <c r="W660" s="39">
        <f t="shared" si="352"/>
        <v>0</v>
      </c>
      <c r="X660" s="39">
        <f t="shared" si="352"/>
        <v>0</v>
      </c>
      <c r="Y660" s="39">
        <f t="shared" si="352"/>
        <v>0</v>
      </c>
      <c r="Z660" s="39">
        <f t="shared" si="352"/>
        <v>0</v>
      </c>
      <c r="AA660" s="39">
        <f t="shared" si="352"/>
        <v>0</v>
      </c>
      <c r="AB660" s="39">
        <f t="shared" si="352"/>
        <v>0</v>
      </c>
      <c r="AC660" s="39">
        <f t="shared" si="352"/>
        <v>0</v>
      </c>
      <c r="AD660" s="39">
        <f t="shared" si="352"/>
        <v>0</v>
      </c>
      <c r="AE660" s="39">
        <f t="shared" si="352"/>
        <v>0</v>
      </c>
      <c r="AF660" s="39">
        <f t="shared" si="352"/>
        <v>0</v>
      </c>
      <c r="AG660" s="39">
        <f t="shared" si="352"/>
        <v>0</v>
      </c>
      <c r="AH660" s="39">
        <f t="shared" si="352"/>
        <v>0</v>
      </c>
      <c r="AI660" s="39">
        <f t="shared" si="352"/>
        <v>0</v>
      </c>
      <c r="AJ660" s="39">
        <f t="shared" si="352"/>
        <v>0</v>
      </c>
      <c r="AK660" s="39">
        <f t="shared" si="352"/>
        <v>0</v>
      </c>
      <c r="AL660" s="39">
        <f t="shared" si="352"/>
        <v>0</v>
      </c>
      <c r="AM660" s="39">
        <f t="shared" si="352"/>
        <v>0</v>
      </c>
      <c r="AN660" s="39">
        <f t="shared" si="352"/>
        <v>0</v>
      </c>
      <c r="AO660" s="39">
        <f t="shared" si="352"/>
        <v>0</v>
      </c>
      <c r="AP660" s="39">
        <f t="shared" si="352"/>
        <v>0</v>
      </c>
    </row>
    <row r="661" spans="1:42" x14ac:dyDescent="0.2">
      <c r="A661" s="17" t="s">
        <v>118</v>
      </c>
      <c r="B661" s="39"/>
      <c r="C661" s="39"/>
      <c r="D661" s="39"/>
      <c r="E661" s="39"/>
      <c r="F661" s="39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52"/>
      <c r="AE661" s="52"/>
      <c r="AF661" s="52"/>
      <c r="AG661" s="52"/>
      <c r="AH661" s="52"/>
      <c r="AI661" s="52"/>
      <c r="AJ661" s="52"/>
      <c r="AK661" s="52"/>
      <c r="AL661" s="52"/>
      <c r="AM661" s="52"/>
      <c r="AN661" s="52"/>
      <c r="AO661" s="52"/>
      <c r="AP661" s="52"/>
    </row>
    <row r="662" spans="1:42" x14ac:dyDescent="0.2">
      <c r="A662" s="17">
        <v>1</v>
      </c>
      <c r="B662" s="102">
        <f t="shared" ref="B662:B671" si="353">SUM(C662:AP662)</f>
        <v>0</v>
      </c>
      <c r="C662" s="52">
        <f t="shared" ref="C662:AP662" si="354">IF(C$2&lt;=MMFrequency3*$A$650,$B$650/(MMFrequency3),0)</f>
        <v>0</v>
      </c>
      <c r="D662" s="52">
        <f t="shared" si="354"/>
        <v>0</v>
      </c>
      <c r="E662" s="52">
        <f t="shared" si="354"/>
        <v>0</v>
      </c>
      <c r="F662" s="52">
        <f t="shared" si="354"/>
        <v>0</v>
      </c>
      <c r="G662" s="52">
        <f t="shared" si="354"/>
        <v>0</v>
      </c>
      <c r="H662" s="52">
        <f t="shared" si="354"/>
        <v>0</v>
      </c>
      <c r="I662" s="52">
        <f t="shared" si="354"/>
        <v>0</v>
      </c>
      <c r="J662" s="52">
        <f t="shared" si="354"/>
        <v>0</v>
      </c>
      <c r="K662" s="52">
        <f t="shared" si="354"/>
        <v>0</v>
      </c>
      <c r="L662" s="52">
        <f t="shared" si="354"/>
        <v>0</v>
      </c>
      <c r="M662" s="52">
        <f t="shared" si="354"/>
        <v>0</v>
      </c>
      <c r="N662" s="52">
        <f t="shared" si="354"/>
        <v>0</v>
      </c>
      <c r="O662" s="52">
        <f t="shared" si="354"/>
        <v>0</v>
      </c>
      <c r="P662" s="52">
        <f t="shared" si="354"/>
        <v>0</v>
      </c>
      <c r="Q662" s="52">
        <f t="shared" si="354"/>
        <v>0</v>
      </c>
      <c r="R662" s="52">
        <f t="shared" si="354"/>
        <v>0</v>
      </c>
      <c r="S662" s="52">
        <f t="shared" si="354"/>
        <v>0</v>
      </c>
      <c r="T662" s="52">
        <f t="shared" si="354"/>
        <v>0</v>
      </c>
      <c r="U662" s="52">
        <f t="shared" si="354"/>
        <v>0</v>
      </c>
      <c r="V662" s="52">
        <f t="shared" si="354"/>
        <v>0</v>
      </c>
      <c r="W662" s="52">
        <f t="shared" si="354"/>
        <v>0</v>
      </c>
      <c r="X662" s="52">
        <f t="shared" si="354"/>
        <v>0</v>
      </c>
      <c r="Y662" s="52">
        <f t="shared" si="354"/>
        <v>0</v>
      </c>
      <c r="Z662" s="52">
        <f t="shared" si="354"/>
        <v>0</v>
      </c>
      <c r="AA662" s="52">
        <f t="shared" si="354"/>
        <v>0</v>
      </c>
      <c r="AB662" s="52">
        <f t="shared" si="354"/>
        <v>0</v>
      </c>
      <c r="AC662" s="52">
        <f t="shared" si="354"/>
        <v>0</v>
      </c>
      <c r="AD662" s="52">
        <f t="shared" si="354"/>
        <v>0</v>
      </c>
      <c r="AE662" s="52">
        <f t="shared" si="354"/>
        <v>0</v>
      </c>
      <c r="AF662" s="52">
        <f t="shared" si="354"/>
        <v>0</v>
      </c>
      <c r="AG662" s="52">
        <f t="shared" si="354"/>
        <v>0</v>
      </c>
      <c r="AH662" s="52">
        <f t="shared" si="354"/>
        <v>0</v>
      </c>
      <c r="AI662" s="52">
        <f t="shared" si="354"/>
        <v>0</v>
      </c>
      <c r="AJ662" s="52">
        <f t="shared" si="354"/>
        <v>0</v>
      </c>
      <c r="AK662" s="52">
        <f t="shared" si="354"/>
        <v>0</v>
      </c>
      <c r="AL662" s="52">
        <f t="shared" si="354"/>
        <v>0</v>
      </c>
      <c r="AM662" s="52">
        <f t="shared" si="354"/>
        <v>0</v>
      </c>
      <c r="AN662" s="52">
        <f t="shared" si="354"/>
        <v>0</v>
      </c>
      <c r="AO662" s="52">
        <f t="shared" si="354"/>
        <v>0</v>
      </c>
      <c r="AP662" s="52">
        <f t="shared" si="354"/>
        <v>0</v>
      </c>
    </row>
    <row r="663" spans="1:42" x14ac:dyDescent="0.2">
      <c r="A663" s="17">
        <f>A662+1</f>
        <v>2</v>
      </c>
      <c r="B663" s="102">
        <f t="shared" si="353"/>
        <v>0</v>
      </c>
      <c r="C663" s="52">
        <f t="shared" ref="C663:AP669" si="355">IF(AND(C$2&gt;MMFrequency3*$A650,C$2&lt;=MMFrequency3*$A651),$B651/(MMFrequency3),0)</f>
        <v>0</v>
      </c>
      <c r="D663" s="52">
        <f t="shared" si="355"/>
        <v>0</v>
      </c>
      <c r="E663" s="52">
        <f t="shared" si="355"/>
        <v>0</v>
      </c>
      <c r="F663" s="52">
        <f t="shared" si="355"/>
        <v>0</v>
      </c>
      <c r="G663" s="52">
        <f t="shared" si="355"/>
        <v>0</v>
      </c>
      <c r="H663" s="52">
        <f t="shared" si="355"/>
        <v>0</v>
      </c>
      <c r="I663" s="52">
        <f t="shared" si="355"/>
        <v>0</v>
      </c>
      <c r="J663" s="52">
        <f t="shared" si="355"/>
        <v>0</v>
      </c>
      <c r="K663" s="52">
        <f t="shared" si="355"/>
        <v>0</v>
      </c>
      <c r="L663" s="52">
        <f t="shared" si="355"/>
        <v>0</v>
      </c>
      <c r="M663" s="52">
        <f t="shared" si="355"/>
        <v>0</v>
      </c>
      <c r="N663" s="52">
        <f t="shared" si="355"/>
        <v>0</v>
      </c>
      <c r="O663" s="52">
        <f t="shared" si="355"/>
        <v>0</v>
      </c>
      <c r="P663" s="52">
        <f t="shared" si="355"/>
        <v>0</v>
      </c>
      <c r="Q663" s="52">
        <f t="shared" si="355"/>
        <v>0</v>
      </c>
      <c r="R663" s="52">
        <f t="shared" si="355"/>
        <v>0</v>
      </c>
      <c r="S663" s="52">
        <f t="shared" si="355"/>
        <v>0</v>
      </c>
      <c r="T663" s="52">
        <f t="shared" si="355"/>
        <v>0</v>
      </c>
      <c r="U663" s="52">
        <f t="shared" si="355"/>
        <v>0</v>
      </c>
      <c r="V663" s="52">
        <f t="shared" si="355"/>
        <v>0</v>
      </c>
      <c r="W663" s="52">
        <f t="shared" si="355"/>
        <v>0</v>
      </c>
      <c r="X663" s="52">
        <f t="shared" si="355"/>
        <v>0</v>
      </c>
      <c r="Y663" s="52">
        <f t="shared" si="355"/>
        <v>0</v>
      </c>
      <c r="Z663" s="52">
        <f t="shared" si="355"/>
        <v>0</v>
      </c>
      <c r="AA663" s="52">
        <f t="shared" si="355"/>
        <v>0</v>
      </c>
      <c r="AB663" s="52">
        <f t="shared" si="355"/>
        <v>0</v>
      </c>
      <c r="AC663" s="52">
        <f t="shared" si="355"/>
        <v>0</v>
      </c>
      <c r="AD663" s="52">
        <f t="shared" si="355"/>
        <v>0</v>
      </c>
      <c r="AE663" s="52">
        <f t="shared" si="355"/>
        <v>0</v>
      </c>
      <c r="AF663" s="52">
        <f t="shared" si="355"/>
        <v>0</v>
      </c>
      <c r="AG663" s="52">
        <f t="shared" si="355"/>
        <v>0</v>
      </c>
      <c r="AH663" s="52">
        <f t="shared" si="355"/>
        <v>0</v>
      </c>
      <c r="AI663" s="52">
        <f t="shared" si="355"/>
        <v>0</v>
      </c>
      <c r="AJ663" s="52">
        <f t="shared" si="355"/>
        <v>0</v>
      </c>
      <c r="AK663" s="52">
        <f t="shared" si="355"/>
        <v>0</v>
      </c>
      <c r="AL663" s="52">
        <f t="shared" si="355"/>
        <v>0</v>
      </c>
      <c r="AM663" s="52">
        <f t="shared" si="355"/>
        <v>0</v>
      </c>
      <c r="AN663" s="52">
        <f t="shared" si="355"/>
        <v>0</v>
      </c>
      <c r="AO663" s="52">
        <f t="shared" si="355"/>
        <v>0</v>
      </c>
      <c r="AP663" s="52">
        <f t="shared" si="355"/>
        <v>0</v>
      </c>
    </row>
    <row r="664" spans="1:42" x14ac:dyDescent="0.2">
      <c r="A664" s="17">
        <f t="shared" ref="A664:A669" si="356">A663+1</f>
        <v>3</v>
      </c>
      <c r="B664" s="102">
        <f t="shared" si="353"/>
        <v>0</v>
      </c>
      <c r="C664" s="52">
        <f t="shared" si="355"/>
        <v>0</v>
      </c>
      <c r="D664" s="52">
        <f t="shared" si="355"/>
        <v>0</v>
      </c>
      <c r="E664" s="52">
        <f t="shared" si="355"/>
        <v>0</v>
      </c>
      <c r="F664" s="52">
        <f t="shared" si="355"/>
        <v>0</v>
      </c>
      <c r="G664" s="52">
        <f t="shared" si="355"/>
        <v>0</v>
      </c>
      <c r="H664" s="52">
        <f t="shared" si="355"/>
        <v>0</v>
      </c>
      <c r="I664" s="52">
        <f t="shared" si="355"/>
        <v>0</v>
      </c>
      <c r="J664" s="52">
        <f t="shared" si="355"/>
        <v>0</v>
      </c>
      <c r="K664" s="52">
        <f t="shared" si="355"/>
        <v>0</v>
      </c>
      <c r="L664" s="52">
        <f t="shared" si="355"/>
        <v>0</v>
      </c>
      <c r="M664" s="52">
        <f t="shared" si="355"/>
        <v>0</v>
      </c>
      <c r="N664" s="52">
        <f t="shared" si="355"/>
        <v>0</v>
      </c>
      <c r="O664" s="52">
        <f t="shared" si="355"/>
        <v>0</v>
      </c>
      <c r="P664" s="52">
        <f t="shared" si="355"/>
        <v>0</v>
      </c>
      <c r="Q664" s="52">
        <f t="shared" si="355"/>
        <v>0</v>
      </c>
      <c r="R664" s="52">
        <f t="shared" si="355"/>
        <v>0</v>
      </c>
      <c r="S664" s="52">
        <f t="shared" si="355"/>
        <v>0</v>
      </c>
      <c r="T664" s="52">
        <f t="shared" si="355"/>
        <v>0</v>
      </c>
      <c r="U664" s="52">
        <f t="shared" si="355"/>
        <v>0</v>
      </c>
      <c r="V664" s="52">
        <f t="shared" si="355"/>
        <v>0</v>
      </c>
      <c r="W664" s="52">
        <f t="shared" si="355"/>
        <v>0</v>
      </c>
      <c r="X664" s="52">
        <f t="shared" si="355"/>
        <v>0</v>
      </c>
      <c r="Y664" s="52">
        <f t="shared" si="355"/>
        <v>0</v>
      </c>
      <c r="Z664" s="52">
        <f t="shared" si="355"/>
        <v>0</v>
      </c>
      <c r="AA664" s="52">
        <f t="shared" si="355"/>
        <v>0</v>
      </c>
      <c r="AB664" s="52">
        <f t="shared" si="355"/>
        <v>0</v>
      </c>
      <c r="AC664" s="52">
        <f t="shared" si="355"/>
        <v>0</v>
      </c>
      <c r="AD664" s="52">
        <f t="shared" si="355"/>
        <v>0</v>
      </c>
      <c r="AE664" s="52">
        <f t="shared" si="355"/>
        <v>0</v>
      </c>
      <c r="AF664" s="52">
        <f t="shared" si="355"/>
        <v>0</v>
      </c>
      <c r="AG664" s="52">
        <f t="shared" si="355"/>
        <v>0</v>
      </c>
      <c r="AH664" s="52">
        <f t="shared" si="355"/>
        <v>0</v>
      </c>
      <c r="AI664" s="52">
        <f t="shared" si="355"/>
        <v>0</v>
      </c>
      <c r="AJ664" s="52">
        <f t="shared" si="355"/>
        <v>0</v>
      </c>
      <c r="AK664" s="52">
        <f t="shared" si="355"/>
        <v>0</v>
      </c>
      <c r="AL664" s="52">
        <f t="shared" si="355"/>
        <v>0</v>
      </c>
      <c r="AM664" s="52">
        <f t="shared" si="355"/>
        <v>0</v>
      </c>
      <c r="AN664" s="52">
        <f t="shared" si="355"/>
        <v>0</v>
      </c>
      <c r="AO664" s="52">
        <f t="shared" si="355"/>
        <v>0</v>
      </c>
      <c r="AP664" s="52">
        <f t="shared" si="355"/>
        <v>0</v>
      </c>
    </row>
    <row r="665" spans="1:42" x14ac:dyDescent="0.2">
      <c r="A665" s="17">
        <f t="shared" si="356"/>
        <v>4</v>
      </c>
      <c r="B665" s="102">
        <f t="shared" si="353"/>
        <v>0</v>
      </c>
      <c r="C665" s="52">
        <f t="shared" si="355"/>
        <v>0</v>
      </c>
      <c r="D665" s="52">
        <f t="shared" si="355"/>
        <v>0</v>
      </c>
      <c r="E665" s="52">
        <f t="shared" si="355"/>
        <v>0</v>
      </c>
      <c r="F665" s="52">
        <f t="shared" si="355"/>
        <v>0</v>
      </c>
      <c r="G665" s="52">
        <f t="shared" si="355"/>
        <v>0</v>
      </c>
      <c r="H665" s="52">
        <f t="shared" si="355"/>
        <v>0</v>
      </c>
      <c r="I665" s="52">
        <f t="shared" si="355"/>
        <v>0</v>
      </c>
      <c r="J665" s="52">
        <f t="shared" si="355"/>
        <v>0</v>
      </c>
      <c r="K665" s="52">
        <f t="shared" si="355"/>
        <v>0</v>
      </c>
      <c r="L665" s="52">
        <f t="shared" si="355"/>
        <v>0</v>
      </c>
      <c r="M665" s="52">
        <f t="shared" si="355"/>
        <v>0</v>
      </c>
      <c r="N665" s="52">
        <f t="shared" si="355"/>
        <v>0</v>
      </c>
      <c r="O665" s="52">
        <f t="shared" si="355"/>
        <v>0</v>
      </c>
      <c r="P665" s="52">
        <f t="shared" si="355"/>
        <v>0</v>
      </c>
      <c r="Q665" s="52">
        <f t="shared" si="355"/>
        <v>0</v>
      </c>
      <c r="R665" s="52">
        <f t="shared" si="355"/>
        <v>0</v>
      </c>
      <c r="S665" s="52">
        <f t="shared" si="355"/>
        <v>0</v>
      </c>
      <c r="T665" s="52">
        <f t="shared" si="355"/>
        <v>0</v>
      </c>
      <c r="U665" s="52">
        <f t="shared" si="355"/>
        <v>0</v>
      </c>
      <c r="V665" s="52">
        <f t="shared" si="355"/>
        <v>0</v>
      </c>
      <c r="W665" s="52">
        <f t="shared" si="355"/>
        <v>0</v>
      </c>
      <c r="X665" s="52">
        <f t="shared" si="355"/>
        <v>0</v>
      </c>
      <c r="Y665" s="52">
        <f t="shared" si="355"/>
        <v>0</v>
      </c>
      <c r="Z665" s="52">
        <f t="shared" si="355"/>
        <v>0</v>
      </c>
      <c r="AA665" s="52">
        <f t="shared" si="355"/>
        <v>0</v>
      </c>
      <c r="AB665" s="52">
        <f t="shared" si="355"/>
        <v>0</v>
      </c>
      <c r="AC665" s="52">
        <f t="shared" si="355"/>
        <v>0</v>
      </c>
      <c r="AD665" s="52">
        <f t="shared" si="355"/>
        <v>0</v>
      </c>
      <c r="AE665" s="52">
        <f t="shared" si="355"/>
        <v>0</v>
      </c>
      <c r="AF665" s="52">
        <f t="shared" si="355"/>
        <v>0</v>
      </c>
      <c r="AG665" s="52">
        <f t="shared" si="355"/>
        <v>0</v>
      </c>
      <c r="AH665" s="52">
        <f t="shared" si="355"/>
        <v>0</v>
      </c>
      <c r="AI665" s="52">
        <f t="shared" si="355"/>
        <v>0</v>
      </c>
      <c r="AJ665" s="52">
        <f t="shared" si="355"/>
        <v>0</v>
      </c>
      <c r="AK665" s="52">
        <f t="shared" si="355"/>
        <v>0</v>
      </c>
      <c r="AL665" s="52">
        <f t="shared" si="355"/>
        <v>0</v>
      </c>
      <c r="AM665" s="52">
        <f t="shared" si="355"/>
        <v>0</v>
      </c>
      <c r="AN665" s="52">
        <f t="shared" si="355"/>
        <v>0</v>
      </c>
      <c r="AO665" s="52">
        <f t="shared" si="355"/>
        <v>0</v>
      </c>
      <c r="AP665" s="52">
        <f t="shared" si="355"/>
        <v>0</v>
      </c>
    </row>
    <row r="666" spans="1:42" x14ac:dyDescent="0.2">
      <c r="A666" s="17">
        <f t="shared" si="356"/>
        <v>5</v>
      </c>
      <c r="B666" s="102">
        <f t="shared" si="353"/>
        <v>0</v>
      </c>
      <c r="C666" s="52">
        <f t="shared" si="355"/>
        <v>0</v>
      </c>
      <c r="D666" s="52">
        <f t="shared" si="355"/>
        <v>0</v>
      </c>
      <c r="E666" s="52">
        <f t="shared" si="355"/>
        <v>0</v>
      </c>
      <c r="F666" s="52">
        <f t="shared" si="355"/>
        <v>0</v>
      </c>
      <c r="G666" s="52">
        <f t="shared" si="355"/>
        <v>0</v>
      </c>
      <c r="H666" s="52">
        <f t="shared" si="355"/>
        <v>0</v>
      </c>
      <c r="I666" s="52">
        <f t="shared" si="355"/>
        <v>0</v>
      </c>
      <c r="J666" s="52">
        <f t="shared" si="355"/>
        <v>0</v>
      </c>
      <c r="K666" s="52">
        <f t="shared" si="355"/>
        <v>0</v>
      </c>
      <c r="L666" s="52">
        <f t="shared" si="355"/>
        <v>0</v>
      </c>
      <c r="M666" s="52">
        <f t="shared" si="355"/>
        <v>0</v>
      </c>
      <c r="N666" s="52">
        <f t="shared" si="355"/>
        <v>0</v>
      </c>
      <c r="O666" s="52">
        <f t="shared" si="355"/>
        <v>0</v>
      </c>
      <c r="P666" s="52">
        <f t="shared" si="355"/>
        <v>0</v>
      </c>
      <c r="Q666" s="52">
        <f t="shared" si="355"/>
        <v>0</v>
      </c>
      <c r="R666" s="52">
        <f t="shared" si="355"/>
        <v>0</v>
      </c>
      <c r="S666" s="52">
        <f t="shared" si="355"/>
        <v>0</v>
      </c>
      <c r="T666" s="52">
        <f t="shared" si="355"/>
        <v>0</v>
      </c>
      <c r="U666" s="52">
        <f t="shared" si="355"/>
        <v>0</v>
      </c>
      <c r="V666" s="52">
        <f t="shared" si="355"/>
        <v>0</v>
      </c>
      <c r="W666" s="52">
        <f t="shared" si="355"/>
        <v>0</v>
      </c>
      <c r="X666" s="52">
        <f t="shared" si="355"/>
        <v>0</v>
      </c>
      <c r="Y666" s="52">
        <f t="shared" si="355"/>
        <v>0</v>
      </c>
      <c r="Z666" s="52">
        <f t="shared" si="355"/>
        <v>0</v>
      </c>
      <c r="AA666" s="52">
        <f t="shared" si="355"/>
        <v>0</v>
      </c>
      <c r="AB666" s="52">
        <f t="shared" si="355"/>
        <v>0</v>
      </c>
      <c r="AC666" s="52">
        <f t="shared" si="355"/>
        <v>0</v>
      </c>
      <c r="AD666" s="52">
        <f t="shared" si="355"/>
        <v>0</v>
      </c>
      <c r="AE666" s="52">
        <f t="shared" si="355"/>
        <v>0</v>
      </c>
      <c r="AF666" s="52">
        <f t="shared" si="355"/>
        <v>0</v>
      </c>
      <c r="AG666" s="52">
        <f t="shared" si="355"/>
        <v>0</v>
      </c>
      <c r="AH666" s="52">
        <f t="shared" si="355"/>
        <v>0</v>
      </c>
      <c r="AI666" s="52">
        <f t="shared" si="355"/>
        <v>0</v>
      </c>
      <c r="AJ666" s="52">
        <f t="shared" si="355"/>
        <v>0</v>
      </c>
      <c r="AK666" s="52">
        <f t="shared" si="355"/>
        <v>0</v>
      </c>
      <c r="AL666" s="52">
        <f t="shared" si="355"/>
        <v>0</v>
      </c>
      <c r="AM666" s="52">
        <f t="shared" si="355"/>
        <v>0</v>
      </c>
      <c r="AN666" s="52">
        <f t="shared" si="355"/>
        <v>0</v>
      </c>
      <c r="AO666" s="52">
        <f t="shared" si="355"/>
        <v>0</v>
      </c>
      <c r="AP666" s="52">
        <f t="shared" si="355"/>
        <v>0</v>
      </c>
    </row>
    <row r="667" spans="1:42" x14ac:dyDescent="0.2">
      <c r="A667" s="17">
        <f t="shared" si="356"/>
        <v>6</v>
      </c>
      <c r="B667" s="102">
        <f t="shared" si="353"/>
        <v>0</v>
      </c>
      <c r="C667" s="52">
        <f t="shared" si="355"/>
        <v>0</v>
      </c>
      <c r="D667" s="52">
        <f t="shared" si="355"/>
        <v>0</v>
      </c>
      <c r="E667" s="52">
        <f t="shared" si="355"/>
        <v>0</v>
      </c>
      <c r="F667" s="52">
        <f t="shared" si="355"/>
        <v>0</v>
      </c>
      <c r="G667" s="52">
        <f t="shared" si="355"/>
        <v>0</v>
      </c>
      <c r="H667" s="52">
        <f t="shared" si="355"/>
        <v>0</v>
      </c>
      <c r="I667" s="52">
        <f t="shared" si="355"/>
        <v>0</v>
      </c>
      <c r="J667" s="52">
        <f t="shared" si="355"/>
        <v>0</v>
      </c>
      <c r="K667" s="52">
        <f t="shared" si="355"/>
        <v>0</v>
      </c>
      <c r="L667" s="52">
        <f t="shared" si="355"/>
        <v>0</v>
      </c>
      <c r="M667" s="52">
        <f t="shared" si="355"/>
        <v>0</v>
      </c>
      <c r="N667" s="52">
        <f t="shared" si="355"/>
        <v>0</v>
      </c>
      <c r="O667" s="52">
        <f t="shared" si="355"/>
        <v>0</v>
      </c>
      <c r="P667" s="52">
        <f t="shared" si="355"/>
        <v>0</v>
      </c>
      <c r="Q667" s="52">
        <f t="shared" si="355"/>
        <v>0</v>
      </c>
      <c r="R667" s="52">
        <f t="shared" si="355"/>
        <v>0</v>
      </c>
      <c r="S667" s="52">
        <f t="shared" si="355"/>
        <v>0</v>
      </c>
      <c r="T667" s="52">
        <f t="shared" si="355"/>
        <v>0</v>
      </c>
      <c r="U667" s="52">
        <f t="shared" si="355"/>
        <v>0</v>
      </c>
      <c r="V667" s="52">
        <f t="shared" si="355"/>
        <v>0</v>
      </c>
      <c r="W667" s="52">
        <f t="shared" si="355"/>
        <v>0</v>
      </c>
      <c r="X667" s="52">
        <f t="shared" si="355"/>
        <v>0</v>
      </c>
      <c r="Y667" s="52">
        <f t="shared" si="355"/>
        <v>0</v>
      </c>
      <c r="Z667" s="52">
        <f t="shared" si="355"/>
        <v>0</v>
      </c>
      <c r="AA667" s="52">
        <f t="shared" si="355"/>
        <v>0</v>
      </c>
      <c r="AB667" s="52">
        <f t="shared" si="355"/>
        <v>0</v>
      </c>
      <c r="AC667" s="52">
        <f t="shared" si="355"/>
        <v>0</v>
      </c>
      <c r="AD667" s="52">
        <f t="shared" si="355"/>
        <v>0</v>
      </c>
      <c r="AE667" s="52">
        <f t="shared" si="355"/>
        <v>0</v>
      </c>
      <c r="AF667" s="52">
        <f t="shared" si="355"/>
        <v>0</v>
      </c>
      <c r="AG667" s="52">
        <f t="shared" si="355"/>
        <v>0</v>
      </c>
      <c r="AH667" s="52">
        <f t="shared" si="355"/>
        <v>0</v>
      </c>
      <c r="AI667" s="52">
        <f t="shared" si="355"/>
        <v>0</v>
      </c>
      <c r="AJ667" s="52">
        <f t="shared" si="355"/>
        <v>0</v>
      </c>
      <c r="AK667" s="52">
        <f t="shared" si="355"/>
        <v>0</v>
      </c>
      <c r="AL667" s="52">
        <f t="shared" si="355"/>
        <v>0</v>
      </c>
      <c r="AM667" s="52">
        <f t="shared" si="355"/>
        <v>0</v>
      </c>
      <c r="AN667" s="52">
        <f t="shared" si="355"/>
        <v>0</v>
      </c>
      <c r="AO667" s="52">
        <f t="shared" si="355"/>
        <v>0</v>
      </c>
      <c r="AP667" s="52">
        <f t="shared" si="355"/>
        <v>0</v>
      </c>
    </row>
    <row r="668" spans="1:42" x14ac:dyDescent="0.2">
      <c r="A668" s="17">
        <f t="shared" si="356"/>
        <v>7</v>
      </c>
      <c r="B668" s="102">
        <f t="shared" si="353"/>
        <v>0</v>
      </c>
      <c r="C668" s="52">
        <f t="shared" si="355"/>
        <v>0</v>
      </c>
      <c r="D668" s="52">
        <f t="shared" si="355"/>
        <v>0</v>
      </c>
      <c r="E668" s="52">
        <f t="shared" si="355"/>
        <v>0</v>
      </c>
      <c r="F668" s="52">
        <f t="shared" si="355"/>
        <v>0</v>
      </c>
      <c r="G668" s="52">
        <f t="shared" si="355"/>
        <v>0</v>
      </c>
      <c r="H668" s="52">
        <f t="shared" si="355"/>
        <v>0</v>
      </c>
      <c r="I668" s="52">
        <f t="shared" si="355"/>
        <v>0</v>
      </c>
      <c r="J668" s="52">
        <f t="shared" si="355"/>
        <v>0</v>
      </c>
      <c r="K668" s="52">
        <f t="shared" si="355"/>
        <v>0</v>
      </c>
      <c r="L668" s="52">
        <f t="shared" si="355"/>
        <v>0</v>
      </c>
      <c r="M668" s="52">
        <f t="shared" si="355"/>
        <v>0</v>
      </c>
      <c r="N668" s="52">
        <f t="shared" si="355"/>
        <v>0</v>
      </c>
      <c r="O668" s="52">
        <f t="shared" si="355"/>
        <v>0</v>
      </c>
      <c r="P668" s="52">
        <f t="shared" si="355"/>
        <v>0</v>
      </c>
      <c r="Q668" s="52">
        <f t="shared" si="355"/>
        <v>0</v>
      </c>
      <c r="R668" s="52">
        <f t="shared" si="355"/>
        <v>0</v>
      </c>
      <c r="S668" s="52">
        <f t="shared" si="355"/>
        <v>0</v>
      </c>
      <c r="T668" s="52">
        <f t="shared" si="355"/>
        <v>0</v>
      </c>
      <c r="U668" s="52">
        <f t="shared" si="355"/>
        <v>0</v>
      </c>
      <c r="V668" s="52">
        <f t="shared" si="355"/>
        <v>0</v>
      </c>
      <c r="W668" s="52">
        <f t="shared" si="355"/>
        <v>0</v>
      </c>
      <c r="X668" s="52">
        <f t="shared" si="355"/>
        <v>0</v>
      </c>
      <c r="Y668" s="52">
        <f t="shared" si="355"/>
        <v>0</v>
      </c>
      <c r="Z668" s="52">
        <f t="shared" si="355"/>
        <v>0</v>
      </c>
      <c r="AA668" s="52">
        <f t="shared" si="355"/>
        <v>0</v>
      </c>
      <c r="AB668" s="52">
        <f t="shared" si="355"/>
        <v>0</v>
      </c>
      <c r="AC668" s="52">
        <f t="shared" si="355"/>
        <v>0</v>
      </c>
      <c r="AD668" s="52">
        <f t="shared" si="355"/>
        <v>0</v>
      </c>
      <c r="AE668" s="52">
        <f t="shared" si="355"/>
        <v>0</v>
      </c>
      <c r="AF668" s="52">
        <f t="shared" si="355"/>
        <v>0</v>
      </c>
      <c r="AG668" s="52">
        <f t="shared" si="355"/>
        <v>0</v>
      </c>
      <c r="AH668" s="52">
        <f t="shared" si="355"/>
        <v>0</v>
      </c>
      <c r="AI668" s="52">
        <f t="shared" si="355"/>
        <v>0</v>
      </c>
      <c r="AJ668" s="52">
        <f t="shared" si="355"/>
        <v>0</v>
      </c>
      <c r="AK668" s="52">
        <f t="shared" si="355"/>
        <v>0</v>
      </c>
      <c r="AL668" s="52">
        <f t="shared" si="355"/>
        <v>0</v>
      </c>
      <c r="AM668" s="52">
        <f t="shared" si="355"/>
        <v>0</v>
      </c>
      <c r="AN668" s="52">
        <f t="shared" si="355"/>
        <v>0</v>
      </c>
      <c r="AO668" s="52">
        <f t="shared" si="355"/>
        <v>0</v>
      </c>
      <c r="AP668" s="52">
        <f t="shared" si="355"/>
        <v>0</v>
      </c>
    </row>
    <row r="669" spans="1:42" x14ac:dyDescent="0.2">
      <c r="A669" s="17">
        <f t="shared" si="356"/>
        <v>8</v>
      </c>
      <c r="B669" s="102">
        <f t="shared" si="353"/>
        <v>0</v>
      </c>
      <c r="C669" s="52">
        <f t="shared" si="355"/>
        <v>0</v>
      </c>
      <c r="D669" s="52">
        <f t="shared" si="355"/>
        <v>0</v>
      </c>
      <c r="E669" s="52">
        <f t="shared" si="355"/>
        <v>0</v>
      </c>
      <c r="F669" s="52">
        <f t="shared" si="355"/>
        <v>0</v>
      </c>
      <c r="G669" s="52">
        <f t="shared" si="355"/>
        <v>0</v>
      </c>
      <c r="H669" s="52">
        <f t="shared" si="355"/>
        <v>0</v>
      </c>
      <c r="I669" s="52">
        <f t="shared" si="355"/>
        <v>0</v>
      </c>
      <c r="J669" s="52">
        <f t="shared" si="355"/>
        <v>0</v>
      </c>
      <c r="K669" s="52">
        <f t="shared" si="355"/>
        <v>0</v>
      </c>
      <c r="L669" s="52">
        <f t="shared" si="355"/>
        <v>0</v>
      </c>
      <c r="M669" s="52">
        <f t="shared" si="355"/>
        <v>0</v>
      </c>
      <c r="N669" s="52">
        <f t="shared" si="355"/>
        <v>0</v>
      </c>
      <c r="O669" s="52">
        <f t="shared" si="355"/>
        <v>0</v>
      </c>
      <c r="P669" s="52">
        <f t="shared" si="355"/>
        <v>0</v>
      </c>
      <c r="Q669" s="52">
        <f t="shared" si="355"/>
        <v>0</v>
      </c>
      <c r="R669" s="52">
        <f t="shared" ref="R669:AP669" si="357">IF(AND(R$2&gt;MMFrequency3*$A656,R$2&lt;=MMFrequency3*$A657),$B657/(MMFrequency3),0)</f>
        <v>0</v>
      </c>
      <c r="S669" s="52">
        <f t="shared" si="357"/>
        <v>0</v>
      </c>
      <c r="T669" s="52">
        <f t="shared" si="357"/>
        <v>0</v>
      </c>
      <c r="U669" s="52">
        <f t="shared" si="357"/>
        <v>0</v>
      </c>
      <c r="V669" s="52">
        <f t="shared" si="357"/>
        <v>0</v>
      </c>
      <c r="W669" s="52">
        <f t="shared" si="357"/>
        <v>0</v>
      </c>
      <c r="X669" s="52">
        <f t="shared" si="357"/>
        <v>0</v>
      </c>
      <c r="Y669" s="52">
        <f t="shared" si="357"/>
        <v>0</v>
      </c>
      <c r="Z669" s="52">
        <f t="shared" si="357"/>
        <v>0</v>
      </c>
      <c r="AA669" s="52">
        <f t="shared" si="357"/>
        <v>0</v>
      </c>
      <c r="AB669" s="52">
        <f t="shared" si="357"/>
        <v>0</v>
      </c>
      <c r="AC669" s="52">
        <f t="shared" si="357"/>
        <v>0</v>
      </c>
      <c r="AD669" s="52">
        <f t="shared" si="357"/>
        <v>0</v>
      </c>
      <c r="AE669" s="52">
        <f t="shared" si="357"/>
        <v>0</v>
      </c>
      <c r="AF669" s="52">
        <f t="shared" si="357"/>
        <v>0</v>
      </c>
      <c r="AG669" s="52">
        <f t="shared" si="357"/>
        <v>0</v>
      </c>
      <c r="AH669" s="52">
        <f t="shared" si="357"/>
        <v>0</v>
      </c>
      <c r="AI669" s="52">
        <f t="shared" si="357"/>
        <v>0</v>
      </c>
      <c r="AJ669" s="52">
        <f t="shared" si="357"/>
        <v>0</v>
      </c>
      <c r="AK669" s="52">
        <f t="shared" si="357"/>
        <v>0</v>
      </c>
      <c r="AL669" s="52">
        <f t="shared" si="357"/>
        <v>0</v>
      </c>
      <c r="AM669" s="52">
        <f t="shared" si="357"/>
        <v>0</v>
      </c>
      <c r="AN669" s="52">
        <f t="shared" si="357"/>
        <v>0</v>
      </c>
      <c r="AO669" s="52">
        <f t="shared" si="357"/>
        <v>0</v>
      </c>
      <c r="AP669" s="52">
        <f t="shared" si="357"/>
        <v>0</v>
      </c>
    </row>
    <row r="670" spans="1:42" x14ac:dyDescent="0.2">
      <c r="A670" s="17">
        <f>A669+1</f>
        <v>9</v>
      </c>
      <c r="B670" s="102">
        <f t="shared" si="353"/>
        <v>0</v>
      </c>
      <c r="C670" s="52">
        <f t="shared" ref="C670:AP671" si="358">IF(AND(C$2&gt;MMFrequency3*$A657,C$2&lt;=MMFrequency3*$A658),$B658/(MMFrequency3),0)</f>
        <v>0</v>
      </c>
      <c r="D670" s="52">
        <f t="shared" si="358"/>
        <v>0</v>
      </c>
      <c r="E670" s="52">
        <f t="shared" si="358"/>
        <v>0</v>
      </c>
      <c r="F670" s="52">
        <f t="shared" si="358"/>
        <v>0</v>
      </c>
      <c r="G670" s="52">
        <f t="shared" si="358"/>
        <v>0</v>
      </c>
      <c r="H670" s="52">
        <f t="shared" si="358"/>
        <v>0</v>
      </c>
      <c r="I670" s="52">
        <f t="shared" si="358"/>
        <v>0</v>
      </c>
      <c r="J670" s="52">
        <f t="shared" si="358"/>
        <v>0</v>
      </c>
      <c r="K670" s="52">
        <f t="shared" si="358"/>
        <v>0</v>
      </c>
      <c r="L670" s="52">
        <f t="shared" si="358"/>
        <v>0</v>
      </c>
      <c r="M670" s="52">
        <f t="shared" si="358"/>
        <v>0</v>
      </c>
      <c r="N670" s="52">
        <f t="shared" si="358"/>
        <v>0</v>
      </c>
      <c r="O670" s="52">
        <f t="shared" si="358"/>
        <v>0</v>
      </c>
      <c r="P670" s="52">
        <f t="shared" si="358"/>
        <v>0</v>
      </c>
      <c r="Q670" s="52">
        <f t="shared" si="358"/>
        <v>0</v>
      </c>
      <c r="R670" s="52">
        <f t="shared" si="358"/>
        <v>0</v>
      </c>
      <c r="S670" s="52">
        <f t="shared" si="358"/>
        <v>0</v>
      </c>
      <c r="T670" s="52">
        <f t="shared" si="358"/>
        <v>0</v>
      </c>
      <c r="U670" s="52">
        <f t="shared" si="358"/>
        <v>0</v>
      </c>
      <c r="V670" s="52">
        <f t="shared" si="358"/>
        <v>0</v>
      </c>
      <c r="W670" s="52">
        <f t="shared" si="358"/>
        <v>0</v>
      </c>
      <c r="X670" s="52">
        <f t="shared" si="358"/>
        <v>0</v>
      </c>
      <c r="Y670" s="52">
        <f t="shared" si="358"/>
        <v>0</v>
      </c>
      <c r="Z670" s="52">
        <f t="shared" si="358"/>
        <v>0</v>
      </c>
      <c r="AA670" s="52">
        <f t="shared" si="358"/>
        <v>0</v>
      </c>
      <c r="AB670" s="52">
        <f t="shared" si="358"/>
        <v>0</v>
      </c>
      <c r="AC670" s="52">
        <f t="shared" si="358"/>
        <v>0</v>
      </c>
      <c r="AD670" s="52">
        <f t="shared" si="358"/>
        <v>0</v>
      </c>
      <c r="AE670" s="52">
        <f t="shared" si="358"/>
        <v>0</v>
      </c>
      <c r="AF670" s="52">
        <f t="shared" si="358"/>
        <v>0</v>
      </c>
      <c r="AG670" s="52">
        <f t="shared" si="358"/>
        <v>0</v>
      </c>
      <c r="AH670" s="52">
        <f t="shared" si="358"/>
        <v>0</v>
      </c>
      <c r="AI670" s="52">
        <f t="shared" si="358"/>
        <v>0</v>
      </c>
      <c r="AJ670" s="52">
        <f t="shared" si="358"/>
        <v>0</v>
      </c>
      <c r="AK670" s="52">
        <f t="shared" si="358"/>
        <v>0</v>
      </c>
      <c r="AL670" s="52">
        <f t="shared" si="358"/>
        <v>0</v>
      </c>
      <c r="AM670" s="52">
        <f t="shared" si="358"/>
        <v>0</v>
      </c>
      <c r="AN670" s="52">
        <f t="shared" si="358"/>
        <v>0</v>
      </c>
      <c r="AO670" s="52">
        <f t="shared" si="358"/>
        <v>0</v>
      </c>
      <c r="AP670" s="52">
        <f t="shared" si="358"/>
        <v>0</v>
      </c>
    </row>
    <row r="671" spans="1:42" x14ac:dyDescent="0.2">
      <c r="A671" s="17">
        <f t="shared" ref="A671" si="359">A670+1</f>
        <v>10</v>
      </c>
      <c r="B671" s="102">
        <f t="shared" si="353"/>
        <v>0</v>
      </c>
      <c r="C671" s="53">
        <f t="shared" si="358"/>
        <v>0</v>
      </c>
      <c r="D671" s="53">
        <f t="shared" si="358"/>
        <v>0</v>
      </c>
      <c r="E671" s="53">
        <f t="shared" si="358"/>
        <v>0</v>
      </c>
      <c r="F671" s="53">
        <f t="shared" si="358"/>
        <v>0</v>
      </c>
      <c r="G671" s="53">
        <f t="shared" si="358"/>
        <v>0</v>
      </c>
      <c r="H671" s="53">
        <f t="shared" si="358"/>
        <v>0</v>
      </c>
      <c r="I671" s="53">
        <f t="shared" si="358"/>
        <v>0</v>
      </c>
      <c r="J671" s="53">
        <f t="shared" si="358"/>
        <v>0</v>
      </c>
      <c r="K671" s="53">
        <f t="shared" si="358"/>
        <v>0</v>
      </c>
      <c r="L671" s="53">
        <f t="shared" si="358"/>
        <v>0</v>
      </c>
      <c r="M671" s="53">
        <f t="shared" si="358"/>
        <v>0</v>
      </c>
      <c r="N671" s="53">
        <f t="shared" si="358"/>
        <v>0</v>
      </c>
      <c r="O671" s="53">
        <f t="shared" si="358"/>
        <v>0</v>
      </c>
      <c r="P671" s="53">
        <f t="shared" si="358"/>
        <v>0</v>
      </c>
      <c r="Q671" s="53">
        <f t="shared" si="358"/>
        <v>0</v>
      </c>
      <c r="R671" s="53">
        <f t="shared" si="358"/>
        <v>0</v>
      </c>
      <c r="S671" s="53">
        <f t="shared" si="358"/>
        <v>0</v>
      </c>
      <c r="T671" s="53">
        <f t="shared" si="358"/>
        <v>0</v>
      </c>
      <c r="U671" s="53">
        <f t="shared" si="358"/>
        <v>0</v>
      </c>
      <c r="V671" s="53">
        <f t="shared" si="358"/>
        <v>0</v>
      </c>
      <c r="W671" s="53">
        <f t="shared" si="358"/>
        <v>0</v>
      </c>
      <c r="X671" s="53">
        <f t="shared" si="358"/>
        <v>0</v>
      </c>
      <c r="Y671" s="53">
        <f t="shared" si="358"/>
        <v>0</v>
      </c>
      <c r="Z671" s="53">
        <f t="shared" si="358"/>
        <v>0</v>
      </c>
      <c r="AA671" s="53">
        <f t="shared" si="358"/>
        <v>0</v>
      </c>
      <c r="AB671" s="53">
        <f t="shared" si="358"/>
        <v>0</v>
      </c>
      <c r="AC671" s="53">
        <f t="shared" si="358"/>
        <v>0</v>
      </c>
      <c r="AD671" s="53">
        <f t="shared" si="358"/>
        <v>0</v>
      </c>
      <c r="AE671" s="53">
        <f t="shared" si="358"/>
        <v>0</v>
      </c>
      <c r="AF671" s="53">
        <f t="shared" si="358"/>
        <v>0</v>
      </c>
      <c r="AG671" s="53">
        <f t="shared" si="358"/>
        <v>0</v>
      </c>
      <c r="AH671" s="53">
        <f t="shared" si="358"/>
        <v>0</v>
      </c>
      <c r="AI671" s="53">
        <f t="shared" si="358"/>
        <v>0</v>
      </c>
      <c r="AJ671" s="53">
        <f t="shared" si="358"/>
        <v>0</v>
      </c>
      <c r="AK671" s="53">
        <f t="shared" si="358"/>
        <v>0</v>
      </c>
      <c r="AL671" s="53">
        <f t="shared" si="358"/>
        <v>0</v>
      </c>
      <c r="AM671" s="53">
        <f t="shared" si="358"/>
        <v>0</v>
      </c>
      <c r="AN671" s="53">
        <f t="shared" si="358"/>
        <v>0</v>
      </c>
      <c r="AO671" s="53">
        <f t="shared" si="358"/>
        <v>0</v>
      </c>
      <c r="AP671" s="53">
        <f t="shared" si="358"/>
        <v>0</v>
      </c>
    </row>
    <row r="672" spans="1:42" x14ac:dyDescent="0.2">
      <c r="A672" s="80" t="s">
        <v>23</v>
      </c>
      <c r="B672" s="52"/>
      <c r="C672" s="39">
        <f>SUM(C662:C671)</f>
        <v>0</v>
      </c>
      <c r="D672" s="39">
        <f t="shared" ref="D672:AP672" si="360">SUM(D662:D671)</f>
        <v>0</v>
      </c>
      <c r="E672" s="39">
        <f t="shared" si="360"/>
        <v>0</v>
      </c>
      <c r="F672" s="39">
        <f t="shared" si="360"/>
        <v>0</v>
      </c>
      <c r="G672" s="39">
        <f t="shared" si="360"/>
        <v>0</v>
      </c>
      <c r="H672" s="39">
        <f t="shared" si="360"/>
        <v>0</v>
      </c>
      <c r="I672" s="39">
        <f t="shared" si="360"/>
        <v>0</v>
      </c>
      <c r="J672" s="39">
        <f t="shared" si="360"/>
        <v>0</v>
      </c>
      <c r="K672" s="39">
        <f t="shared" si="360"/>
        <v>0</v>
      </c>
      <c r="L672" s="39">
        <f t="shared" si="360"/>
        <v>0</v>
      </c>
      <c r="M672" s="39">
        <f t="shared" si="360"/>
        <v>0</v>
      </c>
      <c r="N672" s="39">
        <f t="shared" si="360"/>
        <v>0</v>
      </c>
      <c r="O672" s="39">
        <f t="shared" si="360"/>
        <v>0</v>
      </c>
      <c r="P672" s="39">
        <f t="shared" si="360"/>
        <v>0</v>
      </c>
      <c r="Q672" s="39">
        <f t="shared" si="360"/>
        <v>0</v>
      </c>
      <c r="R672" s="39">
        <f t="shared" si="360"/>
        <v>0</v>
      </c>
      <c r="S672" s="39">
        <f t="shared" si="360"/>
        <v>0</v>
      </c>
      <c r="T672" s="39">
        <f t="shared" si="360"/>
        <v>0</v>
      </c>
      <c r="U672" s="39">
        <f t="shared" si="360"/>
        <v>0</v>
      </c>
      <c r="V672" s="39">
        <f t="shared" si="360"/>
        <v>0</v>
      </c>
      <c r="W672" s="39">
        <f t="shared" si="360"/>
        <v>0</v>
      </c>
      <c r="X672" s="39">
        <f t="shared" si="360"/>
        <v>0</v>
      </c>
      <c r="Y672" s="39">
        <f t="shared" si="360"/>
        <v>0</v>
      </c>
      <c r="Z672" s="39">
        <f t="shared" si="360"/>
        <v>0</v>
      </c>
      <c r="AA672" s="39">
        <f t="shared" si="360"/>
        <v>0</v>
      </c>
      <c r="AB672" s="39">
        <f t="shared" si="360"/>
        <v>0</v>
      </c>
      <c r="AC672" s="39">
        <f t="shared" si="360"/>
        <v>0</v>
      </c>
      <c r="AD672" s="39">
        <f t="shared" si="360"/>
        <v>0</v>
      </c>
      <c r="AE672" s="39">
        <f t="shared" si="360"/>
        <v>0</v>
      </c>
      <c r="AF672" s="39">
        <f t="shared" si="360"/>
        <v>0</v>
      </c>
      <c r="AG672" s="39">
        <f t="shared" si="360"/>
        <v>0</v>
      </c>
      <c r="AH672" s="39">
        <f t="shared" si="360"/>
        <v>0</v>
      </c>
      <c r="AI672" s="39">
        <f t="shared" si="360"/>
        <v>0</v>
      </c>
      <c r="AJ672" s="39">
        <f t="shared" si="360"/>
        <v>0</v>
      </c>
      <c r="AK672" s="39">
        <f t="shared" si="360"/>
        <v>0</v>
      </c>
      <c r="AL672" s="39">
        <f t="shared" si="360"/>
        <v>0</v>
      </c>
      <c r="AM672" s="39">
        <f t="shared" si="360"/>
        <v>0</v>
      </c>
      <c r="AN672" s="39">
        <f t="shared" si="360"/>
        <v>0</v>
      </c>
      <c r="AO672" s="39">
        <f t="shared" si="360"/>
        <v>0</v>
      </c>
      <c r="AP672" s="39">
        <f t="shared" si="360"/>
        <v>0</v>
      </c>
    </row>
    <row r="673" spans="1:42" x14ac:dyDescent="0.2">
      <c r="B673" s="52"/>
      <c r="C673" s="39"/>
      <c r="D673" s="39"/>
      <c r="E673" s="39"/>
      <c r="F673" s="39"/>
      <c r="G673" s="39"/>
      <c r="H673" s="39"/>
      <c r="I673" s="39"/>
      <c r="J673" s="39"/>
      <c r="K673" s="39"/>
      <c r="L673" s="39"/>
      <c r="M673" s="39"/>
      <c r="N673" s="39"/>
      <c r="O673" s="39"/>
      <c r="P673" s="39"/>
      <c r="Q673" s="39"/>
      <c r="R673" s="39"/>
      <c r="S673" s="39"/>
      <c r="T673" s="39"/>
      <c r="U673" s="39"/>
      <c r="V673" s="39"/>
      <c r="W673" s="39"/>
      <c r="X673" s="39"/>
      <c r="Y673" s="39"/>
      <c r="Z673" s="39"/>
      <c r="AA673" s="39"/>
      <c r="AB673" s="39"/>
      <c r="AC673" s="39"/>
      <c r="AD673" s="39"/>
      <c r="AE673" s="39"/>
      <c r="AF673" s="39"/>
      <c r="AG673" s="39"/>
      <c r="AH673" s="39"/>
      <c r="AI673" s="39"/>
      <c r="AJ673" s="39"/>
      <c r="AK673" s="39"/>
      <c r="AL673" s="39"/>
      <c r="AM673" s="39"/>
      <c r="AN673" s="39"/>
      <c r="AO673" s="39"/>
      <c r="AP673" s="39"/>
    </row>
    <row r="674" spans="1:42" x14ac:dyDescent="0.2">
      <c r="A674" s="17" t="s">
        <v>119</v>
      </c>
      <c r="B674" s="52"/>
      <c r="C674" s="39"/>
      <c r="D674" s="39"/>
      <c r="E674" s="39"/>
      <c r="F674" s="39"/>
      <c r="G674" s="39"/>
      <c r="H674" s="39"/>
      <c r="I674" s="39"/>
      <c r="J674" s="39"/>
      <c r="K674" s="39"/>
      <c r="L674" s="39"/>
      <c r="M674" s="39"/>
      <c r="N674" s="39"/>
      <c r="O674" s="39"/>
      <c r="P674" s="39"/>
      <c r="Q674" s="39"/>
      <c r="R674" s="39"/>
      <c r="S674" s="39"/>
      <c r="T674" s="39"/>
      <c r="U674" s="39"/>
      <c r="V674" s="39"/>
      <c r="W674" s="39"/>
      <c r="X674" s="39"/>
      <c r="Y674" s="39"/>
      <c r="Z674" s="39"/>
      <c r="AA674" s="39"/>
      <c r="AB674" s="39"/>
      <c r="AC674" s="39"/>
      <c r="AD674" s="39"/>
      <c r="AE674" s="39"/>
      <c r="AF674" s="39"/>
      <c r="AG674" s="39"/>
      <c r="AH674" s="39"/>
      <c r="AI674" s="39"/>
      <c r="AJ674" s="39"/>
      <c r="AK674" s="39"/>
      <c r="AL674" s="39"/>
      <c r="AM674" s="39"/>
      <c r="AN674" s="39"/>
      <c r="AO674" s="39"/>
      <c r="AP674" s="39"/>
    </row>
    <row r="675" spans="1:42" x14ac:dyDescent="0.2">
      <c r="A675" s="50" t="s">
        <v>120</v>
      </c>
      <c r="B675" s="39">
        <f>B570+B576+B582+B614+B646</f>
        <v>2519517.8847414143</v>
      </c>
      <c r="C675" s="39">
        <f t="shared" ref="C675:AP675" si="361">C570+C576+C582+C614+C646</f>
        <v>2805430.9128000308</v>
      </c>
      <c r="D675" s="39">
        <f t="shared" si="361"/>
        <v>3091547.664581778</v>
      </c>
      <c r="E675" s="39">
        <f t="shared" si="361"/>
        <v>3377865.5368520068</v>
      </c>
      <c r="F675" s="39">
        <f t="shared" si="361"/>
        <v>3664382.1961108549</v>
      </c>
      <c r="G675" s="39">
        <f t="shared" si="361"/>
        <v>3951095.5688714008</v>
      </c>
      <c r="H675" s="39">
        <f t="shared" si="361"/>
        <v>4238003.8325368827</v>
      </c>
      <c r="I675" s="39">
        <f t="shared" si="361"/>
        <v>4525105.4068505298</v>
      </c>
      <c r="J675" s="39">
        <f t="shared" si="361"/>
        <v>4812398.9458930027</v>
      </c>
      <c r="K675" s="39">
        <f t="shared" si="361"/>
        <v>5099883.3306037299</v>
      </c>
      <c r="L675" s="39">
        <f t="shared" si="361"/>
        <v>5387557.6618038686</v>
      </c>
      <c r="M675" s="39">
        <f t="shared" si="361"/>
        <v>5675421.2536996752</v>
      </c>
      <c r="N675" s="39">
        <f t="shared" si="361"/>
        <v>2648340.0061273337</v>
      </c>
      <c r="O675" s="39">
        <f t="shared" si="361"/>
        <v>818511.77098240028</v>
      </c>
      <c r="P675" s="39">
        <f t="shared" si="361"/>
        <v>1193080.2491611086</v>
      </c>
      <c r="Q675" s="39">
        <f t="shared" si="361"/>
        <v>1568122.420802</v>
      </c>
      <c r="R675" s="39">
        <f t="shared" si="361"/>
        <v>1943638.1848940183</v>
      </c>
      <c r="S675" s="39">
        <f t="shared" si="361"/>
        <v>2319628.1418236233</v>
      </c>
      <c r="T675" s="39">
        <f t="shared" si="361"/>
        <v>2696093.5793340541</v>
      </c>
      <c r="U675" s="39">
        <f t="shared" si="361"/>
        <v>3073036.4598333379</v>
      </c>
      <c r="V675" s="39">
        <f t="shared" si="361"/>
        <v>3450459.4090037653</v>
      </c>
      <c r="W675" s="39">
        <f t="shared" si="361"/>
        <v>3828365.70566859</v>
      </c>
      <c r="X675" s="39">
        <f t="shared" si="361"/>
        <v>4206759.2728745472</v>
      </c>
      <c r="Y675" s="39">
        <f t="shared" si="361"/>
        <v>4585644.6701515485</v>
      </c>
      <c r="Z675" s="39">
        <f t="shared" si="361"/>
        <v>553500.38061455148</v>
      </c>
      <c r="AA675" s="39">
        <f t="shared" si="361"/>
        <v>1060176.1522403026</v>
      </c>
      <c r="AB675" s="39">
        <f t="shared" si="361"/>
        <v>1567361.190941846</v>
      </c>
      <c r="AC675" s="39">
        <f t="shared" si="361"/>
        <v>2075062.547114159</v>
      </c>
      <c r="AD675" s="39">
        <f t="shared" si="361"/>
        <v>2583287.8854172677</v>
      </c>
      <c r="AE675" s="39">
        <f t="shared" si="361"/>
        <v>3092045.4834275395</v>
      </c>
      <c r="AF675" s="39">
        <f t="shared" si="361"/>
        <v>3601344.2312636129</v>
      </c>
      <c r="AG675" s="39">
        <f t="shared" si="361"/>
        <v>4111193.6321666613</v>
      </c>
      <c r="AH675" s="39">
        <f t="shared" si="361"/>
        <v>4621603.8040165529</v>
      </c>
      <c r="AI675" s="39">
        <f t="shared" si="361"/>
        <v>5132585.4817673638</v>
      </c>
      <c r="AJ675" s="39">
        <f t="shared" si="361"/>
        <v>5644150.0207874626</v>
      </c>
      <c r="AK675" s="39">
        <f t="shared" si="361"/>
        <v>6156309.4010911062</v>
      </c>
      <c r="AL675" s="39">
        <f t="shared" si="361"/>
        <v>736063.26728457608</v>
      </c>
      <c r="AM675" s="39">
        <f t="shared" si="361"/>
        <v>755033.04811357125</v>
      </c>
      <c r="AN675" s="39">
        <f t="shared" si="361"/>
        <v>774637.41360531026</v>
      </c>
      <c r="AO675" s="39">
        <f t="shared" si="361"/>
        <v>794890.902139385</v>
      </c>
      <c r="AP675" s="39">
        <f t="shared" si="361"/>
        <v>0</v>
      </c>
    </row>
    <row r="676" spans="1:42" x14ac:dyDescent="0.2">
      <c r="A676" s="50" t="s">
        <v>119</v>
      </c>
      <c r="B676" s="52"/>
      <c r="C676" s="39">
        <f t="shared" ref="C676:AP676" si="362">IF(C$2&lt;=AnalysisPeriod,B675*InterestOnReserves,0)</f>
        <v>44091.562982974756</v>
      </c>
      <c r="D676" s="39">
        <f t="shared" si="362"/>
        <v>49095.040974000542</v>
      </c>
      <c r="E676" s="39">
        <f t="shared" si="362"/>
        <v>54102.084130181123</v>
      </c>
      <c r="F676" s="39">
        <f t="shared" si="362"/>
        <v>59112.646894910125</v>
      </c>
      <c r="G676" s="39">
        <f t="shared" si="362"/>
        <v>64126.688431939969</v>
      </c>
      <c r="H676" s="39">
        <f t="shared" si="362"/>
        <v>69144.172455249514</v>
      </c>
      <c r="I676" s="39">
        <f t="shared" si="362"/>
        <v>74165.06706939546</v>
      </c>
      <c r="J676" s="39">
        <f t="shared" si="362"/>
        <v>79189.344619884287</v>
      </c>
      <c r="K676" s="39">
        <f t="shared" si="362"/>
        <v>84216.981553127553</v>
      </c>
      <c r="L676" s="39">
        <f t="shared" si="362"/>
        <v>89247.958285565284</v>
      </c>
      <c r="M676" s="39">
        <f t="shared" si="362"/>
        <v>94282.25908156771</v>
      </c>
      <c r="N676" s="39">
        <f t="shared" si="362"/>
        <v>99319.87193974432</v>
      </c>
      <c r="O676" s="39">
        <f t="shared" si="362"/>
        <v>46345.950107228346</v>
      </c>
      <c r="P676" s="39">
        <f t="shared" si="362"/>
        <v>14323.955992192006</v>
      </c>
      <c r="Q676" s="39">
        <f t="shared" si="362"/>
        <v>20878.904360319404</v>
      </c>
      <c r="R676" s="39">
        <f t="shared" si="362"/>
        <v>27442.142364035004</v>
      </c>
      <c r="S676" s="39">
        <f t="shared" si="362"/>
        <v>34013.668235645324</v>
      </c>
      <c r="T676" s="39">
        <f t="shared" si="362"/>
        <v>40593.49248191341</v>
      </c>
      <c r="U676" s="39">
        <f t="shared" si="362"/>
        <v>47181.63763834595</v>
      </c>
      <c r="V676" s="39">
        <f t="shared" si="362"/>
        <v>53778.138047083419</v>
      </c>
      <c r="W676" s="39">
        <f t="shared" si="362"/>
        <v>60383.039657565896</v>
      </c>
      <c r="X676" s="39">
        <f t="shared" si="362"/>
        <v>66996.39984920033</v>
      </c>
      <c r="Y676" s="39">
        <f t="shared" si="362"/>
        <v>73618.287275304581</v>
      </c>
      <c r="Z676" s="39">
        <f t="shared" si="362"/>
        <v>80248.781727652109</v>
      </c>
      <c r="AA676" s="39">
        <f t="shared" si="362"/>
        <v>9686.2566607546523</v>
      </c>
      <c r="AB676" s="39">
        <f t="shared" si="362"/>
        <v>18553.0826642053</v>
      </c>
      <c r="AC676" s="39">
        <f t="shared" si="362"/>
        <v>27428.820841482309</v>
      </c>
      <c r="AD676" s="39">
        <f t="shared" si="362"/>
        <v>36313.594574497787</v>
      </c>
      <c r="AE676" s="39">
        <f t="shared" si="362"/>
        <v>45207.537994802187</v>
      </c>
      <c r="AF676" s="39">
        <f t="shared" si="362"/>
        <v>54110.795959981944</v>
      </c>
      <c r="AG676" s="39">
        <f t="shared" si="362"/>
        <v>63023.524047113235</v>
      </c>
      <c r="AH676" s="39">
        <f t="shared" si="362"/>
        <v>71945.888562916574</v>
      </c>
      <c r="AI676" s="39">
        <f t="shared" si="362"/>
        <v>80878.06657028968</v>
      </c>
      <c r="AJ676" s="39">
        <f t="shared" si="362"/>
        <v>89820.245930928882</v>
      </c>
      <c r="AK676" s="39">
        <f t="shared" si="362"/>
        <v>98772.625363780608</v>
      </c>
      <c r="AL676" s="39">
        <f t="shared" si="362"/>
        <v>107735.41451909437</v>
      </c>
      <c r="AM676" s="39">
        <f t="shared" si="362"/>
        <v>12881.107177480082</v>
      </c>
      <c r="AN676" s="39">
        <f t="shared" si="362"/>
        <v>13213.078341987499</v>
      </c>
      <c r="AO676" s="39">
        <f t="shared" si="362"/>
        <v>13556.154738092931</v>
      </c>
      <c r="AP676" s="39">
        <f t="shared" si="362"/>
        <v>13910.59078743924</v>
      </c>
    </row>
  </sheetData>
  <pageMargins left="0.5" right="0.5" top="0.5" bottom="0.75" header="0.3" footer="0.3"/>
  <pageSetup scale="75" pageOrder="overThenDown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4"/>
  <sheetViews>
    <sheetView zoomScale="90" zoomScaleNormal="90" workbookViewId="0"/>
  </sheetViews>
  <sheetFormatPr defaultRowHeight="15" x14ac:dyDescent="0.25"/>
  <cols>
    <col min="2" max="7" width="15.42578125" customWidth="1"/>
  </cols>
  <sheetData>
    <row r="1" spans="1:7" s="5" customFormat="1" ht="12.75" x14ac:dyDescent="0.2">
      <c r="A1" s="1" t="s">
        <v>78</v>
      </c>
      <c r="B1" s="2"/>
      <c r="C1" s="3"/>
      <c r="D1" s="2"/>
      <c r="E1" s="2"/>
      <c r="F1" s="2"/>
      <c r="G1" s="4"/>
    </row>
    <row r="2" spans="1:7" s="5" customFormat="1" ht="12.75" x14ac:dyDescent="0.2">
      <c r="A2" s="6"/>
      <c r="B2" s="7" t="s">
        <v>72</v>
      </c>
      <c r="C2" s="7" t="s">
        <v>73</v>
      </c>
      <c r="D2" s="7" t="s">
        <v>74</v>
      </c>
      <c r="E2" s="7" t="s">
        <v>75</v>
      </c>
      <c r="F2" s="7" t="s">
        <v>76</v>
      </c>
      <c r="G2" s="7" t="s">
        <v>77</v>
      </c>
    </row>
    <row r="3" spans="1:7" s="5" customFormat="1" ht="12.75" x14ac:dyDescent="0.2">
      <c r="A3" s="8">
        <v>1</v>
      </c>
      <c r="B3" s="9">
        <v>0.2</v>
      </c>
      <c r="C3" s="10">
        <v>0.05</v>
      </c>
      <c r="D3" s="9">
        <v>0.1</v>
      </c>
      <c r="E3" s="9">
        <v>3.3300000000000003E-2</v>
      </c>
      <c r="F3" s="9">
        <v>2.5000000000000001E-2</v>
      </c>
      <c r="G3" s="9">
        <f>2.56410256410256%*0.5</f>
        <v>1.2820512820512799E-2</v>
      </c>
    </row>
    <row r="4" spans="1:7" s="5" customFormat="1" ht="12.75" x14ac:dyDescent="0.2">
      <c r="A4" s="11">
        <v>2</v>
      </c>
      <c r="B4" s="12">
        <v>0.32</v>
      </c>
      <c r="C4" s="13">
        <v>9.5000000000000001E-2</v>
      </c>
      <c r="D4" s="12">
        <v>0.2</v>
      </c>
      <c r="E4" s="12">
        <v>6.6699999999999995E-2</v>
      </c>
      <c r="F4" s="12">
        <v>0.05</v>
      </c>
      <c r="G4" s="12">
        <v>2.564102564102564E-2</v>
      </c>
    </row>
    <row r="5" spans="1:7" s="5" customFormat="1" ht="12.75" x14ac:dyDescent="0.2">
      <c r="A5" s="11">
        <v>3</v>
      </c>
      <c r="B5" s="12">
        <v>0.192</v>
      </c>
      <c r="C5" s="12">
        <v>8.5500000000000007E-2</v>
      </c>
      <c r="D5" s="12">
        <v>0.2</v>
      </c>
      <c r="E5" s="12">
        <v>6.6699999999999995E-2</v>
      </c>
      <c r="F5" s="12">
        <v>0.05</v>
      </c>
      <c r="G5" s="12">
        <v>2.564102564102564E-2</v>
      </c>
    </row>
    <row r="6" spans="1:7" s="5" customFormat="1" ht="12.75" x14ac:dyDescent="0.2">
      <c r="A6" s="11">
        <v>4</v>
      </c>
      <c r="B6" s="12">
        <v>0.1152</v>
      </c>
      <c r="C6" s="12">
        <v>7.6999999999999999E-2</v>
      </c>
      <c r="D6" s="12">
        <v>0.2</v>
      </c>
      <c r="E6" s="12">
        <v>6.6699999999999995E-2</v>
      </c>
      <c r="F6" s="12">
        <v>0.05</v>
      </c>
      <c r="G6" s="12">
        <v>2.564102564102564E-2</v>
      </c>
    </row>
    <row r="7" spans="1:7" s="5" customFormat="1" ht="12.75" x14ac:dyDescent="0.2">
      <c r="A7" s="11">
        <v>5</v>
      </c>
      <c r="B7" s="12">
        <v>0.1152</v>
      </c>
      <c r="C7" s="12">
        <v>6.93E-2</v>
      </c>
      <c r="D7" s="12">
        <v>0.2</v>
      </c>
      <c r="E7" s="12">
        <v>6.6699999999999995E-2</v>
      </c>
      <c r="F7" s="12">
        <v>0.05</v>
      </c>
      <c r="G7" s="12">
        <v>2.564102564102564E-2</v>
      </c>
    </row>
    <row r="8" spans="1:7" s="5" customFormat="1" ht="12.75" x14ac:dyDescent="0.2">
      <c r="A8" s="11">
        <v>6</v>
      </c>
      <c r="B8" s="12">
        <v>5.7599999999999998E-2</v>
      </c>
      <c r="C8" s="12">
        <v>6.2300000000000001E-2</v>
      </c>
      <c r="D8" s="12">
        <v>0.1</v>
      </c>
      <c r="E8" s="12">
        <v>6.6699999999999995E-2</v>
      </c>
      <c r="F8" s="12">
        <v>0.05</v>
      </c>
      <c r="G8" s="12">
        <v>2.564102564102564E-2</v>
      </c>
    </row>
    <row r="9" spans="1:7" s="5" customFormat="1" ht="12.75" x14ac:dyDescent="0.2">
      <c r="A9" s="11">
        <v>7</v>
      </c>
      <c r="B9" s="14">
        <v>0</v>
      </c>
      <c r="C9" s="12">
        <v>5.8999999999999997E-2</v>
      </c>
      <c r="D9" s="12">
        <v>0</v>
      </c>
      <c r="E9" s="12">
        <v>6.6699999999999995E-2</v>
      </c>
      <c r="F9" s="12">
        <v>0.05</v>
      </c>
      <c r="G9" s="12">
        <v>2.564102564102564E-2</v>
      </c>
    </row>
    <row r="10" spans="1:7" s="5" customFormat="1" ht="12.75" x14ac:dyDescent="0.2">
      <c r="A10" s="11">
        <v>8</v>
      </c>
      <c r="B10" s="12">
        <v>0</v>
      </c>
      <c r="C10" s="12">
        <v>5.8999999999999997E-2</v>
      </c>
      <c r="D10" s="12">
        <v>0</v>
      </c>
      <c r="E10" s="12">
        <v>6.6600000000000006E-2</v>
      </c>
      <c r="F10" s="12">
        <v>0.05</v>
      </c>
      <c r="G10" s="12">
        <v>2.564102564102564E-2</v>
      </c>
    </row>
    <row r="11" spans="1:7" s="5" customFormat="1" ht="12.75" x14ac:dyDescent="0.2">
      <c r="A11" s="11">
        <v>9</v>
      </c>
      <c r="B11" s="12">
        <v>0</v>
      </c>
      <c r="C11" s="12">
        <v>5.91E-2</v>
      </c>
      <c r="D11" s="12">
        <v>0</v>
      </c>
      <c r="E11" s="12">
        <v>6.6699999999999995E-2</v>
      </c>
      <c r="F11" s="12">
        <v>0.05</v>
      </c>
      <c r="G11" s="12">
        <v>2.564102564102564E-2</v>
      </c>
    </row>
    <row r="12" spans="1:7" s="5" customFormat="1" ht="12.75" x14ac:dyDescent="0.2">
      <c r="A12" s="11">
        <v>10</v>
      </c>
      <c r="B12" s="12">
        <v>0</v>
      </c>
      <c r="C12" s="12">
        <v>5.8999999999999997E-2</v>
      </c>
      <c r="D12" s="12">
        <v>0</v>
      </c>
      <c r="E12" s="12">
        <v>6.6600000000000006E-2</v>
      </c>
      <c r="F12" s="12">
        <v>0.05</v>
      </c>
      <c r="G12" s="12">
        <v>2.564102564102564E-2</v>
      </c>
    </row>
    <row r="13" spans="1:7" s="5" customFormat="1" ht="12.75" x14ac:dyDescent="0.2">
      <c r="A13" s="11">
        <v>11</v>
      </c>
      <c r="B13" s="12">
        <v>0</v>
      </c>
      <c r="C13" s="12">
        <v>5.91E-2</v>
      </c>
      <c r="D13" s="12">
        <v>0</v>
      </c>
      <c r="E13" s="12">
        <v>6.6699999999999995E-2</v>
      </c>
      <c r="F13" s="12">
        <v>0.05</v>
      </c>
      <c r="G13" s="12">
        <v>2.564102564102564E-2</v>
      </c>
    </row>
    <row r="14" spans="1:7" s="5" customFormat="1" ht="12.75" x14ac:dyDescent="0.2">
      <c r="A14" s="11">
        <v>12</v>
      </c>
      <c r="B14" s="12">
        <v>0</v>
      </c>
      <c r="C14" s="12">
        <v>5.8999999999999997E-2</v>
      </c>
      <c r="D14" s="12">
        <v>0</v>
      </c>
      <c r="E14" s="12">
        <v>6.6600000000000006E-2</v>
      </c>
      <c r="F14" s="12">
        <v>0.05</v>
      </c>
      <c r="G14" s="12">
        <v>2.564102564102564E-2</v>
      </c>
    </row>
    <row r="15" spans="1:7" s="5" customFormat="1" ht="12.75" x14ac:dyDescent="0.2">
      <c r="A15" s="11">
        <v>13</v>
      </c>
      <c r="B15" s="12">
        <v>0</v>
      </c>
      <c r="C15" s="12">
        <v>5.91E-2</v>
      </c>
      <c r="D15" s="12">
        <v>0</v>
      </c>
      <c r="E15" s="12">
        <v>6.6699999999999995E-2</v>
      </c>
      <c r="F15" s="12">
        <v>0.05</v>
      </c>
      <c r="G15" s="12">
        <v>2.564102564102564E-2</v>
      </c>
    </row>
    <row r="16" spans="1:7" s="5" customFormat="1" ht="12.75" x14ac:dyDescent="0.2">
      <c r="A16" s="11">
        <v>14</v>
      </c>
      <c r="B16" s="12">
        <v>0</v>
      </c>
      <c r="C16" s="12">
        <v>5.8999999999999997E-2</v>
      </c>
      <c r="D16" s="12">
        <v>0</v>
      </c>
      <c r="E16" s="12">
        <v>6.6600000000000006E-2</v>
      </c>
      <c r="F16" s="12">
        <v>0.05</v>
      </c>
      <c r="G16" s="12">
        <v>2.564102564102564E-2</v>
      </c>
    </row>
    <row r="17" spans="1:7" s="5" customFormat="1" ht="12.75" x14ac:dyDescent="0.2">
      <c r="A17" s="11">
        <v>15</v>
      </c>
      <c r="B17" s="12">
        <v>0</v>
      </c>
      <c r="C17" s="12">
        <v>5.91E-2</v>
      </c>
      <c r="D17" s="12">
        <v>0</v>
      </c>
      <c r="E17" s="12">
        <v>6.6699999999999995E-2</v>
      </c>
      <c r="F17" s="12">
        <v>0.05</v>
      </c>
      <c r="G17" s="12">
        <v>2.564102564102564E-2</v>
      </c>
    </row>
    <row r="18" spans="1:7" s="5" customFormat="1" ht="12.75" x14ac:dyDescent="0.2">
      <c r="A18" s="11">
        <v>16</v>
      </c>
      <c r="B18" s="12">
        <v>0</v>
      </c>
      <c r="C18" s="12">
        <v>2.9499999999999998E-2</v>
      </c>
      <c r="D18" s="12">
        <v>0</v>
      </c>
      <c r="E18" s="12">
        <v>3.3300000000000003E-2</v>
      </c>
      <c r="F18" s="12">
        <v>0.05</v>
      </c>
      <c r="G18" s="12">
        <v>2.564102564102564E-2</v>
      </c>
    </row>
    <row r="19" spans="1:7" s="5" customFormat="1" ht="12.75" x14ac:dyDescent="0.2">
      <c r="A19" s="11">
        <v>17</v>
      </c>
      <c r="B19" s="12">
        <v>0</v>
      </c>
      <c r="C19" s="12">
        <v>0</v>
      </c>
      <c r="D19" s="12">
        <v>0</v>
      </c>
      <c r="E19" s="12">
        <v>0</v>
      </c>
      <c r="F19" s="12">
        <v>0.05</v>
      </c>
      <c r="G19" s="12">
        <v>2.564102564102564E-2</v>
      </c>
    </row>
    <row r="20" spans="1:7" s="5" customFormat="1" ht="12.75" x14ac:dyDescent="0.2">
      <c r="A20" s="11">
        <v>18</v>
      </c>
      <c r="B20" s="12">
        <v>0</v>
      </c>
      <c r="C20" s="12">
        <v>0</v>
      </c>
      <c r="D20" s="12">
        <v>0</v>
      </c>
      <c r="E20" s="12">
        <v>0</v>
      </c>
      <c r="F20" s="12">
        <v>0.05</v>
      </c>
      <c r="G20" s="12">
        <v>2.564102564102564E-2</v>
      </c>
    </row>
    <row r="21" spans="1:7" s="5" customFormat="1" ht="12.75" x14ac:dyDescent="0.2">
      <c r="A21" s="11">
        <v>19</v>
      </c>
      <c r="B21" s="12">
        <v>0</v>
      </c>
      <c r="C21" s="12">
        <v>0</v>
      </c>
      <c r="D21" s="12">
        <v>0</v>
      </c>
      <c r="E21" s="12">
        <v>0</v>
      </c>
      <c r="F21" s="12">
        <v>0.05</v>
      </c>
      <c r="G21" s="12">
        <v>2.564102564102564E-2</v>
      </c>
    </row>
    <row r="22" spans="1:7" s="5" customFormat="1" ht="12.75" x14ac:dyDescent="0.2">
      <c r="A22" s="11">
        <v>20</v>
      </c>
      <c r="B22" s="12">
        <v>0</v>
      </c>
      <c r="C22" s="12">
        <v>0</v>
      </c>
      <c r="D22" s="12">
        <v>0</v>
      </c>
      <c r="E22" s="12">
        <v>0</v>
      </c>
      <c r="F22" s="12">
        <v>0.05</v>
      </c>
      <c r="G22" s="12">
        <v>2.564102564102564E-2</v>
      </c>
    </row>
    <row r="23" spans="1:7" s="5" customFormat="1" ht="12.75" x14ac:dyDescent="0.2">
      <c r="A23" s="11">
        <v>21</v>
      </c>
      <c r="B23" s="12">
        <v>0</v>
      </c>
      <c r="C23" s="12">
        <v>0</v>
      </c>
      <c r="D23" s="12">
        <v>0</v>
      </c>
      <c r="E23" s="12">
        <v>0</v>
      </c>
      <c r="F23" s="12">
        <v>2.5000000000000001E-2</v>
      </c>
      <c r="G23" s="12">
        <v>2.564102564102564E-2</v>
      </c>
    </row>
    <row r="24" spans="1:7" s="5" customFormat="1" ht="12.75" customHeight="1" x14ac:dyDescent="0.2">
      <c r="A24" s="11">
        <v>22</v>
      </c>
      <c r="B24" s="12">
        <v>0</v>
      </c>
      <c r="C24" s="12">
        <v>0</v>
      </c>
      <c r="D24" s="12">
        <v>0</v>
      </c>
      <c r="E24" s="12">
        <v>0</v>
      </c>
      <c r="F24" s="12">
        <v>0</v>
      </c>
      <c r="G24" s="12">
        <v>2.564102564102564E-2</v>
      </c>
    </row>
    <row r="25" spans="1:7" s="5" customFormat="1" ht="12.75" customHeight="1" x14ac:dyDescent="0.2">
      <c r="A25" s="11">
        <v>23</v>
      </c>
      <c r="B25" s="12">
        <v>0</v>
      </c>
      <c r="C25" s="12">
        <v>0</v>
      </c>
      <c r="D25" s="12">
        <v>0</v>
      </c>
      <c r="E25" s="12">
        <v>0</v>
      </c>
      <c r="F25" s="12">
        <v>0</v>
      </c>
      <c r="G25" s="12">
        <v>2.564102564102564E-2</v>
      </c>
    </row>
    <row r="26" spans="1:7" s="5" customFormat="1" ht="12.75" customHeight="1" x14ac:dyDescent="0.2">
      <c r="A26" s="11">
        <v>24</v>
      </c>
      <c r="B26" s="12">
        <v>0</v>
      </c>
      <c r="C26" s="12">
        <v>0</v>
      </c>
      <c r="D26" s="12">
        <v>0</v>
      </c>
      <c r="E26" s="12">
        <v>0</v>
      </c>
      <c r="F26" s="12">
        <v>0</v>
      </c>
      <c r="G26" s="12">
        <v>2.564102564102564E-2</v>
      </c>
    </row>
    <row r="27" spans="1:7" s="5" customFormat="1" ht="12.75" customHeight="1" x14ac:dyDescent="0.2">
      <c r="A27" s="11">
        <v>25</v>
      </c>
      <c r="B27" s="12">
        <v>0</v>
      </c>
      <c r="C27" s="12">
        <v>0</v>
      </c>
      <c r="D27" s="12">
        <v>0</v>
      </c>
      <c r="E27" s="12">
        <v>0</v>
      </c>
      <c r="F27" s="12">
        <v>0</v>
      </c>
      <c r="G27" s="12">
        <v>2.564102564102564E-2</v>
      </c>
    </row>
    <row r="28" spans="1:7" s="5" customFormat="1" ht="12.75" customHeight="1" x14ac:dyDescent="0.2">
      <c r="A28" s="11">
        <v>26</v>
      </c>
      <c r="B28" s="12">
        <v>0</v>
      </c>
      <c r="C28" s="12">
        <v>0</v>
      </c>
      <c r="D28" s="12">
        <v>0</v>
      </c>
      <c r="E28" s="12">
        <v>0</v>
      </c>
      <c r="F28" s="12">
        <v>0</v>
      </c>
      <c r="G28" s="12">
        <v>2.564102564102564E-2</v>
      </c>
    </row>
    <row r="29" spans="1:7" s="5" customFormat="1" ht="12.75" customHeight="1" x14ac:dyDescent="0.2">
      <c r="A29" s="11">
        <v>27</v>
      </c>
      <c r="B29" s="12">
        <v>0</v>
      </c>
      <c r="C29" s="12">
        <v>0</v>
      </c>
      <c r="D29" s="12">
        <v>0</v>
      </c>
      <c r="E29" s="12">
        <v>0</v>
      </c>
      <c r="F29" s="12">
        <v>0</v>
      </c>
      <c r="G29" s="12">
        <v>2.564102564102564E-2</v>
      </c>
    </row>
    <row r="30" spans="1:7" ht="12.75" customHeight="1" x14ac:dyDescent="0.25">
      <c r="A30" s="11">
        <v>28</v>
      </c>
      <c r="B30" s="12">
        <v>0</v>
      </c>
      <c r="C30" s="12">
        <v>0</v>
      </c>
      <c r="D30" s="12">
        <v>0</v>
      </c>
      <c r="E30" s="12">
        <v>0</v>
      </c>
      <c r="F30" s="12">
        <v>0</v>
      </c>
      <c r="G30" s="12">
        <v>2.564102564102564E-2</v>
      </c>
    </row>
    <row r="31" spans="1:7" ht="12.75" customHeight="1" x14ac:dyDescent="0.25">
      <c r="A31" s="11">
        <v>29</v>
      </c>
      <c r="B31" s="12">
        <v>0</v>
      </c>
      <c r="C31" s="12">
        <v>0</v>
      </c>
      <c r="D31" s="12">
        <v>0</v>
      </c>
      <c r="E31" s="12">
        <v>0</v>
      </c>
      <c r="F31" s="12">
        <v>0</v>
      </c>
      <c r="G31" s="12">
        <v>2.564102564102564E-2</v>
      </c>
    </row>
    <row r="32" spans="1:7" ht="12.75" customHeight="1" x14ac:dyDescent="0.25">
      <c r="A32" s="11">
        <v>30</v>
      </c>
      <c r="B32" s="12">
        <v>0</v>
      </c>
      <c r="C32" s="12">
        <v>0</v>
      </c>
      <c r="D32" s="12">
        <v>0</v>
      </c>
      <c r="E32" s="12">
        <v>0</v>
      </c>
      <c r="F32" s="12">
        <v>0</v>
      </c>
      <c r="G32" s="12">
        <v>2.564102564102564E-2</v>
      </c>
    </row>
    <row r="33" spans="1:7" ht="12.75" customHeight="1" x14ac:dyDescent="0.25">
      <c r="A33" s="11">
        <v>31</v>
      </c>
      <c r="B33" s="12">
        <v>0</v>
      </c>
      <c r="C33" s="12">
        <v>0</v>
      </c>
      <c r="D33" s="12">
        <v>0</v>
      </c>
      <c r="E33" s="12">
        <v>0</v>
      </c>
      <c r="F33" s="12">
        <v>0</v>
      </c>
      <c r="G33" s="12">
        <v>2.564102564102564E-2</v>
      </c>
    </row>
    <row r="34" spans="1:7" ht="12.75" customHeight="1" x14ac:dyDescent="0.25">
      <c r="A34" s="11">
        <v>32</v>
      </c>
      <c r="B34" s="12">
        <v>0</v>
      </c>
      <c r="C34" s="12">
        <v>0</v>
      </c>
      <c r="D34" s="12">
        <v>0</v>
      </c>
      <c r="E34" s="12">
        <v>0</v>
      </c>
      <c r="F34" s="12">
        <v>0</v>
      </c>
      <c r="G34" s="12">
        <v>2.564102564102564E-2</v>
      </c>
    </row>
    <row r="35" spans="1:7" ht="12.75" customHeight="1" x14ac:dyDescent="0.25">
      <c r="A35" s="11">
        <v>33</v>
      </c>
      <c r="B35" s="12">
        <v>0</v>
      </c>
      <c r="C35" s="12">
        <v>0</v>
      </c>
      <c r="D35" s="12">
        <v>0</v>
      </c>
      <c r="E35" s="12">
        <v>0</v>
      </c>
      <c r="F35" s="12">
        <v>0</v>
      </c>
      <c r="G35" s="12">
        <v>2.564102564102564E-2</v>
      </c>
    </row>
    <row r="36" spans="1:7" ht="12.75" customHeight="1" x14ac:dyDescent="0.25">
      <c r="A36" s="11">
        <v>34</v>
      </c>
      <c r="B36" s="12">
        <v>0</v>
      </c>
      <c r="C36" s="12">
        <v>0</v>
      </c>
      <c r="D36" s="12">
        <v>0</v>
      </c>
      <c r="E36" s="12">
        <v>0</v>
      </c>
      <c r="F36" s="12">
        <v>0</v>
      </c>
      <c r="G36" s="12">
        <v>2.564102564102564E-2</v>
      </c>
    </row>
    <row r="37" spans="1:7" ht="12.75" customHeight="1" x14ac:dyDescent="0.25">
      <c r="A37" s="11">
        <v>35</v>
      </c>
      <c r="B37" s="12">
        <v>0</v>
      </c>
      <c r="C37" s="12">
        <v>0</v>
      </c>
      <c r="D37" s="12">
        <v>0</v>
      </c>
      <c r="E37" s="12">
        <v>0</v>
      </c>
      <c r="F37" s="12">
        <v>0</v>
      </c>
      <c r="G37" s="12">
        <v>2.564102564102564E-2</v>
      </c>
    </row>
    <row r="38" spans="1:7" ht="12.75" customHeight="1" x14ac:dyDescent="0.25">
      <c r="A38" s="11">
        <v>36</v>
      </c>
      <c r="B38" s="12">
        <v>0</v>
      </c>
      <c r="C38" s="12">
        <v>0</v>
      </c>
      <c r="D38" s="12">
        <v>0</v>
      </c>
      <c r="E38" s="12">
        <v>0</v>
      </c>
      <c r="F38" s="12">
        <v>0</v>
      </c>
      <c r="G38" s="12">
        <v>2.564102564102564E-2</v>
      </c>
    </row>
    <row r="39" spans="1:7" ht="12.75" customHeight="1" x14ac:dyDescent="0.25">
      <c r="A39" s="11">
        <v>37</v>
      </c>
      <c r="B39" s="12">
        <v>0</v>
      </c>
      <c r="C39" s="12">
        <v>0</v>
      </c>
      <c r="D39" s="12">
        <v>0</v>
      </c>
      <c r="E39" s="12">
        <v>0</v>
      </c>
      <c r="F39" s="12">
        <v>0</v>
      </c>
      <c r="G39" s="12">
        <v>2.564102564102564E-2</v>
      </c>
    </row>
    <row r="40" spans="1:7" ht="12.75" customHeight="1" x14ac:dyDescent="0.25">
      <c r="A40" s="11">
        <v>38</v>
      </c>
      <c r="B40" s="12">
        <v>0</v>
      </c>
      <c r="C40" s="12">
        <v>0</v>
      </c>
      <c r="D40" s="12">
        <v>0</v>
      </c>
      <c r="E40" s="12">
        <v>0</v>
      </c>
      <c r="F40" s="12">
        <v>0</v>
      </c>
      <c r="G40" s="12">
        <v>2.564102564102564E-2</v>
      </c>
    </row>
    <row r="41" spans="1:7" ht="12.75" customHeight="1" x14ac:dyDescent="0.25">
      <c r="A41" s="11">
        <v>39</v>
      </c>
      <c r="B41" s="12">
        <v>0</v>
      </c>
      <c r="C41" s="12">
        <v>0</v>
      </c>
      <c r="D41" s="12">
        <v>0</v>
      </c>
      <c r="E41" s="12">
        <v>0</v>
      </c>
      <c r="F41" s="12">
        <v>0</v>
      </c>
      <c r="G41" s="12">
        <v>2.564102564102564E-2</v>
      </c>
    </row>
    <row r="42" spans="1:7" ht="12.75" customHeight="1" x14ac:dyDescent="0.25">
      <c r="A42" s="15">
        <v>40</v>
      </c>
      <c r="B42" s="16">
        <v>0</v>
      </c>
      <c r="C42" s="16">
        <v>0</v>
      </c>
      <c r="D42" s="16">
        <v>0</v>
      </c>
      <c r="E42" s="16">
        <v>0</v>
      </c>
      <c r="F42" s="16">
        <v>0</v>
      </c>
      <c r="G42" s="16">
        <f t="shared" ref="G42" si="0">2.56410256410256%*0.5</f>
        <v>1.2820512820512799E-2</v>
      </c>
    </row>
    <row r="43" spans="1:7" x14ac:dyDescent="0.25">
      <c r="A43" t="s">
        <v>177</v>
      </c>
    </row>
    <row r="44" spans="1:7" x14ac:dyDescent="0.25">
      <c r="A44" t="s">
        <v>178</v>
      </c>
    </row>
  </sheetData>
  <pageMargins left="0.5" right="0.5" top="0.5" bottom="0.75" header="0.3" footer="0.3"/>
  <pageSetup scale="93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147</vt:i4>
      </vt:variant>
    </vt:vector>
  </HeadingPairs>
  <TitlesOfParts>
    <vt:vector size="151" baseType="lpstr">
      <vt:lpstr>Inputs</vt:lpstr>
      <vt:lpstr>Results Summary</vt:lpstr>
      <vt:lpstr>Cash Flow</vt:lpstr>
      <vt:lpstr>Depreciation Schedules</vt:lpstr>
      <vt:lpstr>AnalysisPeriod</vt:lpstr>
      <vt:lpstr>CapacityDC</vt:lpstr>
      <vt:lpstr>CBIFed</vt:lpstr>
      <vt:lpstr>CBIFedFedDeprec</vt:lpstr>
      <vt:lpstr>CBIFedFedTax</vt:lpstr>
      <vt:lpstr>CBIFedStateDeprec</vt:lpstr>
      <vt:lpstr>CBIFedStateTax</vt:lpstr>
      <vt:lpstr>CBIOther</vt:lpstr>
      <vt:lpstr>CBIOtherFedDeprec</vt:lpstr>
      <vt:lpstr>CBIOtherFedTax</vt:lpstr>
      <vt:lpstr>CBIOtherStateDeprec</vt:lpstr>
      <vt:lpstr>CBIOtherStateTax</vt:lpstr>
      <vt:lpstr>CBIState</vt:lpstr>
      <vt:lpstr>CBIStateFedDeprec</vt:lpstr>
      <vt:lpstr>CBIStateFedTax</vt:lpstr>
      <vt:lpstr>CBIStateStateDeprec</vt:lpstr>
      <vt:lpstr>CBIStateStateTax</vt:lpstr>
      <vt:lpstr>CBIUtility</vt:lpstr>
      <vt:lpstr>CBIUtilityFedDeprec</vt:lpstr>
      <vt:lpstr>CBIUtilityFedTax</vt:lpstr>
      <vt:lpstr>CBIUtilityStateDeprec</vt:lpstr>
      <vt:lpstr>CBIUtilityStateTax</vt:lpstr>
      <vt:lpstr>DiscountRate</vt:lpstr>
      <vt:lpstr>FedBasisReduction</vt:lpstr>
      <vt:lpstr>FedBonusDeprec</vt:lpstr>
      <vt:lpstr>FedPTCAmount</vt:lpstr>
      <vt:lpstr>FedPTCTerm</vt:lpstr>
      <vt:lpstr>FedTax</vt:lpstr>
      <vt:lpstr>IBIFedFixed</vt:lpstr>
      <vt:lpstr>IBIFedFixedFedDeprec</vt:lpstr>
      <vt:lpstr>IBIFedFixedFedTax</vt:lpstr>
      <vt:lpstr>IBIFedFixedStateDeprec</vt:lpstr>
      <vt:lpstr>IBIFedFixedStateTax</vt:lpstr>
      <vt:lpstr>IBIFedPercent</vt:lpstr>
      <vt:lpstr>IBIFedPercentFedDeprec</vt:lpstr>
      <vt:lpstr>IBIFedPercentFedTax</vt:lpstr>
      <vt:lpstr>IBIFedPercentStateDeprec</vt:lpstr>
      <vt:lpstr>IBIFedPercentStateTax</vt:lpstr>
      <vt:lpstr>IBIOtherFixed</vt:lpstr>
      <vt:lpstr>IBIOtherFixedFedDeprec</vt:lpstr>
      <vt:lpstr>IBIOtherFixedFedTax</vt:lpstr>
      <vt:lpstr>IBIOtherFixedStateDeprec</vt:lpstr>
      <vt:lpstr>IBIOtherFixedStateTax</vt:lpstr>
      <vt:lpstr>IBIOtherPercent</vt:lpstr>
      <vt:lpstr>IBIOtherPercentFedDeprec</vt:lpstr>
      <vt:lpstr>IBIOtherPercentFedTax</vt:lpstr>
      <vt:lpstr>IBIOtherPercentStateDeprec</vt:lpstr>
      <vt:lpstr>IBIOtherPercentStateTax</vt:lpstr>
      <vt:lpstr>IBIStateFixed</vt:lpstr>
      <vt:lpstr>IBIStateFixedFedDeprec</vt:lpstr>
      <vt:lpstr>IBIStateFixedFedTax</vt:lpstr>
      <vt:lpstr>IBIStateFixedStateDeprec</vt:lpstr>
      <vt:lpstr>IBIStateFixedStateTax</vt:lpstr>
      <vt:lpstr>IBIStatePercent</vt:lpstr>
      <vt:lpstr>IBIStatePercentFedDeprec</vt:lpstr>
      <vt:lpstr>IBIStatePercentFedTax</vt:lpstr>
      <vt:lpstr>IBIStatePercentStateDeprec</vt:lpstr>
      <vt:lpstr>IBIStatePercentStateTax</vt:lpstr>
      <vt:lpstr>IBIUtilityFixed</vt:lpstr>
      <vt:lpstr>IBIUtilityFixedFedDeprec</vt:lpstr>
      <vt:lpstr>IBIUtilityFixedFedTax</vt:lpstr>
      <vt:lpstr>IBIUtilityFixedStateDeprec</vt:lpstr>
      <vt:lpstr>IBIUtilityFixedStateTax</vt:lpstr>
      <vt:lpstr>IBIUtilityPercent</vt:lpstr>
      <vt:lpstr>IBIUtilityPercentFedDeprec</vt:lpstr>
      <vt:lpstr>IBIUtilityPercentFedTax</vt:lpstr>
      <vt:lpstr>IBIUtilityPercentStateDeprec</vt:lpstr>
      <vt:lpstr>IBIUtilityPercentStateTax</vt:lpstr>
      <vt:lpstr>Inflation</vt:lpstr>
      <vt:lpstr>InterestOnReserves</vt:lpstr>
      <vt:lpstr>ITCFedFixed</vt:lpstr>
      <vt:lpstr>ITCFedFixedFedDeprec</vt:lpstr>
      <vt:lpstr>ITCFedFixedStateDeprec</vt:lpstr>
      <vt:lpstr>ITCFedMax</vt:lpstr>
      <vt:lpstr>ITCFedPercent</vt:lpstr>
      <vt:lpstr>ITCFedPercentFedDeprec</vt:lpstr>
      <vt:lpstr>ITCFedPercentStateDeprec</vt:lpstr>
      <vt:lpstr>ITCStateFixed</vt:lpstr>
      <vt:lpstr>ITCStateFixedFedDeprec</vt:lpstr>
      <vt:lpstr>ITCStateFixedStateDeprec</vt:lpstr>
      <vt:lpstr>ITCStateMax</vt:lpstr>
      <vt:lpstr>ITCStatePercent</vt:lpstr>
      <vt:lpstr>ITCStatePercentFedDeprec</vt:lpstr>
      <vt:lpstr>ITCStatePercentStateDeprec</vt:lpstr>
      <vt:lpstr>MMCost</vt:lpstr>
      <vt:lpstr>MMCost2</vt:lpstr>
      <vt:lpstr>MMCost3</vt:lpstr>
      <vt:lpstr>MMFedTaxTreatment</vt:lpstr>
      <vt:lpstr>MMFrequency</vt:lpstr>
      <vt:lpstr>MMFrequency2</vt:lpstr>
      <vt:lpstr>MMFrequency3</vt:lpstr>
      <vt:lpstr>MMStateTaxTreatment</vt:lpstr>
      <vt:lpstr>OMCapacity</vt:lpstr>
      <vt:lpstr>OMCapacityRealEsc</vt:lpstr>
      <vt:lpstr>OMFixedAnnual</vt:lpstr>
      <vt:lpstr>OMFixedAnnualRealEsc</vt:lpstr>
      <vt:lpstr>OMVariable</vt:lpstr>
      <vt:lpstr>OMVariableRealEsc</vt:lpstr>
      <vt:lpstr>PBIFed</vt:lpstr>
      <vt:lpstr>PBIFedDebtSwitch</vt:lpstr>
      <vt:lpstr>PBIFedEsc</vt:lpstr>
      <vt:lpstr>PBIFedFedTax</vt:lpstr>
      <vt:lpstr>PBIFedStateTax</vt:lpstr>
      <vt:lpstr>PBIFedTerm</vt:lpstr>
      <vt:lpstr>PBIOther</vt:lpstr>
      <vt:lpstr>PBIOtherDebtSwitch</vt:lpstr>
      <vt:lpstr>PBIOtherEsc</vt:lpstr>
      <vt:lpstr>PBIOtherFedTax</vt:lpstr>
      <vt:lpstr>PBIOtherStateTax</vt:lpstr>
      <vt:lpstr>PBIOtherTerm</vt:lpstr>
      <vt:lpstr>PBIState</vt:lpstr>
      <vt:lpstr>PBIStateDebtSwitch</vt:lpstr>
      <vt:lpstr>PBIStateEsc</vt:lpstr>
      <vt:lpstr>PBIStateFedTax</vt:lpstr>
      <vt:lpstr>PBIStateStateTax</vt:lpstr>
      <vt:lpstr>PBIStateTerm</vt:lpstr>
      <vt:lpstr>PBIUtility</vt:lpstr>
      <vt:lpstr>PBIUtilityDebtSwitch</vt:lpstr>
      <vt:lpstr>PBIUtilityEsc</vt:lpstr>
      <vt:lpstr>PBIUtilityFedTax</vt:lpstr>
      <vt:lpstr>PBIUtilityStateTax</vt:lpstr>
      <vt:lpstr>PBIUtilityTerm</vt:lpstr>
      <vt:lpstr>PreFinancingInstalledCostTotal</vt:lpstr>
      <vt:lpstr>PropertyTaxAssessedValue</vt:lpstr>
      <vt:lpstr>PropertyTaxDecline</vt:lpstr>
      <vt:lpstr>PropertyTaxRate</vt:lpstr>
      <vt:lpstr>SalesTaxRate</vt:lpstr>
      <vt:lpstr>SalesTaxTotal</vt:lpstr>
      <vt:lpstr>SalvageValue</vt:lpstr>
      <vt:lpstr>SOConstructionFinancing</vt:lpstr>
      <vt:lpstr>SODebtAmount</vt:lpstr>
      <vt:lpstr>SODebtRate</vt:lpstr>
      <vt:lpstr>SODebtTerm</vt:lpstr>
      <vt:lpstr>SODSCR</vt:lpstr>
      <vt:lpstr>SODSRASize</vt:lpstr>
      <vt:lpstr>SOInstalledCostTotal</vt:lpstr>
      <vt:lpstr>SOPPAPrice</vt:lpstr>
      <vt:lpstr>SOPPAPriceEsc</vt:lpstr>
      <vt:lpstr>SOReturnTarget</vt:lpstr>
      <vt:lpstr>SOReturnTargetYear</vt:lpstr>
      <vt:lpstr>SOWC</vt:lpstr>
      <vt:lpstr>StateBasisReduction</vt:lpstr>
      <vt:lpstr>StateBonusDeprec</vt:lpstr>
      <vt:lpstr>StatePTCAmount</vt:lpstr>
      <vt:lpstr>StatePTCTerm</vt:lpstr>
      <vt:lpstr>StateTax</vt:lpstr>
      <vt:lpstr>TotalInstalledCost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2013-12-20T17:51:51Z</dcterms:created>
  <dcterms:modified xsi:type="dcterms:W3CDTF">2014-08-07T23:45:23Z</dcterms:modified>
</cp:coreProperties>
</file>