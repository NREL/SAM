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1-January\Master List - January 2019\Mid January Update\"/>
    </mc:Choice>
  </mc:AlternateContent>
  <bookViews>
    <workbookView xWindow="0" yWindow="0" windowWidth="28800" windowHeight="12000"/>
  </bookViews>
  <sheets>
    <sheet name="Inverter-Full Data" sheetId="1" r:id="rId1"/>
    <sheet name="Dropdown" sheetId="2" state="hidden" r:id="rId2"/>
  </sheets>
  <functionGroups builtInGroupCount="18"/>
  <definedNames>
    <definedName name="_xlnm._FilterDatabase" localSheetId="0" hidden="1">'Inverter-Full Data'!$A$13:$BC$559</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<sst xmlns="http://schemas.openxmlformats.org/spreadsheetml/2006/main" count="8570" uniqueCount="1371">
  <si>
    <t>ABB</t>
  </si>
  <si>
    <t>Chint Power Systems America</t>
  </si>
  <si>
    <t>Delta Electronics</t>
  </si>
  <si>
    <t>HiQ Solar</t>
  </si>
  <si>
    <t>Pika Energy</t>
  </si>
  <si>
    <t>Power Electronics</t>
  </si>
  <si>
    <t>SMA America</t>
  </si>
  <si>
    <t>Sparq Systems</t>
  </si>
  <si>
    <t>SunPower</t>
  </si>
  <si>
    <t>Enphase Energy Inc.</t>
  </si>
  <si>
    <t>Y</t>
  </si>
  <si>
    <t>N</t>
  </si>
  <si>
    <t>Built-In Meter</t>
  </si>
  <si>
    <t>Microinverter</t>
  </si>
  <si>
    <t>Manufacturer Name</t>
  </si>
  <si>
    <t>Description</t>
  </si>
  <si>
    <t>Notes</t>
  </si>
  <si>
    <t>No Information Submitted</t>
  </si>
  <si>
    <t>Archive of the "Prior List of Eligible Inverters" Expired March 31, 2005. (Adobe PDF, 6 pages, 120 kilobytes).</t>
  </si>
  <si>
    <t>Guidelines for California's Solar Electric Incentive Programs (Senate Bill 1)</t>
  </si>
  <si>
    <t>(kW)</t>
  </si>
  <si>
    <t>(Vac)</t>
  </si>
  <si>
    <t>Nominal Voltage</t>
  </si>
  <si>
    <t>(%)</t>
  </si>
  <si>
    <t>Weighted Efficiency</t>
  </si>
  <si>
    <t>Blue colored text indicates that the model number occurs multiple times on the list under different manufacturer names.</t>
  </si>
  <si>
    <t>Multiple Listing of Power-One</t>
  </si>
  <si>
    <t>This component is specific to ACPV modules and is not available as an individual unit.</t>
  </si>
  <si>
    <t>SolarEdge Technologies Ltd.</t>
  </si>
  <si>
    <t>14.4 kW, 208 Vac, 3-phase Grid Support Utility Interactive Inverter</t>
  </si>
  <si>
    <t>10 kW, 480 Vac, 3-phase Grid Support Utility Interactive Inverter</t>
  </si>
  <si>
    <t>20 kW, 480 Vac, 3-phase Grid Support Utility Interactive Inverter</t>
  </si>
  <si>
    <t>33.3 kW, 480 Vac, 3-phase Grid Support Utility Interactive Inverter</t>
  </si>
  <si>
    <t>3 kW, 208 Vac, 1-phase Grid Support Utility Interactive Inverter, where x = (blank), A, or A-US.</t>
  </si>
  <si>
    <t>3 kW, 240 Vac, 1-phase Grid Support Utility Interactive Inverter, where x = (blank), A, or A-US.</t>
  </si>
  <si>
    <t>3.3 kW, 208 Vac, 1-phase Grid Support Utility Interactive Inverter, where x = (blank), A, or A-US.</t>
  </si>
  <si>
    <t>3.3 kW, 240 Vac, 1-phase Grid Support Utility Interactive Inverter, where x = (blank), A, or A-US.</t>
  </si>
  <si>
    <t>3.8 kW, 208 Vac, 1-phase Grid Support Utility Interactive Inverter, where x = (blank), A, or A-US.</t>
  </si>
  <si>
    <t>3.8 kW, 240 Vac, 1-phase Grid Support Utility Interactive Inverter, where x = (blank), A, or A-US.</t>
  </si>
  <si>
    <t>5 kW, 208 Vac, 1-phase Grid Support Utility Interactive Inverter, where x = (blank), A, or A-US.</t>
  </si>
  <si>
    <t>5 kW, 240 Vac, 1-phase Grid Support Utility Interactive Inverter, where x = (blank), A, or A-US.</t>
  </si>
  <si>
    <t>6 kW, 208 Vac, 1-phase Grid Support Utility Interactive Inverter, where x = (blank), A, or A-US.</t>
  </si>
  <si>
    <t>6 kW, 240 Vac, 1-phase Grid Support Utility Interactive Inverter, where x = (blank), A, or A-US.</t>
  </si>
  <si>
    <t>7.6 kW, 208 Vac, 1-phase Grid Support Utility Interactive Inverter</t>
  </si>
  <si>
    <t>7.6 kW, 240 Vac, 1-phase Grid Support Utility Interactive Inverter</t>
  </si>
  <si>
    <t>10 kW, 208 Vac, 1-phase Grid Support Utility Interactive Inverter</t>
  </si>
  <si>
    <t>10 kW, 240 Vac, 1-phase Grid Support Utility Interactive Inverter</t>
  </si>
  <si>
    <t>11.4 kW, 240 Vac, 1-phase Grid Support Utility Interactive Inverter</t>
  </si>
  <si>
    <t>5 kW, 240 Vac, 1-phase Grid Support Utility Interactive Inverter</t>
  </si>
  <si>
    <t>Inverter List Notes</t>
  </si>
  <si>
    <t>9 kW, 208 Vac, 3-phase Grid Support Utility Interactive Inverter</t>
  </si>
  <si>
    <t>3.3 kW, 208 Vac Grid Support Interactive Inverter with arc detector, revenue grade meter, Zigbee radio, and Rapid Shutdown power supply</t>
  </si>
  <si>
    <t>3.3 kW, 208 Vac Grid Support Interactive Inverter with arc detector and Rapid Shutdown power supply</t>
  </si>
  <si>
    <t>3.3 kW, 208 Vac Grid Support Interactive Inverter with arc detector, WLAN, and Rapid Shutdown power supply</t>
  </si>
  <si>
    <t>3.3 kW, 208 Vac Grid Support Interactive Inverter with arc detector, Ethernet LAN, and Rapid Shutdown power supply</t>
  </si>
  <si>
    <t>3.3 kW, 240 Vac Grid Support Interactive Inverter with arc detector, revenue grade meter, Zigbee radio, and Rapid Shutdown power supply</t>
  </si>
  <si>
    <t>3.3 kW, 240 Vac Grid Support Interactive Inverter with arc detector and Rapid Shutdown power supply</t>
  </si>
  <si>
    <t>3.3 kW, 240 Vac Grid Support Interactive Inverter with arc detector, WLAN, and Rapid Shutdown power supply</t>
  </si>
  <si>
    <t>3.3 kW, 240 Vac Grid Support Interactive Inverter with arc detector, Ethernet LAN, and Rapid Shutdown power supply</t>
  </si>
  <si>
    <t>3.8 kW, 208 Vac Grid Support Interactive Inverter with arc detector, revenue grade meter, Zigbee radio, and Rapid Shutdown power supply</t>
  </si>
  <si>
    <t>3.8 kW, 208 Vac Grid Support Interactive Inverter with arc detector and Rapid Shutdown power supply</t>
  </si>
  <si>
    <t>3.8 kW, 208 Vac Grid Support Interactive Inverter with arc detector, WLAN, and Rapid Shutdown power supply</t>
  </si>
  <si>
    <t>3.8 kW, 208 Vac Grid Support Interactive Inverter with arc detector, Ethernet LAN, and Rapid Shutdown power supply</t>
  </si>
  <si>
    <t>4.6 kW, 208 Vac Grid Support Interactive Inverter with arc detector, revenue grade meter, Zigbee radio, and Rapid Shutdown power supply</t>
  </si>
  <si>
    <t>4.6 kW, 208 Vac Grid Support Interactive Inverter with arc detector and Rapid Shutdown power supply</t>
  </si>
  <si>
    <t>4.6 kW, 208 Vac Grid Support Interactive Inverter with arc detector, WLAN, and Rapid Shutdown power supply</t>
  </si>
  <si>
    <t>4.6 kW, 208 Vac Grid Support Interactive Inverter with arc detector, Ethernet LAN, and Rapid Shutdown power supply</t>
  </si>
  <si>
    <t>5.0 kW, 208 Vac Grid Support Interactive Inverter with arc detector, revenue grade meter, Zigbee radio, and Rapid Shutdown power supply</t>
  </si>
  <si>
    <t>5.0 kW, 208 Vac Grid Support Interactive Inverter with arc detector and Rapid Shutdown power supply</t>
  </si>
  <si>
    <t>5.0 kW, 208 Vac Grid Support Interactive Inverter with arc detector, WLAN, and Rapid Shutdown power supply</t>
  </si>
  <si>
    <t>5.0 kW, 208 Vac Grid Support Interactive Inverter with arc detector, Ethernet LAN, and Rapid Shutdown power supply</t>
  </si>
  <si>
    <t>5.0 kW, 240 Vac Grid Support Interactive Inverter with arc detector, revenue grade meter, Zigbee radio, and Rapid Shutdown power supply</t>
  </si>
  <si>
    <t>5.0 kW, 240 Vac Grid Support Interactive Inverter with arc detector and Rapid Shutdown power supply</t>
  </si>
  <si>
    <t>5.0 kW, 240 Vac Grid Support Interactive Inverter with arc detector, WLAN, and Rapid Shutdown power supply</t>
  </si>
  <si>
    <t>5.0 kW, 240 Vac Grid Support Interactive Inverter with arc detector, Ethernet LAN, and Rapid Shutdown power supply</t>
  </si>
  <si>
    <t>3 kW, 208 Vac Grid Support Utility Interactive Inverter with arc detector</t>
  </si>
  <si>
    <t>3 kW, 240 Vac Grid Support Utility Interactive Inverter with arc detector</t>
  </si>
  <si>
    <t>3 kW, 277 Vac Grid Support Utility Interactive Inverter with arc detector</t>
  </si>
  <si>
    <t>3 kW, 208 Vac Grid Support Utility Interactive Inverter with arc-fault detection and meter</t>
  </si>
  <si>
    <t>3 kW, 240 Vac Grid Support Utility Interactive Inverter with arc-fault detection and meter</t>
  </si>
  <si>
    <t>3 kW, 277 Vac Grid Support Utility Interactive Inverter with arc-fault detection and meter</t>
  </si>
  <si>
    <t>3.6 kW, 208 Vac Grid Support Utility Interactive Inverter with arc detector</t>
  </si>
  <si>
    <t>3.6 kW, 240 Vac Grid Support Utility Interactive Inverter with arc detector</t>
  </si>
  <si>
    <t>3.6 kW, 277 Vac Grid Support Utility Interactive Inverter with arc detector</t>
  </si>
  <si>
    <t>3.6 kW, 208 Vac Grid Support Utility Interactive Inverter with arc-fault detection and meter</t>
  </si>
  <si>
    <t>3.6 kW, 240 Vac Grid Support Utility Interactive Inverter with arc-fault detection and meter</t>
  </si>
  <si>
    <t>3.6 kW, 277 Vac Grid Support Utility Interactive Inverter with arc-fault detection and meter</t>
  </si>
  <si>
    <t>3.3 kW, 208 Vac Grid Support Utility Interactive Inverter with arc detector</t>
  </si>
  <si>
    <t>3.3 kW, 208 Vac Grid Support Utility Interactive Inverter with arc-fault detection and meter</t>
  </si>
  <si>
    <t>3.8 kW, 240 Vac Grid Support Utility Interactive Inverter with arc-fault detection and meter</t>
  </si>
  <si>
    <t>3.8 kW, 277 Vac Grid Support Utility Interactive Inverter with arc-fault detection and meter</t>
  </si>
  <si>
    <t>3.8 kW, 240 Vac Grid Support Utility Interactive Inverter with arc detector, WLAN, and Rapid Shutdown power supply</t>
  </si>
  <si>
    <t>3.8 kW, 240 Vac Grid Support Utility Interactive Inverter with arc detector, Ethernet LAN, and Rapid Shutdown power supply</t>
  </si>
  <si>
    <t>3.8 kW, 240 Vac Grid Support Interactive Utility Inverter with arc detector, revenue grade meter, Zigbee radio, and Rapid Shutdown power supply</t>
  </si>
  <si>
    <t>3.8 kW, 240 Vac Grid Support Utility Interactive Inverter with arc detector and Rapid Shutdown power supply</t>
  </si>
  <si>
    <t>4.2 kW, 208 Vac Grid Support Utility Interactive Inverter with arc detector</t>
  </si>
  <si>
    <t>4.2 kW, 240 Vac Grid Support Utility Interactive Inverter with arc detector</t>
  </si>
  <si>
    <t>4.2 kW, 277 Vac Grid Support Utility Interactive Inverter with arc detector</t>
  </si>
  <si>
    <t>4.2 kW, 208 Vac Grid Support Utility Interactive Inverter with arc-fault detection and meter</t>
  </si>
  <si>
    <t>4.2 kW, 240 Vac Grid Support Utility Interactive Inverter with arc-fault detection and meter</t>
  </si>
  <si>
    <t>4.2 kW, 277 Vac Grid Support Utility Interactive Inverter with arc-fault detection and meter</t>
  </si>
  <si>
    <t>4.6 kW, 240 Vac Grid Support Utility Interactive Inverter with arc detector, WLAN, and Rapid Shutdown power supply</t>
  </si>
  <si>
    <t>4.6 kW, 240 Vac Grid Support Utility Interactive Inverter with arc detector, Ethernet LAN, and Rapid Shutdown power supply</t>
  </si>
  <si>
    <t>4.6 kW, 240 Vac Grid Support Utility Interactive Inverter with arc detector, revenue grade meter, Zigbee radio, and Rapid Shutdown power supply</t>
  </si>
  <si>
    <t>4.6 kW, 240 Vac Grid Support Utility Interactive Inverter with arc detector and Rapid Shutdown power supply</t>
  </si>
  <si>
    <t>5 kW, 208 Vac Grid Support Utility Interactive Inverter with arc detector</t>
  </si>
  <si>
    <t>5 kW, 240 Vac Grid Support Utility Interactive Inverter with arc detector</t>
  </si>
  <si>
    <t>5 kW, 277 Vac Grid Support Utility Interactive Inverter with arc detector</t>
  </si>
  <si>
    <t>5 kW, 208 Vac Grid Support Utility Interactive Inverter</t>
  </si>
  <si>
    <t>5 kW, 240 Vac Grid Support Utility Interactive Inverter</t>
  </si>
  <si>
    <t>5 kW, 277 Vac Grid Support Utility Interactive Inverter</t>
  </si>
  <si>
    <t>5 kW, 208 Vac Grid Support Utility Interactive Inverter with arc-fault detection and meter</t>
  </si>
  <si>
    <t>5 kW, 240 Vac Grid Support Utility Interactive Inverter with arc-fault detection and meter</t>
  </si>
  <si>
    <t>5 kW, 277 Vac Grid Support Utility Interactive Inverter with arc-fault detection and meter</t>
  </si>
  <si>
    <t>6 kW, 208 Vac Grid Support Utility Interactive Inverter</t>
  </si>
  <si>
    <t>6 kW, 240 Vac Grid Support Utility Interactive Inverter</t>
  </si>
  <si>
    <t>6 kW, 277 Vac Grid Support Utility Interactive Inverter</t>
  </si>
  <si>
    <t>6 kW, 208 Vac Grid Support Utility Interactive Inverter with arc-fault detection and meter</t>
  </si>
  <si>
    <t>6 kW, 240 Vac Grid Support Utility Interactive Inverter with arc-fault detection and meter</t>
  </si>
  <si>
    <t>6 kW, 277 Vac Grid Support Utility Interactive Inverter with arc-fault detection and meter</t>
  </si>
  <si>
    <t>3.8 kW, 240 Vac Grid Support Utility Interactive Inverter with arc detector</t>
  </si>
  <si>
    <t>3.8 kW, 277 Vac Grid Support Utility Interactive Inverter with arc detector</t>
  </si>
  <si>
    <t>50 kW, 480 Vac Grid Support Utility Interactive Inverter with arc detector</t>
  </si>
  <si>
    <t>60 kW, 480 Vac Grid Support Utility Interactive Inverter with arc detector</t>
  </si>
  <si>
    <t>50 kW, 480 Vac Grid Support Utility Interactive Inverter with 1 Inverter modules</t>
  </si>
  <si>
    <t>100 kW, 480 Vac Grid Support Utility Interactive Inverter with 2 Inverter modules</t>
  </si>
  <si>
    <t>150 kW, 480 Vac Grid Support Utility Interactive Inverter with 3 Inverter modules</t>
  </si>
  <si>
    <t>250 kW, 480 Vac Grid Support Utility Interactive Inverter with 5 Inverter modules</t>
  </si>
  <si>
    <t>50 kVA , 1000 Vdc, 480 Vac,  3-phase, non-isolated Grid Support Utility Interactive Inverter</t>
  </si>
  <si>
    <t>60 kVA , 1000 Vdc, 480 Vac,  3-phase, non-isolated Grid Support Utility Interactive Inverter</t>
  </si>
  <si>
    <t>Fronius International GmbH</t>
  </si>
  <si>
    <t>3800 W, 208 Vac Grid Support Utility Interactive Inverter with arc detector and meter</t>
  </si>
  <si>
    <t>3800 W, 240 Vac Grid Support Utility Interactive Inverter with arc detector and meter</t>
  </si>
  <si>
    <t>5000 W, 208 Vac Grid Support Utility Interactive Inverter with arc detector and meter</t>
  </si>
  <si>
    <t>5000 W, 240 Vac Grid Support Utility Interactive Inverter with arc detector and meter</t>
  </si>
  <si>
    <t>6000 W, 208 Vac Grid Support Utility Interactive Inverter with arc detector and meter</t>
  </si>
  <si>
    <t>6000 W, 240 Vac Grid Support Utility Interactive Inverter with arc detector and meter</t>
  </si>
  <si>
    <t>7600 W, 208 Vac Grid Support Utility Interactive Inverter with arc detector and meter</t>
  </si>
  <si>
    <t>7600 W, 240 Vac Grid Support Utility Interactive Inverter with arc detector and meter</t>
  </si>
  <si>
    <t>7900 W, 208 Vac Grid Support Utility Interactive Inverter with arc detector and meter</t>
  </si>
  <si>
    <t>8200 W, 240 Vac Grid Support Utility Interactive Inverter with arc detector and meter</t>
  </si>
  <si>
    <t>280 W, 208 Vac Grid Support Utility Interactive Microinverter where x = DC Connector type = 2 or 5</t>
  </si>
  <si>
    <t>280 W, 240 Vac Grid Support Utility Interactive Microinverter where x = DC Connector type = 2 or 5</t>
  </si>
  <si>
    <t>230 W, 208 Vac Grid Support Utility Interactive Microinverter for ACPV Module applications</t>
  </si>
  <si>
    <t>230 W, 208 Vac Grid Support Utility Interactive Microinverter where x = DC Connector type = 2 or 5</t>
  </si>
  <si>
    <t>230 W, 240 Vac Grid Support Utility Interactive Microinverter where x = DC Connector type = 2 or 5</t>
  </si>
  <si>
    <t>280 W, 208 Vac Grid Support Utility Interactive Microinverter for ACPV Module applications</t>
  </si>
  <si>
    <t>280 W, 240 Vac Grid Support Utility Interactive Microinverter for ACPV Module applications</t>
  </si>
  <si>
    <t>7.6 kW, 208 Vac transformerless Grid Support Utility Interactive Inverter with arc detector</t>
  </si>
  <si>
    <t>7.6 kW, 240 Vac transformerless Grid Support Utility Interactive Inverter with arc detector</t>
  </si>
  <si>
    <t>7.6 kW, 277 Vac transformerless Grid Support Utility Interactive Inverter with arc detector</t>
  </si>
  <si>
    <t>8.6 kW, 240 Vac transformerless Grid Support Utility Interactive Inverter with arc detector</t>
  </si>
  <si>
    <t>8.6 kW, 277 Vac transformerless Grid Support Utility Interactive Inverter with arc detector</t>
  </si>
  <si>
    <t>3.0 kW, 208 Vac transformerless Grid Support Utility Interactive Inverter</t>
  </si>
  <si>
    <t>3.0 kW, 240 Vac transformerless Grid Support Utility Interactive Inverter</t>
  </si>
  <si>
    <t>3.8 kW, 208 Vac transformerless Grid Support Utility Interactive Inverter</t>
  </si>
  <si>
    <t>3.8 kW, 240 Vac transformerless Grid Support Utility Interactive Inverter</t>
  </si>
  <si>
    <t>5.0 kW, 240 Vac transformerless Grid Support Utility Interactive Inverter</t>
  </si>
  <si>
    <t>5.0 kW, 208 Vac transformerless Grid Support Utility Interactive Inverter</t>
  </si>
  <si>
    <t>6.0 kW, 208 Vac transformerless Grid Support Utility Interactive Inverter</t>
  </si>
  <si>
    <t>6.0 kW, 240 Vac transformerless Grid Support Utility Interactive Inverter</t>
  </si>
  <si>
    <t>7.0 kW, 208 Vac transformerless Grid Support Utility Interactive Inverter</t>
  </si>
  <si>
    <t>7.7 kW, 208 Vac transformerless Grid Support Utility Interactive Inverter</t>
  </si>
  <si>
    <t>7.0 kW, 240 Vac transformerless Grid Support Utility Interactive Inverter</t>
  </si>
  <si>
    <t>7.7 kW, 240 Vac transformerless Grid Support Utility Interactive Inverter</t>
  </si>
  <si>
    <t>Sunny Tripower TL-US 12 kW, 480Vac, 3-phase, Transformerless Grid Support Utility Interactive Inverter</t>
  </si>
  <si>
    <t>Sunny Tripower TL-US 15 kW, 480Vac, 3-phase, Transformerless Grid Support Utility Interactive Inverter</t>
  </si>
  <si>
    <t>Sunny Tripower TL-US 20 kW, 480Vac, 3-phase, Transformerless Grid Support Utility Interactive Inverter</t>
  </si>
  <si>
    <t>Sunny Tripower TL-US 24 kW, 480Vac, 3-phase, Transformerless Grid Support Utility Interactive Inverter</t>
  </si>
  <si>
    <t>Sunny Tripower TL-US 30 kW, 480Vac, 3-phase, Transformerless Grid Support Utility Interactive Inverter</t>
  </si>
  <si>
    <t>9.995 kW, 480 Vac Grid Support Utility Interactive Inverter with arc detector and meter</t>
  </si>
  <si>
    <t>12.495 kW, 480 Vac Grid Support Utility Interactive Inverter with arc detector and meter</t>
  </si>
  <si>
    <t>14.995 kW, 480 Vac Grid Support Utility Interactive Inverter with arc detector and meter</t>
  </si>
  <si>
    <t>Grid Support Utility Interactive Inverter with arc detector and meter</t>
  </si>
  <si>
    <t>19.995 kW, 480 Vac Grid Support Utility Interactive Inverter with arc detector and meter</t>
  </si>
  <si>
    <t>22.727 kW, 480 Vac Grid Support Utility Interactive Inverter with arc detector and meter</t>
  </si>
  <si>
    <t>23.995 kW, 480 Vac Grid Support Utility Interactive Inverter with arc detector and meter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</si>
  <si>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</si>
  <si>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</si>
  <si>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</si>
  <si>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</si>
  <si>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</si>
  <si>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</si>
  <si>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</si>
  <si>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</si>
  <si>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</si>
  <si>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</si>
  <si>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</si>
  <si>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</si>
  <si>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</si>
  <si>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</si>
  <si>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</si>
  <si>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</si>
  <si>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</si>
  <si>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</si>
  <si>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Last Update</t>
  </si>
  <si>
    <t>(W)</t>
  </si>
  <si>
    <t>(Vdc)</t>
  </si>
  <si>
    <t>10% (kW)</t>
  </si>
  <si>
    <t>20% (kW)</t>
  </si>
  <si>
    <t>30% (kW)</t>
  </si>
  <si>
    <t>50% (kW)</t>
  </si>
  <si>
    <t>75% (kW)</t>
  </si>
  <si>
    <t>100% (kW)</t>
  </si>
  <si>
    <t>10% Pwr Lvl (%)</t>
  </si>
  <si>
    <t>20% Pwr Lvl (%)</t>
  </si>
  <si>
    <t>30% Pwr Lvl (%)</t>
  </si>
  <si>
    <t>50% Pwr Lvl (%)</t>
  </si>
  <si>
    <t>75% Pwr Lvl (%)</t>
  </si>
  <si>
    <t>100% Pwr Lvl (%)</t>
  </si>
  <si>
    <t>Wtd (%)</t>
  </si>
  <si>
    <t>36 kVA, 480 Vac, 1000 Vdc, 3-phase, non-isolated Grid Support Utility Interactive Inverter</t>
  </si>
  <si>
    <t>320 W, 208 Vac Grid Support Utility Interactive Microinverter for ACPV Module</t>
  </si>
  <si>
    <t>320 W, 240 Vac Grid Support Utility Interactive Microinverter for ACPV Module</t>
  </si>
  <si>
    <t>320 W, 208 Vac Grid Support Utility Interactive Microinverter</t>
  </si>
  <si>
    <t>320 W, 240 Vac Grid Support Utility Interactive Microinverter</t>
  </si>
  <si>
    <t>Sunny Tripower CORE1 50 kW, 480 Vac, 3-phase, transformerless Grid Support Utility Interactive Inverter</t>
  </si>
  <si>
    <t>Sunny Tripower TL-US, 30kW, 480Vac 3-phase, Transformerless, Grid Support Utility Interactive Inverter</t>
  </si>
  <si>
    <t>Sunny Tripower TL-US 12 kW, 480 Vac 3-phase, Grid Support Utility Interactive Inverter</t>
  </si>
  <si>
    <t>Sunny Tripower TL-US 15 kW, 480 Vac, 3-phase, transformerless Grid Support Utility Interactive Inverter</t>
  </si>
  <si>
    <t>Sunny Tripower TL-US 20 kW, 480 Vac, 3-phase, transformerless Grid Support Utility Interactive Inverter</t>
  </si>
  <si>
    <t>Sunny Tripower TL-US 24 kW, 480 Vac, 3-phase, transformerless Grid Support Utility Interactive Inverter</t>
  </si>
  <si>
    <t>Sunny Tripower TL-US 12 kW, 480 Vac, 3-phase, transformerless Grid Support Utility Interactive Inverter</t>
  </si>
  <si>
    <t>Multiple Listing of SMA America</t>
  </si>
  <si>
    <t>36 kVA , 480 Vac, 3-phase Grid Support Utility Interactive Inverter, non-isolated, 1000 Vdc</t>
  </si>
  <si>
    <t>50 kVA , 480 Vac, 3-phase Grid Support Utility Interactive Inverter, non-isolated, 1000Vdc</t>
  </si>
  <si>
    <t>60 kVA , 480 Vac, 3-phase Grid Support Utility Interactive Inverter, non-isolated, 1000Vdc</t>
  </si>
  <si>
    <t>Multiple Listing of CHINT POWER SYSTEMS America CPS SCA36KTL-DO/US and Solectria Renewables,LLC PVI 36TL-480</t>
  </si>
  <si>
    <t>Canadian Solar Inc.</t>
  </si>
  <si>
    <t>Multiple Listing of CHINT POWER SYSTEMS America CPS SCA50KTL-DO/US and Solectria Renewables,LLC PVI 50TL-480</t>
  </si>
  <si>
    <t>Multiple Listing of CHINT POWER SYSTEMS America CPS SCA60KTL-DO/US and Solectria Renewables,LLC PVI 60TL-480</t>
  </si>
  <si>
    <t>230 W, 240 Vac, Grid Support Utility Interactive Microinverter, where x = 2, 3, 4, or 5 and may be followed by -US</t>
  </si>
  <si>
    <t xml:space="preserve">230 W, 240 Vac, Grid Support Utility Interactive Microinverter, where x = 2, 3, 4, or 5 and may be followed by -US
</t>
  </si>
  <si>
    <t xml:space="preserve">270 W, 240 Vac, Grid Support Utility Interactive Microinverter, where x = 2, 3, 4, or 5 and may be followed by -US
</t>
  </si>
  <si>
    <t>270 W, 208 Vac, Grid Support Utility Interactive Microinverter, where x = 2, 3, 4 , or 5 and may be followed by -US</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</si>
  <si>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</si>
  <si>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</si>
  <si>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</si>
  <si>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4 kW, 208 Vac Grid Support Utility Interactive Inverter</t>
  </si>
  <si>
    <t>4 kW, 240 Vac Grid Support Utility Interactive Inverter</t>
  </si>
  <si>
    <t>4 kW, 277 Vac Grid Support Utility Interactive Inverter</t>
  </si>
  <si>
    <t>7 kW, 208 Vac Grid Support Utility Interactive Inverter</t>
  </si>
  <si>
    <t>7 kW, 240 Vac Grid Support Utility Interactive Inverter</t>
  </si>
  <si>
    <t>7 kW, 277 Vac Grid Support Utility Interactive Inverter</t>
  </si>
  <si>
    <t>7.6 kW, 208 Vac Grid Support Utility Interactive Inverter</t>
  </si>
  <si>
    <t>7.6 kW, 240 Vac Grid Support Utility Interactive Inverter</t>
  </si>
  <si>
    <t>7.6 kW, 277 Vac Grid Support Utility Interactive Inverter</t>
  </si>
  <si>
    <t>8 kW, 208 Vac, 110-480 Vdc Grid Support Utility Interactive Inverter with boosting circuit</t>
  </si>
  <si>
    <t>8 kW, 240 Vac, 110-480 Vdc Grid Support Utility Interactive Inverter with boosting circuit</t>
  </si>
  <si>
    <t>8 kW, 277 Vac, 110-480 Vdc Grid Support Utility Interactive Inverter with boosting circuit</t>
  </si>
  <si>
    <t>9 kW, 208 Vac, 110-480 Vdc Grid Support Utility Interactive Inverter with boosting circuit</t>
  </si>
  <si>
    <t>9 kW, 240 Vac, 110-480 Vdc Grid Support Utility Interactive Inverter with boosting circuit</t>
  </si>
  <si>
    <t>9 kW, 277 Vac, 110-480 Vdc Grid Support Utility Interactive Inverter with boosting circuit</t>
  </si>
  <si>
    <t>10 kW, 208 Vac, 110-480 Vdc Grid Support Utility Interactive Inverter with boosting circuit</t>
  </si>
  <si>
    <t>10 kW, 240 Vac, 110-480 Vdc Grid Support Utility Interactive Inverter with boosting circuit</t>
  </si>
  <si>
    <t>10 kW, 277 Vac, 110-480 Vdc Grid Support Utility Interactive Inverter with boosting circuit</t>
  </si>
  <si>
    <t>500 W, 1-phase Grid Support Utility Interactive Inverter</t>
  </si>
  <si>
    <t>Ningbo Ginlong Technologies Co.,Ltd.</t>
  </si>
  <si>
    <t>2.5 kW, 240 Vac, 1-phase Grid Support Utility Interactive Inverter</t>
  </si>
  <si>
    <t>3 kW, 240 Vac, 1-phase Grid Support Utility Interactive Inverter</t>
  </si>
  <si>
    <t>3.6 kW, 240 Vac, 1-phase Grid Support Utility Interactive Inverter</t>
  </si>
  <si>
    <t>4 kW, 240 Vac, 1-phase Grid Support Utility Interactive Inverter</t>
  </si>
  <si>
    <t>4.6 kW, 240 Vac, 1-phase Grid Support Utility Interactive Inverter</t>
  </si>
  <si>
    <t>6 kW, 240 Vac, 1-phase Utility Interactive Inverter, 2 channel</t>
  </si>
  <si>
    <t>6 kW, 240 Vac, 1-phase Grid Support Utility Interactive Inverter, 3 channel</t>
  </si>
  <si>
    <t>Multiple Listing of Flextronics Industrial Ltd, FLV-IA-6.0S1UA</t>
  </si>
  <si>
    <t>7 kW, 240 Vac, 1-phase Grid Support Utility Interactive Inverter</t>
  </si>
  <si>
    <t>Multiple Listing of Flextronics Industrial Ltd, FLV-IA-7.0S1UA</t>
  </si>
  <si>
    <t>Multiple Listing of Flextronics Industrial Ltd, FLV-IA-7.6S1UA</t>
  </si>
  <si>
    <t>8 kW, 240 Vac, 1-phase Grid Support Utility Interactive Inverter</t>
  </si>
  <si>
    <t>Multiple Listing of Flextronics Industrial Ltd, FLV-IA-8.0S1UA</t>
  </si>
  <si>
    <t>9 kW, 240 Vac, 1-phase Grid Support Utility Interactive Inverter</t>
  </si>
  <si>
    <t>Multiple Listing of Flextronics Industrial Ltd, FLV-IA-9.0S1UA</t>
  </si>
  <si>
    <t>Multiple Listing of Flextronics Industrial Ltd, FLV-IA-10.0S1UA</t>
  </si>
  <si>
    <t>3800W, 208Vac transformerless Grid Support Utility Interactive Inverter. All the SOLIVIA models are same firmare version tested for Grid Support Utility Interactive type.</t>
  </si>
  <si>
    <t>3800 W, 240 Vac transformerless Grid Support Utility Interactive Inverter. All the SOLIVIA models are same firmare version tested for Grid Support Utility Interactive type.</t>
  </si>
  <si>
    <t>5200W, 208Vac transformerless Grid Support Utility Interactive Inverter. All the SOLIVIA models are same firmare version tested for Grid Support Utility Interactive type.</t>
  </si>
  <si>
    <t>5200 W, 240Vac transformerless Grid Support Utility Interactive Inverter. All the SOLIVIA models are same firmare version tested for Grid Support Utility Interactive type.</t>
  </si>
  <si>
    <t>6600W, 208Vac transformerless Grid Support Utility Interactive Inverter. All the SOLIVIA models are same firmare version tested for Grid Support Utility Interactive type.</t>
  </si>
  <si>
    <t>7600W, 208Vac transformerless Grid Support Utility Interactive Inverter. All the SOLIVIA models are same firmare version tested for Grid Support Utility Interactive type.</t>
  </si>
  <si>
    <t>7600W,240Vac transformerless Grid Support Utility Interactive Inverter. All the SOLIVIA models are same firmare version tested for Grid Support Utility Interactive type.</t>
  </si>
  <si>
    <t>6.0 kW (208Vac) Grid Support Utility Interactive Inverter w/ arc detector, WLAN, RSD PSU</t>
  </si>
  <si>
    <t>6.0 kW (208Vac) Grid Support Utility Interactive Inverter w/ arc detector, cellular, RSD PSU</t>
  </si>
  <si>
    <t>6.0 kW (208Vac) Grid Support Utility Interactive Inverter w/ arc detector, WLAN, Ethernet card, RSD PSU</t>
  </si>
  <si>
    <t>6.0 kW (208Vac) Grid Support Utility Interactive Inverter w/ arc detector, Zigbee, Revenue Grade Meter, RSD PSU</t>
  </si>
  <si>
    <t>295 W DC, ACPV module with Enphase IQ6-60-ACM-US (240V) Microinverter</t>
  </si>
  <si>
    <t>This microinverter is sold as an individual unit but is only for ACPV modules</t>
  </si>
  <si>
    <t>290 W DC, ACPV module with Enphase IQ6-60-ACM-US (240V) Microinverter</t>
  </si>
  <si>
    <t>285 W DC, ACPV module with Enphase IQ6-60-ACM-US (240V) Microinverter</t>
  </si>
  <si>
    <t>280 W DC, ACPV module with Enphase IQ6-60-ACM-US (240V) Microinverter</t>
  </si>
  <si>
    <t>275 W DC, ACPV module with Enphase IQ6-60-ACM-US (240V) Microinverter</t>
  </si>
  <si>
    <t>270 W DC, ACPV module with Enphase IQ6-60-ACM-US (240V) Microinverter</t>
  </si>
  <si>
    <t>265 W DC, ACPV module with Enphase IQ6-60-ACM-US (240V) Microinverter</t>
  </si>
  <si>
    <t>260 W DC, ACPV module with Enphase IQ6-60-ACM-US (240V) Microinverter</t>
  </si>
  <si>
    <t>300 W DC, ACPV module with Enphase IQ6-60-ACM-US (240V) Microinverter</t>
  </si>
  <si>
    <t>30 kW, 480 Vac wall-mounted, bi-directional Grid Support Utility Interactive Energy Storage Inverter</t>
  </si>
  <si>
    <t>125 kW, 480 Vac, 3-phase bi-directional Grid Support Utility Interactive Inverter</t>
  </si>
  <si>
    <t>33 kW, 480 Vac, transformerless Grid Support Utility Interactive Inverter</t>
  </si>
  <si>
    <t>36 kW, 480 Vac, Transformerlss Grid Support Utility Interactive Inverter</t>
  </si>
  <si>
    <t>9995 W, 208 Vac, Grid Support Utility Interactive Inverter with arc detector and meter</t>
  </si>
  <si>
    <t>9995 W, 240 Vac, Grid Support Utility Interactive Inverter with arc detector and meter</t>
  </si>
  <si>
    <t>11,400 W, 208 Vac Grid Support Utility Interactive Inverter with arc detector and meter</t>
  </si>
  <si>
    <t>11,400 W, 240 Vac Grid Support Utility Interactive Inverter with arc detector and meter</t>
  </si>
  <si>
    <t>12,500 W, 208 Vac Grid Support Utility Interactive Inverter with arc detector and meter</t>
  </si>
  <si>
    <t>12,500 W, 240 Vac Grid Support Utility Interactive Inverter with arc detector and meter</t>
  </si>
  <si>
    <t>13,750 W, 208 Vac Grid Support Utility Interactive Inverter with arc detector and meter</t>
  </si>
  <si>
    <t>15,000 W, 240 Vac Grid Support Utility Interactive Inverter with arc detector and meter</t>
  </si>
  <si>
    <t>15,000W, 208 Vac Grid Support Utility Interactive Inverter with arc detector</t>
  </si>
  <si>
    <t>Jinko Solar Co.,Ltd.</t>
  </si>
  <si>
    <t>Shenzhen Sinexcel Electric Co., Ltd</t>
  </si>
  <si>
    <t>6.0 kW (240Vac) Grid Support Utility Interactive Inverter w/ arc detector, Zigbee, Revenue Grade Meter, RSD PSU</t>
  </si>
  <si>
    <t>6.0 kW (240Vac) Grid Support Utility Interactive Inverter w/ arc detector, WLAN, RSD PSU</t>
  </si>
  <si>
    <t>6.0 kW (240Vac) Grid Support Utility Interactive Inverter w/ arc detector, WLAN, Ethernet card, RSD PSU</t>
  </si>
  <si>
    <t>6.0 kW (240Vac) Grid Support Utility Interactive Inverter w/ arc detector, cellular, RSD PSU</t>
  </si>
  <si>
    <t>Maximum Continuous Output Power at Unity Power Factor</t>
  </si>
  <si>
    <t>Schneider Electric Solar Inverters USA, Inc.</t>
  </si>
  <si>
    <t>SG 60KU-M is 60kW, 480Vac transformerless Grid Support Utility Interactive Inverter.</t>
  </si>
  <si>
    <t xml:space="preserve"> Weighted Efficiency includes efficiency of ABB ZGSB-H-2500/35.</t>
  </si>
  <si>
    <t>Grid Support Utility Interactive Inverter with arc detector</t>
  </si>
  <si>
    <t>82.76 kW, 480 Vac Grid Support Utility Interactive Inverter, where xxx = 120, 121, or 122</t>
  </si>
  <si>
    <t>65.47 kW, 480 Vac Grid Support Utility Interactive Inverter, where xxx = 120, 121, or 122</t>
  </si>
  <si>
    <t>45.9 kW, 480 Vac Grid Support Utility Interactive Inverter, where xxx = 120, 121, or 122</t>
  </si>
  <si>
    <t>39.7 kW, 480 Vac Grid Support Utility Interactive Inverter, where xxx = 120, 121, or 122</t>
  </si>
  <si>
    <t>30.7 kW, 480 Vac Grid Support Utility Interactive Inverter, where xxx = 120, 121, or 122</t>
  </si>
  <si>
    <t>26.4 kW, 480 Vac Grid Support Utility Interactive Inverter, where xxx = 120, 121, or 122</t>
  </si>
  <si>
    <t>OutBack Power Technologies, Inc.</t>
  </si>
  <si>
    <t>4 kW, 120 VAC Grid Support Utility Interactive Inverter with external battery backup</t>
  </si>
  <si>
    <t>2.5 kW, 120 VAC Grid Support Utility Interactive Inverter with external battery backup</t>
  </si>
  <si>
    <t>3 kW, 120 VAC Grid Support Utility Interactive Inverter with external battery backup</t>
  </si>
  <si>
    <t>7.2 kW, 240 Vac Grid Support Utility Interactive Inverter with external battery backup and accessible neutral to allow 120 VAC loads to be backed up.</t>
  </si>
  <si>
    <t>3.6 kW, 240 Vac Grid Support Utility Interactive Inverter with external battery backup and accessible neutral to allow 120 VAC loads to be backed up.</t>
  </si>
  <si>
    <t>Chilicon Power LLC</t>
  </si>
  <si>
    <t>277 W, 208 Vac Grid Support Utility Interactive Inverter</t>
  </si>
  <si>
    <t>289 W, 240 Vac Grid Support Utility Interactive Inverter</t>
  </si>
  <si>
    <t>Tabuchi Electric Co., Ltd.</t>
  </si>
  <si>
    <t>5.5 kW, 240 Vac Grid Support Utility Interactive Hybrid Inverter with 2 kW Discharge Rate/10 kWh Storage Capacity</t>
  </si>
  <si>
    <t>5.5 kW, 240 Vac Grid Support Utility Interactive Hybrid Inverter with 3.3 kW Discharge Rate/20 kWh Storage Capacity</t>
  </si>
  <si>
    <t>11.4 kW, 208 Vac Grid Support Utility Interactive Inverter</t>
  </si>
  <si>
    <t>30 kW, 480 Vac, 3-phase Grid Support Utility Interactive Inverter</t>
  </si>
  <si>
    <t>Xiamen Kehua Hengsheng Co., Ltd.</t>
  </si>
  <si>
    <t>50 kW, 480 Vac Grid Support Utility Interactive Inverter</t>
  </si>
  <si>
    <t>60 kW, 480 Vac Grid Support Utility Interactive Inverter</t>
  </si>
  <si>
    <t>350 W DC, 240 Vac Grid Support Utility Interactive ACPV Module with SunPower MI-C-320-US240-1X Microinverter</t>
  </si>
  <si>
    <t>370 W DC, 240 Vac Grid Support Utility Interactive ACPV Module with SunPower MI-C-320-US240-1X Microinverter</t>
  </si>
  <si>
    <t>350 W DC, 208 Vac Grid Support Utility Interactive ACPV Module with SunPower MI-C-320-US208-1X Microinverter</t>
  </si>
  <si>
    <t>370 W DC, 208 Vac Grid Support Utility Interactive ACPV Module with SunPower MI-C-320-US208-1X Microinverter</t>
  </si>
  <si>
    <t>Sungrow Power Supply Co., Ltd.</t>
  </si>
  <si>
    <t>125kW, 600Vac transformerless Grid Support Utility Interactive Inverter.</t>
  </si>
  <si>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</si>
  <si>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</si>
  <si>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</si>
  <si>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</si>
  <si>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</si>
  <si>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</si>
  <si>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</si>
  <si>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</si>
  <si>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</si>
  <si>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</si>
  <si>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</si>
  <si>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</si>
  <si>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</si>
  <si>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</si>
  <si>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</si>
  <si>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</si>
  <si>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</si>
  <si>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</si>
  <si>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UNO-DM-3.8-TL-PLUS-US-SZ-RA </t>
    </r>
    <r>
      <rPr>
        <sz val="11"/>
        <color rgb="FF006666"/>
        <rFont val="Calibri"/>
        <family val="2"/>
        <scheme val="minor"/>
      </rPr>
      <t>[240V]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</si>
  <si>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</si>
  <si>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</si>
  <si>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</si>
  <si>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</si>
  <si>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</si>
  <si>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</si>
  <si>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</si>
  <si>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</si>
  <si>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</si>
  <si>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</si>
  <si>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</si>
  <si>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</si>
  <si>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</si>
  <si>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</si>
  <si>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</si>
  <si>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</si>
  <si>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</si>
  <si>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</si>
  <si>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</si>
  <si>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</si>
  <si>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</si>
  <si>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</si>
  <si>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</si>
  <si>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</si>
  <si>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</si>
  <si>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</si>
  <si>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</si>
  <si>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</si>
  <si>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t>Altenergy Power System Inc.</t>
  </si>
  <si>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</si>
  <si>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</si>
  <si>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</si>
  <si>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</si>
  <si>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</si>
  <si>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</si>
  <si>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</si>
  <si>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</si>
  <si>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</si>
  <si>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</si>
  <si>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</si>
  <si>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</si>
  <si>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</si>
  <si>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</si>
  <si>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</si>
  <si>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</si>
  <si>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</si>
  <si>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</si>
  <si>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</si>
  <si>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</si>
  <si>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</si>
  <si>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</si>
  <si>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</si>
  <si>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</si>
  <si>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</si>
  <si>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</si>
  <si>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</si>
  <si>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</si>
  <si>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</si>
  <si>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</si>
  <si>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</si>
  <si>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</si>
  <si>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</si>
  <si>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</si>
  <si>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</si>
  <si>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</si>
  <si>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</si>
  <si>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</si>
  <si>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</si>
  <si>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</si>
  <si>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SB5.0-1SP-US-40 </t>
    </r>
    <r>
      <rPr>
        <sz val="11"/>
        <color rgb="FF006666"/>
        <rFont val="Calibri"/>
        <family val="2"/>
        <scheme val="minor"/>
      </rPr>
      <t>[240V]</t>
    </r>
  </si>
  <si>
    <r>
      <t xml:space="preserve">SB5.0-1SP-US-40 </t>
    </r>
    <r>
      <rPr>
        <sz val="11"/>
        <color rgb="FF006666"/>
        <rFont val="Calibri"/>
        <family val="2"/>
        <scheme val="minor"/>
      </rPr>
      <t>[208V]</t>
    </r>
  </si>
  <si>
    <r>
      <t xml:space="preserve">SB6.0-1SP-US-40 </t>
    </r>
    <r>
      <rPr>
        <sz val="11"/>
        <color rgb="FF006666"/>
        <rFont val="Calibri"/>
        <family val="2"/>
        <scheme val="minor"/>
      </rPr>
      <t>[208V]</t>
    </r>
  </si>
  <si>
    <r>
      <t xml:space="preserve">SB6.0-1SP-US-40 </t>
    </r>
    <r>
      <rPr>
        <sz val="11"/>
        <color rgb="FF006666"/>
        <rFont val="Calibri"/>
        <family val="2"/>
        <scheme val="minor"/>
      </rPr>
      <t>[240V]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</si>
  <si>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</si>
  <si>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</si>
  <si>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SB7.0-1SP-US-40 </t>
    </r>
    <r>
      <rPr>
        <sz val="11"/>
        <color rgb="FF006666"/>
        <rFont val="Calibri"/>
        <family val="2"/>
        <scheme val="minor"/>
      </rPr>
      <t>[240V]</t>
    </r>
  </si>
  <si>
    <r>
      <t xml:space="preserve">STP24000TL-US-10 </t>
    </r>
    <r>
      <rPr>
        <sz val="11"/>
        <color rgb="FF006666"/>
        <rFont val="Calibri"/>
        <family val="2"/>
        <scheme val="minor"/>
      </rPr>
      <t>[480V]</t>
    </r>
  </si>
  <si>
    <r>
      <t xml:space="preserve">PVI 50TL-480 </t>
    </r>
    <r>
      <rPr>
        <sz val="11"/>
        <color rgb="FF006666"/>
        <rFont val="Calibri"/>
        <family val="2"/>
        <scheme val="minor"/>
      </rPr>
      <t>[480V]</t>
    </r>
  </si>
  <si>
    <r>
      <t xml:space="preserve">PVI 60TL-480 </t>
    </r>
    <r>
      <rPr>
        <sz val="11"/>
        <color rgb="FF006666"/>
        <rFont val="Calibri"/>
        <family val="2"/>
        <scheme val="minor"/>
      </rPr>
      <t>[480V]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</si>
  <si>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</si>
  <si>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</si>
  <si>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</si>
  <si>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</si>
  <si>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</si>
  <si>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</si>
  <si>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</si>
  <si>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</si>
  <si>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</si>
  <si>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</si>
  <si>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</si>
  <si>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</si>
  <si>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</si>
  <si>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</si>
  <si>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</si>
  <si>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</si>
  <si>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SPR-24000m-3 </t>
    </r>
    <r>
      <rPr>
        <sz val="11"/>
        <color rgb="FF006666"/>
        <rFont val="Calibri"/>
        <family val="2"/>
        <scheme val="minor"/>
      </rPr>
      <t>[480V]</t>
    </r>
  </si>
  <si>
    <r>
      <t xml:space="preserve">SPR-24000m-3-H </t>
    </r>
    <r>
      <rPr>
        <sz val="11"/>
        <color rgb="FF006666"/>
        <rFont val="Calibri"/>
        <family val="2"/>
        <scheme val="minor"/>
      </rPr>
      <t>[480V]</t>
    </r>
  </si>
  <si>
    <t>[3/9/2017]</t>
  </si>
  <si>
    <t>[A.4.0.B, B.4.2.2, C.2.0.0]</t>
  </si>
  <si>
    <t>[5/2/2017]</t>
  </si>
  <si>
    <t>[A.1.2.8, B.0.4.4, C.0.5.0]</t>
  </si>
  <si>
    <t>[2/7/2017]</t>
  </si>
  <si>
    <t>[A.4.1.0, B.4.2.0, C.2.0.0]</t>
  </si>
  <si>
    <t>[A.1.2.B , B.0.4.9, C.0.5.7]</t>
  </si>
  <si>
    <t>[A.0.1.5, B.0.2.3, C.0.2.4, D.0.0.F]</t>
  </si>
  <si>
    <t>[1/27/2017]</t>
  </si>
  <si>
    <t>[A.0.9.A, B.1.E.1, C.1.8.8]</t>
  </si>
  <si>
    <t>[8/2/2017]</t>
  </si>
  <si>
    <t>[V0.60]</t>
  </si>
  <si>
    <t>[7/6/2017]</t>
  </si>
  <si>
    <t>[V5.00]</t>
  </si>
  <si>
    <t>[11/15/2017]</t>
  </si>
  <si>
    <t>[3353]</t>
  </si>
  <si>
    <t>[7/31/2017]</t>
  </si>
  <si>
    <t>[4/10/2017]</t>
  </si>
  <si>
    <t>[A: 02.04.01, B: 02.04.01, C: 02.04.01]</t>
  </si>
  <si>
    <t>[10/27/2017]</t>
  </si>
  <si>
    <t>[V01.0X, V01.1X, V01.2X, V01.3X, V01.4X, V01.5X,V01.6X, V01.7X, V01.8X, V01.9X, V02.0X
]</t>
  </si>
  <si>
    <t>[7/20/2017]</t>
  </si>
  <si>
    <t>[8/14/2017]</t>
  </si>
  <si>
    <t>[v00.36.01]</t>
  </si>
  <si>
    <t>[6/29/2017]</t>
  </si>
  <si>
    <t>[01.06.03]</t>
  </si>
  <si>
    <t>[7/7/2017]</t>
  </si>
  <si>
    <t>[ReCerbo V0.3.14.7, Roach V0.26.9.0, Guard V0.10.2.10]</t>
  </si>
  <si>
    <t>[9/22/2017]</t>
  </si>
  <si>
    <t>[ReCerbo V0.3.14.8
Roach V0.26.16.0
Guard V0.10.7.0]</t>
  </si>
  <si>
    <t>[10/16/2017]</t>
  </si>
  <si>
    <t>[ReCerbo V0.3.14.8
Roach V0.26.18.0
Guard V0.10.7.0]</t>
  </si>
  <si>
    <t>[7/27/2017]</t>
  </si>
  <si>
    <t>[ReCerbo V0.3.14.7 , Roach V0.26.9.0 , Guard V0.10.2.10]</t>
  </si>
  <si>
    <t>[9/27/2017]</t>
  </si>
  <si>
    <t>[ReCerbo V0.3.14.8
Roach V0.10.7.0
Guard V0.26.14.0]</t>
  </si>
  <si>
    <t>[3/22/2017]</t>
  </si>
  <si>
    <t>[SUN2000 V200 R002C20]</t>
  </si>
  <si>
    <t>[9/29/2017]</t>
  </si>
  <si>
    <t>[SUN2000HA
V100R001]</t>
  </si>
  <si>
    <t>[9/6/2017]</t>
  </si>
  <si>
    <t>[V3.0]</t>
  </si>
  <si>
    <t>[08_01]</t>
  </si>
  <si>
    <t>[9/11/2017]</t>
  </si>
  <si>
    <t>[0C]</t>
  </si>
  <si>
    <t>[11/7/2017]</t>
  </si>
  <si>
    <t>[001.006.063]</t>
  </si>
  <si>
    <t>[11/22/2017]</t>
  </si>
  <si>
    <t>[11430]</t>
  </si>
  <si>
    <t>[10/13/2017]</t>
  </si>
  <si>
    <t>[KA 1.0]</t>
  </si>
  <si>
    <t>[KC 1.0]</t>
  </si>
  <si>
    <t>[9/18/2017]</t>
  </si>
  <si>
    <t>[V126]</t>
  </si>
  <si>
    <t>[4/23/2017]</t>
  </si>
  <si>
    <t>[1320, 130, 1420]</t>
  </si>
  <si>
    <t>[2/21/2017]</t>
  </si>
  <si>
    <t>[02.03.00.R]</t>
  </si>
  <si>
    <t>[7/13/2017]</t>
  </si>
  <si>
    <t>[2.03.04.R]</t>
  </si>
  <si>
    <t>[V1.01.19.R]</t>
  </si>
  <si>
    <t>[6/26/2017]</t>
  </si>
  <si>
    <t>[2.0.121]</t>
  </si>
  <si>
    <t>[6/7/2017]</t>
  </si>
  <si>
    <t>[2.52.326]</t>
  </si>
  <si>
    <t>[6/8/2017]</t>
  </si>
  <si>
    <t>[2.19.759]</t>
  </si>
  <si>
    <t>[9/20/2017]</t>
  </si>
  <si>
    <t>[9/7/2017]</t>
  </si>
  <si>
    <t>[DSP_SG60KU-M_V14_A]</t>
  </si>
  <si>
    <t>[DSP_SG125KHV_V11_A
LCD_SG125KHV_V03_A_M    ]</t>
  </si>
  <si>
    <t>[7/11/2017]</t>
  </si>
  <si>
    <t>[15732]</t>
  </si>
  <si>
    <t>[10/3/2017]</t>
  </si>
  <si>
    <t>[4.1]</t>
  </si>
  <si>
    <t>[11/27/2017]</t>
  </si>
  <si>
    <t>[Main CPU(28335):V1]</t>
  </si>
  <si>
    <t>Certificate Date [mo/day/yr]</t>
  </si>
  <si>
    <t>Firmware Version(s) Tested</t>
  </si>
  <si>
    <t>Performance data is the same as SE14.4KUS.</t>
  </si>
  <si>
    <t>43.2 kW, 208 Vac, 3-phase Grid Support Utility Interactive Inverter. (Made up of three SE14.4KUS installed together rated max output power = 43.2kW)</t>
  </si>
  <si>
    <t>[11/02/2017]</t>
  </si>
  <si>
    <t>Performance data is the same as SE33.3KUS.</t>
  </si>
  <si>
    <t>66.6 kW, 480 Vac, 3-phase Grid Support Utility Interactive Inverter. (Made up of two SE33.3KUS installed together rated max output power = 66.6kW).</t>
  </si>
  <si>
    <t>2500kW, 550Vac Grid Support Utility Interactive Inverter connect to grid via a 2500kVA medium voltage transformer.</t>
  </si>
  <si>
    <t>[5/16/2017]</t>
  </si>
  <si>
    <t>[DSP_SG2500U_V11_V1_A, LCD_SG2500U_V1_A_M]   </t>
  </si>
  <si>
    <t>50 kW, 480 Vac, Fanless, 3-phase Grid Support Utility Interactive Inverter,</t>
  </si>
  <si>
    <t>[12/25/2017]</t>
  </si>
  <si>
    <t>[19/01]</t>
  </si>
  <si>
    <t>Multiple Listing of Canadian Solar Incorporated. CSI-50KTL-GS-FLB</t>
  </si>
  <si>
    <t>50 kW, 480 Vac, 3-phase Grid Support Utility Interactive Inverter,</t>
  </si>
  <si>
    <t>Multiple Listing of Canadian Solar Incorporated. CSI-50KTL-GS-B</t>
  </si>
  <si>
    <t>60 kW, 480 Vac, 3-phase Grid Support Utility Interactive Inverter,</t>
  </si>
  <si>
    <t>Multiple Listing of Canadian Solar Incorporated. CSI-60KTL-GS-B</t>
  </si>
  <si>
    <t>66 kW, 480 Vac, 3-phase Grid Support Utility Interactive Inverter     </t>
  </si>
  <si>
    <t>Multiple Listing of Canadian Solar Incorporated. CSI-66KTL-GS-B</t>
  </si>
  <si>
    <t>[12/23/2017]</t>
  </si>
  <si>
    <t>Multiple Listing of Canadian Solar Incorporated. CSI-50KTL-GS-FL</t>
  </si>
  <si>
    <t>Multiple Listing of Canadian Solar Incorporated. CSI-50KTL-GS</t>
  </si>
  <si>
    <t>Multiple Listing of Canadian Solar Incorporated. CSI-60KTL-GS</t>
  </si>
  <si>
    <t>66 kW, 480 Vac, 3-phase Grid Support Utility Interactive Inverter.</t>
  </si>
  <si>
    <t>Multiple Listing of Canadian Solar Incorporated. CSI-66KTL-GS</t>
  </si>
  <si>
    <t>Canadian Solar Incorporated.</t>
  </si>
  <si>
    <t>50 kW, 480 Vac, Seperated Wiring Box, Fanless, 3-phase Grid Support Utility Interactive Inverter,</t>
  </si>
  <si>
    <t>[01/08/2018]</t>
  </si>
  <si>
    <t>Multiple Listing of Ningbo Ginlong Technologies Co., LTD Solis-50K-US-SW</t>
  </si>
  <si>
    <t>50 kW, 480 Vac, Seperated Wiring Box, 3-phase Grid Support Utility Interactive Inverter,</t>
  </si>
  <si>
    <t>Multiple Listing of Ningbo Ginlong Technologies Co., LTD Solis-50K-US-F-SW</t>
  </si>
  <si>
    <t>60 kW, 480 Vac, Seperated Wiring Box, 3-phase Grid Support Utility Interactive Inverter,</t>
  </si>
  <si>
    <t>Multiple Listing of Ningbo Ginlong Technologies Co., LTD Solis-60K-US-F-SW</t>
  </si>
  <si>
    <t>66 kW, 480 Vac, Seperated Wiring Box, 3-phase Grid Support Utility Interactive Inverter     </t>
  </si>
  <si>
    <t>Multiple Listing of Ningbo Ginlong Technologies Co., LTD Solis-66K-US-F-SW</t>
  </si>
  <si>
    <t>Multiple Listing of Ningbo Ginlong Technologies Co., LTD Solis-50K-US</t>
  </si>
  <si>
    <t>Multiple Listing of Ningbo Ginlong Technologies Co., LTD Solis-50K-US-F</t>
  </si>
  <si>
    <t>Multiple Listing of Ningbo Ginlong Technologies Co., LTD Solis-60K-US-F</t>
  </si>
  <si>
    <t>Multiple Listing of Ningbo Ginlong Technologies Co., LTD Solis-66K-US-F</t>
  </si>
  <si>
    <t>[12/08/2017]</t>
  </si>
  <si>
    <t>30 kW, 480 Vac Grid Support Utility Interactive Battery Charge controller</t>
  </si>
  <si>
    <t>30 kW, 480 Vac Grid Support Utility Interactive Inverter with PV and Battery Input for floating ground referenced arrays and batteries</t>
  </si>
  <si>
    <t>[6/29/2017];[12/28/2017]</t>
  </si>
  <si>
    <t>[V01.06.03];[V02.12.00]</t>
  </si>
  <si>
    <t xml:space="preserve">[6/29/2017];[12/28/2017]
</t>
  </si>
  <si>
    <t>230W, 240 Vac Grid Support Utility Interactive Microinverter for ACPV Module applications</t>
  </si>
  <si>
    <t>[V02.10.00];[V02.12.00]</t>
  </si>
  <si>
    <t>[08/28/2017]</t>
  </si>
  <si>
    <t>100 kW, 480 Vac, 3-phase Grid Support Utility Interactive Inverter. (Made up of three SE33.3KUS installed together rated max output power = 100kW).</t>
  </si>
  <si>
    <t>Yaskawa Solectria Solar</t>
  </si>
  <si>
    <t>Efficiency data is inclusive of three Phase transformer from the CSA C802.2 table with transformer efficiency of 98.8%.</t>
  </si>
  <si>
    <t>[01/09/2018]</t>
  </si>
  <si>
    <t>[D003  Checksum- D9E00BD0]</t>
  </si>
  <si>
    <t>DYNAPOWER COMPANY LLC</t>
  </si>
  <si>
    <t>[12/06/2017]</t>
  </si>
  <si>
    <t>[01/04/2018]</t>
  </si>
  <si>
    <t>[A320UD260C]</t>
  </si>
  <si>
    <t>355 W, 208 Vac Grid Support Utility Interactive, Monocrystalline ACPV module. DC Module: LG355Q1C-A5. Microinverter: LM320UE-A2.</t>
  </si>
  <si>
    <t>[12/15/2017]</t>
  </si>
  <si>
    <t>360 W, 208 Vac Grid Support Utility Interactive, Monocrystalline ACPV module. DC Module: LG360Q1C-A5. Microinverter: LM320UE-A2.</t>
  </si>
  <si>
    <t>365 W, 208 Vac Grid Support Utility Interactive, Monocrystalline ACPV module. DC Module: LG365Q1C-A5. Microinverter: LM320UE-A2.</t>
  </si>
  <si>
    <t>370 W, 208 Vac Grid Support Utility Interactive, Monocrystalline ACPV module. DC Module: LG370Q1C-A5. Microinverter: LM320UE-A2.</t>
  </si>
  <si>
    <t>355 W, 240 Vac Grid Support Utility Interactive, Monocrystalline ACPV module. DC Module: LG355Q1C-A5. Microinverter: LM320UE-A2.</t>
  </si>
  <si>
    <t>360 W, 240 Vac Grid Support Utility Interactive, Monocrystalline ACPV module. DC Module: LG360Q1C-A5. Microinverter: LM320UE-A2.</t>
  </si>
  <si>
    <t>365 W, 240 Vac Grid Support Utility Interactive, Monocrystalline ACPV module. DC Module: LG365Q1C-A5. Microinverter: LM320UE-A2.</t>
  </si>
  <si>
    <t>370 W, 240 Vac Grid Support Utility Interactive, Monocrystalline ACPV module. DC Module: LG370Q1C-A5. Microinverter: LM320UE-A2.</t>
  </si>
  <si>
    <t>25 kW, 480 Vac, 3-phase Grid Support Utility Interactive Inverter,</t>
  </si>
  <si>
    <t>[01/29/2018]</t>
  </si>
  <si>
    <t>[1D]</t>
  </si>
  <si>
    <t>30 kW, 480 Vac, 3-phase Grid Support Utility Interactive Inverter,</t>
  </si>
  <si>
    <t>36 kW, 480 Vac, 3-phase Grid Support Utility Interactive Inverter,</t>
  </si>
  <si>
    <t>40 kW, 480 Vac, 3-phase Grid Support Utility Interactive Inverter,</t>
  </si>
  <si>
    <t>40 kW, 480 Vac, 3-phase Grid Support Utility Interactive Inverter, with external Fan.</t>
  </si>
  <si>
    <t>25 kW, 480 Vac, Fanless, 3-phase Utility Interactive Inverter</t>
  </si>
  <si>
    <t>[01/31/2018]</t>
  </si>
  <si>
    <t>Multiple Listing of Ningbo Ginlong Technologies Co., Ltd. Solis-25K-US</t>
  </si>
  <si>
    <t>30 kW, 480 Vac, Fanless, 3-phase Utility Interactive Inverter</t>
  </si>
  <si>
    <t>Multiple Listing of Ningbo Ginlong Technologies Co., Ltd. Solis-30K-US</t>
  </si>
  <si>
    <t>36 kW, 480 Vac, Fanless, 3-phase Utility Interactive Inverter</t>
  </si>
  <si>
    <t>Multiple Listing of Ningbo Ginlong Technologies Co., Ltd. Solis-36K-US</t>
  </si>
  <si>
    <t>40 kW, 480 Vac, Fanless, 3-phase Utility Interactive Inverter</t>
  </si>
  <si>
    <t>Multiple Listing of Ningbo Ginlong Technologies Co., Ltd. Solis-40K-US</t>
  </si>
  <si>
    <t>40 kW, 480 Vac, 3-phase Utility Interactive Inverter, with external fan</t>
  </si>
  <si>
    <t>Multiple Listing of Ningbo Ginlong Technologies Co., Ltd. Solis-40K-US-F</t>
  </si>
  <si>
    <r>
      <t xml:space="preserve">SB7.7-1SP-US-40 </t>
    </r>
    <r>
      <rPr>
        <sz val="11"/>
        <color rgb="FF006666"/>
        <rFont val="Calibri"/>
        <family val="2"/>
        <scheme val="minor"/>
      </rPr>
      <t>[208V]</t>
    </r>
  </si>
  <si>
    <t>3648 W, 208 Vac transformerless Grid Support Utility Interactive Inverter</t>
  </si>
  <si>
    <t>[01/18/2018]</t>
  </si>
  <si>
    <t>[1.4.1]</t>
  </si>
  <si>
    <t>4000 W, 240 Vac transformerless Grid Support Utility Interactive Inverter</t>
  </si>
  <si>
    <t>4560 W, 208 Vac transformerless Grid Support Utility Interactive Inverter</t>
  </si>
  <si>
    <t>5000 W, 240 Vac transformerless Grid Support Utility Interactive Inverter</t>
  </si>
  <si>
    <t>5472 W, 208 Vac transformerless Grid Support Utility Interactive Inverter.</t>
  </si>
  <si>
    <t>6000 W, 240 Vac transformerless Grid Support Utility Interactive Inverter</t>
  </si>
  <si>
    <t>7296 W, 208 Vac transformerless Grid Support Utility Interactive Inverter</t>
  </si>
  <si>
    <t>8000 W, 240 Vac transformerless Grid Support Utility Interactive Inverter</t>
  </si>
  <si>
    <t>548 W, 240 Vac Grid Support Utility Interactive Microinverter, Rack mounted</t>
  </si>
  <si>
    <t>[02/10/2018]</t>
  </si>
  <si>
    <t>[V5]</t>
  </si>
  <si>
    <t>Darfon Electronics Corp.</t>
  </si>
  <si>
    <t>40 kW, 480 Vac, transformerless Grid Support Utility Interactive Inverter</t>
  </si>
  <si>
    <t>30 kW, 480 Vac Grid Support Utility Interactive Battery Charge controller with additional Photovoltaic input</t>
  </si>
  <si>
    <t>30 kW, 480 Vac Grid Support Utility Interactive Inverter with PV and Battery Input for ground referenced arrays and batteries</t>
  </si>
  <si>
    <t>5000 W, 240 Vac Grid Support Utility Interactive Inverter, where x = 0-9, A-Z or blank, (0-9 for color; A-Z for customer)</t>
  </si>
  <si>
    <t>[11/30/2017]</t>
  </si>
  <si>
    <t>[INV DSP: INV 1.2, EEROM: EE 1.0]</t>
  </si>
  <si>
    <t>750 kW, 1000 Vdc, 380Vac, 3-Phase Grid Support Utility Interactive Inverter</t>
  </si>
  <si>
    <t>500 kW, 1000 Vdc, 380 Vac, 3-Phase Grid Support Utility Interactive Inverter</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</si>
  <si>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</si>
  <si>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</si>
  <si>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</si>
  <si>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10 kW, 208 Vac, 1-phase, HD-Wave technology Grid Support Utility Interactive Inverter</t>
  </si>
  <si>
    <t>[01/17/2018]</t>
  </si>
  <si>
    <t>[2.0.350]</t>
  </si>
  <si>
    <t>10 kW, 240 Vac, 1-phase, HD-Wave technology Grid Support Utility Interactive Inverter</t>
  </si>
  <si>
    <t>11.4 kW, 240 Vac, HD-Wave technology Grid Support Utility Interactive Inverter</t>
  </si>
  <si>
    <t>Sunny Central 1850 kW, 385 Vac Grid Support Utility Interactive Inverter</t>
  </si>
  <si>
    <t>[04.00.25.R]</t>
  </si>
  <si>
    <t>700 W, 240 Vac Grid Support Utility Interactive Microinverter</t>
  </si>
  <si>
    <t>[03/19/2018]</t>
  </si>
  <si>
    <t>[V105LS700G2HV1.1_789Boot]</t>
  </si>
  <si>
    <t>Efficiency data inclusive of transformer effect based on 500 kVA Low-Voltage Dry-Type Distribution Transformers Table in DOE2016.</t>
  </si>
  <si>
    <t>Weighted efficiency includes transformer efficiency of Eaton 34.5kV.</t>
  </si>
  <si>
    <t>Sunny Central 2200 kW, 385 Vac Grid Support Utility Interactive Inverter</t>
  </si>
  <si>
    <t>Huawei Technologies Co., Ltd.</t>
  </si>
  <si>
    <t>500 kW, 400 Vac Grid Support Utility-Interactive Energy Storage Inverter</t>
  </si>
  <si>
    <t>[02/26/2018]</t>
  </si>
  <si>
    <t>[1400]</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</si>
  <si>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</si>
  <si>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</si>
  <si>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</si>
  <si>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Sunny Central 2500 kW, 550 Vac Grid Support Utility Interactive Inverter</t>
  </si>
  <si>
    <t>1275 kW, 690 Vac Grid Support Utility Interactive Inverter with combiner box</t>
  </si>
  <si>
    <t>[02/15/2018]</t>
  </si>
  <si>
    <t>[HEP2G_2.0.0]</t>
  </si>
  <si>
    <t>Efficiency data inclusive of transformer effect based on 1275 kVA Liquid-Immeresed Distribution Transformers Table in DOE2016.</t>
  </si>
  <si>
    <t>1700 kW, 690 Vac Grid Support Utility Interactive Inverter with combiner box</t>
  </si>
  <si>
    <t>Efficiency data inclusive of transformer effect based on 1700 kVA Liquid-Immeresed Distribution Transformers Table in DOE2016.</t>
  </si>
  <si>
    <t>2125 kW, 690 Vac Grid Support Utility Interactive Inverter with combiner box</t>
  </si>
  <si>
    <t>Efficiency data inclusive of transformer effect based on 2125 kVA Liquid-Immeresed Distribution Transformers Table in DOE2016.</t>
  </si>
  <si>
    <t>2250 kW, 690 Vac Grid Support Utility Interactive Inverter with combiner box</t>
  </si>
  <si>
    <t>Efficiency data inclusive of transformer effect based on 2550 kVA Liquid-Immeresed Distribution Transformers Table in DOE2016.</t>
  </si>
  <si>
    <t>2300 kW, 690 Vac Grid Support Utility Interactive Inverter with combiner box</t>
  </si>
  <si>
    <t>Efficiency data inclusive of transformer effect based on 2300 kVA Liquid-Immeresed Distribution Transformers Table in DOE2016.</t>
  </si>
  <si>
    <t>3000 kW, 690 Vac Grid Support Utility Interactive Inverter with combiner box</t>
  </si>
  <si>
    <t>Efficiency data inclusive of transformer effect based on 3000 kVA Liquid-Immeresed Distribution Transformers Table in DOE2016.</t>
  </si>
  <si>
    <t>1200 kW, 645 Vac Grid Support Utility Interactive Inverter with combiner box</t>
  </si>
  <si>
    <t>Efficiency data inclusive of transformer effect based on 1200 kVA Liquid-Immeresed Distribution Transformers Table in DOE2016.</t>
  </si>
  <si>
    <t>1600 kW, 645 Vac Grid Support Utility Interactive Inverter with combiner box</t>
  </si>
  <si>
    <t>Efficiency data inclusive of transformer effect based on 1600 kVA Liquid-Immeresed Distribution Transformers Table in DOE2016.</t>
  </si>
  <si>
    <t>2000 kW, 645 Vac Grid Support Utility Interactive Inverter with combiner box</t>
  </si>
  <si>
    <t>Efficiency data inclusive of transformer effect based on 2000 kVA Liquid-Immeresed Distribution Transformers Table in DOE2016.</t>
  </si>
  <si>
    <t>2400 kW, 645 Vac Grid Support Utility Interactive Inverter with combiner box</t>
  </si>
  <si>
    <t>Efficiency data inclusive of transformer effect based on 2400 kVA Liquid-Immeresed Distribution Transformers Table in DOE2016.</t>
  </si>
  <si>
    <t>2150 kW, 645 Vac Grid Support Utility Interactive Inverter with combiner box</t>
  </si>
  <si>
    <t>Efficiency data inclusive of transformer effect based on 2150 kVA Liquid-Immeresed Distribution Transformers Table in DOE2016.</t>
  </si>
  <si>
    <t>2800 kW, 645 Vac Grid Support Utility Interactive Inverter with combiner box</t>
  </si>
  <si>
    <t>Efficiency data inclusive of transformer effect based on 2800 kVA Liquid-Immeresed Distribution Transformers Table in DOE2016.</t>
  </si>
  <si>
    <t>1100 kW, 600 Vac Grid Support Utility Interactive Inverter with combiner box</t>
  </si>
  <si>
    <t>Efficiency data inclusive of transformer effect based on 1100 kVA Liquid-Immeresed Distribution Transformers Table in DOE2016.</t>
  </si>
  <si>
    <t>1475 kW, 600 Vac Grid Support Utility Interactive Inverter with combiner box</t>
  </si>
  <si>
    <t>Efficiency data inclusive of transformer effect based on 1475 kVA Liquid-Immeresed Distribution Transformers Table in DOE2016.</t>
  </si>
  <si>
    <t>1850 kW, 600 Vac Grid Support Utility Interactive Inverter with combiner box</t>
  </si>
  <si>
    <t>Efficiency data inclusive of transformer effect based on 1850 kVA Liquid-Immeresed Distribution Transformers Table in DOE2016.</t>
  </si>
  <si>
    <t>2225 kW, 600 Vac Grid Support Utility Interactive Inverter with combiner box</t>
  </si>
  <si>
    <t>Efficiency data inclusive of transformer effect based on 2225 kVA Liquid-Immeresed Distribution Transformers Table in DOE2016.</t>
  </si>
  <si>
    <t>2600 kW, 600 Vac  Grid SupportUtility Interactive Inverter with combiner box</t>
  </si>
  <si>
    <t>Efficiency data inclusive of transformer effect based on 2600 kVA Liquid-Immeresed Distribution Transformers Table in DOE2016.</t>
  </si>
  <si>
    <t>1050 kW, 565 Vac Grid Support Utility Interactive Inverter with combiner box</t>
  </si>
  <si>
    <t>Efficiency data inclusive of transformer effect based on 1050 kVA Liquid-Immeresed Distribution Transformers Table in DOE2016.</t>
  </si>
  <si>
    <t>1400 kW, 565 Vac Grid Support Utility Interactive Inverter with combiner box</t>
  </si>
  <si>
    <t>Efficiency data inclusive of transformer effect based on 1400 kVA Liquid-Immeresed Distribution Transformers Table in DOE2016.</t>
  </si>
  <si>
    <t>1750 kW, 565 Vac Grid Support Utility Interactive Inverter with combiner box</t>
  </si>
  <si>
    <t>Efficiency data inclusive of transformer effect based on 1750 kVA Liquid-Immeresed Distribution Transformers Table in DOE2016.</t>
  </si>
  <si>
    <t>2100 kW, 565 Vac Grid Support Utility Interactive Inverter with combiner box</t>
  </si>
  <si>
    <t>Efficiency data inclusive of transformer effect based on 2100 kVA Liquid-Immeresed Distribution Transformers Table in DOE2016.</t>
  </si>
  <si>
    <t>2450 kW, 565 Vac Grid Support Utility Interactive Inverter with combiner box</t>
  </si>
  <si>
    <t>Efficiency data inclusive of transformer effect based on 2450 kVA Liquid-Immeresed Distribution Transformers Table in DOE2016.</t>
  </si>
  <si>
    <t>1100 kW, 600 Vac Grid Support Utility Interactive Inverter with combiner box and a back feed power supply of 10kW to feed solar trackers on the PV power plant</t>
  </si>
  <si>
    <t>1500 kW, 600 Vac Grid Support Utility Interactive Inverter with combiner box and a back feed power supply of 10kW to feed solar trackers on the PV power plant</t>
  </si>
  <si>
    <t>Efficiency data inclusive of transformer effect based on 1500 kVA Liquid-Immeresed Distribution Transformers Table in DOE2016.</t>
  </si>
  <si>
    <t>1850 kW, 600 Vac Grid Support Utility Interactive Inverter with combiner box and a back feed power supply of 10kW to feed solar trackers on the PV power plant</t>
  </si>
  <si>
    <t>2250 kW, 600 Vac Grid Support Utility Interactive Inverter with combiner box and a back feed power supply of 10kW to feed solar trackers on the PV power plant</t>
  </si>
  <si>
    <t>Efficiency data inclusive of transformer effect based on 2250 kVA Liquid-Immeresed Distribution Transformers Table in DOE2016.</t>
  </si>
  <si>
    <t>2600 kW, 600 Vac Grid Support Utility Interactive Inverter with combiner box and a back feed power supply of 10kW to feed solar trackers on the PV power plant</t>
  </si>
  <si>
    <t>270 VA, 240 Vac Grid Support Utility Interactive Microinverter</t>
  </si>
  <si>
    <t>[12/28/2017]</t>
  </si>
  <si>
    <t>[v02.12.00]</t>
  </si>
  <si>
    <t>3.3 kW, 208 Vac HD-Wave technology Grid Support Utility Interactive Inverter</t>
  </si>
  <si>
    <t>[2.0.140]</t>
  </si>
  <si>
    <t>5 kW, 208 Vac HD-Wave technology Grid Support Utility Interactive Inverter</t>
  </si>
  <si>
    <t>3.0 kW, 240 Vac HD-Wave technology Grid Support Utility Interactive Inverter</t>
  </si>
  <si>
    <t>3.8 kW, 240 Vac, 1-phase, HD-Wave technology Grid Support Utility Interactive Inverter</t>
  </si>
  <si>
    <t>5 kW, 208 Vac, 1-phase, HD-Wave technology Grid Support Utility Interactive Inverter</t>
  </si>
  <si>
    <t>5 kW, 240 Vac, 1-phase, HD-Wave technology Grid Support Utility Interactive Inverter</t>
  </si>
  <si>
    <t>6 kW, 240 Vac, 1-phase, HD-Wave technology Grid Support Utility Interactive Inverter</t>
  </si>
  <si>
    <t xml:space="preserve">5.5 kW, 240 Vac Grid Support Utility Interactive Hybrid Inverter with 4.0 kW Discharge Rate/20 kWh Storage Capacity
</t>
  </si>
  <si>
    <t>[04/26/2018]</t>
  </si>
  <si>
    <t>[4.11]</t>
  </si>
  <si>
    <t>60 kVA, 480 Vac Grid Support Utility Interactive Inverter with arc detector</t>
  </si>
  <si>
    <t>[04/12/2018]</t>
  </si>
  <si>
    <t>[A.0.2.7, B.0.2.9, C.0.5.1]</t>
  </si>
  <si>
    <t>Solaria Corporation</t>
  </si>
  <si>
    <t>360 W Monocrystalline ACPV Module. DC Module:  Solaria PowerXT-360R-PD. Microinverter IQ7PLUS-72-ACM-US [240V] [SI1].</t>
  </si>
  <si>
    <t>355 W Monocrystalline ACPV Module. DC Module:  Solaria PowerXT-355R-PD. Microinverter IQ7PLUS-72-ACM-US [240V] [SI1].</t>
  </si>
  <si>
    <t>350 W Monocrystalline ACPV Module. DC Module:  Solaria PowerXT-350R-PD. Microinverter IQ7PLUS-72-ACM-US [240V] [SI1].</t>
  </si>
  <si>
    <t>345 W Monocrystalline ACPV Module. DC Module:  Solaria PowerXT-345R-PD. Microinverter IQ7PLUS-72-ACM-US [240V] [SI1].</t>
  </si>
  <si>
    <t>Weighted efficiency includes transformer efficiency of Eaton 34.5 kV.</t>
  </si>
  <si>
    <t>250 kVA, 3-phase, 4-quadrant, bidirectional, 580-835VDC, 422-528VAC Grid Support Utility Interactive Inverter with optional standalone mode. Inclusive of internal isolation transformer.</t>
  </si>
  <si>
    <t>[252.01]</t>
  </si>
  <si>
    <t>250 kVA, 3-phase, 4-quadrant, bidirectional, 350-600 VDC, 422-528 VAC Grid Support Utility Interactive Inverter with optional standalone mode. Inclusive of internal isolation transformer.</t>
  </si>
  <si>
    <t>[12/06/2017];[12/06/2017]</t>
  </si>
  <si>
    <t>[V251.125];[251.25]</t>
  </si>
  <si>
    <t>100 kVA, 3-phase, 4-quadrant, bidirectional, 350-600VDC, 422-528VAC Grid Support Utility Interactive Inverter with optional standalone mode. Inclusive of internal isolation transformer.</t>
  </si>
  <si>
    <t>[251.25]</t>
  </si>
  <si>
    <t>3.8 kW, 240 Vac, 1-phase, Sunny Boy Storage- Permanently-connected, Transformerless Multimode - Grid Support Utility Interactive and Standalone functionality - Inverter</t>
  </si>
  <si>
    <t>[12/14/2017]</t>
  </si>
  <si>
    <t>[1.00.04.R]</t>
  </si>
  <si>
    <t>5.0 kW, 240 Vac, 1-phase, Sunny Boy Storage- Permanently-connected, Transformerless Multimode - Grid Support Utility Interactive and Standalone functionality - Inverter</t>
  </si>
  <si>
    <t>6.0 kW, 240 Vac, 1-phase, Sunny Boy Storage- Permanently-connected, Transformerless Multimode - Grid Support Utility Interactive and Standalone functionality - Inverter</t>
  </si>
  <si>
    <t>3.8 kW, 240 Vac 1-phase transformerless Grid Support Utility Interactive Inverter</t>
  </si>
  <si>
    <t>[06/14/2018]</t>
  </si>
  <si>
    <t>[V100R001D00]</t>
  </si>
  <si>
    <t>5 kW, 240 Vac 1-phase transformerless Grid Support Utility Interactive Inverter</t>
  </si>
  <si>
    <t>7.6 kW, 240 Vac 1-phase transformerless Grid Support Utility Interactive Inverter</t>
  </si>
  <si>
    <t>9 kW, 240 Vac 1-phase transformerless Grid Support Utility Interactive Inverter</t>
  </si>
  <si>
    <t>10 kW, 240 Vac 1-phase transformerless Grid Support Utility Interactive Inverter</t>
  </si>
  <si>
    <t>11.4 kW, 240 Vac 1-phase transformerless Grid Support Utility Interactive Inverter</t>
  </si>
  <si>
    <t>1200 W, 240 Vac, 60Hz Grid Support Utility Interactive Inverter</t>
  </si>
  <si>
    <t>[06/29/2018]</t>
  </si>
  <si>
    <t>[1.20.62]</t>
  </si>
  <si>
    <t>4992 W, 208 Vac, transformerless, Bi-dierctional, Muti-mode Grid Support Utility Interactive Solar and Energy Storage Inverter</t>
  </si>
  <si>
    <t>[06/01/2018]</t>
  </si>
  <si>
    <t>5760 W, 240 Vac, transformerless, Bi-dierctional, Muti-mode Grid Support Utility Interactive Solar and Energy Storage Inverter</t>
  </si>
  <si>
    <t xml:space="preserve">6656W, 208 Vac, transformerless, Bi-dierctional, Muti-mode Grid Support Utility Interactive Solar and Energy Storage Inverter
</t>
  </si>
  <si>
    <t>7680 W, 240 Vac, transformerless, Bi-dierctional, Muti-mode Grid Support Utility Interactive Solar and Energy Storage Inverter</t>
  </si>
  <si>
    <t>5000 W, 208 Vac, transformerless, Bi-dierctional, Muti-mode Grid Support Utility Interactive Energy Storage Inverter</t>
  </si>
  <si>
    <t>5000 W, 240 Vac, transformerless, Bi-dierctional, Muti-mode Grid Support Utility Interactive Energy Storage Inverter</t>
  </si>
  <si>
    <t>6500 W, 208 Vac, transformerless, Bi-dierctional, Muti-mode Grid Support Utility Interactive Energy Storage Inverter</t>
  </si>
  <si>
    <t>6500 W, 240 Vac, transformerless, Bi-dierctional, Muti-mode Grid Support Utility Interactive Energy Storage Inverter</t>
  </si>
  <si>
    <t>240 VA, 208 Vac Grid Support Utility Interactive Microinverter where x = DC Connector type = 2, 5, or B</t>
  </si>
  <si>
    <t>240 VA, 240 Vac Grid Support Utility Interactive Microinverter where x = DC Connector type = 2, 5, or B</t>
  </si>
  <si>
    <t>290 VA, 208 Vac Grid Support Utility Interactive Microinverter where x = DC Connector type = 2, 5, or B</t>
  </si>
  <si>
    <t>290 VA, 240 Vac Grid Support Utility Interactive Microinverter where x = DC Connector type = 2, 5, or B</t>
  </si>
  <si>
    <t>315 VA, 208 Vac Grid Support Utility Interactive Microinverter where x = DC Connector type = 2, 5, or B</t>
  </si>
  <si>
    <t>315 VA, 240 Vac Grid Support Utility Interactive Microinverter where x = DC Connector type = 2, 5, or B</t>
  </si>
  <si>
    <t>3.0 kW, 208 Vac transformerless Grid Support Utility Interactive Inverter with revenue grade energy meter</t>
  </si>
  <si>
    <t>[06/28/2018]</t>
  </si>
  <si>
    <t>3.0 kW, 240 Vac transformerless Grid Support Utility Interactive Inverter with revenue grade energy meter</t>
  </si>
  <si>
    <t>3.8 kW, 208 Vac transformerless Grid Support Utility Interactive Inverter with revenue grade energy meter</t>
  </si>
  <si>
    <t>3.8 kW, 240 Vac transformerless Grid Support Utility Interactive Inverter with revenue grade energy meter</t>
  </si>
  <si>
    <t>[V02.03.00.R]</t>
  </si>
  <si>
    <t>5.0 kW, 240 Vac transformerless Grid Support Utility Interactive Inverter with revenue grade energy meter</t>
  </si>
  <si>
    <t>5.0 kW, 208 Vac transformerless Grid Support Utility Interactive Inverter with revenue grade energy meter</t>
  </si>
  <si>
    <t>6.0 kW, 208 Vac transformerless Grid Support Utility Interactive Inverter with revenue grade energy meter</t>
  </si>
  <si>
    <t>6.0 kW, 240 Vac transformerless Grid Support Utility Interactive Inverter with revenue grade energy meter</t>
  </si>
  <si>
    <t>7.0 kW, 208 Vac transformerless Grid Support Utility Interactive Inverter with revenue grade energy meter</t>
  </si>
  <si>
    <t>7.0 kW, 240 Vac transformerless Grid Support Utility Interactive Inverter with revenue grade energy meter</t>
  </si>
  <si>
    <t>7.7 kW, 208 Vac transformerless Grid Support Utility Interactive Inverter with revenue grade energy meter</t>
  </si>
  <si>
    <t>7.7 kW, 240 Vac transformerless Grid Support Utility Interactive Inverter with revenue grade energy meter</t>
  </si>
  <si>
    <t>Trina Energy Storage Solutions (Jiangsu) Co., Ltd</t>
  </si>
  <si>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</si>
  <si>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</si>
  <si>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</si>
  <si>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t>100 kVA , 1500Vdc, 600Vac, 3 Phase, Non-isolated Grid Support Utility Interactive Inverter</t>
  </si>
  <si>
    <t>[06/08/2018]</t>
  </si>
  <si>
    <t>[V2.00]</t>
  </si>
  <si>
    <t>125 kVA , 1500Vdc, 600Vac, 3 Phase, Non-isolated Grid Support Utility Interactive Inverter</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</si>
  <si>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</si>
  <si>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</si>
  <si>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</si>
  <si>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</si>
  <si>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</si>
  <si>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</si>
  <si>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</si>
  <si>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</si>
  <si>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[3.2.42]</t>
  </si>
  <si>
    <t>Ideal Power Inc.</t>
  </si>
  <si>
    <t>Sunny Central 2750 kW, 600Vac, multi-mode, 3-phase Grid Support Utility Interactive Inverter</t>
  </si>
  <si>
    <t>[08/30/2017]</t>
  </si>
  <si>
    <t>Rhombus Energy Solutions</t>
  </si>
  <si>
    <t>50kW, 480 Vac, transformer-less, 3-phase, Grid Support Utility Interactive Energy Storage Inverter</t>
  </si>
  <si>
    <t>[00021618]</t>
  </si>
  <si>
    <t>50kW, 480 Vac, transformer-less, 3-phase, Multi-Mode Grid Support Utility Interactive Energy Storage Inverter</t>
  </si>
  <si>
    <t>2.2 MW, 1500 Vdc, 600 Vac, 3-phase, Special Purpose Grid Support Utility Interactive PV Inverter</t>
  </si>
  <si>
    <t>[07/01/2018]</t>
  </si>
  <si>
    <t>[SG_ICB_MCU_R10.6-7]</t>
  </si>
  <si>
    <t>2 MW, 1500 Vdc, 575 Vac, 3-phase, Special Purpose Grid Support Utility Interactive PV Inverter</t>
  </si>
  <si>
    <t>1.8 MW, 1500 Vdc, 575 Vac, 3-phase, Special Purpose Grid Support Utility Interactive PV Inverter</t>
  </si>
  <si>
    <t>1.66 MW, 1500 Vdc, 575 Vac, 3-phase, Special Purpose Grid Support Utility Interactive PV Inverter with 1666 kVA Maximum Output Continuous Apparent Power</t>
  </si>
  <si>
    <t>1.66 MW, 1500 Vdc, 575 Vac, 3-phase, Special Purpose Grid Support Utility Interactive PV Inverter with 1831 kVA Maximum Output Continuous Apparent Power</t>
  </si>
  <si>
    <t>1.66 MW, 1500 Vdc, 575 Vac, 3-phase, Special Purpose Grid Support Utility Interactive PV Inverter with 1851 kVA Maximum Output Continuous Apparent Power</t>
  </si>
  <si>
    <t>LeadSolar Energy Co., Ltd</t>
  </si>
  <si>
    <t>[10/30/2017];[05/25/2018];[06/26/2018]</t>
  </si>
  <si>
    <t>240 VA, 208 Vac Grid Support Utility Interactive Microinverter for use in ACPV Module applications where x = DC Connector type = B or blank</t>
  </si>
  <si>
    <t>240 VA, 240 Vac Grid Support Utility Interactive Microinverter for use in ACPV Module applications where x = DC Connector type = B or blank</t>
  </si>
  <si>
    <t>290 VA, 208 Vac Grid Support Utility Interactive Microinverter for use in ACPV Module applications where x = DC Connector type = B or blank</t>
  </si>
  <si>
    <t>290 VA, 240 Vac Grid Support Utility Interactive Microinverter for use in ACPV Module applications where x = DC Connector type = B or blank</t>
  </si>
  <si>
    <t>315 VA, 208 Vac Grid Support Utility Interactive microinverter for ACPV Module applications where x = DC Connector type = B or blank</t>
  </si>
  <si>
    <t>315 VA, 240 Vac Grid Support Utility Interactive microinverter for ACPV Module applications where x = DC Connector type = B or blank</t>
  </si>
  <si>
    <t>5.0kW, 240Vac Grid Support Utility Interactive Multimode Inverter</t>
  </si>
  <si>
    <t>[08/08/2018]</t>
  </si>
  <si>
    <t>[NPC:0.0.0.2.2.0.9352,PBM:0.3.1.0.0.0.9359]</t>
  </si>
  <si>
    <t>[03/03/2018]</t>
  </si>
  <si>
    <t>[05/03/2018]</t>
  </si>
  <si>
    <t>[V02.10.00];[V02.12.00];[V02.14.05]</t>
  </si>
  <si>
    <t>[V02.10.00];[V02.12.00];[V02.14.06]</t>
  </si>
  <si>
    <t>[V02.10.00];[V02.12.00];[V02.14.07]</t>
  </si>
  <si>
    <t>[V02.10.00];[V02.12.00];[V02.14.03]</t>
  </si>
  <si>
    <t>[V02.10.00];[V02.12.00];[V02.14.04]</t>
  </si>
  <si>
    <t>[V02.10.00];[V02.12.00];[V02.14.02]</t>
  </si>
  <si>
    <t>[V01.0X, V01.1X, V01.2X, V01.3X, V01.4X, V01.5X 
]</t>
  </si>
  <si>
    <t>[1.1.2.4,
1.1.2.4,
0.1.2.2]</t>
  </si>
  <si>
    <t>[03/09/2017]</t>
  </si>
  <si>
    <t>[05/02/2017]</t>
  </si>
  <si>
    <t>[08/30/2018]</t>
  </si>
  <si>
    <t>5000 W, 240 Vac, transformerless, Bi-dierctional, Muti-mode, Grid Support Utility Interactive Energy Storage Inverter</t>
  </si>
  <si>
    <t>315 VA, 208 Vac Grid Support Utility Interactive microinverter for ACPV Module applications, where y = DC Connector type = B or blank, and z = US or blank</t>
  </si>
  <si>
    <t>[08/29/2018]</t>
  </si>
  <si>
    <t>[V04.14.05]</t>
  </si>
  <si>
    <t>This component is specific to SunPower ACPV modules and is not available as an individual unit.</t>
  </si>
  <si>
    <t>315 VA, 240 Vac Grid Support Utility Interactive microinverter for ACPV Module applications, where y = DC Connector type = B or blank, and z = US or blank</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</si>
  <si>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</si>
  <si>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</si>
  <si>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t>UL 1741 SA13  Volt-Var</t>
  </si>
  <si>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</si>
  <si>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</si>
  <si>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</si>
  <si>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UNO-DM-3.3-TL-PLUS-US-SB-RA </t>
    </r>
    <r>
      <rPr>
        <sz val="11"/>
        <color rgb="FF006666"/>
        <rFont val="Calibri"/>
        <family val="2"/>
        <scheme val="minor"/>
      </rPr>
      <t>[208V]</t>
    </r>
  </si>
  <si>
    <r>
      <t xml:space="preserve">UNO-DM-3.3-TL-PLUS-US-SE-RA </t>
    </r>
    <r>
      <rPr>
        <sz val="11"/>
        <color rgb="FF006666"/>
        <rFont val="Calibri"/>
        <family val="2"/>
        <scheme val="minor"/>
      </rPr>
      <t>[208V]</t>
    </r>
  </si>
  <si>
    <r>
      <t xml:space="preserve">UNO-DM-3.3-TL-PLUS-US-SZM-RA </t>
    </r>
    <r>
      <rPr>
        <sz val="11"/>
        <color rgb="FF006666"/>
        <rFont val="Calibri"/>
        <family val="2"/>
        <scheme val="minor"/>
      </rPr>
      <t>[208V]</t>
    </r>
  </si>
  <si>
    <r>
      <t xml:space="preserve">UNO-DM-3.3-TL-PLUS-US-SZ-RA </t>
    </r>
    <r>
      <rPr>
        <sz val="11"/>
        <color rgb="FF006666"/>
        <rFont val="Calibri"/>
        <family val="2"/>
        <scheme val="minor"/>
      </rPr>
      <t>[208V]</t>
    </r>
  </si>
  <si>
    <r>
      <t xml:space="preserve">UNO-DM-3.3-TL-PLUS-US-SB-RA </t>
    </r>
    <r>
      <rPr>
        <sz val="11"/>
        <color rgb="FF006666"/>
        <rFont val="Calibri"/>
        <family val="2"/>
        <scheme val="minor"/>
      </rPr>
      <t>[240V]</t>
    </r>
  </si>
  <si>
    <r>
      <t xml:space="preserve">UNO-DM-3.3-TL-PLUS-US-SE-RA </t>
    </r>
    <r>
      <rPr>
        <sz val="11"/>
        <color rgb="FF006666"/>
        <rFont val="Calibri"/>
        <family val="2"/>
        <scheme val="minor"/>
      </rPr>
      <t>[240V]</t>
    </r>
  </si>
  <si>
    <r>
      <t xml:space="preserve">UNO-DM-3.3-TL-PLUS-US-SZM-RA </t>
    </r>
    <r>
      <rPr>
        <sz val="11"/>
        <color rgb="FF006666"/>
        <rFont val="Calibri"/>
        <family val="2"/>
        <scheme val="minor"/>
      </rPr>
      <t>[240V]</t>
    </r>
  </si>
  <si>
    <r>
      <t xml:space="preserve">UNO-DM-3.3-TL-PLUS-US-SZ-RA </t>
    </r>
    <r>
      <rPr>
        <sz val="11"/>
        <color rgb="FF006666"/>
        <rFont val="Calibri"/>
        <family val="2"/>
        <scheme val="minor"/>
      </rPr>
      <t>[240V]</t>
    </r>
  </si>
  <si>
    <r>
      <t xml:space="preserve">UNO-DM-3.8-TL-PLUS-US-SB-RA </t>
    </r>
    <r>
      <rPr>
        <sz val="11"/>
        <color rgb="FF006666"/>
        <rFont val="Calibri"/>
        <family val="2"/>
        <scheme val="minor"/>
      </rPr>
      <t>[208V]</t>
    </r>
  </si>
  <si>
    <r>
      <t xml:space="preserve">UNO-DM-3.8-TL-PLUS-US-SE-RA </t>
    </r>
    <r>
      <rPr>
        <sz val="11"/>
        <color rgb="FF006666"/>
        <rFont val="Calibri"/>
        <family val="2"/>
        <scheme val="minor"/>
      </rPr>
      <t>[208V]</t>
    </r>
  </si>
  <si>
    <r>
      <t xml:space="preserve">UNO-DM-3.8-TL-PLUS-US-SZM-RA </t>
    </r>
    <r>
      <rPr>
        <sz val="11"/>
        <color rgb="FF006666"/>
        <rFont val="Calibri"/>
        <family val="2"/>
        <scheme val="minor"/>
      </rPr>
      <t>[208V]</t>
    </r>
  </si>
  <si>
    <r>
      <t xml:space="preserve">UNO-DM-3.8-TL-PLUS-US-SZ-RA </t>
    </r>
    <r>
      <rPr>
        <sz val="11"/>
        <color rgb="FF006666"/>
        <rFont val="Calibri"/>
        <family val="2"/>
        <scheme val="minor"/>
      </rPr>
      <t>[208V]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</si>
  <si>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</si>
  <si>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</si>
  <si>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</si>
  <si>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</si>
  <si>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</si>
  <si>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</si>
  <si>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</si>
  <si>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</si>
  <si>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</si>
  <si>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</si>
  <si>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</si>
  <si>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</si>
  <si>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[208V]</t>
    </r>
  </si>
  <si>
    <r>
      <t xml:space="preserve">UNO-DM-4.6-TL-PLUS-US-SE-RA </t>
    </r>
    <r>
      <rPr>
        <sz val="11"/>
        <color rgb="FF006666"/>
        <rFont val="Calibri"/>
        <family val="2"/>
        <scheme val="minor"/>
      </rPr>
      <t>[208V]</t>
    </r>
  </si>
  <si>
    <r>
      <t xml:space="preserve">UNO-DM-4.6-TL-PLUS-US-SZM-RA </t>
    </r>
    <r>
      <rPr>
        <sz val="11"/>
        <color rgb="FF006666"/>
        <rFont val="Calibri"/>
        <family val="2"/>
        <scheme val="minor"/>
      </rPr>
      <t>[208V]</t>
    </r>
  </si>
  <si>
    <r>
      <t xml:space="preserve">UNO-DM-4.6-TL-PLUS-US-SZ-RA </t>
    </r>
    <r>
      <rPr>
        <sz val="11"/>
        <color rgb="FF006666"/>
        <rFont val="Calibri"/>
        <family val="2"/>
        <scheme val="minor"/>
      </rPr>
      <t>[208V]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</si>
  <si>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</si>
  <si>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</si>
  <si>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</si>
  <si>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</si>
  <si>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UNO-DM-5.0-TL-PLUS-US-SB-RA </t>
    </r>
    <r>
      <rPr>
        <sz val="11"/>
        <color rgb="FF006666"/>
        <rFont val="Calibri"/>
        <family val="2"/>
        <scheme val="minor"/>
      </rPr>
      <t>[208V]</t>
    </r>
  </si>
  <si>
    <r>
      <t xml:space="preserve">UNO-DM-5.0-TL-PLUS-US-SE-RA </t>
    </r>
    <r>
      <rPr>
        <sz val="11"/>
        <color rgb="FF006666"/>
        <rFont val="Calibri"/>
        <family val="2"/>
        <scheme val="minor"/>
      </rPr>
      <t>[208V]</t>
    </r>
  </si>
  <si>
    <r>
      <t xml:space="preserve">UNO-DM-5.0-TL-PLUS-US-SZM-RA </t>
    </r>
    <r>
      <rPr>
        <sz val="11"/>
        <color rgb="FF006666"/>
        <rFont val="Calibri"/>
        <family val="2"/>
        <scheme val="minor"/>
      </rPr>
      <t>[208V]</t>
    </r>
  </si>
  <si>
    <r>
      <t xml:space="preserve">UNO-DM-5.0-TL-PLUS-US-SZ-RA </t>
    </r>
    <r>
      <rPr>
        <sz val="11"/>
        <color rgb="FF006666"/>
        <rFont val="Calibri"/>
        <family val="2"/>
        <scheme val="minor"/>
      </rPr>
      <t>[208V]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</si>
  <si>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</si>
  <si>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</si>
  <si>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</si>
  <si>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UNO-DM-5.0-TL-PLUS-US-SB-RA </t>
    </r>
    <r>
      <rPr>
        <sz val="11"/>
        <color rgb="FF006666"/>
        <rFont val="Calibri"/>
        <family val="2"/>
        <scheme val="minor"/>
      </rPr>
      <t>[240V]</t>
    </r>
  </si>
  <si>
    <r>
      <t xml:space="preserve">UNO-DM-5.0-TL-PLUS-US-SE-RA </t>
    </r>
    <r>
      <rPr>
        <sz val="11"/>
        <color rgb="FF006666"/>
        <rFont val="Calibri"/>
        <family val="2"/>
        <scheme val="minor"/>
      </rPr>
      <t>[240V]</t>
    </r>
  </si>
  <si>
    <r>
      <t xml:space="preserve">UNO-DM-5.0-TL-PLUS-US-SZM-RA </t>
    </r>
    <r>
      <rPr>
        <sz val="11"/>
        <color rgb="FF006666"/>
        <rFont val="Calibri"/>
        <family val="2"/>
        <scheme val="minor"/>
      </rPr>
      <t>[240V]</t>
    </r>
  </si>
  <si>
    <r>
      <t xml:space="preserve">UNO-DM-5.0-TL-PLUS-US-SZ-RA </t>
    </r>
    <r>
      <rPr>
        <sz val="11"/>
        <color rgb="FF006666"/>
        <rFont val="Calibri"/>
        <family val="2"/>
        <scheme val="minor"/>
      </rPr>
      <t>[240V]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</si>
  <si>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</si>
  <si>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</si>
  <si>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</si>
  <si>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UNO-DM-6.0-TL-PLUS-US-SB-RA </t>
    </r>
    <r>
      <rPr>
        <sz val="11"/>
        <color rgb="FF006666"/>
        <rFont val="Calibri"/>
        <family val="2"/>
        <scheme val="minor"/>
      </rPr>
      <t>[208V]</t>
    </r>
  </si>
  <si>
    <r>
      <t xml:space="preserve">UNO-DM-6.0-TL-PLUS-US-SB-RA </t>
    </r>
    <r>
      <rPr>
        <sz val="11"/>
        <color rgb="FF006666"/>
        <rFont val="Calibri"/>
        <family val="2"/>
        <scheme val="minor"/>
      </rPr>
      <t>[240V]</t>
    </r>
  </si>
  <si>
    <r>
      <t xml:space="preserve">UNO-DM-6.0-TL-PLUS-US-SC-RA </t>
    </r>
    <r>
      <rPr>
        <sz val="11"/>
        <color rgb="FF006666"/>
        <rFont val="Calibri"/>
        <family val="2"/>
        <scheme val="minor"/>
      </rPr>
      <t>[208V]</t>
    </r>
  </si>
  <si>
    <r>
      <t xml:space="preserve">UNO-DM-6.0-TL-PLUS-US-SC-RA </t>
    </r>
    <r>
      <rPr>
        <sz val="11"/>
        <color rgb="FF006666"/>
        <rFont val="Calibri"/>
        <family val="2"/>
        <scheme val="minor"/>
      </rPr>
      <t>[240V]</t>
    </r>
  </si>
  <si>
    <r>
      <t xml:space="preserve">UNO-DM-6.0-TL-PLUS-US-SE-RA </t>
    </r>
    <r>
      <rPr>
        <sz val="11"/>
        <color rgb="FF006666"/>
        <rFont val="Calibri"/>
        <family val="2"/>
        <scheme val="minor"/>
      </rPr>
      <t>[208V]</t>
    </r>
  </si>
  <si>
    <r>
      <t xml:space="preserve">UNO-DM-6.0-TL-PLUS-US-SE-RA </t>
    </r>
    <r>
      <rPr>
        <sz val="11"/>
        <color rgb="FF006666"/>
        <rFont val="Calibri"/>
        <family val="2"/>
        <scheme val="minor"/>
      </rPr>
      <t>[240V]</t>
    </r>
  </si>
  <si>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</si>
  <si>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</si>
  <si>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</si>
  <si>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r>
      <t xml:space="preserve">UNO-DM-6.0-TL-PLUS-US-SZM-RA </t>
    </r>
    <r>
      <rPr>
        <sz val="11"/>
        <color rgb="FF006666"/>
        <rFont val="Calibri"/>
        <family val="2"/>
        <scheme val="minor"/>
      </rPr>
      <t>[240V]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</si>
  <si>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</si>
  <si>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</si>
  <si>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</si>
  <si>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</si>
  <si>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</si>
  <si>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</si>
  <si>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</si>
  <si>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TRIO-TM-60.0-US-480 </t>
    </r>
    <r>
      <rPr>
        <sz val="11"/>
        <color rgb="FF006666"/>
        <rFont val="Calibri"/>
        <family val="2"/>
        <scheme val="minor"/>
      </rPr>
      <t>[480V]</t>
    </r>
  </si>
  <si>
    <r>
      <t xml:space="preserve">YC600 </t>
    </r>
    <r>
      <rPr>
        <sz val="11"/>
        <color rgb="FF006666"/>
        <rFont val="Calibri"/>
        <family val="2"/>
        <scheme val="minor"/>
      </rPr>
      <t>[240V]</t>
    </r>
  </si>
  <si>
    <r>
      <t xml:space="preserve">CSI-25KTL-GS-FL </t>
    </r>
    <r>
      <rPr>
        <sz val="11"/>
        <color rgb="FF006666"/>
        <rFont val="Calibri"/>
        <family val="2"/>
        <scheme val="minor"/>
      </rPr>
      <t>[480V]</t>
    </r>
  </si>
  <si>
    <r>
      <t xml:space="preserve">CSI-30KTL-GS-FL </t>
    </r>
    <r>
      <rPr>
        <sz val="11"/>
        <color rgb="FF006666"/>
        <rFont val="Calibri"/>
        <family val="2"/>
        <scheme val="minor"/>
      </rPr>
      <t>[480V]</t>
    </r>
  </si>
  <si>
    <r>
      <t xml:space="preserve">CSI-36KTL-CT </t>
    </r>
    <r>
      <rPr>
        <sz val="11"/>
        <color rgb="FF006666"/>
        <rFont val="Calibri"/>
        <family val="2"/>
        <scheme val="minor"/>
      </rPr>
      <t>[480V]</t>
    </r>
  </si>
  <si>
    <r>
      <t xml:space="preserve">CSI-36KTL-GS-FL </t>
    </r>
    <r>
      <rPr>
        <sz val="11"/>
        <color rgb="FF006666"/>
        <rFont val="Calibri"/>
        <family val="2"/>
        <scheme val="minor"/>
      </rPr>
      <t>[480V]</t>
    </r>
  </si>
  <si>
    <r>
      <t xml:space="preserve">CSI-40KTL-GS </t>
    </r>
    <r>
      <rPr>
        <sz val="11"/>
        <color rgb="FF006666"/>
        <rFont val="Calibri"/>
        <family val="2"/>
        <scheme val="minor"/>
      </rPr>
      <t>[480V]</t>
    </r>
  </si>
  <si>
    <r>
      <t xml:space="preserve">CSI-40KTL-GS-FL </t>
    </r>
    <r>
      <rPr>
        <sz val="11"/>
        <color rgb="FF006666"/>
        <rFont val="Calibri"/>
        <family val="2"/>
        <scheme val="minor"/>
      </rPr>
      <t>[480V]</t>
    </r>
  </si>
  <si>
    <r>
      <t xml:space="preserve">CSI-50KTL-GS </t>
    </r>
    <r>
      <rPr>
        <sz val="11"/>
        <color rgb="FF006666"/>
        <rFont val="Calibri"/>
        <family val="2"/>
        <scheme val="minor"/>
      </rPr>
      <t>[480V]  </t>
    </r>
  </si>
  <si>
    <r>
      <t xml:space="preserve">CSI-50KTL-GS-FL </t>
    </r>
    <r>
      <rPr>
        <sz val="11"/>
        <color rgb="FF006666"/>
        <rFont val="Calibri"/>
        <family val="2"/>
        <scheme val="minor"/>
      </rPr>
      <t>[480V] </t>
    </r>
  </si>
  <si>
    <r>
      <t xml:space="preserve">CSI-60KTL-GS </t>
    </r>
    <r>
      <rPr>
        <sz val="11"/>
        <color rgb="FF006666"/>
        <rFont val="Calibri"/>
        <family val="2"/>
        <scheme val="minor"/>
      </rPr>
      <t>[480V]</t>
    </r>
  </si>
  <si>
    <r>
      <t xml:space="preserve">CSI-66KTL-GS </t>
    </r>
    <r>
      <rPr>
        <sz val="11"/>
        <color rgb="FF006666"/>
        <rFont val="Calibri"/>
        <family val="2"/>
        <scheme val="minor"/>
      </rPr>
      <t>[480V]</t>
    </r>
  </si>
  <si>
    <r>
      <t xml:space="preserve">CSI-50KTL-GS-B </t>
    </r>
    <r>
      <rPr>
        <sz val="11"/>
        <color rgb="FF006666"/>
        <rFont val="Calibri"/>
        <family val="2"/>
        <scheme val="minor"/>
      </rPr>
      <t>[480V]</t>
    </r>
  </si>
  <si>
    <r>
      <t xml:space="preserve">CSI-50KTL-GS-FLB </t>
    </r>
    <r>
      <rPr>
        <sz val="11"/>
        <color rgb="FF006666"/>
        <rFont val="Calibri"/>
        <family val="2"/>
        <scheme val="minor"/>
      </rPr>
      <t>[480V]</t>
    </r>
  </si>
  <si>
    <r>
      <t xml:space="preserve">CSI-60KTL-GS-B </t>
    </r>
    <r>
      <rPr>
        <sz val="11"/>
        <color rgb="FF006666"/>
        <rFont val="Calibri"/>
        <family val="2"/>
        <scheme val="minor"/>
      </rPr>
      <t>[480V]</t>
    </r>
  </si>
  <si>
    <r>
      <t xml:space="preserve">CSI-66KTL-GS-B </t>
    </r>
    <r>
      <rPr>
        <sz val="11"/>
        <color rgb="FF006666"/>
        <rFont val="Calibri"/>
        <family val="2"/>
        <scheme val="minor"/>
      </rPr>
      <t>[480V]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</si>
  <si>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</si>
  <si>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</si>
  <si>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</si>
  <si>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</si>
  <si>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</si>
  <si>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</si>
  <si>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M4-TL-US </t>
    </r>
    <r>
      <rPr>
        <sz val="11"/>
        <color rgb="FF006666"/>
        <rFont val="Calibri"/>
        <family val="2"/>
        <scheme val="minor"/>
      </rPr>
      <t>[208V]</t>
    </r>
  </si>
  <si>
    <r>
      <t xml:space="preserve">SOLIVIA 3.8 NA G4 TL </t>
    </r>
    <r>
      <rPr>
        <sz val="11"/>
        <color rgb="FF006666"/>
        <rFont val="Calibri"/>
        <family val="2"/>
        <scheme val="minor"/>
      </rPr>
      <t>[240V]</t>
    </r>
  </si>
  <si>
    <r>
      <t xml:space="preserve">M4-TL-US </t>
    </r>
    <r>
      <rPr>
        <sz val="11"/>
        <color rgb="FF006666"/>
        <rFont val="Calibri"/>
        <family val="2"/>
        <scheme val="minor"/>
      </rPr>
      <t>[240V]</t>
    </r>
  </si>
  <si>
    <r>
      <t xml:space="preserve">M5-TL-US </t>
    </r>
    <r>
      <rPr>
        <sz val="11"/>
        <color rgb="FF006666"/>
        <rFont val="Calibri"/>
        <family val="2"/>
        <scheme val="minor"/>
      </rPr>
      <t>[208V]</t>
    </r>
  </si>
  <si>
    <r>
      <t xml:space="preserve">M5-TL-US </t>
    </r>
    <r>
      <rPr>
        <sz val="11"/>
        <color rgb="FF006666"/>
        <rFont val="Calibri"/>
        <family val="2"/>
        <scheme val="minor"/>
      </rPr>
      <t>[240V]</t>
    </r>
  </si>
  <si>
    <r>
      <t xml:space="preserve">M6-TL-US </t>
    </r>
    <r>
      <rPr>
        <sz val="11"/>
        <color rgb="FF006666"/>
        <rFont val="Calibri"/>
        <family val="2"/>
        <scheme val="minor"/>
      </rPr>
      <t>[208V]</t>
    </r>
  </si>
  <si>
    <r>
      <t xml:space="preserve">E6-TL-US </t>
    </r>
    <r>
      <rPr>
        <sz val="11"/>
        <color rgb="FF006666"/>
        <rFont val="Calibri"/>
        <family val="2"/>
        <scheme val="minor"/>
      </rPr>
      <t>[208V]</t>
    </r>
  </si>
  <si>
    <r>
      <t xml:space="preserve">E6-TL-US(AC) </t>
    </r>
    <r>
      <rPr>
        <sz val="11"/>
        <color rgb="FF006666"/>
        <rFont val="Calibri"/>
        <family val="2"/>
        <scheme val="minor"/>
      </rPr>
      <t>[208V]</t>
    </r>
  </si>
  <si>
    <r>
      <t xml:space="preserve">E6-TL-US(AC)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</si>
  <si>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</si>
  <si>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</si>
  <si>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E6-TL-US </t>
    </r>
    <r>
      <rPr>
        <sz val="11"/>
        <color rgb="FF006666"/>
        <rFont val="Calibri"/>
        <family val="2"/>
        <scheme val="minor"/>
      </rPr>
      <t>[240V]</t>
    </r>
  </si>
  <si>
    <r>
      <t xml:space="preserve">M6-TL-US </t>
    </r>
    <r>
      <rPr>
        <sz val="11"/>
        <color rgb="FF006666"/>
        <rFont val="Calibri"/>
        <family val="2"/>
        <scheme val="minor"/>
      </rPr>
      <t>[240V]</t>
    </r>
  </si>
  <si>
    <r>
      <t xml:space="preserve">E8-TL-US(AC) </t>
    </r>
    <r>
      <rPr>
        <sz val="11"/>
        <color rgb="FF006666"/>
        <rFont val="Calibri"/>
        <family val="2"/>
        <scheme val="minor"/>
      </rPr>
      <t>[240V]</t>
    </r>
  </si>
  <si>
    <r>
      <t xml:space="preserve">E8-TL-US(AC) </t>
    </r>
    <r>
      <rPr>
        <sz val="11"/>
        <color rgb="FF006666"/>
        <rFont val="Calibri"/>
        <family val="2"/>
        <scheme val="minor"/>
      </rPr>
      <t>[208V]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</si>
  <si>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</si>
  <si>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</si>
  <si>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</si>
  <si>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E8-TL-US </t>
    </r>
    <r>
      <rPr>
        <sz val="11"/>
        <color rgb="FF006666"/>
        <rFont val="Calibri"/>
        <family val="2"/>
        <scheme val="minor"/>
      </rPr>
      <t>[208V]</t>
    </r>
  </si>
  <si>
    <r>
      <t xml:space="preserve">M8-TL-US </t>
    </r>
    <r>
      <rPr>
        <sz val="11"/>
        <color rgb="FF006666"/>
        <rFont val="Calibri"/>
        <family val="2"/>
        <scheme val="minor"/>
      </rPr>
      <t>[208V]</t>
    </r>
  </si>
  <si>
    <r>
      <t xml:space="preserve">SOLIVIA 7.6 NA G4 TL </t>
    </r>
    <r>
      <rPr>
        <sz val="11"/>
        <color rgb="FF006666"/>
        <rFont val="Calibri"/>
        <family val="2"/>
        <scheme val="minor"/>
      </rPr>
      <t>[240V]</t>
    </r>
  </si>
  <si>
    <r>
      <t xml:space="preserve">E8-TL-US </t>
    </r>
    <r>
      <rPr>
        <sz val="11"/>
        <color rgb="FF006666"/>
        <rFont val="Calibri"/>
        <family val="2"/>
        <scheme val="minor"/>
      </rPr>
      <t>[240V]</t>
    </r>
  </si>
  <si>
    <r>
      <t xml:space="preserve">M8-TL-US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</si>
  <si>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</si>
  <si>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</si>
  <si>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</si>
  <si>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</si>
  <si>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</si>
  <si>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</si>
  <si>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DES10JB125K01 </t>
    </r>
    <r>
      <rPr>
        <sz val="11"/>
        <color rgb="FF006666"/>
        <rFont val="Calibri"/>
        <family val="2"/>
        <scheme val="minor"/>
      </rPr>
      <t>[480V]</t>
    </r>
  </si>
  <si>
    <r>
      <t xml:space="preserve">MPS-100 </t>
    </r>
    <r>
      <rPr>
        <sz val="11"/>
        <color rgb="FF006666"/>
        <rFont val="Calibri"/>
        <family val="2"/>
        <scheme val="minor"/>
      </rPr>
      <t>[480]</t>
    </r>
  </si>
  <si>
    <r>
      <t xml:space="preserve">MPS-250 </t>
    </r>
    <r>
      <rPr>
        <sz val="11"/>
        <color rgb="FF006666"/>
        <rFont val="Calibri"/>
        <family val="2"/>
        <scheme val="minor"/>
      </rPr>
      <t>[480V]</t>
    </r>
  </si>
  <si>
    <r>
      <t xml:space="preserve">MPS-250HV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</si>
  <si>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</si>
  <si>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</si>
  <si>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</si>
  <si>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</si>
  <si>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</si>
  <si>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</si>
  <si>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</si>
  <si>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</si>
  <si>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</si>
  <si>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</si>
  <si>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</si>
  <si>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</si>
  <si>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</si>
  <si>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</si>
  <si>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</si>
  <si>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</si>
  <si>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</si>
  <si>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</si>
  <si>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</si>
  <si>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</si>
  <si>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</si>
  <si>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</si>
  <si>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</si>
  <si>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</si>
  <si>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</si>
  <si>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</si>
  <si>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</si>
  <si>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</si>
  <si>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</si>
  <si>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</si>
  <si>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</si>
  <si>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</si>
  <si>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</si>
  <si>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SUN2000-33KTL-US </t>
    </r>
    <r>
      <rPr>
        <sz val="11"/>
        <color rgb="FF006666"/>
        <rFont val="Calibri"/>
        <family val="2"/>
        <scheme val="minor"/>
      </rPr>
      <t>[480V]</t>
    </r>
  </si>
  <si>
    <r>
      <t xml:space="preserve">SUN2000-36KTL-US </t>
    </r>
    <r>
      <rPr>
        <sz val="11"/>
        <color rgb="FF006666"/>
        <rFont val="Calibri"/>
        <family val="2"/>
        <scheme val="minor"/>
      </rPr>
      <t>[480V]</t>
    </r>
  </si>
  <si>
    <r>
      <t xml:space="preserve">SUN2000-40KTL-US </t>
    </r>
    <r>
      <rPr>
        <sz val="11"/>
        <color rgb="FF006666"/>
        <rFont val="Calibri"/>
        <family val="2"/>
        <scheme val="minor"/>
      </rPr>
      <t>[480V]</t>
    </r>
  </si>
  <si>
    <r>
      <t xml:space="preserve">SUN2000-45KTL-US-HV-D0 </t>
    </r>
    <r>
      <rPr>
        <sz val="11"/>
        <color rgb="FF006666"/>
        <rFont val="Calibri"/>
        <family val="2"/>
        <scheme val="minor"/>
      </rPr>
      <t>[600V]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</si>
  <si>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</si>
  <si>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</si>
  <si>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</si>
  <si>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</si>
  <si>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JKMS260M-60B-EP </t>
    </r>
    <r>
      <rPr>
        <sz val="11"/>
        <color rgb="FF006666"/>
        <rFont val="Calibri"/>
        <family val="2"/>
        <scheme val="minor"/>
      </rPr>
      <t>[240V]</t>
    </r>
  </si>
  <si>
    <r>
      <t xml:space="preserve">JKMS265M-60B-EP </t>
    </r>
    <r>
      <rPr>
        <sz val="11"/>
        <color rgb="FF006666"/>
        <rFont val="Calibri"/>
        <family val="2"/>
        <scheme val="minor"/>
      </rPr>
      <t>[240V]</t>
    </r>
  </si>
  <si>
    <r>
      <t xml:space="preserve">JKMS270M-60B-EP </t>
    </r>
    <r>
      <rPr>
        <sz val="11"/>
        <color rgb="FF006666"/>
        <rFont val="Calibri"/>
        <family val="2"/>
        <scheme val="minor"/>
      </rPr>
      <t>[240V]</t>
    </r>
  </si>
  <si>
    <r>
      <t xml:space="preserve">JKMS275M-60B-EP </t>
    </r>
    <r>
      <rPr>
        <sz val="11"/>
        <color rgb="FF006666"/>
        <rFont val="Calibri"/>
        <family val="2"/>
        <scheme val="minor"/>
      </rPr>
      <t>[240V]</t>
    </r>
  </si>
  <si>
    <r>
      <t xml:space="preserve">JKMS275M-60-EP </t>
    </r>
    <r>
      <rPr>
        <sz val="11"/>
        <color rgb="FF006666"/>
        <rFont val="Calibri"/>
        <family val="2"/>
        <scheme val="minor"/>
      </rPr>
      <t>[240V]</t>
    </r>
  </si>
  <si>
    <r>
      <t xml:space="preserve">JKMS280M-60B-EP </t>
    </r>
    <r>
      <rPr>
        <sz val="11"/>
        <color rgb="FF006666"/>
        <rFont val="Calibri"/>
        <family val="2"/>
        <scheme val="minor"/>
      </rPr>
      <t>[240V]</t>
    </r>
  </si>
  <si>
    <r>
      <t xml:space="preserve">JKMS280M-60-EP </t>
    </r>
    <r>
      <rPr>
        <sz val="11"/>
        <color rgb="FF006666"/>
        <rFont val="Calibri"/>
        <family val="2"/>
        <scheme val="minor"/>
      </rPr>
      <t>[240V]</t>
    </r>
  </si>
  <si>
    <r>
      <t xml:space="preserve">JKMS285M-60B-EP </t>
    </r>
    <r>
      <rPr>
        <sz val="11"/>
        <color rgb="FF006666"/>
        <rFont val="Calibri"/>
        <family val="2"/>
        <scheme val="minor"/>
      </rPr>
      <t>[240V]</t>
    </r>
  </si>
  <si>
    <r>
      <t xml:space="preserve">JKMS285M-60-EP </t>
    </r>
    <r>
      <rPr>
        <sz val="11"/>
        <color rgb="FF006666"/>
        <rFont val="Calibri"/>
        <family val="2"/>
        <scheme val="minor"/>
      </rPr>
      <t>[240V]</t>
    </r>
  </si>
  <si>
    <r>
      <t xml:space="preserve">JKMS290M-60B-EP </t>
    </r>
    <r>
      <rPr>
        <sz val="11"/>
        <color rgb="FF006666"/>
        <rFont val="Calibri"/>
        <family val="2"/>
        <scheme val="minor"/>
      </rPr>
      <t>[240V]</t>
    </r>
  </si>
  <si>
    <r>
      <t xml:space="preserve">JKMS290M-60-EP </t>
    </r>
    <r>
      <rPr>
        <sz val="11"/>
        <color rgb="FF006666"/>
        <rFont val="Calibri"/>
        <family val="2"/>
        <scheme val="minor"/>
      </rPr>
      <t>[240V]</t>
    </r>
  </si>
  <si>
    <r>
      <t xml:space="preserve">JKMS295M-60B-EP </t>
    </r>
    <r>
      <rPr>
        <sz val="11"/>
        <color rgb="FF006666"/>
        <rFont val="Calibri"/>
        <family val="2"/>
        <scheme val="minor"/>
      </rPr>
      <t>[240V]</t>
    </r>
  </si>
  <si>
    <r>
      <t xml:space="preserve">JKMS295M-60-EP </t>
    </r>
    <r>
      <rPr>
        <sz val="11"/>
        <color rgb="FF006666"/>
        <rFont val="Calibri"/>
        <family val="2"/>
        <scheme val="minor"/>
      </rPr>
      <t>[240V]</t>
    </r>
  </si>
  <si>
    <r>
      <t xml:space="preserve">JKMS300M-60-EP </t>
    </r>
    <r>
      <rPr>
        <sz val="11"/>
        <color rgb="FF006666"/>
        <rFont val="Calibri"/>
        <family val="2"/>
        <scheme val="minor"/>
      </rPr>
      <t>[240V]</t>
    </r>
  </si>
  <si>
    <r>
      <t xml:space="preserve">LS600 </t>
    </r>
    <r>
      <rPr>
        <sz val="11"/>
        <color rgb="FF006666"/>
        <rFont val="Calibri"/>
        <family val="2"/>
        <scheme val="minor"/>
      </rPr>
      <t>[240V]</t>
    </r>
  </si>
  <si>
    <r>
      <t xml:space="preserve">LS600X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</si>
  <si>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</si>
  <si>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</si>
  <si>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</si>
  <si>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</si>
  <si>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</si>
  <si>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</si>
  <si>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</si>
  <si>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</si>
  <si>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</si>
  <si>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</si>
  <si>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</si>
  <si>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</si>
  <si>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LG355A1C-A5  </t>
    </r>
    <r>
      <rPr>
        <sz val="11"/>
        <color rgb="FF006666"/>
        <rFont val="Calibri"/>
        <family val="2"/>
        <scheme val="minor"/>
      </rPr>
      <t>[208V]</t>
    </r>
  </si>
  <si>
    <r>
      <t xml:space="preserve">LG355A1C-A5 </t>
    </r>
    <r>
      <rPr>
        <sz val="11"/>
        <color rgb="FF006666"/>
        <rFont val="Calibri"/>
        <family val="2"/>
        <scheme val="minor"/>
      </rPr>
      <t>[240V]</t>
    </r>
  </si>
  <si>
    <r>
      <t xml:space="preserve">LG360A1C-A5 </t>
    </r>
    <r>
      <rPr>
        <sz val="11"/>
        <color rgb="FF006666"/>
        <rFont val="Calibri"/>
        <family val="2"/>
        <scheme val="minor"/>
      </rPr>
      <t>[208V]</t>
    </r>
  </si>
  <si>
    <r>
      <t xml:space="preserve">LG360A1C-A5 </t>
    </r>
    <r>
      <rPr>
        <sz val="11"/>
        <color rgb="FF006666"/>
        <rFont val="Calibri"/>
        <family val="2"/>
        <scheme val="minor"/>
      </rPr>
      <t>[240V]</t>
    </r>
  </si>
  <si>
    <r>
      <t xml:space="preserve">LG365A1C-A5 </t>
    </r>
    <r>
      <rPr>
        <sz val="11"/>
        <color rgb="FF006666"/>
        <rFont val="Calibri"/>
        <family val="2"/>
        <scheme val="minor"/>
      </rPr>
      <t>[208V]</t>
    </r>
  </si>
  <si>
    <r>
      <t xml:space="preserve">LG365A1C-A5 </t>
    </r>
    <r>
      <rPr>
        <sz val="11"/>
        <color rgb="FF006666"/>
        <rFont val="Calibri"/>
        <family val="2"/>
        <scheme val="minor"/>
      </rPr>
      <t>[240V]</t>
    </r>
  </si>
  <si>
    <r>
      <t xml:space="preserve">LG370A1C-A5 </t>
    </r>
    <r>
      <rPr>
        <sz val="11"/>
        <color rgb="FF006666"/>
        <rFont val="Calibri"/>
        <family val="2"/>
        <scheme val="minor"/>
      </rPr>
      <t>[208V]</t>
    </r>
  </si>
  <si>
    <r>
      <t xml:space="preserve">LG370A1C-A5 </t>
    </r>
    <r>
      <rPr>
        <sz val="11"/>
        <color rgb="FF006666"/>
        <rFont val="Calibri"/>
        <family val="2"/>
        <scheme val="minor"/>
      </rPr>
      <t>[240V]</t>
    </r>
  </si>
  <si>
    <r>
      <t xml:space="preserve">LM320UE-A2 </t>
    </r>
    <r>
      <rPr>
        <sz val="11"/>
        <color rgb="FF006666"/>
        <rFont val="Calibri"/>
        <family val="2"/>
        <scheme val="minor"/>
      </rPr>
      <t>[208V]</t>
    </r>
  </si>
  <si>
    <r>
      <t xml:space="preserve">LM320UE-A2 </t>
    </r>
    <r>
      <rPr>
        <sz val="11"/>
        <color rgb="FF006666"/>
        <rFont val="Calibri"/>
        <family val="2"/>
        <scheme val="minor"/>
      </rPr>
      <t>[240V]</t>
    </r>
  </si>
  <si>
    <r>
      <t xml:space="preserve">A005KEEN261 </t>
    </r>
    <r>
      <rPr>
        <sz val="11"/>
        <color rgb="FF006666"/>
        <rFont val="Calibri"/>
        <family val="2"/>
        <scheme val="minor"/>
      </rPr>
      <t>[208V]</t>
    </r>
  </si>
  <si>
    <r>
      <t xml:space="preserve">A005KEEN261 </t>
    </r>
    <r>
      <rPr>
        <sz val="11"/>
        <color rgb="FF006666"/>
        <rFont val="Calibri"/>
        <family val="2"/>
        <scheme val="minor"/>
      </rPr>
      <t>[240V]</t>
    </r>
  </si>
  <si>
    <r>
      <t xml:space="preserve">D007KEEN261 </t>
    </r>
    <r>
      <rPr>
        <sz val="11"/>
        <color rgb="FF006666"/>
        <rFont val="Calibri"/>
        <family val="2"/>
        <scheme val="minor"/>
      </rPr>
      <t>[208V]</t>
    </r>
  </si>
  <si>
    <r>
      <t xml:space="preserve">D007KEEN261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</si>
  <si>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</si>
  <si>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</si>
  <si>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</si>
  <si>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</si>
  <si>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</si>
  <si>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</si>
  <si>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</si>
  <si>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Solis-1P6K-4G-US </t>
    </r>
    <r>
      <rPr>
        <sz val="11"/>
        <color rgb="FF006666"/>
        <rFont val="Calibri"/>
        <family val="2"/>
        <scheme val="minor"/>
      </rPr>
      <t>[240V]</t>
    </r>
  </si>
  <si>
    <r>
      <t xml:space="preserve">Solis-1P7K-4G-US </t>
    </r>
    <r>
      <rPr>
        <sz val="11"/>
        <color rgb="FF006666"/>
        <rFont val="Calibri"/>
        <family val="2"/>
        <scheme val="minor"/>
      </rPr>
      <t>[240V]</t>
    </r>
  </si>
  <si>
    <r>
      <t xml:space="preserve">Solis-1P7.6K-4G-US </t>
    </r>
    <r>
      <rPr>
        <sz val="11"/>
        <color rgb="FF006666"/>
        <rFont val="Calibri"/>
        <family val="2"/>
        <scheme val="minor"/>
      </rPr>
      <t>[240V]</t>
    </r>
  </si>
  <si>
    <r>
      <t xml:space="preserve">Solis-1P8K-4G-US </t>
    </r>
    <r>
      <rPr>
        <sz val="11"/>
        <color rgb="FF006666"/>
        <rFont val="Calibri"/>
        <family val="2"/>
        <scheme val="minor"/>
      </rPr>
      <t>[240V]</t>
    </r>
  </si>
  <si>
    <r>
      <t xml:space="preserve">Solis-1P9K-4G-US </t>
    </r>
    <r>
      <rPr>
        <sz val="11"/>
        <color rgb="FF006666"/>
        <rFont val="Calibri"/>
        <family val="2"/>
        <scheme val="minor"/>
      </rPr>
      <t>[240V]</t>
    </r>
  </si>
  <si>
    <r>
      <t xml:space="preserve">Solis-1P10K-4G-US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</si>
  <si>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</si>
  <si>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</si>
  <si>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</si>
  <si>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</si>
  <si>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Solis-50K-US-F-SW </t>
    </r>
    <r>
      <rPr>
        <sz val="11"/>
        <color rgb="FF006666"/>
        <rFont val="Calibri"/>
        <family val="2"/>
        <scheme val="minor"/>
      </rPr>
      <t>[480V]</t>
    </r>
  </si>
  <si>
    <r>
      <t xml:space="preserve">Solis-50K-US-SW </t>
    </r>
    <r>
      <rPr>
        <sz val="11"/>
        <color rgb="FF006666"/>
        <rFont val="Calibri"/>
        <family val="2"/>
        <scheme val="minor"/>
      </rPr>
      <t>[480V]</t>
    </r>
  </si>
  <si>
    <r>
      <t xml:space="preserve">Solis-60K-US-F-SW </t>
    </r>
    <r>
      <rPr>
        <sz val="11"/>
        <color rgb="FF006666"/>
        <rFont val="Calibri"/>
        <family val="2"/>
        <scheme val="minor"/>
      </rPr>
      <t>[480V]</t>
    </r>
  </si>
  <si>
    <r>
      <t xml:space="preserve">Solis-66K-US-F-SW </t>
    </r>
    <r>
      <rPr>
        <sz val="11"/>
        <color rgb="FF006666"/>
        <rFont val="Calibri"/>
        <family val="2"/>
        <scheme val="minor"/>
      </rPr>
      <t>[480V]</t>
    </r>
  </si>
  <si>
    <r>
      <t xml:space="preserve">FXR3048A </t>
    </r>
    <r>
      <rPr>
        <sz val="11"/>
        <color rgb="FF006666"/>
        <rFont val="Calibri"/>
        <family val="2"/>
        <scheme val="minor"/>
      </rPr>
      <t>[120V]</t>
    </r>
  </si>
  <si>
    <r>
      <t xml:space="preserve">VFXR3524A </t>
    </r>
    <r>
      <rPr>
        <sz val="11"/>
        <color rgb="FF006666"/>
        <rFont val="Calibri"/>
        <family val="2"/>
        <scheme val="minor"/>
      </rPr>
      <t>[120V]</t>
    </r>
  </si>
  <si>
    <r>
      <t xml:space="preserve">VFXR3648A </t>
    </r>
    <r>
      <rPr>
        <sz val="11"/>
        <color rgb="FF006666"/>
        <rFont val="Calibri"/>
        <family val="2"/>
        <scheme val="minor"/>
      </rPr>
      <t>[120V]</t>
    </r>
  </si>
  <si>
    <r>
      <t xml:space="preserve">GS4048A </t>
    </r>
    <r>
      <rPr>
        <sz val="11"/>
        <color rgb="FF006666"/>
        <rFont val="Calibri"/>
        <family val="2"/>
        <scheme val="minor"/>
      </rPr>
      <t>[240V]</t>
    </r>
  </si>
  <si>
    <r>
      <t xml:space="preserve">SBX5048-120/240 </t>
    </r>
    <r>
      <rPr>
        <sz val="11"/>
        <color rgb="FF006666"/>
        <rFont val="Calibri"/>
        <family val="2"/>
        <scheme val="minor"/>
      </rPr>
      <t>[240V]</t>
    </r>
  </si>
  <si>
    <r>
      <t xml:space="preserve">GS8048A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</si>
  <si>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</si>
  <si>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</si>
  <si>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</si>
  <si>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</si>
  <si>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</si>
  <si>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</si>
  <si>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</si>
  <si>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</si>
  <si>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</si>
  <si>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</si>
  <si>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</si>
  <si>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</si>
  <si>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</si>
  <si>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</si>
  <si>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</si>
  <si>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</si>
  <si>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</si>
  <si>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</si>
  <si>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</si>
  <si>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</si>
  <si>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</si>
  <si>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</si>
  <si>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</si>
  <si>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</si>
  <si>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</si>
  <si>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</si>
  <si>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</si>
  <si>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</si>
  <si>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</si>
  <si>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</si>
  <si>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</si>
  <si>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</si>
  <si>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</si>
  <si>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</si>
  <si>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Conext CL125 </t>
    </r>
    <r>
      <rPr>
        <sz val="11"/>
        <color rgb="FF006666"/>
        <rFont val="Calibri"/>
        <family val="2"/>
        <scheme val="minor"/>
      </rPr>
      <t>[600V]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</si>
  <si>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</si>
  <si>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</si>
  <si>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</si>
  <si>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</si>
  <si>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</si>
  <si>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</si>
  <si>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PWS2-30K-NA </t>
    </r>
    <r>
      <rPr>
        <sz val="11"/>
        <color rgb="FF006666"/>
        <rFont val="Calibri"/>
        <family val="2"/>
        <scheme val="minor"/>
      </rPr>
      <t>[480V]</t>
    </r>
  </si>
  <si>
    <r>
      <t xml:space="preserve">PWS1-50K-NA </t>
    </r>
    <r>
      <rPr>
        <sz val="11"/>
        <color rgb="FF006666"/>
        <rFont val="Calibri"/>
        <family val="2"/>
        <scheme val="minor"/>
      </rPr>
      <t>[480V]</t>
    </r>
  </si>
  <si>
    <r>
      <t xml:space="preserve">PWS1-100K-NA </t>
    </r>
    <r>
      <rPr>
        <sz val="11"/>
        <color rgb="FF006666"/>
        <rFont val="Calibri"/>
        <family val="2"/>
        <scheme val="minor"/>
      </rPr>
      <t>[480V]</t>
    </r>
  </si>
  <si>
    <r>
      <t xml:space="preserve">PWS1-150K-NA </t>
    </r>
    <r>
      <rPr>
        <sz val="11"/>
        <color rgb="FF006666"/>
        <rFont val="Calibri"/>
        <family val="2"/>
        <scheme val="minor"/>
      </rPr>
      <t>[480V]</t>
    </r>
  </si>
  <si>
    <r>
      <t xml:space="preserve">PWS1-250K-NA </t>
    </r>
    <r>
      <rPr>
        <sz val="11"/>
        <color rgb="FF006666"/>
        <rFont val="Calibri"/>
        <family val="2"/>
        <scheme val="minor"/>
      </rPr>
      <t>[480V]</t>
    </r>
  </si>
  <si>
    <r>
      <t xml:space="preserve">PWS1-500KTL-NA </t>
    </r>
    <r>
      <rPr>
        <sz val="11"/>
        <color rgb="FF006666"/>
        <rFont val="Calibri"/>
        <family val="2"/>
        <scheme val="minor"/>
      </rPr>
      <t>[400V]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</si>
  <si>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</si>
  <si>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</si>
  <si>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</si>
  <si>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</si>
  <si>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</si>
  <si>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</si>
  <si>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SBS3.8-US-10 </t>
    </r>
    <r>
      <rPr>
        <sz val="11"/>
        <color rgb="FF006666"/>
        <rFont val="Calibri"/>
        <family val="2"/>
        <scheme val="minor"/>
      </rPr>
      <t>[240V]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</si>
  <si>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</si>
  <si>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</si>
  <si>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SBS5.0-US-10 </t>
    </r>
    <r>
      <rPr>
        <sz val="11"/>
        <color rgb="FF006666"/>
        <rFont val="Calibri"/>
        <family val="2"/>
        <scheme val="minor"/>
      </rPr>
      <t>[240V]</t>
    </r>
  </si>
  <si>
    <r>
      <t xml:space="preserve">SBS6.0-US-10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</si>
  <si>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</si>
  <si>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</si>
  <si>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</si>
  <si>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</si>
  <si>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</si>
  <si>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</si>
  <si>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</si>
  <si>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SC 2500-EV-US </t>
    </r>
    <r>
      <rPr>
        <sz val="11"/>
        <color rgb="FF006666"/>
        <rFont val="Calibri"/>
        <family val="2"/>
        <scheme val="minor"/>
      </rPr>
      <t>[550V]</t>
    </r>
  </si>
  <si>
    <r>
      <t xml:space="preserve">SC 2750-EV-US </t>
    </r>
    <r>
      <rPr>
        <sz val="11"/>
        <color rgb="FF006666"/>
        <rFont val="Calibri"/>
        <family val="2"/>
        <scheme val="minor"/>
      </rPr>
      <t>[600V]</t>
    </r>
  </si>
  <si>
    <r>
      <t xml:space="preserve">SE3000H-US </t>
    </r>
    <r>
      <rPr>
        <sz val="11"/>
        <color rgb="FF006666"/>
        <rFont val="Calibri"/>
        <family val="2"/>
        <scheme val="minor"/>
      </rPr>
      <t>[240V]</t>
    </r>
  </si>
  <si>
    <r>
      <t xml:space="preserve">SE3000x </t>
    </r>
    <r>
      <rPr>
        <sz val="11"/>
        <color rgb="FF006666"/>
        <rFont val="Calibri"/>
        <family val="2"/>
        <scheme val="minor"/>
      </rPr>
      <t>[240V]</t>
    </r>
  </si>
  <si>
    <r>
      <t xml:space="preserve">SE3000x </t>
    </r>
    <r>
      <rPr>
        <sz val="11"/>
        <color rgb="FF006666"/>
        <rFont val="Calibri"/>
        <family val="2"/>
        <scheme val="minor"/>
      </rPr>
      <t>[208V]</t>
    </r>
  </si>
  <si>
    <r>
      <t xml:space="preserve">SE3300x </t>
    </r>
    <r>
      <rPr>
        <sz val="11"/>
        <color rgb="FF006666"/>
        <rFont val="Calibri"/>
        <family val="2"/>
        <scheme val="minor"/>
      </rPr>
      <t>[240V]</t>
    </r>
  </si>
  <si>
    <r>
      <t xml:space="preserve">SE3800H-US </t>
    </r>
    <r>
      <rPr>
        <sz val="11"/>
        <color rgb="FF006666"/>
        <rFont val="Calibri"/>
        <family val="2"/>
        <scheme val="minor"/>
      </rPr>
      <t>[208V]</t>
    </r>
  </si>
  <si>
    <r>
      <t xml:space="preserve">SE3300x </t>
    </r>
    <r>
      <rPr>
        <sz val="11"/>
        <color rgb="FF006666"/>
        <rFont val="Calibri"/>
        <family val="2"/>
        <scheme val="minor"/>
      </rPr>
      <t>[208V]</t>
    </r>
  </si>
  <si>
    <r>
      <t xml:space="preserve">SE3800H-US </t>
    </r>
    <r>
      <rPr>
        <sz val="11"/>
        <color rgb="FF006666"/>
        <rFont val="Calibri"/>
        <family val="2"/>
        <scheme val="minor"/>
      </rPr>
      <t>[240V]</t>
    </r>
  </si>
  <si>
    <r>
      <t xml:space="preserve">SE3800x </t>
    </r>
    <r>
      <rPr>
        <sz val="11"/>
        <color rgb="FF006666"/>
        <rFont val="Calibri"/>
        <family val="2"/>
        <scheme val="minor"/>
      </rPr>
      <t>[240V]</t>
    </r>
  </si>
  <si>
    <r>
      <t xml:space="preserve">SE3800x </t>
    </r>
    <r>
      <rPr>
        <sz val="11"/>
        <color rgb="FF006666"/>
        <rFont val="Calibri"/>
        <family val="2"/>
        <scheme val="minor"/>
      </rPr>
      <t>[208V]</t>
    </r>
  </si>
  <si>
    <r>
      <t xml:space="preserve">SE5000H-US </t>
    </r>
    <r>
      <rPr>
        <sz val="11"/>
        <color rgb="FF006666"/>
        <rFont val="Calibri"/>
        <family val="2"/>
        <scheme val="minor"/>
      </rPr>
      <t>[208V]</t>
    </r>
  </si>
  <si>
    <r>
      <t xml:space="preserve">SE5000x </t>
    </r>
    <r>
      <rPr>
        <sz val="11"/>
        <color rgb="FF006666"/>
        <rFont val="Calibri"/>
        <family val="2"/>
        <scheme val="minor"/>
      </rPr>
      <t>[208V]</t>
    </r>
  </si>
  <si>
    <r>
      <t xml:space="preserve">SE5000x </t>
    </r>
    <r>
      <rPr>
        <sz val="11"/>
        <color rgb="FF006666"/>
        <rFont val="Calibri"/>
        <family val="2"/>
        <scheme val="minor"/>
      </rPr>
      <t>[240V]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</si>
  <si>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</si>
  <si>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</si>
  <si>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SE6000x </t>
    </r>
    <r>
      <rPr>
        <sz val="11"/>
        <color rgb="FF006666"/>
        <rFont val="Calibri"/>
        <family val="2"/>
        <scheme val="minor"/>
      </rPr>
      <t>[208V]</t>
    </r>
  </si>
  <si>
    <r>
      <t xml:space="preserve">SE6000x </t>
    </r>
    <r>
      <rPr>
        <sz val="11"/>
        <color rgb="FF006666"/>
        <rFont val="Calibri"/>
        <family val="2"/>
        <scheme val="minor"/>
      </rPr>
      <t>[240V]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</si>
  <si>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</si>
  <si>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</si>
  <si>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</si>
  <si>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</si>
  <si>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SE9KUS </t>
    </r>
    <r>
      <rPr>
        <sz val="11"/>
        <color rgb="FF006666"/>
        <rFont val="Calibri"/>
        <family val="2"/>
        <scheme val="minor"/>
      </rPr>
      <t>[208V]</t>
    </r>
  </si>
  <si>
    <r>
      <t xml:space="preserve">SE10KUS </t>
    </r>
    <r>
      <rPr>
        <sz val="11"/>
        <color rgb="FF006666"/>
        <rFont val="Calibri"/>
        <family val="2"/>
        <scheme val="minor"/>
      </rPr>
      <t>[480V]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</si>
  <si>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</si>
  <si>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</si>
  <si>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</si>
  <si>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</si>
  <si>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</si>
  <si>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</si>
  <si>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</si>
  <si>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</si>
  <si>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SE20KUS </t>
    </r>
    <r>
      <rPr>
        <sz val="11"/>
        <color rgb="FF006666"/>
        <rFont val="Calibri"/>
        <family val="2"/>
        <scheme val="minor"/>
      </rPr>
      <t>[480V]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</si>
  <si>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</si>
  <si>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</si>
  <si>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</si>
  <si>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</si>
  <si>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</si>
  <si>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</si>
  <si>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</si>
  <si>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</si>
  <si>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</si>
  <si>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 60KU-M </t>
    </r>
    <r>
      <rPr>
        <sz val="11"/>
        <color rgb="FF006666"/>
        <rFont val="Calibri"/>
        <family val="2"/>
        <scheme val="minor"/>
      </rPr>
      <t>[480V]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</si>
  <si>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</si>
  <si>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</si>
  <si>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</si>
  <si>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</si>
  <si>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</si>
  <si>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</si>
  <si>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</si>
  <si>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</si>
  <si>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</si>
  <si>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</si>
  <si>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</si>
  <si>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</si>
  <si>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</si>
  <si>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THD-S55P3BB-US </t>
    </r>
    <r>
      <rPr>
        <sz val="11"/>
        <color rgb="FF006666"/>
        <rFont val="Calibri"/>
        <family val="2"/>
        <scheme val="minor"/>
      </rPr>
      <t>[240V]</t>
    </r>
  </si>
  <si>
    <r>
      <t xml:space="preserve">THD-S55P3B-US </t>
    </r>
    <r>
      <rPr>
        <sz val="11"/>
        <color rgb="FF006666"/>
        <rFont val="Calibri"/>
        <family val="2"/>
        <scheme val="minor"/>
      </rPr>
      <t>[240V]</t>
    </r>
  </si>
  <si>
    <r>
      <t xml:space="preserve">THE-S55P3BB-USW </t>
    </r>
    <r>
      <rPr>
        <sz val="11"/>
        <color rgb="FF006666"/>
        <rFont val="Calibri"/>
        <family val="2"/>
        <scheme val="minor"/>
      </rPr>
      <t>[240V]</t>
    </r>
  </si>
  <si>
    <r>
      <t xml:space="preserve">TB6000SHU </t>
    </r>
    <r>
      <rPr>
        <sz val="11"/>
        <color rgb="FF006666"/>
        <rFont val="Calibri"/>
        <family val="2"/>
        <scheme val="minor"/>
      </rPr>
      <t>[208V]</t>
    </r>
  </si>
  <si>
    <r>
      <t xml:space="preserve">TB6000SHU </t>
    </r>
    <r>
      <rPr>
        <sz val="11"/>
        <color rgb="FF006666"/>
        <rFont val="Calibri"/>
        <family val="2"/>
        <scheme val="minor"/>
      </rPr>
      <t>[240V]</t>
    </r>
  </si>
  <si>
    <r>
      <t xml:space="preserve">TB8000SHU </t>
    </r>
    <r>
      <rPr>
        <sz val="11"/>
        <color rgb="FF006666"/>
        <rFont val="Calibri"/>
        <family val="2"/>
        <scheme val="minor"/>
      </rPr>
      <t>[208V]</t>
    </r>
  </si>
  <si>
    <r>
      <t xml:space="preserve">TB8000SHU </t>
    </r>
    <r>
      <rPr>
        <sz val="11"/>
        <color rgb="FF006666"/>
        <rFont val="Calibri"/>
        <family val="2"/>
        <scheme val="minor"/>
      </rPr>
      <t>[240V]</t>
    </r>
  </si>
  <si>
    <r>
      <t xml:space="preserve">SPI50K-BHV </t>
    </r>
    <r>
      <rPr>
        <sz val="11"/>
        <color rgb="FF006666"/>
        <rFont val="Calibri"/>
        <family val="2"/>
        <scheme val="minor"/>
      </rPr>
      <t>[480V]</t>
    </r>
  </si>
  <si>
    <r>
      <t xml:space="preserve">SPI60K-BHV </t>
    </r>
    <r>
      <rPr>
        <sz val="11"/>
        <color rgb="FF006666"/>
        <rFont val="Calibri"/>
        <family val="2"/>
        <scheme val="minor"/>
      </rPr>
      <t>[480V]</t>
    </r>
  </si>
  <si>
    <r>
      <t xml:space="preserve">PVI 36TL-480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</si>
  <si>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</si>
  <si>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</si>
  <si>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t>y</t>
  </si>
  <si>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</si>
  <si>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</si>
  <si>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</si>
  <si>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</si>
  <si>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t>SI-1R Listing Date (mo/day/yr)</t>
  </si>
  <si>
    <r>
      <t>TSXL480-10k</t>
    </r>
    <r>
      <rPr>
        <sz val="11"/>
        <color rgb="FF006666"/>
        <rFont val="Calibri"/>
        <family val="2"/>
        <scheme val="minor"/>
      </rPr>
      <t xml:space="preserve"> [480V]</t>
    </r>
  </si>
  <si>
    <t>[09/28/2018]</t>
  </si>
  <si>
    <t>[0.28]</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</si>
  <si>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</si>
  <si>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</si>
  <si>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</si>
  <si>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</si>
  <si>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</si>
  <si>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</si>
  <si>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</si>
  <si>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</si>
  <si>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t>33 kW, 480 Vac, three phases, 3/N/PE, Transformerless Grid Support Utility Interactive Inverter</t>
  </si>
  <si>
    <t>[09/05/2018]</t>
  </si>
  <si>
    <t>[teba0101]</t>
  </si>
  <si>
    <r>
      <t>GROWATT 36000TL3-US</t>
    </r>
    <r>
      <rPr>
        <sz val="11"/>
        <color rgb="FF006666"/>
        <rFont val="Calibri"/>
        <family val="2"/>
        <scheme val="minor"/>
      </rPr>
      <t xml:space="preserve"> [480V]</t>
    </r>
  </si>
  <si>
    <t>36 kW, 480 Vac, three phases, 3/N/PE, Transformerless Grid Support Utility Interactive Inverter</t>
  </si>
  <si>
    <r>
      <t>GROWATT 40000TL3-US</t>
    </r>
    <r>
      <rPr>
        <sz val="11"/>
        <color rgb="FF006666"/>
        <rFont val="Calibri"/>
        <family val="2"/>
        <scheme val="minor"/>
      </rPr>
      <t xml:space="preserve"> [480V]</t>
    </r>
  </si>
  <si>
    <t>40 kW, 480Vac, three phases, 3/N/PE, Transformerless Grid Support Utility Interactive Inverter</t>
  </si>
  <si>
    <t>10 KW, 480 Vac, Grid Support Utility Interactve Inverter</t>
  </si>
  <si>
    <t>Multiple Listing of ONE SUN, MEXICO S.A. DE C.V., 1S480-10k</t>
  </si>
  <si>
    <r>
      <t>SPR-X21-350-BLK-E-AC</t>
    </r>
    <r>
      <rPr>
        <sz val="11"/>
        <color rgb="FF006666"/>
        <rFont val="Calibri"/>
        <family val="2"/>
        <scheme val="minor"/>
      </rPr>
      <t xml:space="preserve"> [208V]</t>
    </r>
  </si>
  <si>
    <t>350 W, 208 Vac, Grid Support Utility Interactive, monocrystalline ACPV module, black backsheet. DC Module: SPR-X21-350-BLK. Micro-inverter: IQ7XS-96-y-ACM-z [208V].</t>
  </si>
  <si>
    <t>[09/22/2018]</t>
  </si>
  <si>
    <r>
      <t>SPR-X21-335-BLK-E-AC</t>
    </r>
    <r>
      <rPr>
        <sz val="11"/>
        <color rgb="FF006666"/>
        <rFont val="Calibri"/>
        <family val="2"/>
        <scheme val="minor"/>
      </rPr>
      <t xml:space="preserve"> [208V]</t>
    </r>
  </si>
  <si>
    <t>335 W, 208 Vac, Grid Support Utility Interactive, monocrystalline ACPV module, black backsheet. DC Module: SPR-X21-335-BLK. Micro-inverter: IQ7XS-96-y-ACM-z [208V].</t>
  </si>
  <si>
    <r>
      <t>SPR-X20-327-BLK-E-AC</t>
    </r>
    <r>
      <rPr>
        <sz val="11"/>
        <color rgb="FF006666"/>
        <rFont val="Calibri"/>
        <family val="2"/>
        <scheme val="minor"/>
      </rPr>
      <t xml:space="preserve"> [208V]</t>
    </r>
  </si>
  <si>
    <t>327 W, 208 Vac, Grid Support Utility Interactive, monocrystalline ACPV module, black backsheet. DC Module: SPR-X20-327-BLK. Micro-inverter: IQ7XS-96-y-ACM-z [208V].</t>
  </si>
  <si>
    <r>
      <t>SPR-X21-350-BLK-E-AC</t>
    </r>
    <r>
      <rPr>
        <sz val="11"/>
        <color rgb="FF006666"/>
        <rFont val="Calibri"/>
        <family val="2"/>
        <scheme val="minor"/>
      </rPr>
      <t xml:space="preserve"> [240V]</t>
    </r>
  </si>
  <si>
    <t>350 W, 240 Vac, Grid Support Utility Interactive, monocrystalline ACPV module, black backsheet. DC Module: SPR-X21-350-BLK. Micro-inverter: IQ7XS-96-y-ACM-z [240V].</t>
  </si>
  <si>
    <r>
      <t xml:space="preserve">SPR-X21-335-BLK-E-AC </t>
    </r>
    <r>
      <rPr>
        <sz val="11"/>
        <color rgb="FF006666"/>
        <rFont val="Calibri"/>
        <family val="2"/>
        <scheme val="minor"/>
      </rPr>
      <t>[240V]</t>
    </r>
  </si>
  <si>
    <t>335 W, 240 Vac, Grid Support Utility Interactive, monocrystalline ACPV module, black backsheet. DC Module: SPR-X21-335-BLK. Micro-inverter: IQ7XS-96-y-ACM-z [240V].</t>
  </si>
  <si>
    <r>
      <t>SPR-X20-327-BLK-E-AC</t>
    </r>
    <r>
      <rPr>
        <sz val="11"/>
        <color rgb="FF006666"/>
        <rFont val="Calibri"/>
        <family val="2"/>
        <scheme val="minor"/>
      </rPr>
      <t xml:space="preserve"> [240V]</t>
    </r>
  </si>
  <si>
    <t>327 W, 240 Vac, Grid Support Utility Interactive, monocrystalline ACPV module, black backsheet. DC Module: SPR-X20-327-BLK. Micro-inverter: IQ7XS-96-y-ACM-z [240V].</t>
  </si>
  <si>
    <r>
      <t>SPR-X22-370-E-AC [</t>
    </r>
    <r>
      <rPr>
        <sz val="11"/>
        <color rgb="FF006666"/>
        <rFont val="Calibri"/>
        <family val="2"/>
        <scheme val="minor"/>
      </rPr>
      <t>208V]</t>
    </r>
  </si>
  <si>
    <t>370 W, 208 Vac, Grid Support Utility Interactive, monocrystalline ACPV module, white backsheet. DC Module: SPR-X22-370. Micro-inverter: IQ7XS-96-y-ACM-z [208V].</t>
  </si>
  <si>
    <r>
      <t>SPR-X22-360-E-AC</t>
    </r>
    <r>
      <rPr>
        <sz val="11"/>
        <color rgb="FF006666"/>
        <rFont val="Calibri"/>
        <family val="2"/>
        <scheme val="minor"/>
      </rPr>
      <t xml:space="preserve"> [208V]</t>
    </r>
  </si>
  <si>
    <t>360 W, 208 Vac, Grid Support Utility Interactive, monocrystalline ACPV module, white backsheet. DC Module: SPR-X22-360. Micro-inverter: IQ7XS-96-y-ACM-z [208V].</t>
  </si>
  <si>
    <r>
      <t>SPR-X21-345-E-AC</t>
    </r>
    <r>
      <rPr>
        <sz val="11"/>
        <color rgb="FF006666"/>
        <rFont val="Calibri"/>
        <family val="2"/>
        <scheme val="minor"/>
      </rPr>
      <t xml:space="preserve"> [208V]</t>
    </r>
  </si>
  <si>
    <t>345 W, 208 Vac, Grid Support Utility Interactive, monocrystalline ACPV module, white backsheet. DC Module: SPR-X21-345. Micro-inverter: IQ7XS-96-y-ACM-z [208V].</t>
  </si>
  <si>
    <r>
      <t>SPR-X21-335-E-AC</t>
    </r>
    <r>
      <rPr>
        <sz val="11"/>
        <color rgb="FF006666"/>
        <rFont val="Calibri"/>
        <family val="2"/>
        <scheme val="minor"/>
      </rPr>
      <t xml:space="preserve"> [208V]</t>
    </r>
  </si>
  <si>
    <t>335 W, 208 Vac, Grid Support Utility Interactive, monocrystalline ACPV module, white backsheet. DC Module: SPR-X21-335. Micro-inverter: IQ7XS-96-y-ACM-z [208V].</t>
  </si>
  <si>
    <r>
      <t>SPR-X20-327-E-AC</t>
    </r>
    <r>
      <rPr>
        <sz val="11"/>
        <color rgb="FF006666"/>
        <rFont val="Calibri"/>
        <family val="2"/>
        <scheme val="minor"/>
      </rPr>
      <t xml:space="preserve"> [208V]</t>
    </r>
  </si>
  <si>
    <t>327 W, 208 Vac, Grid Support Utility Interactive, monocrystalline ACPV module, white backsheet. DC Module: SPR-X20-327. Micro-inverter: IQ7XS-96-y-ACM-z [208V].</t>
  </si>
  <si>
    <r>
      <t>SPR-X22-370-E-AC</t>
    </r>
    <r>
      <rPr>
        <sz val="11"/>
        <color rgb="FF006666"/>
        <rFont val="Calibri"/>
        <family val="2"/>
        <scheme val="minor"/>
      </rPr>
      <t xml:space="preserve"> [240V]</t>
    </r>
  </si>
  <si>
    <t>370 W, 240 Vac, Grid Support Utility Interactive, monocrystalline ACPV module, white backsheet. DC Module: SPR-X22-370. Micro-inverter: IQ7XS-96-y-ACM-z [240V].</t>
  </si>
  <si>
    <r>
      <t>SPR-X22-360-E-AC</t>
    </r>
    <r>
      <rPr>
        <sz val="11"/>
        <color rgb="FF006666"/>
        <rFont val="Calibri"/>
        <family val="2"/>
        <scheme val="minor"/>
      </rPr>
      <t xml:space="preserve"> [240V]</t>
    </r>
  </si>
  <si>
    <t>360 W, 240 Vac, Grid Support Utility Interactive, monocrystalline ACPV module, white backsheet. DC Module: SPR-X22-360. Micro-inverter: IQ7XS-96-y-ACM-z [240V].</t>
  </si>
  <si>
    <r>
      <t>SPR-X21-345-E-AC</t>
    </r>
    <r>
      <rPr>
        <sz val="11"/>
        <color rgb="FF006666"/>
        <rFont val="Calibri"/>
        <family val="2"/>
        <scheme val="minor"/>
      </rPr>
      <t xml:space="preserve"> [240V]</t>
    </r>
  </si>
  <si>
    <t>345 W, 240 Vac, Grid Support Utility Interactive, monocrystalline ACPV module, white backsheet. DC Module: SPR-X21-345. Micro-inverter: IQ7XS-96-y-ACM-z [240V].</t>
  </si>
  <si>
    <r>
      <t>SPR-X21-335-E-AC</t>
    </r>
    <r>
      <rPr>
        <sz val="11"/>
        <color rgb="FF006666"/>
        <rFont val="Calibri"/>
        <family val="2"/>
        <scheme val="minor"/>
      </rPr>
      <t xml:space="preserve"> [240V]</t>
    </r>
  </si>
  <si>
    <t>335 W, 240 Vac, Grid Support Utility Interactive, monocrystalline ACPV module, white backsheet. DC Module: SPR-X21-335. Micro-inverter: IQ7XS-96-y-ACM-z [240V].</t>
  </si>
  <si>
    <r>
      <t>SPR-X20-327-E-AC</t>
    </r>
    <r>
      <rPr>
        <sz val="11"/>
        <color rgb="FF006666"/>
        <rFont val="Calibri"/>
        <family val="2"/>
        <scheme val="minor"/>
      </rPr>
      <t xml:space="preserve"> [240V]</t>
    </r>
  </si>
  <si>
    <t>327 W, 240 Vac, Grid Support Utility Interactive, monocrystalline ACPV module, white backsheet. DC Module: SPR-X20-327. Micro-inverter: IQ7XS-96-y-ACM-z [240V].</t>
  </si>
  <si>
    <t>ONE SUN, MEXICO S.A. DE C.V.</t>
  </si>
  <si>
    <r>
      <t>1S480-10k</t>
    </r>
    <r>
      <rPr>
        <sz val="11"/>
        <color rgb="FF006666"/>
        <rFont val="Calibri"/>
        <family val="2"/>
        <scheme val="minor"/>
      </rPr>
      <t xml:space="preserve"> [480V]</t>
    </r>
  </si>
  <si>
    <t>10 kW, 480 Vac, Grid Support Utility Interactive Inverter</t>
  </si>
  <si>
    <t>[10/26/2018]</t>
  </si>
  <si>
    <t>Multiple Listing of HiQ Solar, TSXL480-10k</t>
  </si>
  <si>
    <t>[10/16/2018]</t>
  </si>
  <si>
    <r>
      <t>STP 33-US-41</t>
    </r>
    <r>
      <rPr>
        <sz val="11"/>
        <color rgb="FF006666"/>
        <rFont val="Calibri"/>
        <family val="2"/>
        <scheme val="minor"/>
      </rPr>
      <t xml:space="preserve"> [480V]</t>
    </r>
  </si>
  <si>
    <t>33.3 kW, 480 Vac, 3-phase, transformerless, Grid Support Utility Interactive Inverter</t>
  </si>
  <si>
    <t>[11/08/2018]</t>
  </si>
  <si>
    <t>[01.09.03.R]</t>
  </si>
  <si>
    <r>
      <t>STP 50-US-41</t>
    </r>
    <r>
      <rPr>
        <sz val="11"/>
        <color rgb="FF006666"/>
        <rFont val="Calibri"/>
        <family val="2"/>
        <scheme val="minor"/>
      </rPr>
      <t xml:space="preserve"> [480V]</t>
    </r>
  </si>
  <si>
    <t>50 kW, 480 Vac, 3-phase, transformerless, Grid Support Utility Interactive Inverter</t>
  </si>
  <si>
    <r>
      <t>STP 62-US-41</t>
    </r>
    <r>
      <rPr>
        <sz val="11"/>
        <color rgb="FF006666"/>
        <rFont val="Calibri"/>
        <family val="2"/>
        <scheme val="minor"/>
      </rPr>
      <t xml:space="preserve"> [480V]</t>
    </r>
  </si>
  <si>
    <t>62.5 kW, 480 Vac, 3-phase, transformerless, Grid Support Utility Interactive Inverter</t>
  </si>
  <si>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</si>
  <si>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</si>
  <si>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</si>
  <si>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</si>
  <si>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</si>
  <si>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327 W, 240 Vac, Grid Support Utility Interactive,  monocrystalline ACPV Module, white backsheet. DC Module:  SPR-E20-327. Micro-inverter:  IQ7XS-96-y-ACM-z [240V].</t>
  </si>
  <si>
    <t>327 W, 208 Vac, Grid Support Utility Interactive, monocrystalline ACPV Module, white backsheet. DC Module:  SPR-E20-327. Micro-inverter:  IQ7XS-96-y-ACM-z [208V].</t>
  </si>
  <si>
    <t>320 W, 240 Vac, Grid Support Utility Interactive, monocrystalline ACPV Module, white backsheet. DC Module:  SPR-E19-320. Micro-inverter:  IQ7XS-96-y-ACM-z [240V].</t>
  </si>
  <si>
    <t>320 W, 208 Vac, Grid Support Utility Interactive, monocrystalline ACPV Module, white backsheet. DC Module:  SPR-E19-320. Micro-inverter:  IQ7XS-96-y-ACM-z [208V].</t>
  </si>
  <si>
    <t>UL 1741 Supplement SA Testing</t>
  </si>
  <si>
    <t>UL 1741 SA13 Volt-Var</t>
  </si>
  <si>
    <t>UL 1741 SA
Freq-Watt
Volt-Watt</t>
  </si>
  <si>
    <t>Common Smart Inverter Profile Conformance</t>
  </si>
  <si>
    <t>SA8-SA13</t>
  </si>
  <si>
    <r>
      <t>RPP</t>
    </r>
    <r>
      <rPr>
        <b/>
        <vertAlign val="superscript"/>
        <sz val="12"/>
        <color theme="1"/>
        <rFont val="Calibri"/>
        <family val="2"/>
        <scheme val="minor"/>
      </rPr>
      <t>2</t>
    </r>
  </si>
  <si>
    <t>SA14-SA15</t>
  </si>
  <si>
    <t>CSIP</t>
  </si>
  <si>
    <r>
      <t>UL 1741 Supplement SA 
Certification (SA8-SA13)</t>
    </r>
    <r>
      <rPr>
        <b/>
        <vertAlign val="superscript"/>
        <sz val="12"/>
        <color theme="1"/>
        <rFont val="Calibri"/>
        <family val="2"/>
        <scheme val="minor"/>
      </rPr>
      <t>3</t>
    </r>
  </si>
  <si>
    <t>Certifying Entity</t>
  </si>
  <si>
    <t>CSIP Certification</t>
  </si>
  <si>
    <t>TUV Rheinland of North America</t>
  </si>
  <si>
    <t>CSA Group</t>
  </si>
  <si>
    <t>Intertek</t>
  </si>
  <si>
    <t>TUV SUD America</t>
  </si>
  <si>
    <t>UL</t>
  </si>
  <si>
    <t>SGS North America</t>
  </si>
  <si>
    <t>Data has not changed since January 15, 2019</t>
  </si>
  <si>
    <t>Grid Support Inverter List (Full Data)</t>
  </si>
  <si>
    <t xml:space="preserve">% Equipment is in the process of being removed from the list of eligible equipment pursuant to Appendix A, Section B, of the Guidelines for California's Solar Electric Incentive Programs (Senate Bill 1) at:  </t>
  </si>
  <si>
    <r>
      <t xml:space="preserve">(2) </t>
    </r>
    <r>
      <rPr>
        <b/>
        <sz val="11"/>
        <color theme="1"/>
        <rFont val="Calibri"/>
        <family val="2"/>
        <scheme val="minor"/>
      </rPr>
      <t>RPP</t>
    </r>
    <r>
      <rPr>
        <sz val="11"/>
        <color theme="1"/>
        <rFont val="Calibri"/>
        <family val="2"/>
        <scheme val="minor"/>
      </rPr>
      <t>: UL 1741 SA13 tested with reactive power priority (when operating at apparent power capacity, inverter will reduce active power as needed to ensure curve-required reactive power is provided)</t>
    </r>
  </si>
  <si>
    <t>(3) The listed Firmware Version is the version that was used during the inverter's UL 1741 Supplement SA testing and was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</si>
  <si>
    <t>* Microinverter has not been certified according to CSIP. Manufacturer declared that microinverter complies with CSIP when installed with certified external device mentioned in Notes. Certification information pertains to external device.</t>
  </si>
  <si>
    <t>Grid Support Listing Date</t>
  </si>
  <si>
    <r>
      <t xml:space="preserve">GROWATT 4000MTLP-US </t>
    </r>
    <r>
      <rPr>
        <sz val="11"/>
        <color rgb="FF006666"/>
        <rFont val="Calibri"/>
        <family val="2"/>
        <scheme val="minor"/>
      </rPr>
      <t>[208V]</t>
    </r>
  </si>
  <si>
    <r>
      <t>GROWATT 4000MTLP-US</t>
    </r>
    <r>
      <rPr>
        <sz val="11"/>
        <color rgb="FF006666"/>
        <rFont val="Calibri"/>
        <family val="2"/>
        <scheme val="minor"/>
      </rPr>
      <t xml:space="preserve"> [240V]</t>
    </r>
  </si>
  <si>
    <r>
      <t xml:space="preserve">GROWATT 4000MTLP-US </t>
    </r>
    <r>
      <rPr>
        <sz val="11"/>
        <color rgb="FF006666"/>
        <rFont val="Calibri"/>
        <family val="2"/>
        <scheme val="minor"/>
      </rPr>
      <t>[277V]</t>
    </r>
  </si>
  <si>
    <r>
      <t xml:space="preserve">GROWATT 5000MTLP-US </t>
    </r>
    <r>
      <rPr>
        <sz val="11"/>
        <color rgb="FF006666"/>
        <rFont val="Calibri"/>
        <family val="2"/>
        <scheme val="minor"/>
      </rPr>
      <t>[208V]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</si>
  <si>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</si>
  <si>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</si>
  <si>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</si>
  <si>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</si>
  <si>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</si>
  <si>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</si>
  <si>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</si>
  <si>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</si>
  <si>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</si>
  <si>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8000MTLP-US </t>
    </r>
    <r>
      <rPr>
        <sz val="11"/>
        <color rgb="FF006666"/>
        <rFont val="Calibri"/>
        <family val="2"/>
        <scheme val="minor"/>
      </rPr>
      <t>[208V]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</si>
  <si>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</si>
  <si>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</si>
  <si>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9000MTLP-US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</si>
  <si>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</si>
  <si>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</si>
  <si>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</si>
  <si>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</si>
  <si>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</si>
  <si>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</si>
  <si>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</si>
  <si>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SUN2000-100KTL-USH0 </t>
    </r>
    <r>
      <rPr>
        <sz val="11"/>
        <color rgb="FF006666"/>
        <rFont val="Calibri"/>
        <family val="2"/>
        <scheme val="minor"/>
      </rPr>
      <t>[800V]</t>
    </r>
  </si>
  <si>
    <t>100 kW, 800 Vac, 3-phase transformerless Grid Support Utility Interactive Inverter </t>
  </si>
  <si>
    <t>[SUN2000HA V200 R001]</t>
  </si>
  <si>
    <t>[10/31/2018]</t>
  </si>
  <si>
    <t>[3.2.42];[3.2.60];[3.2.90];[3.2.91]</t>
  </si>
  <si>
    <t xml:space="preserve">EPC Power Corp. </t>
  </si>
  <si>
    <r>
      <t>HY LC12/6-7</t>
    </r>
    <r>
      <rPr>
        <sz val="11"/>
        <color rgb="FF006666"/>
        <rFont val="Calibri"/>
        <family val="2"/>
        <scheme val="minor"/>
      </rPr>
      <t xml:space="preserve"> [480V]</t>
    </r>
  </si>
  <si>
    <t>[09/25/2018]</t>
  </si>
  <si>
    <t>[042C314]</t>
  </si>
  <si>
    <r>
      <t xml:space="preserve">220 </t>
    </r>
    <r>
      <rPr>
        <sz val="10"/>
        <color theme="1"/>
        <rFont val="Calibri"/>
        <family val="2"/>
        <scheme val="minor"/>
      </rPr>
      <t>k</t>
    </r>
    <r>
      <rPr>
        <sz val="11"/>
        <color theme="1"/>
        <rFont val="Calibri"/>
        <family val="2"/>
        <scheme val="minor"/>
      </rPr>
      <t>VA</t>
    </r>
    <r>
      <rPr>
        <sz val="10"/>
        <color theme="1"/>
        <rFont val="Calibri"/>
        <family val="2"/>
        <scheme val="minor"/>
      </rPr>
      <t xml:space="preserve">, </t>
    </r>
    <r>
      <rPr>
        <sz val="11"/>
        <color theme="1"/>
        <rFont val="Calibri"/>
        <family val="2"/>
        <scheme val="minor"/>
      </rPr>
      <t xml:space="preserve">480 </t>
    </r>
    <r>
      <rPr>
        <sz val="10"/>
        <color theme="1"/>
        <rFont val="Calibri"/>
        <family val="2"/>
        <scheme val="minor"/>
      </rPr>
      <t>Vac</t>
    </r>
    <r>
      <rPr>
        <sz val="11"/>
        <color theme="1"/>
        <rFont val="Calibri"/>
        <family val="2"/>
        <scheme val="minor"/>
      </rPr>
      <t>, 3 phase</t>
    </r>
    <r>
      <rPr>
        <sz val="10"/>
        <color theme="1"/>
        <rFont val="Calibri"/>
        <family val="2"/>
        <scheme val="minor"/>
      </rPr>
      <t xml:space="preserve"> Grid Support Utility Interactive Hybrid Inverter with PV MPPT and DC input</t>
    </r>
  </si>
  <si>
    <t>45kW, 600 Vac, Transformerlss Grid Support Utility Interactive Inverter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</si>
</sst>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
    <numFmt numFmtId="166" formatCode="0.0#"/>
    <numFmt numFmtId="167" formatCode="_ [$€]\ * #,##0.00_ ;_ [$€]\ * \-#,##0.00_ ;_ [$€]\ * &quot;-&quot;??_ ;_ @_ "/>
    <numFmt numFmtId="168" formatCode="mm/dd/yy;@"/>
  </numFmts>
  <fonts count="346">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1"/>
      <color rgb="FF000000"/>
      <name val="Calibri"/>
      <family val="2"/>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bottom style="thin">
        <color indexed="64"/>
      </bottom>
      <diagonal/>
    </border>
    <border>
      <left/>
      <right/>
      <top style="thin">
        <color auto="1"/>
      </top>
      <bottom style="thin">
        <color auto="1"/>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30" fillId="0" borderId="0"/>
    <xf numFmtId="0" fontId="31" fillId="0" borderId="0"/>
    <xf numFmtId="0" fontId="2" fillId="0" borderId="0"/>
    <xf numFmtId="9" fontId="30" fillId="0" borderId="0" applyFont="0" applyFill="0" applyBorder="0" applyAlignment="0" applyProtection="0"/>
    <xf numFmtId="0" fontId="2" fillId="32" borderId="16" applyNumberFormat="0" applyFont="0" applyAlignment="0" applyProtection="0"/>
    <xf numFmtId="0" fontId="30" fillId="0" borderId="0"/>
    <xf numFmtId="9" fontId="30" fillId="0" borderId="0" applyFont="0" applyFill="0" applyBorder="0" applyAlignment="0" applyProtection="0"/>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2" fillId="0" borderId="0">
      <alignment vertical="center"/>
    </xf>
    <xf numFmtId="0" fontId="32" fillId="0" borderId="0">
      <alignment vertical="center"/>
    </xf>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167" fontId="30" fillId="0" borderId="0" applyFont="0" applyFill="0" applyBorder="0" applyAlignment="0" applyProtection="0"/>
    <xf numFmtId="0" fontId="50" fillId="4" borderId="0" applyNumberFormat="0" applyBorder="0" applyAlignment="0" applyProtection="0"/>
    <xf numFmtId="0" fontId="30" fillId="0" borderId="0"/>
    <xf numFmtId="0" fontId="31" fillId="32" borderId="16" applyNumberFormat="0" applyFont="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0" fillId="0" borderId="0"/>
    <xf numFmtId="0" fontId="30" fillId="0" borderId="0"/>
    <xf numFmtId="0" fontId="30" fillId="0" borderId="0"/>
    <xf numFmtId="0" fontId="30" fillId="0" borderId="0"/>
    <xf numFmtId="0" fontId="3" fillId="0" borderId="0" applyNumberFormat="0" applyFill="0" applyBorder="0" applyAlignment="0" applyProtection="0"/>
    <xf numFmtId="0" fontId="40" fillId="35" borderId="0" applyNumberFormat="0" applyBorder="0" applyAlignment="0" applyProtection="0"/>
    <xf numFmtId="0" fontId="7" fillId="2" borderId="0" applyNumberFormat="0" applyBorder="0" applyAlignment="0" applyProtection="0">
      <alignment vertical="center"/>
    </xf>
    <xf numFmtId="0" fontId="39" fillId="34" borderId="0" applyNumberFormat="0" applyBorder="0" applyAlignment="0" applyProtection="0"/>
    <xf numFmtId="0" fontId="8" fillId="3" borderId="0" applyNumberFormat="0" applyBorder="0" applyAlignment="0" applyProtection="0">
      <alignment vertical="center"/>
    </xf>
    <xf numFmtId="0" fontId="30" fillId="0" borderId="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5" fillId="0" borderId="0" applyNumberFormat="0" applyFill="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7" fillId="53" borderId="0" applyNumberFormat="0" applyBorder="0" applyAlignment="0" applyProtection="0"/>
    <xf numFmtId="0" fontId="46" fillId="0" borderId="22" applyNumberFormat="0" applyFill="0" applyAlignment="0" applyProtection="0"/>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68" fillId="0" borderId="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9" fontId="30" fillId="0" borderId="0" applyFont="0" applyFill="0" applyBorder="0" applyAlignment="0" applyProtection="0"/>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3" fillId="0" borderId="0" applyNumberFormat="0" applyFill="0" applyBorder="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69" fillId="0" borderId="0" applyNumberFormat="0" applyFill="0" applyBorder="0" applyAlignment="0" applyProtection="0"/>
    <xf numFmtId="0" fontId="2"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2" fillId="33"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4"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122" fillId="35"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122" fillId="36"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7" borderId="0" applyNumberFormat="0" applyBorder="0" applyAlignment="0" applyProtection="0">
      <alignment vertical="center"/>
    </xf>
    <xf numFmtId="0" fontId="51" fillId="25" borderId="0" applyNumberFormat="0" applyBorder="0" applyAlignment="0" applyProtection="0">
      <alignment vertical="center"/>
    </xf>
    <xf numFmtId="0" fontId="122" fillId="38" borderId="0" applyNumberFormat="0" applyBorder="0" applyAlignment="0" applyProtection="0">
      <alignment vertical="center"/>
    </xf>
    <xf numFmtId="0" fontId="51" fillId="29" borderId="0" applyNumberFormat="0" applyBorder="0" applyAlignment="0" applyProtection="0">
      <alignment vertical="center"/>
    </xf>
    <xf numFmtId="0" fontId="71" fillId="33" borderId="0" applyNumberFormat="0" applyBorder="0" applyAlignment="0" applyProtection="0">
      <alignment vertical="center"/>
    </xf>
    <xf numFmtId="0" fontId="267" fillId="33" borderId="0" applyNumberFormat="0" applyBorder="0" applyAlignment="0" applyProtection="0">
      <alignment vertical="center"/>
    </xf>
    <xf numFmtId="0" fontId="147" fillId="33" borderId="0" applyNumberFormat="0" applyBorder="0" applyAlignment="0" applyProtection="0">
      <alignment vertical="center"/>
    </xf>
    <xf numFmtId="0" fontId="195" fillId="33" borderId="0" applyNumberFormat="0" applyBorder="0" applyAlignment="0" applyProtection="0">
      <alignment vertical="center"/>
    </xf>
    <xf numFmtId="0" fontId="195" fillId="33" borderId="0" applyNumberFormat="0" applyBorder="0" applyAlignment="0" applyProtection="0">
      <alignment vertical="center"/>
    </xf>
    <xf numFmtId="0" fontId="267" fillId="33" borderId="0" applyNumberFormat="0" applyBorder="0" applyAlignment="0" applyProtection="0">
      <alignment vertical="center"/>
    </xf>
    <xf numFmtId="0" fontId="162" fillId="33" borderId="0" applyNumberFormat="0" applyBorder="0" applyAlignment="0" applyProtection="0">
      <alignment vertical="center"/>
    </xf>
    <xf numFmtId="0" fontId="195" fillId="33" borderId="0" applyNumberFormat="0" applyBorder="0" applyAlignment="0" applyProtection="0">
      <alignment vertical="center"/>
    </xf>
    <xf numFmtId="0" fontId="71" fillId="55" borderId="0" applyNumberFormat="0" applyBorder="0" applyAlignment="0" applyProtection="0">
      <alignment vertical="center"/>
    </xf>
    <xf numFmtId="0" fontId="71" fillId="56" borderId="0" applyNumberFormat="0" applyBorder="0" applyAlignment="0" applyProtection="0"/>
    <xf numFmtId="0" fontId="195" fillId="33" borderId="0" applyNumberFormat="0" applyBorder="0" applyAlignment="0" applyProtection="0">
      <alignment vertical="center"/>
    </xf>
    <xf numFmtId="0" fontId="213" fillId="33" borderId="0" applyNumberFormat="0" applyBorder="0" applyAlignment="0" applyProtection="0">
      <alignment vertical="center"/>
    </xf>
    <xf numFmtId="0" fontId="71" fillId="33" borderId="0" applyNumberFormat="0" applyBorder="0" applyAlignment="0" applyProtection="0">
      <alignment vertical="center"/>
    </xf>
    <xf numFmtId="0" fontId="249" fillId="33" borderId="0" applyNumberFormat="0" applyBorder="0" applyAlignment="0" applyProtection="0">
      <alignment vertical="center"/>
    </xf>
    <xf numFmtId="0" fontId="71" fillId="34" borderId="0" applyNumberFormat="0" applyBorder="0" applyAlignment="0" applyProtection="0">
      <alignment vertical="center"/>
    </xf>
    <xf numFmtId="0" fontId="267" fillId="34" borderId="0" applyNumberFormat="0" applyBorder="0" applyAlignment="0" applyProtection="0">
      <alignment vertical="center"/>
    </xf>
    <xf numFmtId="0" fontId="147" fillId="34" borderId="0" applyNumberFormat="0" applyBorder="0" applyAlignment="0" applyProtection="0">
      <alignment vertical="center"/>
    </xf>
    <xf numFmtId="0" fontId="195" fillId="34" borderId="0" applyNumberFormat="0" applyBorder="0" applyAlignment="0" applyProtection="0">
      <alignment vertical="center"/>
    </xf>
    <xf numFmtId="0" fontId="195" fillId="34" borderId="0" applyNumberFormat="0" applyBorder="0" applyAlignment="0" applyProtection="0">
      <alignment vertical="center"/>
    </xf>
    <xf numFmtId="0" fontId="267" fillId="34" borderId="0" applyNumberFormat="0" applyBorder="0" applyAlignment="0" applyProtection="0">
      <alignment vertical="center"/>
    </xf>
    <xf numFmtId="0" fontId="162" fillId="34" borderId="0" applyNumberFormat="0" applyBorder="0" applyAlignment="0" applyProtection="0">
      <alignment vertical="center"/>
    </xf>
    <xf numFmtId="0" fontId="195" fillId="34" borderId="0" applyNumberFormat="0" applyBorder="0" applyAlignment="0" applyProtection="0">
      <alignment vertical="center"/>
    </xf>
    <xf numFmtId="0" fontId="71" fillId="57" borderId="0" applyNumberFormat="0" applyBorder="0" applyAlignment="0" applyProtection="0">
      <alignment vertical="center"/>
    </xf>
    <xf numFmtId="0" fontId="71" fillId="58" borderId="0" applyNumberFormat="0" applyBorder="0" applyAlignment="0" applyProtection="0"/>
    <xf numFmtId="0" fontId="195" fillId="34" borderId="0" applyNumberFormat="0" applyBorder="0" applyAlignment="0" applyProtection="0">
      <alignment vertical="center"/>
    </xf>
    <xf numFmtId="0" fontId="213" fillId="34" borderId="0" applyNumberFormat="0" applyBorder="0" applyAlignment="0" applyProtection="0">
      <alignment vertical="center"/>
    </xf>
    <xf numFmtId="0" fontId="71" fillId="34" borderId="0" applyNumberFormat="0" applyBorder="0" applyAlignment="0" applyProtection="0">
      <alignment vertical="center"/>
    </xf>
    <xf numFmtId="0" fontId="249" fillId="34" borderId="0" applyNumberFormat="0" applyBorder="0" applyAlignment="0" applyProtection="0">
      <alignment vertical="center"/>
    </xf>
    <xf numFmtId="0" fontId="71" fillId="35" borderId="0" applyNumberFormat="0" applyBorder="0" applyAlignment="0" applyProtection="0">
      <alignment vertical="center"/>
    </xf>
    <xf numFmtId="0" fontId="267" fillId="35" borderId="0" applyNumberFormat="0" applyBorder="0" applyAlignment="0" applyProtection="0">
      <alignment vertical="center"/>
    </xf>
    <xf numFmtId="0" fontId="147" fillId="35" borderId="0" applyNumberFormat="0" applyBorder="0" applyAlignment="0" applyProtection="0">
      <alignment vertical="center"/>
    </xf>
    <xf numFmtId="0" fontId="195" fillId="35" borderId="0" applyNumberFormat="0" applyBorder="0" applyAlignment="0" applyProtection="0">
      <alignment vertical="center"/>
    </xf>
    <xf numFmtId="0" fontId="195" fillId="35" borderId="0" applyNumberFormat="0" applyBorder="0" applyAlignment="0" applyProtection="0">
      <alignment vertical="center"/>
    </xf>
    <xf numFmtId="0" fontId="267" fillId="35" borderId="0" applyNumberFormat="0" applyBorder="0" applyAlignment="0" applyProtection="0">
      <alignment vertical="center"/>
    </xf>
    <xf numFmtId="0" fontId="162" fillId="35" borderId="0" applyNumberFormat="0" applyBorder="0" applyAlignment="0" applyProtection="0">
      <alignment vertical="center"/>
    </xf>
    <xf numFmtId="0" fontId="195" fillId="35" borderId="0" applyNumberFormat="0" applyBorder="0" applyAlignment="0" applyProtection="0">
      <alignment vertical="center"/>
    </xf>
    <xf numFmtId="0" fontId="71" fillId="59" borderId="0" applyNumberFormat="0" applyBorder="0" applyAlignment="0" applyProtection="0">
      <alignment vertical="center"/>
    </xf>
    <xf numFmtId="0" fontId="71" fillId="60" borderId="0" applyNumberFormat="0" applyBorder="0" applyAlignment="0" applyProtection="0"/>
    <xf numFmtId="0" fontId="195" fillId="35" borderId="0" applyNumberFormat="0" applyBorder="0" applyAlignment="0" applyProtection="0">
      <alignment vertical="center"/>
    </xf>
    <xf numFmtId="0" fontId="213" fillId="35" borderId="0" applyNumberFormat="0" applyBorder="0" applyAlignment="0" applyProtection="0">
      <alignment vertical="center"/>
    </xf>
    <xf numFmtId="0" fontId="71" fillId="35" borderId="0" applyNumberFormat="0" applyBorder="0" applyAlignment="0" applyProtection="0">
      <alignment vertical="center"/>
    </xf>
    <xf numFmtId="0" fontId="249" fillId="35"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7" borderId="0" applyNumberFormat="0" applyBorder="0" applyAlignment="0" applyProtection="0">
      <alignment vertical="center"/>
    </xf>
    <xf numFmtId="0" fontId="267" fillId="37" borderId="0" applyNumberFormat="0" applyBorder="0" applyAlignment="0" applyProtection="0">
      <alignment vertical="center"/>
    </xf>
    <xf numFmtId="0" fontId="147" fillId="37" borderId="0" applyNumberFormat="0" applyBorder="0" applyAlignment="0" applyProtection="0">
      <alignment vertical="center"/>
    </xf>
    <xf numFmtId="0" fontId="195" fillId="37" borderId="0" applyNumberFormat="0" applyBorder="0" applyAlignment="0" applyProtection="0">
      <alignment vertical="center"/>
    </xf>
    <xf numFmtId="0" fontId="195" fillId="37" borderId="0" applyNumberFormat="0" applyBorder="0" applyAlignment="0" applyProtection="0">
      <alignment vertical="center"/>
    </xf>
    <xf numFmtId="0" fontId="267" fillId="37" borderId="0" applyNumberFormat="0" applyBorder="0" applyAlignment="0" applyProtection="0">
      <alignment vertical="center"/>
    </xf>
    <xf numFmtId="0" fontId="162" fillId="37" borderId="0" applyNumberFormat="0" applyBorder="0" applyAlignment="0" applyProtection="0">
      <alignment vertical="center"/>
    </xf>
    <xf numFmtId="0" fontId="195" fillId="37" borderId="0" applyNumberFormat="0" applyBorder="0" applyAlignment="0" applyProtection="0">
      <alignment vertical="center"/>
    </xf>
    <xf numFmtId="0" fontId="71" fillId="63" borderId="0" applyNumberFormat="0" applyBorder="0" applyAlignment="0" applyProtection="0">
      <alignment vertical="center"/>
    </xf>
    <xf numFmtId="0" fontId="71" fillId="64" borderId="0" applyNumberFormat="0" applyBorder="0" applyAlignment="0" applyProtection="0"/>
    <xf numFmtId="0" fontId="195" fillId="37" borderId="0" applyNumberFormat="0" applyBorder="0" applyAlignment="0" applyProtection="0">
      <alignment vertical="center"/>
    </xf>
    <xf numFmtId="0" fontId="213" fillId="37" borderId="0" applyNumberFormat="0" applyBorder="0" applyAlignment="0" applyProtection="0">
      <alignment vertical="center"/>
    </xf>
    <xf numFmtId="0" fontId="71" fillId="37" borderId="0" applyNumberFormat="0" applyBorder="0" applyAlignment="0" applyProtection="0">
      <alignment vertical="center"/>
    </xf>
    <xf numFmtId="0" fontId="249" fillId="37" borderId="0" applyNumberFormat="0" applyBorder="0" applyAlignment="0" applyProtection="0">
      <alignment vertical="center"/>
    </xf>
    <xf numFmtId="0" fontId="71" fillId="38" borderId="0" applyNumberFormat="0" applyBorder="0" applyAlignment="0" applyProtection="0">
      <alignment vertical="center"/>
    </xf>
    <xf numFmtId="0" fontId="267" fillId="38" borderId="0" applyNumberFormat="0" applyBorder="0" applyAlignment="0" applyProtection="0">
      <alignment vertical="center"/>
    </xf>
    <xf numFmtId="0" fontId="147" fillId="38" borderId="0" applyNumberFormat="0" applyBorder="0" applyAlignment="0" applyProtection="0">
      <alignment vertical="center"/>
    </xf>
    <xf numFmtId="0" fontId="195" fillId="38" borderId="0" applyNumberFormat="0" applyBorder="0" applyAlignment="0" applyProtection="0">
      <alignment vertical="center"/>
    </xf>
    <xf numFmtId="0" fontId="195" fillId="38" borderId="0" applyNumberFormat="0" applyBorder="0" applyAlignment="0" applyProtection="0">
      <alignment vertical="center"/>
    </xf>
    <xf numFmtId="0" fontId="267" fillId="38" borderId="0" applyNumberFormat="0" applyBorder="0" applyAlignment="0" applyProtection="0">
      <alignment vertical="center"/>
    </xf>
    <xf numFmtId="0" fontId="162" fillId="38" borderId="0" applyNumberFormat="0" applyBorder="0" applyAlignment="0" applyProtection="0">
      <alignment vertical="center"/>
    </xf>
    <xf numFmtId="0" fontId="195" fillId="38" borderId="0" applyNumberFormat="0" applyBorder="0" applyAlignment="0" applyProtection="0">
      <alignment vertical="center"/>
    </xf>
    <xf numFmtId="0" fontId="71" fillId="65" borderId="0" applyNumberFormat="0" applyBorder="0" applyAlignment="0" applyProtection="0">
      <alignment vertical="center"/>
    </xf>
    <xf numFmtId="0" fontId="71" fillId="66" borderId="0" applyNumberFormat="0" applyBorder="0" applyAlignment="0" applyProtection="0"/>
    <xf numFmtId="0" fontId="195" fillId="38" borderId="0" applyNumberFormat="0" applyBorder="0" applyAlignment="0" applyProtection="0">
      <alignment vertical="center"/>
    </xf>
    <xf numFmtId="0" fontId="213" fillId="38" borderId="0" applyNumberFormat="0" applyBorder="0" applyAlignment="0" applyProtection="0">
      <alignment vertical="center"/>
    </xf>
    <xf numFmtId="0" fontId="71" fillId="38" borderId="0" applyNumberFormat="0" applyBorder="0" applyAlignment="0" applyProtection="0">
      <alignment vertical="center"/>
    </xf>
    <xf numFmtId="0" fontId="249" fillId="38" borderId="0" applyNumberFormat="0" applyBorder="0" applyAlignment="0" applyProtection="0">
      <alignment vertical="center"/>
    </xf>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88" fillId="54" borderId="0" applyNumberFormat="0" applyBorder="0" applyAlignment="0" applyProtection="0">
      <alignment vertical="center"/>
    </xf>
    <xf numFmtId="0" fontId="189" fillId="70" borderId="0" applyNumberFormat="0" applyBorder="0" applyAlignment="0" applyProtection="0">
      <alignment vertical="center"/>
    </xf>
    <xf numFmtId="0" fontId="189" fillId="54" borderId="0" applyNumberFormat="0" applyBorder="0" applyAlignment="0" applyProtection="0">
      <alignment vertical="center"/>
    </xf>
    <xf numFmtId="0" fontId="88" fillId="71" borderId="0" applyNumberFormat="0" applyBorder="0" applyAlignment="0" applyProtection="0"/>
    <xf numFmtId="0" fontId="88" fillId="70" borderId="0" applyNumberFormat="0" applyBorder="0" applyAlignment="0" applyProtection="0">
      <alignment vertical="center"/>
    </xf>
    <xf numFmtId="0" fontId="232" fillId="70" borderId="0" applyNumberFormat="0" applyBorder="0" applyAlignment="0" applyProtection="0">
      <alignment vertical="center"/>
    </xf>
    <xf numFmtId="0" fontId="189" fillId="70" borderId="0"/>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7" borderId="0" applyNumberFormat="0" applyBorder="0" applyAlignment="0" applyProtection="0">
      <alignment vertical="center"/>
    </xf>
    <xf numFmtId="0" fontId="189" fillId="63" borderId="0" applyNumberFormat="0" applyBorder="0" applyAlignment="0" applyProtection="0">
      <alignment vertical="center"/>
    </xf>
    <xf numFmtId="0" fontId="189" fillId="37" borderId="0" applyNumberFormat="0" applyBorder="0" applyAlignment="0" applyProtection="0">
      <alignment vertical="center"/>
    </xf>
    <xf numFmtId="0" fontId="88" fillId="64" borderId="0" applyNumberFormat="0" applyBorder="0" applyAlignment="0" applyProtection="0"/>
    <xf numFmtId="0" fontId="88" fillId="63" borderId="0" applyNumberFormat="0" applyBorder="0" applyAlignment="0" applyProtection="0">
      <alignment vertical="center"/>
    </xf>
    <xf numFmtId="0" fontId="232" fillId="63" borderId="0" applyNumberFormat="0" applyBorder="0" applyAlignment="0" applyProtection="0">
      <alignment vertical="center"/>
    </xf>
    <xf numFmtId="0" fontId="189" fillId="63"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2" fillId="39"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0" borderId="0" applyNumberFormat="0" applyBorder="0" applyAlignment="0" applyProtection="0">
      <alignment vertical="center"/>
    </xf>
    <xf numFmtId="0" fontId="51" fillId="14"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36"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39" borderId="0" applyNumberFormat="0" applyBorder="0" applyAlignment="0" applyProtection="0">
      <alignment vertical="center"/>
    </xf>
    <xf numFmtId="0" fontId="51" fillId="26" borderId="0" applyNumberFormat="0" applyBorder="0" applyAlignment="0" applyProtection="0">
      <alignment vertical="center"/>
    </xf>
    <xf numFmtId="0" fontId="122" fillId="42"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2" borderId="0" applyNumberFormat="0" applyBorder="0" applyAlignment="0" applyProtection="0">
      <alignment vertical="center"/>
    </xf>
    <xf numFmtId="0" fontId="267" fillId="42" borderId="0" applyNumberFormat="0" applyBorder="0" applyAlignment="0" applyProtection="0">
      <alignment vertical="center"/>
    </xf>
    <xf numFmtId="0" fontId="147" fillId="42" borderId="0" applyNumberFormat="0" applyBorder="0" applyAlignment="0" applyProtection="0">
      <alignment vertical="center"/>
    </xf>
    <xf numFmtId="0" fontId="195" fillId="42" borderId="0" applyNumberFormat="0" applyBorder="0" applyAlignment="0" applyProtection="0">
      <alignment vertical="center"/>
    </xf>
    <xf numFmtId="0" fontId="195" fillId="42" borderId="0" applyNumberFormat="0" applyBorder="0" applyAlignment="0" applyProtection="0">
      <alignment vertical="center"/>
    </xf>
    <xf numFmtId="0" fontId="267" fillId="42" borderId="0" applyNumberFormat="0" applyBorder="0" applyAlignment="0" applyProtection="0">
      <alignment vertical="center"/>
    </xf>
    <xf numFmtId="0" fontId="162" fillId="42" borderId="0" applyNumberFormat="0" applyBorder="0" applyAlignment="0" applyProtection="0">
      <alignment vertical="center"/>
    </xf>
    <xf numFmtId="0" fontId="195" fillId="42" borderId="0" applyNumberFormat="0" applyBorder="0" applyAlignment="0" applyProtection="0">
      <alignment vertical="center"/>
    </xf>
    <xf numFmtId="0" fontId="71" fillId="78" borderId="0" applyNumberFormat="0" applyBorder="0" applyAlignment="0" applyProtection="0">
      <alignment vertical="center"/>
    </xf>
    <xf numFmtId="0" fontId="71" fillId="79" borderId="0" applyNumberFormat="0" applyBorder="0" applyAlignment="0" applyProtection="0"/>
    <xf numFmtId="0" fontId="195" fillId="42" borderId="0" applyNumberFormat="0" applyBorder="0" applyAlignment="0" applyProtection="0">
      <alignment vertical="center"/>
    </xf>
    <xf numFmtId="0" fontId="213" fillId="42" borderId="0" applyNumberFormat="0" applyBorder="0" applyAlignment="0" applyProtection="0">
      <alignment vertical="center"/>
    </xf>
    <xf numFmtId="0" fontId="71" fillId="42" borderId="0" applyNumberFormat="0" applyBorder="0" applyAlignment="0" applyProtection="0">
      <alignment vertical="center"/>
    </xf>
    <xf numFmtId="0" fontId="249" fillId="42" borderId="0" applyNumberFormat="0" applyBorder="0" applyAlignment="0" applyProtection="0">
      <alignment vertical="center"/>
    </xf>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40" borderId="0" applyNumberFormat="0" applyBorder="0" applyAlignment="0" applyProtection="0">
      <alignment vertical="center"/>
    </xf>
    <xf numFmtId="0" fontId="189" fillId="74" borderId="0" applyNumberFormat="0" applyBorder="0" applyAlignment="0" applyProtection="0">
      <alignment vertical="center"/>
    </xf>
    <xf numFmtId="0" fontId="189"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9" fillId="74" borderId="0"/>
    <xf numFmtId="0" fontId="88" fillId="53" borderId="0" applyNumberFormat="0" applyBorder="0" applyAlignment="0" applyProtection="0">
      <alignment vertical="center"/>
    </xf>
    <xf numFmtId="0" fontId="189" fillId="82" borderId="0" applyNumberFormat="0" applyBorder="0" applyAlignment="0" applyProtection="0">
      <alignment vertical="center"/>
    </xf>
    <xf numFmtId="0" fontId="189"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9" fillId="82" borderId="0"/>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39" borderId="0" applyNumberFormat="0" applyBorder="0" applyAlignment="0" applyProtection="0">
      <alignment vertical="center"/>
    </xf>
    <xf numFmtId="0" fontId="189" fillId="72" borderId="0" applyNumberFormat="0" applyBorder="0" applyAlignment="0" applyProtection="0">
      <alignment vertical="center"/>
    </xf>
    <xf numFmtId="0" fontId="189" fillId="39" borderId="0" applyNumberFormat="0" applyBorder="0" applyAlignment="0" applyProtection="0">
      <alignment vertical="center"/>
    </xf>
    <xf numFmtId="0" fontId="88" fillId="73" borderId="0" applyNumberFormat="0" applyBorder="0" applyAlignment="0" applyProtection="0"/>
    <xf numFmtId="0" fontId="88" fillId="72" borderId="0" applyNumberFormat="0" applyBorder="0" applyAlignment="0" applyProtection="0">
      <alignment vertical="center"/>
    </xf>
    <xf numFmtId="0" fontId="232" fillId="72" borderId="0" applyNumberFormat="0" applyBorder="0" applyAlignment="0" applyProtection="0">
      <alignment vertical="center"/>
    </xf>
    <xf numFmtId="0" fontId="189" fillId="72"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20" fillId="84" borderId="0" applyNumberFormat="0" applyBorder="0" applyAlignment="0" applyProtection="0"/>
    <xf numFmtId="0" fontId="120" fillId="85"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74" borderId="0" applyNumberFormat="0" applyBorder="0" applyAlignment="0" applyProtection="0"/>
    <xf numFmtId="0" fontId="120" fillId="75"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6" borderId="0" applyNumberFormat="0" applyBorder="0" applyAlignment="0" applyProtection="0"/>
    <xf numFmtId="0" fontId="120" fillId="77"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0" borderId="0" applyNumberFormat="0" applyBorder="0" applyAlignment="0" applyProtection="0"/>
    <xf numFmtId="0" fontId="120" fillId="91"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43" borderId="0" applyNumberFormat="0" applyBorder="0" applyAlignment="0" applyProtection="0"/>
    <xf numFmtId="0" fontId="120" fillId="40" borderId="0" applyNumberFormat="0" applyBorder="0" applyAlignment="0" applyProtection="0"/>
    <xf numFmtId="0" fontId="120" fillId="41"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3" fillId="43"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0" borderId="0" applyNumberFormat="0" applyBorder="0" applyAlignment="0" applyProtection="0">
      <alignment vertical="center"/>
    </xf>
    <xf numFmtId="0" fontId="52" fillId="15" borderId="0" applyNumberFormat="0" applyBorder="0" applyAlignment="0" applyProtection="0">
      <alignment vertical="center"/>
    </xf>
    <xf numFmtId="0" fontId="123" fillId="4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123" fillId="44"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45" borderId="0" applyNumberFormat="0" applyBorder="0" applyAlignment="0" applyProtection="0">
      <alignment vertical="center"/>
    </xf>
    <xf numFmtId="0" fontId="52" fillId="27" borderId="0" applyNumberFormat="0" applyBorder="0" applyAlignment="0" applyProtection="0">
      <alignment vertical="center"/>
    </xf>
    <xf numFmtId="0" fontId="123" fillId="46"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72" fillId="43" borderId="0" applyNumberFormat="0" applyBorder="0" applyAlignment="0" applyProtection="0">
      <alignment vertical="center"/>
    </xf>
    <xf numFmtId="0" fontId="268" fillId="43" borderId="0" applyNumberFormat="0" applyBorder="0" applyAlignment="0" applyProtection="0">
      <alignment vertical="center"/>
    </xf>
    <xf numFmtId="0" fontId="148" fillId="43" borderId="0" applyNumberFormat="0" applyBorder="0" applyAlignment="0" applyProtection="0">
      <alignment vertical="center"/>
    </xf>
    <xf numFmtId="0" fontId="196" fillId="43" borderId="0" applyNumberFormat="0" applyBorder="0" applyAlignment="0" applyProtection="0">
      <alignment vertical="center"/>
    </xf>
    <xf numFmtId="0" fontId="196" fillId="43" borderId="0" applyNumberFormat="0" applyBorder="0" applyAlignment="0" applyProtection="0">
      <alignment vertical="center"/>
    </xf>
    <xf numFmtId="0" fontId="268" fillId="43" borderId="0" applyNumberFormat="0" applyBorder="0" applyAlignment="0" applyProtection="0">
      <alignment vertical="center"/>
    </xf>
    <xf numFmtId="0" fontId="163" fillId="43" borderId="0" applyNumberFormat="0" applyBorder="0" applyAlignment="0" applyProtection="0">
      <alignment vertical="center"/>
    </xf>
    <xf numFmtId="0" fontId="196" fillId="43" borderId="0" applyNumberFormat="0" applyBorder="0" applyAlignment="0" applyProtection="0">
      <alignment vertical="center"/>
    </xf>
    <xf numFmtId="0" fontId="72" fillId="84" borderId="0" applyNumberFormat="0" applyBorder="0" applyAlignment="0" applyProtection="0">
      <alignment vertical="center"/>
    </xf>
    <xf numFmtId="0" fontId="72" fillId="85" borderId="0" applyNumberFormat="0" applyBorder="0" applyAlignment="0" applyProtection="0"/>
    <xf numFmtId="0" fontId="196" fillId="43" borderId="0" applyNumberFormat="0" applyBorder="0" applyAlignment="0" applyProtection="0">
      <alignment vertical="center"/>
    </xf>
    <xf numFmtId="0" fontId="214" fillId="43" borderId="0" applyNumberFormat="0" applyBorder="0" applyAlignment="0" applyProtection="0">
      <alignment vertical="center"/>
    </xf>
    <xf numFmtId="0" fontId="72" fillId="43" borderId="0" applyNumberFormat="0" applyBorder="0" applyAlignment="0" applyProtection="0">
      <alignment vertical="center"/>
    </xf>
    <xf numFmtId="0" fontId="250" fillId="43" borderId="0" applyNumberFormat="0" applyBorder="0" applyAlignment="0" applyProtection="0">
      <alignment vertical="center"/>
    </xf>
    <xf numFmtId="0" fontId="72" fillId="40" borderId="0" applyNumberFormat="0" applyBorder="0" applyAlignment="0" applyProtection="0">
      <alignment vertical="center"/>
    </xf>
    <xf numFmtId="0" fontId="268" fillId="40" borderId="0" applyNumberFormat="0" applyBorder="0" applyAlignment="0" applyProtection="0">
      <alignment vertical="center"/>
    </xf>
    <xf numFmtId="0" fontId="148" fillId="40" borderId="0" applyNumberFormat="0" applyBorder="0" applyAlignment="0" applyProtection="0">
      <alignment vertical="center"/>
    </xf>
    <xf numFmtId="0" fontId="196" fillId="40" borderId="0" applyNumberFormat="0" applyBorder="0" applyAlignment="0" applyProtection="0">
      <alignment vertical="center"/>
    </xf>
    <xf numFmtId="0" fontId="196" fillId="40" borderId="0" applyNumberFormat="0" applyBorder="0" applyAlignment="0" applyProtection="0">
      <alignment vertical="center"/>
    </xf>
    <xf numFmtId="0" fontId="268" fillId="40" borderId="0" applyNumberFormat="0" applyBorder="0" applyAlignment="0" applyProtection="0">
      <alignment vertical="center"/>
    </xf>
    <xf numFmtId="0" fontId="163" fillId="40" borderId="0" applyNumberFormat="0" applyBorder="0" applyAlignment="0" applyProtection="0">
      <alignment vertical="center"/>
    </xf>
    <xf numFmtId="0" fontId="196" fillId="40" borderId="0" applyNumberFormat="0" applyBorder="0" applyAlignment="0" applyProtection="0">
      <alignment vertical="center"/>
    </xf>
    <xf numFmtId="0" fontId="72" fillId="74" borderId="0" applyNumberFormat="0" applyBorder="0" applyAlignment="0" applyProtection="0">
      <alignment vertical="center"/>
    </xf>
    <xf numFmtId="0" fontId="72" fillId="75" borderId="0" applyNumberFormat="0" applyBorder="0" applyAlignment="0" applyProtection="0"/>
    <xf numFmtId="0" fontId="196" fillId="40" borderId="0" applyNumberFormat="0" applyBorder="0" applyAlignment="0" applyProtection="0">
      <alignment vertical="center"/>
    </xf>
    <xf numFmtId="0" fontId="214" fillId="40" borderId="0" applyNumberFormat="0" applyBorder="0" applyAlignment="0" applyProtection="0">
      <alignment vertical="center"/>
    </xf>
    <xf numFmtId="0" fontId="72" fillId="40" borderId="0" applyNumberFormat="0" applyBorder="0" applyAlignment="0" applyProtection="0">
      <alignment vertical="center"/>
    </xf>
    <xf numFmtId="0" fontId="250" fillId="40" borderId="0" applyNumberFormat="0" applyBorder="0" applyAlignment="0" applyProtection="0">
      <alignment vertical="center"/>
    </xf>
    <xf numFmtId="0" fontId="72" fillId="41" borderId="0" applyNumberFormat="0" applyBorder="0" applyAlignment="0" applyProtection="0">
      <alignment vertical="center"/>
    </xf>
    <xf numFmtId="0" fontId="268" fillId="41" borderId="0" applyNumberFormat="0" applyBorder="0" applyAlignment="0" applyProtection="0">
      <alignment vertical="center"/>
    </xf>
    <xf numFmtId="0" fontId="148" fillId="41" borderId="0" applyNumberFormat="0" applyBorder="0" applyAlignment="0" applyProtection="0">
      <alignment vertical="center"/>
    </xf>
    <xf numFmtId="0" fontId="196" fillId="41" borderId="0" applyNumberFormat="0" applyBorder="0" applyAlignment="0" applyProtection="0">
      <alignment vertical="center"/>
    </xf>
    <xf numFmtId="0" fontId="196" fillId="41" borderId="0" applyNumberFormat="0" applyBorder="0" applyAlignment="0" applyProtection="0">
      <alignment vertical="center"/>
    </xf>
    <xf numFmtId="0" fontId="268" fillId="41" borderId="0" applyNumberFormat="0" applyBorder="0" applyAlignment="0" applyProtection="0">
      <alignment vertical="center"/>
    </xf>
    <xf numFmtId="0" fontId="163" fillId="41" borderId="0" applyNumberFormat="0" applyBorder="0" applyAlignment="0" applyProtection="0">
      <alignment vertical="center"/>
    </xf>
    <xf numFmtId="0" fontId="196" fillId="41" borderId="0" applyNumberFormat="0" applyBorder="0" applyAlignment="0" applyProtection="0">
      <alignment vertical="center"/>
    </xf>
    <xf numFmtId="0" fontId="72" fillId="76" borderId="0" applyNumberFormat="0" applyBorder="0" applyAlignment="0" applyProtection="0">
      <alignment vertical="center"/>
    </xf>
    <xf numFmtId="0" fontId="72" fillId="77" borderId="0" applyNumberFormat="0" applyBorder="0" applyAlignment="0" applyProtection="0"/>
    <xf numFmtId="0" fontId="196" fillId="41" borderId="0" applyNumberFormat="0" applyBorder="0" applyAlignment="0" applyProtection="0">
      <alignment vertical="center"/>
    </xf>
    <xf numFmtId="0" fontId="214" fillId="41" borderId="0" applyNumberFormat="0" applyBorder="0" applyAlignment="0" applyProtection="0">
      <alignment vertical="center"/>
    </xf>
    <xf numFmtId="0" fontId="72" fillId="41" borderId="0" applyNumberFormat="0" applyBorder="0" applyAlignment="0" applyProtection="0">
      <alignment vertical="center"/>
    </xf>
    <xf numFmtId="0" fontId="250" fillId="41"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46" borderId="0" applyNumberFormat="0" applyBorder="0" applyAlignment="0" applyProtection="0">
      <alignment vertical="center"/>
    </xf>
    <xf numFmtId="0" fontId="268" fillId="46" borderId="0" applyNumberFormat="0" applyBorder="0" applyAlignment="0" applyProtection="0">
      <alignment vertical="center"/>
    </xf>
    <xf numFmtId="0" fontId="148" fillId="46" borderId="0" applyNumberFormat="0" applyBorder="0" applyAlignment="0" applyProtection="0">
      <alignment vertical="center"/>
    </xf>
    <xf numFmtId="0" fontId="196" fillId="46" borderId="0" applyNumberFormat="0" applyBorder="0" applyAlignment="0" applyProtection="0">
      <alignment vertical="center"/>
    </xf>
    <xf numFmtId="0" fontId="196" fillId="46" borderId="0" applyNumberFormat="0" applyBorder="0" applyAlignment="0" applyProtection="0">
      <alignment vertical="center"/>
    </xf>
    <xf numFmtId="0" fontId="268" fillId="46" borderId="0" applyNumberFormat="0" applyBorder="0" applyAlignment="0" applyProtection="0">
      <alignment vertical="center"/>
    </xf>
    <xf numFmtId="0" fontId="163" fillId="46" borderId="0" applyNumberFormat="0" applyBorder="0" applyAlignment="0" applyProtection="0">
      <alignment vertical="center"/>
    </xf>
    <xf numFmtId="0" fontId="196" fillId="46" borderId="0" applyNumberFormat="0" applyBorder="0" applyAlignment="0" applyProtection="0">
      <alignment vertical="center"/>
    </xf>
    <xf numFmtId="0" fontId="72" fillId="90" borderId="0" applyNumberFormat="0" applyBorder="0" applyAlignment="0" applyProtection="0">
      <alignment vertical="center"/>
    </xf>
    <xf numFmtId="0" fontId="72" fillId="91" borderId="0" applyNumberFormat="0" applyBorder="0" applyAlignment="0" applyProtection="0"/>
    <xf numFmtId="0" fontId="196" fillId="46" borderId="0" applyNumberFormat="0" applyBorder="0" applyAlignment="0" applyProtection="0">
      <alignment vertical="center"/>
    </xf>
    <xf numFmtId="0" fontId="214" fillId="46" borderId="0" applyNumberFormat="0" applyBorder="0" applyAlignment="0" applyProtection="0">
      <alignment vertical="center"/>
    </xf>
    <xf numFmtId="0" fontId="72" fillId="46" borderId="0" applyNumberFormat="0" applyBorder="0" applyAlignment="0" applyProtection="0">
      <alignment vertical="center"/>
    </xf>
    <xf numFmtId="0" fontId="250" fillId="46" borderId="0" applyNumberFormat="0" applyBorder="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0" borderId="0" applyNumberFormat="0" applyBorder="0" applyAlignment="0" applyProtection="0">
      <alignment vertical="center"/>
    </xf>
    <xf numFmtId="0" fontId="186" fillId="74" borderId="0" applyNumberFormat="0" applyBorder="0" applyAlignment="0" applyProtection="0">
      <alignment vertical="center"/>
    </xf>
    <xf numFmtId="0" fontId="186" fillId="40" borderId="0" applyNumberFormat="0" applyBorder="0" applyAlignment="0" applyProtection="0">
      <alignment vertical="center"/>
    </xf>
    <xf numFmtId="0" fontId="89" fillId="75" borderId="0" applyNumberFormat="0" applyBorder="0" applyAlignment="0" applyProtection="0"/>
    <xf numFmtId="0" fontId="89" fillId="74" borderId="0" applyNumberFormat="0" applyBorder="0" applyAlignment="0" applyProtection="0">
      <alignment vertical="center"/>
    </xf>
    <xf numFmtId="0" fontId="233" fillId="74" borderId="0" applyNumberFormat="0" applyBorder="0" applyAlignment="0" applyProtection="0">
      <alignment vertical="center"/>
    </xf>
    <xf numFmtId="0" fontId="186" fillId="74" borderId="0"/>
    <xf numFmtId="0" fontId="89" fillId="53" borderId="0" applyNumberFormat="0" applyBorder="0" applyAlignment="0" applyProtection="0">
      <alignment vertical="center"/>
    </xf>
    <xf numFmtId="0" fontId="186" fillId="82" borderId="0" applyNumberFormat="0" applyBorder="0" applyAlignment="0" applyProtection="0">
      <alignment vertical="center"/>
    </xf>
    <xf numFmtId="0" fontId="186"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6" fillId="82" borderId="0"/>
    <xf numFmtId="0" fontId="89" fillId="51" borderId="0" applyNumberFormat="0" applyBorder="0" applyAlignment="0" applyProtection="0">
      <alignment vertical="center"/>
    </xf>
    <xf numFmtId="0" fontId="186" fillId="80" borderId="0" applyNumberFormat="0" applyBorder="0" applyAlignment="0" applyProtection="0">
      <alignment vertical="center"/>
    </xf>
    <xf numFmtId="0" fontId="186"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86" fillId="80"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38" borderId="0" applyNumberFormat="0" applyBorder="0" applyAlignment="0" applyProtection="0">
      <alignment vertical="center"/>
    </xf>
    <xf numFmtId="0" fontId="186" fillId="65" borderId="0" applyNumberFormat="0" applyBorder="0" applyAlignment="0" applyProtection="0">
      <alignment vertical="center"/>
    </xf>
    <xf numFmtId="0" fontId="186"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86" fillId="65" borderId="0"/>
    <xf numFmtId="0" fontId="120" fillId="92" borderId="0" applyNumberFormat="0" applyBorder="0" applyAlignment="0" applyProtection="0"/>
    <xf numFmtId="0" fontId="120" fillId="93"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4" borderId="0" applyNumberFormat="0" applyBorder="0" applyAlignment="0" applyProtection="0"/>
    <xf numFmtId="0" fontId="120" fillId="95"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6" borderId="0" applyNumberFormat="0" applyBorder="0" applyAlignment="0" applyProtection="0"/>
    <xf numFmtId="0" fontId="120" fillId="97"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8" borderId="0" applyNumberFormat="0" applyBorder="0" applyAlignment="0" applyProtection="0"/>
    <xf numFmtId="0" fontId="120" fillId="99"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47" borderId="0" applyNumberFormat="0" applyBorder="0" applyAlignment="0" applyProtection="0"/>
    <xf numFmtId="0" fontId="120" fillId="48" borderId="0" applyNumberFormat="0" applyBorder="0" applyAlignment="0" applyProtection="0"/>
    <xf numFmtId="0" fontId="120" fillId="49"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50" borderId="0" applyNumberFormat="0" applyBorder="0" applyAlignment="0" applyProtection="0"/>
    <xf numFmtId="0" fontId="113" fillId="51" borderId="24" applyNumberFormat="0" applyAlignment="0" applyProtection="0"/>
    <xf numFmtId="0" fontId="111" fillId="57" borderId="0" applyNumberFormat="0" applyBorder="0" applyAlignment="0" applyProtection="0"/>
    <xf numFmtId="0" fontId="111" fillId="58"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6" fillId="100" borderId="18" applyNumberFormat="0" applyAlignment="0" applyProtection="0"/>
    <xf numFmtId="0" fontId="116" fillId="101"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2" fillId="38" borderId="17" applyNumberFormat="0" applyAlignment="0" applyProtection="0"/>
    <xf numFmtId="0" fontId="119" fillId="0" borderId="25" applyNumberFormat="0" applyFill="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10" fillId="59" borderId="0" applyNumberFormat="0" applyBorder="0" applyAlignment="0" applyProtection="0"/>
    <xf numFmtId="0" fontId="110" fillId="60"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35" borderId="0" applyNumberFormat="0" applyBorder="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6" fillId="0" borderId="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80" fillId="82" borderId="0" applyNumberFormat="0" applyBorder="0" applyAlignment="0" applyProtection="0"/>
    <xf numFmtId="0" fontId="180" fillId="83"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4"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4"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3" fillId="0" borderId="0">
      <alignment vertical="center"/>
    </xf>
    <xf numFmtId="0" fontId="2" fillId="0" borderId="0"/>
    <xf numFmtId="0" fontId="73"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68"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8"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1" fillId="0" borderId="0"/>
    <xf numFmtId="0" fontId="2" fillId="0" borderId="0"/>
    <xf numFmtId="0" fontId="2" fillId="0" borderId="0" applyNumberFormat="0" applyFill="0" applyBorder="0" applyAlignment="0" applyProtection="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1" fillId="0" borderId="0"/>
    <xf numFmtId="9" fontId="1" fillId="0" borderId="0"/>
    <xf numFmtId="9" fontId="3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1" fillId="34" borderId="0" applyNumberFormat="0" applyBorder="0" applyAlignment="0" applyProtection="0"/>
    <xf numFmtId="0" fontId="140" fillId="0" borderId="0" applyNumberFormat="0" applyFill="0" applyBorder="0" applyAlignment="0" applyProtection="0"/>
    <xf numFmtId="0" fontId="106"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06" fillId="0" borderId="0" applyNumberFormat="0" applyFill="0" applyBorder="0" applyAlignment="0" applyProtection="0"/>
    <xf numFmtId="0" fontId="107" fillId="0" borderId="19"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15" fillId="0" borderId="22"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6" fillId="52" borderId="18" applyNumberFormat="0" applyAlignment="0" applyProtection="0"/>
    <xf numFmtId="0" fontId="123" fillId="47"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8"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9"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4"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123" fillId="45" borderId="0" applyNumberFormat="0" applyBorder="0" applyAlignment="0" applyProtection="0">
      <alignment vertical="center"/>
    </xf>
    <xf numFmtId="0" fontId="52" fillId="24" borderId="0" applyNumberFormat="0" applyBorder="0" applyAlignment="0" applyProtection="0">
      <alignment vertical="center"/>
    </xf>
    <xf numFmtId="0" fontId="123" fillId="50" borderId="0" applyNumberFormat="0" applyBorder="0" applyAlignment="0" applyProtection="0">
      <alignment vertical="center"/>
    </xf>
    <xf numFmtId="0" fontId="52" fillId="28" borderId="0" applyNumberFormat="0" applyBorder="0" applyAlignment="0" applyProtection="0">
      <alignment vertical="center"/>
    </xf>
    <xf numFmtId="0" fontId="125"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126" fillId="51" borderId="17"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127" fillId="34"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124" fillId="54" borderId="23"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128" fillId="53" borderId="0" applyNumberFormat="0" applyBorder="0" applyAlignment="0" applyProtection="0">
      <alignment vertical="center"/>
    </xf>
    <xf numFmtId="0" fontId="56" fillId="4" borderId="0" applyNumberFormat="0" applyBorder="0" applyAlignment="0" applyProtection="0">
      <alignment vertical="center"/>
    </xf>
    <xf numFmtId="0" fontId="1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130" fillId="52" borderId="18" applyNumberFormat="0" applyAlignment="0" applyProtection="0">
      <alignment vertical="center"/>
    </xf>
    <xf numFmtId="0" fontId="58" fillId="7" borderId="7" applyNumberFormat="0" applyAlignment="0" applyProtection="0">
      <alignment vertical="center"/>
    </xf>
    <xf numFmtId="0" fontId="131" fillId="0" borderId="22" applyNumberFormat="0" applyFill="0" applyAlignment="0" applyProtection="0">
      <alignment vertical="center"/>
    </xf>
    <xf numFmtId="0" fontId="59" fillId="0" borderId="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61" fillId="5" borderId="4" applyNumberFormat="0" applyAlignment="0" applyProtection="0">
      <alignment vertical="center"/>
    </xf>
    <xf numFmtId="0" fontId="134" fillId="0" borderId="0" applyNumberFormat="0" applyFill="0" applyBorder="0" applyAlignment="0" applyProtection="0">
      <alignment vertical="center"/>
    </xf>
    <xf numFmtId="0" fontId="135" fillId="0" borderId="19"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136" fillId="0" borderId="20"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137" fillId="0" borderId="21"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137"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140" fillId="0" borderId="0" applyNumberFormat="0" applyFill="0" applyBorder="0" applyAlignment="0" applyProtection="0"/>
    <xf numFmtId="0" fontId="138" fillId="35" borderId="0" applyNumberFormat="0" applyBorder="0" applyAlignment="0" applyProtection="0">
      <alignment vertical="center"/>
    </xf>
    <xf numFmtId="0" fontId="66" fillId="2" borderId="0" applyNumberFormat="0" applyBorder="0" applyAlignment="0" applyProtection="0">
      <alignment vertical="center"/>
    </xf>
    <xf numFmtId="0" fontId="30" fillId="0" borderId="0"/>
    <xf numFmtId="0" fontId="90"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90" fillId="83" borderId="0" applyNumberFormat="0" applyBorder="0" applyAlignment="0" applyProtection="0"/>
    <xf numFmtId="0" fontId="90" fillId="82" borderId="0" applyNumberFormat="0" applyBorder="0" applyAlignment="0" applyProtection="0">
      <alignment vertical="center"/>
    </xf>
    <xf numFmtId="0" fontId="234" fillId="82" borderId="0" applyNumberFormat="0" applyBorder="0" applyAlignment="0" applyProtection="0">
      <alignment vertical="center"/>
    </xf>
    <xf numFmtId="0" fontId="188" fillId="82" borderId="0"/>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93" fillId="34" borderId="0" applyNumberFormat="0" applyBorder="0" applyAlignment="0" applyProtection="0">
      <alignment vertical="center"/>
    </xf>
    <xf numFmtId="0" fontId="144" fillId="57" borderId="0" applyNumberFormat="0" applyBorder="0" applyAlignment="0" applyProtection="0">
      <alignment vertical="center"/>
    </xf>
    <xf numFmtId="0" fontId="144" fillId="34" borderId="0" applyNumberFormat="0" applyBorder="0" applyAlignment="0" applyProtection="0">
      <alignment vertical="center"/>
    </xf>
    <xf numFmtId="0" fontId="93" fillId="58" borderId="0" applyNumberFormat="0" applyBorder="0" applyAlignment="0" applyProtection="0"/>
    <xf numFmtId="0" fontId="93" fillId="57" borderId="0" applyNumberFormat="0" applyBorder="0" applyAlignment="0" applyProtection="0">
      <alignment vertical="center"/>
    </xf>
    <xf numFmtId="0" fontId="236" fillId="57" borderId="0" applyNumberFormat="0" applyBorder="0" applyAlignment="0" applyProtection="0">
      <alignment vertical="center"/>
    </xf>
    <xf numFmtId="0" fontId="144" fillId="57" borderId="0"/>
    <xf numFmtId="0" fontId="144" fillId="34" borderId="0" applyNumberFormat="0" applyBorder="0" applyAlignment="0" applyProtection="0">
      <alignment vertical="center"/>
    </xf>
    <xf numFmtId="0" fontId="300" fillId="0" borderId="0">
      <alignment vertical="center"/>
    </xf>
    <xf numFmtId="0" fontId="300" fillId="0" borderId="0">
      <alignment vertical="center"/>
    </xf>
    <xf numFmtId="0" fontId="300" fillId="0" borderId="0">
      <alignment vertical="center"/>
    </xf>
    <xf numFmtId="0" fontId="30" fillId="0" borderId="0"/>
    <xf numFmtId="0" fontId="300" fillId="0" borderId="0">
      <alignment vertical="center"/>
    </xf>
    <xf numFmtId="0" fontId="301" fillId="0" borderId="0">
      <alignment vertical="center"/>
    </xf>
    <xf numFmtId="0" fontId="1" fillId="0" borderId="0"/>
    <xf numFmtId="0" fontId="51" fillId="0" borderId="0">
      <alignment vertical="center"/>
    </xf>
    <xf numFmtId="0" fontId="1" fillId="0" borderId="0"/>
    <xf numFmtId="0" fontId="1" fillId="0" borderId="0"/>
    <xf numFmtId="0" fontId="30"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1"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300" fillId="0" borderId="0">
      <alignment vertical="center"/>
    </xf>
    <xf numFmtId="0" fontId="300" fillId="0" borderId="0">
      <alignment vertical="center"/>
    </xf>
    <xf numFmtId="0" fontId="300" fillId="0" borderId="0">
      <alignment vertical="center"/>
    </xf>
    <xf numFmtId="0" fontId="51" fillId="0" borderId="0">
      <alignment vertical="center"/>
    </xf>
    <xf numFmtId="0" fontId="300" fillId="0" borderId="0">
      <alignment vertical="center"/>
    </xf>
    <xf numFmtId="0" fontId="1" fillId="0" borderId="0"/>
    <xf numFmtId="0" fontId="51" fillId="0" borderId="0">
      <alignment vertical="center"/>
    </xf>
    <xf numFmtId="0" fontId="300" fillId="0" borderId="0">
      <alignment vertical="center"/>
    </xf>
    <xf numFmtId="0" fontId="74" fillId="35" borderId="0" applyNumberFormat="0" applyBorder="0" applyAlignment="0" applyProtection="0">
      <alignment vertical="center"/>
    </xf>
    <xf numFmtId="0" fontId="270" fillId="35" borderId="0" applyNumberFormat="0" applyBorder="0" applyAlignment="0" applyProtection="0">
      <alignment vertical="center"/>
    </xf>
    <xf numFmtId="0" fontId="141" fillId="35" borderId="0" applyNumberFormat="0" applyBorder="0" applyAlignment="0" applyProtection="0">
      <alignment vertical="center"/>
    </xf>
    <xf numFmtId="0" fontId="198" fillId="35" borderId="0" applyNumberFormat="0" applyBorder="0" applyAlignment="0" applyProtection="0">
      <alignment vertical="center"/>
    </xf>
    <xf numFmtId="0" fontId="198" fillId="35" borderId="0" applyNumberFormat="0" applyBorder="0" applyAlignment="0" applyProtection="0">
      <alignment vertical="center"/>
    </xf>
    <xf numFmtId="0" fontId="270" fillId="35" borderId="0" applyNumberFormat="0" applyBorder="0" applyAlignment="0" applyProtection="0">
      <alignment vertical="center"/>
    </xf>
    <xf numFmtId="0" fontId="165" fillId="35" borderId="0" applyNumberFormat="0" applyBorder="0" applyAlignment="0" applyProtection="0">
      <alignment vertical="center"/>
    </xf>
    <xf numFmtId="0" fontId="198" fillId="35" borderId="0" applyNumberFormat="0" applyBorder="0" applyAlignment="0" applyProtection="0">
      <alignment vertical="center"/>
    </xf>
    <xf numFmtId="0" fontId="74" fillId="59" borderId="0" applyNumberFormat="0" applyBorder="0" applyAlignment="0" applyProtection="0">
      <alignment vertical="center"/>
    </xf>
    <xf numFmtId="0" fontId="74" fillId="60" borderId="0" applyNumberFormat="0" applyBorder="0" applyAlignment="0" applyProtection="0"/>
    <xf numFmtId="0" fontId="198" fillId="35" borderId="0" applyNumberFormat="0" applyBorder="0" applyAlignment="0" applyProtection="0">
      <alignment vertical="center"/>
    </xf>
    <xf numFmtId="0" fontId="216" fillId="35" borderId="0" applyNumberFormat="0" applyBorder="0" applyAlignment="0" applyProtection="0">
      <alignment vertical="center"/>
    </xf>
    <xf numFmtId="0" fontId="74" fillId="35" borderId="0" applyNumberFormat="0" applyBorder="0" applyAlignment="0" applyProtection="0">
      <alignment vertical="center"/>
    </xf>
    <xf numFmtId="0" fontId="252" fillId="35" borderId="0" applyNumberFormat="0" applyBorder="0" applyAlignment="0" applyProtection="0">
      <alignment vertical="center"/>
    </xf>
    <xf numFmtId="0" fontId="94" fillId="35" borderId="0" applyNumberFormat="0" applyBorder="0" applyAlignment="0" applyProtection="0">
      <alignment vertical="center"/>
    </xf>
    <xf numFmtId="0" fontId="145" fillId="59" borderId="0" applyNumberFormat="0" applyBorder="0" applyAlignment="0" applyProtection="0">
      <alignment vertical="center"/>
    </xf>
    <xf numFmtId="0" fontId="145" fillId="35" borderId="0" applyNumberFormat="0" applyBorder="0" applyAlignment="0" applyProtection="0">
      <alignment vertical="center"/>
    </xf>
    <xf numFmtId="0" fontId="94" fillId="60" borderId="0" applyNumberFormat="0" applyBorder="0" applyAlignment="0" applyProtection="0"/>
    <xf numFmtId="0" fontId="94" fillId="59" borderId="0" applyNumberFormat="0" applyBorder="0" applyAlignment="0" applyProtection="0">
      <alignment vertical="center"/>
    </xf>
    <xf numFmtId="0" fontId="237" fillId="59" borderId="0" applyNumberFormat="0" applyBorder="0" applyAlignment="0" applyProtection="0">
      <alignment vertical="center"/>
    </xf>
    <xf numFmtId="0" fontId="145" fillId="59" borderId="0"/>
    <xf numFmtId="0" fontId="141" fillId="35" borderId="0" applyNumberFormat="0" applyBorder="0" applyAlignment="0" applyProtection="0">
      <alignment vertical="center"/>
    </xf>
    <xf numFmtId="0" fontId="270" fillId="35" borderId="0" applyNumberFormat="0" applyBorder="0" applyAlignment="0" applyProtection="0">
      <alignment vertical="center"/>
    </xf>
    <xf numFmtId="0" fontId="145" fillId="35" borderId="0" applyNumberFormat="0" applyBorder="0" applyAlignment="0" applyProtection="0">
      <alignment vertical="center"/>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75" fillId="34" borderId="0" applyNumberFormat="0" applyBorder="0" applyAlignment="0" applyProtection="0">
      <alignment vertical="center"/>
    </xf>
    <xf numFmtId="0" fontId="271" fillId="34" borderId="0" applyNumberFormat="0" applyBorder="0" applyAlignment="0" applyProtection="0">
      <alignment vertical="center"/>
    </xf>
    <xf numFmtId="0" fontId="142" fillId="34" borderId="0" applyNumberFormat="0" applyBorder="0" applyAlignment="0" applyProtection="0">
      <alignment vertical="center"/>
    </xf>
    <xf numFmtId="0" fontId="199" fillId="34" borderId="0" applyNumberFormat="0" applyBorder="0" applyAlignment="0" applyProtection="0">
      <alignment vertical="center"/>
    </xf>
    <xf numFmtId="0" fontId="199" fillId="34" borderId="0" applyNumberFormat="0" applyBorder="0" applyAlignment="0" applyProtection="0">
      <alignment vertical="center"/>
    </xf>
    <xf numFmtId="0" fontId="271" fillId="34" borderId="0" applyNumberFormat="0" applyBorder="0" applyAlignment="0" applyProtection="0">
      <alignment vertical="center"/>
    </xf>
    <xf numFmtId="0" fontId="166" fillId="34" borderId="0" applyNumberFormat="0" applyBorder="0" applyAlignment="0" applyProtection="0">
      <alignment vertical="center"/>
    </xf>
    <xf numFmtId="0" fontId="199" fillId="34" borderId="0" applyNumberFormat="0" applyBorder="0" applyAlignment="0" applyProtection="0">
      <alignment vertical="center"/>
    </xf>
    <xf numFmtId="0" fontId="75" fillId="57" borderId="0" applyNumberFormat="0" applyBorder="0" applyAlignment="0" applyProtection="0">
      <alignment vertical="center"/>
    </xf>
    <xf numFmtId="0" fontId="75" fillId="58" borderId="0" applyNumberFormat="0" applyBorder="0" applyAlignment="0" applyProtection="0"/>
    <xf numFmtId="0" fontId="199" fillId="34" borderId="0" applyNumberFormat="0" applyBorder="0" applyAlignment="0" applyProtection="0">
      <alignment vertical="center"/>
    </xf>
    <xf numFmtId="0" fontId="217" fillId="34" borderId="0" applyNumberFormat="0" applyBorder="0" applyAlignment="0" applyProtection="0">
      <alignment vertical="center"/>
    </xf>
    <xf numFmtId="0" fontId="75" fillId="34" borderId="0" applyNumberFormat="0" applyBorder="0" applyAlignment="0" applyProtection="0">
      <alignment vertical="center"/>
    </xf>
    <xf numFmtId="0" fontId="253" fillId="34" borderId="0" applyNumberFormat="0" applyBorder="0" applyAlignment="0" applyProtection="0">
      <alignment vertical="center"/>
    </xf>
    <xf numFmtId="0" fontId="142" fillId="34" borderId="0" applyNumberFormat="0" applyBorder="0" applyAlignment="0" applyProtection="0">
      <alignment vertical="center"/>
    </xf>
    <xf numFmtId="0" fontId="271" fillId="34" borderId="0" applyNumberFormat="0" applyBorder="0" applyAlignment="0" applyProtection="0">
      <alignment vertical="center"/>
    </xf>
    <xf numFmtId="0" fontId="30" fillId="0" borderId="0"/>
    <xf numFmtId="0" fontId="72" fillId="47" borderId="0" applyNumberFormat="0" applyBorder="0" applyAlignment="0" applyProtection="0">
      <alignment vertical="center"/>
    </xf>
    <xf numFmtId="0" fontId="268" fillId="47" borderId="0" applyNumberFormat="0" applyBorder="0" applyAlignment="0" applyProtection="0">
      <alignment vertical="center"/>
    </xf>
    <xf numFmtId="0" fontId="148" fillId="47" borderId="0" applyNumberFormat="0" applyBorder="0" applyAlignment="0" applyProtection="0">
      <alignment vertical="center"/>
    </xf>
    <xf numFmtId="0" fontId="196" fillId="47" borderId="0" applyNumberFormat="0" applyBorder="0" applyAlignment="0" applyProtection="0">
      <alignment vertical="center"/>
    </xf>
    <xf numFmtId="0" fontId="196" fillId="47" borderId="0" applyNumberFormat="0" applyBorder="0" applyAlignment="0" applyProtection="0">
      <alignment vertical="center"/>
    </xf>
    <xf numFmtId="0" fontId="268" fillId="47" borderId="0" applyNumberFormat="0" applyBorder="0" applyAlignment="0" applyProtection="0">
      <alignment vertical="center"/>
    </xf>
    <xf numFmtId="0" fontId="163" fillId="47" borderId="0" applyNumberFormat="0" applyBorder="0" applyAlignment="0" applyProtection="0">
      <alignment vertical="center"/>
    </xf>
    <xf numFmtId="0" fontId="196" fillId="47" borderId="0" applyNumberFormat="0" applyBorder="0" applyAlignment="0" applyProtection="0">
      <alignment vertical="center"/>
    </xf>
    <xf numFmtId="0" fontId="72" fillId="92" borderId="0" applyNumberFormat="0" applyBorder="0" applyAlignment="0" applyProtection="0">
      <alignment vertical="center"/>
    </xf>
    <xf numFmtId="0" fontId="72" fillId="93" borderId="0" applyNumberFormat="0" applyBorder="0" applyAlignment="0" applyProtection="0"/>
    <xf numFmtId="0" fontId="196" fillId="47" borderId="0" applyNumberFormat="0" applyBorder="0" applyAlignment="0" applyProtection="0">
      <alignment vertical="center"/>
    </xf>
    <xf numFmtId="0" fontId="214" fillId="47" borderId="0" applyNumberFormat="0" applyBorder="0" applyAlignment="0" applyProtection="0">
      <alignment vertical="center"/>
    </xf>
    <xf numFmtId="0" fontId="72" fillId="47" borderId="0" applyNumberFormat="0" applyBorder="0" applyAlignment="0" applyProtection="0">
      <alignment vertical="center"/>
    </xf>
    <xf numFmtId="0" fontId="250" fillId="47" borderId="0" applyNumberFormat="0" applyBorder="0" applyAlignment="0" applyProtection="0">
      <alignment vertical="center"/>
    </xf>
    <xf numFmtId="0" fontId="72" fillId="48" borderId="0" applyNumberFormat="0" applyBorder="0" applyAlignment="0" applyProtection="0">
      <alignment vertical="center"/>
    </xf>
    <xf numFmtId="0" fontId="268" fillId="48" borderId="0" applyNumberFormat="0" applyBorder="0" applyAlignment="0" applyProtection="0">
      <alignment vertical="center"/>
    </xf>
    <xf numFmtId="0" fontId="148" fillId="48" borderId="0" applyNumberFormat="0" applyBorder="0" applyAlignment="0" applyProtection="0">
      <alignment vertical="center"/>
    </xf>
    <xf numFmtId="0" fontId="196" fillId="48" borderId="0" applyNumberFormat="0" applyBorder="0" applyAlignment="0" applyProtection="0">
      <alignment vertical="center"/>
    </xf>
    <xf numFmtId="0" fontId="196" fillId="48" borderId="0" applyNumberFormat="0" applyBorder="0" applyAlignment="0" applyProtection="0">
      <alignment vertical="center"/>
    </xf>
    <xf numFmtId="0" fontId="268" fillId="48" borderId="0" applyNumberFormat="0" applyBorder="0" applyAlignment="0" applyProtection="0">
      <alignment vertical="center"/>
    </xf>
    <xf numFmtId="0" fontId="163" fillId="48" borderId="0" applyNumberFormat="0" applyBorder="0" applyAlignment="0" applyProtection="0">
      <alignment vertical="center"/>
    </xf>
    <xf numFmtId="0" fontId="196" fillId="48" borderId="0" applyNumberFormat="0" applyBorder="0" applyAlignment="0" applyProtection="0">
      <alignment vertical="center"/>
    </xf>
    <xf numFmtId="0" fontId="72" fillId="94" borderId="0" applyNumberFormat="0" applyBorder="0" applyAlignment="0" applyProtection="0">
      <alignment vertical="center"/>
    </xf>
    <xf numFmtId="0" fontId="72" fillId="95" borderId="0" applyNumberFormat="0" applyBorder="0" applyAlignment="0" applyProtection="0"/>
    <xf numFmtId="0" fontId="196" fillId="48" borderId="0" applyNumberFormat="0" applyBorder="0" applyAlignment="0" applyProtection="0">
      <alignment vertical="center"/>
    </xf>
    <xf numFmtId="0" fontId="214" fillId="48" borderId="0" applyNumberFormat="0" applyBorder="0" applyAlignment="0" applyProtection="0">
      <alignment vertical="center"/>
    </xf>
    <xf numFmtId="0" fontId="72" fillId="48" borderId="0" applyNumberFormat="0" applyBorder="0" applyAlignment="0" applyProtection="0">
      <alignment vertical="center"/>
    </xf>
    <xf numFmtId="0" fontId="250" fillId="48" borderId="0" applyNumberFormat="0" applyBorder="0" applyAlignment="0" applyProtection="0">
      <alignment vertical="center"/>
    </xf>
    <xf numFmtId="0" fontId="72" fillId="49" borderId="0" applyNumberFormat="0" applyBorder="0" applyAlignment="0" applyProtection="0">
      <alignment vertical="center"/>
    </xf>
    <xf numFmtId="0" fontId="268" fillId="49" borderId="0" applyNumberFormat="0" applyBorder="0" applyAlignment="0" applyProtection="0">
      <alignment vertical="center"/>
    </xf>
    <xf numFmtId="0" fontId="148" fillId="49" borderId="0" applyNumberFormat="0" applyBorder="0" applyAlignment="0" applyProtection="0">
      <alignment vertical="center"/>
    </xf>
    <xf numFmtId="0" fontId="196" fillId="49" borderId="0" applyNumberFormat="0" applyBorder="0" applyAlignment="0" applyProtection="0">
      <alignment vertical="center"/>
    </xf>
    <xf numFmtId="0" fontId="196" fillId="49" borderId="0" applyNumberFormat="0" applyBorder="0" applyAlignment="0" applyProtection="0">
      <alignment vertical="center"/>
    </xf>
    <xf numFmtId="0" fontId="268" fillId="49" borderId="0" applyNumberFormat="0" applyBorder="0" applyAlignment="0" applyProtection="0">
      <alignment vertical="center"/>
    </xf>
    <xf numFmtId="0" fontId="163" fillId="49" borderId="0" applyNumberFormat="0" applyBorder="0" applyAlignment="0" applyProtection="0">
      <alignment vertical="center"/>
    </xf>
    <xf numFmtId="0" fontId="196" fillId="49" borderId="0" applyNumberFormat="0" applyBorder="0" applyAlignment="0" applyProtection="0">
      <alignment vertical="center"/>
    </xf>
    <xf numFmtId="0" fontId="72" fillId="96" borderId="0" applyNumberFormat="0" applyBorder="0" applyAlignment="0" applyProtection="0">
      <alignment vertical="center"/>
    </xf>
    <xf numFmtId="0" fontId="72" fillId="97" borderId="0" applyNumberFormat="0" applyBorder="0" applyAlignment="0" applyProtection="0"/>
    <xf numFmtId="0" fontId="196" fillId="49" borderId="0" applyNumberFormat="0" applyBorder="0" applyAlignment="0" applyProtection="0">
      <alignment vertical="center"/>
    </xf>
    <xf numFmtId="0" fontId="214" fillId="49" borderId="0" applyNumberFormat="0" applyBorder="0" applyAlignment="0" applyProtection="0">
      <alignment vertical="center"/>
    </xf>
    <xf numFmtId="0" fontId="72" fillId="49" borderId="0" applyNumberFormat="0" applyBorder="0" applyAlignment="0" applyProtection="0">
      <alignment vertical="center"/>
    </xf>
    <xf numFmtId="0" fontId="250" fillId="49"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50" borderId="0" applyNumberFormat="0" applyBorder="0" applyAlignment="0" applyProtection="0">
      <alignment vertical="center"/>
    </xf>
    <xf numFmtId="0" fontId="268" fillId="50" borderId="0" applyNumberFormat="0" applyBorder="0" applyAlignment="0" applyProtection="0">
      <alignment vertical="center"/>
    </xf>
    <xf numFmtId="0" fontId="148" fillId="50" borderId="0" applyNumberFormat="0" applyBorder="0" applyAlignment="0" applyProtection="0">
      <alignment vertical="center"/>
    </xf>
    <xf numFmtId="0" fontId="196" fillId="50" borderId="0" applyNumberFormat="0" applyBorder="0" applyAlignment="0" applyProtection="0">
      <alignment vertical="center"/>
    </xf>
    <xf numFmtId="0" fontId="196" fillId="50" borderId="0" applyNumberFormat="0" applyBorder="0" applyAlignment="0" applyProtection="0">
      <alignment vertical="center"/>
    </xf>
    <xf numFmtId="0" fontId="268" fillId="50" borderId="0" applyNumberFormat="0" applyBorder="0" applyAlignment="0" applyProtection="0">
      <alignment vertical="center"/>
    </xf>
    <xf numFmtId="0" fontId="163" fillId="50" borderId="0" applyNumberFormat="0" applyBorder="0" applyAlignment="0" applyProtection="0">
      <alignment vertical="center"/>
    </xf>
    <xf numFmtId="0" fontId="196" fillId="50" borderId="0" applyNumberFormat="0" applyBorder="0" applyAlignment="0" applyProtection="0">
      <alignment vertical="center"/>
    </xf>
    <xf numFmtId="0" fontId="72" fillId="98" borderId="0" applyNumberFormat="0" applyBorder="0" applyAlignment="0" applyProtection="0">
      <alignment vertical="center"/>
    </xf>
    <xf numFmtId="0" fontId="72" fillId="99" borderId="0" applyNumberFormat="0" applyBorder="0" applyAlignment="0" applyProtection="0"/>
    <xf numFmtId="0" fontId="196" fillId="50" borderId="0" applyNumberFormat="0" applyBorder="0" applyAlignment="0" applyProtection="0">
      <alignment vertical="center"/>
    </xf>
    <xf numFmtId="0" fontId="214" fillId="50" borderId="0" applyNumberFormat="0" applyBorder="0" applyAlignment="0" applyProtection="0">
      <alignment vertical="center"/>
    </xf>
    <xf numFmtId="0" fontId="72" fillId="50" borderId="0" applyNumberFormat="0" applyBorder="0" applyAlignment="0" applyProtection="0">
      <alignment vertical="center"/>
    </xf>
    <xf numFmtId="0" fontId="250" fillId="50" borderId="0" applyNumberFormat="0" applyBorder="0" applyAlignment="0" applyProtection="0">
      <alignment vertical="center"/>
    </xf>
    <xf numFmtId="0" fontId="35" fillId="0" borderId="0" applyNumberFormat="0" applyFill="0" applyBorder="0" applyAlignment="0" applyProtection="0">
      <alignment vertical="center"/>
    </xf>
    <xf numFmtId="0" fontId="76" fillId="0" borderId="19" applyNumberFormat="0" applyFill="0" applyAlignment="0" applyProtection="0">
      <alignment vertical="center"/>
    </xf>
    <xf numFmtId="0" fontId="150" fillId="0" borderId="19" applyNumberFormat="0" applyFill="0" applyAlignment="0" applyProtection="0">
      <alignment vertical="center"/>
    </xf>
    <xf numFmtId="0" fontId="201" fillId="0" borderId="19" applyNumberFormat="0" applyFill="0" applyAlignment="0" applyProtection="0">
      <alignment vertical="center"/>
    </xf>
    <xf numFmtId="0" fontId="201" fillId="0" borderId="19" applyNumberFormat="0" applyFill="0" applyAlignment="0" applyProtection="0">
      <alignment vertical="center"/>
    </xf>
    <xf numFmtId="0" fontId="273" fillId="0" borderId="19" applyNumberFormat="0" applyFill="0" applyAlignment="0" applyProtection="0">
      <alignment vertical="center"/>
    </xf>
    <xf numFmtId="0" fontId="168" fillId="0" borderId="19" applyNumberFormat="0" applyFill="0" applyAlignment="0" applyProtection="0">
      <alignment vertical="center"/>
    </xf>
    <xf numFmtId="0" fontId="201" fillId="0" borderId="19" applyNumberFormat="0" applyFill="0" applyAlignment="0" applyProtection="0">
      <alignment vertical="center"/>
    </xf>
    <xf numFmtId="0" fontId="76" fillId="0" borderId="19" applyNumberFormat="0" applyFill="0" applyAlignment="0" applyProtection="0"/>
    <xf numFmtId="0" fontId="201" fillId="0" borderId="19" applyNumberFormat="0" applyFill="0" applyAlignment="0" applyProtection="0">
      <alignment vertical="center"/>
    </xf>
    <xf numFmtId="0" fontId="219" fillId="0" borderId="19" applyNumberFormat="0" applyFill="0" applyAlignment="0" applyProtection="0">
      <alignment vertical="center"/>
    </xf>
    <xf numFmtId="0" fontId="76" fillId="0" borderId="19" applyNumberFormat="0" applyFill="0" applyAlignment="0" applyProtection="0">
      <alignment vertical="center"/>
    </xf>
    <xf numFmtId="0" fontId="255" fillId="0" borderId="19" applyNumberFormat="0" applyFill="0" applyAlignment="0" applyProtection="0">
      <alignment vertical="center"/>
    </xf>
    <xf numFmtId="0" fontId="273" fillId="0" borderId="19" applyNumberFormat="0" applyFill="0" applyAlignment="0" applyProtection="0">
      <alignment vertical="center"/>
    </xf>
    <xf numFmtId="0" fontId="35" fillId="0" borderId="0" applyNumberFormat="0" applyFill="0" applyBorder="0" applyAlignment="0" applyProtection="0">
      <alignment vertical="center"/>
    </xf>
    <xf numFmtId="0" fontId="254"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77" fillId="0" borderId="20" applyNumberFormat="0" applyFill="0" applyAlignment="0" applyProtection="0">
      <alignment vertical="center"/>
    </xf>
    <xf numFmtId="0" fontId="151" fillId="0" borderId="20" applyNumberFormat="0" applyFill="0" applyAlignment="0" applyProtection="0">
      <alignment vertical="center"/>
    </xf>
    <xf numFmtId="0" fontId="202" fillId="0" borderId="20" applyNumberFormat="0" applyFill="0" applyAlignment="0" applyProtection="0">
      <alignment vertical="center"/>
    </xf>
    <xf numFmtId="0" fontId="202" fillId="0" borderId="20" applyNumberFormat="0" applyFill="0" applyAlignment="0" applyProtection="0">
      <alignment vertical="center"/>
    </xf>
    <xf numFmtId="0" fontId="274" fillId="0" borderId="20" applyNumberFormat="0" applyFill="0" applyAlignment="0" applyProtection="0">
      <alignment vertical="center"/>
    </xf>
    <xf numFmtId="0" fontId="169" fillId="0" borderId="20" applyNumberFormat="0" applyFill="0" applyAlignment="0" applyProtection="0">
      <alignment vertical="center"/>
    </xf>
    <xf numFmtId="0" fontId="202" fillId="0" borderId="20" applyNumberFormat="0" applyFill="0" applyAlignment="0" applyProtection="0">
      <alignment vertical="center"/>
    </xf>
    <xf numFmtId="0" fontId="77" fillId="0" borderId="20" applyNumberFormat="0" applyFill="0" applyAlignment="0" applyProtection="0"/>
    <xf numFmtId="0" fontId="202" fillId="0" borderId="20" applyNumberFormat="0" applyFill="0" applyAlignment="0" applyProtection="0">
      <alignment vertical="center"/>
    </xf>
    <xf numFmtId="0" fontId="220" fillId="0" borderId="20" applyNumberFormat="0" applyFill="0" applyAlignment="0" applyProtection="0">
      <alignment vertical="center"/>
    </xf>
    <xf numFmtId="0" fontId="77" fillId="0" borderId="20" applyNumberFormat="0" applyFill="0" applyAlignment="0" applyProtection="0">
      <alignment vertical="center"/>
    </xf>
    <xf numFmtId="0" fontId="256" fillId="0" borderId="20" applyNumberFormat="0" applyFill="0" applyAlignment="0" applyProtection="0">
      <alignment vertical="center"/>
    </xf>
    <xf numFmtId="0" fontId="274" fillId="0" borderId="20" applyNumberFormat="0" applyFill="0" applyAlignment="0" applyProtection="0">
      <alignment vertical="center"/>
    </xf>
    <xf numFmtId="0" fontId="78" fillId="0" borderId="21" applyNumberFormat="0" applyFill="0" applyAlignment="0" applyProtection="0">
      <alignment vertical="center"/>
    </xf>
    <xf numFmtId="0" fontId="152" fillId="0" borderId="21" applyNumberFormat="0" applyFill="0" applyAlignment="0" applyProtection="0">
      <alignment vertical="center"/>
    </xf>
    <xf numFmtId="0" fontId="203" fillId="0" borderId="21" applyNumberFormat="0" applyFill="0" applyAlignment="0" applyProtection="0">
      <alignment vertical="center"/>
    </xf>
    <xf numFmtId="0" fontId="203" fillId="0" borderId="21" applyNumberFormat="0" applyFill="0" applyAlignment="0" applyProtection="0">
      <alignment vertical="center"/>
    </xf>
    <xf numFmtId="0" fontId="275" fillId="0" borderId="21" applyNumberFormat="0" applyFill="0" applyAlignment="0" applyProtection="0">
      <alignment vertical="center"/>
    </xf>
    <xf numFmtId="0" fontId="170" fillId="0" borderId="21" applyNumberFormat="0" applyFill="0" applyAlignment="0" applyProtection="0">
      <alignment vertical="center"/>
    </xf>
    <xf numFmtId="0" fontId="203" fillId="0" borderId="21" applyNumberFormat="0" applyFill="0" applyAlignment="0" applyProtection="0">
      <alignment vertical="center"/>
    </xf>
    <xf numFmtId="0" fontId="78" fillId="0" borderId="21" applyNumberFormat="0" applyFill="0" applyAlignment="0" applyProtection="0"/>
    <xf numFmtId="0" fontId="203" fillId="0" borderId="21" applyNumberFormat="0" applyFill="0" applyAlignment="0" applyProtection="0">
      <alignment vertical="center"/>
    </xf>
    <xf numFmtId="0" fontId="221" fillId="0" borderId="21" applyNumberFormat="0" applyFill="0" applyAlignment="0" applyProtection="0">
      <alignment vertical="center"/>
    </xf>
    <xf numFmtId="0" fontId="78" fillId="0" borderId="21" applyNumberFormat="0" applyFill="0" applyAlignment="0" applyProtection="0">
      <alignment vertical="center"/>
    </xf>
    <xf numFmtId="0" fontId="257" fillId="0" borderId="21" applyNumberFormat="0" applyFill="0" applyAlignment="0" applyProtection="0">
      <alignment vertical="center"/>
    </xf>
    <xf numFmtId="0" fontId="275" fillId="0" borderId="21" applyNumberFormat="0" applyFill="0" applyAlignment="0" applyProtection="0">
      <alignment vertical="center"/>
    </xf>
    <xf numFmtId="0" fontId="78"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78" fillId="0" borderId="0" applyNumberFormat="0" applyFill="0" applyBorder="0" applyAlignment="0" applyProtection="0"/>
    <xf numFmtId="0" fontId="203" fillId="0" borderId="0" applyNumberFormat="0" applyFill="0" applyBorder="0" applyAlignment="0" applyProtection="0">
      <alignment vertical="center"/>
    </xf>
    <xf numFmtId="0" fontId="221"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167"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35" fillId="0" borderId="0" applyNumberFormat="0" applyFill="0" applyBorder="0" applyAlignment="0" applyProtection="0"/>
    <xf numFmtId="0" fontId="200" fillId="0" borderId="0" applyNumberFormat="0" applyFill="0" applyBorder="0" applyAlignment="0" applyProtection="0">
      <alignment vertical="center"/>
    </xf>
    <xf numFmtId="0" fontId="218"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79" fillId="52" borderId="18" applyNumberFormat="0" applyAlignment="0" applyProtection="0">
      <alignment vertical="center"/>
    </xf>
    <xf numFmtId="0" fontId="276" fillId="52" borderId="18" applyNumberFormat="0" applyAlignment="0" applyProtection="0">
      <alignment vertical="center"/>
    </xf>
    <xf numFmtId="0" fontId="153" fillId="52" borderId="18" applyNumberFormat="0" applyAlignment="0" applyProtection="0">
      <alignment vertical="center"/>
    </xf>
    <xf numFmtId="0" fontId="204" fillId="52" borderId="18" applyNumberFormat="0" applyAlignment="0" applyProtection="0">
      <alignment vertical="center"/>
    </xf>
    <xf numFmtId="0" fontId="204" fillId="52" borderId="18" applyNumberFormat="0" applyAlignment="0" applyProtection="0">
      <alignment vertical="center"/>
    </xf>
    <xf numFmtId="0" fontId="276" fillId="52" borderId="18" applyNumberFormat="0" applyAlignment="0" applyProtection="0">
      <alignment vertical="center"/>
    </xf>
    <xf numFmtId="0" fontId="171" fillId="52" borderId="18" applyNumberFormat="0" applyAlignment="0" applyProtection="0">
      <alignment vertical="center"/>
    </xf>
    <xf numFmtId="0" fontId="204" fillId="52" borderId="18" applyNumberFormat="0" applyAlignment="0" applyProtection="0">
      <alignment vertical="center"/>
    </xf>
    <xf numFmtId="0" fontId="79" fillId="100" borderId="18" applyNumberFormat="0" applyAlignment="0" applyProtection="0">
      <alignment vertical="center"/>
    </xf>
    <xf numFmtId="0" fontId="79" fillId="101" borderId="18" applyNumberFormat="0" applyAlignment="0" applyProtection="0"/>
    <xf numFmtId="0" fontId="204" fillId="52" borderId="18" applyNumberFormat="0" applyAlignment="0" applyProtection="0">
      <alignment vertical="center"/>
    </xf>
    <xf numFmtId="0" fontId="222" fillId="52" borderId="18" applyNumberFormat="0" applyAlignment="0" applyProtection="0">
      <alignment vertical="center"/>
    </xf>
    <xf numFmtId="0" fontId="79" fillId="52" borderId="18" applyNumberFormat="0" applyAlignment="0" applyProtection="0">
      <alignment vertical="center"/>
    </xf>
    <xf numFmtId="0" fontId="258" fillId="52" borderId="18" applyNumberFormat="0" applyAlignment="0" applyProtection="0">
      <alignment vertical="center"/>
    </xf>
    <xf numFmtId="0" fontId="95" fillId="0" borderId="0" applyNumberFormat="0" applyFill="0" applyBorder="0" applyAlignment="0" applyProtection="0">
      <alignment vertical="center"/>
    </xf>
    <xf numFmtId="0" fontId="96" fillId="0" borderId="27" applyNumberFormat="0" applyFill="0" applyAlignment="0" applyProtection="0">
      <alignment vertical="center"/>
    </xf>
    <xf numFmtId="0" fontId="191" fillId="0" borderId="27" applyNumberFormat="0" applyFill="0" applyAlignment="0" applyProtection="0">
      <alignment vertical="center"/>
    </xf>
    <xf numFmtId="0" fontId="96" fillId="0" borderId="27" applyNumberFormat="0" applyFill="0" applyAlignment="0" applyProtection="0"/>
    <xf numFmtId="0" fontId="239" fillId="0" borderId="27" applyNumberFormat="0" applyFill="0" applyAlignment="0" applyProtection="0">
      <alignment vertical="center"/>
    </xf>
    <xf numFmtId="0" fontId="191" fillId="0" borderId="27"/>
    <xf numFmtId="0" fontId="97" fillId="0" borderId="20" applyNumberFormat="0" applyFill="0" applyAlignment="0" applyProtection="0">
      <alignment vertical="center"/>
    </xf>
    <xf numFmtId="0" fontId="192" fillId="0" borderId="20" applyNumberFormat="0" applyFill="0" applyAlignment="0" applyProtection="0">
      <alignment vertical="center"/>
    </xf>
    <xf numFmtId="0" fontId="97" fillId="0" borderId="20" applyNumberFormat="0" applyFill="0" applyAlignment="0" applyProtection="0"/>
    <xf numFmtId="0" fontId="240" fillId="0" borderId="20" applyNumberFormat="0" applyFill="0" applyAlignment="0" applyProtection="0">
      <alignment vertical="center"/>
    </xf>
    <xf numFmtId="0" fontId="192" fillId="0" borderId="20"/>
    <xf numFmtId="0" fontId="98" fillId="0" borderId="28" applyNumberFormat="0" applyFill="0" applyAlignment="0" applyProtection="0">
      <alignment vertical="center"/>
    </xf>
    <xf numFmtId="0" fontId="193" fillId="0" borderId="28" applyNumberFormat="0" applyFill="0" applyAlignment="0" applyProtection="0">
      <alignment vertical="center"/>
    </xf>
    <xf numFmtId="0" fontId="98" fillId="0" borderId="28" applyNumberFormat="0" applyFill="0" applyAlignment="0" applyProtection="0"/>
    <xf numFmtId="0" fontId="241" fillId="0" borderId="28" applyNumberFormat="0" applyFill="0" applyAlignment="0" applyProtection="0">
      <alignment vertical="center"/>
    </xf>
    <xf numFmtId="0" fontId="193" fillId="0" borderId="28"/>
    <xf numFmtId="0" fontId="98" fillId="0" borderId="0" applyNumberFormat="0" applyFill="0" applyBorder="0" applyAlignment="0" applyProtection="0">
      <alignment vertical="center"/>
    </xf>
    <xf numFmtId="0" fontId="193" fillId="0" borderId="0" applyNumberFormat="0" applyFill="0" applyBorder="0" applyAlignment="0" applyProtection="0">
      <alignment vertical="center"/>
    </xf>
    <xf numFmtId="0" fontId="98" fillId="0" borderId="0" applyNumberFormat="0" applyFill="0" applyBorder="0" applyAlignment="0" applyProtection="0"/>
    <xf numFmtId="0" fontId="241" fillId="0" borderId="0" applyNumberFormat="0" applyFill="0" applyBorder="0" applyAlignment="0" applyProtection="0">
      <alignment vertical="center"/>
    </xf>
    <xf numFmtId="0" fontId="193" fillId="0" borderId="0"/>
    <xf numFmtId="0" fontId="146" fillId="0" borderId="0" applyNumberFormat="0" applyFill="0" applyBorder="0" applyAlignment="0" applyProtection="0">
      <alignment vertical="center"/>
    </xf>
    <xf numFmtId="0" fontId="95" fillId="0" borderId="0" applyNumberFormat="0" applyFill="0" applyBorder="0" applyAlignment="0" applyProtection="0"/>
    <xf numFmtId="0" fontId="238" fillId="0" borderId="0" applyNumberFormat="0" applyFill="0" applyBorder="0" applyAlignment="0" applyProtection="0">
      <alignment vertical="center"/>
    </xf>
    <xf numFmtId="0" fontId="146" fillId="0" borderId="0"/>
    <xf numFmtId="0" fontId="146" fillId="0" borderId="0" applyNumberFormat="0" applyFill="0" applyBorder="0" applyAlignment="0" applyProtection="0">
      <alignment vertical="center"/>
    </xf>
    <xf numFmtId="0" fontId="99" fillId="52" borderId="18" applyNumberFormat="0" applyAlignment="0" applyProtection="0">
      <alignment vertical="center"/>
    </xf>
    <xf numFmtId="0" fontId="187" fillId="100" borderId="18" applyNumberFormat="0" applyAlignment="0" applyProtection="0">
      <alignment vertical="center"/>
    </xf>
    <xf numFmtId="0" fontId="187" fillId="52" borderId="18" applyNumberFormat="0" applyAlignment="0" applyProtection="0">
      <alignment vertical="center"/>
    </xf>
    <xf numFmtId="0" fontId="99" fillId="101" borderId="18" applyNumberFormat="0" applyAlignment="0" applyProtection="0"/>
    <xf numFmtId="0" fontId="99" fillId="100" borderId="18" applyNumberFormat="0" applyAlignment="0" applyProtection="0">
      <alignment vertical="center"/>
    </xf>
    <xf numFmtId="0" fontId="242" fillId="100" borderId="18" applyNumberFormat="0" applyAlignment="0" applyProtection="0">
      <alignment vertical="center"/>
    </xf>
    <xf numFmtId="0" fontId="187" fillId="100" borderId="18"/>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101" fillId="0" borderId="0" applyNumberFormat="0" applyFill="0" applyBorder="0" applyAlignment="0" applyProtection="0">
      <alignment vertical="center"/>
    </xf>
    <xf numFmtId="0" fontId="185"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5" fillId="0" borderId="0"/>
    <xf numFmtId="0" fontId="102" fillId="0" borderId="0" applyNumberFormat="0" applyFill="0" applyBorder="0" applyAlignment="0" applyProtection="0">
      <alignment vertical="center"/>
    </xf>
    <xf numFmtId="0" fontId="181" fillId="0" borderId="0" applyNumberFormat="0" applyFill="0" applyBorder="0" applyAlignment="0" applyProtection="0">
      <alignment vertical="center"/>
    </xf>
    <xf numFmtId="0" fontId="102" fillId="0" borderId="0" applyNumberFormat="0" applyFill="0" applyBorder="0" applyAlignment="0" applyProtection="0"/>
    <xf numFmtId="0" fontId="245" fillId="0" borderId="0" applyNumberFormat="0" applyFill="0" applyBorder="0" applyAlignment="0" applyProtection="0">
      <alignment vertical="center"/>
    </xf>
    <xf numFmtId="0" fontId="181" fillId="0" borderId="0"/>
    <xf numFmtId="0" fontId="82"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82" fillId="0" borderId="0" applyNumberFormat="0" applyFill="0" applyBorder="0" applyAlignment="0" applyProtection="0"/>
    <xf numFmtId="0" fontId="207" fillId="0" borderId="0" applyNumberFormat="0" applyFill="0" applyBorder="0" applyAlignment="0" applyProtection="0">
      <alignment vertical="center"/>
    </xf>
    <xf numFmtId="0" fontId="225"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261"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8" borderId="0" applyNumberFormat="0" applyBorder="0" applyAlignment="0" applyProtection="0">
      <alignment vertical="center"/>
    </xf>
    <xf numFmtId="0" fontId="186" fillId="94" borderId="0" applyNumberFormat="0" applyBorder="0" applyAlignment="0" applyProtection="0">
      <alignment vertical="center"/>
    </xf>
    <xf numFmtId="0" fontId="186" fillId="48" borderId="0" applyNumberFormat="0" applyBorder="0" applyAlignment="0" applyProtection="0">
      <alignment vertical="center"/>
    </xf>
    <xf numFmtId="0" fontId="89" fillId="95" borderId="0" applyNumberFormat="0" applyBorder="0" applyAlignment="0" applyProtection="0"/>
    <xf numFmtId="0" fontId="89" fillId="94" borderId="0" applyNumberFormat="0" applyBorder="0" applyAlignment="0" applyProtection="0">
      <alignment vertical="center"/>
    </xf>
    <xf numFmtId="0" fontId="233" fillId="94" borderId="0" applyNumberFormat="0" applyBorder="0" applyAlignment="0" applyProtection="0">
      <alignment vertical="center"/>
    </xf>
    <xf numFmtId="0" fontId="186" fillId="94" borderId="0"/>
    <xf numFmtId="0" fontId="89" fillId="49" borderId="0" applyNumberFormat="0" applyBorder="0" applyAlignment="0" applyProtection="0">
      <alignment vertical="center"/>
    </xf>
    <xf numFmtId="0" fontId="186" fillId="96" borderId="0" applyNumberFormat="0" applyBorder="0" applyAlignment="0" applyProtection="0">
      <alignment vertical="center"/>
    </xf>
    <xf numFmtId="0" fontId="186" fillId="49" borderId="0" applyNumberFormat="0" applyBorder="0" applyAlignment="0" applyProtection="0">
      <alignment vertical="center"/>
    </xf>
    <xf numFmtId="0" fontId="89" fillId="97" borderId="0" applyNumberFormat="0" applyBorder="0" applyAlignment="0" applyProtection="0"/>
    <xf numFmtId="0" fontId="89" fillId="96" borderId="0" applyNumberFormat="0" applyBorder="0" applyAlignment="0" applyProtection="0">
      <alignment vertical="center"/>
    </xf>
    <xf numFmtId="0" fontId="233" fillId="96" borderId="0" applyNumberFormat="0" applyBorder="0" applyAlignment="0" applyProtection="0">
      <alignment vertical="center"/>
    </xf>
    <xf numFmtId="0" fontId="186" fillId="96" borderId="0"/>
    <xf numFmtId="0" fontId="89" fillId="103" borderId="0" applyNumberFormat="0" applyBorder="0" applyAlignment="0" applyProtection="0">
      <alignment vertical="center"/>
    </xf>
    <xf numFmtId="0" fontId="186" fillId="104" borderId="0" applyNumberFormat="0" applyBorder="0" applyAlignment="0" applyProtection="0">
      <alignment vertical="center"/>
    </xf>
    <xf numFmtId="0" fontId="186" fillId="103" borderId="0" applyNumberFormat="0" applyBorder="0" applyAlignment="0" applyProtection="0">
      <alignment vertical="center"/>
    </xf>
    <xf numFmtId="0" fontId="89" fillId="105" borderId="0" applyNumberFormat="0" applyBorder="0" applyAlignment="0" applyProtection="0"/>
    <xf numFmtId="0" fontId="89" fillId="104" borderId="0" applyNumberFormat="0" applyBorder="0" applyAlignment="0" applyProtection="0">
      <alignment vertical="center"/>
    </xf>
    <xf numFmtId="0" fontId="233" fillId="104" borderId="0" applyNumberFormat="0" applyBorder="0" applyAlignment="0" applyProtection="0">
      <alignment vertical="center"/>
    </xf>
    <xf numFmtId="0" fontId="186" fillId="104"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50" borderId="0" applyNumberFormat="0" applyBorder="0" applyAlignment="0" applyProtection="0">
      <alignment vertical="center"/>
    </xf>
    <xf numFmtId="0" fontId="186" fillId="98" borderId="0" applyNumberFormat="0" applyBorder="0" applyAlignment="0" applyProtection="0">
      <alignment vertical="center"/>
    </xf>
    <xf numFmtId="0" fontId="186" fillId="50" borderId="0" applyNumberFormat="0" applyBorder="0" applyAlignment="0" applyProtection="0">
      <alignment vertical="center"/>
    </xf>
    <xf numFmtId="0" fontId="89" fillId="99" borderId="0" applyNumberFormat="0" applyBorder="0" applyAlignment="0" applyProtection="0"/>
    <xf numFmtId="0" fontId="89" fillId="98" borderId="0" applyNumberFormat="0" applyBorder="0" applyAlignment="0" applyProtection="0">
      <alignment vertical="center"/>
    </xf>
    <xf numFmtId="0" fontId="233" fillId="98" borderId="0" applyNumberFormat="0" applyBorder="0" applyAlignment="0" applyProtection="0">
      <alignment vertical="center"/>
    </xf>
    <xf numFmtId="0" fontId="186" fillId="98" borderId="0"/>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6" fillId="53" borderId="0" applyNumberFormat="0" applyBorder="0" applyAlignment="0" applyProtection="0">
      <alignment vertical="center"/>
    </xf>
    <xf numFmtId="0" fontId="283" fillId="53" borderId="0" applyNumberFormat="0" applyBorder="0" applyAlignment="0" applyProtection="0">
      <alignment vertical="center"/>
    </xf>
    <xf numFmtId="0" fontId="160" fillId="53" borderId="0" applyNumberFormat="0" applyBorder="0" applyAlignment="0" applyProtection="0">
      <alignment vertical="center"/>
    </xf>
    <xf numFmtId="0" fontId="211" fillId="53" borderId="0" applyNumberFormat="0" applyBorder="0" applyAlignment="0" applyProtection="0">
      <alignment vertical="center"/>
    </xf>
    <xf numFmtId="0" fontId="211" fillId="53" borderId="0" applyNumberFormat="0" applyBorder="0" applyAlignment="0" applyProtection="0">
      <alignment vertical="center"/>
    </xf>
    <xf numFmtId="0" fontId="283" fillId="53" borderId="0" applyNumberFormat="0" applyBorder="0" applyAlignment="0" applyProtection="0">
      <alignment vertical="center"/>
    </xf>
    <xf numFmtId="0" fontId="178" fillId="53" borderId="0" applyNumberFormat="0" applyBorder="0" applyAlignment="0" applyProtection="0">
      <alignment vertical="center"/>
    </xf>
    <xf numFmtId="0" fontId="211" fillId="53" borderId="0" applyNumberFormat="0" applyBorder="0" applyAlignment="0" applyProtection="0">
      <alignment vertical="center"/>
    </xf>
    <xf numFmtId="0" fontId="86" fillId="82" borderId="0" applyNumberFormat="0" applyBorder="0" applyAlignment="0" applyProtection="0">
      <alignment vertical="center"/>
    </xf>
    <xf numFmtId="0" fontId="86" fillId="83" borderId="0" applyNumberFormat="0" applyBorder="0" applyAlignment="0" applyProtection="0"/>
    <xf numFmtId="0" fontId="211" fillId="53" borderId="0" applyNumberFormat="0" applyBorder="0" applyAlignment="0" applyProtection="0">
      <alignment vertical="center"/>
    </xf>
    <xf numFmtId="0" fontId="229" fillId="53" borderId="0" applyNumberFormat="0" applyBorder="0" applyAlignment="0" applyProtection="0">
      <alignment vertical="center"/>
    </xf>
    <xf numFmtId="0" fontId="86" fillId="53" borderId="0" applyNumberFormat="0" applyBorder="0" applyAlignment="0" applyProtection="0">
      <alignment vertical="center"/>
    </xf>
    <xf numFmtId="0" fontId="265" fillId="53" borderId="0" applyNumberFormat="0" applyBorder="0" applyAlignment="0" applyProtection="0">
      <alignment vertical="center"/>
    </xf>
    <xf numFmtId="0" fontId="105" fillId="0" borderId="22" applyNumberFormat="0" applyFill="0" applyAlignment="0" applyProtection="0">
      <alignment vertical="center"/>
    </xf>
    <xf numFmtId="0" fontId="184" fillId="0" borderId="22" applyNumberFormat="0" applyFill="0" applyAlignment="0" applyProtection="0">
      <alignment vertical="center"/>
    </xf>
    <xf numFmtId="0" fontId="105" fillId="0" borderId="22" applyNumberFormat="0" applyFill="0" applyAlignment="0" applyProtection="0"/>
    <xf numFmtId="0" fontId="248" fillId="0" borderId="22" applyNumberFormat="0" applyFill="0" applyAlignment="0" applyProtection="0">
      <alignment vertical="center"/>
    </xf>
    <xf numFmtId="0" fontId="184" fillId="0" borderId="22"/>
    <xf numFmtId="0" fontId="87" fillId="0" borderId="22" applyNumberFormat="0" applyFill="0" applyAlignment="0" applyProtection="0">
      <alignment vertical="center"/>
    </xf>
    <xf numFmtId="0" fontId="161" fillId="0" borderId="22" applyNumberFormat="0" applyFill="0" applyAlignment="0" applyProtection="0">
      <alignment vertical="center"/>
    </xf>
    <xf numFmtId="0" fontId="212" fillId="0" borderId="22" applyNumberFormat="0" applyFill="0" applyAlignment="0" applyProtection="0">
      <alignment vertical="center"/>
    </xf>
    <xf numFmtId="0" fontId="212" fillId="0" borderId="22" applyNumberFormat="0" applyFill="0" applyAlignment="0" applyProtection="0">
      <alignment vertical="center"/>
    </xf>
    <xf numFmtId="0" fontId="284" fillId="0" borderId="22" applyNumberFormat="0" applyFill="0" applyAlignment="0" applyProtection="0">
      <alignment vertical="center"/>
    </xf>
    <xf numFmtId="0" fontId="179" fillId="0" borderId="22" applyNumberFormat="0" applyFill="0" applyAlignment="0" applyProtection="0">
      <alignment vertical="center"/>
    </xf>
    <xf numFmtId="0" fontId="212" fillId="0" borderId="22" applyNumberFormat="0" applyFill="0" applyAlignment="0" applyProtection="0">
      <alignment vertical="center"/>
    </xf>
    <xf numFmtId="0" fontId="87" fillId="0" borderId="22" applyNumberFormat="0" applyFill="0" applyAlignment="0" applyProtection="0"/>
    <xf numFmtId="0" fontId="212" fillId="0" borderId="22" applyNumberFormat="0" applyFill="0" applyAlignment="0" applyProtection="0">
      <alignment vertical="center"/>
    </xf>
    <xf numFmtId="0" fontId="230" fillId="0" borderId="22" applyNumberFormat="0" applyFill="0" applyAlignment="0" applyProtection="0">
      <alignment vertical="center"/>
    </xf>
    <xf numFmtId="0" fontId="87" fillId="0" borderId="22" applyNumberFormat="0" applyFill="0" applyAlignment="0" applyProtection="0">
      <alignment vertical="center"/>
    </xf>
    <xf numFmtId="0" fontId="266" fillId="0" borderId="22" applyNumberFormat="0" applyFill="0" applyAlignment="0" applyProtection="0">
      <alignment vertical="center"/>
    </xf>
    <xf numFmtId="0" fontId="284" fillId="0" borderId="22" applyNumberFormat="0" applyFill="0" applyAlignment="0" applyProtection="0">
      <alignment vertical="center"/>
    </xf>
    <xf numFmtId="0" fontId="51" fillId="2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9" fontId="305" fillId="0" borderId="0" applyFont="0" applyFill="0" applyBorder="0" applyAlignment="0" applyProtection="0"/>
    <xf numFmtId="0" fontId="2" fillId="0" borderId="0" applyNumberFormat="0" applyFill="0" applyBorder="0" applyAlignment="0" applyProtection="0"/>
    <xf numFmtId="0" fontId="304" fillId="0" borderId="0">
      <alignment vertical="center"/>
    </xf>
    <xf numFmtId="0" fontId="70" fillId="0" borderId="0"/>
    <xf numFmtId="0" fontId="2" fillId="0" borderId="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71" fillId="78" borderId="0" applyNumberFormat="0" applyBorder="0" applyAlignment="0" applyProtection="0">
      <alignment vertical="center"/>
    </xf>
    <xf numFmtId="0" fontId="71" fillId="72" borderId="0" applyNumberFormat="0" applyBorder="0" applyAlignment="0" applyProtection="0">
      <alignment vertical="center"/>
    </xf>
    <xf numFmtId="0" fontId="72" fillId="74" borderId="0" applyNumberFormat="0" applyBorder="0" applyAlignment="0" applyProtection="0">
      <alignment vertical="center"/>
    </xf>
    <xf numFmtId="0" fontId="79" fillId="100" borderId="18" applyNumberFormat="0" applyAlignment="0" applyProtection="0">
      <alignment vertical="center"/>
    </xf>
    <xf numFmtId="0" fontId="85" fillId="80" borderId="24" applyNumberFormat="0" applyAlignment="0" applyProtection="0">
      <alignment vertical="center"/>
    </xf>
    <xf numFmtId="0" fontId="72" fillId="76" borderId="0" applyNumberFormat="0" applyBorder="0" applyAlignment="0" applyProtection="0">
      <alignment vertical="center"/>
    </xf>
    <xf numFmtId="0" fontId="82" fillId="0" borderId="0" applyNumberFormat="0" applyFill="0" applyBorder="0" applyAlignment="0" applyProtection="0">
      <alignment vertical="center"/>
    </xf>
    <xf numFmtId="0" fontId="26" fillId="0" borderId="0"/>
    <xf numFmtId="0" fontId="86" fillId="82" borderId="0" applyNumberFormat="0" applyBorder="0" applyAlignment="0" applyProtection="0">
      <alignment vertical="center"/>
    </xf>
    <xf numFmtId="0" fontId="71" fillId="72" borderId="0" applyNumberFormat="0" applyBorder="0" applyAlignment="0" applyProtection="0">
      <alignment vertical="center"/>
    </xf>
    <xf numFmtId="0" fontId="72" fillId="90" borderId="0" applyNumberFormat="0" applyBorder="0" applyAlignment="0" applyProtection="0">
      <alignment vertical="center"/>
    </xf>
    <xf numFmtId="0" fontId="77" fillId="0" borderId="20" applyNumberFormat="0" applyFill="0" applyAlignment="0" applyProtection="0">
      <alignment vertical="center"/>
    </xf>
    <xf numFmtId="0" fontId="80" fillId="0" borderId="25" applyNumberFormat="0" applyFill="0" applyAlignment="0" applyProtection="0">
      <alignment vertical="center"/>
    </xf>
    <xf numFmtId="0" fontId="72" fillId="86" borderId="0" applyNumberFormat="0" applyBorder="0" applyAlignment="0" applyProtection="0">
      <alignment vertical="center"/>
    </xf>
    <xf numFmtId="0" fontId="72" fillId="86" borderId="0" applyNumberFormat="0" applyBorder="0" applyAlignment="0" applyProtection="0">
      <alignment vertical="center"/>
    </xf>
    <xf numFmtId="0" fontId="78" fillId="0" borderId="21" applyNumberFormat="0" applyFill="0" applyAlignment="0" applyProtection="0">
      <alignment vertical="center"/>
    </xf>
    <xf numFmtId="0" fontId="72" fillId="92" borderId="0" applyNumberFormat="0" applyBorder="0" applyAlignment="0" applyProtection="0">
      <alignment vertical="center"/>
    </xf>
    <xf numFmtId="0" fontId="71" fillId="57" borderId="0" applyNumberFormat="0" applyBorder="0" applyAlignment="0" applyProtection="0">
      <alignment vertical="center"/>
    </xf>
    <xf numFmtId="0" fontId="72" fillId="98" borderId="0" applyNumberFormat="0" applyBorder="0" applyAlignment="0" applyProtection="0">
      <alignment vertical="center"/>
    </xf>
    <xf numFmtId="0" fontId="83" fillId="80" borderId="17" applyNumberFormat="0" applyAlignment="0" applyProtection="0">
      <alignment vertical="center"/>
    </xf>
    <xf numFmtId="0" fontId="71" fillId="76" borderId="0" applyNumberFormat="0" applyBorder="0" applyAlignment="0" applyProtection="0">
      <alignment vertical="center"/>
    </xf>
    <xf numFmtId="0" fontId="76" fillId="0" borderId="19" applyNumberFormat="0" applyFill="0" applyAlignment="0" applyProtection="0">
      <alignment vertical="center"/>
    </xf>
    <xf numFmtId="0" fontId="72" fillId="88" borderId="0" applyNumberFormat="0" applyBorder="0" applyAlignment="0" applyProtection="0">
      <alignment vertical="center"/>
    </xf>
    <xf numFmtId="0" fontId="71" fillId="55" borderId="0" applyNumberFormat="0" applyBorder="0" applyAlignment="0" applyProtection="0">
      <alignment vertical="center"/>
    </xf>
    <xf numFmtId="0" fontId="84" fillId="65" borderId="17" applyNumberFormat="0" applyAlignment="0" applyProtection="0">
      <alignment vertical="center"/>
    </xf>
    <xf numFmtId="0" fontId="71" fillId="74" borderId="0" applyNumberFormat="0" applyBorder="0" applyAlignment="0" applyProtection="0">
      <alignment vertical="center"/>
    </xf>
    <xf numFmtId="0" fontId="72" fillId="94" borderId="0" applyNumberFormat="0" applyBorder="0" applyAlignment="0" applyProtection="0">
      <alignment vertical="center"/>
    </xf>
    <xf numFmtId="0" fontId="71" fillId="63" borderId="0" applyNumberFormat="0" applyBorder="0" applyAlignment="0" applyProtection="0">
      <alignment vertical="center"/>
    </xf>
    <xf numFmtId="0" fontId="75" fillId="57" borderId="0" applyNumberFormat="0" applyBorder="0" applyAlignment="0" applyProtection="0">
      <alignment vertical="center"/>
    </xf>
    <xf numFmtId="0" fontId="72" fillId="88" borderId="0" applyNumberFormat="0" applyBorder="0" applyAlignment="0" applyProtection="0">
      <alignment vertical="center"/>
    </xf>
    <xf numFmtId="0" fontId="1" fillId="70" borderId="23" applyNumberFormat="0" applyFont="0" applyAlignment="0" applyProtection="0">
      <alignment vertical="center"/>
    </xf>
    <xf numFmtId="0" fontId="72" fillId="96" borderId="0" applyNumberFormat="0" applyBorder="0" applyAlignment="0" applyProtection="0">
      <alignment vertical="center"/>
    </xf>
    <xf numFmtId="0" fontId="87" fillId="0" borderId="22" applyNumberFormat="0" applyFill="0" applyAlignment="0" applyProtection="0">
      <alignment vertical="center"/>
    </xf>
    <xf numFmtId="0" fontId="71" fillId="59" borderId="0" applyNumberFormat="0" applyBorder="0" applyAlignment="0" applyProtection="0">
      <alignment vertical="center"/>
    </xf>
    <xf numFmtId="0" fontId="78" fillId="0" borderId="0" applyNumberFormat="0" applyFill="0" applyBorder="0" applyAlignment="0" applyProtection="0">
      <alignment vertical="center"/>
    </xf>
    <xf numFmtId="0" fontId="72" fillId="84" borderId="0" applyNumberFormat="0" applyBorder="0" applyAlignment="0" applyProtection="0">
      <alignment vertical="center"/>
    </xf>
    <xf numFmtId="0" fontId="74" fillId="59" borderId="0" applyNumberFormat="0" applyBorder="0" applyAlignment="0" applyProtection="0">
      <alignment vertical="center"/>
    </xf>
    <xf numFmtId="0" fontId="71" fillId="61" borderId="0" applyNumberFormat="0" applyBorder="0" applyAlignment="0" applyProtection="0">
      <alignment vertical="center"/>
    </xf>
    <xf numFmtId="0" fontId="71" fillId="65" borderId="0" applyNumberFormat="0" applyBorder="0" applyAlignment="0" applyProtection="0">
      <alignment vertical="center"/>
    </xf>
    <xf numFmtId="0" fontId="71"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6"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70" fillId="59" borderId="0" applyNumberFormat="0" applyBorder="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2" fillId="0" borderId="0" applyNumberFormat="0" applyFill="0" applyBorder="0" applyAlignment="0" applyProtection="0">
      <alignment vertical="center"/>
    </xf>
    <xf numFmtId="0" fontId="283" fillId="82" borderId="0" applyNumberFormat="0" applyBorder="0" applyAlignment="0" applyProtection="0">
      <alignment vertical="center"/>
    </xf>
    <xf numFmtId="0" fontId="312" fillId="0" borderId="0" applyNumberFormat="0" applyFill="0" applyBorder="0" applyAlignment="0" applyProtection="0">
      <alignment vertical="center"/>
    </xf>
    <xf numFmtId="0" fontId="308" fillId="65" borderId="0" applyNumberFormat="0" applyBorder="0" applyAlignment="0" applyProtection="0">
      <alignment vertical="center"/>
    </xf>
    <xf numFmtId="0" fontId="312" fillId="0" borderId="28" applyNumberFormat="0" applyFill="0" applyAlignment="0" applyProtection="0">
      <alignment vertical="center"/>
    </xf>
    <xf numFmtId="0" fontId="308" fillId="88" borderId="0" applyNumberFormat="0" applyBorder="0" applyAlignment="0" applyProtection="0">
      <alignment vertical="center"/>
    </xf>
    <xf numFmtId="0" fontId="311" fillId="0" borderId="20" applyNumberFormat="0" applyFill="0" applyAlignment="0" applyProtection="0">
      <alignment vertical="center"/>
    </xf>
    <xf numFmtId="0" fontId="278" fillId="0" borderId="0" applyNumberFormat="0" applyFill="0" applyBorder="0" applyAlignment="0" applyProtection="0">
      <alignment vertical="center"/>
    </xf>
    <xf numFmtId="0" fontId="307" fillId="65" borderId="0" applyNumberFormat="0" applyBorder="0" applyAlignment="0" applyProtection="0">
      <alignment vertical="center"/>
    </xf>
    <xf numFmtId="0" fontId="308" fillId="80" borderId="0" applyNumberFormat="0" applyBorder="0" applyAlignment="0" applyProtection="0">
      <alignment vertical="center"/>
    </xf>
    <xf numFmtId="0" fontId="310" fillId="0" borderId="27" applyNumberFormat="0" applyFill="0" applyAlignment="0" applyProtection="0">
      <alignment vertical="center"/>
    </xf>
    <xf numFmtId="0" fontId="307" fillId="72" borderId="0" applyNumberFormat="0" applyBorder="0" applyAlignment="0" applyProtection="0">
      <alignment vertical="center"/>
    </xf>
    <xf numFmtId="0" fontId="267" fillId="78" borderId="0" applyNumberFormat="0" applyBorder="0" applyAlignment="0" applyProtection="0">
      <alignment vertical="center"/>
    </xf>
    <xf numFmtId="0" fontId="308" fillId="82" borderId="0" applyNumberFormat="0" applyBorder="0" applyAlignment="0" applyProtection="0">
      <alignment vertical="center"/>
    </xf>
    <xf numFmtId="0" fontId="307" fillId="65" borderId="0" applyNumberFormat="0" applyBorder="0" applyAlignment="0" applyProtection="0">
      <alignment vertical="center"/>
    </xf>
    <xf numFmtId="0" fontId="307" fillId="80" borderId="0" applyNumberFormat="0" applyBorder="0" applyAlignment="0" applyProtection="0">
      <alignment vertical="center"/>
    </xf>
    <xf numFmtId="0" fontId="267" fillId="72" borderId="0" applyNumberFormat="0" applyBorder="0" applyAlignment="0" applyProtection="0">
      <alignment vertical="center"/>
    </xf>
    <xf numFmtId="0" fontId="308" fillId="74" borderId="0" applyNumberFormat="0" applyBorder="0" applyAlignment="0" applyProtection="0">
      <alignment vertical="center"/>
    </xf>
    <xf numFmtId="0" fontId="314" fillId="0" borderId="26" applyNumberFormat="0" applyFill="0" applyAlignment="0" applyProtection="0">
      <alignment vertical="center"/>
    </xf>
    <xf numFmtId="0" fontId="307" fillId="82" borderId="0" applyNumberFormat="0" applyBorder="0" applyAlignment="0" applyProtection="0">
      <alignment vertical="center"/>
    </xf>
    <xf numFmtId="0" fontId="307" fillId="63" borderId="0" applyNumberFormat="0" applyBorder="0" applyAlignment="0" applyProtection="0">
      <alignment vertical="center"/>
    </xf>
    <xf numFmtId="0" fontId="267" fillId="61" borderId="0" applyNumberFormat="0" applyBorder="0" applyAlignment="0" applyProtection="0">
      <alignment vertical="center"/>
    </xf>
    <xf numFmtId="0" fontId="308" fillId="88" borderId="0" applyNumberFormat="0" applyBorder="0" applyAlignment="0" applyProtection="0">
      <alignment vertical="center"/>
    </xf>
    <xf numFmtId="0" fontId="307" fillId="74" borderId="0" applyNumberFormat="0" applyBorder="0" applyAlignment="0" applyProtection="0">
      <alignment vertical="center"/>
    </xf>
    <xf numFmtId="0" fontId="307" fillId="68" borderId="0" applyNumberFormat="0" applyBorder="0" applyAlignment="0" applyProtection="0">
      <alignment vertical="center"/>
    </xf>
    <xf numFmtId="0" fontId="267" fillId="76" borderId="0" applyNumberFormat="0" applyBorder="0" applyAlignment="0" applyProtection="0">
      <alignment vertical="center"/>
    </xf>
    <xf numFmtId="0" fontId="271" fillId="57" borderId="0" applyNumberFormat="0" applyBorder="0" applyAlignment="0" applyProtection="0">
      <alignment vertical="center"/>
    </xf>
    <xf numFmtId="0" fontId="307" fillId="80" borderId="0" applyNumberFormat="0" applyBorder="0" applyAlignment="0" applyProtection="0">
      <alignment vertical="center"/>
    </xf>
    <xf numFmtId="0" fontId="307" fillId="70" borderId="0" applyNumberFormat="0" applyBorder="0" applyAlignment="0" applyProtection="0">
      <alignment vertical="center"/>
    </xf>
    <xf numFmtId="0" fontId="267" fillId="74" borderId="0" applyNumberFormat="0" applyBorder="0" applyAlignment="0" applyProtection="0">
      <alignment vertical="center"/>
    </xf>
    <xf numFmtId="0" fontId="307" fillId="65" borderId="0" applyNumberFormat="0" applyBorder="0" applyAlignment="0" applyProtection="0">
      <alignment vertical="center"/>
    </xf>
    <xf numFmtId="0" fontId="267" fillId="72" borderId="0" applyNumberFormat="0" applyBorder="0" applyAlignment="0" applyProtection="0">
      <alignment vertical="center"/>
    </xf>
    <xf numFmtId="0" fontId="307" fillId="68" borderId="0" applyNumberFormat="0" applyBorder="0" applyAlignment="0" applyProtection="0">
      <alignment vertical="center"/>
    </xf>
    <xf numFmtId="0" fontId="323" fillId="82" borderId="0" applyNumberFormat="0" applyBorder="0" applyAlignment="0" applyProtection="0">
      <alignment vertical="center"/>
    </xf>
    <xf numFmtId="0" fontId="276" fillId="100" borderId="18" applyNumberFormat="0" applyAlignment="0" applyProtection="0">
      <alignment vertical="center"/>
    </xf>
    <xf numFmtId="0" fontId="317" fillId="100" borderId="18" applyNumberFormat="0" applyAlignment="0" applyProtection="0">
      <alignment vertical="center"/>
    </xf>
    <xf numFmtId="0" fontId="308" fillId="98" borderId="0" applyNumberFormat="0" applyBorder="0" applyAlignment="0" applyProtection="0">
      <alignment vertical="center"/>
    </xf>
    <xf numFmtId="0" fontId="308" fillId="88" borderId="0" applyNumberFormat="0" applyBorder="0" applyAlignment="0" applyProtection="0">
      <alignment vertical="center"/>
    </xf>
    <xf numFmtId="0" fontId="308" fillId="104" borderId="0" applyNumberFormat="0" applyBorder="0" applyAlignment="0" applyProtection="0">
      <alignment vertical="center"/>
    </xf>
    <xf numFmtId="0" fontId="308" fillId="96" borderId="0" applyNumberFormat="0" applyBorder="0" applyAlignment="0" applyProtection="0">
      <alignment vertical="center"/>
    </xf>
    <xf numFmtId="0" fontId="308" fillId="94" borderId="0" applyNumberFormat="0" applyBorder="0" applyAlignment="0" applyProtection="0">
      <alignment vertical="center"/>
    </xf>
    <xf numFmtId="0" fontId="308" fillId="88" borderId="0" applyNumberFormat="0" applyBorder="0" applyAlignment="0" applyProtection="0">
      <alignment vertical="center"/>
    </xf>
    <xf numFmtId="0" fontId="315" fillId="57" borderId="0" applyNumberFormat="0" applyBorder="0" applyAlignment="0" applyProtection="0">
      <alignment vertical="center"/>
    </xf>
    <xf numFmtId="0" fontId="277" fillId="0" borderId="25" applyNumberFormat="0" applyFill="0" applyAlignment="0" applyProtection="0">
      <alignment vertical="center"/>
    </xf>
    <xf numFmtId="0" fontId="268" fillId="90" borderId="0" applyNumberFormat="0" applyBorder="0" applyAlignment="0" applyProtection="0">
      <alignment vertical="center"/>
    </xf>
    <xf numFmtId="0" fontId="268" fillId="88" borderId="0" applyNumberFormat="0" applyBorder="0" applyAlignment="0" applyProtection="0">
      <alignment vertical="center"/>
    </xf>
    <xf numFmtId="0" fontId="322" fillId="0" borderId="0" applyNumberFormat="0" applyFill="0" applyBorder="0" applyAlignment="0" applyProtection="0">
      <alignment vertical="center"/>
    </xf>
    <xf numFmtId="0" fontId="268" fillId="86" borderId="0" applyNumberFormat="0" applyBorder="0" applyAlignment="0" applyProtection="0">
      <alignment vertical="center"/>
    </xf>
    <xf numFmtId="0" fontId="319" fillId="0" borderId="22" applyNumberFormat="0" applyFill="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68" fillId="74" borderId="0" applyNumberFormat="0" applyBorder="0" applyAlignment="0" applyProtection="0">
      <alignment vertical="center"/>
    </xf>
    <xf numFmtId="0" fontId="275"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68" fillId="84" borderId="0" applyNumberFormat="0" applyBorder="0" applyAlignment="0" applyProtection="0">
      <alignment vertical="center"/>
    </xf>
    <xf numFmtId="0" fontId="275" fillId="0" borderId="21" applyNumberFormat="0" applyFill="0" applyAlignment="0" applyProtection="0">
      <alignment vertical="center"/>
    </xf>
    <xf numFmtId="0" fontId="274" fillId="0" borderId="20" applyNumberFormat="0" applyFill="0" applyAlignment="0" applyProtection="0">
      <alignment vertical="center"/>
    </xf>
    <xf numFmtId="0" fontId="273" fillId="0" borderId="19" applyNumberFormat="0" applyFill="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68" fillId="98" borderId="0" applyNumberFormat="0" applyBorder="0" applyAlignment="0" applyProtection="0">
      <alignment vertical="center"/>
    </xf>
    <xf numFmtId="0" fontId="268" fillId="88" borderId="0" applyNumberFormat="0" applyBorder="0" applyAlignment="0" applyProtection="0">
      <alignment vertical="center"/>
    </xf>
    <xf numFmtId="0" fontId="309" fillId="0" borderId="0" applyNumberFormat="0" applyFill="0" applyBorder="0" applyAlignment="0" applyProtection="0">
      <alignment vertical="center"/>
    </xf>
    <xf numFmtId="0" fontId="268" fillId="86" borderId="0" applyNumberFormat="0" applyBorder="0" applyAlignment="0" applyProtection="0">
      <alignment vertical="center"/>
    </xf>
    <xf numFmtId="0" fontId="268" fillId="96" borderId="0" applyNumberFormat="0" applyBorder="0" applyAlignment="0" applyProtection="0">
      <alignment vertical="center"/>
    </xf>
    <xf numFmtId="0" fontId="267" fillId="65" borderId="0" applyNumberFormat="0" applyBorder="0" applyAlignment="0" applyProtection="0">
      <alignment vertical="center"/>
    </xf>
    <xf numFmtId="0" fontId="284" fillId="0" borderId="22" applyNumberFormat="0" applyFill="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68" fillId="92" borderId="0" applyNumberFormat="0" applyBorder="0" applyAlignment="0" applyProtection="0">
      <alignment vertical="center"/>
    </xf>
    <xf numFmtId="0" fontId="267" fillId="61" borderId="0" applyNumberFormat="0" applyBorder="0" applyAlignment="0" applyProtection="0">
      <alignment vertical="center"/>
    </xf>
    <xf numFmtId="0" fontId="267" fillId="59" borderId="0" applyNumberFormat="0" applyBorder="0" applyAlignment="0" applyProtection="0">
      <alignment vertical="center"/>
    </xf>
    <xf numFmtId="0" fontId="281" fillId="65" borderId="17" applyNumberFormat="0" applyAlignment="0" applyProtection="0">
      <alignment vertical="center"/>
    </xf>
    <xf numFmtId="0" fontId="267" fillId="57" borderId="0" applyNumberFormat="0" applyBorder="0" applyAlignment="0" applyProtection="0">
      <alignment vertical="center"/>
    </xf>
    <xf numFmtId="0" fontId="267" fillId="55" borderId="0" applyNumberFormat="0" applyBorder="0" applyAlignment="0" applyProtection="0">
      <alignment vertical="center"/>
    </xf>
    <xf numFmtId="0" fontId="313" fillId="59" borderId="0" applyNumberFormat="0" applyBorder="0" applyAlignment="0" applyProtection="0">
      <alignment vertical="center"/>
    </xf>
    <xf numFmtId="0" fontId="318"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1" fillId="0" borderId="0"/>
    <xf numFmtId="0" fontId="121"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8" fillId="0" borderId="0"/>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121" fillId="0" borderId="0" applyNumberFormat="0" applyFill="0" applyBorder="0" applyAlignment="0" applyProtection="0">
      <alignment vertical="top"/>
      <protection locked="0"/>
    </xf>
    <xf numFmtId="0" fontId="324" fillId="0" borderId="0"/>
    <xf numFmtId="0" fontId="71" fillId="37" borderId="0" applyNumberFormat="0" applyBorder="0" applyAlignment="0" applyProtection="0">
      <alignment vertical="center"/>
    </xf>
    <xf numFmtId="0" fontId="87" fillId="0" borderId="22" applyNumberFormat="0" applyFill="0" applyAlignment="0" applyProtection="0">
      <alignment vertical="center"/>
    </xf>
    <xf numFmtId="0" fontId="268" fillId="41" borderId="0" applyNumberFormat="0" applyBorder="0" applyAlignment="0" applyProtection="0">
      <alignment vertical="center"/>
    </xf>
    <xf numFmtId="0" fontId="270" fillId="35" borderId="0" applyNumberFormat="0" applyBorder="0" applyAlignment="0" applyProtection="0">
      <alignment vertical="center"/>
    </xf>
    <xf numFmtId="0" fontId="268" fillId="47" borderId="0" applyNumberFormat="0" applyBorder="0" applyAlignment="0" applyProtection="0">
      <alignment vertical="center"/>
    </xf>
    <xf numFmtId="0" fontId="274" fillId="0" borderId="20" applyNumberFormat="0" applyFill="0" applyAlignment="0" applyProtection="0">
      <alignment vertical="center"/>
    </xf>
    <xf numFmtId="0" fontId="71" fillId="33" borderId="0" applyNumberFormat="0" applyBorder="0" applyAlignment="0" applyProtection="0">
      <alignment vertical="center"/>
    </xf>
    <xf numFmtId="0" fontId="71" fillId="34" borderId="0" applyNumberFormat="0" applyBorder="0" applyAlignment="0" applyProtection="0">
      <alignment vertical="center"/>
    </xf>
    <xf numFmtId="0" fontId="71" fillId="38" borderId="0" applyNumberFormat="0" applyBorder="0" applyAlignment="0" applyProtection="0">
      <alignment vertical="center"/>
    </xf>
    <xf numFmtId="0" fontId="71" fillId="39"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2" fillId="43" borderId="0" applyNumberFormat="0" applyBorder="0" applyAlignment="0" applyProtection="0">
      <alignment vertical="center"/>
    </xf>
    <xf numFmtId="0" fontId="72" fillId="40" borderId="0" applyNumberFormat="0" applyBorder="0" applyAlignment="0" applyProtection="0">
      <alignment vertical="center"/>
    </xf>
    <xf numFmtId="0" fontId="72" fillId="41" borderId="0" applyNumberFormat="0" applyBorder="0" applyAlignment="0" applyProtection="0">
      <alignment vertical="center"/>
    </xf>
    <xf numFmtId="0" fontId="72" fillId="44" borderId="0" applyNumberFormat="0" applyBorder="0" applyAlignment="0" applyProtection="0">
      <alignment vertical="center"/>
    </xf>
    <xf numFmtId="0" fontId="35"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5" fillId="34" borderId="0" applyNumberFormat="0" applyBorder="0" applyAlignment="0" applyProtection="0">
      <alignment vertical="center"/>
    </xf>
    <xf numFmtId="0" fontId="74" fillId="35" borderId="0" applyNumberFormat="0" applyBorder="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79" fillId="52" borderId="18" applyNumberFormat="0" applyAlignment="0" applyProtection="0">
      <alignment vertical="center"/>
    </xf>
    <xf numFmtId="0" fontId="82" fillId="0" borderId="0" applyNumberFormat="0" applyFill="0" applyBorder="0" applyAlignment="0" applyProtection="0">
      <alignment vertical="center"/>
    </xf>
    <xf numFmtId="0" fontId="72" fillId="49" borderId="0" applyNumberFormat="0" applyBorder="0" applyAlignment="0" applyProtection="0">
      <alignment vertical="center"/>
    </xf>
    <xf numFmtId="0" fontId="72" fillId="44" borderId="0" applyNumberFormat="0" applyBorder="0" applyAlignment="0" applyProtection="0">
      <alignment vertical="center"/>
    </xf>
    <xf numFmtId="0" fontId="72" fillId="45" borderId="0" applyNumberFormat="0" applyBorder="0" applyAlignment="0" applyProtection="0">
      <alignment vertical="center"/>
    </xf>
    <xf numFmtId="0" fontId="84" fillId="38" borderId="17" applyNumberFormat="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7"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7" fillId="42"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1" fillId="34" borderId="0" applyNumberFormat="0" applyBorder="0" applyAlignment="0" applyProtection="0">
      <alignment vertical="center"/>
    </xf>
    <xf numFmtId="0" fontId="268" fillId="48" borderId="0" applyNumberFormat="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50" borderId="0" applyNumberFormat="0" applyBorder="0" applyAlignment="0" applyProtection="0">
      <alignment vertical="center"/>
    </xf>
    <xf numFmtId="0" fontId="275" fillId="0" borderId="21" applyNumberFormat="0" applyFill="0" applyAlignment="0" applyProtection="0">
      <alignment vertical="center"/>
    </xf>
    <xf numFmtId="0" fontId="275"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3" fillId="53" borderId="0" applyNumberFormat="0" applyBorder="0" applyAlignment="0" applyProtection="0">
      <alignment vertical="center"/>
    </xf>
    <xf numFmtId="0" fontId="71" fillId="42" borderId="0" applyNumberFormat="0" applyBorder="0" applyAlignment="0" applyProtection="0">
      <alignment vertical="center"/>
    </xf>
    <xf numFmtId="0" fontId="77" fillId="0" borderId="20" applyNumberFormat="0" applyFill="0" applyAlignment="0" applyProtection="0">
      <alignment vertical="center"/>
    </xf>
    <xf numFmtId="0" fontId="86" fillId="53" borderId="0" applyNumberFormat="0" applyBorder="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 fillId="0" borderId="0"/>
    <xf numFmtId="0" fontId="71" fillId="35" borderId="0" applyNumberFormat="0" applyBorder="0" applyAlignment="0" applyProtection="0">
      <alignment vertical="center"/>
    </xf>
    <xf numFmtId="0" fontId="71" fillId="36" borderId="0" applyNumberFormat="0" applyBorder="0" applyAlignment="0" applyProtection="0">
      <alignment vertical="center"/>
    </xf>
    <xf numFmtId="0" fontId="71" fillId="36" borderId="0" applyNumberFormat="0" applyBorder="0" applyAlignment="0" applyProtection="0">
      <alignment vertical="center"/>
    </xf>
    <xf numFmtId="0" fontId="71" fillId="39" borderId="0" applyNumberFormat="0" applyBorder="0" applyAlignment="0" applyProtection="0">
      <alignment vertical="center"/>
    </xf>
    <xf numFmtId="0" fontId="72" fillId="45" borderId="0" applyNumberFormat="0" applyBorder="0" applyAlignment="0" applyProtection="0">
      <alignment vertical="center"/>
    </xf>
    <xf numFmtId="0" fontId="72" fillId="46" borderId="0" applyNumberFormat="0" applyBorder="0" applyAlignment="0" applyProtection="0">
      <alignment vertical="center"/>
    </xf>
    <xf numFmtId="0" fontId="76" fillId="0" borderId="19" applyNumberFormat="0" applyFill="0" applyAlignment="0" applyProtection="0">
      <alignment vertical="center"/>
    </xf>
    <xf numFmtId="0" fontId="78" fillId="0" borderId="21" applyNumberFormat="0" applyFill="0" applyAlignment="0" applyProtection="0">
      <alignment vertical="center"/>
    </xf>
    <xf numFmtId="0" fontId="81" fillId="0" borderId="0" applyNumberFormat="0" applyFill="0" applyBorder="0" applyAlignment="0" applyProtection="0">
      <alignment vertical="center"/>
    </xf>
    <xf numFmtId="0" fontId="72" fillId="47" borderId="0" applyNumberFormat="0" applyBorder="0" applyAlignment="0" applyProtection="0">
      <alignment vertical="center"/>
    </xf>
    <xf numFmtId="0" fontId="72" fillId="48" borderId="0" applyNumberFormat="0" applyBorder="0" applyAlignment="0" applyProtection="0">
      <alignment vertical="center"/>
    </xf>
    <xf numFmtId="0" fontId="72" fillId="50" borderId="0" applyNumberFormat="0" applyBorder="0" applyAlignment="0" applyProtection="0">
      <alignment vertical="center"/>
    </xf>
    <xf numFmtId="0" fontId="85" fillId="51" borderId="24" applyNumberFormat="0" applyAlignment="0" applyProtection="0">
      <alignment vertical="center"/>
    </xf>
    <xf numFmtId="0" fontId="272" fillId="0" borderId="0" applyNumberFormat="0" applyFill="0" applyBorder="0" applyAlignment="0" applyProtection="0">
      <alignment vertical="center"/>
    </xf>
    <xf numFmtId="0" fontId="273" fillId="0" borderId="19" applyNumberFormat="0" applyFill="0" applyAlignment="0" applyProtection="0">
      <alignment vertical="center"/>
    </xf>
    <xf numFmtId="0" fontId="276" fillId="52" borderId="18" applyNumberFormat="0" applyAlignment="0" applyProtection="0">
      <alignment vertical="center"/>
    </xf>
    <xf numFmtId="0" fontId="277" fillId="0" borderId="25" applyNumberFormat="0" applyFill="0" applyAlignment="0" applyProtection="0">
      <alignment vertical="center"/>
    </xf>
    <xf numFmtId="0" fontId="284" fillId="0" borderId="22"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114" fillId="80" borderId="17" applyNumberFormat="0" applyAlignment="0" applyProtection="0"/>
    <xf numFmtId="0" fontId="114" fillId="80" borderId="17" applyNumberFormat="0" applyAlignment="0" applyProtection="0"/>
    <xf numFmtId="0" fontId="26" fillId="0" borderId="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232" fillId="69" borderId="0"/>
    <xf numFmtId="0" fontId="232" fillId="66" borderId="0"/>
    <xf numFmtId="0" fontId="232" fillId="71" borderId="0"/>
    <xf numFmtId="0" fontId="232" fillId="69" borderId="0"/>
    <xf numFmtId="0" fontId="232" fillId="64" borderId="0"/>
    <xf numFmtId="0" fontId="232" fillId="66" borderId="0"/>
    <xf numFmtId="0" fontId="71" fillId="60" borderId="0"/>
    <xf numFmtId="0" fontId="71" fillId="75" borderId="0"/>
    <xf numFmtId="0" fontId="71" fillId="77" borderId="0"/>
    <xf numFmtId="0" fontId="71" fillId="62" borderId="0"/>
    <xf numFmtId="0" fontId="71" fillId="73" borderId="0"/>
    <xf numFmtId="0" fontId="71" fillId="79" borderId="0"/>
    <xf numFmtId="0" fontId="232" fillId="81" borderId="0"/>
    <xf numFmtId="0" fontId="71" fillId="73" borderId="0"/>
    <xf numFmtId="0" fontId="71" fillId="62" borderId="0"/>
    <xf numFmtId="0" fontId="71" fillId="56" borderId="0"/>
    <xf numFmtId="0" fontId="71" fillId="58" borderId="0"/>
    <xf numFmtId="0" fontId="71" fillId="64" borderId="0"/>
    <xf numFmtId="0" fontId="1" fillId="79" borderId="0"/>
    <xf numFmtId="0" fontId="232" fillId="75" borderId="0"/>
    <xf numFmtId="0" fontId="71" fillId="66" borderId="0"/>
    <xf numFmtId="0" fontId="232" fillId="83" borderId="0"/>
    <xf numFmtId="0" fontId="232" fillId="81" borderId="0"/>
    <xf numFmtId="0" fontId="232" fillId="73" borderId="0"/>
    <xf numFmtId="0" fontId="232" fillId="66" borderId="0"/>
    <xf numFmtId="0" fontId="72" fillId="85" borderId="0"/>
    <xf numFmtId="0" fontId="72" fillId="75" borderId="0"/>
    <xf numFmtId="0" fontId="72" fillId="77" borderId="0"/>
    <xf numFmtId="0" fontId="72" fillId="87" borderId="0"/>
    <xf numFmtId="0" fontId="72" fillId="89" borderId="0"/>
    <xf numFmtId="0" fontId="72" fillId="91" borderId="0"/>
    <xf numFmtId="0" fontId="233" fillId="89" borderId="0"/>
    <xf numFmtId="0" fontId="233" fillId="75" borderId="0"/>
    <xf numFmtId="0" fontId="233" fillId="83" borderId="0"/>
    <xf numFmtId="0" fontId="233" fillId="81" borderId="0"/>
    <xf numFmtId="0" fontId="233" fillId="89" borderId="0"/>
    <xf numFmtId="0" fontId="233"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20" fillId="97" borderId="0"/>
    <xf numFmtId="0" fontId="120" fillId="87" borderId="0"/>
    <xf numFmtId="0" fontId="120" fillId="89" borderId="0"/>
    <xf numFmtId="0" fontId="120" fillId="99" borderId="0"/>
    <xf numFmtId="0" fontId="111" fillId="58" borderId="0"/>
    <xf numFmtId="0" fontId="116" fillId="101" borderId="18"/>
    <xf numFmtId="0" fontId="118" fillId="0" borderId="0"/>
    <xf numFmtId="0" fontId="110" fillId="60" borderId="0"/>
    <xf numFmtId="0" fontId="107" fillId="0" borderId="19"/>
    <xf numFmtId="0" fontId="1" fillId="73" borderId="0"/>
    <xf numFmtId="0" fontId="120" fillId="75" borderId="0"/>
    <xf numFmtId="0" fontId="1" fillId="62" borderId="0"/>
    <xf numFmtId="0" fontId="120" fillId="85" borderId="0"/>
    <xf numFmtId="0" fontId="1" fillId="75" borderId="0"/>
    <xf numFmtId="0" fontId="1" fillId="77" borderId="0"/>
    <xf numFmtId="0" fontId="114" fillId="81" borderId="17"/>
    <xf numFmtId="0" fontId="120" fillId="77" borderId="0"/>
    <xf numFmtId="0" fontId="120" fillId="87" borderId="0"/>
    <xf numFmtId="0" fontId="120" fillId="89" borderId="0"/>
    <xf numFmtId="0" fontId="120" fillId="91" borderId="0"/>
    <xf numFmtId="0" fontId="120" fillId="93" borderId="0"/>
    <xf numFmtId="0" fontId="120" fillId="95" borderId="0"/>
    <xf numFmtId="0" fontId="1" fillId="66" borderId="0"/>
    <xf numFmtId="0" fontId="108" fillId="0" borderId="20"/>
    <xf numFmtId="0" fontId="109" fillId="0" borderId="21"/>
    <xf numFmtId="0" fontId="109" fillId="0" borderId="0"/>
    <xf numFmtId="0" fontId="112" fillId="66" borderId="17"/>
    <xf numFmtId="0" fontId="115" fillId="0" borderId="22"/>
    <xf numFmtId="0" fontId="180" fillId="83" borderId="0"/>
    <xf numFmtId="0" fontId="1" fillId="0" borderId="0"/>
    <xf numFmtId="0" fontId="1" fillId="71" borderId="23"/>
    <xf numFmtId="0" fontId="113" fillId="81" borderId="24"/>
    <xf numFmtId="0" fontId="140" fillId="0" borderId="0"/>
    <xf numFmtId="0" fontId="119" fillId="0" borderId="25"/>
    <xf numFmtId="0" fontId="117" fillId="0" borderId="0"/>
    <xf numFmtId="0" fontId="234" fillId="83" borderId="0"/>
    <xf numFmtId="0" fontId="1" fillId="71" borderId="23"/>
    <xf numFmtId="0" fontId="235" fillId="0" borderId="26"/>
    <xf numFmtId="0" fontId="236" fillId="58" borderId="0"/>
    <xf numFmtId="0" fontId="74" fillId="60" borderId="0"/>
    <xf numFmtId="0" fontId="237" fillId="60" borderId="0"/>
    <xf numFmtId="0" fontId="75" fillId="58" borderId="0"/>
    <xf numFmtId="0" fontId="72" fillId="93" borderId="0"/>
    <xf numFmtId="0" fontId="72" fillId="95" borderId="0"/>
    <xf numFmtId="0" fontId="72" fillId="97" borderId="0"/>
    <xf numFmtId="0" fontId="72" fillId="87" borderId="0"/>
    <xf numFmtId="0" fontId="72" fillId="89" borderId="0"/>
    <xf numFmtId="0" fontId="72" fillId="99" borderId="0"/>
    <xf numFmtId="0" fontId="35" fillId="0" borderId="0"/>
    <xf numFmtId="0" fontId="76" fillId="0" borderId="19"/>
    <xf numFmtId="0" fontId="77" fillId="0" borderId="20"/>
    <xf numFmtId="0" fontId="78" fillId="0" borderId="21"/>
    <xf numFmtId="0" fontId="78" fillId="0" borderId="0"/>
    <xf numFmtId="0" fontId="79" fillId="101" borderId="18"/>
    <xf numFmtId="0" fontId="238" fillId="0" borderId="0"/>
    <xf numFmtId="0" fontId="239" fillId="0" borderId="27"/>
    <xf numFmtId="0" fontId="240" fillId="0" borderId="20"/>
    <xf numFmtId="0" fontId="241" fillId="0" borderId="28"/>
    <xf numFmtId="0" fontId="241" fillId="0" borderId="0"/>
    <xf numFmtId="0" fontId="242" fillId="101" borderId="18"/>
    <xf numFmtId="0" fontId="80" fillId="0" borderId="25"/>
    <xf numFmtId="0" fontId="1" fillId="71" borderId="23"/>
    <xf numFmtId="0" fontId="81" fillId="0" borderId="0"/>
    <xf numFmtId="0" fontId="243" fillId="69" borderId="17"/>
    <xf numFmtId="0" fontId="244" fillId="0" borderId="0"/>
    <xf numFmtId="0" fontId="245" fillId="0" borderId="0"/>
    <xf numFmtId="0" fontId="82" fillId="0" borderId="0"/>
    <xf numFmtId="0" fontId="83" fillId="81" borderId="17"/>
    <xf numFmtId="0" fontId="233" fillId="89" borderId="0"/>
    <xf numFmtId="0" fontId="233" fillId="95" borderId="0"/>
    <xf numFmtId="0" fontId="233" fillId="97" borderId="0"/>
    <xf numFmtId="0" fontId="233" fillId="105" borderId="0"/>
    <xf numFmtId="0" fontId="233" fillId="89" borderId="0"/>
    <xf numFmtId="0" fontId="233" fillId="99" borderId="0"/>
    <xf numFmtId="0" fontId="246" fillId="66" borderId="17"/>
    <xf numFmtId="0" fontId="247" fillId="69" borderId="24"/>
    <xf numFmtId="0" fontId="84" fillId="66" borderId="17"/>
    <xf numFmtId="0" fontId="85" fillId="81" borderId="24"/>
    <xf numFmtId="0" fontId="86" fillId="83" borderId="0"/>
    <xf numFmtId="0" fontId="248" fillId="0" borderId="22"/>
    <xf numFmtId="0" fontId="87" fillId="0" borderId="22"/>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2" fillId="0" borderId="0"/>
    <xf numFmtId="0" fontId="1" fillId="0" borderId="0"/>
    <xf numFmtId="0" fontId="1" fillId="70" borderId="23" applyNumberFormat="0" applyFont="0" applyAlignment="0" applyProtection="0">
      <alignment vertical="center"/>
    </xf>
    <xf numFmtId="9" fontId="1" fillId="0" borderId="0" applyFont="0" applyFill="0" applyBorder="0" applyAlignment="0" applyProtection="0"/>
    <xf numFmtId="0" fontId="1" fillId="70" borderId="23" applyNumberFormat="0" applyFont="0" applyAlignment="0" applyProtection="0">
      <alignment vertical="center"/>
    </xf>
    <xf numFmtId="9" fontId="1" fillId="0" borderId="0" applyFont="0" applyFill="0" applyBorder="0" applyAlignment="0" applyProtection="0"/>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73" fillId="0" borderId="0"/>
    <xf numFmtId="9" fontId="73" fillId="0" borderId="0" applyFont="0" applyFill="0" applyBorder="0" applyAlignment="0" applyProtection="0"/>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30" fillId="0" borderId="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47" fillId="55" borderId="0" applyNumberFormat="0" applyBorder="0" applyAlignment="0" applyProtection="0">
      <alignment vertical="center"/>
    </xf>
    <xf numFmtId="0" fontId="147" fillId="56" borderId="0" applyNumberFormat="0" applyBorder="0" applyAlignment="0" applyProtection="0"/>
    <xf numFmtId="0" fontId="147" fillId="33"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xf numFmtId="0" fontId="147" fillId="34" borderId="0" applyNumberFormat="0" applyBorder="0" applyAlignment="0" applyProtection="0">
      <alignment vertical="center"/>
    </xf>
    <xf numFmtId="0" fontId="147" fillId="59" borderId="0" applyNumberFormat="0" applyBorder="0" applyAlignment="0" applyProtection="0">
      <alignment vertical="center"/>
    </xf>
    <xf numFmtId="0" fontId="147" fillId="60" borderId="0" applyNumberFormat="0" applyBorder="0" applyAlignment="0" applyProtection="0"/>
    <xf numFmtId="0" fontId="147" fillId="35"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63" borderId="0" applyNumberFormat="0" applyBorder="0" applyAlignment="0" applyProtection="0">
      <alignment vertical="center"/>
    </xf>
    <xf numFmtId="0" fontId="147" fillId="64" borderId="0" applyNumberFormat="0" applyBorder="0" applyAlignment="0" applyProtection="0"/>
    <xf numFmtId="0" fontId="147" fillId="37"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xf numFmtId="0" fontId="147" fillId="38" borderId="0" applyNumberFormat="0" applyBorder="0" applyAlignment="0" applyProtection="0">
      <alignment vertical="center"/>
    </xf>
    <xf numFmtId="0" fontId="325" fillId="68" borderId="0" applyNumberFormat="0" applyBorder="0" applyAlignment="0" applyProtection="0">
      <alignment vertical="center"/>
    </xf>
    <xf numFmtId="0" fontId="325" fillId="65" borderId="0" applyNumberFormat="0" applyBorder="0" applyAlignment="0" applyProtection="0">
      <alignment vertical="center"/>
    </xf>
    <xf numFmtId="0" fontId="325" fillId="70" borderId="0" applyNumberFormat="0" applyBorder="0" applyAlignment="0" applyProtection="0">
      <alignment vertical="center"/>
    </xf>
    <xf numFmtId="0" fontId="325" fillId="68" borderId="0" applyNumberFormat="0" applyBorder="0" applyAlignment="0" applyProtection="0">
      <alignment vertical="center"/>
    </xf>
    <xf numFmtId="0" fontId="325" fillId="63" borderId="0" applyNumberFormat="0" applyBorder="0" applyAlignment="0" applyProtection="0">
      <alignment vertical="center"/>
    </xf>
    <xf numFmtId="0" fontId="325" fillId="65"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8" borderId="0" applyNumberFormat="0" applyBorder="0" applyAlignment="0" applyProtection="0">
      <alignment vertical="center"/>
    </xf>
    <xf numFmtId="0" fontId="147" fillId="79" borderId="0" applyNumberFormat="0" applyBorder="0" applyAlignment="0" applyProtection="0"/>
    <xf numFmtId="0" fontId="147" fillId="42" borderId="0" applyNumberFormat="0" applyBorder="0" applyAlignment="0" applyProtection="0">
      <alignment vertical="center"/>
    </xf>
    <xf numFmtId="0" fontId="325" fillId="80"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72" borderId="0" applyNumberFormat="0" applyBorder="0" applyAlignment="0" applyProtection="0">
      <alignment vertical="center"/>
    </xf>
    <xf numFmtId="0" fontId="325" fillId="65" borderId="0" applyNumberFormat="0" applyBorder="0" applyAlignment="0" applyProtection="0">
      <alignment vertical="center"/>
    </xf>
    <xf numFmtId="0" fontId="148" fillId="84" borderId="0" applyNumberFormat="0" applyBorder="0" applyAlignment="0" applyProtection="0">
      <alignment vertical="center"/>
    </xf>
    <xf numFmtId="0" fontId="148" fillId="85" borderId="0" applyNumberFormat="0" applyBorder="0" applyAlignment="0" applyProtection="0"/>
    <xf numFmtId="0" fontId="148" fillId="43" borderId="0" applyNumberFormat="0" applyBorder="0" applyAlignment="0" applyProtection="0">
      <alignment vertical="center"/>
    </xf>
    <xf numFmtId="0" fontId="148" fillId="74" borderId="0" applyNumberFormat="0" applyBorder="0" applyAlignment="0" applyProtection="0">
      <alignment vertical="center"/>
    </xf>
    <xf numFmtId="0" fontId="148" fillId="75" borderId="0" applyNumberFormat="0" applyBorder="0" applyAlignment="0" applyProtection="0"/>
    <xf numFmtId="0" fontId="148" fillId="40" borderId="0" applyNumberFormat="0" applyBorder="0" applyAlignment="0" applyProtection="0">
      <alignment vertical="center"/>
    </xf>
    <xf numFmtId="0" fontId="148" fillId="76" borderId="0" applyNumberFormat="0" applyBorder="0" applyAlignment="0" applyProtection="0">
      <alignment vertical="center"/>
    </xf>
    <xf numFmtId="0" fontId="148" fillId="77" borderId="0" applyNumberFormat="0" applyBorder="0" applyAlignment="0" applyProtection="0"/>
    <xf numFmtId="0" fontId="148" fillId="41"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0" borderId="0" applyNumberFormat="0" applyBorder="0" applyAlignment="0" applyProtection="0">
      <alignment vertical="center"/>
    </xf>
    <xf numFmtId="0" fontId="148" fillId="91" borderId="0" applyNumberFormat="0" applyBorder="0" applyAlignment="0" applyProtection="0"/>
    <xf numFmtId="0" fontId="148" fillId="46" borderId="0" applyNumberFormat="0" applyBorder="0" applyAlignment="0" applyProtection="0">
      <alignment vertical="center"/>
    </xf>
    <xf numFmtId="0" fontId="326" fillId="88" borderId="0" applyNumberFormat="0" applyBorder="0" applyAlignment="0" applyProtection="0">
      <alignment vertical="center"/>
    </xf>
    <xf numFmtId="0" fontId="326" fillId="74" borderId="0" applyNumberFormat="0" applyBorder="0" applyAlignment="0" applyProtection="0">
      <alignment vertical="center"/>
    </xf>
    <xf numFmtId="0" fontId="326" fillId="82" borderId="0" applyNumberFormat="0" applyBorder="0" applyAlignment="0" applyProtection="0">
      <alignment vertical="center"/>
    </xf>
    <xf numFmtId="0" fontId="326" fillId="80" borderId="0" applyNumberFormat="0" applyBorder="0" applyAlignment="0" applyProtection="0">
      <alignment vertical="center"/>
    </xf>
    <xf numFmtId="0" fontId="326" fillId="88" borderId="0" applyNumberFormat="0" applyBorder="0" applyAlignment="0" applyProtection="0">
      <alignment vertical="center"/>
    </xf>
    <xf numFmtId="0" fontId="326" fillId="65" borderId="0" applyNumberFormat="0" applyBorder="0" applyAlignment="0" applyProtection="0">
      <alignment vertical="center"/>
    </xf>
    <xf numFmtId="0" fontId="149" fillId="0" borderId="0">
      <alignment vertical="center"/>
    </xf>
    <xf numFmtId="0" fontId="149" fillId="0" borderId="0">
      <alignment vertical="center"/>
    </xf>
    <xf numFmtId="0" fontId="149" fillId="0" borderId="0">
      <alignment vertical="center"/>
    </xf>
    <xf numFmtId="0" fontId="327" fillId="82" borderId="0" applyNumberFormat="0" applyBorder="0" applyAlignment="0" applyProtection="0">
      <alignment vertical="center"/>
    </xf>
    <xf numFmtId="0" fontId="328" fillId="0" borderId="26" applyNumberFormat="0" applyFill="0" applyAlignment="0" applyProtection="0">
      <alignment vertical="center"/>
    </xf>
    <xf numFmtId="0" fontId="329" fillId="57" borderId="0" applyNumberFormat="0" applyBorder="0" applyAlignment="0" applyProtection="0">
      <alignment vertical="center"/>
    </xf>
    <xf numFmtId="0" fontId="141" fillId="59" borderId="0" applyNumberFormat="0" applyBorder="0" applyAlignment="0" applyProtection="0">
      <alignment vertical="center"/>
    </xf>
    <xf numFmtId="0" fontId="141" fillId="60" borderId="0" applyNumberFormat="0" applyBorder="0" applyAlignment="0" applyProtection="0"/>
    <xf numFmtId="0" fontId="141" fillId="35" borderId="0" applyNumberFormat="0" applyBorder="0" applyAlignment="0" applyProtection="0">
      <alignment vertical="center"/>
    </xf>
    <xf numFmtId="0" fontId="330" fillId="59" borderId="0" applyNumberFormat="0" applyBorder="0" applyAlignment="0" applyProtection="0">
      <alignment vertical="center"/>
    </xf>
    <xf numFmtId="0" fontId="142" fillId="57" borderId="0" applyNumberFormat="0" applyBorder="0" applyAlignment="0" applyProtection="0">
      <alignment vertical="center"/>
    </xf>
    <xf numFmtId="0" fontId="142" fillId="58" borderId="0" applyNumberFormat="0" applyBorder="0" applyAlignment="0" applyProtection="0"/>
    <xf numFmtId="0" fontId="142" fillId="34" borderId="0" applyNumberFormat="0" applyBorder="0" applyAlignment="0" applyProtection="0">
      <alignment vertical="center"/>
    </xf>
    <xf numFmtId="0" fontId="148" fillId="92" borderId="0" applyNumberFormat="0" applyBorder="0" applyAlignment="0" applyProtection="0">
      <alignment vertical="center"/>
    </xf>
    <xf numFmtId="0" fontId="148" fillId="93" borderId="0" applyNumberFormat="0" applyBorder="0" applyAlignment="0" applyProtection="0"/>
    <xf numFmtId="0" fontId="148" fillId="47" borderId="0" applyNumberFormat="0" applyBorder="0" applyAlignment="0" applyProtection="0">
      <alignment vertical="center"/>
    </xf>
    <xf numFmtId="0" fontId="148" fillId="94" borderId="0" applyNumberFormat="0" applyBorder="0" applyAlignment="0" applyProtection="0">
      <alignment vertical="center"/>
    </xf>
    <xf numFmtId="0" fontId="148" fillId="95" borderId="0" applyNumberFormat="0" applyBorder="0" applyAlignment="0" applyProtection="0"/>
    <xf numFmtId="0" fontId="148" fillId="48" borderId="0" applyNumberFormat="0" applyBorder="0" applyAlignment="0" applyProtection="0">
      <alignment vertical="center"/>
    </xf>
    <xf numFmtId="0" fontId="148" fillId="96" borderId="0" applyNumberFormat="0" applyBorder="0" applyAlignment="0" applyProtection="0">
      <alignment vertical="center"/>
    </xf>
    <xf numFmtId="0" fontId="148" fillId="97" borderId="0" applyNumberFormat="0" applyBorder="0" applyAlignment="0" applyProtection="0"/>
    <xf numFmtId="0" fontId="148" fillId="49"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8" borderId="0" applyNumberFormat="0" applyBorder="0" applyAlignment="0" applyProtection="0">
      <alignment vertical="center"/>
    </xf>
    <xf numFmtId="0" fontId="148" fillId="99" borderId="0" applyNumberFormat="0" applyBorder="0" applyAlignment="0" applyProtection="0"/>
    <xf numFmtId="0" fontId="148" fillId="50" borderId="0" applyNumberFormat="0" applyBorder="0" applyAlignment="0" applyProtection="0">
      <alignment vertical="center"/>
    </xf>
    <xf numFmtId="0" fontId="150" fillId="0" borderId="19" applyNumberFormat="0" applyFill="0" applyAlignment="0" applyProtection="0"/>
    <xf numFmtId="0" fontId="150" fillId="0" borderId="19" applyNumberFormat="0" applyFill="0" applyAlignment="0" applyProtection="0">
      <alignment vertical="center"/>
    </xf>
    <xf numFmtId="0" fontId="143" fillId="0" borderId="0" applyNumberFormat="0" applyFill="0" applyBorder="0" applyAlignment="0" applyProtection="0">
      <alignment vertical="center"/>
    </xf>
    <xf numFmtId="0" fontId="151" fillId="0" borderId="20" applyNumberFormat="0" applyFill="0" applyAlignment="0" applyProtection="0"/>
    <xf numFmtId="0" fontId="151" fillId="0" borderId="20" applyNumberFormat="0" applyFill="0" applyAlignment="0" applyProtection="0">
      <alignment vertical="center"/>
    </xf>
    <xf numFmtId="0" fontId="152" fillId="0" borderId="21" applyNumberFormat="0" applyFill="0" applyAlignment="0" applyProtection="0"/>
    <xf numFmtId="0" fontId="152" fillId="0" borderId="21" applyNumberFormat="0" applyFill="0" applyAlignment="0" applyProtection="0">
      <alignment vertical="center"/>
    </xf>
    <xf numFmtId="0" fontId="152" fillId="0" borderId="0" applyNumberFormat="0" applyFill="0" applyBorder="0" applyAlignment="0" applyProtection="0"/>
    <xf numFmtId="0" fontId="152" fillId="0" borderId="0" applyNumberFormat="0" applyFill="0" applyBorder="0" applyAlignment="0" applyProtection="0">
      <alignment vertical="center"/>
    </xf>
    <xf numFmtId="0" fontId="143" fillId="0" borderId="0" applyNumberFormat="0" applyFill="0" applyBorder="0" applyAlignment="0" applyProtection="0"/>
    <xf numFmtId="0" fontId="153" fillId="100" borderId="18" applyNumberFormat="0" applyAlignment="0" applyProtection="0">
      <alignment vertical="center"/>
    </xf>
    <xf numFmtId="0" fontId="153" fillId="101" borderId="18" applyNumberFormat="0" applyAlignment="0" applyProtection="0"/>
    <xf numFmtId="0" fontId="153" fillId="52" borderId="18" applyNumberFormat="0" applyAlignment="0" applyProtection="0">
      <alignment vertical="center"/>
    </xf>
    <xf numFmtId="0" fontId="332" fillId="0" borderId="27" applyNumberFormat="0" applyFill="0" applyAlignment="0" applyProtection="0">
      <alignment vertical="center"/>
    </xf>
    <xf numFmtId="0" fontId="333" fillId="0" borderId="20" applyNumberFormat="0" applyFill="0" applyAlignment="0" applyProtection="0">
      <alignment vertical="center"/>
    </xf>
    <xf numFmtId="0" fontId="334" fillId="0" borderId="28" applyNumberFormat="0" applyFill="0" applyAlignment="0" applyProtection="0">
      <alignment vertical="center"/>
    </xf>
    <xf numFmtId="0" fontId="334" fillId="0" borderId="0" applyNumberFormat="0" applyFill="0" applyBorder="0" applyAlignment="0" applyProtection="0">
      <alignment vertical="center"/>
    </xf>
    <xf numFmtId="0" fontId="331" fillId="0" borderId="0" applyNumberFormat="0" applyFill="0" applyBorder="0" applyAlignment="0" applyProtection="0">
      <alignment vertical="center"/>
    </xf>
    <xf numFmtId="0" fontId="335" fillId="100" borderId="18"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336" fillId="68" borderId="17" applyNumberFormat="0" applyAlignment="0" applyProtection="0">
      <alignment vertical="center"/>
    </xf>
    <xf numFmtId="0" fontId="337" fillId="0" borderId="0" applyNumberFormat="0" applyFill="0" applyBorder="0" applyAlignment="0" applyProtection="0">
      <alignment vertical="center"/>
    </xf>
    <xf numFmtId="0" fontId="338" fillId="0" borderId="0" applyNumberFormat="0" applyFill="0" applyBorder="0" applyAlignment="0" applyProtection="0">
      <alignment vertical="center"/>
    </xf>
    <xf numFmtId="0" fontId="156" fillId="0" borderId="0" applyNumberFormat="0" applyFill="0" applyBorder="0" applyAlignment="0" applyProtection="0"/>
    <xf numFmtId="0" fontId="156" fillId="0" borderId="0" applyNumberFormat="0" applyFill="0" applyBorder="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26" fillId="88" borderId="0" applyNumberFormat="0" applyBorder="0" applyAlignment="0" applyProtection="0">
      <alignment vertical="center"/>
    </xf>
    <xf numFmtId="0" fontId="326" fillId="94" borderId="0" applyNumberFormat="0" applyBorder="0" applyAlignment="0" applyProtection="0">
      <alignment vertical="center"/>
    </xf>
    <xf numFmtId="0" fontId="326" fillId="96" borderId="0" applyNumberFormat="0" applyBorder="0" applyAlignment="0" applyProtection="0">
      <alignment vertical="center"/>
    </xf>
    <xf numFmtId="0" fontId="326" fillId="104" borderId="0" applyNumberFormat="0" applyBorder="0" applyAlignment="0" applyProtection="0">
      <alignment vertical="center"/>
    </xf>
    <xf numFmtId="0" fontId="326" fillId="88" borderId="0" applyNumberFormat="0" applyBorder="0" applyAlignment="0" applyProtection="0">
      <alignment vertical="center"/>
    </xf>
    <xf numFmtId="0" fontId="326" fillId="98" borderId="0" applyNumberFormat="0" applyBorder="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60" fillId="82" borderId="0" applyNumberFormat="0" applyBorder="0" applyAlignment="0" applyProtection="0">
      <alignment vertical="center"/>
    </xf>
    <xf numFmtId="0" fontId="160" fillId="83" borderId="0" applyNumberFormat="0" applyBorder="0" applyAlignment="0" applyProtection="0"/>
    <xf numFmtId="0" fontId="160" fillId="53" borderId="0" applyNumberFormat="0" applyBorder="0" applyAlignment="0" applyProtection="0">
      <alignment vertical="center"/>
    </xf>
    <xf numFmtId="0" fontId="341" fillId="0" borderId="22" applyNumberFormat="0" applyFill="0" applyAlignment="0" applyProtection="0">
      <alignment vertical="center"/>
    </xf>
    <xf numFmtId="0" fontId="161" fillId="0" borderId="22" applyNumberFormat="0" applyFill="0" applyAlignment="0" applyProtection="0"/>
    <xf numFmtId="0" fontId="161" fillId="0" borderId="22" applyNumberFormat="0" applyFill="0" applyAlignment="0" applyProtection="0">
      <alignment vertical="center"/>
    </xf>
    <xf numFmtId="0" fontId="143"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147" fillId="78" borderId="0" applyNumberFormat="0" applyBorder="0" applyAlignment="0" applyProtection="0">
      <alignment vertical="center"/>
    </xf>
    <xf numFmtId="0" fontId="147" fillId="72" borderId="0" applyNumberFormat="0" applyBorder="0" applyAlignment="0" applyProtection="0">
      <alignment vertical="center"/>
    </xf>
    <xf numFmtId="0" fontId="148" fillId="74" borderId="0" applyNumberFormat="0" applyBorder="0" applyAlignment="0" applyProtection="0">
      <alignment vertical="center"/>
    </xf>
    <xf numFmtId="0" fontId="153" fillId="100" borderId="18" applyNumberFormat="0" applyAlignment="0" applyProtection="0">
      <alignment vertical="center"/>
    </xf>
    <xf numFmtId="0" fontId="159" fillId="80" borderId="24" applyNumberFormat="0" applyAlignment="0" applyProtection="0">
      <alignment vertical="center"/>
    </xf>
    <xf numFmtId="0" fontId="148" fillId="76" borderId="0" applyNumberFormat="0" applyBorder="0" applyAlignment="0" applyProtection="0">
      <alignment vertical="center"/>
    </xf>
    <xf numFmtId="0" fontId="156" fillId="0" borderId="0" applyNumberFormat="0" applyFill="0" applyBorder="0" applyAlignment="0" applyProtection="0">
      <alignment vertical="center"/>
    </xf>
    <xf numFmtId="0" fontId="160" fillId="82" borderId="0" applyNumberFormat="0" applyBorder="0" applyAlignment="0" applyProtection="0">
      <alignment vertical="center"/>
    </xf>
    <xf numFmtId="0" fontId="147" fillId="72" borderId="0" applyNumberFormat="0" applyBorder="0" applyAlignment="0" applyProtection="0">
      <alignment vertical="center"/>
    </xf>
    <xf numFmtId="0" fontId="148" fillId="90" borderId="0" applyNumberFormat="0" applyBorder="0" applyAlignment="0" applyProtection="0">
      <alignment vertical="center"/>
    </xf>
    <xf numFmtId="0" fontId="151" fillId="0" borderId="20" applyNumberFormat="0" applyFill="0" applyAlignment="0" applyProtection="0">
      <alignment vertical="center"/>
    </xf>
    <xf numFmtId="0" fontId="154" fillId="0" borderId="25" applyNumberFormat="0" applyFill="0" applyAlignment="0" applyProtection="0">
      <alignment vertical="center"/>
    </xf>
    <xf numFmtId="0" fontId="148" fillId="86" borderId="0" applyNumberFormat="0" applyBorder="0" applyAlignment="0" applyProtection="0">
      <alignment vertical="center"/>
    </xf>
    <xf numFmtId="0" fontId="148" fillId="86" borderId="0" applyNumberFormat="0" applyBorder="0" applyAlignment="0" applyProtection="0">
      <alignment vertical="center"/>
    </xf>
    <xf numFmtId="0" fontId="152" fillId="0" borderId="21" applyNumberFormat="0" applyFill="0" applyAlignment="0" applyProtection="0">
      <alignment vertical="center"/>
    </xf>
    <xf numFmtId="0" fontId="148" fillId="92" borderId="0" applyNumberFormat="0" applyBorder="0" applyAlignment="0" applyProtection="0">
      <alignment vertical="center"/>
    </xf>
    <xf numFmtId="0" fontId="147" fillId="57" borderId="0" applyNumberFormat="0" applyBorder="0" applyAlignment="0" applyProtection="0">
      <alignment vertical="center"/>
    </xf>
    <xf numFmtId="0" fontId="148" fillId="98" borderId="0" applyNumberFormat="0" applyBorder="0" applyAlignment="0" applyProtection="0">
      <alignment vertical="center"/>
    </xf>
    <xf numFmtId="0" fontId="157" fillId="80" borderId="17" applyNumberFormat="0" applyAlignment="0" applyProtection="0">
      <alignment vertical="center"/>
    </xf>
    <xf numFmtId="0" fontId="147" fillId="76" borderId="0" applyNumberFormat="0" applyBorder="0" applyAlignment="0" applyProtection="0">
      <alignment vertical="center"/>
    </xf>
    <xf numFmtId="0" fontId="150" fillId="0" borderId="19" applyNumberFormat="0" applyFill="0" applyAlignment="0" applyProtection="0">
      <alignment vertical="center"/>
    </xf>
    <xf numFmtId="0" fontId="148" fillId="88" borderId="0" applyNumberFormat="0" applyBorder="0" applyAlignment="0" applyProtection="0">
      <alignment vertical="center"/>
    </xf>
    <xf numFmtId="0" fontId="147" fillId="55" borderId="0" applyNumberFormat="0" applyBorder="0" applyAlignment="0" applyProtection="0">
      <alignment vertical="center"/>
    </xf>
    <xf numFmtId="0" fontId="158" fillId="65" borderId="17" applyNumberFormat="0" applyAlignment="0" applyProtection="0">
      <alignment vertical="center"/>
    </xf>
    <xf numFmtId="0" fontId="147" fillId="74" borderId="0" applyNumberFormat="0" applyBorder="0" applyAlignment="0" applyProtection="0">
      <alignment vertical="center"/>
    </xf>
    <xf numFmtId="0" fontId="148" fillId="94" borderId="0" applyNumberFormat="0" applyBorder="0" applyAlignment="0" applyProtection="0">
      <alignment vertical="center"/>
    </xf>
    <xf numFmtId="0" fontId="147" fillId="63" borderId="0" applyNumberFormat="0" applyBorder="0" applyAlignment="0" applyProtection="0">
      <alignment vertical="center"/>
    </xf>
    <xf numFmtId="0" fontId="142" fillId="57" borderId="0" applyNumberFormat="0" applyBorder="0" applyAlignment="0" applyProtection="0">
      <alignment vertical="center"/>
    </xf>
    <xf numFmtId="0" fontId="148" fillId="88" borderId="0" applyNumberFormat="0" applyBorder="0" applyAlignment="0" applyProtection="0">
      <alignment vertical="center"/>
    </xf>
    <xf numFmtId="0" fontId="148" fillId="96" borderId="0" applyNumberFormat="0" applyBorder="0" applyAlignment="0" applyProtection="0">
      <alignment vertical="center"/>
    </xf>
    <xf numFmtId="0" fontId="161" fillId="0" borderId="22" applyNumberFormat="0" applyFill="0" applyAlignment="0" applyProtection="0">
      <alignment vertical="center"/>
    </xf>
    <xf numFmtId="0" fontId="147" fillId="59" borderId="0" applyNumberFormat="0" applyBorder="0" applyAlignment="0" applyProtection="0">
      <alignment vertical="center"/>
    </xf>
    <xf numFmtId="0" fontId="152" fillId="0" borderId="0" applyNumberFormat="0" applyFill="0" applyBorder="0" applyAlignment="0" applyProtection="0">
      <alignment vertical="center"/>
    </xf>
    <xf numFmtId="0" fontId="148" fillId="84" borderId="0" applyNumberFormat="0" applyBorder="0" applyAlignment="0" applyProtection="0">
      <alignment vertical="center"/>
    </xf>
    <xf numFmtId="0" fontId="141" fillId="59" borderId="0" applyNumberFormat="0" applyBorder="0" applyAlignment="0" applyProtection="0">
      <alignment vertical="center"/>
    </xf>
    <xf numFmtId="0" fontId="147" fillId="61" borderId="0" applyNumberFormat="0" applyBorder="0" applyAlignment="0" applyProtection="0">
      <alignment vertical="center"/>
    </xf>
    <xf numFmtId="0" fontId="147" fillId="65" borderId="0" applyNumberFormat="0" applyBorder="0" applyAlignment="0" applyProtection="0">
      <alignment vertical="center"/>
    </xf>
    <xf numFmtId="0" fontId="147" fillId="61" borderId="0" applyNumberFormat="0" applyBorder="0" applyAlignment="0" applyProtection="0">
      <alignment vertical="center"/>
    </xf>
    <xf numFmtId="0" fontId="147" fillId="0" borderId="0"/>
    <xf numFmtId="0" fontId="147" fillId="0" borderId="0"/>
    <xf numFmtId="0" fontId="147" fillId="37" borderId="0" applyNumberFormat="0" applyBorder="0" applyAlignment="0" applyProtection="0">
      <alignment vertical="center"/>
    </xf>
    <xf numFmtId="0" fontId="161" fillId="0" borderId="22" applyNumberFormat="0" applyFill="0" applyAlignment="0" applyProtection="0">
      <alignment vertical="center"/>
    </xf>
    <xf numFmtId="0" fontId="147" fillId="33" borderId="0" applyNumberFormat="0" applyBorder="0" applyAlignment="0" applyProtection="0">
      <alignment vertical="center"/>
    </xf>
    <xf numFmtId="0" fontId="147" fillId="34" borderId="0" applyNumberFormat="0" applyBorder="0" applyAlignment="0" applyProtection="0">
      <alignment vertical="center"/>
    </xf>
    <xf numFmtId="0" fontId="147" fillId="38" borderId="0" applyNumberFormat="0" applyBorder="0" applyAlignment="0" applyProtection="0">
      <alignment vertical="center"/>
    </xf>
    <xf numFmtId="0" fontId="147" fillId="39"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8" fillId="43" borderId="0" applyNumberFormat="0" applyBorder="0" applyAlignment="0" applyProtection="0">
      <alignment vertical="center"/>
    </xf>
    <xf numFmtId="0" fontId="148" fillId="40" borderId="0" applyNumberFormat="0" applyBorder="0" applyAlignment="0" applyProtection="0">
      <alignment vertical="center"/>
    </xf>
    <xf numFmtId="0" fontId="148" fillId="41" borderId="0" applyNumberFormat="0" applyBorder="0" applyAlignment="0" applyProtection="0">
      <alignment vertical="center"/>
    </xf>
    <xf numFmtId="0" fontId="148" fillId="44" borderId="0" applyNumberFormat="0" applyBorder="0" applyAlignment="0" applyProtection="0">
      <alignment vertical="center"/>
    </xf>
    <xf numFmtId="0" fontId="143"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142" fillId="34" borderId="0" applyNumberFormat="0" applyBorder="0" applyAlignment="0" applyProtection="0">
      <alignment vertical="center"/>
    </xf>
    <xf numFmtId="0" fontId="141" fillId="35" borderId="0" applyNumberFormat="0" applyBorder="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3" fillId="52" borderId="18" applyNumberFormat="0" applyAlignment="0" applyProtection="0">
      <alignment vertical="center"/>
    </xf>
    <xf numFmtId="0" fontId="156" fillId="0" borderId="0" applyNumberFormat="0" applyFill="0" applyBorder="0" applyAlignment="0" applyProtection="0">
      <alignment vertical="center"/>
    </xf>
    <xf numFmtId="0" fontId="148" fillId="49" borderId="0" applyNumberFormat="0" applyBorder="0" applyAlignment="0" applyProtection="0">
      <alignment vertical="center"/>
    </xf>
    <xf numFmtId="0" fontId="148" fillId="44" borderId="0" applyNumberFormat="0" applyBorder="0" applyAlignment="0" applyProtection="0">
      <alignment vertical="center"/>
    </xf>
    <xf numFmtId="0" fontId="148" fillId="45" borderId="0" applyNumberFormat="0" applyBorder="0" applyAlignment="0" applyProtection="0">
      <alignment vertical="center"/>
    </xf>
    <xf numFmtId="0" fontId="158" fillId="38" borderId="17" applyNumberFormat="0" applyAlignment="0" applyProtection="0">
      <alignment vertical="center"/>
    </xf>
    <xf numFmtId="0" fontId="147" fillId="42" borderId="0" applyNumberFormat="0" applyBorder="0" applyAlignment="0" applyProtection="0">
      <alignment vertical="center"/>
    </xf>
    <xf numFmtId="0" fontId="151" fillId="0" borderId="20" applyNumberFormat="0" applyFill="0" applyAlignment="0" applyProtection="0">
      <alignment vertical="center"/>
    </xf>
    <xf numFmtId="0" fontId="160" fillId="53" borderId="0" applyNumberFormat="0" applyBorder="0" applyAlignment="0" applyProtection="0">
      <alignment vertical="center"/>
    </xf>
    <xf numFmtId="0" fontId="149" fillId="54" borderId="23" applyNumberFormat="0" applyFont="0" applyAlignment="0" applyProtection="0">
      <alignment vertical="center"/>
    </xf>
    <xf numFmtId="0" fontId="147" fillId="35" borderId="0" applyNumberFormat="0" applyBorder="0" applyAlignment="0" applyProtection="0">
      <alignment vertical="center"/>
    </xf>
    <xf numFmtId="0" fontId="147" fillId="36" borderId="0" applyNumberFormat="0" applyBorder="0" applyAlignment="0" applyProtection="0">
      <alignment vertical="center"/>
    </xf>
    <xf numFmtId="0" fontId="147" fillId="36" borderId="0" applyNumberFormat="0" applyBorder="0" applyAlignment="0" applyProtection="0">
      <alignment vertical="center"/>
    </xf>
    <xf numFmtId="0" fontId="147" fillId="39" borderId="0" applyNumberFormat="0" applyBorder="0" applyAlignment="0" applyProtection="0">
      <alignment vertical="center"/>
    </xf>
    <xf numFmtId="0" fontId="148" fillId="45" borderId="0" applyNumberFormat="0" applyBorder="0" applyAlignment="0" applyProtection="0">
      <alignment vertical="center"/>
    </xf>
    <xf numFmtId="0" fontId="148" fillId="46" borderId="0" applyNumberFormat="0" applyBorder="0" applyAlignment="0" applyProtection="0">
      <alignment vertical="center"/>
    </xf>
    <xf numFmtId="0" fontId="150" fillId="0" borderId="19" applyNumberFormat="0" applyFill="0" applyAlignment="0" applyProtection="0">
      <alignment vertical="center"/>
    </xf>
    <xf numFmtId="0" fontId="152" fillId="0" borderId="21" applyNumberFormat="0" applyFill="0" applyAlignment="0" applyProtection="0">
      <alignment vertical="center"/>
    </xf>
    <xf numFmtId="0" fontId="155" fillId="0" borderId="0" applyNumberFormat="0" applyFill="0" applyBorder="0" applyAlignment="0" applyProtection="0">
      <alignment vertical="center"/>
    </xf>
    <xf numFmtId="0" fontId="148" fillId="47" borderId="0" applyNumberFormat="0" applyBorder="0" applyAlignment="0" applyProtection="0">
      <alignment vertical="center"/>
    </xf>
    <xf numFmtId="0" fontId="148" fillId="48" borderId="0" applyNumberFormat="0" applyBorder="0" applyAlignment="0" applyProtection="0">
      <alignment vertical="center"/>
    </xf>
    <xf numFmtId="0" fontId="148" fillId="50" borderId="0" applyNumberFormat="0" applyBorder="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5" fillId="69" borderId="0"/>
    <xf numFmtId="0" fontId="325" fillId="66" borderId="0"/>
    <xf numFmtId="0" fontId="325" fillId="71" borderId="0"/>
    <xf numFmtId="0" fontId="325" fillId="69" borderId="0"/>
    <xf numFmtId="0" fontId="325" fillId="64" borderId="0"/>
    <xf numFmtId="0" fontId="325" fillId="66" borderId="0"/>
    <xf numFmtId="0" fontId="147" fillId="60" borderId="0"/>
    <xf numFmtId="0" fontId="147" fillId="75" borderId="0"/>
    <xf numFmtId="0" fontId="147" fillId="77" borderId="0"/>
    <xf numFmtId="0" fontId="147" fillId="62" borderId="0"/>
    <xf numFmtId="0" fontId="147" fillId="73" borderId="0"/>
    <xf numFmtId="0" fontId="147" fillId="79" borderId="0"/>
    <xf numFmtId="0" fontId="325" fillId="81" borderId="0"/>
    <xf numFmtId="0" fontId="147" fillId="73" borderId="0"/>
    <xf numFmtId="0" fontId="147" fillId="62" borderId="0"/>
    <xf numFmtId="0" fontId="147" fillId="56" borderId="0"/>
    <xf numFmtId="0" fontId="147" fillId="58" borderId="0"/>
    <xf numFmtId="0" fontId="147" fillId="64" borderId="0"/>
    <xf numFmtId="0" fontId="325" fillId="75" borderId="0"/>
    <xf numFmtId="0" fontId="147" fillId="66" borderId="0"/>
    <xf numFmtId="0" fontId="325" fillId="83" borderId="0"/>
    <xf numFmtId="0" fontId="325" fillId="81" borderId="0"/>
    <xf numFmtId="0" fontId="325" fillId="73" borderId="0"/>
    <xf numFmtId="0" fontId="325" fillId="66" borderId="0"/>
    <xf numFmtId="0" fontId="148" fillId="85" borderId="0"/>
    <xf numFmtId="0" fontId="148" fillId="75" borderId="0"/>
    <xf numFmtId="0" fontId="148" fillId="77" borderId="0"/>
    <xf numFmtId="0" fontId="148" fillId="87" borderId="0"/>
    <xf numFmtId="0" fontId="148" fillId="89" borderId="0"/>
    <xf numFmtId="0" fontId="148" fillId="91" borderId="0"/>
    <xf numFmtId="0" fontId="326" fillId="89" borderId="0"/>
    <xf numFmtId="0" fontId="326" fillId="75" borderId="0"/>
    <xf numFmtId="0" fontId="326" fillId="83" borderId="0"/>
    <xf numFmtId="0" fontId="326" fillId="81" borderId="0"/>
    <xf numFmtId="0" fontId="326" fillId="89" borderId="0"/>
    <xf numFmtId="0" fontId="326" fillId="66" borderId="0"/>
    <xf numFmtId="0" fontId="327" fillId="83" borderId="0"/>
    <xf numFmtId="0" fontId="328" fillId="0" borderId="26"/>
    <xf numFmtId="0" fontId="329" fillId="58" borderId="0"/>
    <xf numFmtId="0" fontId="141" fillId="60" borderId="0"/>
    <xf numFmtId="0" fontId="330" fillId="60" borderId="0"/>
    <xf numFmtId="0" fontId="142" fillId="58" borderId="0"/>
    <xf numFmtId="0" fontId="148" fillId="93" borderId="0"/>
    <xf numFmtId="0" fontId="148" fillId="95" borderId="0"/>
    <xf numFmtId="0" fontId="148" fillId="97" borderId="0"/>
    <xf numFmtId="0" fontId="148" fillId="87" borderId="0"/>
    <xf numFmtId="0" fontId="148" fillId="89" borderId="0"/>
    <xf numFmtId="0" fontId="148" fillId="99" borderId="0"/>
    <xf numFmtId="0" fontId="143" fillId="0" borderId="0"/>
    <xf numFmtId="0" fontId="150" fillId="0" borderId="19"/>
    <xf numFmtId="0" fontId="151" fillId="0" borderId="20"/>
    <xf numFmtId="0" fontId="152" fillId="0" borderId="21"/>
    <xf numFmtId="0" fontId="152" fillId="0" borderId="0"/>
    <xf numFmtId="0" fontId="153" fillId="101" borderId="18"/>
    <xf numFmtId="0" fontId="331" fillId="0" borderId="0"/>
    <xf numFmtId="0" fontId="332" fillId="0" borderId="27"/>
    <xf numFmtId="0" fontId="333" fillId="0" borderId="20"/>
    <xf numFmtId="0" fontId="334" fillId="0" borderId="28"/>
    <xf numFmtId="0" fontId="334" fillId="0" borderId="0"/>
    <xf numFmtId="0" fontId="335" fillId="101" borderId="18"/>
    <xf numFmtId="0" fontId="154" fillId="0" borderId="25"/>
    <xf numFmtId="0" fontId="155" fillId="0" borderId="0"/>
    <xf numFmtId="0" fontId="336" fillId="69" borderId="17"/>
    <xf numFmtId="0" fontId="337" fillId="0" borderId="0"/>
    <xf numFmtId="0" fontId="338" fillId="0" borderId="0"/>
    <xf numFmtId="0" fontId="156" fillId="0" borderId="0"/>
    <xf numFmtId="0" fontId="157" fillId="81" borderId="17"/>
    <xf numFmtId="0" fontId="326" fillId="89" borderId="0"/>
    <xf numFmtId="0" fontId="326" fillId="95" borderId="0"/>
    <xf numFmtId="0" fontId="326" fillId="97" borderId="0"/>
    <xf numFmtId="0" fontId="326" fillId="105" borderId="0"/>
    <xf numFmtId="0" fontId="326" fillId="89" borderId="0"/>
    <xf numFmtId="0" fontId="326" fillId="99" borderId="0"/>
    <xf numFmtId="0" fontId="339" fillId="66" borderId="17"/>
    <xf numFmtId="0" fontId="340" fillId="69" borderId="24"/>
    <xf numFmtId="0" fontId="158" fillId="66" borderId="17"/>
    <xf numFmtId="0" fontId="159" fillId="81" borderId="24"/>
    <xf numFmtId="0" fontId="160" fillId="83" borderId="0"/>
    <xf numFmtId="0" fontId="341" fillId="0" borderId="22"/>
    <xf numFmtId="0" fontId="161" fillId="0" borderId="22"/>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343" fillId="0" borderId="0"/>
    <xf numFmtId="0" fontId="343" fillId="0" borderId="0"/>
    <xf numFmtId="0" fontId="343" fillId="0" borderId="0"/>
    <xf numFmtId="0" fontId="73" fillId="0" borderId="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7" fillId="2" borderId="0" applyNumberFormat="0" applyBorder="0" applyAlignment="0" applyProtection="0">
      <alignment vertical="center"/>
    </xf>
    <xf numFmtId="0" fontId="343" fillId="0" borderId="0"/>
    <xf numFmtId="0" fontId="343" fillId="0" borderId="0"/>
    <xf numFmtId="0" fontId="343" fillId="0" borderId="0"/>
    <xf numFmtId="0" fontId="343" fillId="0" borderId="0"/>
    <xf numFmtId="0" fontId="269" fillId="0" borderId="0">
      <alignment vertical="center"/>
    </xf>
    <xf numFmtId="0" fontId="343" fillId="0" borderId="0"/>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3" fillId="0" borderId="0">
      <alignment vertical="center"/>
    </xf>
    <xf numFmtId="0" fontId="73" fillId="0" borderId="0">
      <alignment vertical="center"/>
    </xf>
    <xf numFmtId="0" fontId="73"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74" fillId="35" borderId="0" applyNumberFormat="0" applyBorder="0" applyAlignment="0" applyProtection="0">
      <alignment vertical="center"/>
    </xf>
    <xf numFmtId="0" fontId="75" fillId="34" borderId="0" applyNumberFormat="0" applyBorder="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67" fillId="55" borderId="0" applyNumberFormat="0" applyBorder="0" applyAlignment="0" applyProtection="0">
      <alignment vertical="center"/>
    </xf>
    <xf numFmtId="0" fontId="267" fillId="56" borderId="0" applyNumberFormat="0" applyBorder="0" applyAlignment="0" applyProtection="0"/>
    <xf numFmtId="0" fontId="267" fillId="33" borderId="0" applyNumberFormat="0" applyBorder="0" applyAlignment="0" applyProtection="0">
      <alignment vertical="center"/>
    </xf>
    <xf numFmtId="0" fontId="267" fillId="57" borderId="0" applyNumberFormat="0" applyBorder="0" applyAlignment="0" applyProtection="0">
      <alignment vertical="center"/>
    </xf>
    <xf numFmtId="0" fontId="267" fillId="58" borderId="0" applyNumberFormat="0" applyBorder="0" applyAlignment="0" applyProtection="0"/>
    <xf numFmtId="0" fontId="267" fillId="34" borderId="0" applyNumberFormat="0" applyBorder="0" applyAlignment="0" applyProtection="0">
      <alignment vertical="center"/>
    </xf>
    <xf numFmtId="0" fontId="267" fillId="59" borderId="0" applyNumberFormat="0" applyBorder="0" applyAlignment="0" applyProtection="0">
      <alignment vertical="center"/>
    </xf>
    <xf numFmtId="0" fontId="267" fillId="60" borderId="0" applyNumberFormat="0" applyBorder="0" applyAlignment="0" applyProtection="0"/>
    <xf numFmtId="0" fontId="267" fillId="35"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63" borderId="0" applyNumberFormat="0" applyBorder="0" applyAlignment="0" applyProtection="0">
      <alignment vertical="center"/>
    </xf>
    <xf numFmtId="0" fontId="267" fillId="64" borderId="0" applyNumberFormat="0" applyBorder="0" applyAlignment="0" applyProtection="0"/>
    <xf numFmtId="0" fontId="267" fillId="37" borderId="0" applyNumberFormat="0" applyBorder="0" applyAlignment="0" applyProtection="0">
      <alignment vertical="center"/>
    </xf>
    <xf numFmtId="0" fontId="267" fillId="65" borderId="0" applyNumberFormat="0" applyBorder="0" applyAlignment="0" applyProtection="0">
      <alignment vertical="center"/>
    </xf>
    <xf numFmtId="0" fontId="267" fillId="66" borderId="0" applyNumberFormat="0" applyBorder="0" applyAlignment="0" applyProtection="0"/>
    <xf numFmtId="0" fontId="267" fillId="38" borderId="0" applyNumberFormat="0" applyBorder="0" applyAlignment="0" applyProtection="0">
      <alignment vertical="center"/>
    </xf>
    <xf numFmtId="0" fontId="88" fillId="68" borderId="0" applyNumberFormat="0" applyBorder="0" applyAlignment="0" applyProtection="0">
      <alignment vertical="center"/>
    </xf>
    <xf numFmtId="0" fontId="88" fillId="65" borderId="0" applyNumberFormat="0" applyBorder="0" applyAlignment="0" applyProtection="0">
      <alignment vertical="center"/>
    </xf>
    <xf numFmtId="0" fontId="88" fillId="70" borderId="0" applyNumberFormat="0" applyBorder="0" applyAlignment="0" applyProtection="0">
      <alignment vertical="center"/>
    </xf>
    <xf numFmtId="0" fontId="88" fillId="68" borderId="0" applyNumberFormat="0" applyBorder="0" applyAlignment="0" applyProtection="0">
      <alignment vertical="center"/>
    </xf>
    <xf numFmtId="0" fontId="88" fillId="63" borderId="0" applyNumberFormat="0" applyBorder="0" applyAlignment="0" applyProtection="0">
      <alignment vertical="center"/>
    </xf>
    <xf numFmtId="0" fontId="88" fillId="65"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8" borderId="0" applyNumberFormat="0" applyBorder="0" applyAlignment="0" applyProtection="0">
      <alignment vertical="center"/>
    </xf>
    <xf numFmtId="0" fontId="267" fillId="79" borderId="0" applyNumberFormat="0" applyBorder="0" applyAlignment="0" applyProtection="0"/>
    <xf numFmtId="0" fontId="267" fillId="42" borderId="0" applyNumberFormat="0" applyBorder="0" applyAlignment="0" applyProtection="0">
      <alignment vertical="center"/>
    </xf>
    <xf numFmtId="0" fontId="88" fillId="80"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72" borderId="0" applyNumberFormat="0" applyBorder="0" applyAlignment="0" applyProtection="0">
      <alignment vertical="center"/>
    </xf>
    <xf numFmtId="0" fontId="88" fillId="65" borderId="0" applyNumberFormat="0" applyBorder="0" applyAlignment="0" applyProtection="0">
      <alignment vertical="center"/>
    </xf>
    <xf numFmtId="0" fontId="268" fillId="84" borderId="0" applyNumberFormat="0" applyBorder="0" applyAlignment="0" applyProtection="0">
      <alignment vertical="center"/>
    </xf>
    <xf numFmtId="0" fontId="268" fillId="85" borderId="0" applyNumberFormat="0" applyBorder="0" applyAlignment="0" applyProtection="0"/>
    <xf numFmtId="0" fontId="268" fillId="43" borderId="0" applyNumberFormat="0" applyBorder="0" applyAlignment="0" applyProtection="0">
      <alignment vertical="center"/>
    </xf>
    <xf numFmtId="0" fontId="268" fillId="74" borderId="0" applyNumberFormat="0" applyBorder="0" applyAlignment="0" applyProtection="0">
      <alignment vertical="center"/>
    </xf>
    <xf numFmtId="0" fontId="268" fillId="75" borderId="0" applyNumberFormat="0" applyBorder="0" applyAlignment="0" applyProtection="0"/>
    <xf numFmtId="0" fontId="268" fillId="40" borderId="0" applyNumberFormat="0" applyBorder="0" applyAlignment="0" applyProtection="0">
      <alignment vertical="center"/>
    </xf>
    <xf numFmtId="0" fontId="268" fillId="76" borderId="0" applyNumberFormat="0" applyBorder="0" applyAlignment="0" applyProtection="0">
      <alignment vertical="center"/>
    </xf>
    <xf numFmtId="0" fontId="268" fillId="77" borderId="0" applyNumberFormat="0" applyBorder="0" applyAlignment="0" applyProtection="0"/>
    <xf numFmtId="0" fontId="268" fillId="41"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0" borderId="0" applyNumberFormat="0" applyBorder="0" applyAlignment="0" applyProtection="0">
      <alignment vertical="center"/>
    </xf>
    <xf numFmtId="0" fontId="268" fillId="91" borderId="0" applyNumberFormat="0" applyBorder="0" applyAlignment="0" applyProtection="0"/>
    <xf numFmtId="0" fontId="268" fillId="46" borderId="0" applyNumberFormat="0" applyBorder="0" applyAlignment="0" applyProtection="0">
      <alignment vertical="center"/>
    </xf>
    <xf numFmtId="0" fontId="89" fillId="88" borderId="0" applyNumberFormat="0" applyBorder="0" applyAlignment="0" applyProtection="0">
      <alignment vertical="center"/>
    </xf>
    <xf numFmtId="0" fontId="89" fillId="74" borderId="0" applyNumberFormat="0" applyBorder="0" applyAlignment="0" applyProtection="0">
      <alignment vertical="center"/>
    </xf>
    <xf numFmtId="0" fontId="89" fillId="82" borderId="0" applyNumberFormat="0" applyBorder="0" applyAlignment="0" applyProtection="0">
      <alignment vertical="center"/>
    </xf>
    <xf numFmtId="0" fontId="89" fillId="80" borderId="0" applyNumberFormat="0" applyBorder="0" applyAlignment="0" applyProtection="0">
      <alignment vertical="center"/>
    </xf>
    <xf numFmtId="0" fontId="89" fillId="88" borderId="0" applyNumberFormat="0" applyBorder="0" applyAlignment="0" applyProtection="0">
      <alignment vertical="center"/>
    </xf>
    <xf numFmtId="0" fontId="89" fillId="65" borderId="0" applyNumberFormat="0" applyBorder="0" applyAlignment="0" applyProtection="0">
      <alignment vertical="center"/>
    </xf>
    <xf numFmtId="0" fontId="269" fillId="0" borderId="0">
      <alignment vertical="center"/>
    </xf>
    <xf numFmtId="0" fontId="269" fillId="0" borderId="0">
      <alignment vertical="center"/>
    </xf>
    <xf numFmtId="0" fontId="269" fillId="0" borderId="0">
      <alignment vertical="center"/>
    </xf>
    <xf numFmtId="0" fontId="90" fillId="82" borderId="0" applyNumberFormat="0" applyBorder="0" applyAlignment="0" applyProtection="0">
      <alignment vertical="center"/>
    </xf>
    <xf numFmtId="0" fontId="92" fillId="0" borderId="26" applyNumberFormat="0" applyFill="0" applyAlignment="0" applyProtection="0">
      <alignment vertical="center"/>
    </xf>
    <xf numFmtId="0" fontId="93" fillId="57" borderId="0" applyNumberFormat="0" applyBorder="0" applyAlignment="0" applyProtection="0">
      <alignment vertical="center"/>
    </xf>
    <xf numFmtId="0" fontId="270" fillId="59" borderId="0" applyNumberFormat="0" applyBorder="0" applyAlignment="0" applyProtection="0">
      <alignment vertical="center"/>
    </xf>
    <xf numFmtId="0" fontId="270" fillId="60" borderId="0" applyNumberFormat="0" applyBorder="0" applyAlignment="0" applyProtection="0"/>
    <xf numFmtId="0" fontId="270" fillId="35" borderId="0" applyNumberFormat="0" applyBorder="0" applyAlignment="0" applyProtection="0">
      <alignment vertical="center"/>
    </xf>
    <xf numFmtId="0" fontId="94" fillId="59" borderId="0" applyNumberFormat="0" applyBorder="0" applyAlignment="0" applyProtection="0">
      <alignment vertical="center"/>
    </xf>
    <xf numFmtId="0" fontId="271" fillId="57" borderId="0" applyNumberFormat="0" applyBorder="0" applyAlignment="0" applyProtection="0">
      <alignment vertical="center"/>
    </xf>
    <xf numFmtId="0" fontId="271" fillId="58" borderId="0" applyNumberFormat="0" applyBorder="0" applyAlignment="0" applyProtection="0"/>
    <xf numFmtId="0" fontId="271" fillId="34" borderId="0" applyNumberFormat="0" applyBorder="0" applyAlignment="0" applyProtection="0">
      <alignment vertical="center"/>
    </xf>
    <xf numFmtId="0" fontId="268" fillId="92" borderId="0" applyNumberFormat="0" applyBorder="0" applyAlignment="0" applyProtection="0">
      <alignment vertical="center"/>
    </xf>
    <xf numFmtId="0" fontId="268" fillId="93" borderId="0" applyNumberFormat="0" applyBorder="0" applyAlignment="0" applyProtection="0"/>
    <xf numFmtId="0" fontId="268" fillId="47" borderId="0" applyNumberFormat="0" applyBorder="0" applyAlignment="0" applyProtection="0">
      <alignment vertical="center"/>
    </xf>
    <xf numFmtId="0" fontId="268" fillId="94" borderId="0" applyNumberFormat="0" applyBorder="0" applyAlignment="0" applyProtection="0">
      <alignment vertical="center"/>
    </xf>
    <xf numFmtId="0" fontId="268" fillId="95" borderId="0" applyNumberFormat="0" applyBorder="0" applyAlignment="0" applyProtection="0"/>
    <xf numFmtId="0" fontId="268" fillId="48" borderId="0" applyNumberFormat="0" applyBorder="0" applyAlignment="0" applyProtection="0">
      <alignment vertical="center"/>
    </xf>
    <xf numFmtId="0" fontId="268" fillId="96" borderId="0" applyNumberFormat="0" applyBorder="0" applyAlignment="0" applyProtection="0">
      <alignment vertical="center"/>
    </xf>
    <xf numFmtId="0" fontId="268" fillId="97" borderId="0" applyNumberFormat="0" applyBorder="0" applyAlignment="0" applyProtection="0"/>
    <xf numFmtId="0" fontId="268" fillId="49"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8" borderId="0" applyNumberFormat="0" applyBorder="0" applyAlignment="0" applyProtection="0">
      <alignment vertical="center"/>
    </xf>
    <xf numFmtId="0" fontId="268" fillId="99" borderId="0" applyNumberFormat="0" applyBorder="0" applyAlignment="0" applyProtection="0"/>
    <xf numFmtId="0" fontId="268" fillId="50" borderId="0" applyNumberFormat="0" applyBorder="0" applyAlignment="0" applyProtection="0">
      <alignment vertical="center"/>
    </xf>
    <xf numFmtId="0" fontId="273" fillId="0" borderId="19" applyNumberFormat="0" applyFill="0" applyAlignment="0" applyProtection="0"/>
    <xf numFmtId="0" fontId="273" fillId="0" borderId="19" applyNumberFormat="0" applyFill="0" applyAlignment="0" applyProtection="0">
      <alignment vertical="center"/>
    </xf>
    <xf numFmtId="0" fontId="272" fillId="0" borderId="0" applyNumberFormat="0" applyFill="0" applyBorder="0" applyAlignment="0" applyProtection="0">
      <alignment vertical="center"/>
    </xf>
    <xf numFmtId="0" fontId="274" fillId="0" borderId="20" applyNumberFormat="0" applyFill="0" applyAlignment="0" applyProtection="0"/>
    <xf numFmtId="0" fontId="274" fillId="0" borderId="20" applyNumberFormat="0" applyFill="0" applyAlignment="0" applyProtection="0">
      <alignment vertical="center"/>
    </xf>
    <xf numFmtId="0" fontId="275" fillId="0" borderId="21" applyNumberFormat="0" applyFill="0" applyAlignment="0" applyProtection="0"/>
    <xf numFmtId="0" fontId="275" fillId="0" borderId="21" applyNumberFormat="0" applyFill="0" applyAlignment="0" applyProtection="0">
      <alignment vertical="center"/>
    </xf>
    <xf numFmtId="0" fontId="275" fillId="0" borderId="0" applyNumberFormat="0" applyFill="0" applyBorder="0" applyAlignment="0" applyProtection="0"/>
    <xf numFmtId="0" fontId="275" fillId="0" borderId="0" applyNumberFormat="0" applyFill="0" applyBorder="0" applyAlignment="0" applyProtection="0">
      <alignment vertical="center"/>
    </xf>
    <xf numFmtId="0" fontId="272" fillId="0" borderId="0" applyNumberFormat="0" applyFill="0" applyBorder="0" applyAlignment="0" applyProtection="0"/>
    <xf numFmtId="0" fontId="276" fillId="100" borderId="18" applyNumberFormat="0" applyAlignment="0" applyProtection="0">
      <alignment vertical="center"/>
    </xf>
    <xf numFmtId="0" fontId="276" fillId="101" borderId="18" applyNumberFormat="0" applyAlignment="0" applyProtection="0"/>
    <xf numFmtId="0" fontId="276" fillId="52" borderId="18" applyNumberFormat="0" applyAlignment="0" applyProtection="0">
      <alignment vertical="center"/>
    </xf>
    <xf numFmtId="0" fontId="96" fillId="0" borderId="27" applyNumberFormat="0" applyFill="0" applyAlignment="0" applyProtection="0">
      <alignment vertical="center"/>
    </xf>
    <xf numFmtId="0" fontId="97" fillId="0" borderId="20" applyNumberFormat="0" applyFill="0" applyAlignment="0" applyProtection="0">
      <alignment vertical="center"/>
    </xf>
    <xf numFmtId="0" fontId="98" fillId="0" borderId="28" applyNumberFormat="0" applyFill="0" applyAlignment="0" applyProtection="0">
      <alignment vertical="center"/>
    </xf>
    <xf numFmtId="0" fontId="98"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9" fillId="100" borderId="18" applyNumberFormat="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100" fillId="68" borderId="17" applyNumberFormat="0" applyAlignment="0" applyProtection="0">
      <alignment vertical="center"/>
    </xf>
    <xf numFmtId="0" fontId="101" fillId="0" borderId="0" applyNumberFormat="0" applyFill="0" applyBorder="0" applyAlignment="0" applyProtection="0">
      <alignment vertical="center"/>
    </xf>
    <xf numFmtId="0" fontId="102" fillId="0" borderId="0" applyNumberFormat="0" applyFill="0" applyBorder="0" applyAlignment="0" applyProtection="0">
      <alignment vertical="center"/>
    </xf>
    <xf numFmtId="0" fontId="279" fillId="0" borderId="0" applyNumberFormat="0" applyFill="0" applyBorder="0" applyAlignment="0" applyProtection="0"/>
    <xf numFmtId="0" fontId="279" fillId="0" borderId="0" applyNumberFormat="0" applyFill="0" applyBorder="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89" fillId="88" borderId="0" applyNumberFormat="0" applyBorder="0" applyAlignment="0" applyProtection="0">
      <alignment vertical="center"/>
    </xf>
    <xf numFmtId="0" fontId="89" fillId="94" borderId="0" applyNumberFormat="0" applyBorder="0" applyAlignment="0" applyProtection="0">
      <alignment vertical="center"/>
    </xf>
    <xf numFmtId="0" fontId="89" fillId="96" borderId="0" applyNumberFormat="0" applyBorder="0" applyAlignment="0" applyProtection="0">
      <alignment vertical="center"/>
    </xf>
    <xf numFmtId="0" fontId="89" fillId="104" borderId="0" applyNumberFormat="0" applyBorder="0" applyAlignment="0" applyProtection="0">
      <alignment vertical="center"/>
    </xf>
    <xf numFmtId="0" fontId="89" fillId="88" borderId="0" applyNumberFormat="0" applyBorder="0" applyAlignment="0" applyProtection="0">
      <alignment vertical="center"/>
    </xf>
    <xf numFmtId="0" fontId="89" fillId="98" borderId="0" applyNumberFormat="0" applyBorder="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3" fillId="82" borderId="0" applyNumberFormat="0" applyBorder="0" applyAlignment="0" applyProtection="0">
      <alignment vertical="center"/>
    </xf>
    <xf numFmtId="0" fontId="283" fillId="83" borderId="0" applyNumberFormat="0" applyBorder="0" applyAlignment="0" applyProtection="0"/>
    <xf numFmtId="0" fontId="283" fillId="53" borderId="0" applyNumberFormat="0" applyBorder="0" applyAlignment="0" applyProtection="0">
      <alignment vertical="center"/>
    </xf>
    <xf numFmtId="0" fontId="105" fillId="0" borderId="22" applyNumberFormat="0" applyFill="0" applyAlignment="0" applyProtection="0">
      <alignment vertical="center"/>
    </xf>
    <xf numFmtId="0" fontId="284" fillId="0" borderId="22" applyNumberFormat="0" applyFill="0" applyAlignment="0" applyProtection="0"/>
    <xf numFmtId="0" fontId="284" fillId="0" borderId="22" applyNumberFormat="0" applyFill="0" applyAlignment="0" applyProtection="0">
      <alignment vertical="center"/>
    </xf>
    <xf numFmtId="0" fontId="272"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78" borderId="0" applyNumberFormat="0" applyBorder="0" applyAlignment="0" applyProtection="0">
      <alignment vertical="center"/>
    </xf>
    <xf numFmtId="0" fontId="267" fillId="72" borderId="0" applyNumberFormat="0" applyBorder="0" applyAlignment="0" applyProtection="0">
      <alignment vertical="center"/>
    </xf>
    <xf numFmtId="0" fontId="268" fillId="74" borderId="0" applyNumberFormat="0" applyBorder="0" applyAlignment="0" applyProtection="0">
      <alignment vertical="center"/>
    </xf>
    <xf numFmtId="0" fontId="276" fillId="100" borderId="18" applyNumberFormat="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79" fillId="0" borderId="0" applyNumberFormat="0" applyFill="0" applyBorder="0" applyAlignment="0" applyProtection="0">
      <alignment vertical="center"/>
    </xf>
    <xf numFmtId="0" fontId="283" fillId="82" borderId="0" applyNumberFormat="0" applyBorder="0" applyAlignment="0" applyProtection="0">
      <alignment vertical="center"/>
    </xf>
    <xf numFmtId="0" fontId="267" fillId="72" borderId="0" applyNumberFormat="0" applyBorder="0" applyAlignment="0" applyProtection="0">
      <alignment vertical="center"/>
    </xf>
    <xf numFmtId="0" fontId="268" fillId="90" borderId="0" applyNumberFormat="0" applyBorder="0" applyAlignment="0" applyProtection="0">
      <alignment vertical="center"/>
    </xf>
    <xf numFmtId="0" fontId="274" fillId="0" borderId="20" applyNumberFormat="0" applyFill="0" applyAlignment="0" applyProtection="0">
      <alignment vertical="center"/>
    </xf>
    <xf numFmtId="0" fontId="277" fillId="0" borderId="25" applyNumberFormat="0" applyFill="0" applyAlignment="0" applyProtection="0">
      <alignment vertical="center"/>
    </xf>
    <xf numFmtId="0" fontId="268" fillId="86" borderId="0" applyNumberFormat="0" applyBorder="0" applyAlignment="0" applyProtection="0">
      <alignment vertical="center"/>
    </xf>
    <xf numFmtId="0" fontId="268" fillId="86" borderId="0" applyNumberFormat="0" applyBorder="0" applyAlignment="0" applyProtection="0">
      <alignment vertical="center"/>
    </xf>
    <xf numFmtId="0" fontId="275" fillId="0" borderId="21" applyNumberFormat="0" applyFill="0" applyAlignment="0" applyProtection="0">
      <alignment vertical="center"/>
    </xf>
    <xf numFmtId="0" fontId="268" fillId="92" borderId="0" applyNumberFormat="0" applyBorder="0" applyAlignment="0" applyProtection="0">
      <alignment vertical="center"/>
    </xf>
    <xf numFmtId="0" fontId="267" fillId="57" borderId="0" applyNumberFormat="0" applyBorder="0" applyAlignment="0" applyProtection="0">
      <alignment vertical="center"/>
    </xf>
    <xf numFmtId="0" fontId="268" fillId="98" borderId="0" applyNumberFormat="0" applyBorder="0" applyAlignment="0" applyProtection="0">
      <alignment vertical="center"/>
    </xf>
    <xf numFmtId="0" fontId="280" fillId="80" borderId="17" applyNumberFormat="0" applyAlignment="0" applyProtection="0">
      <alignment vertical="center"/>
    </xf>
    <xf numFmtId="0" fontId="267" fillId="76" borderId="0" applyNumberFormat="0" applyBorder="0" applyAlignment="0" applyProtection="0">
      <alignment vertical="center"/>
    </xf>
    <xf numFmtId="0" fontId="273" fillId="0" borderId="19" applyNumberFormat="0" applyFill="0" applyAlignment="0" applyProtection="0">
      <alignment vertical="center"/>
    </xf>
    <xf numFmtId="0" fontId="268" fillId="88" borderId="0" applyNumberFormat="0" applyBorder="0" applyAlignment="0" applyProtection="0">
      <alignment vertical="center"/>
    </xf>
    <xf numFmtId="0" fontId="267" fillId="55" borderId="0" applyNumberFormat="0" applyBorder="0" applyAlignment="0" applyProtection="0">
      <alignment vertical="center"/>
    </xf>
    <xf numFmtId="0" fontId="281" fillId="65" borderId="17" applyNumberFormat="0" applyAlignment="0" applyProtection="0">
      <alignment vertical="center"/>
    </xf>
    <xf numFmtId="0" fontId="267" fillId="74" borderId="0" applyNumberFormat="0" applyBorder="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71" fillId="57" borderId="0" applyNumberFormat="0" applyBorder="0" applyAlignment="0" applyProtection="0">
      <alignment vertical="center"/>
    </xf>
    <xf numFmtId="0" fontId="268" fillId="88" borderId="0" applyNumberFormat="0" applyBorder="0" applyAlignment="0" applyProtection="0">
      <alignment vertical="center"/>
    </xf>
    <xf numFmtId="0" fontId="268" fillId="96" borderId="0" applyNumberFormat="0" applyBorder="0" applyAlignment="0" applyProtection="0">
      <alignment vertical="center"/>
    </xf>
    <xf numFmtId="0" fontId="284" fillId="0" borderId="22" applyNumberFormat="0" applyFill="0" applyAlignment="0" applyProtection="0">
      <alignment vertical="center"/>
    </xf>
    <xf numFmtId="0" fontId="267" fillId="59" borderId="0" applyNumberFormat="0" applyBorder="0" applyAlignment="0" applyProtection="0">
      <alignment vertical="center"/>
    </xf>
    <xf numFmtId="0" fontId="275" fillId="0" borderId="0" applyNumberFormat="0" applyFill="0" applyBorder="0" applyAlignment="0" applyProtection="0">
      <alignment vertical="center"/>
    </xf>
    <xf numFmtId="0" fontId="268" fillId="84" borderId="0" applyNumberFormat="0" applyBorder="0" applyAlignment="0" applyProtection="0">
      <alignment vertical="center"/>
    </xf>
    <xf numFmtId="0" fontId="270" fillId="59" borderId="0" applyNumberFormat="0" applyBorder="0" applyAlignment="0" applyProtection="0">
      <alignment vertical="center"/>
    </xf>
    <xf numFmtId="0" fontId="267" fillId="61" borderId="0" applyNumberFormat="0" applyBorder="0" applyAlignment="0" applyProtection="0">
      <alignment vertical="center"/>
    </xf>
    <xf numFmtId="0" fontId="267" fillId="65" borderId="0" applyNumberFormat="0" applyBorder="0" applyAlignment="0" applyProtection="0">
      <alignment vertical="center"/>
    </xf>
    <xf numFmtId="0" fontId="267" fillId="61" borderId="0" applyNumberFormat="0" applyBorder="0" applyAlignment="0" applyProtection="0">
      <alignment vertical="center"/>
    </xf>
    <xf numFmtId="0" fontId="267" fillId="0" borderId="0"/>
    <xf numFmtId="0" fontId="267" fillId="0" borderId="0"/>
    <xf numFmtId="0" fontId="267" fillId="37" borderId="0" applyNumberFormat="0" applyBorder="0" applyAlignment="0" applyProtection="0">
      <alignment vertical="center"/>
    </xf>
    <xf numFmtId="0" fontId="284" fillId="0" borderId="22" applyNumberFormat="0" applyFill="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8" fillId="44" borderId="0" applyNumberFormat="0" applyBorder="0" applyAlignment="0" applyProtection="0">
      <alignment vertical="center"/>
    </xf>
    <xf numFmtId="0" fontId="272"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271" fillId="34" borderId="0" applyNumberFormat="0" applyBorder="0" applyAlignment="0" applyProtection="0">
      <alignment vertical="center"/>
    </xf>
    <xf numFmtId="0" fontId="270" fillId="35" borderId="0" applyNumberFormat="0" applyBorder="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76" fillId="52" borderId="18" applyNumberFormat="0" applyAlignment="0" applyProtection="0">
      <alignment vertical="center"/>
    </xf>
    <xf numFmtId="0" fontId="279" fillId="0" borderId="0" applyNumberFormat="0" applyFill="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81" fillId="38" borderId="17" applyNumberFormat="0" applyAlignment="0" applyProtection="0">
      <alignment vertical="center"/>
    </xf>
    <xf numFmtId="0" fontId="267" fillId="42" borderId="0" applyNumberFormat="0" applyBorder="0" applyAlignment="0" applyProtection="0">
      <alignment vertical="center"/>
    </xf>
    <xf numFmtId="0" fontId="274" fillId="0" borderId="20" applyNumberFormat="0" applyFill="0" applyAlignment="0" applyProtection="0">
      <alignment vertical="center"/>
    </xf>
    <xf numFmtId="0" fontId="283" fillId="53" borderId="0" applyNumberFormat="0" applyBorder="0" applyAlignment="0" applyProtection="0">
      <alignment vertical="center"/>
    </xf>
    <xf numFmtId="0" fontId="269" fillId="54" borderId="23" applyNumberFormat="0" applyFont="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3" fillId="0" borderId="19" applyNumberFormat="0" applyFill="0" applyAlignment="0" applyProtection="0">
      <alignment vertical="center"/>
    </xf>
    <xf numFmtId="0" fontId="275" fillId="0" borderId="21" applyNumberFormat="0" applyFill="0" applyAlignment="0" applyProtection="0">
      <alignment vertical="center"/>
    </xf>
    <xf numFmtId="0" fontId="278" fillId="0" borderId="0" applyNumberFormat="0" applyFill="0" applyBorder="0" applyAlignment="0" applyProtection="0">
      <alignment vertical="center"/>
    </xf>
    <xf numFmtId="0" fontId="268" fillId="47" borderId="0" applyNumberFormat="0" applyBorder="0" applyAlignment="0" applyProtection="0">
      <alignment vertical="center"/>
    </xf>
    <xf numFmtId="0" fontId="268" fillId="48" borderId="0" applyNumberFormat="0" applyBorder="0" applyAlignment="0" applyProtection="0">
      <alignment vertical="center"/>
    </xf>
    <xf numFmtId="0" fontId="268" fillId="50" borderId="0" applyNumberFormat="0" applyBorder="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8" fillId="69" borderId="0"/>
    <xf numFmtId="0" fontId="88" fillId="66" borderId="0"/>
    <xf numFmtId="0" fontId="88" fillId="71" borderId="0"/>
    <xf numFmtId="0" fontId="88" fillId="69" borderId="0"/>
    <xf numFmtId="0" fontId="88" fillId="64" borderId="0"/>
    <xf numFmtId="0" fontId="88" fillId="66" borderId="0"/>
    <xf numFmtId="0" fontId="267" fillId="60" borderId="0"/>
    <xf numFmtId="0" fontId="267" fillId="75" borderId="0"/>
    <xf numFmtId="0" fontId="267" fillId="77" borderId="0"/>
    <xf numFmtId="0" fontId="267" fillId="62" borderId="0"/>
    <xf numFmtId="0" fontId="267" fillId="73" borderId="0"/>
    <xf numFmtId="0" fontId="267" fillId="79" borderId="0"/>
    <xf numFmtId="0" fontId="88" fillId="81" borderId="0"/>
    <xf numFmtId="0" fontId="267" fillId="73" borderId="0"/>
    <xf numFmtId="0" fontId="267" fillId="62" borderId="0"/>
    <xf numFmtId="0" fontId="267" fillId="56" borderId="0"/>
    <xf numFmtId="0" fontId="267" fillId="58" borderId="0"/>
    <xf numFmtId="0" fontId="267" fillId="64" borderId="0"/>
    <xf numFmtId="0" fontId="88" fillId="75" borderId="0"/>
    <xf numFmtId="0" fontId="267" fillId="66" borderId="0"/>
    <xf numFmtId="0" fontId="88" fillId="83" borderId="0"/>
    <xf numFmtId="0" fontId="88" fillId="81" borderId="0"/>
    <xf numFmtId="0" fontId="88" fillId="73" borderId="0"/>
    <xf numFmtId="0" fontId="88" fillId="66" borderId="0"/>
    <xf numFmtId="0" fontId="268" fillId="85" borderId="0"/>
    <xf numFmtId="0" fontId="268" fillId="75" borderId="0"/>
    <xf numFmtId="0" fontId="268" fillId="77" borderId="0"/>
    <xf numFmtId="0" fontId="268" fillId="87" borderId="0"/>
    <xf numFmtId="0" fontId="268" fillId="89" borderId="0"/>
    <xf numFmtId="0" fontId="268" fillId="91" borderId="0"/>
    <xf numFmtId="0" fontId="89" fillId="89" borderId="0"/>
    <xf numFmtId="0" fontId="89" fillId="75" borderId="0"/>
    <xf numFmtId="0" fontId="89" fillId="83" borderId="0"/>
    <xf numFmtId="0" fontId="89" fillId="81" borderId="0"/>
    <xf numFmtId="0" fontId="89" fillId="89" borderId="0"/>
    <xf numFmtId="0" fontId="89" fillId="66" borderId="0"/>
    <xf numFmtId="0" fontId="90" fillId="83" borderId="0"/>
    <xf numFmtId="0" fontId="92" fillId="0" borderId="26"/>
    <xf numFmtId="0" fontId="93" fillId="58" borderId="0"/>
    <xf numFmtId="0" fontId="270" fillId="60" borderId="0"/>
    <xf numFmtId="0" fontId="94" fillId="60" borderId="0"/>
    <xf numFmtId="0" fontId="271" fillId="58" borderId="0"/>
    <xf numFmtId="0" fontId="268" fillId="93" borderId="0"/>
    <xf numFmtId="0" fontId="268" fillId="95" borderId="0"/>
    <xf numFmtId="0" fontId="268" fillId="97" borderId="0"/>
    <xf numFmtId="0" fontId="268" fillId="87" borderId="0"/>
    <xf numFmtId="0" fontId="268" fillId="89" borderId="0"/>
    <xf numFmtId="0" fontId="268" fillId="99" borderId="0"/>
    <xf numFmtId="0" fontId="272" fillId="0" borderId="0"/>
    <xf numFmtId="0" fontId="273" fillId="0" borderId="19"/>
    <xf numFmtId="0" fontId="274" fillId="0" borderId="20"/>
    <xf numFmtId="0" fontId="275" fillId="0" borderId="21"/>
    <xf numFmtId="0" fontId="275" fillId="0" borderId="0"/>
    <xf numFmtId="0" fontId="276" fillId="101" borderId="18"/>
    <xf numFmtId="0" fontId="95" fillId="0" borderId="0"/>
    <xf numFmtId="0" fontId="96" fillId="0" borderId="27"/>
    <xf numFmtId="0" fontId="97" fillId="0" borderId="20"/>
    <xf numFmtId="0" fontId="98" fillId="0" borderId="28"/>
    <xf numFmtId="0" fontId="98" fillId="0" borderId="0"/>
    <xf numFmtId="0" fontId="99" fillId="101" borderId="18"/>
    <xf numFmtId="0" fontId="277" fillId="0" borderId="25"/>
    <xf numFmtId="0" fontId="278" fillId="0" borderId="0"/>
    <xf numFmtId="0" fontId="100" fillId="69" borderId="17"/>
    <xf numFmtId="0" fontId="101" fillId="0" borderId="0"/>
    <xf numFmtId="0" fontId="102" fillId="0" borderId="0"/>
    <xf numFmtId="0" fontId="279" fillId="0" borderId="0"/>
    <xf numFmtId="0" fontId="280" fillId="81" borderId="17"/>
    <xf numFmtId="0" fontId="89" fillId="89" borderId="0"/>
    <xf numFmtId="0" fontId="89" fillId="95" borderId="0"/>
    <xf numFmtId="0" fontId="89" fillId="97" borderId="0"/>
    <xf numFmtId="0" fontId="89" fillId="105" borderId="0"/>
    <xf numFmtId="0" fontId="89" fillId="89" borderId="0"/>
    <xf numFmtId="0" fontId="89" fillId="99" borderId="0"/>
    <xf numFmtId="0" fontId="103" fillId="66" borderId="17"/>
    <xf numFmtId="0" fontId="104" fillId="69" borderId="24"/>
    <xf numFmtId="0" fontId="281" fillId="66" borderId="17"/>
    <xf numFmtId="0" fontId="282" fillId="81" borderId="24"/>
    <xf numFmtId="0" fontId="283" fillId="83" borderId="0"/>
    <xf numFmtId="0" fontId="105" fillId="0" borderId="22"/>
    <xf numFmtId="0" fontId="284" fillId="0" borderId="22"/>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243" fillId="69" borderId="17"/>
    <xf numFmtId="0" fontId="119" fillId="0" borderId="25" applyNumberFormat="0" applyFill="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54" fillId="0" borderId="25" applyNumberFormat="0" applyFill="0" applyAlignment="0" applyProtection="0">
      <alignment vertical="center"/>
    </xf>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0" fontId="30" fillId="0" borderId="0"/>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50" fillId="4" borderId="0" applyNumberFormat="0" applyBorder="0" applyAlignment="0" applyProtection="0"/>
    <xf numFmtId="0" fontId="31" fillId="32" borderId="16" applyNumberFormat="0" applyFont="0" applyAlignment="0" applyProtection="0"/>
    <xf numFmtId="9" fontId="30" fillId="0" borderId="0" applyFont="0" applyFill="0" applyBorder="0" applyAlignment="0" applyProtection="0"/>
    <xf numFmtId="0" fontId="3" fillId="0" borderId="0" applyNumberFormat="0" applyFill="0" applyBorder="0" applyAlignment="0" applyProtection="0"/>
    <xf numFmtId="0" fontId="40" fillId="35" borderId="0" applyNumberFormat="0" applyBorder="0" applyAlignment="0" applyProtection="0"/>
    <xf numFmtId="0" fontId="39" fillId="34"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53" borderId="0" applyNumberFormat="0" applyBorder="0" applyAlignment="0" applyProtection="0"/>
    <xf numFmtId="0" fontId="46" fillId="0" borderId="22" applyNumberFormat="0" applyFill="0" applyAlignment="0" applyProtection="0"/>
    <xf numFmtId="0" fontId="68" fillId="0" borderId="0">
      <alignment vertical="center"/>
    </xf>
    <xf numFmtId="0" fontId="30" fillId="0" borderId="0"/>
    <xf numFmtId="0" fontId="30" fillId="0" borderId="0"/>
    <xf numFmtId="9" fontId="30" fillId="0" borderId="0" applyFont="0" applyFill="0" applyBorder="0" applyAlignment="0" applyProtection="0"/>
    <xf numFmtId="0" fontId="73" fillId="0" borderId="0"/>
    <xf numFmtId="0" fontId="51" fillId="0" borderId="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235" fillId="0" borderId="26"/>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8" fillId="0" borderId="26"/>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80" fillId="0" borderId="25" applyNumberFormat="0" applyFill="0" applyAlignment="0" applyProtection="0"/>
    <xf numFmtId="0" fontId="83" fillId="80" borderId="17" applyNumberForma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47" fillId="69" borderId="24"/>
    <xf numFmtId="0" fontId="85" fillId="81" borderId="24"/>
    <xf numFmtId="0" fontId="85" fillId="80"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243" fillId="69" borderId="17"/>
    <xf numFmtId="0" fontId="119" fillId="0" borderId="25" applyNumberFormat="0" applyFill="0" applyAlignment="0" applyProtection="0"/>
    <xf numFmtId="0" fontId="159" fillId="51" borderId="24"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9" fillId="81" borderId="24" applyNumberFormat="0" applyAlignment="0" applyProtection="0"/>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57" fillId="80" borderId="17" applyNumberFormat="0" applyAlignment="0" applyProtection="0">
      <alignment vertical="center"/>
    </xf>
    <xf numFmtId="0" fontId="158" fillId="65"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215" fillId="54" borderId="23" applyNumberFormat="0" applyFont="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28" fillId="51" borderId="24" applyNumberFormat="0" applyAlignment="0" applyProtection="0">
      <alignment vertical="center"/>
    </xf>
    <xf numFmtId="0" fontId="227" fillId="38" borderId="17" applyNumberFormat="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00" fillId="68" borderId="17" applyNumberFormat="0" applyAlignment="0" applyProtection="0">
      <alignment vertical="center"/>
    </xf>
    <xf numFmtId="0" fontId="113" fillId="51" borderId="24" applyNumberFormat="0" applyAlignment="0" applyProtection="0"/>
    <xf numFmtId="0" fontId="114" fillId="81" borderId="17" applyNumberFormat="0" applyAlignment="0" applyProtection="0"/>
    <xf numFmtId="0" fontId="1" fillId="70" borderId="23" applyNumberFormat="0" applyFont="0" applyAlignment="0" applyProtection="0"/>
    <xf numFmtId="0" fontId="197" fillId="54" borderId="23" applyNumberFormat="0" applyFon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5" borderId="17" applyNumberFormat="0" applyAlignment="0" applyProtection="0">
      <alignment vertical="center"/>
    </xf>
    <xf numFmtId="0" fontId="277" fillId="0" borderId="25" applyNumberFormat="0" applyFill="0" applyAlignment="0" applyProtection="0">
      <alignment vertical="center"/>
    </xf>
    <xf numFmtId="0" fontId="48" fillId="51" borderId="24" applyNumberFormat="0" applyAlignment="0" applyProtection="0"/>
    <xf numFmtId="0" fontId="80" fillId="0" borderId="25" applyNumberFormat="0" applyFill="0" applyAlignment="0" applyProtection="0">
      <alignment vertical="center"/>
    </xf>
    <xf numFmtId="0" fontId="1" fillId="71" borderId="23" applyNumberFormat="0" applyAlignment="0" applyProtection="0"/>
    <xf numFmtId="0" fontId="281" fillId="38" borderId="17"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57" fillId="81" borderId="17" applyNumberFormat="0" applyAlignment="0" applyProtection="0"/>
    <xf numFmtId="0" fontId="159" fillId="81" borderId="24"/>
    <xf numFmtId="0" fontId="336" fillId="68" borderId="17" applyNumberFormat="0" applyAlignment="0" applyProtection="0">
      <alignment vertical="center"/>
    </xf>
    <xf numFmtId="0" fontId="336" fillId="68" borderId="17" applyNumberFormat="0" applyAlignment="0" applyProtection="0">
      <alignment vertical="center"/>
    </xf>
    <xf numFmtId="0" fontId="80" fillId="0" borderId="25"/>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113" fillId="81" borderId="24" applyNumberFormat="0" applyAlignment="0" applyProtection="0"/>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182" fillId="68" borderId="24"/>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228" fillId="51"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03" fillId="65"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12" fillId="65" borderId="17" applyNumberFormat="0" applyAlignment="0" applyProtection="0"/>
    <xf numFmtId="0" fontId="126" fillId="51" borderId="17" applyNumberFormat="0" applyAlignment="0" applyProtection="0">
      <alignment vertical="center"/>
    </xf>
    <xf numFmtId="0" fontId="119" fillId="0" borderId="25" applyNumberFormat="0" applyFill="0" applyAlignment="0" applyProtection="0"/>
    <xf numFmtId="0" fontId="172" fillId="0" borderId="25" applyNumberFormat="0" applyFill="0" applyAlignment="0" applyProtection="0">
      <alignment vertical="center"/>
    </xf>
    <xf numFmtId="0" fontId="80" fillId="0" borderId="25" applyNumberFormat="0" applyFill="0" applyAlignment="0" applyProtection="0">
      <alignment vertical="center"/>
    </xf>
    <xf numFmtId="0" fontId="100" fillId="68" borderId="17" applyNumberFormat="0" applyAlignment="0" applyProtection="0">
      <alignment vertical="center"/>
    </xf>
    <xf numFmtId="0" fontId="340" fillId="68" borderId="24"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263"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94" fillId="65" borderId="17"/>
    <xf numFmtId="0" fontId="133" fillId="38"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33" fillId="38" borderId="17" applyNumberFormat="0" applyAlignment="0" applyProtection="0">
      <alignment vertical="center"/>
    </xf>
    <xf numFmtId="0" fontId="112" fillId="38" borderId="17" applyNumberFormat="0" applyAlignment="0" applyProtection="0"/>
    <xf numFmtId="0" fontId="41" fillId="0" borderId="25" applyNumberFormat="0" applyFill="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194" fillId="65"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92" fillId="0" borderId="26"/>
    <xf numFmtId="0" fontId="277" fillId="0" borderId="25" applyNumberFormat="0" applyFill="0" applyAlignment="0" applyProtection="0">
      <alignment vertical="center"/>
    </xf>
    <xf numFmtId="0" fontId="1" fillId="71" borderId="23" applyNumberFormat="0" applyAlignment="0" applyProtection="0"/>
    <xf numFmtId="0" fontId="100" fillId="69" borderId="17" applyNumberFormat="0" applyAlignment="0" applyProtection="0"/>
    <xf numFmtId="0" fontId="194" fillId="65" borderId="17" applyNumberFormat="0" applyAlignment="0" applyProtection="0">
      <alignment vertical="center"/>
    </xf>
    <xf numFmtId="0" fontId="176" fillId="38" borderId="17" applyNumberFormat="0" applyAlignment="0" applyProtection="0">
      <alignment vertical="center"/>
    </xf>
    <xf numFmtId="0" fontId="210" fillId="51" borderId="24" applyNumberForma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320" fillId="68" borderId="24"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94" fillId="65" borderId="17"/>
    <xf numFmtId="0" fontId="80" fillId="0" borderId="25" applyNumberFormat="0" applyFill="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103" fillId="66" borderId="17" applyNumberFormat="0" applyAlignment="0" applyProtection="0"/>
    <xf numFmtId="0" fontId="210" fillId="51" borderId="24" applyNumberFormat="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46" fillId="65" borderId="17" applyNumberFormat="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3" fillId="81" borderId="17" applyNumberFormat="0" applyAlignment="0" applyProtection="0"/>
    <xf numFmtId="0" fontId="113" fillId="51" borderId="24" applyNumberFormat="0" applyAlignment="0" applyProtection="0"/>
    <xf numFmtId="0" fontId="104" fillId="67" borderId="24" applyNumberFormat="0" applyAlignment="0" applyProtection="0">
      <alignment vertical="center"/>
    </xf>
    <xf numFmtId="0" fontId="1" fillId="70" borderId="23" applyNumberFormat="0" applyFon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85" fillId="81" borderId="24"/>
    <xf numFmtId="0" fontId="247" fillId="69" borderId="24"/>
    <xf numFmtId="0" fontId="113" fillId="81" borderId="24"/>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81" borderId="24"/>
    <xf numFmtId="0" fontId="104" fillId="69" borderId="24"/>
    <xf numFmtId="0" fontId="104" fillId="68"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82" fillId="68" borderId="24"/>
    <xf numFmtId="0" fontId="85"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1" borderId="24"/>
    <xf numFmtId="0" fontId="113" fillId="80" borderId="24" applyNumberFormat="0" applyAlignment="0" applyProtection="0"/>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83" fillId="51" borderId="17"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103" fillId="66" borderId="17" applyNumberFormat="0" applyAlignment="0" applyProtection="0"/>
    <xf numFmtId="0" fontId="112" fillId="65"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194"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46" fillId="65" borderId="17" applyNumberFormat="0" applyAlignment="0" applyProtection="0">
      <alignment vertical="center"/>
    </xf>
    <xf numFmtId="0" fontId="281" fillId="38" borderId="17" applyNumberFormat="0" applyAlignment="0" applyProtection="0">
      <alignment vertical="center"/>
    </xf>
    <xf numFmtId="0" fontId="183" fillId="6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320" fillId="68"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39" fillId="51" borderId="24" applyNumberFormat="0" applyAlignment="0" applyProtection="0">
      <alignment vertical="center"/>
    </xf>
    <xf numFmtId="0" fontId="182" fillId="68" borderId="24"/>
    <xf numFmtId="0" fontId="182"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04" fillId="67" borderId="24" applyNumberFormat="0" applyAlignment="0" applyProtection="0">
      <alignment vertical="center"/>
    </xf>
    <xf numFmtId="0" fontId="182" fillId="68"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2"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94" fillId="65" borderId="17" applyNumberFormat="0" applyAlignment="0" applyProtection="0">
      <alignment vertical="center"/>
    </xf>
    <xf numFmtId="0" fontId="281" fillId="38" borderId="17" applyNumberFormat="0" applyAlignment="0" applyProtection="0">
      <alignment vertical="center"/>
    </xf>
    <xf numFmtId="0" fontId="159" fillId="51" borderId="24" applyNumberFormat="0" applyAlignment="0" applyProtection="0">
      <alignment vertical="center"/>
    </xf>
    <xf numFmtId="0" fontId="126"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119" fillId="0" borderId="25" applyNumberFormat="0" applyFill="0" applyAlignment="0" applyProtection="0"/>
    <xf numFmtId="0" fontId="340"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83" fillId="81"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84" fillId="65" borderId="17" applyNumberFormat="0" applyAlignment="0" applyProtection="0">
      <alignment vertical="center"/>
    </xf>
    <xf numFmtId="0" fontId="112" fillId="66" borderId="17"/>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59" fillId="81" borderId="24" applyNumberFormat="0" applyAlignment="0" applyProtection="0"/>
    <xf numFmtId="0" fontId="340" fillId="69" borderId="24"/>
    <xf numFmtId="0" fontId="277" fillId="0" borderId="25" applyNumberFormat="0" applyFill="0" applyAlignment="0" applyProtection="0">
      <alignment vertical="center"/>
    </xf>
    <xf numFmtId="0" fontId="83" fillId="81" borderId="17" applyNumberFormat="0" applyAlignment="0" applyProtection="0"/>
    <xf numFmtId="0" fontId="84" fillId="65" borderId="17" applyNumberFormat="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243" fillId="69" borderId="17"/>
    <xf numFmtId="0" fontId="83" fillId="51" borderId="17" applyNumberFormat="0" applyAlignment="0" applyProtection="0">
      <alignment vertical="center"/>
    </xf>
    <xf numFmtId="0" fontId="262" fillId="51" borderId="17" applyNumberFormat="0" applyAlignment="0" applyProtection="0">
      <alignment vertical="center"/>
    </xf>
    <xf numFmtId="0" fontId="100" fillId="6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27" fillId="38" borderId="17" applyNumberFormat="0" applyAlignment="0" applyProtection="0">
      <alignment vertical="center"/>
    </xf>
    <xf numFmtId="0" fontId="277" fillId="0" borderId="25" applyNumberFormat="0" applyFill="0" applyAlignment="0" applyProtection="0">
      <alignment vertical="center"/>
    </xf>
    <xf numFmtId="0" fontId="84" fillId="38" borderId="17" applyNumberFormat="0" applyAlignment="0" applyProtection="0">
      <alignment vertical="center"/>
    </xf>
    <xf numFmtId="0" fontId="114" fillId="81" borderId="17" applyNumberFormat="0" applyAlignment="0" applyProtection="0"/>
    <xf numFmtId="0" fontId="183" fillId="68" borderId="17" applyNumberFormat="0" applyAlignment="0" applyProtection="0">
      <alignment vertical="center"/>
    </xf>
    <xf numFmtId="0" fontId="321" fillId="65" borderId="17" applyNumberFormat="0" applyAlignment="0" applyProtection="0">
      <alignment vertical="center"/>
    </xf>
    <xf numFmtId="0" fontId="223" fillId="0" borderId="25" applyNumberFormat="0" applyFill="0" applyAlignment="0" applyProtection="0">
      <alignment vertical="center"/>
    </xf>
    <xf numFmtId="0" fontId="84"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33" fillId="38" borderId="17" applyNumberFormat="0" applyAlignment="0" applyProtection="0">
      <alignment vertical="center"/>
    </xf>
    <xf numFmtId="0" fontId="183" fillId="68" borderId="17"/>
    <xf numFmtId="0" fontId="114" fillId="80" borderId="17" applyNumberFormat="0" applyAlignment="0" applyProtection="0"/>
    <xf numFmtId="0" fontId="83" fillId="51" borderId="17" applyNumberFormat="0" applyAlignment="0" applyProtection="0">
      <alignment vertical="center"/>
    </xf>
    <xf numFmtId="0" fontId="119" fillId="0" borderId="25"/>
    <xf numFmtId="0" fontId="100" fillId="69"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6" fillId="65" borderId="17" applyNumberFormat="0" applyAlignment="0" applyProtection="0">
      <alignment vertical="center"/>
    </xf>
    <xf numFmtId="0" fontId="321"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08" fillId="51" borderId="17" applyNumberFormat="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84" fillId="66" borderId="17" applyNumberFormat="0" applyAlignment="0" applyProtection="0"/>
    <xf numFmtId="0" fontId="175" fillId="51"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1" borderId="24"/>
    <xf numFmtId="0" fontId="281" fillId="65" borderId="17" applyNumberFormat="0" applyAlignment="0" applyProtection="0">
      <alignment vertical="center"/>
    </xf>
    <xf numFmtId="0" fontId="183" fillId="67" borderId="17" applyNumberFormat="0" applyAlignment="0" applyProtection="0">
      <alignment vertical="center"/>
    </xf>
    <xf numFmtId="0" fontId="114" fillId="80" borderId="17" applyNumberFormat="0" applyAlignment="0" applyProtection="0"/>
    <xf numFmtId="0" fontId="194" fillId="65" borderId="17"/>
    <xf numFmtId="0" fontId="209"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80" fillId="0" borderId="25"/>
    <xf numFmtId="0" fontId="42" fillId="51" borderId="17" applyNumberFormat="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26" fillId="51"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112" fillId="66" borderId="17" applyNumberFormat="0" applyAlignment="0" applyProtection="0"/>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23" fillId="0" borderId="25" applyNumberFormat="0" applyFill="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112" fillId="65" borderId="17" applyNumberFormat="0" applyAlignment="0" applyProtection="0"/>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9" fillId="0" borderId="25" applyNumberFormat="0" applyFill="0" applyAlignment="0" applyProtection="0"/>
    <xf numFmtId="0" fontId="183" fillId="68" borderId="17" applyNumberForma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175" fillId="51" borderId="17" applyNumberFormat="0" applyAlignment="0" applyProtection="0">
      <alignment vertical="center"/>
    </xf>
    <xf numFmtId="0" fontId="126" fillId="51" borderId="17" applyNumberFormat="0" applyAlignment="0" applyProtection="0">
      <alignment vertical="center"/>
    </xf>
    <xf numFmtId="0" fontId="83" fillId="80"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226"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246" fillId="66" borderId="17"/>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26" fillId="51" borderId="17" applyNumberFormat="0" applyAlignment="0" applyProtection="0">
      <alignment vertical="center"/>
    </xf>
    <xf numFmtId="0" fontId="281" fillId="65" borderId="17" applyNumberFormat="0" applyAlignment="0" applyProtection="0">
      <alignment vertical="center"/>
    </xf>
    <xf numFmtId="0" fontId="2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03"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alignment vertical="center"/>
    </xf>
    <xf numFmtId="0" fontId="183" fillId="68" borderId="17"/>
    <xf numFmtId="0" fontId="280" fillId="51"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158" fillId="38" borderId="17" applyNumberFormat="0" applyAlignment="0" applyProtection="0">
      <alignment vertical="center"/>
    </xf>
    <xf numFmtId="0" fontId="114" fillId="80" borderId="17" applyNumberFormat="0" applyAlignment="0" applyProtection="0"/>
    <xf numFmtId="0" fontId="159" fillId="80" borderId="24" applyNumberFormat="0" applyAlignment="0" applyProtection="0">
      <alignment vertical="center"/>
    </xf>
    <xf numFmtId="0" fontId="183" fillId="68" borderId="17"/>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94" fillId="65"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83" fillId="81" borderId="17"/>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183" fillId="68" borderId="17"/>
    <xf numFmtId="0" fontId="159" fillId="81" borderId="24"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4" fillId="51"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259"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2" fillId="65" borderId="17" applyNumberFormat="0" applyAlignment="0" applyProtection="0"/>
    <xf numFmtId="0" fontId="172" fillId="0" borderId="25" applyNumberFormat="0" applyFill="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27" fillId="38" borderId="17" applyNumberFormat="0" applyAlignment="0" applyProtection="0">
      <alignment vertical="center"/>
    </xf>
    <xf numFmtId="0" fontId="340" fillId="68" borderId="24" applyNumberFormat="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77" fillId="0" borderId="25"/>
    <xf numFmtId="0" fontId="277" fillId="0" borderId="25" applyNumberFormat="0" applyFill="0" applyAlignment="0" applyProtection="0">
      <alignment vertical="center"/>
    </xf>
    <xf numFmtId="0" fontId="280" fillId="80" borderId="17" applyNumberFormat="0" applyAlignment="0" applyProtection="0">
      <alignment vertical="center"/>
    </xf>
    <xf numFmtId="0" fontId="282" fillId="81" borderId="24"/>
    <xf numFmtId="0" fontId="281" fillId="66" borderId="17"/>
    <xf numFmtId="0" fontId="104" fillId="69" borderId="24"/>
    <xf numFmtId="0" fontId="92" fillId="0" borderId="26"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277" fillId="0" borderId="25" applyNumberFormat="0" applyFill="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83" fillId="51" borderId="17"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xf numFmtId="0" fontId="157" fillId="51" borderId="17" applyNumberFormat="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7" fillId="51"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57" fillId="80" borderId="17" applyNumberFormat="0" applyAlignment="0" applyProtection="0">
      <alignment vertical="center"/>
    </xf>
    <xf numFmtId="0" fontId="336" fillId="69" borderId="17"/>
    <xf numFmtId="0" fontId="158" fillId="66" borderId="17"/>
    <xf numFmtId="0" fontId="159" fillId="51"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1" borderId="17" applyNumberFormat="0" applyAlignment="0" applyProtection="0"/>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9" fillId="80" borderId="24" applyNumberFormat="0" applyAlignment="0" applyProtection="0">
      <alignment vertical="center"/>
    </xf>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282" fillId="51" borderId="24" applyNumberFormat="0" applyAlignment="0" applyProtection="0">
      <alignment vertical="center"/>
    </xf>
    <xf numFmtId="0" fontId="182" fillId="68" borderId="24"/>
    <xf numFmtId="0" fontId="113"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320"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59" fillId="51"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83" fillId="80" borderId="17" applyNumberFormat="0" applyAlignment="0" applyProtection="0">
      <alignment vertical="center"/>
    </xf>
    <xf numFmtId="0" fontId="262" fillId="51" borderId="17" applyNumberFormat="0" applyAlignment="0" applyProtection="0">
      <alignment vertical="center"/>
    </xf>
    <xf numFmtId="0" fontId="103" fillId="65" borderId="17"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83" fillId="67" borderId="17" applyNumberFormat="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38" borderId="17" applyNumberFormat="0" applyAlignment="0" applyProtection="0">
      <alignment vertical="center"/>
    </xf>
    <xf numFmtId="0" fontId="100"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09" fillId="38"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85" fillId="81" borderId="24" applyNumberFormat="0" applyAlignment="0" applyProtection="0"/>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69" fillId="54" borderId="23" applyNumberFormat="0" applyFon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26" fillId="51" borderId="17" applyNumberForma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183" fillId="68"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251" fillId="54" borderId="23" applyNumberFormat="0" applyFont="0" applyAlignment="0" applyProtection="0">
      <alignment vertical="center"/>
    </xf>
    <xf numFmtId="0" fontId="1" fillId="70" borderId="23" applyNumberFormat="0" applyFont="0" applyAlignment="0" applyProtection="0">
      <alignment vertical="center"/>
    </xf>
    <xf numFmtId="0" fontId="83" fillId="81" borderId="17" applyNumberFormat="0" applyAlignment="0" applyProtection="0"/>
    <xf numFmtId="0" fontId="182" fillId="67"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54" borderId="23" applyNumberFormat="0" applyFont="0" applyAlignment="0" applyProtection="0"/>
    <xf numFmtId="0" fontId="113" fillId="81" borderId="24" applyNumberFormat="0" applyAlignment="0" applyProtection="0"/>
    <xf numFmtId="0" fontId="1" fillId="71" borderId="23" applyNumberFormat="0" applyAlignment="0" applyProtection="0"/>
    <xf numFmtId="0" fontId="83" fillId="51" borderId="17" applyNumberFormat="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14" fillId="80" borderId="17" applyNumberFormat="0" applyAlignment="0" applyProtection="0"/>
    <xf numFmtId="0" fontId="262"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210" fillId="51" borderId="24" applyNumberFormat="0" applyAlignment="0" applyProtection="0">
      <alignment vertical="center"/>
    </xf>
    <xf numFmtId="0" fontId="84" fillId="65" borderId="17" applyNumberFormat="0" applyAlignment="0" applyProtection="0">
      <alignment vertical="center"/>
    </xf>
    <xf numFmtId="0" fontId="104" fillId="69" borderId="24" applyNumberFormat="0" applyAlignment="0" applyProtection="0"/>
    <xf numFmtId="0" fontId="103" fillId="38" borderId="17" applyNumberFormat="0" applyAlignment="0" applyProtection="0">
      <alignment vertical="center"/>
    </xf>
    <xf numFmtId="0" fontId="226" fillId="51" borderId="17" applyNumberFormat="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24" fillId="54" borderId="23" applyNumberFormat="0" applyFont="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00" fillId="67" borderId="17" applyNumberFormat="0" applyAlignment="0" applyProtection="0">
      <alignment vertical="center"/>
    </xf>
    <xf numFmtId="0" fontId="183" fillId="67" borderId="17" applyNumberFormat="0" applyAlignment="0" applyProtection="0">
      <alignment vertical="center"/>
    </xf>
    <xf numFmtId="0" fontId="100" fillId="68"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194" fillId="38" borderId="17" applyNumberFormat="0" applyAlignment="0" applyProtection="0">
      <alignment vertical="center"/>
    </xf>
    <xf numFmtId="0" fontId="177"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82" fillId="68" borderId="24"/>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316" fillId="68" borderId="17"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12" fillId="38" borderId="17" applyNumberFormat="0" applyAlignment="0" applyProtection="0"/>
    <xf numFmtId="0" fontId="208" fillId="51" borderId="17" applyNumberFormat="0" applyAlignment="0" applyProtection="0">
      <alignment vertical="center"/>
    </xf>
    <xf numFmtId="0" fontId="103" fillId="65" borderId="17"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 fillId="70" borderId="23"/>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 fillId="70" borderId="23" applyNumberFormat="0" applyFon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247" fillId="69" borderId="24"/>
    <xf numFmtId="0" fontId="246" fillId="66" borderId="17"/>
    <xf numFmtId="0" fontId="112" fillId="66" borderId="17"/>
    <xf numFmtId="0" fontId="1" fillId="71" borderId="23"/>
    <xf numFmtId="0" fontId="277" fillId="0" borderId="25" applyNumberFormat="0" applyFill="0" applyAlignment="0" applyProtection="0">
      <alignment vertical="center"/>
    </xf>
    <xf numFmtId="0" fontId="85"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282" fillId="80" borderId="24"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81" fillId="38" borderId="17" applyNumberFormat="0" applyAlignment="0" applyProtection="0">
      <alignment vertical="center"/>
    </xf>
    <xf numFmtId="0" fontId="194" fillId="65" borderId="17"/>
    <xf numFmtId="0" fontId="280" fillId="51" borderId="17" applyNumberFormat="0" applyAlignment="0" applyProtection="0">
      <alignment vertical="center"/>
    </xf>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9" fillId="0" borderId="25" applyNumberFormat="0" applyFill="0" applyAlignment="0" applyProtection="0"/>
    <xf numFmtId="0" fontId="113" fillId="80" borderId="24" applyNumberFormat="0" applyAlignment="0" applyProtection="0"/>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08"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83" fillId="68" borderId="17"/>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47" fillId="68" borderId="24" applyNumberFormat="0" applyAlignment="0" applyProtection="0">
      <alignment vertical="center"/>
    </xf>
    <xf numFmtId="0" fontId="42" fillId="51" borderId="17" applyNumberFormat="0" applyAlignment="0" applyProtection="0"/>
    <xf numFmtId="0" fontId="30" fillId="54" borderId="23" applyNumberFormat="0" applyFont="0" applyAlignment="0" applyProtection="0"/>
    <xf numFmtId="0" fontId="158" fillId="65" borderId="17" applyNumberFormat="0" applyAlignment="0" applyProtection="0">
      <alignment vertical="center"/>
    </xf>
    <xf numFmtId="0" fontId="157" fillId="80" borderId="17" applyNumberFormat="0" applyAlignment="0" applyProtection="0">
      <alignment vertical="center"/>
    </xf>
    <xf numFmtId="0" fontId="83" fillId="51" borderId="17" applyNumberFormat="0" applyAlignment="0" applyProtection="0">
      <alignment vertical="center"/>
    </xf>
    <xf numFmtId="0" fontId="340" fillId="68"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42" fillId="51" borderId="17" applyNumberFormat="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00" fillId="69" borderId="17" applyNumberFormat="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32"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83" fillId="68" borderId="17" applyNumberFormat="0" applyAlignment="0" applyProtection="0">
      <alignment vertical="center"/>
    </xf>
    <xf numFmtId="0" fontId="157" fillId="51" borderId="17" applyNumberFormat="0" applyAlignment="0" applyProtection="0">
      <alignment vertical="center"/>
    </xf>
    <xf numFmtId="0" fontId="83" fillId="80" borderId="17" applyNumberFormat="0" applyAlignment="0" applyProtection="0">
      <alignment vertical="center"/>
    </xf>
    <xf numFmtId="0" fontId="194" fillId="65" borderId="17"/>
    <xf numFmtId="0" fontId="83" fillId="80"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175" fillId="51" borderId="17" applyNumberFormat="0" applyAlignment="0" applyProtection="0">
      <alignment vertical="center"/>
    </xf>
    <xf numFmtId="0" fontId="183" fillId="68" borderId="17" applyNumberFormat="0" applyAlignment="0" applyProtection="0">
      <alignment vertical="center"/>
    </xf>
    <xf numFmtId="0" fontId="158" fillId="38"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81" fillId="38" borderId="17"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208" fillId="51" borderId="17" applyNumberFormat="0" applyAlignment="0" applyProtection="0">
      <alignment vertical="center"/>
    </xf>
    <xf numFmtId="0" fontId="100" fillId="67" borderId="17" applyNumberFormat="0" applyAlignment="0" applyProtection="0">
      <alignment vertical="center"/>
    </xf>
    <xf numFmtId="0" fontId="84" fillId="38" borderId="17" applyNumberFormat="0" applyAlignment="0" applyProtection="0">
      <alignment vertical="center"/>
    </xf>
    <xf numFmtId="0" fontId="133"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xf numFmtId="0" fontId="190" fillId="0" borderId="26" applyNumberFormat="0" applyFill="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159" fillId="51" borderId="24" applyNumberFormat="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4" fillId="65"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314" fillId="0" borderId="26" applyNumberFormat="0" applyFill="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58"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41" fillId="0" borderId="25" applyNumberFormat="0" applyFill="0" applyAlignment="0" applyProtection="0"/>
    <xf numFmtId="0" fontId="194" fillId="65" borderId="17"/>
    <xf numFmtId="0" fontId="83" fillId="81"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281" fillId="38" borderId="17" applyNumberFormat="0" applyAlignment="0" applyProtection="0">
      <alignment vertical="center"/>
    </xf>
    <xf numFmtId="0" fontId="158" fillId="38"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49" fillId="38" borderId="17" applyNumberFormat="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xf numFmtId="0" fontId="84" fillId="38" borderId="17"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209" fillId="38" borderId="17" applyNumberFormat="0" applyAlignment="0" applyProtection="0">
      <alignment vertical="center"/>
    </xf>
    <xf numFmtId="0" fontId="103" fillId="66" borderId="17" applyNumberFormat="0" applyAlignment="0" applyProtection="0"/>
    <xf numFmtId="0" fontId="19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0" fillId="81" borderId="17" applyNumberFormat="0" applyAlignment="0" applyProtection="0"/>
    <xf numFmtId="0" fontId="277" fillId="0" borderId="25" applyNumberFormat="0" applyFill="0" applyAlignment="0" applyProtection="0"/>
    <xf numFmtId="0" fontId="100" fillId="68" borderId="17"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81" fillId="38" borderId="17" applyNumberFormat="0" applyAlignment="0" applyProtection="0">
      <alignment vertical="center"/>
    </xf>
    <xf numFmtId="0" fontId="267" fillId="54" borderId="23" applyNumberFormat="0" applyFon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6" borderId="17"/>
    <xf numFmtId="0" fontId="103" fillId="66" borderId="17"/>
    <xf numFmtId="0" fontId="282" fillId="51" borderId="24"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104" fillId="68" borderId="24" applyNumberFormat="0" applyAlignment="0" applyProtection="0">
      <alignment vertical="center"/>
    </xf>
    <xf numFmtId="0" fontId="103" fillId="65" borderId="17" applyNumberFormat="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100" fillId="68" borderId="17" applyNumberFormat="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xf numFmtId="0" fontId="92" fillId="0" borderId="26" applyNumberFormat="0" applyFill="0" applyAlignment="0" applyProtection="0">
      <alignment vertical="center"/>
    </xf>
    <xf numFmtId="0" fontId="84" fillId="38" borderId="17"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40" fillId="68"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7" fillId="81" borderId="17" applyNumberFormat="0" applyAlignment="0" applyProtection="0"/>
    <xf numFmtId="0" fontId="154" fillId="0" borderId="25" applyNumberFormat="0" applyFill="0" applyAlignment="0" applyProtection="0"/>
    <xf numFmtId="0" fontId="336" fillId="68"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9" fillId="51" borderId="24" applyNumberForma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38" borderId="17" applyNumberFormat="0" applyAlignment="0" applyProtection="0">
      <alignment vertical="center"/>
    </xf>
    <xf numFmtId="0" fontId="147" fillId="54" borderId="23" applyNumberFormat="0" applyFont="0" applyAlignment="0" applyProtection="0">
      <alignment vertical="center"/>
    </xf>
    <xf numFmtId="0" fontId="154" fillId="0" borderId="25" applyNumberFormat="0" applyFill="0" applyAlignment="0" applyProtection="0">
      <alignment vertical="center"/>
    </xf>
    <xf numFmtId="0" fontId="339" fillId="66" borderId="17"/>
    <xf numFmtId="0" fontId="336" fillId="69" borderId="17"/>
    <xf numFmtId="0" fontId="328" fillId="0" borderId="26"/>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7" fillId="81" borderId="17" applyNumberFormat="0" applyAlignment="0" applyProtection="0"/>
    <xf numFmtId="0" fontId="157" fillId="80" borderId="17" applyNumberFormat="0" applyAlignment="0" applyProtection="0">
      <alignment vertical="center"/>
    </xf>
    <xf numFmtId="0" fontId="336" fillId="68" borderId="17" applyNumberForma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82" fillId="68" borderId="24" applyNumberFormat="0" applyAlignment="0" applyProtection="0">
      <alignment vertical="center"/>
    </xf>
    <xf numFmtId="0" fontId="159" fillId="51" borderId="24" applyNumberFormat="0" applyAlignment="0" applyProtection="0">
      <alignment vertical="center"/>
    </xf>
    <xf numFmtId="0" fontId="113" fillId="51" borderId="24" applyNumberFormat="0" applyAlignment="0" applyProtection="0"/>
    <xf numFmtId="0" fontId="104" fillId="69" borderId="24" applyNumberFormat="0" applyAlignment="0" applyProtection="0"/>
    <xf numFmtId="0" fontId="247" fillId="68"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1" borderId="24" applyNumberFormat="0" applyAlignment="0" applyProtection="0"/>
    <xf numFmtId="0" fontId="92" fillId="0" borderId="26"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208" fillId="51" borderId="17" applyNumberFormat="0" applyAlignment="0" applyProtection="0">
      <alignment vertical="center"/>
    </xf>
    <xf numFmtId="0" fontId="91" fillId="54" borderId="23" applyNumberFormat="0" applyFont="0" applyAlignment="0" applyProtection="0">
      <alignment vertical="center"/>
    </xf>
    <xf numFmtId="0" fontId="183" fillId="67" borderId="17" applyNumberForma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103" fillId="65" borderId="17" applyNumberFormat="0" applyAlignment="0" applyProtection="0">
      <alignment vertical="center"/>
    </xf>
    <xf numFmtId="0" fontId="246" fillId="65" borderId="17"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 fillId="70" borderId="23"/>
    <xf numFmtId="0" fontId="73" fillId="54"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80" fillId="0" borderId="25"/>
    <xf numFmtId="0" fontId="235" fillId="0" borderId="26"/>
    <xf numFmtId="0" fontId="1" fillId="71" borderId="23"/>
    <xf numFmtId="0" fontId="119" fillId="0" borderId="25"/>
    <xf numFmtId="0" fontId="113" fillId="81" borderId="24"/>
    <xf numFmtId="0" fontId="1" fillId="71" borderId="23"/>
    <xf numFmtId="0" fontId="112" fillId="66" borderId="17"/>
    <xf numFmtId="0" fontId="114" fillId="81"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20" fillId="68" borderId="24"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84" fillId="65" borderId="17"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 fillId="71" borderId="23" applyNumberFormat="0" applyAlignment="0" applyProtection="0"/>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208" fillId="51" borderId="17" applyNumberForma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94" fillId="65" borderId="17"/>
    <xf numFmtId="0" fontId="246" fillId="65" borderId="17"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194" fillId="65"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83" fillId="80"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183" fillId="68" borderId="17"/>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90" fillId="0" borderId="26"/>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30" fillId="54" borderId="23" applyNumberFormat="0" applyFont="0" applyAlignment="0" applyProtection="0"/>
    <xf numFmtId="0" fontId="30" fillId="54" borderId="23" applyNumberFormat="0" applyFont="0" applyAlignment="0" applyProtection="0"/>
    <xf numFmtId="0" fontId="41" fillId="0" borderId="25" applyNumberFormat="0" applyFill="0" applyAlignment="0" applyProtection="0"/>
    <xf numFmtId="0" fontId="48" fillId="51" borderId="24" applyNumberFormat="0" applyAlignment="0" applyProtection="0"/>
    <xf numFmtId="0" fontId="277" fillId="0" borderId="25" applyNumberFormat="0" applyFill="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0" fillId="81" borderId="17"/>
    <xf numFmtId="0" fontId="282" fillId="81" borderId="24" applyNumberFormat="0" applyAlignment="0" applyProtection="0"/>
    <xf numFmtId="0" fontId="112" fillId="65"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2" fillId="66" borderId="17" applyNumberFormat="0" applyAlignment="0" applyProtection="0"/>
    <xf numFmtId="0" fontId="83" fillId="81" borderId="17"/>
    <xf numFmtId="0" fontId="321" fillId="65" borderId="17" applyNumberFormat="0" applyAlignment="0" applyProtection="0">
      <alignment vertical="center"/>
    </xf>
    <xf numFmtId="0" fontId="1" fillId="70" borderId="23" applyNumberFormat="0" applyFont="0" applyAlignment="0" applyProtection="0">
      <alignment vertical="center"/>
    </xf>
    <xf numFmtId="0" fontId="183" fillId="68" borderId="17"/>
    <xf numFmtId="0" fontId="114" fillId="51" borderId="17" applyNumberFormat="0" applyAlignment="0" applyProtection="0"/>
    <xf numFmtId="0" fontId="112" fillId="65" borderId="17" applyNumberFormat="0" applyAlignment="0" applyProtection="0"/>
    <xf numFmtId="0" fontId="263" fillId="38" borderId="17"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281" fillId="38" borderId="17" applyNumberFormat="0" applyAlignment="0" applyProtection="0">
      <alignment vertical="center"/>
    </xf>
    <xf numFmtId="0" fontId="1" fillId="70" borderId="23" applyNumberFormat="0" applyFont="0" applyAlignment="0" applyProtection="0"/>
    <xf numFmtId="0" fontId="209" fillId="38" borderId="17" applyNumberFormat="0" applyAlignment="0" applyProtection="0">
      <alignment vertical="center"/>
    </xf>
    <xf numFmtId="0" fontId="83" fillId="51" borderId="17" applyNumberForma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49" fillId="54" borderId="23" applyNumberFormat="0" applyFont="0" applyAlignment="0" applyProtection="0">
      <alignment vertical="center"/>
    </xf>
    <xf numFmtId="0" fontId="114" fillId="80" borderId="17" applyNumberFormat="0" applyAlignment="0" applyProtection="0"/>
    <xf numFmtId="0" fontId="183" fillId="6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03" fillId="66" borderId="17"/>
    <xf numFmtId="0" fontId="281" fillId="38" borderId="17"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243" fillId="6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194" fillId="38" borderId="17" applyNumberFormat="0" applyAlignment="0" applyProtection="0">
      <alignment vertical="center"/>
    </xf>
    <xf numFmtId="0" fontId="259" fillId="0" borderId="25" applyNumberFormat="0" applyFill="0" applyAlignment="0" applyProtection="0">
      <alignment vertical="center"/>
    </xf>
    <xf numFmtId="0" fontId="226" fillId="51" borderId="17" applyNumberFormat="0" applyAlignment="0" applyProtection="0">
      <alignment vertical="center"/>
    </xf>
    <xf numFmtId="0" fontId="194" fillId="65"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114" fillId="81" borderId="17" applyNumberFormat="0" applyAlignment="0" applyProtection="0"/>
    <xf numFmtId="0" fontId="175" fillId="51"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42" fillId="51" borderId="17" applyNumberFormat="0" applyAlignment="0" applyProtection="0"/>
    <xf numFmtId="0" fontId="114" fillId="81" borderId="17" applyNumberFormat="0" applyAlignment="0" applyProtection="0"/>
    <xf numFmtId="0" fontId="158" fillId="65"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04" fillId="69"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04"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210" fillId="51"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47" fillId="54" borderId="23" applyNumberFormat="0" applyFont="0" applyAlignment="0" applyProtection="0">
      <alignment vertical="center"/>
    </xf>
    <xf numFmtId="0" fontId="282" fillId="81" borderId="24" applyNumberFormat="0" applyAlignment="0" applyProtection="0"/>
    <xf numFmtId="0" fontId="281" fillId="65" borderId="17" applyNumberFormat="0" applyAlignment="0" applyProtection="0">
      <alignment vertical="center"/>
    </xf>
    <xf numFmtId="0" fontId="60" fillId="0" borderId="26" applyNumberFormat="0" applyFill="0" applyAlignment="0" applyProtection="0">
      <alignment vertical="center"/>
    </xf>
    <xf numFmtId="0" fontId="84" fillId="66" borderId="17"/>
    <xf numFmtId="0" fontId="183" fillId="68" borderId="17"/>
    <xf numFmtId="0" fontId="209" fillId="38"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8" fillId="66" borderId="17" applyNumberFormat="0" applyAlignment="0" applyProtection="0"/>
    <xf numFmtId="0" fontId="280" fillId="80" borderId="17" applyNumberFormat="0" applyAlignment="0" applyProtection="0">
      <alignment vertical="center"/>
    </xf>
    <xf numFmtId="0" fontId="280" fillId="51" borderId="17" applyNumberFormat="0" applyAlignment="0" applyProtection="0">
      <alignment vertical="center"/>
    </xf>
    <xf numFmtId="0" fontId="104" fillId="69" borderId="24"/>
    <xf numFmtId="0" fontId="282" fillId="81" borderId="24"/>
    <xf numFmtId="0" fontId="269" fillId="54" borderId="23" applyNumberFormat="0" applyFont="0" applyAlignment="0" applyProtection="0">
      <alignment vertical="center"/>
    </xf>
    <xf numFmtId="0" fontId="208" fillId="51" borderId="17" applyNumberFormat="0" applyAlignment="0" applyProtection="0">
      <alignment vertical="center"/>
    </xf>
    <xf numFmtId="0" fontId="282" fillId="81" borderId="24" applyNumberFormat="0" applyAlignment="0" applyProtection="0"/>
    <xf numFmtId="0" fontId="42" fillId="51" borderId="17" applyNumberFormat="0" applyAlignment="0" applyProtection="0"/>
    <xf numFmtId="0" fontId="194" fillId="65" borderId="17" applyNumberFormat="0" applyAlignment="0" applyProtection="0">
      <alignment vertical="center"/>
    </xf>
    <xf numFmtId="0" fontId="104" fillId="67" borderId="24" applyNumberFormat="0" applyAlignment="0" applyProtection="0">
      <alignment vertical="center"/>
    </xf>
    <xf numFmtId="0" fontId="85" fillId="80" borderId="24" applyNumberFormat="0" applyAlignment="0" applyProtection="0">
      <alignment vertical="center"/>
    </xf>
    <xf numFmtId="0" fontId="147" fillId="54" borderId="23" applyNumberFormat="0" applyFont="0" applyAlignment="0" applyProtection="0">
      <alignment vertical="center"/>
    </xf>
    <xf numFmtId="0" fontId="282"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49" fillId="54" borderId="23" applyNumberFormat="0" applyFon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83" fillId="51" borderId="17" applyNumberForma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316" fillId="6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9" fillId="81" borderId="24"/>
    <xf numFmtId="0" fontId="84" fillId="38" borderId="17"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59" fillId="0" borderId="25" applyNumberFormat="0" applyFill="0" applyAlignment="0" applyProtection="0">
      <alignment vertical="center"/>
    </xf>
    <xf numFmtId="0" fontId="209" fillId="38" borderId="17" applyNumberFormat="0" applyAlignment="0" applyProtection="0">
      <alignment vertical="center"/>
    </xf>
    <xf numFmtId="0" fontId="83" fillId="81" borderId="17"/>
    <xf numFmtId="0" fontId="209" fillId="38" borderId="17" applyNumberFormat="0" applyAlignment="0" applyProtection="0">
      <alignment vertical="center"/>
    </xf>
    <xf numFmtId="0" fontId="119" fillId="0" borderId="25" applyNumberFormat="0" applyFill="0" applyAlignment="0" applyProtection="0"/>
    <xf numFmtId="0" fontId="176" fillId="38" borderId="17" applyNumberFormat="0" applyAlignment="0" applyProtection="0">
      <alignment vertical="center"/>
    </xf>
    <xf numFmtId="0" fontId="328" fillId="0" borderId="26" applyNumberFormat="0" applyFill="0" applyAlignment="0" applyProtection="0">
      <alignment vertical="center"/>
    </xf>
    <xf numFmtId="0" fontId="328" fillId="0" borderId="26" applyNumberFormat="0" applyFill="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262" fillId="51" borderId="17" applyNumberFormat="0" applyAlignment="0" applyProtection="0">
      <alignment vertical="center"/>
    </xf>
    <xf numFmtId="0" fontId="316" fillId="68" borderId="17" applyNumberFormat="0" applyAlignment="0" applyProtection="0">
      <alignment vertical="center"/>
    </xf>
    <xf numFmtId="0" fontId="175" fillId="51" borderId="17" applyNumberFormat="0" applyAlignment="0" applyProtection="0">
      <alignment vertical="center"/>
    </xf>
    <xf numFmtId="0" fontId="42" fillId="5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4" fillId="0" borderId="25"/>
    <xf numFmtId="0" fontId="157" fillId="81" borderId="17"/>
    <xf numFmtId="0" fontId="154" fillId="0" borderId="25" applyNumberFormat="0" applyFill="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336" fillId="68" borderId="17"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47" fillId="54" borderId="23" applyNumberFormat="0" applyFont="0" applyAlignment="0" applyProtection="0">
      <alignment vertical="center"/>
    </xf>
    <xf numFmtId="0" fontId="159" fillId="81" borderId="24" applyNumberFormat="0" applyAlignment="0" applyProtection="0"/>
    <xf numFmtId="0" fontId="112" fillId="38" borderId="17" applyNumberFormat="0" applyAlignment="0" applyProtection="0"/>
    <xf numFmtId="0" fontId="114" fillId="80" borderId="17" applyNumberFormat="0" applyAlignment="0" applyProtection="0"/>
    <xf numFmtId="0" fontId="246" fillId="66" borderId="17"/>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208" fillId="51" borderId="17" applyNumberFormat="0" applyAlignment="0" applyProtection="0">
      <alignment vertical="center"/>
    </xf>
    <xf numFmtId="0" fontId="84" fillId="38" borderId="17" applyNumberFormat="0" applyAlignment="0" applyProtection="0">
      <alignment vertical="center"/>
    </xf>
    <xf numFmtId="0" fontId="84" fillId="65" borderId="17" applyNumberFormat="0" applyAlignment="0" applyProtection="0">
      <alignment vertical="center"/>
    </xf>
    <xf numFmtId="0" fontId="83"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49" fillId="38" borderId="17" applyNumberFormat="0" applyAlignment="0" applyProtection="0"/>
    <xf numFmtId="0" fontId="223" fillId="0" borderId="25" applyNumberFormat="0" applyFill="0" applyAlignment="0" applyProtection="0">
      <alignment vertical="center"/>
    </xf>
    <xf numFmtId="0" fontId="83" fillId="80" borderId="17" applyNumberFormat="0" applyAlignment="0" applyProtection="0">
      <alignment vertical="center"/>
    </xf>
    <xf numFmtId="0" fontId="226" fillId="51" borderId="17" applyNumberFormat="0" applyAlignment="0" applyProtection="0">
      <alignment vertical="center"/>
    </xf>
    <xf numFmtId="0" fontId="100" fillId="67"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00" fillId="69" borderId="17"/>
    <xf numFmtId="0" fontId="282" fillId="51" borderId="24" applyNumberFormat="0" applyAlignment="0" applyProtection="0">
      <alignment vertical="center"/>
    </xf>
    <xf numFmtId="0" fontId="267"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48" fillId="51" borderId="24" applyNumberFormat="0" applyAlignment="0" applyProtection="0"/>
    <xf numFmtId="0" fontId="183" fillId="68" borderId="17"/>
    <xf numFmtId="0" fontId="112" fillId="65"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03" fillId="66" borderId="17" applyNumberFormat="0" applyAlignment="0" applyProtection="0"/>
    <xf numFmtId="0" fontId="282" fillId="51" borderId="24" applyNumberFormat="0" applyAlignment="0" applyProtection="0">
      <alignment vertical="center"/>
    </xf>
    <xf numFmtId="0" fontId="210" fillId="51"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xf numFmtId="0" fontId="100" fillId="69" borderId="17" applyNumberFormat="0" applyAlignment="0" applyProtection="0"/>
    <xf numFmtId="0" fontId="182" fillId="68" borderId="24" applyNumberFormat="0" applyAlignment="0" applyProtection="0">
      <alignment vertical="center"/>
    </xf>
    <xf numFmtId="0" fontId="182" fillId="67" borderId="24" applyNumberFormat="0" applyAlignment="0" applyProtection="0">
      <alignment vertical="center"/>
    </xf>
    <xf numFmtId="0" fontId="113" fillId="51" borderId="24" applyNumberFormat="0" applyAlignment="0" applyProtection="0"/>
    <xf numFmtId="0" fontId="197" fillId="54" borderId="23" applyNumberFormat="0" applyFont="0" applyAlignment="0" applyProtection="0">
      <alignment vertical="center"/>
    </xf>
    <xf numFmtId="0" fontId="280" fillId="51" borderId="17"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280" fillId="51" borderId="17" applyNumberFormat="0" applyAlignment="0" applyProtection="0">
      <alignment vertical="center"/>
    </xf>
    <xf numFmtId="0" fontId="139" fillId="51" borderId="24" applyNumberFormat="0" applyAlignment="0" applyProtection="0">
      <alignment vertical="center"/>
    </xf>
    <xf numFmtId="0" fontId="209" fillId="38" borderId="17" applyNumberFormat="0" applyAlignment="0" applyProtection="0">
      <alignment vertical="center"/>
    </xf>
    <xf numFmtId="0" fontId="83" fillId="51"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1" borderId="23" applyNumberFormat="0" applyAlignment="0" applyProtection="0"/>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51" borderId="17" applyNumberFormat="0" applyAlignment="0" applyProtection="0"/>
    <xf numFmtId="0" fontId="114" fillId="51" borderId="17" applyNumberFormat="0" applyAlignment="0" applyProtection="0"/>
    <xf numFmtId="0" fontId="314"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75" fillId="51"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59" fillId="80" borderId="24"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208" fillId="51" borderId="17" applyNumberFormat="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9" fillId="0" borderId="25"/>
    <xf numFmtId="0" fontId="1" fillId="70" borderId="23" applyNumberFormat="0" applyFont="0" applyAlignment="0" applyProtection="0">
      <alignment vertical="center"/>
    </xf>
    <xf numFmtId="0" fontId="157" fillId="51" borderId="17"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215" fillId="54" borderId="23" applyNumberFormat="0" applyFont="0" applyAlignment="0" applyProtection="0">
      <alignment vertical="center"/>
    </xf>
    <xf numFmtId="0" fontId="243" fillId="68" borderId="17"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80" borderId="17" applyNumberFormat="0" applyAlignment="0" applyProtection="0"/>
    <xf numFmtId="0" fontId="112" fillId="65"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04" fillId="67" borderId="24" applyNumberFormat="0" applyAlignment="0" applyProtection="0">
      <alignment vertical="center"/>
    </xf>
    <xf numFmtId="0" fontId="85" fillId="81" borderId="24"/>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1" borderId="24"/>
    <xf numFmtId="0" fontId="282" fillId="51" borderId="24" applyNumberFormat="0" applyAlignment="0" applyProtection="0">
      <alignment vertical="center"/>
    </xf>
    <xf numFmtId="0" fontId="157" fillId="80" borderId="17" applyNumberFormat="0" applyAlignment="0" applyProtection="0">
      <alignment vertical="center"/>
    </xf>
    <xf numFmtId="0" fontId="280" fillId="80" borderId="17" applyNumberFormat="0" applyAlignment="0" applyProtection="0">
      <alignment vertical="center"/>
    </xf>
    <xf numFmtId="0" fontId="49" fillId="38" borderId="17" applyNumberFormat="0" applyAlignment="0" applyProtection="0"/>
    <xf numFmtId="0" fontId="132" fillId="0" borderId="25" applyNumberFormat="0" applyFill="0" applyAlignment="0" applyProtection="0">
      <alignment vertical="center"/>
    </xf>
    <xf numFmtId="0" fontId="176" fillId="38" borderId="17" applyNumberFormat="0" applyAlignment="0" applyProtection="0">
      <alignment vertical="center"/>
    </xf>
    <xf numFmtId="0" fontId="183" fillId="6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4" fillId="81" borderId="17"/>
    <xf numFmtId="0" fontId="80" fillId="0" borderId="25" applyNumberFormat="0" applyFill="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42" fillId="51" borderId="17" applyNumberFormat="0" applyAlignment="0" applyProtection="0"/>
    <xf numFmtId="0" fontId="277" fillId="0" borderId="25" applyNumberFormat="0" applyFill="0" applyAlignment="0" applyProtection="0">
      <alignment vertical="center"/>
    </xf>
    <xf numFmtId="0" fontId="114" fillId="80" borderId="17" applyNumberFormat="0" applyAlignment="0" applyProtection="0"/>
    <xf numFmtId="0" fontId="194" fillId="65" borderId="17"/>
    <xf numFmtId="0" fontId="41" fillId="0" borderId="25" applyNumberFormat="0" applyFill="0" applyAlignment="0" applyProtection="0"/>
    <xf numFmtId="0" fontId="49" fillId="38" borderId="17" applyNumberFormat="0" applyAlignment="0" applyProtection="0"/>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0" fillId="81" borderId="17"/>
    <xf numFmtId="0" fontId="277" fillId="0" borderId="25"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10" fillId="51" borderId="24" applyNumberFormat="0" applyAlignment="0" applyProtection="0">
      <alignment vertical="center"/>
    </xf>
    <xf numFmtId="0" fontId="132" fillId="0" borderId="25" applyNumberFormat="0" applyFill="0" applyAlignment="0" applyProtection="0">
      <alignment vertical="center"/>
    </xf>
    <xf numFmtId="0" fontId="100" fillId="69" borderId="17" applyNumberFormat="0" applyAlignment="0" applyProtection="0"/>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83" fillId="80" borderId="17" applyNumberFormat="0" applyAlignment="0" applyProtection="0">
      <alignment vertical="center"/>
    </xf>
    <xf numFmtId="0" fontId="227" fillId="38" borderId="17" applyNumberFormat="0" applyAlignment="0" applyProtection="0">
      <alignment vertical="center"/>
    </xf>
    <xf numFmtId="0" fontId="1" fillId="70" borderId="23" applyNumberFormat="0" applyFont="0" applyAlignment="0" applyProtection="0"/>
    <xf numFmtId="0" fontId="281" fillId="38"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80" fillId="80" borderId="17" applyNumberFormat="0" applyAlignment="0" applyProtection="0">
      <alignment vertical="center"/>
    </xf>
    <xf numFmtId="0" fontId="243" fillId="69" borderId="17"/>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281" fillId="65" borderId="17" applyNumberFormat="0" applyAlignment="0" applyProtection="0">
      <alignment vertical="center"/>
    </xf>
    <xf numFmtId="0" fontId="114" fillId="81" borderId="17"/>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83" fillId="68" borderId="17"/>
    <xf numFmtId="0" fontId="281" fillId="38" borderId="17" applyNumberFormat="0" applyAlignment="0" applyProtection="0">
      <alignment vertical="center"/>
    </xf>
    <xf numFmtId="0" fontId="277" fillId="0" borderId="25"/>
    <xf numFmtId="0" fontId="100" fillId="68" borderId="17" applyNumberFormat="0" applyAlignment="0" applyProtection="0">
      <alignment vertical="center"/>
    </xf>
    <xf numFmtId="0" fontId="280" fillId="51" borderId="17" applyNumberFormat="0" applyAlignment="0" applyProtection="0">
      <alignment vertical="center"/>
    </xf>
    <xf numFmtId="0" fontId="149" fillId="54" borderId="23" applyNumberFormat="0" applyFont="0" applyAlignment="0" applyProtection="0">
      <alignment vertical="center"/>
    </xf>
    <xf numFmtId="0" fontId="157" fillId="81" borderId="17" applyNumberFormat="0" applyAlignment="0" applyProtection="0"/>
    <xf numFmtId="0" fontId="339" fillId="65" borderId="17" applyNumberFormat="0" applyAlignment="0" applyProtection="0">
      <alignment vertical="center"/>
    </xf>
    <xf numFmtId="0" fontId="158" fillId="66" borderId="17"/>
    <xf numFmtId="0" fontId="336" fillId="68" borderId="17" applyNumberFormat="0" applyAlignment="0" applyProtection="0">
      <alignment vertical="center"/>
    </xf>
    <xf numFmtId="0" fontId="157" fillId="51" borderId="17" applyNumberFormat="0" applyAlignment="0" applyProtection="0">
      <alignment vertical="center"/>
    </xf>
    <xf numFmtId="0" fontId="182" fillId="68" borderId="24"/>
    <xf numFmtId="0" fontId="85"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xf numFmtId="0" fontId="210" fillId="51" borderId="24" applyNumberFormat="0" applyAlignment="0" applyProtection="0">
      <alignment vertical="center"/>
    </xf>
    <xf numFmtId="0" fontId="1" fillId="70" borderId="23" applyNumberFormat="0" applyFont="0" applyAlignment="0" applyProtection="0"/>
    <xf numFmtId="0" fontId="80" fillId="0" borderId="25" applyNumberFormat="0" applyFill="0" applyAlignment="0" applyProtection="0">
      <alignment vertical="center"/>
    </xf>
    <xf numFmtId="0" fontId="177" fillId="51" borderId="24" applyNumberFormat="0" applyAlignment="0" applyProtection="0">
      <alignment vertical="center"/>
    </xf>
    <xf numFmtId="0" fontId="48" fillId="51" borderId="24" applyNumberFormat="0" applyAlignment="0" applyProtection="0"/>
    <xf numFmtId="0" fontId="281" fillId="65"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280" fillId="51" borderId="17" applyNumberFormat="0" applyAlignment="0" applyProtection="0">
      <alignment vertical="center"/>
    </xf>
    <xf numFmtId="0" fontId="83" fillId="80" borderId="17" applyNumberFormat="0" applyAlignment="0" applyProtection="0">
      <alignment vertical="center"/>
    </xf>
    <xf numFmtId="0" fontId="104" fillId="68" borderId="24" applyNumberFormat="0" applyAlignment="0" applyProtection="0">
      <alignment vertical="center"/>
    </xf>
    <xf numFmtId="0" fontId="113" fillId="80" borderId="24" applyNumberFormat="0" applyAlignment="0" applyProtection="0"/>
    <xf numFmtId="0" fontId="182" fillId="68" borderId="24"/>
    <xf numFmtId="0" fontId="177" fillId="51" borderId="24" applyNumberFormat="0" applyAlignment="0" applyProtection="0">
      <alignment vertical="center"/>
    </xf>
    <xf numFmtId="0" fontId="113" fillId="51" borderId="24" applyNumberFormat="0" applyAlignment="0" applyProtection="0"/>
    <xf numFmtId="0" fontId="282" fillId="81" borderId="24" applyNumberFormat="0" applyAlignment="0" applyProtection="0"/>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alignment vertical="center"/>
    </xf>
    <xf numFmtId="0" fontId="182" fillId="68" borderId="24"/>
    <xf numFmtId="0" fontId="133" fillId="38" borderId="17" applyNumberFormat="0" applyAlignment="0" applyProtection="0">
      <alignment vertical="center"/>
    </xf>
    <xf numFmtId="0" fontId="83" fillId="80"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58" fillId="65" borderId="17" applyNumberFormat="0" applyAlignment="0" applyProtection="0">
      <alignment vertical="center"/>
    </xf>
    <xf numFmtId="0" fontId="157" fillId="51" borderId="17" applyNumberFormat="0" applyAlignment="0" applyProtection="0">
      <alignment vertical="center"/>
    </xf>
    <xf numFmtId="0" fontId="1" fillId="71" borderId="23" applyNumberFormat="0" applyAlignment="0" applyProtection="0"/>
    <xf numFmtId="0" fontId="103" fillId="65" borderId="17" applyNumberFormat="0" applyAlignment="0" applyProtection="0">
      <alignment vertical="center"/>
    </xf>
    <xf numFmtId="0" fontId="85" fillId="51" borderId="24" applyNumberFormat="0" applyAlignment="0" applyProtection="0">
      <alignment vertical="center"/>
    </xf>
    <xf numFmtId="0" fontId="243" fillId="68" borderId="17" applyNumberFormat="0" applyAlignment="0" applyProtection="0">
      <alignment vertical="center"/>
    </xf>
    <xf numFmtId="0" fontId="41" fillId="0" borderId="25" applyNumberFormat="0" applyFill="0" applyAlignment="0" applyProtection="0"/>
    <xf numFmtId="0" fontId="126" fillId="51"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49" fillId="38" borderId="17" applyNumberFormat="0" applyAlignment="0" applyProtection="0"/>
    <xf numFmtId="0" fontId="235" fillId="0" borderId="26" applyNumberFormat="0" applyFill="0" applyAlignment="0" applyProtection="0">
      <alignment vertical="center"/>
    </xf>
    <xf numFmtId="0" fontId="114" fillId="80" borderId="17" applyNumberFormat="0" applyAlignment="0" applyProtection="0"/>
    <xf numFmtId="0" fontId="282" fillId="80" borderId="24" applyNumberFormat="0" applyAlignment="0" applyProtection="0">
      <alignment vertical="center"/>
    </xf>
    <xf numFmtId="0" fontId="210" fillId="51" borderId="24" applyNumberFormat="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41" fillId="0" borderId="25" applyNumberFormat="0" applyFill="0" applyAlignment="0" applyProtection="0"/>
    <xf numFmtId="0" fontId="48" fillId="51" borderId="24" applyNumberFormat="0" applyAlignment="0" applyProtection="0"/>
    <xf numFmtId="0" fontId="85" fillId="81" borderId="24" applyNumberFormat="0" applyAlignment="0" applyProtection="0"/>
    <xf numFmtId="0" fontId="1" fillId="70" borderId="23" applyNumberFormat="0" applyFont="0" applyAlignment="0" applyProtection="0">
      <alignment vertical="center"/>
    </xf>
    <xf numFmtId="0" fontId="247" fillId="69" borderId="24"/>
    <xf numFmtId="0" fontId="280" fillId="51"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83" fillId="67"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83" fillId="68" borderId="17"/>
    <xf numFmtId="0" fontId="281" fillId="65" borderId="17" applyNumberFormat="0" applyAlignment="0" applyProtection="0">
      <alignment vertical="center"/>
    </xf>
    <xf numFmtId="0" fontId="85" fillId="80"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0" fillId="80" borderId="17" applyNumberFormat="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 fillId="70" borderId="23" applyNumberFormat="0" applyFont="0" applyAlignment="0" applyProtection="0"/>
    <xf numFmtId="0" fontId="172"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262" fillId="51" borderId="17"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100" fillId="68" borderId="17" applyNumberFormat="0" applyAlignment="0" applyProtection="0">
      <alignment vertical="center"/>
    </xf>
    <xf numFmtId="0" fontId="85" fillId="51" borderId="24" applyNumberFormat="0" applyAlignment="0" applyProtection="0">
      <alignment vertical="center"/>
    </xf>
    <xf numFmtId="0" fontId="92" fillId="0" borderId="26" applyNumberFormat="0" applyFill="0" applyAlignment="0" applyProtection="0"/>
    <xf numFmtId="0" fontId="48" fillId="51" borderId="24"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xf numFmtId="0" fontId="282" fillId="51" borderId="24" applyNumberFormat="0" applyAlignment="0" applyProtection="0">
      <alignment vertical="center"/>
    </xf>
    <xf numFmtId="0" fontId="340" fillId="68" borderId="24" applyNumberFormat="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246" fillId="66" borderId="17"/>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83" fillId="80"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00" fillId="69" borderId="17" applyNumberFormat="0" applyAlignment="0" applyProtection="0"/>
    <xf numFmtId="0" fontId="176" fillId="3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320" fillId="68"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104" fillId="68" borderId="24" applyNumberFormat="0" applyAlignment="0" applyProtection="0">
      <alignment vertical="center"/>
    </xf>
    <xf numFmtId="0" fontId="119" fillId="0" borderId="25" applyNumberFormat="0" applyFill="0" applyAlignment="0" applyProtection="0"/>
    <xf numFmtId="0" fontId="246" fillId="65"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05" fillId="0" borderId="25" applyNumberFormat="0" applyFill="0" applyAlignment="0" applyProtection="0">
      <alignment vertical="center"/>
    </xf>
    <xf numFmtId="0" fontId="114" fillId="51" borderId="17" applyNumberFormat="0" applyAlignment="0" applyProtection="0"/>
    <xf numFmtId="0" fontId="177" fillId="51" borderId="24" applyNumberFormat="0" applyAlignment="0" applyProtection="0">
      <alignment vertical="center"/>
    </xf>
    <xf numFmtId="0" fontId="83" fillId="51" borderId="17" applyNumberFormat="0" applyAlignment="0" applyProtection="0">
      <alignment vertical="center"/>
    </xf>
    <xf numFmtId="0" fontId="336" fillId="68" borderId="17" applyNumberFormat="0" applyAlignment="0" applyProtection="0">
      <alignment vertical="center"/>
    </xf>
    <xf numFmtId="0" fontId="340" fillId="69" borderId="24"/>
    <xf numFmtId="0" fontId="339" fillId="65" borderId="17" applyNumberFormat="0" applyAlignment="0" applyProtection="0">
      <alignment vertical="center"/>
    </xf>
    <xf numFmtId="0" fontId="147" fillId="54" borderId="23" applyNumberFormat="0" applyFont="0" applyAlignment="0" applyProtection="0">
      <alignment vertical="center"/>
    </xf>
    <xf numFmtId="0" fontId="113" fillId="80" borderId="24" applyNumberFormat="0" applyAlignment="0" applyProtection="0"/>
    <xf numFmtId="0" fontId="280" fillId="51" borderId="17" applyNumberFormat="0" applyAlignment="0" applyProtection="0">
      <alignment vertical="center"/>
    </xf>
    <xf numFmtId="0" fontId="113" fillId="80" borderId="24" applyNumberFormat="0" applyAlignment="0" applyProtection="0"/>
    <xf numFmtId="0" fontId="321" fillId="65" borderId="17" applyNumberFormat="0" applyAlignment="0" applyProtection="0">
      <alignment vertical="center"/>
    </xf>
    <xf numFmtId="0" fontId="104" fillId="67" borderId="24" applyNumberFormat="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0" borderId="24" applyNumberFormat="0" applyAlignment="0" applyProtection="0"/>
    <xf numFmtId="0" fontId="264" fillId="51" borderId="24" applyNumberFormat="0" applyAlignment="0" applyProtection="0">
      <alignment vertical="center"/>
    </xf>
    <xf numFmtId="0" fontId="320" fillId="68" borderId="24" applyNumberFormat="0" applyAlignment="0" applyProtection="0">
      <alignment vertical="center"/>
    </xf>
    <xf numFmtId="0" fontId="119" fillId="0" borderId="25"/>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80" fillId="0" borderId="25" applyNumberFormat="0" applyFill="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00" fillId="68" borderId="17" applyNumberFormat="0" applyAlignment="0" applyProtection="0">
      <alignment vertical="center"/>
    </xf>
    <xf numFmtId="0" fontId="83" fillId="51"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28" fillId="0" borderId="26" applyNumberFormat="0" applyFill="0" applyAlignment="0" applyProtection="0">
      <alignment vertical="center"/>
    </xf>
    <xf numFmtId="0" fontId="132"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1" borderId="24"/>
    <xf numFmtId="0" fontId="83" fillId="51" borderId="17" applyNumberFormat="0" applyAlignment="0" applyProtection="0">
      <alignment vertical="center"/>
    </xf>
    <xf numFmtId="0" fontId="119" fillId="0" borderId="25" applyNumberFormat="0" applyFill="0" applyAlignment="0" applyProtection="0"/>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4"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47" fillId="69" borderId="24"/>
    <xf numFmtId="0" fontId="113" fillId="80" borderId="24" applyNumberFormat="0" applyAlignment="0" applyProtection="0"/>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282" fillId="81" borderId="24" applyNumberFormat="0" applyAlignment="0" applyProtection="0"/>
    <xf numFmtId="0" fontId="104" fillId="69" borderId="24"/>
    <xf numFmtId="0" fontId="282" fillId="80" borderId="24" applyNumberFormat="0" applyAlignment="0" applyProtection="0">
      <alignment vertical="center"/>
    </xf>
    <xf numFmtId="0" fontId="112" fillId="65" borderId="17" applyNumberFormat="0" applyAlignment="0" applyProtection="0"/>
    <xf numFmtId="0" fontId="281" fillId="65" borderId="17" applyNumberFormat="0" applyAlignment="0" applyProtection="0">
      <alignment vertical="center"/>
    </xf>
    <xf numFmtId="0" fontId="80"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00" fillId="67" borderId="17" applyNumberFormat="0" applyAlignment="0" applyProtection="0">
      <alignment vertical="center"/>
    </xf>
    <xf numFmtId="0" fontId="84"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84" fillId="66" borderId="17"/>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0" borderId="17" applyNumberFormat="0" applyAlignment="0" applyProtection="0"/>
    <xf numFmtId="0" fontId="83" fillId="81" borderId="17" applyNumberFormat="0" applyAlignment="0" applyProtection="0"/>
    <xf numFmtId="0" fontId="281"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1" fillId="66" borderId="17" applyNumberFormat="0" applyAlignment="0" applyProtection="0"/>
    <xf numFmtId="0" fontId="282" fillId="81" borderId="24" applyNumberFormat="0" applyAlignment="0" applyProtection="0"/>
    <xf numFmtId="0" fontId="100" fillId="69" borderId="17"/>
    <xf numFmtId="0" fontId="282" fillId="80"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83" fillId="68"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177" fillId="51" borderId="24"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64" fillId="51" borderId="24" applyNumberFormat="0" applyAlignment="0" applyProtection="0">
      <alignment vertical="center"/>
    </xf>
    <xf numFmtId="0" fontId="1" fillId="71" borderId="23" applyNumberFormat="0" applyAlignment="0" applyProtection="0"/>
    <xf numFmtId="0" fontId="243" fillId="68" borderId="17" applyNumberFormat="0" applyAlignment="0" applyProtection="0">
      <alignment vertical="center"/>
    </xf>
    <xf numFmtId="0" fontId="277"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4" fillId="65" borderId="17"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14" fillId="80"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114" fillId="81"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1" fillId="71" borderId="23"/>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14" fillId="81" borderId="17" applyNumberFormat="0" applyAlignment="0" applyProtection="0"/>
    <xf numFmtId="0" fontId="114" fillId="51" borderId="17" applyNumberFormat="0" applyAlignment="0" applyProtection="0"/>
    <xf numFmtId="0" fontId="112" fillId="65" borderId="17" applyNumberFormat="0" applyAlignment="0" applyProtection="0"/>
    <xf numFmtId="0" fontId="84" fillId="38"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81" borderId="24" applyNumberFormat="0" applyAlignment="0" applyProtection="0"/>
    <xf numFmtId="0" fontId="269" fillId="54" borderId="23" applyNumberFormat="0" applyFont="0" applyAlignment="0" applyProtection="0">
      <alignment vertical="center"/>
    </xf>
    <xf numFmtId="0" fontId="92" fillId="0" borderId="26"/>
    <xf numFmtId="0" fontId="280" fillId="81" borderId="17" applyNumberFormat="0" applyAlignment="0" applyProtection="0"/>
    <xf numFmtId="0" fontId="277" fillId="0" borderId="25" applyNumberFormat="0" applyFill="0" applyAlignment="0" applyProtection="0">
      <alignment vertical="center"/>
    </xf>
    <xf numFmtId="0" fontId="157" fillId="51" borderId="17" applyNumberForma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340" fillId="69" borderId="24"/>
    <xf numFmtId="0" fontId="157" fillId="81" borderId="17"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83" fillId="81"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208" fillId="51" borderId="17" applyNumberFormat="0" applyAlignment="0" applyProtection="0">
      <alignment vertical="center"/>
    </xf>
    <xf numFmtId="0" fontId="157" fillId="51" borderId="17" applyNumberFormat="0" applyAlignment="0" applyProtection="0">
      <alignment vertical="center"/>
    </xf>
    <xf numFmtId="0" fontId="42" fillId="51"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8" fillId="66" borderId="17" applyNumberFormat="0" applyAlignment="0" applyProtection="0"/>
    <xf numFmtId="0" fontId="49" fillId="38" borderId="17" applyNumberFormat="0" applyAlignment="0" applyProtection="0"/>
    <xf numFmtId="0" fontId="104" fillId="69" borderId="24" applyNumberFormat="0" applyAlignment="0" applyProtection="0"/>
    <xf numFmtId="0" fontId="281" fillId="65" borderId="17" applyNumberForma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04" fillId="67" borderId="24" applyNumberFormat="0" applyAlignment="0" applyProtection="0">
      <alignment vertical="center"/>
    </xf>
    <xf numFmtId="0" fontId="282" fillId="51" borderId="24" applyNumberFormat="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209" fillId="38" borderId="17" applyNumberFormat="0" applyAlignment="0" applyProtection="0">
      <alignment vertical="center"/>
    </xf>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208" fillId="51" borderId="17" applyNumberFormat="0" applyAlignment="0" applyProtection="0">
      <alignment vertical="center"/>
    </xf>
    <xf numFmtId="0" fontId="85" fillId="80"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1" fillId="70" borderId="23" applyNumberFormat="0" applyFon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282" fillId="51" borderId="24" applyNumberFormat="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42" fillId="51"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77" fillId="51" borderId="24" applyNumberFormat="0" applyAlignment="0" applyProtection="0">
      <alignment vertical="center"/>
    </xf>
    <xf numFmtId="0" fontId="84" fillId="66" borderId="17" applyNumberFormat="0" applyAlignment="0" applyProtection="0"/>
    <xf numFmtId="0" fontId="157" fillId="51" borderId="17" applyNumberFormat="0" applyAlignment="0" applyProtection="0">
      <alignment vertical="center"/>
    </xf>
    <xf numFmtId="0" fontId="30" fillId="54" borderId="23" applyNumberFormat="0" applyFont="0" applyAlignment="0" applyProtection="0"/>
    <xf numFmtId="0" fontId="85" fillId="51" borderId="24" applyNumberFormat="0" applyAlignment="0" applyProtection="0">
      <alignment vertical="center"/>
    </xf>
    <xf numFmtId="0" fontId="1" fillId="70" borderId="23" applyNumberFormat="0" applyFont="0" applyAlignment="0" applyProtection="0"/>
    <xf numFmtId="0" fontId="183" fillId="68" borderId="17"/>
    <xf numFmtId="0" fontId="83" fillId="81" borderId="17"/>
    <xf numFmtId="0" fontId="83" fillId="51"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 fillId="70" borderId="23"/>
    <xf numFmtId="0" fontId="100" fillId="68" borderId="17" applyNumberFormat="0" applyAlignment="0" applyProtection="0">
      <alignment vertical="center"/>
    </xf>
    <xf numFmtId="0" fontId="84"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316" fillId="68" borderId="17" applyNumberFormat="0" applyAlignment="0" applyProtection="0">
      <alignment vertical="center"/>
    </xf>
    <xf numFmtId="0" fontId="177" fillId="51" borderId="24" applyNumberFormat="0" applyAlignment="0" applyProtection="0">
      <alignment vertical="center"/>
    </xf>
    <xf numFmtId="0" fontId="83" fillId="51" borderId="17" applyNumberFormat="0" applyAlignment="0" applyProtection="0">
      <alignment vertical="center"/>
    </xf>
    <xf numFmtId="0" fontId="158"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6"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243" fillId="69" borderId="17"/>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90" fillId="0" borderId="26"/>
    <xf numFmtId="0" fontId="243" fillId="68" borderId="17"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62" fillId="51"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82" fillId="80" borderId="24"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205" fillId="0" borderId="25" applyNumberFormat="0" applyFill="0" applyAlignment="0" applyProtection="0">
      <alignment vertical="center"/>
    </xf>
    <xf numFmtId="0" fontId="159" fillId="80" borderId="24" applyNumberFormat="0" applyAlignment="0" applyProtection="0">
      <alignment vertical="center"/>
    </xf>
    <xf numFmtId="0" fontId="340" fillId="68" borderId="24" applyNumberFormat="0" applyAlignment="0" applyProtection="0">
      <alignment vertical="center"/>
    </xf>
    <xf numFmtId="0" fontId="119" fillId="0" borderId="25" applyNumberFormat="0" applyFill="0" applyAlignment="0" applyProtection="0"/>
    <xf numFmtId="0" fontId="194" fillId="38" borderId="17" applyNumberFormat="0" applyAlignment="0" applyProtection="0">
      <alignment vertical="center"/>
    </xf>
    <xf numFmtId="0" fontId="172" fillId="0" borderId="25" applyNumberFormat="0" applyFill="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00" fillId="68" borderId="17" applyNumberFormat="0" applyAlignment="0" applyProtection="0">
      <alignment vertical="center"/>
    </xf>
    <xf numFmtId="0" fontId="92" fillId="0" borderId="26" applyNumberFormat="0" applyFill="0" applyAlignment="0" applyProtection="0">
      <alignment vertical="center"/>
    </xf>
    <xf numFmtId="0" fontId="80" fillId="0" borderId="25" applyNumberFormat="0" applyFill="0" applyAlignment="0" applyProtection="0">
      <alignment vertical="center"/>
    </xf>
    <xf numFmtId="0" fontId="336" fillId="68" borderId="17" applyNumberFormat="0" applyAlignment="0" applyProtection="0">
      <alignment vertical="center"/>
    </xf>
    <xf numFmtId="0" fontId="340" fillId="68" borderId="24" applyNumberFormat="0" applyAlignment="0" applyProtection="0">
      <alignment vertical="center"/>
    </xf>
    <xf numFmtId="0" fontId="147" fillId="54" borderId="23" applyNumberFormat="0" applyFont="0" applyAlignment="0" applyProtection="0">
      <alignment vertical="center"/>
    </xf>
    <xf numFmtId="0" fontId="339" fillId="65" borderId="17"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82" fillId="68" borderId="24"/>
    <xf numFmtId="0" fontId="210"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228" fillId="51" borderId="24" applyNumberFormat="0" applyAlignment="0" applyProtection="0">
      <alignment vertical="center"/>
    </xf>
    <xf numFmtId="0" fontId="320" fillId="68" borderId="24" applyNumberFormat="0" applyAlignment="0" applyProtection="0">
      <alignment vertical="center"/>
    </xf>
    <xf numFmtId="0" fontId="277" fillId="0" borderId="25" applyNumberFormat="0" applyFill="0" applyAlignment="0" applyProtection="0">
      <alignment vertical="center"/>
    </xf>
    <xf numFmtId="0" fontId="83" fillId="80"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6" borderId="17" applyNumberFormat="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149" fillId="54" borderId="23" applyNumberFormat="0" applyFont="0" applyAlignment="0" applyProtection="0">
      <alignment vertical="center"/>
    </xf>
    <xf numFmtId="0" fontId="84" fillId="65" borderId="17" applyNumberFormat="0" applyAlignment="0" applyProtection="0">
      <alignment vertical="center"/>
    </xf>
    <xf numFmtId="0" fontId="210" fillId="51" borderId="24"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43" fillId="68" borderId="17" applyNumberFormat="0" applyAlignment="0" applyProtection="0">
      <alignment vertical="center"/>
    </xf>
    <xf numFmtId="0" fontId="104" fillId="69" borderId="24" applyNumberFormat="0" applyAlignment="0" applyProtection="0"/>
    <xf numFmtId="0" fontId="177" fillId="51" borderId="24" applyNumberFormat="0" applyAlignment="0" applyProtection="0">
      <alignment vertical="center"/>
    </xf>
    <xf numFmtId="0" fontId="71" fillId="54" borderId="23" applyNumberFormat="0" applyFont="0" applyAlignment="0" applyProtection="0">
      <alignment vertical="center"/>
    </xf>
    <xf numFmtId="0" fontId="281" fillId="65"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48" fillId="51" borderId="24" applyNumberFormat="0" applyAlignment="0" applyProtection="0"/>
    <xf numFmtId="0" fontId="114" fillId="80" borderId="17" applyNumberFormat="0" applyAlignment="0" applyProtection="0"/>
    <xf numFmtId="0" fontId="112" fillId="66"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00" fillId="69" borderId="17" applyNumberFormat="0" applyAlignment="0" applyProtection="0"/>
    <xf numFmtId="0" fontId="223"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49" fillId="38" borderId="17" applyNumberFormat="0" applyAlignment="0" applyProtection="0"/>
    <xf numFmtId="0" fontId="104" fillId="67" borderId="24" applyNumberFormat="0" applyAlignment="0" applyProtection="0">
      <alignment vertical="center"/>
    </xf>
    <xf numFmtId="0" fontId="104" fillId="69" borderId="24" applyNumberFormat="0" applyAlignment="0" applyProtection="0"/>
    <xf numFmtId="0" fontId="85" fillId="51" borderId="24" applyNumberForma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4" fillId="80"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210" fillId="51" borderId="24" applyNumberFormat="0" applyAlignment="0" applyProtection="0">
      <alignment vertical="center"/>
    </xf>
    <xf numFmtId="0" fontId="48" fillId="51" borderId="24" applyNumberFormat="0" applyAlignment="0" applyProtection="0"/>
    <xf numFmtId="0" fontId="104" fillId="68" borderId="24"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51"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2" fillId="65" borderId="17" applyNumberFormat="0" applyAlignment="0" applyProtection="0"/>
    <xf numFmtId="0" fontId="280" fillId="80"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339" fillId="66" borderId="17"/>
    <xf numFmtId="0" fontId="340" fillId="68" borderId="24" applyNumberFormat="0" applyAlignment="0" applyProtection="0">
      <alignment vertical="center"/>
    </xf>
    <xf numFmtId="0" fontId="149"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82"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113" fillId="51" borderId="24" applyNumberFormat="0" applyAlignment="0" applyProtection="0"/>
    <xf numFmtId="0" fontId="282" fillId="80"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 fillId="71" borderId="23" applyNumberFormat="0" applyAlignment="0" applyProtection="0"/>
    <xf numFmtId="0" fontId="73" fillId="54" borderId="23" applyNumberFormat="0" applyFont="0" applyAlignment="0" applyProtection="0">
      <alignment vertical="center"/>
    </xf>
    <xf numFmtId="0" fontId="208" fillId="51" borderId="17" applyNumberFormat="0" applyAlignment="0" applyProtection="0">
      <alignment vertical="center"/>
    </xf>
    <xf numFmtId="0" fontId="176" fillId="38" borderId="17" applyNumberFormat="0" applyAlignment="0" applyProtection="0">
      <alignment vertical="center"/>
    </xf>
    <xf numFmtId="0" fontId="112" fillId="65" borderId="17" applyNumberFormat="0" applyAlignment="0" applyProtection="0"/>
    <xf numFmtId="0" fontId="282" fillId="51" borderId="24" applyNumberFormat="0" applyAlignment="0" applyProtection="0">
      <alignment vertical="center"/>
    </xf>
    <xf numFmtId="0" fontId="280" fillId="80"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7" fillId="54" borderId="23" applyNumberFormat="0" applyFont="0" applyAlignment="0" applyProtection="0">
      <alignment vertical="center"/>
    </xf>
    <xf numFmtId="0" fontId="83" fillId="51" borderId="17" applyNumberFormat="0" applyAlignment="0" applyProtection="0">
      <alignment vertical="center"/>
    </xf>
    <xf numFmtId="0" fontId="281" fillId="38" borderId="17" applyNumberFormat="0" applyAlignment="0" applyProtection="0">
      <alignment vertical="center"/>
    </xf>
    <xf numFmtId="0" fontId="83" fillId="80" borderId="17" applyNumberFormat="0" applyAlignment="0" applyProtection="0">
      <alignment vertical="center"/>
    </xf>
    <xf numFmtId="0" fontId="113" fillId="81"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82"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xf numFmtId="0" fontId="246" fillId="65"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157" fillId="81" borderId="17" applyNumberFormat="0" applyAlignment="0" applyProtection="0"/>
    <xf numFmtId="0" fontId="158" fillId="66" borderId="17"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xf numFmtId="0" fontId="159" fillId="81" borderId="24" applyNumberFormat="0" applyAlignment="0" applyProtection="0"/>
    <xf numFmtId="0" fontId="158" fillId="66" borderId="17" applyNumberFormat="0" applyAlignment="0" applyProtection="0"/>
    <xf numFmtId="0" fontId="157" fillId="81" borderId="17"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13" fillId="81" borderId="24" applyNumberFormat="0" applyAlignment="0" applyProtection="0"/>
    <xf numFmtId="0" fontId="282"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316" fillId="68" borderId="17" applyNumberFormat="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 fillId="54" borderId="23" applyNumberFormat="0" applyFon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97" fillId="54" borderId="23" applyNumberFormat="0" applyFon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xf numFmtId="0" fontId="1" fillId="71" borderId="23" applyNumberFormat="0" applyAlignment="0" applyProtection="0"/>
    <xf numFmtId="0" fontId="208" fillId="51" borderId="17" applyNumberFormat="0" applyAlignment="0" applyProtection="0">
      <alignment vertical="center"/>
    </xf>
    <xf numFmtId="0" fontId="104" fillId="68" borderId="24" applyNumberFormat="0" applyAlignment="0" applyProtection="0">
      <alignment vertical="center"/>
    </xf>
    <xf numFmtId="0" fontId="85" fillId="81" borderId="24" applyNumberFormat="0" applyAlignment="0" applyProtection="0"/>
    <xf numFmtId="0" fontId="269" fillId="54" borderId="23" applyNumberFormat="0" applyFont="0" applyAlignment="0" applyProtection="0">
      <alignment vertical="center"/>
    </xf>
    <xf numFmtId="0" fontId="320" fillId="68" borderId="24" applyNumberForma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 fillId="70" borderId="23" applyNumberFormat="0" applyFont="0" applyAlignment="0" applyProtection="0">
      <alignment vertical="center"/>
    </xf>
    <xf numFmtId="0" fontId="80" fillId="0" borderId="25" applyNumberFormat="0" applyFill="0" applyAlignment="0" applyProtection="0"/>
    <xf numFmtId="0" fontId="277" fillId="0" borderId="25" applyNumberFormat="0" applyFill="0" applyAlignment="0" applyProtection="0">
      <alignment vertical="center"/>
    </xf>
    <xf numFmtId="0" fontId="103" fillId="65" borderId="17" applyNumberFormat="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63" fillId="38" borderId="17" applyNumberFormat="0" applyAlignment="0" applyProtection="0">
      <alignment vertical="center"/>
    </xf>
    <xf numFmtId="0" fontId="159" fillId="51" borderId="24" applyNumberForma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12" fillId="38" borderId="17" applyNumberFormat="0" applyAlignment="0" applyProtection="0"/>
    <xf numFmtId="0" fontId="194" fillId="65" borderId="17"/>
    <xf numFmtId="0" fontId="104" fillId="68" borderId="24" applyNumberFormat="0" applyAlignment="0" applyProtection="0">
      <alignment vertical="center"/>
    </xf>
    <xf numFmtId="0" fontId="85" fillId="80" borderId="24" applyNumberFormat="0" applyAlignment="0" applyProtection="0">
      <alignment vertical="center"/>
    </xf>
    <xf numFmtId="0" fontId="83" fillId="51"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113" fillId="80" borderId="24" applyNumberFormat="0" applyAlignment="0" applyProtection="0"/>
    <xf numFmtId="0" fontId="280" fillId="80"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14" fillId="51" borderId="17" applyNumberFormat="0" applyAlignment="0" applyProtection="0"/>
    <xf numFmtId="0" fontId="282" fillId="51" borderId="24" applyNumberFormat="0" applyAlignment="0" applyProtection="0">
      <alignment vertical="center"/>
    </xf>
    <xf numFmtId="0" fontId="84" fillId="66" borderId="17" applyNumberFormat="0" applyAlignment="0" applyProtection="0"/>
    <xf numFmtId="0" fontId="228" fillId="51" borderId="24" applyNumberFormat="0" applyAlignment="0" applyProtection="0">
      <alignment vertical="center"/>
    </xf>
    <xf numFmtId="0" fontId="48" fillId="51" borderId="24" applyNumberFormat="0" applyAlignment="0" applyProtection="0"/>
    <xf numFmtId="0" fontId="103"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04" fillId="67" borderId="24" applyNumberFormat="0" applyAlignment="0" applyProtection="0">
      <alignment vertical="center"/>
    </xf>
    <xf numFmtId="0" fontId="282" fillId="80" borderId="24" applyNumberFormat="0" applyAlignment="0" applyProtection="0">
      <alignment vertical="center"/>
    </xf>
    <xf numFmtId="0" fontId="139" fillId="51" borderId="24"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 fillId="70" borderId="23" applyNumberFormat="0" applyFont="0" applyAlignment="0" applyProtection="0">
      <alignment vertical="center"/>
    </xf>
    <xf numFmtId="0" fontId="182" fillId="68" borderId="24"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72" fillId="0" borderId="25" applyNumberFormat="0" applyFill="0" applyAlignment="0" applyProtection="0">
      <alignment vertical="center"/>
    </xf>
    <xf numFmtId="0" fontId="112" fillId="65" borderId="17" applyNumberFormat="0" applyAlignment="0" applyProtection="0"/>
    <xf numFmtId="0" fontId="103" fillId="38" borderId="17" applyNumberForma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84" fillId="38" borderId="17" applyNumberFormat="0" applyAlignment="0" applyProtection="0">
      <alignment vertical="center"/>
    </xf>
    <xf numFmtId="0" fontId="158" fillId="65" borderId="17" applyNumberFormat="0" applyAlignment="0" applyProtection="0">
      <alignment vertical="center"/>
    </xf>
    <xf numFmtId="0" fontId="157" fillId="81" borderId="17"/>
    <xf numFmtId="0" fontId="158" fillId="66" borderId="17" applyNumberFormat="0" applyAlignment="0" applyProtection="0"/>
    <xf numFmtId="0" fontId="154" fillId="0" borderId="25" applyNumberFormat="0" applyFill="0" applyAlignment="0" applyProtection="0">
      <alignment vertical="center"/>
    </xf>
    <xf numFmtId="0" fontId="139" fillId="51" borderId="24" applyNumberFormat="0" applyAlignment="0" applyProtection="0">
      <alignment vertical="center"/>
    </xf>
    <xf numFmtId="0" fontId="281" fillId="65"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10"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7" borderId="24" applyNumberFormat="0" applyAlignment="0" applyProtection="0">
      <alignment vertical="center"/>
    </xf>
    <xf numFmtId="0" fontId="264" fillId="51" borderId="24" applyNumberFormat="0" applyAlignment="0" applyProtection="0">
      <alignment vertical="center"/>
    </xf>
    <xf numFmtId="0" fontId="1" fillId="71" borderId="23"/>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226" fillId="51" borderId="17" applyNumberFormat="0" applyAlignment="0" applyProtection="0">
      <alignment vertical="center"/>
    </xf>
    <xf numFmtId="0" fontId="84" fillId="66" borderId="17" applyNumberFormat="0" applyAlignment="0" applyProtection="0"/>
    <xf numFmtId="0" fontId="1" fillId="70" borderId="23" applyNumberFormat="0" applyFont="0" applyAlignment="0" applyProtection="0"/>
    <xf numFmtId="0" fontId="269" fillId="54" borderId="23" applyNumberFormat="0" applyFont="0" applyAlignment="0" applyProtection="0">
      <alignment vertical="center"/>
    </xf>
    <xf numFmtId="0" fontId="321" fillId="65"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3" fillId="51" borderId="24" applyNumberForma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 fillId="70" borderId="23" applyNumberFormat="0" applyFont="0" applyAlignment="0" applyProtection="0">
      <alignment vertical="center"/>
    </xf>
    <xf numFmtId="0" fontId="85" fillId="81" borderId="24" applyNumberFormat="0" applyAlignment="0" applyProtection="0"/>
    <xf numFmtId="0" fontId="190" fillId="0" borderId="26"/>
    <xf numFmtId="0" fontId="15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83" fillId="80" borderId="17" applyNumberFormat="0" applyAlignment="0" applyProtection="0">
      <alignment vertical="center"/>
    </xf>
    <xf numFmtId="0" fontId="60" fillId="0" borderId="26" applyNumberFormat="0" applyFill="0" applyAlignment="0" applyProtection="0">
      <alignment vertical="center"/>
    </xf>
    <xf numFmtId="0" fontId="194" fillId="38"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81" borderId="24"/>
    <xf numFmtId="0" fontId="269" fillId="54" borderId="23" applyNumberFormat="0" applyFont="0" applyAlignment="0" applyProtection="0">
      <alignment vertical="center"/>
    </xf>
    <xf numFmtId="0" fontId="119" fillId="0" borderId="25" applyNumberFormat="0" applyFill="0" applyAlignment="0" applyProtection="0"/>
    <xf numFmtId="0" fontId="112" fillId="38" borderId="17" applyNumberFormat="0" applyAlignment="0" applyProtection="0"/>
    <xf numFmtId="0" fontId="247" fillId="68" borderId="24" applyNumberFormat="0" applyAlignment="0" applyProtection="0">
      <alignment vertical="center"/>
    </xf>
    <xf numFmtId="0" fontId="49" fillId="38"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112" fillId="66" borderId="17"/>
    <xf numFmtId="0" fontId="60" fillId="0" borderId="26" applyNumberFormat="0" applyFill="0" applyAlignment="0" applyProtection="0">
      <alignment vertical="center"/>
    </xf>
    <xf numFmtId="0" fontId="1" fillId="70" borderId="23" applyNumberFormat="0" applyFont="0" applyAlignment="0" applyProtection="0"/>
    <xf numFmtId="0" fontId="85" fillId="51" borderId="24"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1" borderId="23" applyNumberFormat="0" applyAlignment="0" applyProtection="0"/>
    <xf numFmtId="0" fontId="1" fillId="70" borderId="23" applyNumberFormat="0" applyFon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9" borderId="24"/>
    <xf numFmtId="0" fontId="158" fillId="66" borderId="17" applyNumberFormat="0" applyAlignment="0" applyProtection="0"/>
    <xf numFmtId="0" fontId="83" fillId="80"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73"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3" fillId="51" borderId="24" applyNumberFormat="0" applyAlignment="0" applyProtection="0"/>
    <xf numFmtId="0" fontId="159" fillId="51" borderId="24" applyNumberFormat="0" applyAlignment="0" applyProtection="0">
      <alignment vertical="center"/>
    </xf>
    <xf numFmtId="0" fontId="85" fillId="80" borderId="24" applyNumberFormat="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82" fillId="68" borderId="24"/>
    <xf numFmtId="0" fontId="41"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4" fillId="66" borderId="17" applyNumberFormat="0" applyAlignment="0" applyProtection="0"/>
    <xf numFmtId="0" fontId="104" fillId="67"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77" fillId="51" borderId="24" applyNumberFormat="0" applyAlignment="0" applyProtection="0">
      <alignment vertical="center"/>
    </xf>
    <xf numFmtId="0" fontId="139" fillId="51" borderId="24" applyNumberFormat="0" applyAlignment="0" applyProtection="0">
      <alignment vertical="center"/>
    </xf>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94" fillId="65" borderId="17" applyNumberFormat="0" applyAlignment="0" applyProtection="0">
      <alignment vertical="center"/>
    </xf>
    <xf numFmtId="0" fontId="210" fillId="51" borderId="24" applyNumberFormat="0" applyAlignment="0" applyProtection="0">
      <alignment vertical="center"/>
    </xf>
    <xf numFmtId="0" fontId="113" fillId="81"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190" fillId="0" borderId="26"/>
    <xf numFmtId="0" fontId="85" fillId="80" borderId="24" applyNumberFormat="0" applyAlignment="0" applyProtection="0">
      <alignment vertical="center"/>
    </xf>
    <xf numFmtId="0" fontId="132" fillId="0" borderId="25" applyNumberFormat="0" applyFill="0" applyAlignment="0" applyProtection="0">
      <alignment vertical="center"/>
    </xf>
    <xf numFmtId="0" fontId="85" fillId="81" borderId="24" applyNumberFormat="0" applyAlignment="0" applyProtection="0"/>
    <xf numFmtId="0" fontId="41" fillId="0" borderId="25" applyNumberFormat="0" applyFill="0" applyAlignment="0" applyProtection="0"/>
    <xf numFmtId="0" fontId="208" fillId="51" borderId="17" applyNumberFormat="0" applyAlignment="0" applyProtection="0">
      <alignment vertical="center"/>
    </xf>
    <xf numFmtId="0" fontId="1" fillId="70" borderId="23" applyNumberFormat="0" applyFon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85" fillId="81"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58" fillId="65" borderId="17" applyNumberFormat="0" applyAlignment="0" applyProtection="0">
      <alignment vertical="center"/>
    </xf>
    <xf numFmtId="0" fontId="113" fillId="80" borderId="24" applyNumberFormat="0" applyAlignment="0" applyProtection="0"/>
    <xf numFmtId="0" fontId="259" fillId="0" borderId="25" applyNumberFormat="0" applyFill="0" applyAlignment="0" applyProtection="0">
      <alignment vertical="center"/>
    </xf>
    <xf numFmtId="0" fontId="49" fillId="38" borderId="17" applyNumberFormat="0" applyAlignment="0" applyProtection="0"/>
    <xf numFmtId="0" fontId="177" fillId="51" borderId="24"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04" fillId="67" borderId="24" applyNumberFormat="0" applyAlignment="0" applyProtection="0">
      <alignment vertical="center"/>
    </xf>
    <xf numFmtId="0" fontId="154" fillId="0" borderId="25" applyNumberFormat="0" applyFill="0" applyAlignment="0" applyProtection="0">
      <alignment vertical="center"/>
    </xf>
    <xf numFmtId="0" fontId="190" fillId="0" borderId="26"/>
    <xf numFmtId="0" fontId="210" fillId="51" borderId="24" applyNumberFormat="0" applyAlignment="0" applyProtection="0">
      <alignment vertical="center"/>
    </xf>
    <xf numFmtId="0" fontId="80" fillId="0" borderId="25" applyNumberFormat="0" applyFill="0" applyAlignment="0" applyProtection="0">
      <alignment vertical="center"/>
    </xf>
    <xf numFmtId="0" fontId="112" fillId="38"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83" fillId="8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26" fillId="51" borderId="17" applyNumberFormat="0" applyAlignment="0" applyProtection="0">
      <alignment vertical="center"/>
    </xf>
    <xf numFmtId="0" fontId="208" fillId="51" borderId="17"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xf numFmtId="0" fontId="159" fillId="81" borderId="24" applyNumberFormat="0" applyAlignment="0" applyProtection="0"/>
    <xf numFmtId="0" fontId="282" fillId="51" borderId="24" applyNumberFormat="0" applyAlignment="0" applyProtection="0">
      <alignment vertical="center"/>
    </xf>
    <xf numFmtId="0" fontId="114" fillId="81" borderId="17"/>
    <xf numFmtId="0" fontId="1" fillId="70" borderId="23" applyNumberFormat="0" applyFon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26" fillId="51" borderId="17" applyNumberFormat="0" applyAlignment="0" applyProtection="0">
      <alignment vertical="center"/>
    </xf>
    <xf numFmtId="0" fontId="83" fillId="51" borderId="17" applyNumberFormat="0" applyAlignment="0" applyProtection="0">
      <alignment vertical="center"/>
    </xf>
    <xf numFmtId="0" fontId="269" fillId="54" borderId="23" applyNumberFormat="0" applyFont="0" applyAlignment="0" applyProtection="0">
      <alignment vertical="center"/>
    </xf>
    <xf numFmtId="0" fontId="103" fillId="38" borderId="17" applyNumberFormat="0" applyAlignment="0" applyProtection="0">
      <alignment vertical="center"/>
    </xf>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42" fillId="51" borderId="17" applyNumberFormat="0" applyAlignment="0" applyProtection="0"/>
    <xf numFmtId="0" fontId="48" fillId="51" borderId="24" applyNumberFormat="0" applyAlignment="0" applyProtection="0"/>
    <xf numFmtId="0" fontId="336" fillId="69" borderId="17"/>
    <xf numFmtId="0" fontId="104" fillId="69" borderId="24" applyNumberFormat="0" applyAlignment="0" applyProtection="0"/>
    <xf numFmtId="0" fontId="157" fillId="80" borderId="17" applyNumberFormat="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3" fillId="81" borderId="24"/>
    <xf numFmtId="0" fontId="182" fillId="67" borderId="24" applyNumberFormat="0" applyAlignment="0" applyProtection="0">
      <alignment vertical="center"/>
    </xf>
    <xf numFmtId="0" fontId="139"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4" fillId="51" borderId="17" applyNumberFormat="0" applyAlignment="0" applyProtection="0"/>
    <xf numFmtId="0" fontId="182" fillId="68" borderId="24" applyNumberFormat="0" applyAlignment="0" applyProtection="0">
      <alignment vertical="center"/>
    </xf>
    <xf numFmtId="0" fontId="210" fillId="51" borderId="24" applyNumberFormat="0" applyAlignment="0" applyProtection="0">
      <alignment vertical="center"/>
    </xf>
    <xf numFmtId="0" fontId="183" fillId="67" borderId="17" applyNumberForma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100" fillId="69" borderId="17" applyNumberFormat="0" applyAlignment="0" applyProtection="0"/>
    <xf numFmtId="0" fontId="226" fillId="51" borderId="17"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49" fillId="38"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235" fillId="0" borderId="26" applyNumberFormat="0" applyFill="0" applyAlignment="0" applyProtection="0">
      <alignment vertical="center"/>
    </xf>
    <xf numFmtId="0" fontId="190" fillId="0" borderId="26"/>
    <xf numFmtId="0" fontId="104" fillId="69"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3" fillId="81" borderId="24" applyNumberFormat="0" applyAlignment="0" applyProtection="0"/>
    <xf numFmtId="0" fontId="182" fillId="68" borderId="24"/>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336" fillId="68" borderId="17" applyNumberFormat="0" applyAlignment="0" applyProtection="0">
      <alignment vertical="center"/>
    </xf>
    <xf numFmtId="0" fontId="49" fillId="38" borderId="17" applyNumberFormat="0" applyAlignment="0" applyProtection="0"/>
    <xf numFmtId="0" fontId="85" fillId="80" borderId="24" applyNumberFormat="0" applyAlignment="0" applyProtection="0">
      <alignment vertical="center"/>
    </xf>
    <xf numFmtId="0" fontId="277" fillId="0" borderId="25" applyNumberFormat="0" applyFill="0" applyAlignment="0" applyProtection="0">
      <alignment vertical="center"/>
    </xf>
    <xf numFmtId="0" fontId="336" fillId="68"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48" fillId="51" borderId="24" applyNumberFormat="0" applyAlignment="0" applyProtection="0"/>
    <xf numFmtId="0" fontId="114" fillId="80" borderId="17" applyNumberFormat="0" applyAlignment="0" applyProtection="0"/>
    <xf numFmtId="0" fontId="113" fillId="80" borderId="24" applyNumberFormat="0" applyAlignment="0" applyProtection="0"/>
    <xf numFmtId="0" fontId="251" fillId="54" borderId="23" applyNumberFormat="0" applyFont="0" applyAlignment="0" applyProtection="0">
      <alignment vertical="center"/>
    </xf>
    <xf numFmtId="0" fontId="194" fillId="65" borderId="17" applyNumberFormat="0" applyAlignment="0" applyProtection="0">
      <alignment vertical="center"/>
    </xf>
    <xf numFmtId="0" fontId="264" fillId="51" borderId="24" applyNumberFormat="0" applyAlignment="0" applyProtection="0">
      <alignment vertical="center"/>
    </xf>
    <xf numFmtId="0" fontId="194" fillId="38" borderId="17" applyNumberFormat="0" applyAlignment="0" applyProtection="0">
      <alignment vertical="center"/>
    </xf>
    <xf numFmtId="0" fontId="205" fillId="0" borderId="25" applyNumberFormat="0" applyFill="0" applyAlignment="0" applyProtection="0">
      <alignment vertical="center"/>
    </xf>
    <xf numFmtId="0" fontId="114" fillId="81" borderId="17" applyNumberFormat="0" applyAlignment="0" applyProtection="0"/>
    <xf numFmtId="0" fontId="1" fillId="54" borderId="23" applyNumberFormat="0" applyFont="0" applyAlignment="0" applyProtection="0"/>
    <xf numFmtId="0" fontId="60" fillId="0" borderId="26" applyNumberFormat="0" applyFill="0" applyAlignment="0" applyProtection="0">
      <alignment vertical="center"/>
    </xf>
    <xf numFmtId="0" fontId="104" fillId="69" borderId="24" applyNumberFormat="0" applyAlignment="0" applyProtection="0"/>
    <xf numFmtId="0" fontId="60" fillId="0" borderId="26" applyNumberFormat="0" applyFill="0" applyAlignment="0" applyProtection="0">
      <alignment vertical="center"/>
    </xf>
    <xf numFmtId="0" fontId="113" fillId="80" borderId="24" applyNumberFormat="0" applyAlignment="0" applyProtection="0"/>
    <xf numFmtId="0" fontId="42" fillId="51" borderId="17" applyNumberFormat="0" applyAlignment="0" applyProtection="0"/>
    <xf numFmtId="0" fontId="340" fillId="69" borderId="24"/>
    <xf numFmtId="0" fontId="281" fillId="38" borderId="17" applyNumberFormat="0" applyAlignment="0" applyProtection="0">
      <alignment vertical="center"/>
    </xf>
    <xf numFmtId="0" fontId="100" fillId="68" borderId="17"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157" fillId="51" borderId="17" applyNumberFormat="0" applyAlignment="0" applyProtection="0">
      <alignment vertical="center"/>
    </xf>
    <xf numFmtId="0" fontId="132" fillId="0" borderId="25" applyNumberFormat="0" applyFill="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05" fillId="0" borderId="25" applyNumberFormat="0" applyFill="0" applyAlignment="0" applyProtection="0">
      <alignment vertical="center"/>
    </xf>
    <xf numFmtId="0" fontId="339" fillId="65" borderId="17" applyNumberFormat="0" applyAlignment="0" applyProtection="0">
      <alignment vertical="center"/>
    </xf>
    <xf numFmtId="0" fontId="30" fillId="54" borderId="23" applyNumberFormat="0" applyFont="0" applyAlignment="0" applyProtection="0"/>
    <xf numFmtId="0" fontId="247" fillId="68" borderId="24" applyNumberFormat="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157" fillId="80" borderId="17" applyNumberFormat="0" applyAlignment="0" applyProtection="0">
      <alignment vertical="center"/>
    </xf>
    <xf numFmtId="0" fontId="119" fillId="0" borderId="25" applyNumberFormat="0" applyFill="0" applyAlignment="0" applyProtection="0"/>
    <xf numFmtId="0" fontId="247" fillId="68" borderId="24" applyNumberFormat="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51" borderId="24" applyNumberFormat="0" applyAlignment="0" applyProtection="0">
      <alignment vertical="center"/>
    </xf>
    <xf numFmtId="0" fontId="112" fillId="38" borderId="17" applyNumberFormat="0" applyAlignment="0" applyProtection="0"/>
    <xf numFmtId="0" fontId="280" fillId="80" borderId="17" applyNumberFormat="0" applyAlignment="0" applyProtection="0">
      <alignment vertical="center"/>
    </xf>
    <xf numFmtId="0" fontId="133" fillId="38" borderId="17" applyNumberFormat="0" applyAlignment="0" applyProtection="0">
      <alignment vertical="center"/>
    </xf>
    <xf numFmtId="0" fontId="227" fillId="38" borderId="17" applyNumberFormat="0" applyAlignment="0" applyProtection="0">
      <alignment vertical="center"/>
    </xf>
    <xf numFmtId="0" fontId="282" fillId="51"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12" fillId="66" borderId="17" applyNumberFormat="0" applyAlignment="0" applyProtection="0"/>
    <xf numFmtId="0" fontId="104" fillId="69" borderId="24" applyNumberFormat="0" applyAlignment="0" applyProtection="0"/>
    <xf numFmtId="0" fontId="30" fillId="54" borderId="23" applyNumberFormat="0" applyFont="0" applyAlignment="0" applyProtection="0"/>
    <xf numFmtId="0" fontId="282" fillId="51" borderId="24" applyNumberFormat="0" applyAlignment="0" applyProtection="0">
      <alignment vertical="center"/>
    </xf>
    <xf numFmtId="0" fontId="205" fillId="0" borderId="25" applyNumberFormat="0" applyFill="0" applyAlignment="0" applyProtection="0">
      <alignment vertical="center"/>
    </xf>
    <xf numFmtId="0" fontId="48" fillId="51" borderId="24" applyNumberFormat="0" applyAlignment="0" applyProtection="0"/>
    <xf numFmtId="0" fontId="159"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26" fillId="51" borderId="17"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82" fillId="51" borderId="24" applyNumberFormat="0" applyAlignment="0" applyProtection="0">
      <alignment vertical="center"/>
    </xf>
    <xf numFmtId="0" fontId="113" fillId="80" borderId="24" applyNumberFormat="0" applyAlignment="0" applyProtection="0"/>
    <xf numFmtId="0" fontId="30" fillId="54" borderId="23" applyNumberFormat="0" applyFont="0" applyAlignment="0" applyProtection="0"/>
    <xf numFmtId="0" fontId="223"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81" fillId="38" borderId="17" applyNumberFormat="0" applyAlignment="0" applyProtection="0">
      <alignment vertical="center"/>
    </xf>
    <xf numFmtId="0" fontId="336" fillId="68" borderId="17" applyNumberFormat="0" applyAlignment="0" applyProtection="0">
      <alignment vertical="center"/>
    </xf>
    <xf numFmtId="0" fontId="30" fillId="54" borderId="23" applyNumberFormat="0" applyFont="0" applyAlignment="0" applyProtection="0"/>
    <xf numFmtId="0" fontId="85" fillId="81" borderId="24" applyNumberFormat="0" applyAlignment="0" applyProtection="0"/>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85" fillId="81" borderId="24" applyNumberFormat="0" applyAlignment="0" applyProtection="0"/>
    <xf numFmtId="0" fontId="139" fillId="51" borderId="24" applyNumberFormat="0" applyAlignment="0" applyProtection="0">
      <alignment vertical="center"/>
    </xf>
    <xf numFmtId="0" fontId="85" fillId="80" borderId="24" applyNumberFormat="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03" fillId="66" borderId="17" applyNumberFormat="0" applyAlignment="0" applyProtection="0"/>
    <xf numFmtId="0" fontId="85" fillId="80" borderId="24"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08" fillId="51" borderId="17" applyNumberFormat="0" applyAlignment="0" applyProtection="0">
      <alignment vertical="center"/>
    </xf>
    <xf numFmtId="0" fontId="264" fillId="51" borderId="24"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47" fillId="69" borderId="24"/>
    <xf numFmtId="0" fontId="1" fillId="70" borderId="23" applyNumberFormat="0" applyFont="0" applyAlignment="0" applyProtection="0">
      <alignment vertical="center"/>
    </xf>
    <xf numFmtId="0" fontId="281" fillId="38" borderId="17" applyNumberFormat="0" applyAlignment="0" applyProtection="0">
      <alignment vertical="center"/>
    </xf>
    <xf numFmtId="0" fontId="119" fillId="0" borderId="25" applyNumberFormat="0" applyFill="0" applyAlignment="0" applyProtection="0"/>
    <xf numFmtId="0" fontId="84" fillId="38" borderId="17" applyNumberFormat="0" applyAlignment="0" applyProtection="0">
      <alignment vertical="center"/>
    </xf>
    <xf numFmtId="0" fontId="42" fillId="51"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92"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58" fillId="38" borderId="17" applyNumberFormat="0" applyAlignment="0" applyProtection="0">
      <alignment vertical="center"/>
    </xf>
    <xf numFmtId="0" fontId="85" fillId="80" borderId="24" applyNumberFormat="0" applyAlignment="0" applyProtection="0">
      <alignment vertical="center"/>
    </xf>
    <xf numFmtId="0" fontId="30" fillId="54" borderId="23" applyNumberFormat="0" applyFont="0" applyAlignment="0" applyProtection="0"/>
    <xf numFmtId="0" fontId="139" fillId="51" borderId="24" applyNumberFormat="0" applyAlignment="0" applyProtection="0">
      <alignment vertical="center"/>
    </xf>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xf numFmtId="0" fontId="157" fillId="51" borderId="17" applyNumberFormat="0" applyAlignment="0" applyProtection="0">
      <alignment vertical="center"/>
    </xf>
    <xf numFmtId="0" fontId="209" fillId="38" borderId="17" applyNumberFormat="0" applyAlignment="0" applyProtection="0">
      <alignment vertical="center"/>
    </xf>
    <xf numFmtId="0" fontId="85" fillId="51" borderId="24" applyNumberFormat="0" applyAlignment="0" applyProtection="0">
      <alignment vertical="center"/>
    </xf>
    <xf numFmtId="0" fontId="158" fillId="38" borderId="17"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251"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12" fillId="38" borderId="17" applyNumberFormat="0" applyAlignment="0" applyProtection="0"/>
    <xf numFmtId="0" fontId="158" fillId="66" borderId="17"/>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65" borderId="17"/>
    <xf numFmtId="0" fontId="48" fillId="51" borderId="24" applyNumberFormat="0" applyAlignment="0" applyProtection="0"/>
    <xf numFmtId="0" fontId="49" fillId="38" borderId="17" applyNumberFormat="0" applyAlignment="0" applyProtection="0"/>
    <xf numFmtId="0" fontId="243" fillId="68" borderId="17" applyNumberFormat="0" applyAlignment="0" applyProtection="0">
      <alignment vertical="center"/>
    </xf>
    <xf numFmtId="0" fontId="80" fillId="0" borderId="25"/>
    <xf numFmtId="0" fontId="139" fillId="51" borderId="24"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194" fillId="65" borderId="17"/>
    <xf numFmtId="0" fontId="210" fillId="51" borderId="24" applyNumberForma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320" fillId="68" borderId="24" applyNumberFormat="0" applyAlignment="0" applyProtection="0">
      <alignment vertical="center"/>
    </xf>
    <xf numFmtId="0" fontId="104" fillId="67" borderId="24" applyNumberFormat="0" applyAlignment="0" applyProtection="0">
      <alignment vertical="center"/>
    </xf>
    <xf numFmtId="0" fontId="328" fillId="0" borderId="26" applyNumberFormat="0" applyFill="0" applyAlignment="0" applyProtection="0">
      <alignment vertical="center"/>
    </xf>
    <xf numFmtId="0" fontId="182" fillId="68" borderId="24"/>
    <xf numFmtId="0" fontId="281"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10" fillId="51" borderId="24" applyNumberFormat="0" applyAlignment="0" applyProtection="0">
      <alignment vertical="center"/>
    </xf>
    <xf numFmtId="0" fontId="157" fillId="51" borderId="17" applyNumberFormat="0" applyAlignment="0" applyProtection="0">
      <alignment vertical="center"/>
    </xf>
    <xf numFmtId="0" fontId="205" fillId="0" borderId="25" applyNumberFormat="0" applyFill="0" applyAlignment="0" applyProtection="0">
      <alignment vertical="center"/>
    </xf>
    <xf numFmtId="0" fontId="85" fillId="51" borderId="24" applyNumberFormat="0" applyAlignment="0" applyProtection="0">
      <alignment vertical="center"/>
    </xf>
    <xf numFmtId="0" fontId="1" fillId="71" borderId="23" applyNumberFormat="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80"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75"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03" fillId="38" borderId="17" applyNumberFormat="0" applyAlignment="0" applyProtection="0">
      <alignment vertical="center"/>
    </xf>
    <xf numFmtId="0" fontId="85" fillId="80" borderId="24" applyNumberFormat="0" applyAlignment="0" applyProtection="0">
      <alignment vertical="center"/>
    </xf>
    <xf numFmtId="0" fontId="269" fillId="54" borderId="23" applyNumberFormat="0" applyFont="0" applyAlignment="0" applyProtection="0">
      <alignment vertical="center"/>
    </xf>
    <xf numFmtId="0" fontId="1" fillId="71" borderId="23" applyNumberFormat="0" applyAlignment="0" applyProtection="0"/>
    <xf numFmtId="0" fontId="262" fillId="51" borderId="17" applyNumberFormat="0" applyAlignment="0" applyProtection="0">
      <alignment vertical="center"/>
    </xf>
    <xf numFmtId="0" fontId="339" fillId="65" borderId="17"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42" fillId="51" borderId="17" applyNumberFormat="0" applyAlignment="0" applyProtection="0"/>
    <xf numFmtId="0" fontId="85" fillId="81" borderId="24" applyNumberFormat="0" applyAlignment="0" applyProtection="0"/>
    <xf numFmtId="0" fontId="103"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xf numFmtId="0" fontId="141" fillId="35" borderId="0" applyNumberFormat="0" applyBorder="0" applyAlignment="0" applyProtection="0">
      <alignment vertical="center"/>
    </xf>
    <xf numFmtId="0" fontId="142" fillId="34" borderId="0" applyNumberFormat="0" applyBorder="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30" fillId="0" borderId="0"/>
    <xf numFmtId="0" fontId="30" fillId="0" borderId="0"/>
    <xf numFmtId="0" fontId="112" fillId="38" borderId="17" applyNumberFormat="0" applyAlignment="0" applyProtection="0"/>
    <xf numFmtId="0" fontId="41" fillId="0" borderId="25" applyNumberFormat="0" applyFill="0" applyAlignment="0" applyProtection="0"/>
    <xf numFmtId="0" fontId="42" fillId="51" borderId="17" applyNumberFormat="0" applyAlignment="0" applyProtection="0"/>
    <xf numFmtId="0" fontId="157" fillId="51" borderId="17" applyNumberFormat="0" applyAlignment="0" applyProtection="0">
      <alignment vertical="center"/>
    </xf>
    <xf numFmtId="0" fontId="247"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48" fillId="51" borderId="24" applyNumberFormat="0" applyAlignment="0" applyProtection="0"/>
    <xf numFmtId="0" fontId="119" fillId="0" borderId="25" applyNumberFormat="0" applyFill="0" applyAlignment="0" applyProtection="0"/>
    <xf numFmtId="0" fontId="328" fillId="0" borderId="26"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328" fillId="0" borderId="26" applyNumberFormat="0" applyFill="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1"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83" fillId="51" borderId="17" applyNumberFormat="0" applyAlignment="0" applyProtection="0">
      <alignment vertical="center"/>
    </xf>
    <xf numFmtId="0" fontId="172" fillId="0" borderId="25" applyNumberFormat="0" applyFill="0" applyAlignment="0" applyProtection="0">
      <alignment vertical="center"/>
    </xf>
    <xf numFmtId="0" fontId="100" fillId="67" borderId="17" applyNumberFormat="0" applyAlignment="0" applyProtection="0">
      <alignment vertical="center"/>
    </xf>
    <xf numFmtId="0" fontId="112" fillId="65" borderId="17" applyNumberFormat="0" applyAlignment="0" applyProtection="0"/>
    <xf numFmtId="0" fontId="49" fillId="38" borderId="17" applyNumberFormat="0" applyAlignment="0" applyProtection="0"/>
    <xf numFmtId="0" fontId="30" fillId="54" borderId="23" applyNumberFormat="0" applyFont="0" applyAlignment="0" applyProtection="0"/>
    <xf numFmtId="0" fontId="159" fillId="80" borderId="24"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47" fillId="68" borderId="24" applyNumberFormat="0" applyAlignment="0" applyProtection="0">
      <alignment vertical="center"/>
    </xf>
    <xf numFmtId="0" fontId="41" fillId="0" borderId="25" applyNumberFormat="0" applyFill="0" applyAlignment="0" applyProtection="0"/>
    <xf numFmtId="0" fontId="1" fillId="70" borderId="23" applyNumberFormat="0" applyFont="0" applyAlignment="0" applyProtection="0"/>
    <xf numFmtId="0" fontId="113" fillId="51" borderId="24" applyNumberFormat="0" applyAlignment="0" applyProtection="0"/>
    <xf numFmtId="0" fontId="210" fillId="51" borderId="24" applyNumberFormat="0" applyAlignment="0" applyProtection="0">
      <alignment vertical="center"/>
    </xf>
    <xf numFmtId="0" fontId="30" fillId="54" borderId="23" applyNumberFormat="0" applyFon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13" fillId="81"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00" fillId="69"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49" fillId="38" borderId="17" applyNumberFormat="0" applyAlignment="0" applyProtection="0"/>
    <xf numFmtId="0" fontId="247" fillId="68" borderId="24" applyNumberFormat="0" applyAlignment="0" applyProtection="0">
      <alignment vertical="center"/>
    </xf>
    <xf numFmtId="0" fontId="246" fillId="65" borderId="17" applyNumberFormat="0" applyAlignment="0" applyProtection="0">
      <alignment vertical="center"/>
    </xf>
    <xf numFmtId="0" fontId="339" fillId="65" borderId="17" applyNumberFormat="0" applyAlignment="0" applyProtection="0">
      <alignment vertical="center"/>
    </xf>
    <xf numFmtId="0" fontId="208" fillId="51" borderId="17" applyNumberFormat="0" applyAlignment="0" applyProtection="0">
      <alignment vertical="center"/>
    </xf>
    <xf numFmtId="0" fontId="133" fillId="38" borderId="17"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3" fillId="81" borderId="17" applyNumberFormat="0" applyAlignment="0" applyProtection="0"/>
    <xf numFmtId="0" fontId="103" fillId="66" borderId="17"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83" fillId="81" borderId="17" applyNumberFormat="0" applyAlignment="0" applyProtection="0"/>
    <xf numFmtId="0" fontId="113" fillId="80" borderId="24" applyNumberFormat="0" applyAlignment="0" applyProtection="0"/>
    <xf numFmtId="0" fontId="41" fillId="0" borderId="25" applyNumberFormat="0" applyFill="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235" fillId="0" borderId="26"/>
    <xf numFmtId="0" fontId="316" fillId="6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76" fillId="38" borderId="17" applyNumberFormat="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91" fillId="54" borderId="23" applyNumberFormat="0" applyFon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75" fillId="51" borderId="17" applyNumberFormat="0" applyAlignment="0" applyProtection="0">
      <alignment vertical="center"/>
    </xf>
    <xf numFmtId="0" fontId="158" fillId="38" borderId="17" applyNumberFormat="0" applyAlignment="0" applyProtection="0">
      <alignment vertical="center"/>
    </xf>
    <xf numFmtId="0" fontId="48" fillId="51" borderId="24" applyNumberFormat="0" applyAlignment="0" applyProtection="0"/>
    <xf numFmtId="0" fontId="84" fillId="65" borderId="17"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66" borderId="17" applyNumberFormat="0" applyAlignment="0" applyProtection="0"/>
    <xf numFmtId="0" fontId="280" fillId="51" borderId="17"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83" fillId="80" borderId="17" applyNumberFormat="0" applyAlignment="0" applyProtection="0">
      <alignment vertical="center"/>
    </xf>
    <xf numFmtId="0" fontId="159" fillId="80" borderId="24" applyNumberFormat="0" applyAlignment="0" applyProtection="0">
      <alignment vertical="center"/>
    </xf>
    <xf numFmtId="0" fontId="126" fillId="51" borderId="17" applyNumberFormat="0" applyAlignment="0" applyProtection="0">
      <alignment vertical="center"/>
    </xf>
    <xf numFmtId="0" fontId="263" fillId="38" borderId="17" applyNumberFormat="0" applyAlignment="0" applyProtection="0">
      <alignment vertical="center"/>
    </xf>
    <xf numFmtId="0" fontId="282" fillId="80"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154" fillId="0" borderId="25" applyNumberFormat="0" applyFill="0" applyAlignment="0" applyProtection="0"/>
    <xf numFmtId="0" fontId="247" fillId="68"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42" fillId="51"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94"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49" fillId="38" borderId="17" applyNumberFormat="0" applyAlignment="0" applyProtection="0"/>
    <xf numFmtId="0" fontId="259" fillId="0" borderId="25" applyNumberFormat="0" applyFill="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82" fillId="67" borderId="24" applyNumberFormat="0" applyAlignment="0" applyProtection="0">
      <alignment vertical="center"/>
    </xf>
    <xf numFmtId="0" fontId="112" fillId="65" borderId="17" applyNumberFormat="0" applyAlignment="0" applyProtection="0"/>
    <xf numFmtId="0" fontId="339" fillId="65" borderId="17" applyNumberFormat="0" applyAlignment="0" applyProtection="0">
      <alignment vertical="center"/>
    </xf>
    <xf numFmtId="0" fontId="48" fillId="51" borderId="24" applyNumberFormat="0" applyAlignment="0" applyProtection="0"/>
    <xf numFmtId="0" fontId="85" fillId="81" borderId="24"/>
    <xf numFmtId="0" fontId="112" fillId="66" borderId="17" applyNumberFormat="0" applyAlignment="0" applyProtection="0"/>
    <xf numFmtId="0" fontId="113" fillId="81" borderId="24" applyNumberFormat="0" applyAlignment="0" applyProtection="0"/>
    <xf numFmtId="0" fontId="60" fillId="0" borderId="26" applyNumberFormat="0" applyFill="0" applyAlignment="0" applyProtection="0">
      <alignment vertical="center"/>
    </xf>
    <xf numFmtId="0" fontId="1" fillId="71" borderId="23"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97" fillId="54" borderId="23" applyNumberFormat="0" applyFont="0" applyAlignment="0" applyProtection="0">
      <alignment vertical="center"/>
    </xf>
    <xf numFmtId="0" fontId="104" fillId="68" borderId="24" applyNumberFormat="0" applyAlignment="0" applyProtection="0">
      <alignment vertical="center"/>
    </xf>
    <xf numFmtId="0" fontId="183" fillId="68" borderId="17" applyNumberFormat="0" applyAlignment="0" applyProtection="0">
      <alignment vertical="center"/>
    </xf>
    <xf numFmtId="0" fontId="112" fillId="65" borderId="17" applyNumberFormat="0" applyAlignment="0" applyProtection="0"/>
    <xf numFmtId="0" fontId="92" fillId="0" borderId="26" applyNumberFormat="0" applyFill="0" applyAlignment="0" applyProtection="0"/>
    <xf numFmtId="0" fontId="228" fillId="51" borderId="24" applyNumberFormat="0" applyAlignment="0" applyProtection="0">
      <alignment vertical="center"/>
    </xf>
    <xf numFmtId="0" fontId="205" fillId="0" borderId="25" applyNumberFormat="0" applyFill="0" applyAlignment="0" applyProtection="0">
      <alignment vertical="center"/>
    </xf>
    <xf numFmtId="0" fontId="177" fillId="51" borderId="24" applyNumberFormat="0" applyAlignment="0" applyProtection="0">
      <alignment vertical="center"/>
    </xf>
    <xf numFmtId="0" fontId="172" fillId="0" borderId="25" applyNumberFormat="0" applyFill="0" applyAlignment="0" applyProtection="0">
      <alignment vertical="center"/>
    </xf>
    <xf numFmtId="0" fontId="60" fillId="0" borderId="26" applyNumberFormat="0" applyFill="0" applyAlignment="0" applyProtection="0">
      <alignment vertical="center"/>
    </xf>
    <xf numFmtId="0" fontId="182" fillId="68" borderId="24" applyNumberFormat="0" applyAlignment="0" applyProtection="0">
      <alignment vertical="center"/>
    </xf>
    <xf numFmtId="0" fontId="282" fillId="80" borderId="24" applyNumberFormat="0" applyAlignment="0" applyProtection="0">
      <alignment vertical="center"/>
    </xf>
    <xf numFmtId="0" fontId="183" fillId="67" borderId="17"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114" fillId="81" borderId="17" applyNumberFormat="0" applyAlignment="0" applyProtection="0"/>
    <xf numFmtId="0" fontId="83" fillId="80" borderId="17" applyNumberFormat="0" applyAlignment="0" applyProtection="0">
      <alignment vertical="center"/>
    </xf>
    <xf numFmtId="0" fontId="182" fillId="67"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82" fillId="68" borderId="24"/>
    <xf numFmtId="0" fontId="85" fillId="51" borderId="24" applyNumberFormat="0" applyAlignment="0" applyProtection="0">
      <alignment vertical="center"/>
    </xf>
    <xf numFmtId="0" fontId="182" fillId="68" borderId="24"/>
    <xf numFmtId="0" fontId="172" fillId="0" borderId="25" applyNumberFormat="0" applyFill="0" applyAlignment="0" applyProtection="0">
      <alignment vertical="center"/>
    </xf>
    <xf numFmtId="0" fontId="112" fillId="66" borderId="17" applyNumberFormat="0" applyAlignment="0" applyProtection="0"/>
    <xf numFmtId="0" fontId="84" fillId="66" borderId="17" applyNumberFormat="0" applyAlignment="0" applyProtection="0"/>
    <xf numFmtId="0" fontId="41" fillId="0" borderId="25" applyNumberFormat="0" applyFill="0" applyAlignment="0" applyProtection="0"/>
    <xf numFmtId="0" fontId="209" fillId="38"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82" fillId="67" borderId="24" applyNumberFormat="0" applyAlignment="0" applyProtection="0">
      <alignment vertical="center"/>
    </xf>
    <xf numFmtId="0" fontId="158" fillId="65" borderId="17" applyNumberFormat="0" applyAlignment="0" applyProtection="0">
      <alignment vertical="center"/>
    </xf>
    <xf numFmtId="0" fontId="85" fillId="81" borderId="24" applyNumberFormat="0" applyAlignment="0" applyProtection="0"/>
    <xf numFmtId="0" fontId="48" fillId="51" borderId="24" applyNumberFormat="0" applyAlignment="0" applyProtection="0"/>
    <xf numFmtId="0" fontId="182" fillId="68" borderId="24" applyNumberFormat="0" applyAlignment="0" applyProtection="0">
      <alignment vertical="center"/>
    </xf>
    <xf numFmtId="0" fontId="124"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57" fillId="81" borderId="17" applyNumberFormat="0" applyAlignment="0" applyProtection="0"/>
    <xf numFmtId="0" fontId="182" fillId="68" borderId="24"/>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5" fillId="81" borderId="24" applyNumberFormat="0" applyAlignment="0" applyProtection="0"/>
    <xf numFmtId="0" fontId="247" fillId="69" borderId="24"/>
    <xf numFmtId="0" fontId="119" fillId="0" borderId="25" applyNumberFormat="0" applyFill="0" applyAlignment="0" applyProtection="0"/>
    <xf numFmtId="0" fontId="113" fillId="80" borderId="24" applyNumberFormat="0" applyAlignment="0" applyProtection="0"/>
    <xf numFmtId="0" fontId="182" fillId="68" borderId="24"/>
    <xf numFmtId="0" fontId="114" fillId="80" borderId="17" applyNumberFormat="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113" fillId="80" borderId="24" applyNumberFormat="0" applyAlignment="0" applyProtection="0"/>
    <xf numFmtId="0" fontId="92" fillId="0" borderId="26" applyNumberFormat="0" applyFill="0" applyAlignment="0" applyProtection="0"/>
    <xf numFmtId="0" fontId="157" fillId="81" borderId="17"/>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42" fillId="51" borderId="17" applyNumberFormat="0" applyAlignment="0" applyProtection="0"/>
    <xf numFmtId="0" fontId="340" fillId="68" borderId="24" applyNumberFormat="0" applyAlignment="0" applyProtection="0">
      <alignment vertical="center"/>
    </xf>
    <xf numFmtId="0" fontId="321" fillId="65" borderId="17" applyNumberFormat="0" applyAlignment="0" applyProtection="0">
      <alignment vertical="center"/>
    </xf>
    <xf numFmtId="0" fontId="227" fillId="38"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13" fillId="80" borderId="24" applyNumberFormat="0" applyAlignment="0" applyProtection="0"/>
    <xf numFmtId="0" fontId="157" fillId="51" borderId="17" applyNumberFormat="0" applyAlignment="0" applyProtection="0">
      <alignment vertical="center"/>
    </xf>
    <xf numFmtId="0" fontId="208" fillId="51"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54" fillId="0" borderId="25" applyNumberFormat="0" applyFill="0" applyAlignment="0" applyProtection="0">
      <alignment vertical="center"/>
    </xf>
    <xf numFmtId="0" fontId="104" fillId="68" borderId="24" applyNumberFormat="0" applyAlignment="0" applyProtection="0">
      <alignment vertical="center"/>
    </xf>
    <xf numFmtId="0" fontId="60" fillId="0" borderId="26" applyNumberFormat="0" applyFill="0" applyAlignment="0" applyProtection="0">
      <alignment vertical="center"/>
    </xf>
    <xf numFmtId="0" fontId="103" fillId="38" borderId="17" applyNumberFormat="0" applyAlignment="0" applyProtection="0">
      <alignment vertical="center"/>
    </xf>
    <xf numFmtId="0" fontId="48" fillId="51" borderId="24" applyNumberFormat="0" applyAlignment="0" applyProtection="0"/>
    <xf numFmtId="0" fontId="182" fillId="68" borderId="24"/>
    <xf numFmtId="0" fontId="85" fillId="81" borderId="24"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51" borderId="24" applyNumberFormat="0" applyAlignment="0" applyProtection="0"/>
    <xf numFmtId="0" fontId="92" fillId="0" borderId="26" applyNumberFormat="0" applyFill="0" applyAlignment="0" applyProtection="0">
      <alignment vertical="center"/>
    </xf>
    <xf numFmtId="0" fontId="113" fillId="80" borderId="24" applyNumberFormat="0" applyAlignment="0" applyProtection="0"/>
    <xf numFmtId="0" fontId="262" fillId="51"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64"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77" fillId="51" borderId="24" applyNumberForma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57" fillId="81"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41" fillId="0" borderId="25" applyNumberFormat="0" applyFill="0" applyAlignment="0" applyProtection="0"/>
    <xf numFmtId="0" fontId="228" fillId="51" borderId="24" applyNumberFormat="0" applyAlignment="0" applyProtection="0">
      <alignment vertical="center"/>
    </xf>
    <xf numFmtId="0" fontId="41" fillId="0" borderId="25" applyNumberFormat="0" applyFill="0" applyAlignment="0" applyProtection="0"/>
    <xf numFmtId="0" fontId="154" fillId="0" borderId="25" applyNumberFormat="0" applyFill="0" applyAlignment="0" applyProtection="0">
      <alignment vertical="center"/>
    </xf>
    <xf numFmtId="0" fontId="210" fillId="51" borderId="24" applyNumberFormat="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264" fillId="51" borderId="24" applyNumberFormat="0" applyAlignment="0" applyProtection="0">
      <alignment vertical="center"/>
    </xf>
    <xf numFmtId="0" fontId="246" fillId="65"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158" fillId="65" borderId="17" applyNumberFormat="0" applyAlignment="0" applyProtection="0">
      <alignment vertical="center"/>
    </xf>
    <xf numFmtId="0" fontId="1" fillId="70" borderId="23"/>
    <xf numFmtId="0" fontId="282" fillId="51" borderId="24"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30" fillId="54" borderId="23" applyNumberFormat="0" applyFont="0" applyAlignment="0" applyProtection="0"/>
    <xf numFmtId="0" fontId="49" fillId="38" borderId="17" applyNumberFormat="0" applyAlignment="0" applyProtection="0"/>
    <xf numFmtId="0" fontId="158" fillId="38" borderId="17" applyNumberFormat="0" applyAlignment="0" applyProtection="0">
      <alignment vertical="center"/>
    </xf>
    <xf numFmtId="0" fontId="104" fillId="68" borderId="24" applyNumberFormat="0" applyAlignment="0" applyProtection="0">
      <alignment vertical="center"/>
    </xf>
    <xf numFmtId="0" fontId="336"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82" fillId="68" borderId="24"/>
    <xf numFmtId="0" fontId="228" fillId="51" borderId="24"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48" fillId="51" borderId="24"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92"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228" fillId="51" borderId="24" applyNumberFormat="0" applyAlignment="0" applyProtection="0">
      <alignment vertical="center"/>
    </xf>
    <xf numFmtId="0" fontId="100" fillId="69" borderId="17" applyNumberFormat="0" applyAlignment="0" applyProtection="0"/>
    <xf numFmtId="0" fontId="183" fillId="68" borderId="17"/>
    <xf numFmtId="0" fontId="280" fillId="51" borderId="17" applyNumberFormat="0" applyAlignment="0" applyProtection="0">
      <alignment vertical="center"/>
    </xf>
    <xf numFmtId="0" fontId="243" fillId="68" borderId="17" applyNumberFormat="0" applyAlignment="0" applyProtection="0">
      <alignment vertical="center"/>
    </xf>
    <xf numFmtId="0" fontId="149" fillId="54" borderId="23" applyNumberFormat="0" applyFont="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48" fillId="51" borderId="24" applyNumberFormat="0" applyAlignment="0" applyProtection="0"/>
    <xf numFmtId="0" fontId="42" fillId="51" borderId="17" applyNumberFormat="0" applyAlignment="0" applyProtection="0"/>
    <xf numFmtId="0" fontId="154"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104" fillId="68" borderId="24" applyNumberFormat="0" applyAlignment="0" applyProtection="0">
      <alignment vertical="center"/>
    </xf>
    <xf numFmtId="0" fontId="30" fillId="54"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59" fillId="51" borderId="24" applyNumberFormat="0" applyAlignment="0" applyProtection="0">
      <alignment vertical="center"/>
    </xf>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113" fillId="81" borderId="24" applyNumberFormat="0" applyAlignment="0" applyProtection="0"/>
    <xf numFmtId="0" fontId="113" fillId="81" borderId="24" applyNumberFormat="0" applyAlignment="0" applyProtection="0"/>
    <xf numFmtId="0" fontId="157" fillId="51" borderId="17" applyNumberFormat="0" applyAlignment="0" applyProtection="0">
      <alignment vertical="center"/>
    </xf>
    <xf numFmtId="0" fontId="42" fillId="51" borderId="17" applyNumberFormat="0" applyAlignment="0" applyProtection="0"/>
    <xf numFmtId="0" fontId="85" fillId="51" borderId="24" applyNumberFormat="0" applyAlignment="0" applyProtection="0">
      <alignment vertical="center"/>
    </xf>
    <xf numFmtId="0" fontId="194" fillId="38" borderId="17" applyNumberFormat="0" applyAlignment="0" applyProtection="0">
      <alignment vertical="center"/>
    </xf>
    <xf numFmtId="0" fontId="157" fillId="81" borderId="17" applyNumberFormat="0" applyAlignment="0" applyProtection="0"/>
    <xf numFmtId="0" fontId="60" fillId="0" borderId="26" applyNumberFormat="0" applyFill="0" applyAlignment="0" applyProtection="0">
      <alignment vertical="center"/>
    </xf>
    <xf numFmtId="0" fontId="124" fillId="54" borderId="23" applyNumberFormat="0" applyFont="0" applyAlignment="0" applyProtection="0">
      <alignment vertical="center"/>
    </xf>
    <xf numFmtId="0" fontId="48" fillId="51" borderId="24" applyNumberFormat="0" applyAlignment="0" applyProtection="0"/>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85" fillId="51" borderId="24"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113" fillId="81" borderId="24"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30" fillId="54" borderId="23" applyNumberFormat="0" applyFont="0" applyAlignment="0" applyProtection="0"/>
    <xf numFmtId="0" fontId="277" fillId="0" borderId="25" applyNumberFormat="0" applyFill="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133"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84" fillId="66" borderId="17" applyNumberFormat="0" applyAlignment="0" applyProtection="0"/>
    <xf numFmtId="0" fontId="158" fillId="38" borderId="17" applyNumberFormat="0" applyAlignment="0" applyProtection="0">
      <alignment vertical="center"/>
    </xf>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119" fillId="0" borderId="25" applyNumberFormat="0" applyFill="0" applyAlignment="0" applyProtection="0"/>
    <xf numFmtId="0" fontId="182" fillId="68" borderId="24" applyNumberFormat="0" applyAlignment="0" applyProtection="0">
      <alignment vertical="center"/>
    </xf>
    <xf numFmtId="0" fontId="281" fillId="38"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320" fillId="68" borderId="24" applyNumberFormat="0" applyAlignment="0" applyProtection="0">
      <alignment vertical="center"/>
    </xf>
    <xf numFmtId="0" fontId="126"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4" fillId="65" borderId="17" applyNumberFormat="0" applyAlignment="0" applyProtection="0">
      <alignment vertical="center"/>
    </xf>
    <xf numFmtId="0" fontId="104" fillId="68" borderId="24" applyNumberFormat="0" applyAlignment="0" applyProtection="0">
      <alignment vertical="center"/>
    </xf>
    <xf numFmtId="0" fontId="41" fillId="0" borderId="25" applyNumberFormat="0" applyFill="0" applyAlignment="0" applyProtection="0"/>
    <xf numFmtId="0" fontId="210" fillId="51" borderId="24" applyNumberFormat="0" applyAlignment="0" applyProtection="0">
      <alignment vertical="center"/>
    </xf>
    <xf numFmtId="0" fontId="80" fillId="0" borderId="25" applyNumberFormat="0" applyFill="0" applyAlignment="0" applyProtection="0"/>
    <xf numFmtId="0" fontId="49" fillId="38"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03" fillId="38" borderId="17"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41" fillId="0" borderId="25" applyNumberFormat="0" applyFill="0" applyAlignment="0" applyProtection="0"/>
    <xf numFmtId="0" fontId="80"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119" fillId="0" borderId="25" applyNumberFormat="0" applyFill="0" applyAlignment="0" applyProtection="0"/>
    <xf numFmtId="0" fontId="85" fillId="51" borderId="24" applyNumberFormat="0" applyAlignment="0" applyProtection="0">
      <alignment vertical="center"/>
    </xf>
    <xf numFmtId="0" fontId="183" fillId="68" borderId="17" applyNumberFormat="0" applyAlignment="0" applyProtection="0">
      <alignment vertical="center"/>
    </xf>
    <xf numFmtId="0" fontId="157" fillId="81" borderId="17" applyNumberFormat="0" applyAlignment="0" applyProtection="0"/>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314"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328" fillId="0" borderId="26"/>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139" fillId="51" borderId="24" applyNumberFormat="0" applyAlignment="0" applyProtection="0">
      <alignment vertical="center"/>
    </xf>
    <xf numFmtId="0" fontId="100" fillId="67" borderId="17" applyNumberFormat="0" applyAlignment="0" applyProtection="0">
      <alignment vertical="center"/>
    </xf>
    <xf numFmtId="0" fontId="264" fillId="51" borderId="24" applyNumberFormat="0" applyAlignment="0" applyProtection="0">
      <alignment vertical="center"/>
    </xf>
    <xf numFmtId="0" fontId="114" fillId="81" borderId="17" applyNumberFormat="0" applyAlignment="0" applyProtection="0"/>
    <xf numFmtId="0" fontId="210" fillId="51"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246" fillId="65" borderId="17"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83" fillId="51" borderId="17" applyNumberFormat="0" applyAlignment="0" applyProtection="0">
      <alignment vertical="center"/>
    </xf>
    <xf numFmtId="0" fontId="113" fillId="51" borderId="24" applyNumberFormat="0" applyAlignment="0" applyProtection="0"/>
    <xf numFmtId="0" fontId="84" fillId="66"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4" fillId="80" borderId="17" applyNumberFormat="0" applyAlignment="0" applyProtection="0"/>
    <xf numFmtId="0" fontId="112" fillId="65" borderId="17" applyNumberFormat="0" applyAlignment="0" applyProtection="0"/>
    <xf numFmtId="0" fontId="182" fillId="68" borderId="24" applyNumberFormat="0" applyAlignment="0" applyProtection="0">
      <alignment vertical="center"/>
    </xf>
    <xf numFmtId="0" fontId="30" fillId="54" borderId="23" applyNumberFormat="0" applyFont="0" applyAlignment="0" applyProtection="0"/>
    <xf numFmtId="0" fontId="194" fillId="65" borderId="17"/>
    <xf numFmtId="0" fontId="60" fillId="0" borderId="26" applyNumberFormat="0" applyFill="0" applyAlignment="0" applyProtection="0">
      <alignment vertical="center"/>
    </xf>
    <xf numFmtId="0" fontId="126" fillId="51" borderId="17" applyNumberFormat="0" applyAlignment="0" applyProtection="0">
      <alignment vertical="center"/>
    </xf>
    <xf numFmtId="0" fontId="80" fillId="0" borderId="25" applyNumberFormat="0" applyFill="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51" borderId="24" applyNumberFormat="0" applyAlignment="0" applyProtection="0"/>
    <xf numFmtId="0" fontId="157" fillId="51" borderId="17" applyNumberForma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104" fillId="67" borderId="24" applyNumberFormat="0" applyAlignment="0" applyProtection="0">
      <alignment vertical="center"/>
    </xf>
    <xf numFmtId="0" fontId="126" fillId="51" borderId="17" applyNumberFormat="0" applyAlignment="0" applyProtection="0">
      <alignment vertical="center"/>
    </xf>
    <xf numFmtId="0" fontId="215" fillId="54" borderId="23" applyNumberFormat="0" applyFon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158" fillId="65" borderId="17"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 fillId="54" borderId="23" applyNumberFormat="0" applyFont="0" applyAlignment="0" applyProtection="0"/>
    <xf numFmtId="0" fontId="149" fillId="54" borderId="23" applyNumberFormat="0" applyFont="0" applyAlignment="0" applyProtection="0">
      <alignment vertical="center"/>
    </xf>
    <xf numFmtId="0" fontId="243" fillId="69" borderId="17"/>
    <xf numFmtId="0" fontId="177" fillId="51" borderId="24" applyNumberFormat="0" applyAlignment="0" applyProtection="0">
      <alignment vertical="center"/>
    </xf>
    <xf numFmtId="0" fontId="85" fillId="81" borderId="24"/>
    <xf numFmtId="0" fontId="60" fillId="0" borderId="26" applyNumberFormat="0" applyFill="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84" fillId="65"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339" fillId="66" borderId="17"/>
    <xf numFmtId="0" fontId="60" fillId="0" borderId="26" applyNumberFormat="0" applyFill="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246"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58" fillId="66" borderId="17" applyNumberFormat="0" applyAlignment="0" applyProtection="0"/>
    <xf numFmtId="0" fontId="112" fillId="65" borderId="17" applyNumberFormat="0" applyAlignment="0" applyProtection="0"/>
    <xf numFmtId="0" fontId="85" fillId="51" borderId="24" applyNumberFormat="0" applyAlignment="0" applyProtection="0">
      <alignment vertical="center"/>
    </xf>
    <xf numFmtId="0" fontId="282" fillId="80" borderId="24" applyNumberFormat="0" applyAlignment="0" applyProtection="0">
      <alignment vertical="center"/>
    </xf>
    <xf numFmtId="0" fontId="182" fillId="68" borderId="24" applyNumberFormat="0" applyAlignment="0" applyProtection="0">
      <alignment vertical="center"/>
    </xf>
    <xf numFmtId="0" fontId="159" fillId="81" borderId="24" applyNumberFormat="0" applyAlignment="0" applyProtection="0"/>
    <xf numFmtId="0" fontId="247" fillId="68" borderId="24" applyNumberFormat="0" applyAlignment="0" applyProtection="0">
      <alignment vertical="center"/>
    </xf>
    <xf numFmtId="0" fontId="60" fillId="0" borderId="26" applyNumberFormat="0" applyFill="0" applyAlignment="0" applyProtection="0">
      <alignment vertical="center"/>
    </xf>
    <xf numFmtId="0" fontId="104" fillId="69" borderId="24" applyNumberFormat="0" applyAlignment="0" applyProtection="0"/>
    <xf numFmtId="0" fontId="113" fillId="51" borderId="24" applyNumberFormat="0" applyAlignment="0" applyProtection="0"/>
    <xf numFmtId="0" fontId="113" fillId="80" borderId="24" applyNumberFormat="0" applyAlignment="0" applyProtection="0"/>
    <xf numFmtId="0" fontId="177" fillId="51" borderId="24" applyNumberFormat="0" applyAlignment="0" applyProtection="0">
      <alignment vertical="center"/>
    </xf>
    <xf numFmtId="0" fontId="103" fillId="65" borderId="17" applyNumberFormat="0" applyAlignment="0" applyProtection="0">
      <alignment vertical="center"/>
    </xf>
    <xf numFmtId="0" fontId="60" fillId="0" borderId="26" applyNumberFormat="0" applyFill="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228" fillId="51" borderId="24"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1" fillId="71" borderId="23" applyNumberFormat="0" applyAlignment="0" applyProtection="0"/>
    <xf numFmtId="0" fontId="85" fillId="80" borderId="24" applyNumberFormat="0" applyAlignment="0" applyProtection="0">
      <alignment vertical="center"/>
    </xf>
    <xf numFmtId="0" fontId="119" fillId="0" borderId="25" applyNumberFormat="0" applyFill="0" applyAlignment="0" applyProtection="0"/>
    <xf numFmtId="0" fontId="320" fillId="68" borderId="24" applyNumberFormat="0" applyAlignment="0" applyProtection="0">
      <alignment vertical="center"/>
    </xf>
    <xf numFmtId="0" fontId="83" fillId="81"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8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65" borderId="17" applyNumberFormat="0" applyAlignment="0" applyProtection="0">
      <alignment vertical="center"/>
    </xf>
    <xf numFmtId="0" fontId="157"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30" fillId="54" borderId="23" applyNumberFormat="0" applyFont="0" applyAlignment="0" applyProtection="0"/>
    <xf numFmtId="0" fontId="210" fillId="51"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208" fillId="51" borderId="17" applyNumberFormat="0" applyAlignment="0" applyProtection="0">
      <alignment vertical="center"/>
    </xf>
    <xf numFmtId="0" fontId="235" fillId="0" borderId="26" applyNumberFormat="0" applyFill="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58"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92"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132" fillId="0" borderId="25"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30" fillId="0" borderId="0"/>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9" fontId="30" fillId="0" borderId="0" applyFont="0" applyFill="0" applyBorder="0" applyAlignment="0" applyProtection="0"/>
  </cellStyleXfs>
  <cellXfs count="209">
    <xf numFmtId="0" fontId="0" fillId="0" borderId="0" xfId="0"/>
    <xf numFmtId="11" fontId="0" fillId="0" borderId="0" xfId="0" applyNumberFormat="1"/>
    <xf numFmtId="0" fontId="0" fillId="0" borderId="0" xfId="0"/>
    <xf numFmtId="0" fontId="20" fillId="0" borderId="13" xfId="0" applyFont="1" applyFill="1" applyBorder="1" applyAlignment="1">
      <alignment vertical="top" wrapText="1"/>
    </xf>
    <xf numFmtId="0" fontId="20" fillId="0" borderId="13" xfId="0" applyFont="1" applyFill="1" applyBorder="1" applyAlignment="1" applyProtection="1">
      <alignment vertical="top" wrapText="1"/>
      <protection locked="0"/>
    </xf>
    <xf numFmtId="0" fontId="1" fillId="0" borderId="13" xfId="0" applyFont="1" applyFill="1" applyBorder="1" applyAlignment="1">
      <alignment vertical="top" wrapText="1"/>
    </xf>
    <xf numFmtId="0" fontId="25" fillId="0" borderId="13" xfId="0" applyFont="1" applyFill="1" applyBorder="1" applyAlignment="1">
      <alignment vertical="top"/>
    </xf>
    <xf numFmtId="0" fontId="19" fillId="0" borderId="13" xfId="0" applyFont="1" applyFill="1" applyBorder="1" applyAlignment="1" applyProtection="1">
      <alignment horizontal="left" vertical="top" wrapText="1"/>
      <protection locked="0"/>
    </xf>
    <xf numFmtId="0" fontId="0" fillId="0" borderId="13" xfId="0" applyFill="1" applyBorder="1" applyAlignment="1">
      <alignment horizontal="left" vertical="top" wrapText="1"/>
    </xf>
    <xf numFmtId="0" fontId="0" fillId="0" borderId="13"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1"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17" fillId="0" borderId="14" xfId="0" applyFont="1" applyFill="1" applyBorder="1" applyAlignment="1">
      <alignment horizontal="center" wrapText="1"/>
    </xf>
    <xf numFmtId="0" fontId="0" fillId="0" borderId="13" xfId="0" applyNumberFormat="1" applyFont="1" applyFill="1" applyBorder="1" applyAlignment="1" applyProtection="1">
      <alignment horizontal="right" vertical="top"/>
      <protection locked="0"/>
    </xf>
    <xf numFmtId="0" fontId="0" fillId="0" borderId="13" xfId="0" applyNumberFormat="1" applyFont="1" applyFill="1" applyBorder="1" applyAlignment="1" applyProtection="1">
      <alignment vertical="top"/>
      <protection locked="0"/>
    </xf>
    <xf numFmtId="0" fontId="0" fillId="0" borderId="13" xfId="0" applyNumberFormat="1" applyFont="1" applyFill="1" applyBorder="1" applyAlignment="1" applyProtection="1">
      <alignment vertical="top"/>
    </xf>
    <xf numFmtId="0" fontId="0" fillId="0" borderId="13" xfId="0" applyFont="1" applyFill="1" applyBorder="1" applyAlignment="1" applyProtection="1">
      <alignment horizontal="left" vertical="top" wrapText="1"/>
    </xf>
    <xf numFmtId="0" fontId="0" fillId="0" borderId="13" xfId="0" applyNumberFormat="1" applyFont="1" applyFill="1" applyBorder="1" applyAlignment="1" applyProtection="1">
      <alignment horizontal="right" vertical="top"/>
    </xf>
    <xf numFmtId="0" fontId="0" fillId="0" borderId="13" xfId="0" applyNumberFormat="1" applyFont="1" applyFill="1" applyBorder="1" applyAlignment="1" applyProtection="1">
      <alignment vertical="top" wrapText="1"/>
    </xf>
    <xf numFmtId="0" fontId="0" fillId="0" borderId="13" xfId="0" applyNumberFormat="1" applyFont="1" applyFill="1" applyBorder="1" applyAlignment="1" applyProtection="1">
      <alignment horizontal="center" vertical="top"/>
    </xf>
    <xf numFmtId="0" fontId="0" fillId="0" borderId="13" xfId="0" applyNumberFormat="1" applyFont="1" applyFill="1" applyBorder="1" applyAlignment="1" applyProtection="1">
      <alignment horizontal="center" vertical="top"/>
      <protection locked="0"/>
    </xf>
    <xf numFmtId="0" fontId="0" fillId="0" borderId="13" xfId="0" applyNumberFormat="1" applyFont="1" applyFill="1" applyBorder="1" applyAlignment="1" applyProtection="1">
      <alignment horizontal="center" vertical="top" wrapText="1"/>
      <protection locked="0"/>
    </xf>
    <xf numFmtId="0" fontId="0" fillId="0" borderId="13" xfId="0" applyNumberFormat="1" applyFont="1" applyFill="1" applyBorder="1" applyAlignment="1">
      <alignment horizontal="center" vertical="top"/>
    </xf>
    <xf numFmtId="0" fontId="0" fillId="0" borderId="13" xfId="0" applyNumberFormat="1" applyFont="1" applyFill="1" applyBorder="1" applyAlignment="1">
      <alignment horizontal="right" vertical="top"/>
    </xf>
    <xf numFmtId="0" fontId="26" fillId="0" borderId="13" xfId="0" applyFont="1" applyFill="1" applyBorder="1" applyAlignment="1" applyProtection="1">
      <alignment vertical="top" wrapText="1"/>
      <protection locked="0"/>
    </xf>
    <xf numFmtId="0" fontId="26" fillId="0" borderId="13" xfId="0" applyFont="1" applyFill="1" applyBorder="1" applyAlignment="1" applyProtection="1">
      <alignment vertical="top" wrapText="1"/>
    </xf>
    <xf numFmtId="0" fontId="0" fillId="0" borderId="13" xfId="0" applyNumberFormat="1" applyFont="1" applyFill="1" applyBorder="1" applyAlignment="1" applyProtection="1">
      <alignment horizontal="center" vertical="top" wrapText="1"/>
    </xf>
    <xf numFmtId="0" fontId="0" fillId="0" borderId="13" xfId="0" applyNumberFormat="1" applyFont="1" applyFill="1" applyBorder="1" applyAlignment="1">
      <alignment horizontal="center" vertical="top" wrapText="1"/>
    </xf>
    <xf numFmtId="14" fontId="0" fillId="0" borderId="13" xfId="0" applyNumberFormat="1" applyFont="1" applyFill="1" applyBorder="1" applyAlignment="1">
      <alignment horizontal="center" vertical="top" wrapText="1"/>
    </xf>
    <xf numFmtId="0" fontId="0" fillId="0" borderId="13" xfId="0" applyFont="1" applyFill="1" applyBorder="1" applyAlignment="1" applyProtection="1">
      <alignment vertical="top" wrapText="1"/>
    </xf>
    <xf numFmtId="165" fontId="0" fillId="0" borderId="0" xfId="0" applyNumberFormat="1" applyFont="1" applyFill="1" applyAlignment="1" applyProtection="1">
      <alignment vertical="top"/>
    </xf>
    <xf numFmtId="0" fontId="0" fillId="0" borderId="13" xfId="0" applyFont="1" applyFill="1" applyBorder="1" applyAlignment="1" applyProtection="1">
      <alignment horizontal="center" vertical="top" wrapText="1"/>
    </xf>
    <xf numFmtId="1" fontId="0" fillId="0" borderId="13" xfId="0" applyNumberFormat="1" applyFont="1" applyFill="1" applyBorder="1" applyAlignment="1">
      <alignment horizontal="right" vertical="top"/>
    </xf>
    <xf numFmtId="49" fontId="0" fillId="0" borderId="13" xfId="0" applyNumberFormat="1" applyFont="1" applyFill="1" applyBorder="1" applyAlignment="1" applyProtection="1">
      <alignment horizontal="center" vertical="top" wrapText="1"/>
      <protection locked="0"/>
    </xf>
    <xf numFmtId="49" fontId="19" fillId="0" borderId="13" xfId="0" applyNumberFormat="1" applyFont="1" applyFill="1" applyBorder="1" applyAlignment="1" applyProtection="1">
      <alignment vertical="top" wrapText="1"/>
    </xf>
    <xf numFmtId="0" fontId="27" fillId="0" borderId="13" xfId="0" applyFont="1" applyFill="1" applyBorder="1" applyAlignment="1" applyProtection="1">
      <alignment horizontal="left" vertical="top" wrapText="1"/>
      <protection locked="0"/>
    </xf>
    <xf numFmtId="1" fontId="0" fillId="0" borderId="13" xfId="0" applyNumberFormat="1" applyFont="1" applyFill="1" applyBorder="1" applyAlignment="1">
      <alignment horizontal="right" vertical="top" wrapText="1"/>
    </xf>
    <xf numFmtId="0" fontId="27" fillId="0" borderId="13" xfId="0" applyFont="1" applyFill="1" applyBorder="1" applyAlignment="1" applyProtection="1">
      <alignment vertical="top" wrapText="1"/>
      <protection locked="0"/>
    </xf>
    <xf numFmtId="0" fontId="28" fillId="0" borderId="13" xfId="0" applyFont="1" applyFill="1" applyBorder="1" applyAlignment="1">
      <alignment horizontal="center" vertical="top" wrapText="1"/>
    </xf>
    <xf numFmtId="0" fontId="17" fillId="0" borderId="15" xfId="0" applyFont="1" applyFill="1" applyBorder="1" applyAlignment="1">
      <alignment horizontal="center" wrapText="1"/>
    </xf>
    <xf numFmtId="0" fontId="17" fillId="0" borderId="15" xfId="0" applyFont="1" applyFill="1" applyBorder="1" applyAlignment="1">
      <alignment horizontal="center" vertical="center" wrapText="1"/>
    </xf>
    <xf numFmtId="164" fontId="0" fillId="0" borderId="13" xfId="0" applyNumberFormat="1" applyFont="1" applyFill="1" applyBorder="1" applyAlignment="1">
      <alignment horizontal="right" vertical="top"/>
    </xf>
    <xf numFmtId="0" fontId="0" fillId="0" borderId="13" xfId="0" applyNumberFormat="1" applyFont="1" applyFill="1" applyBorder="1" applyAlignment="1">
      <alignment vertical="top"/>
    </xf>
    <xf numFmtId="0" fontId="0" fillId="0" borderId="13" xfId="0" applyFont="1" applyFill="1" applyBorder="1" applyAlignment="1" applyProtection="1">
      <alignment horizontal="left" vertical="top" wrapText="1"/>
      <protection locked="0"/>
    </xf>
    <xf numFmtId="2" fontId="0" fillId="0" borderId="13" xfId="0" applyNumberFormat="1" applyFont="1" applyFill="1" applyBorder="1" applyAlignment="1" applyProtection="1">
      <alignment horizontal="center" vertical="top" wrapText="1"/>
      <protection locked="0"/>
    </xf>
    <xf numFmtId="0" fontId="0" fillId="0" borderId="13" xfId="0" applyFont="1" applyFill="1" applyBorder="1" applyAlignment="1" applyProtection="1">
      <alignment horizontal="center" vertical="top" wrapText="1"/>
      <protection locked="0"/>
    </xf>
    <xf numFmtId="0" fontId="29" fillId="0" borderId="13" xfId="0" applyFont="1" applyFill="1" applyBorder="1" applyAlignment="1" applyProtection="1">
      <alignment vertical="top" wrapText="1"/>
      <protection locked="0"/>
    </xf>
    <xf numFmtId="0" fontId="0" fillId="0" borderId="13" xfId="0" applyFont="1" applyFill="1" applyBorder="1" applyAlignment="1" applyProtection="1">
      <alignment horizontal="right" vertical="top" wrapText="1"/>
      <protection locked="0"/>
    </xf>
    <xf numFmtId="0" fontId="0" fillId="0" borderId="13" xfId="0" applyNumberFormat="1" applyFont="1" applyFill="1" applyBorder="1" applyAlignment="1" applyProtection="1">
      <alignment vertical="top" wrapText="1"/>
      <protection locked="0"/>
    </xf>
    <xf numFmtId="0" fontId="0" fillId="0" borderId="13" xfId="0" applyNumberFormat="1" applyFont="1" applyFill="1" applyBorder="1" applyAlignment="1" applyProtection="1">
      <alignment horizontal="right" vertical="top" wrapText="1"/>
      <protection locked="0"/>
    </xf>
    <xf numFmtId="1" fontId="0" fillId="0" borderId="13" xfId="0" applyNumberFormat="1" applyFont="1" applyFill="1" applyBorder="1" applyAlignment="1" applyProtection="1">
      <alignment horizontal="right" vertical="top" wrapText="1"/>
      <protection locked="0"/>
    </xf>
    <xf numFmtId="0" fontId="0" fillId="0" borderId="13" xfId="0" applyFont="1" applyFill="1" applyBorder="1" applyAlignment="1">
      <alignment horizontal="center" vertical="top" wrapText="1"/>
    </xf>
    <xf numFmtId="164" fontId="0" fillId="0" borderId="13" xfId="0" applyNumberFormat="1" applyFont="1" applyFill="1" applyBorder="1" applyAlignment="1">
      <alignment horizontal="right" vertical="top" wrapText="1"/>
    </xf>
    <xf numFmtId="0" fontId="0" fillId="0" borderId="13" xfId="0" applyNumberFormat="1" applyFont="1" applyFill="1" applyBorder="1" applyAlignment="1">
      <alignment vertical="top" wrapText="1"/>
    </xf>
    <xf numFmtId="0" fontId="0" fillId="0" borderId="13" xfId="0" applyNumberFormat="1" applyFont="1" applyFill="1" applyBorder="1" applyAlignment="1">
      <alignment horizontal="right" vertical="top" wrapText="1"/>
    </xf>
    <xf numFmtId="0" fontId="0" fillId="0" borderId="13" xfId="0" applyFont="1" applyFill="1" applyBorder="1" applyAlignment="1">
      <alignment vertical="top"/>
    </xf>
    <xf numFmtId="0" fontId="0" fillId="0" borderId="13" xfId="0" applyFont="1" applyFill="1" applyBorder="1" applyAlignment="1">
      <alignment horizontal="right" vertical="top" wrapText="1"/>
    </xf>
    <xf numFmtId="0" fontId="0" fillId="0" borderId="13" xfId="0" applyFont="1" applyFill="1" applyBorder="1" applyAlignment="1">
      <alignment horizontal="center" vertical="top"/>
    </xf>
    <xf numFmtId="14" fontId="0" fillId="0" borderId="13" xfId="0" applyNumberFormat="1" applyFont="1" applyFill="1" applyBorder="1" applyAlignment="1">
      <alignment horizontal="center" vertical="top"/>
    </xf>
    <xf numFmtId="165" fontId="0" fillId="0" borderId="13" xfId="0" applyNumberFormat="1" applyFont="1" applyFill="1" applyBorder="1" applyAlignment="1" applyProtection="1">
      <alignment vertical="top" wrapText="1"/>
      <protection locked="0"/>
    </xf>
    <xf numFmtId="164" fontId="0" fillId="0" borderId="13" xfId="0" applyNumberFormat="1" applyFont="1" applyFill="1" applyBorder="1" applyAlignment="1" applyProtection="1">
      <alignment vertical="top"/>
      <protection locked="0"/>
    </xf>
    <xf numFmtId="0" fontId="0" fillId="0" borderId="13" xfId="0" applyFont="1" applyFill="1" applyBorder="1" applyAlignment="1" applyProtection="1">
      <alignment horizontal="center" vertical="top"/>
      <protection locked="0"/>
    </xf>
    <xf numFmtId="0" fontId="0" fillId="0" borderId="13" xfId="0" applyFont="1" applyFill="1" applyBorder="1" applyAlignment="1">
      <alignment vertical="top" wrapText="1"/>
    </xf>
    <xf numFmtId="0" fontId="0" fillId="0" borderId="13" xfId="0" applyFont="1" applyFill="1" applyBorder="1" applyAlignment="1" applyProtection="1">
      <alignment vertical="top" wrapText="1"/>
      <protection locked="0"/>
    </xf>
    <xf numFmtId="0" fontId="19" fillId="0" borderId="13" xfId="0" applyFont="1" applyFill="1" applyBorder="1" applyAlignment="1" applyProtection="1">
      <alignment vertical="top" wrapText="1"/>
      <protection locked="0"/>
    </xf>
    <xf numFmtId="1" fontId="19" fillId="0" borderId="13" xfId="0" applyNumberFormat="1" applyFont="1" applyFill="1" applyBorder="1" applyAlignment="1" applyProtection="1">
      <alignment horizontal="right" vertical="top"/>
      <protection locked="0"/>
    </xf>
    <xf numFmtId="164" fontId="19" fillId="0" borderId="13" xfId="0" applyNumberFormat="1" applyFont="1" applyFill="1" applyBorder="1" applyAlignment="1" applyProtection="1">
      <alignment vertical="top"/>
      <protection locked="0"/>
    </xf>
    <xf numFmtId="0" fontId="19" fillId="0" borderId="13" xfId="0" applyFont="1" applyFill="1" applyBorder="1" applyAlignment="1" applyProtection="1">
      <alignment horizontal="center" vertical="top" wrapText="1"/>
      <protection locked="0"/>
    </xf>
    <xf numFmtId="0" fontId="19" fillId="0" borderId="13" xfId="0" applyFont="1" applyFill="1" applyBorder="1" applyAlignment="1" applyProtection="1">
      <alignment horizontal="center" vertical="top"/>
      <protection locked="0"/>
    </xf>
    <xf numFmtId="165" fontId="19" fillId="0" borderId="13" xfId="0" applyNumberFormat="1" applyFont="1" applyFill="1" applyBorder="1" applyAlignment="1" applyProtection="1">
      <alignment vertical="top" wrapText="1"/>
      <protection locked="0"/>
    </xf>
    <xf numFmtId="0" fontId="19" fillId="0" borderId="13" xfId="0" applyNumberFormat="1" applyFont="1" applyFill="1" applyBorder="1" applyAlignment="1" applyProtection="1">
      <alignment horizontal="right" vertical="top"/>
      <protection locked="0"/>
    </xf>
    <xf numFmtId="0" fontId="19" fillId="0" borderId="13" xfId="0"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protection locked="0"/>
    </xf>
    <xf numFmtId="0" fontId="19" fillId="0" borderId="13" xfId="0" applyFont="1" applyFill="1" applyBorder="1" applyAlignment="1" applyProtection="1">
      <alignment horizontal="center" vertical="top" wrapText="1"/>
    </xf>
    <xf numFmtId="0" fontId="19" fillId="0" borderId="13" xfId="0" applyFont="1" applyFill="1" applyBorder="1" applyAlignment="1" applyProtection="1">
      <alignment vertical="top" wrapText="1"/>
    </xf>
    <xf numFmtId="0" fontId="19" fillId="0" borderId="13" xfId="0" applyFont="1" applyFill="1" applyBorder="1" applyAlignment="1">
      <alignment vertical="top" wrapText="1"/>
    </xf>
    <xf numFmtId="14" fontId="19" fillId="0" borderId="13" xfId="0" applyNumberFormat="1" applyFont="1" applyFill="1" applyBorder="1" applyAlignment="1">
      <alignment horizontal="center" vertical="top"/>
    </xf>
    <xf numFmtId="165" fontId="0" fillId="0" borderId="0" xfId="0" applyNumberFormat="1" applyFont="1" applyFill="1" applyBorder="1" applyAlignment="1" applyProtection="1">
      <alignment horizontal="center" wrapText="1"/>
    </xf>
    <xf numFmtId="0" fontId="19" fillId="0" borderId="13" xfId="0" applyNumberFormat="1" applyFont="1" applyFill="1" applyBorder="1" applyAlignment="1">
      <alignment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165" fontId="0" fillId="0" borderId="0" xfId="0" applyNumberFormat="1" applyFont="1" applyFill="1" applyAlignment="1" applyProtection="1">
      <alignment horizontal="center" wrapText="1"/>
    </xf>
    <xf numFmtId="166" fontId="0" fillId="0" borderId="0" xfId="0" applyNumberFormat="1" applyFont="1" applyFill="1" applyProtection="1"/>
    <xf numFmtId="166" fontId="0" fillId="0" borderId="13" xfId="0" applyNumberFormat="1" applyFont="1" applyFill="1" applyBorder="1" applyAlignment="1" applyProtection="1">
      <alignment horizontal="right" vertical="top"/>
      <protection locked="0"/>
    </xf>
    <xf numFmtId="166" fontId="0" fillId="0" borderId="13" xfId="0" applyNumberFormat="1" applyFont="1" applyFill="1" applyBorder="1" applyAlignment="1">
      <alignment horizontal="right" vertical="top" wrapText="1"/>
    </xf>
    <xf numFmtId="166" fontId="0" fillId="0" borderId="13" xfId="0" applyNumberFormat="1" applyFont="1" applyFill="1" applyBorder="1" applyAlignment="1">
      <alignment horizontal="center" vertical="top" wrapText="1"/>
    </xf>
    <xf numFmtId="166" fontId="0" fillId="0" borderId="13" xfId="0" applyNumberFormat="1" applyFont="1" applyFill="1" applyBorder="1" applyAlignment="1">
      <alignment vertical="top" wrapText="1"/>
    </xf>
    <xf numFmtId="166" fontId="0" fillId="0" borderId="13" xfId="0" applyNumberFormat="1" applyFont="1" applyFill="1" applyBorder="1" applyAlignment="1" applyProtection="1">
      <alignment horizontal="right" vertical="top" wrapText="1"/>
      <protection locked="0"/>
    </xf>
    <xf numFmtId="166" fontId="19" fillId="0" borderId="13" xfId="0" applyNumberFormat="1" applyFont="1" applyFill="1" applyBorder="1" applyAlignment="1" applyProtection="1">
      <alignment horizontal="right" vertical="top"/>
      <protection locked="0"/>
    </xf>
    <xf numFmtId="166" fontId="0" fillId="0" borderId="13" xfId="0" applyNumberFormat="1" applyFont="1" applyFill="1" applyBorder="1" applyAlignment="1">
      <alignment horizontal="center" vertical="top"/>
    </xf>
    <xf numFmtId="166" fontId="0" fillId="0" borderId="13" xfId="0" applyNumberFormat="1" applyFont="1" applyFill="1" applyBorder="1" applyAlignment="1">
      <alignment vertical="top"/>
    </xf>
    <xf numFmtId="166" fontId="0" fillId="0" borderId="13"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1" fontId="0" fillId="0" borderId="0" xfId="0" applyNumberFormat="1" applyFont="1" applyFill="1" applyAlignment="1" applyProtection="1">
      <alignment horizontal="centerContinuous"/>
    </xf>
    <xf numFmtId="165" fontId="0" fillId="0" borderId="0" xfId="0" applyNumberFormat="1" applyFont="1" applyFill="1" applyAlignment="1" applyProtection="1">
      <alignment horizontal="centerContinuous" wrapText="1"/>
    </xf>
    <xf numFmtId="0" fontId="0" fillId="0" borderId="0" xfId="0" applyFont="1" applyFill="1" applyAlignment="1" applyProtection="1">
      <alignment horizontal="centerContinuous"/>
    </xf>
    <xf numFmtId="1"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center" vertical="top" wrapText="1"/>
    </xf>
    <xf numFmtId="0" fontId="0" fillId="0" borderId="13" xfId="0" applyFont="1" applyFill="1" applyBorder="1" applyAlignment="1" applyProtection="1">
      <alignment horizontal="center" vertical="top"/>
    </xf>
    <xf numFmtId="165" fontId="0" fillId="0" borderId="13" xfId="0" applyNumberFormat="1" applyFont="1" applyFill="1" applyBorder="1" applyAlignment="1" applyProtection="1">
      <alignment vertical="top" wrapText="1"/>
    </xf>
    <xf numFmtId="0" fontId="0" fillId="0" borderId="13" xfId="0" applyFont="1" applyFill="1" applyBorder="1" applyAlignment="1" applyProtection="1">
      <alignment vertical="top"/>
    </xf>
    <xf numFmtId="166" fontId="0" fillId="0" borderId="13" xfId="0" applyNumberFormat="1" applyFont="1" applyFill="1" applyBorder="1" applyAlignment="1" applyProtection="1">
      <alignment vertical="top"/>
    </xf>
    <xf numFmtId="166" fontId="0" fillId="0" borderId="13" xfId="0" applyNumberFormat="1" applyFont="1" applyFill="1" applyBorder="1" applyAlignment="1" applyProtection="1">
      <alignment horizontal="right" vertical="top"/>
    </xf>
    <xf numFmtId="0" fontId="0" fillId="0" borderId="0" xfId="0" applyFill="1"/>
    <xf numFmtId="0" fontId="21" fillId="0" borderId="0" xfId="41" applyFill="1" applyAlignment="1" applyProtection="1">
      <alignment vertical="center"/>
    </xf>
    <xf numFmtId="0" fontId="21" fillId="0" borderId="0" xfId="41" applyFill="1" applyAlignment="1" applyProtection="1">
      <alignment horizontal="centerContinuous" wrapText="1"/>
    </xf>
    <xf numFmtId="164" fontId="17" fillId="0" borderId="15" xfId="0" applyNumberFormat="1" applyFont="1" applyFill="1" applyBorder="1" applyAlignment="1">
      <alignment horizontal="center" wrapText="1"/>
    </xf>
    <xf numFmtId="0" fontId="0" fillId="0" borderId="0" xfId="0" applyFill="1" applyAlignment="1">
      <alignment vertical="top"/>
    </xf>
    <xf numFmtId="0" fontId="19" fillId="0" borderId="13" xfId="0" applyNumberFormat="1" applyFont="1" applyFill="1" applyBorder="1" applyAlignment="1">
      <alignment horizontal="right" vertical="top"/>
    </xf>
    <xf numFmtId="0" fontId="19" fillId="0" borderId="13" xfId="0" applyNumberFormat="1" applyFont="1" applyFill="1" applyBorder="1" applyAlignment="1">
      <alignment horizontal="center" vertical="top"/>
    </xf>
    <xf numFmtId="0" fontId="19" fillId="0" borderId="13" xfId="0" applyNumberFormat="1" applyFont="1" applyFill="1" applyBorder="1" applyAlignment="1">
      <alignment vertical="top" wrapText="1"/>
    </xf>
    <xf numFmtId="165" fontId="0" fillId="0" borderId="0" xfId="0" applyNumberFormat="1" applyFont="1" applyFill="1" applyBorder="1" applyAlignment="1" applyProtection="1"/>
    <xf numFmtId="168" fontId="0" fillId="0" borderId="0" xfId="0" applyNumberFormat="1" applyFont="1" applyFill="1" applyBorder="1" applyAlignment="1" applyProtection="1">
      <alignment horizontal="center" wrapText="1"/>
    </xf>
    <xf numFmtId="168" fontId="0" fillId="0" borderId="0" xfId="0" applyNumberFormat="1" applyFont="1" applyFill="1" applyBorder="1" applyAlignment="1" applyProtection="1">
      <alignment horizontal="centerContinuous" wrapText="1"/>
    </xf>
    <xf numFmtId="168" fontId="0" fillId="0" borderId="0" xfId="0" applyNumberFormat="1" applyFont="1" applyFill="1" applyAlignment="1" applyProtection="1">
      <alignment horizontal="centerContinuous" wrapText="1"/>
    </xf>
    <xf numFmtId="168" fontId="0" fillId="0" borderId="13" xfId="0" applyNumberFormat="1" applyFont="1" applyFill="1" applyBorder="1" applyAlignment="1">
      <alignment horizontal="center" vertical="top" wrapText="1"/>
    </xf>
    <xf numFmtId="168" fontId="0" fillId="0" borderId="13" xfId="0" applyNumberFormat="1" applyFont="1" applyFill="1" applyBorder="1" applyAlignment="1" applyProtection="1">
      <alignment horizontal="center" vertical="top" wrapText="1"/>
      <protection locked="0"/>
    </xf>
    <xf numFmtId="168" fontId="0" fillId="0" borderId="13" xfId="0" applyNumberFormat="1" applyFont="1" applyFill="1" applyBorder="1" applyAlignment="1" applyProtection="1">
      <alignment horizontal="center" vertical="top" wrapText="1"/>
    </xf>
    <xf numFmtId="168" fontId="19" fillId="0" borderId="13" xfId="0" applyNumberFormat="1" applyFont="1" applyFill="1" applyBorder="1" applyAlignment="1" applyProtection="1">
      <alignment horizontal="center" vertical="top" wrapText="1"/>
      <protection locked="0"/>
    </xf>
    <xf numFmtId="168" fontId="0" fillId="0" borderId="0" xfId="0" applyNumberFormat="1" applyFont="1" applyFill="1" applyAlignment="1" applyProtection="1">
      <alignment horizontal="center" wrapText="1"/>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165" fontId="0" fillId="0" borderId="0" xfId="0" applyNumberFormat="1" applyFont="1" applyFill="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13" xfId="0" applyFill="1" applyBorder="1" applyAlignment="1">
      <alignment horizontal="center" vertical="top" wrapText="1"/>
    </xf>
    <xf numFmtId="0" fontId="20" fillId="0" borderId="13" xfId="0" applyFont="1" applyFill="1" applyBorder="1" applyAlignment="1" applyProtection="1">
      <alignment horizontal="center" vertical="top" wrapText="1"/>
      <protection locked="0"/>
    </xf>
    <xf numFmtId="49" fontId="19" fillId="0" borderId="13" xfId="0" applyNumberFormat="1" applyFont="1" applyFill="1" applyBorder="1" applyAlignment="1" applyProtection="1">
      <alignment horizontal="center" vertical="top" wrapText="1"/>
    </xf>
    <xf numFmtId="0" fontId="25" fillId="0" borderId="13" xfId="0" applyFont="1" applyFill="1" applyBorder="1" applyAlignment="1">
      <alignment horizontal="center" vertical="top"/>
    </xf>
    <xf numFmtId="0" fontId="0" fillId="0" borderId="0" xfId="0" applyFont="1" applyFill="1"/>
    <xf numFmtId="0" fontId="0" fillId="0" borderId="29" xfId="0" applyNumberFormat="1" applyFont="1" applyFill="1" applyBorder="1" applyAlignment="1">
      <alignment horizontal="right" vertical="top"/>
    </xf>
    <xf numFmtId="2" fontId="19" fillId="0" borderId="13" xfId="42" applyNumberFormat="1" applyFont="1" applyFill="1" applyBorder="1" applyAlignment="1">
      <alignment vertical="top"/>
    </xf>
    <xf numFmtId="14" fontId="19" fillId="0" borderId="13" xfId="0" applyNumberFormat="1" applyFont="1" applyFill="1" applyBorder="1" applyAlignment="1" applyProtection="1">
      <alignment horizontal="center" vertical="top" wrapText="1"/>
      <protection locked="0"/>
    </xf>
    <xf numFmtId="164" fontId="19" fillId="0" borderId="13" xfId="0" applyNumberFormat="1" applyFont="1" applyFill="1" applyBorder="1" applyAlignment="1" applyProtection="1">
      <alignment horizontal="right" vertical="top"/>
      <protection locked="0"/>
    </xf>
    <xf numFmtId="0" fontId="19" fillId="0" borderId="29" xfId="0" applyNumberFormat="1" applyFont="1" applyFill="1" applyBorder="1" applyAlignment="1">
      <alignment vertical="top"/>
    </xf>
    <xf numFmtId="0" fontId="0" fillId="0" borderId="13" xfId="0" applyFill="1" applyBorder="1" applyAlignment="1">
      <alignment vertical="top"/>
    </xf>
    <xf numFmtId="14" fontId="19" fillId="0" borderId="13" xfId="0" applyNumberFormat="1" applyFont="1" applyFill="1" applyBorder="1" applyAlignment="1" applyProtection="1">
      <alignment horizontal="center" vertical="top" wrapText="1"/>
    </xf>
    <xf numFmtId="0" fontId="17" fillId="106" borderId="13" xfId="0" applyFont="1" applyFill="1" applyBorder="1" applyAlignment="1">
      <alignment horizontal="center" vertical="center" wrapText="1"/>
    </xf>
    <xf numFmtId="0" fontId="17" fillId="107" borderId="13" xfId="0" applyFont="1" applyFill="1" applyBorder="1" applyAlignment="1">
      <alignment horizontal="center" vertical="center" wrapText="1"/>
    </xf>
    <xf numFmtId="0" fontId="17" fillId="108" borderId="13" xfId="0" applyFont="1" applyFill="1" applyBorder="1" applyAlignment="1">
      <alignment horizontal="center" vertical="center" wrapText="1"/>
    </xf>
    <xf numFmtId="0" fontId="17" fillId="109" borderId="13" xfId="0" applyFont="1" applyFill="1" applyBorder="1" applyAlignment="1">
      <alignment horizontal="center" vertical="center" wrapText="1"/>
    </xf>
    <xf numFmtId="0" fontId="0" fillId="107" borderId="0" xfId="0" applyFont="1" applyFill="1" applyAlignment="1" applyProtection="1">
      <alignment horizontal="centerContinuous" wrapText="1"/>
    </xf>
    <xf numFmtId="0" fontId="0" fillId="107" borderId="0" xfId="0" applyFont="1" applyFill="1" applyBorder="1" applyAlignment="1" applyProtection="1">
      <alignment horizontal="centerContinuous" wrapText="1"/>
    </xf>
    <xf numFmtId="0" fontId="0" fillId="107" borderId="0" xfId="0" applyNumberFormat="1" applyFont="1" applyFill="1" applyBorder="1" applyAlignment="1" applyProtection="1">
      <alignment horizontal="centerContinuous" wrapText="1"/>
    </xf>
    <xf numFmtId="1" fontId="0" fillId="107" borderId="0" xfId="0" applyNumberFormat="1" applyFont="1" applyFill="1" applyBorder="1" applyAlignment="1" applyProtection="1">
      <alignment horizontal="centerContinuous" wrapText="1"/>
    </xf>
    <xf numFmtId="168" fontId="0" fillId="107" borderId="0" xfId="0" applyNumberFormat="1" applyFont="1" applyFill="1" applyBorder="1" applyAlignment="1" applyProtection="1">
      <alignment horizontal="centerContinuous" wrapText="1"/>
    </xf>
    <xf numFmtId="165" fontId="0" fillId="107" borderId="0" xfId="0" applyNumberFormat="1" applyFont="1" applyFill="1" applyBorder="1" applyAlignment="1" applyProtection="1">
      <alignment horizontal="centerContinuous" wrapText="1"/>
    </xf>
    <xf numFmtId="0" fontId="0" fillId="106" borderId="0" xfId="0" applyFont="1" applyFill="1" applyAlignment="1" applyProtection="1">
      <alignment horizontal="centerContinuous" wrapText="1"/>
    </xf>
    <xf numFmtId="0" fontId="0" fillId="106" borderId="0" xfId="0" applyFont="1" applyFill="1" applyBorder="1" applyAlignment="1" applyProtection="1">
      <alignment horizontal="centerContinuous" wrapText="1"/>
    </xf>
    <xf numFmtId="0" fontId="0" fillId="106" borderId="0" xfId="0" applyNumberFormat="1" applyFont="1" applyFill="1" applyBorder="1" applyAlignment="1" applyProtection="1">
      <alignment horizontal="centerContinuous" wrapText="1"/>
    </xf>
    <xf numFmtId="1" fontId="0" fillId="106" borderId="0" xfId="0" applyNumberFormat="1" applyFont="1" applyFill="1" applyBorder="1" applyAlignment="1" applyProtection="1">
      <alignment horizontal="centerContinuous" wrapText="1"/>
    </xf>
    <xf numFmtId="168" fontId="0" fillId="106" borderId="0" xfId="0" applyNumberFormat="1" applyFont="1" applyFill="1" applyBorder="1" applyAlignment="1" applyProtection="1">
      <alignment horizontal="centerContinuous" wrapText="1"/>
    </xf>
    <xf numFmtId="165" fontId="0" fillId="106" borderId="0" xfId="0" applyNumberFormat="1" applyFont="1" applyFill="1" applyBorder="1" applyAlignment="1" applyProtection="1">
      <alignment horizontal="centerContinuous" wrapText="1"/>
    </xf>
    <xf numFmtId="0" fontId="17" fillId="109" borderId="0" xfId="0" applyFont="1" applyFill="1" applyAlignment="1" applyProtection="1">
      <alignment horizontal="centerContinuous" wrapText="1"/>
    </xf>
    <xf numFmtId="0" fontId="0" fillId="109" borderId="0" xfId="0" applyFont="1" applyFill="1" applyBorder="1" applyAlignment="1" applyProtection="1">
      <alignment horizontal="centerContinuous" wrapText="1"/>
    </xf>
    <xf numFmtId="0" fontId="0" fillId="109" borderId="0" xfId="0" applyNumberFormat="1" applyFont="1" applyFill="1" applyBorder="1" applyAlignment="1" applyProtection="1">
      <alignment horizontal="centerContinuous" wrapText="1"/>
    </xf>
    <xf numFmtId="1" fontId="0" fillId="109" borderId="0" xfId="0" applyNumberFormat="1" applyFont="1" applyFill="1" applyBorder="1" applyAlignment="1" applyProtection="1">
      <alignment horizontal="centerContinuous" wrapText="1"/>
    </xf>
    <xf numFmtId="168" fontId="0" fillId="109" borderId="0" xfId="0" applyNumberFormat="1" applyFont="1" applyFill="1" applyBorder="1" applyAlignment="1" applyProtection="1">
      <alignment horizontal="centerContinuous" wrapText="1"/>
    </xf>
    <xf numFmtId="165" fontId="0" fillId="109" borderId="0" xfId="0" applyNumberFormat="1" applyFont="1" applyFill="1" applyBorder="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4" xfId="0" applyFont="1" applyFill="1" applyBorder="1" applyAlignment="1" applyProtection="1">
      <alignment horizontal="center" vertical="center" wrapText="1"/>
    </xf>
    <xf numFmtId="0" fontId="17" fillId="106" borderId="10" xfId="0" applyFont="1" applyFill="1" applyBorder="1" applyAlignment="1" applyProtection="1">
      <alignment horizontal="center" vertical="center" wrapText="1"/>
    </xf>
    <xf numFmtId="165" fontId="17" fillId="107" borderId="10" xfId="0" applyNumberFormat="1" applyFont="1" applyFill="1" applyBorder="1" applyAlignment="1" applyProtection="1">
      <alignment horizontal="center" vertical="center" wrapText="1"/>
    </xf>
    <xf numFmtId="165" fontId="17" fillId="108" borderId="10" xfId="0" applyNumberFormat="1" applyFont="1" applyFill="1" applyBorder="1" applyAlignment="1" applyProtection="1">
      <alignment horizontal="center" vertical="center" wrapText="1"/>
    </xf>
    <xf numFmtId="165" fontId="17" fillId="109" borderId="13" xfId="0" applyNumberFormat="1" applyFont="1" applyFill="1" applyBorder="1" applyAlignment="1" applyProtection="1">
      <alignment horizontal="centerContinuous" vertical="center" wrapText="1"/>
    </xf>
    <xf numFmtId="0" fontId="17" fillId="0" borderId="13"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5" fontId="17" fillId="106" borderId="10" xfId="0" applyNumberFormat="1" applyFont="1" applyFill="1" applyBorder="1" applyAlignment="1" applyProtection="1">
      <alignment horizontal="centerContinuous" vertical="center" wrapText="1"/>
    </xf>
    <xf numFmtId="0" fontId="0" fillId="106" borderId="30" xfId="0" applyFill="1" applyBorder="1" applyAlignment="1">
      <alignment horizontal="centerContinuous" vertical="center"/>
    </xf>
    <xf numFmtId="165" fontId="17" fillId="106" borderId="11" xfId="0" applyNumberFormat="1" applyFont="1" applyFill="1" applyBorder="1" applyAlignment="1" applyProtection="1">
      <alignment horizontal="centerContinuous" vertical="center" wrapText="1"/>
    </xf>
    <xf numFmtId="165" fontId="17" fillId="107" borderId="13" xfId="0" applyNumberFormat="1" applyFont="1" applyFill="1" applyBorder="1" applyAlignment="1" applyProtection="1">
      <alignment horizontal="center" vertical="center" wrapText="1"/>
    </xf>
    <xf numFmtId="165" fontId="17" fillId="109" borderId="10" xfId="0" applyNumberFormat="1" applyFont="1" applyFill="1" applyBorder="1" applyAlignment="1" applyProtection="1">
      <alignment horizontal="centerContinuous" vertical="center" wrapText="1"/>
    </xf>
    <xf numFmtId="165" fontId="17" fillId="109" borderId="11" xfId="0" applyNumberFormat="1" applyFont="1" applyFill="1" applyBorder="1" applyAlignment="1" applyProtection="1">
      <alignment horizontal="centerContinuous" vertical="center" wrapText="1"/>
    </xf>
    <xf numFmtId="164" fontId="17" fillId="0" borderId="12" xfId="0" applyNumberFormat="1" applyFont="1" applyFill="1" applyBorder="1" applyAlignment="1" applyProtection="1">
      <alignment horizontal="center" vertical="center" wrapText="1"/>
    </xf>
    <xf numFmtId="0" fontId="17" fillId="0" borderId="14" xfId="0" applyNumberFormat="1" applyFont="1" applyFill="1" applyBorder="1" applyAlignment="1">
      <alignment horizontal="center" vertical="center" wrapText="1"/>
    </xf>
    <xf numFmtId="0" fontId="17" fillId="0" borderId="14" xfId="0" applyFont="1" applyFill="1" applyBorder="1" applyAlignment="1">
      <alignment horizontal="center" vertical="center" wrapText="1"/>
    </xf>
    <xf numFmtId="0" fontId="17" fillId="0" borderId="14" xfId="0" applyFont="1" applyFill="1" applyBorder="1" applyAlignment="1">
      <alignment vertical="center" wrapText="1"/>
    </xf>
    <xf numFmtId="166" fontId="17" fillId="0" borderId="14" xfId="0" applyNumberFormat="1" applyFont="1" applyFill="1" applyBorder="1" applyAlignment="1">
      <alignment horizontal="center" vertical="center" wrapText="1"/>
    </xf>
    <xf numFmtId="164" fontId="17" fillId="0" borderId="14" xfId="0" applyNumberFormat="1" applyFont="1" applyFill="1" applyBorder="1" applyAlignment="1">
      <alignment horizontal="center" vertical="center" wrapText="1"/>
    </xf>
    <xf numFmtId="0" fontId="0" fillId="0" borderId="0" xfId="0" applyFill="1" applyAlignment="1">
      <alignment vertical="center"/>
    </xf>
    <xf numFmtId="1" fontId="17" fillId="0" borderId="9" xfId="0" applyNumberFormat="1" applyFont="1" applyFill="1" applyBorder="1" applyAlignment="1" applyProtection="1">
      <alignment horizontal="center" vertical="center" wrapText="1"/>
    </xf>
    <xf numFmtId="165" fontId="17" fillId="0" borderId="12" xfId="0" applyNumberFormat="1" applyFont="1" applyFill="1" applyBorder="1" applyAlignment="1" applyProtection="1">
      <alignment horizontal="center" vertical="center" wrapText="1"/>
    </xf>
    <xf numFmtId="0" fontId="17" fillId="0" borderId="15" xfId="0" applyNumberFormat="1" applyFont="1" applyFill="1" applyBorder="1" applyAlignment="1">
      <alignment horizontal="center" vertical="center" wrapText="1"/>
    </xf>
    <xf numFmtId="1" fontId="17" fillId="0" borderId="15" xfId="0" applyNumberFormat="1" applyFont="1" applyFill="1" applyBorder="1" applyAlignment="1">
      <alignment horizontal="center" vertical="center" wrapText="1"/>
    </xf>
    <xf numFmtId="165" fontId="17" fillId="106" borderId="13" xfId="0" applyNumberFormat="1" applyFont="1" applyFill="1" applyBorder="1" applyAlignment="1">
      <alignment horizontal="center" vertical="center" wrapText="1"/>
    </xf>
    <xf numFmtId="165" fontId="17" fillId="106" borderId="15" xfId="0" applyNumberFormat="1" applyFont="1" applyFill="1" applyBorder="1" applyAlignment="1">
      <alignment horizontal="center" vertical="center" wrapText="1"/>
    </xf>
    <xf numFmtId="165" fontId="17" fillId="107" borderId="13" xfId="0" applyNumberFormat="1" applyFont="1" applyFill="1" applyBorder="1" applyAlignment="1">
      <alignment horizontal="center" vertical="center" wrapText="1"/>
    </xf>
    <xf numFmtId="165" fontId="17" fillId="108" borderId="13" xfId="0" applyNumberFormat="1" applyFont="1" applyFill="1" applyBorder="1" applyAlignment="1">
      <alignment horizontal="center" vertical="center" wrapText="1"/>
    </xf>
    <xf numFmtId="165" fontId="17" fillId="109" borderId="13" xfId="0" applyNumberFormat="1" applyFont="1" applyFill="1" applyBorder="1" applyAlignment="1">
      <alignment horizontal="center" vertical="center" wrapText="1"/>
    </xf>
    <xf numFmtId="166" fontId="17" fillId="0" borderId="15" xfId="0" applyNumberFormat="1" applyFont="1" applyFill="1" applyBorder="1" applyAlignment="1">
      <alignment horizontal="center" vertical="center" wrapText="1"/>
    </xf>
    <xf numFmtId="165" fontId="17" fillId="0" borderId="15" xfId="0" applyNumberFormat="1" applyFont="1" applyFill="1" applyBorder="1" applyAlignment="1">
      <alignment horizontal="center" vertical="center" wrapText="1"/>
    </xf>
    <xf numFmtId="164" fontId="17" fillId="0" borderId="15" xfId="0" applyNumberFormat="1" applyFont="1" applyFill="1" applyBorder="1" applyAlignment="1">
      <alignment horizontal="center" vertical="center" wrapText="1"/>
    </xf>
    <xf numFmtId="165" fontId="0" fillId="0" borderId="0" xfId="0" applyNumberFormat="1" applyFont="1" applyFill="1" applyAlignment="1" applyProtection="1">
      <alignment wrapText="1"/>
    </xf>
    <xf numFmtId="165" fontId="0" fillId="0" borderId="0" xfId="0" applyNumberFormat="1" applyFont="1" applyFill="1" applyAlignment="1" applyProtection="1"/>
    <xf numFmtId="0" fontId="0" fillId="0" borderId="0" xfId="0" applyFont="1" applyFill="1" applyAlignment="1" applyProtection="1"/>
    <xf numFmtId="14" fontId="0" fillId="0" borderId="13" xfId="0" applyNumberFormat="1" applyFont="1" applyFill="1" applyBorder="1" applyAlignment="1" applyProtection="1">
      <alignment horizontal="center" vertical="top"/>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s>
  <tableStyles count="0" defaultTableStyle="TableStyleMedium2" defaultPivotStyle="PivotStyleLight16"/>
  <colors>
    <mruColors>
      <color rgb="FF006666"/>
      <color rgb="FFFFFF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C559"/>
  <sheetViews>
    <sheetView tabSelected="1" zoomScaleNormal="100" workbookViewId="0"/>
  </sheetViews>
  <sheetFormatPr defaultColWidth="11.140625" defaultRowHeight="15"/>
  <cols>
    <col min="1" max="1" width="18.5703125" style="21" customWidth="1"/>
    <col min="2" max="2" width="31.85546875" style="21" customWidth="1"/>
    <col min="3" max="6" width="16.85546875" style="21" customWidth="1"/>
    <col min="7" max="7" width="42.85546875" style="21" customWidth="1"/>
    <col min="8" max="8" width="14.140625" style="22" customWidth="1"/>
    <col min="9" max="9" width="12.28515625" style="92" customWidth="1"/>
    <col min="10" max="10" width="9.7109375" style="22" customWidth="1"/>
    <col min="11" max="11" width="19" style="22" customWidth="1"/>
    <col min="12" max="12" width="19.28515625" style="132" customWidth="1"/>
    <col min="13" max="13" width="19" style="93" customWidth="1"/>
    <col min="14" max="17" width="13.5703125" style="93" customWidth="1"/>
    <col min="18" max="18" width="38.85546875" style="42" customWidth="1"/>
    <col min="19" max="19" width="9.28515625" style="23" customWidth="1"/>
    <col min="20" max="20" width="13" style="23" customWidth="1"/>
    <col min="21" max="21" width="11.140625" style="14" customWidth="1"/>
    <col min="22" max="23" width="11.140625" style="14" hidden="1" customWidth="1"/>
    <col min="24" max="26" width="11.140625" style="14" customWidth="1"/>
    <col min="27" max="53" width="11.140625" style="94" customWidth="1"/>
    <col min="54" max="54" width="16.42578125" style="23" bestFit="1" customWidth="1"/>
    <col min="55" max="55" width="17.42578125" style="23" bestFit="1" customWidth="1"/>
    <col min="56" max="16384" width="11.140625" style="116"/>
  </cols>
  <sheetData>
    <row r="1" spans="1:55" ht="26.25">
      <c r="A1" s="10" t="s">
        <v>1330</v>
      </c>
      <c r="B1" s="11"/>
      <c r="C1" s="11"/>
      <c r="D1" s="11"/>
      <c r="E1" s="11"/>
      <c r="F1" s="11"/>
      <c r="G1" s="11"/>
      <c r="H1" s="12"/>
      <c r="I1" s="91"/>
      <c r="J1" s="12"/>
      <c r="K1" s="12"/>
      <c r="L1" s="125"/>
      <c r="M1" s="89"/>
      <c r="N1" s="89"/>
      <c r="O1" s="89"/>
      <c r="P1" s="89"/>
      <c r="Q1" s="89"/>
      <c r="R1" s="124"/>
      <c r="S1" s="13"/>
      <c r="T1" s="13"/>
    </row>
    <row r="2" spans="1:55" ht="18.75">
      <c r="A2" s="15" t="s">
        <v>1329</v>
      </c>
      <c r="B2" s="11"/>
      <c r="C2" s="11"/>
      <c r="D2" s="11"/>
      <c r="E2" s="11"/>
      <c r="F2" s="11"/>
      <c r="G2" s="11"/>
      <c r="H2" s="12"/>
      <c r="I2" s="91"/>
      <c r="J2" s="12"/>
      <c r="K2" s="12"/>
      <c r="L2" s="125"/>
      <c r="M2" s="89"/>
      <c r="N2" s="89"/>
      <c r="O2" s="89"/>
      <c r="P2" s="89"/>
      <c r="Q2" s="89"/>
      <c r="R2" s="124"/>
      <c r="S2" s="13"/>
      <c r="T2" s="13"/>
    </row>
    <row r="3" spans="1:55" ht="18.75">
      <c r="A3" s="15"/>
      <c r="B3" s="11"/>
      <c r="C3" s="11"/>
      <c r="D3" s="11"/>
      <c r="E3" s="11"/>
      <c r="F3" s="11"/>
      <c r="G3" s="11"/>
      <c r="H3" s="12"/>
      <c r="I3" s="91"/>
      <c r="J3" s="12"/>
      <c r="K3" s="12"/>
      <c r="L3" s="125"/>
      <c r="M3" s="89"/>
      <c r="N3" s="89"/>
      <c r="O3" s="89"/>
      <c r="P3" s="89"/>
      <c r="Q3" s="89"/>
      <c r="R3" s="124"/>
      <c r="S3" s="13"/>
      <c r="T3" s="13"/>
    </row>
    <row r="4" spans="1:55" ht="18.75">
      <c r="A4" s="16" t="s">
        <v>49</v>
      </c>
      <c r="B4" s="11"/>
      <c r="C4" s="11"/>
      <c r="D4" s="11"/>
      <c r="E4" s="11"/>
      <c r="F4" s="11"/>
      <c r="G4" s="11"/>
      <c r="H4" s="12"/>
      <c r="I4" s="91"/>
      <c r="J4" s="12"/>
      <c r="K4" s="12"/>
      <c r="L4" s="125"/>
      <c r="M4" s="89"/>
      <c r="N4" s="89"/>
      <c r="O4" s="89"/>
      <c r="P4" s="89"/>
      <c r="Q4" s="89"/>
      <c r="R4" s="124"/>
      <c r="S4" s="13"/>
      <c r="T4" s="13"/>
    </row>
    <row r="5" spans="1:55">
      <c r="A5" s="117" t="s">
        <v>18</v>
      </c>
      <c r="B5" s="11"/>
      <c r="C5" s="11"/>
      <c r="D5" s="11"/>
      <c r="E5" s="11"/>
      <c r="F5" s="11"/>
      <c r="G5" s="11"/>
      <c r="H5" s="12"/>
      <c r="I5" s="91"/>
      <c r="J5" s="12"/>
      <c r="K5" s="12"/>
      <c r="L5" s="125"/>
      <c r="M5" s="89"/>
      <c r="N5" s="89"/>
      <c r="O5" s="89"/>
      <c r="P5" s="89"/>
      <c r="Q5" s="89"/>
      <c r="R5" s="124"/>
      <c r="S5" s="13"/>
      <c r="T5" s="13"/>
    </row>
    <row r="6" spans="1:55" s="142" customFormat="1" ht="30" customHeight="1">
      <c r="A6" s="104" t="s">
        <v>1331</v>
      </c>
      <c r="B6" s="17"/>
      <c r="C6" s="17"/>
      <c r="D6" s="17"/>
      <c r="E6" s="17"/>
      <c r="F6" s="17"/>
      <c r="G6" s="17"/>
      <c r="H6" s="20"/>
      <c r="I6" s="19"/>
      <c r="J6" s="20"/>
      <c r="K6" s="20"/>
      <c r="L6" s="126"/>
      <c r="M6" s="18"/>
      <c r="N6" s="133"/>
      <c r="O6" s="133"/>
      <c r="P6" s="133"/>
      <c r="Q6" s="133"/>
      <c r="R6" s="133"/>
      <c r="S6" s="134"/>
      <c r="T6" s="134"/>
      <c r="U6" s="14"/>
      <c r="V6" s="14"/>
      <c r="W6" s="14"/>
      <c r="X6" s="14"/>
      <c r="Y6" s="14"/>
      <c r="Z6" s="1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23"/>
      <c r="BC6" s="23"/>
    </row>
    <row r="7" spans="1:55">
      <c r="A7" s="118" t="s">
        <v>19</v>
      </c>
      <c r="B7" s="17"/>
      <c r="C7" s="17"/>
      <c r="D7" s="17"/>
      <c r="E7" s="17"/>
      <c r="F7" s="17"/>
      <c r="G7" s="17"/>
      <c r="H7" s="20"/>
      <c r="I7" s="19"/>
      <c r="J7" s="20"/>
      <c r="K7" s="20"/>
      <c r="L7" s="126"/>
      <c r="M7" s="18"/>
      <c r="N7" s="133"/>
      <c r="O7" s="133"/>
      <c r="P7" s="133"/>
      <c r="Q7" s="133"/>
      <c r="R7" s="133"/>
      <c r="S7" s="134"/>
      <c r="T7" s="134"/>
    </row>
    <row r="8" spans="1:55" ht="35.25" customHeight="1">
      <c r="A8" s="104" t="s">
        <v>863</v>
      </c>
      <c r="B8" s="17"/>
      <c r="C8" s="17"/>
      <c r="D8" s="17"/>
      <c r="E8" s="17"/>
      <c r="F8" s="17"/>
      <c r="G8" s="17"/>
      <c r="H8" s="20"/>
      <c r="I8" s="19"/>
      <c r="J8" s="20"/>
      <c r="K8" s="20"/>
      <c r="L8" s="126"/>
      <c r="M8" s="18"/>
      <c r="N8" s="133"/>
      <c r="O8" s="133"/>
      <c r="P8" s="133"/>
      <c r="Q8" s="133"/>
      <c r="R8" s="133"/>
      <c r="S8" s="134"/>
      <c r="T8" s="134"/>
    </row>
    <row r="9" spans="1:55">
      <c r="A9" s="154" t="s">
        <v>1332</v>
      </c>
      <c r="B9" s="155"/>
      <c r="C9" s="155"/>
      <c r="D9" s="155"/>
      <c r="E9" s="155"/>
      <c r="F9" s="155"/>
      <c r="G9" s="155"/>
      <c r="H9" s="156"/>
      <c r="I9" s="157"/>
      <c r="J9" s="156"/>
      <c r="K9" s="156"/>
      <c r="L9" s="158"/>
      <c r="M9" s="159"/>
      <c r="N9" s="133"/>
      <c r="O9" s="133"/>
      <c r="P9" s="133"/>
      <c r="Q9" s="133"/>
      <c r="R9" s="133"/>
      <c r="S9" s="134"/>
      <c r="T9" s="134"/>
    </row>
    <row r="10" spans="1:55" ht="32.25" customHeight="1">
      <c r="A10" s="160" t="s">
        <v>1333</v>
      </c>
      <c r="B10" s="161"/>
      <c r="C10" s="161"/>
      <c r="D10" s="161"/>
      <c r="E10" s="161"/>
      <c r="F10" s="161"/>
      <c r="G10" s="161"/>
      <c r="H10" s="162"/>
      <c r="I10" s="163"/>
      <c r="J10" s="162"/>
      <c r="K10" s="162"/>
      <c r="L10" s="164"/>
      <c r="M10" s="165"/>
      <c r="N10" s="133"/>
      <c r="O10" s="133"/>
      <c r="P10" s="133"/>
      <c r="Q10" s="133"/>
      <c r="R10" s="133"/>
      <c r="S10" s="134"/>
      <c r="T10" s="134"/>
    </row>
    <row r="11" spans="1:55">
      <c r="A11" s="166" t="s">
        <v>1334</v>
      </c>
      <c r="B11" s="167"/>
      <c r="C11" s="167"/>
      <c r="D11" s="167"/>
      <c r="E11" s="167"/>
      <c r="F11" s="167"/>
      <c r="G11" s="167"/>
      <c r="H11" s="168"/>
      <c r="I11" s="169"/>
      <c r="J11" s="168"/>
      <c r="K11" s="168"/>
      <c r="L11" s="170"/>
      <c r="M11" s="171"/>
      <c r="N11" s="135"/>
      <c r="O11" s="135"/>
      <c r="P11" s="135"/>
      <c r="Q11" s="135"/>
      <c r="R11" s="137"/>
      <c r="S11" s="136"/>
      <c r="T11" s="136"/>
    </row>
    <row r="12" spans="1:55" ht="15" customHeight="1">
      <c r="A12" s="108" t="s">
        <v>25</v>
      </c>
      <c r="B12" s="104"/>
      <c r="C12" s="104"/>
      <c r="D12" s="104"/>
      <c r="E12" s="104"/>
      <c r="F12" s="104"/>
      <c r="G12" s="104"/>
      <c r="H12" s="105"/>
      <c r="I12" s="106"/>
      <c r="J12" s="105"/>
      <c r="K12" s="105"/>
      <c r="L12" s="127"/>
      <c r="M12" s="107"/>
      <c r="N12" s="205"/>
      <c r="O12" s="205"/>
      <c r="P12" s="205"/>
      <c r="Q12" s="205"/>
      <c r="R12" s="206"/>
      <c r="S12" s="207"/>
      <c r="T12" s="207"/>
      <c r="U12" s="207"/>
      <c r="V12" s="207"/>
      <c r="W12" s="207"/>
      <c r="X12" s="207"/>
    </row>
    <row r="13" spans="1:55" s="192" customFormat="1" ht="85.5" customHeight="1">
      <c r="A13" s="172" t="s">
        <v>14</v>
      </c>
      <c r="B13" s="173" t="s">
        <v>864</v>
      </c>
      <c r="C13" s="174" t="s">
        <v>1312</v>
      </c>
      <c r="D13" s="175" t="s">
        <v>1313</v>
      </c>
      <c r="E13" s="176" t="s">
        <v>1314</v>
      </c>
      <c r="F13" s="177" t="s">
        <v>1315</v>
      </c>
      <c r="G13" s="172" t="s">
        <v>15</v>
      </c>
      <c r="H13" s="178" t="s">
        <v>314</v>
      </c>
      <c r="I13" s="193" t="s">
        <v>22</v>
      </c>
      <c r="J13" s="179" t="s">
        <v>24</v>
      </c>
      <c r="K13" s="180" t="s">
        <v>1320</v>
      </c>
      <c r="L13" s="181"/>
      <c r="M13" s="182"/>
      <c r="N13" s="183" t="s">
        <v>865</v>
      </c>
      <c r="O13" s="176" t="s">
        <v>1314</v>
      </c>
      <c r="P13" s="184" t="s">
        <v>1322</v>
      </c>
      <c r="Q13" s="185"/>
      <c r="R13" s="194" t="s">
        <v>16</v>
      </c>
      <c r="S13" s="186" t="s">
        <v>12</v>
      </c>
      <c r="T13" s="186" t="s">
        <v>13</v>
      </c>
      <c r="U13" s="187" t="s">
        <v>185</v>
      </c>
      <c r="V13" s="24" t="s">
        <v>186</v>
      </c>
      <c r="W13" s="24" t="s">
        <v>187</v>
      </c>
      <c r="X13" s="188" t="s">
        <v>188</v>
      </c>
      <c r="Y13" s="189" t="s">
        <v>189</v>
      </c>
      <c r="Z13" s="189" t="s">
        <v>190</v>
      </c>
      <c r="AA13" s="190" t="s">
        <v>191</v>
      </c>
      <c r="AB13" s="190" t="s">
        <v>191</v>
      </c>
      <c r="AC13" s="190" t="s">
        <v>191</v>
      </c>
      <c r="AD13" s="190" t="s">
        <v>191</v>
      </c>
      <c r="AE13" s="190" t="s">
        <v>191</v>
      </c>
      <c r="AF13" s="190" t="s">
        <v>191</v>
      </c>
      <c r="AG13" s="190" t="s">
        <v>192</v>
      </c>
      <c r="AH13" s="190" t="s">
        <v>192</v>
      </c>
      <c r="AI13" s="190" t="s">
        <v>192</v>
      </c>
      <c r="AJ13" s="190" t="s">
        <v>192</v>
      </c>
      <c r="AK13" s="190" t="s">
        <v>192</v>
      </c>
      <c r="AL13" s="190" t="s">
        <v>192</v>
      </c>
      <c r="AM13" s="190" t="s">
        <v>192</v>
      </c>
      <c r="AN13" s="190" t="s">
        <v>193</v>
      </c>
      <c r="AO13" s="190" t="s">
        <v>193</v>
      </c>
      <c r="AP13" s="190" t="s">
        <v>193</v>
      </c>
      <c r="AQ13" s="190" t="s">
        <v>193</v>
      </c>
      <c r="AR13" s="190" t="s">
        <v>193</v>
      </c>
      <c r="AS13" s="190" t="s">
        <v>193</v>
      </c>
      <c r="AT13" s="190" t="s">
        <v>193</v>
      </c>
      <c r="AU13" s="190" t="s">
        <v>194</v>
      </c>
      <c r="AV13" s="190" t="s">
        <v>194</v>
      </c>
      <c r="AW13" s="190" t="s">
        <v>194</v>
      </c>
      <c r="AX13" s="190" t="s">
        <v>194</v>
      </c>
      <c r="AY13" s="190" t="s">
        <v>194</v>
      </c>
      <c r="AZ13" s="190" t="s">
        <v>194</v>
      </c>
      <c r="BA13" s="190" t="s">
        <v>194</v>
      </c>
      <c r="BB13" s="191" t="s">
        <v>1335</v>
      </c>
      <c r="BC13" s="191" t="s">
        <v>195</v>
      </c>
    </row>
    <row r="14" spans="1:55" ht="45">
      <c r="A14" s="52"/>
      <c r="B14" s="52"/>
      <c r="C14" s="150" t="s">
        <v>1316</v>
      </c>
      <c r="D14" s="151" t="s">
        <v>1317</v>
      </c>
      <c r="E14" s="152" t="s">
        <v>1318</v>
      </c>
      <c r="F14" s="153" t="s">
        <v>1319</v>
      </c>
      <c r="G14" s="51"/>
      <c r="H14" s="195" t="s">
        <v>20</v>
      </c>
      <c r="I14" s="196" t="s">
        <v>21</v>
      </c>
      <c r="J14" s="195" t="s">
        <v>23</v>
      </c>
      <c r="K14" s="197" t="s">
        <v>1321</v>
      </c>
      <c r="L14" s="198" t="s">
        <v>541</v>
      </c>
      <c r="M14" s="198" t="s">
        <v>542</v>
      </c>
      <c r="N14" s="199" t="s">
        <v>1235</v>
      </c>
      <c r="O14" s="200" t="s">
        <v>541</v>
      </c>
      <c r="P14" s="201" t="s">
        <v>1321</v>
      </c>
      <c r="Q14" s="201" t="s">
        <v>541</v>
      </c>
      <c r="R14" s="203"/>
      <c r="S14" s="204"/>
      <c r="T14" s="204"/>
      <c r="U14" s="195" t="s">
        <v>196</v>
      </c>
      <c r="V14" s="52" t="s">
        <v>20</v>
      </c>
      <c r="W14" s="52" t="s">
        <v>196</v>
      </c>
      <c r="X14" s="52" t="s">
        <v>197</v>
      </c>
      <c r="Y14" s="52" t="s">
        <v>197</v>
      </c>
      <c r="Z14" s="52" t="s">
        <v>197</v>
      </c>
      <c r="AA14" s="202" t="s">
        <v>198</v>
      </c>
      <c r="AB14" s="202" t="s">
        <v>199</v>
      </c>
      <c r="AC14" s="202" t="s">
        <v>200</v>
      </c>
      <c r="AD14" s="202" t="s">
        <v>201</v>
      </c>
      <c r="AE14" s="202" t="s">
        <v>202</v>
      </c>
      <c r="AF14" s="202" t="s">
        <v>203</v>
      </c>
      <c r="AG14" s="202" t="s">
        <v>204</v>
      </c>
      <c r="AH14" s="202" t="s">
        <v>205</v>
      </c>
      <c r="AI14" s="202" t="s">
        <v>206</v>
      </c>
      <c r="AJ14" s="202" t="s">
        <v>207</v>
      </c>
      <c r="AK14" s="202" t="s">
        <v>208</v>
      </c>
      <c r="AL14" s="202" t="s">
        <v>209</v>
      </c>
      <c r="AM14" s="202" t="s">
        <v>210</v>
      </c>
      <c r="AN14" s="202" t="s">
        <v>204</v>
      </c>
      <c r="AO14" s="202" t="s">
        <v>205</v>
      </c>
      <c r="AP14" s="202" t="s">
        <v>206</v>
      </c>
      <c r="AQ14" s="202" t="s">
        <v>207</v>
      </c>
      <c r="AR14" s="202" t="s">
        <v>208</v>
      </c>
      <c r="AS14" s="202" t="s">
        <v>209</v>
      </c>
      <c r="AT14" s="202" t="s">
        <v>210</v>
      </c>
      <c r="AU14" s="202" t="s">
        <v>204</v>
      </c>
      <c r="AV14" s="202" t="s">
        <v>205</v>
      </c>
      <c r="AW14" s="202" t="s">
        <v>206</v>
      </c>
      <c r="AX14" s="202" t="s">
        <v>207</v>
      </c>
      <c r="AY14" s="202" t="s">
        <v>208</v>
      </c>
      <c r="AZ14" s="202" t="s">
        <v>209</v>
      </c>
      <c r="BA14" s="202" t="s">
        <v>210</v>
      </c>
      <c r="BB14" s="119"/>
      <c r="BC14" s="119"/>
    </row>
    <row r="15" spans="1:55" s="120" customFormat="1" ht="62.25" customHeight="1">
      <c r="A15" s="9" t="s">
        <v>0</v>
      </c>
      <c r="B15" s="9" t="s">
        <v>348</v>
      </c>
      <c r="C15" s="63" t="s">
        <v>10</v>
      </c>
      <c r="D15" s="63" t="s">
        <v>10</v>
      </c>
      <c r="E15" s="63" t="s">
        <v>11</v>
      </c>
      <c r="F15" s="63" t="s">
        <v>11</v>
      </c>
      <c r="G15" s="9" t="s">
        <v>75</v>
      </c>
      <c r="H15" s="54">
        <v>3</v>
      </c>
      <c r="I15" s="35">
        <v>208</v>
      </c>
      <c r="J15" s="35">
        <v>96</v>
      </c>
      <c r="K15" s="39" t="s">
        <v>1323</v>
      </c>
      <c r="L15" s="128" t="s">
        <v>854</v>
      </c>
      <c r="M15" s="39" t="s">
        <v>465</v>
      </c>
      <c r="N15" s="40">
        <v>43388</v>
      </c>
      <c r="O15" s="63" t="s">
        <v>17</v>
      </c>
      <c r="P15" s="63" t="s">
        <v>17</v>
      </c>
      <c r="Q15" s="63" t="s">
        <v>17</v>
      </c>
      <c r="R15" s="65" t="s">
        <v>26</v>
      </c>
      <c r="S15" s="34" t="s">
        <v>10</v>
      </c>
      <c r="T15" s="34" t="s">
        <v>11</v>
      </c>
      <c r="U15" s="35">
        <v>0.1</v>
      </c>
      <c r="V15" s="35">
        <v>3</v>
      </c>
      <c r="W15" s="35">
        <v>0.1</v>
      </c>
      <c r="X15" s="35">
        <v>100</v>
      </c>
      <c r="Y15" s="35">
        <v>310</v>
      </c>
      <c r="Z15" s="35">
        <v>480</v>
      </c>
      <c r="AA15" s="103">
        <v>0.3</v>
      </c>
      <c r="AB15" s="103">
        <v>0.6</v>
      </c>
      <c r="AC15" s="103">
        <v>0.9</v>
      </c>
      <c r="AD15" s="103">
        <v>1.5</v>
      </c>
      <c r="AE15" s="103">
        <v>2.25</v>
      </c>
      <c r="AF15" s="103">
        <v>3</v>
      </c>
      <c r="AG15" s="103">
        <v>93.1</v>
      </c>
      <c r="AH15" s="103">
        <v>95.5</v>
      </c>
      <c r="AI15" s="103">
        <v>96</v>
      </c>
      <c r="AJ15" s="103">
        <v>95.9</v>
      </c>
      <c r="AK15" s="103">
        <v>95.7</v>
      </c>
      <c r="AL15" s="103">
        <v>95.1</v>
      </c>
      <c r="AM15" s="103">
        <v>95.6</v>
      </c>
      <c r="AN15" s="103">
        <v>93.3</v>
      </c>
      <c r="AO15" s="103">
        <v>95.9</v>
      </c>
      <c r="AP15" s="103">
        <v>96.4</v>
      </c>
      <c r="AQ15" s="103">
        <v>96.4</v>
      </c>
      <c r="AR15" s="103">
        <v>96.2</v>
      </c>
      <c r="AS15" s="103">
        <v>95.8</v>
      </c>
      <c r="AT15" s="103">
        <v>96.1</v>
      </c>
      <c r="AU15" s="103">
        <v>91</v>
      </c>
      <c r="AV15" s="103">
        <v>94.9</v>
      </c>
      <c r="AW15" s="103">
        <v>95.7</v>
      </c>
      <c r="AX15" s="103">
        <v>96</v>
      </c>
      <c r="AY15" s="103">
        <v>95.8</v>
      </c>
      <c r="AZ15" s="103">
        <v>95.5</v>
      </c>
      <c r="BA15" s="103">
        <v>95.6</v>
      </c>
      <c r="BB15" s="40">
        <v>42917</v>
      </c>
      <c r="BC15" s="40">
        <v>43388</v>
      </c>
    </row>
    <row r="16" spans="1:55" s="120" customFormat="1" ht="62.25" customHeight="1">
      <c r="A16" s="9" t="s">
        <v>0</v>
      </c>
      <c r="B16" s="9" t="s">
        <v>349</v>
      </c>
      <c r="C16" s="63" t="s">
        <v>10</v>
      </c>
      <c r="D16" s="63" t="s">
        <v>10</v>
      </c>
      <c r="E16" s="63" t="s">
        <v>11</v>
      </c>
      <c r="F16" s="63" t="s">
        <v>11</v>
      </c>
      <c r="G16" s="9" t="s">
        <v>76</v>
      </c>
      <c r="H16" s="54">
        <v>3</v>
      </c>
      <c r="I16" s="35">
        <v>240</v>
      </c>
      <c r="J16" s="35">
        <v>96</v>
      </c>
      <c r="K16" s="39" t="s">
        <v>1323</v>
      </c>
      <c r="L16" s="128" t="s">
        <v>854</v>
      </c>
      <c r="M16" s="39" t="s">
        <v>465</v>
      </c>
      <c r="N16" s="40">
        <v>43388</v>
      </c>
      <c r="O16" s="63" t="s">
        <v>17</v>
      </c>
      <c r="P16" s="63" t="s">
        <v>17</v>
      </c>
      <c r="Q16" s="63" t="s">
        <v>17</v>
      </c>
      <c r="R16" s="65" t="s">
        <v>26</v>
      </c>
      <c r="S16" s="34" t="s">
        <v>10</v>
      </c>
      <c r="T16" s="34" t="s">
        <v>11</v>
      </c>
      <c r="U16" s="35">
        <v>0.1</v>
      </c>
      <c r="V16" s="35">
        <v>3</v>
      </c>
      <c r="W16" s="35">
        <v>0.1</v>
      </c>
      <c r="X16" s="35">
        <v>100</v>
      </c>
      <c r="Y16" s="35">
        <v>340</v>
      </c>
      <c r="Z16" s="35">
        <v>480</v>
      </c>
      <c r="AA16" s="103">
        <v>0.25</v>
      </c>
      <c r="AB16" s="103">
        <v>0.6</v>
      </c>
      <c r="AC16" s="103">
        <v>0.9</v>
      </c>
      <c r="AD16" s="103">
        <v>1.5</v>
      </c>
      <c r="AE16" s="103">
        <v>2.25</v>
      </c>
      <c r="AF16" s="103">
        <v>3</v>
      </c>
      <c r="AG16" s="103">
        <v>92.5</v>
      </c>
      <c r="AH16" s="103">
        <v>95.2</v>
      </c>
      <c r="AI16" s="103">
        <v>95.9</v>
      </c>
      <c r="AJ16" s="103">
        <v>96.1</v>
      </c>
      <c r="AK16" s="103">
        <v>95.9</v>
      </c>
      <c r="AL16" s="103">
        <v>95.5</v>
      </c>
      <c r="AM16" s="103">
        <v>95.7</v>
      </c>
      <c r="AN16" s="103">
        <v>93.1</v>
      </c>
      <c r="AO16" s="103">
        <v>95.9</v>
      </c>
      <c r="AP16" s="103">
        <v>96.5</v>
      </c>
      <c r="AQ16" s="103">
        <v>96.7</v>
      </c>
      <c r="AR16" s="103">
        <v>96.7</v>
      </c>
      <c r="AS16" s="103">
        <v>96.4</v>
      </c>
      <c r="AT16" s="103">
        <v>96.5</v>
      </c>
      <c r="AU16" s="103">
        <v>91.1</v>
      </c>
      <c r="AV16" s="103">
        <v>95.1</v>
      </c>
      <c r="AW16" s="103">
        <v>96</v>
      </c>
      <c r="AX16" s="103">
        <v>96.4</v>
      </c>
      <c r="AY16" s="103">
        <v>96.4</v>
      </c>
      <c r="AZ16" s="103">
        <v>96.2</v>
      </c>
      <c r="BA16" s="103">
        <v>96.1</v>
      </c>
      <c r="BB16" s="40">
        <v>42917</v>
      </c>
      <c r="BC16" s="40">
        <v>43388</v>
      </c>
    </row>
    <row r="17" spans="1:55" s="120" customFormat="1" ht="62.25" customHeight="1">
      <c r="A17" s="9" t="s">
        <v>0</v>
      </c>
      <c r="B17" s="9" t="s">
        <v>350</v>
      </c>
      <c r="C17" s="63" t="s">
        <v>10</v>
      </c>
      <c r="D17" s="63" t="s">
        <v>10</v>
      </c>
      <c r="E17" s="63" t="s">
        <v>11</v>
      </c>
      <c r="F17" s="63" t="s">
        <v>11</v>
      </c>
      <c r="G17" s="9" t="s">
        <v>77</v>
      </c>
      <c r="H17" s="54">
        <v>3</v>
      </c>
      <c r="I17" s="35">
        <v>277</v>
      </c>
      <c r="J17" s="35">
        <v>96</v>
      </c>
      <c r="K17" s="39" t="s">
        <v>1323</v>
      </c>
      <c r="L17" s="128" t="s">
        <v>854</v>
      </c>
      <c r="M17" s="39" t="s">
        <v>465</v>
      </c>
      <c r="N17" s="40">
        <v>43388</v>
      </c>
      <c r="O17" s="63" t="s">
        <v>17</v>
      </c>
      <c r="P17" s="63" t="s">
        <v>17</v>
      </c>
      <c r="Q17" s="63" t="s">
        <v>17</v>
      </c>
      <c r="R17" s="65" t="s">
        <v>26</v>
      </c>
      <c r="S17" s="34" t="s">
        <v>10</v>
      </c>
      <c r="T17" s="34" t="s">
        <v>11</v>
      </c>
      <c r="U17" s="35">
        <v>0.2</v>
      </c>
      <c r="V17" s="35">
        <v>3</v>
      </c>
      <c r="W17" s="35">
        <v>0.2</v>
      </c>
      <c r="X17" s="35">
        <v>100</v>
      </c>
      <c r="Y17" s="35">
        <v>390</v>
      </c>
      <c r="Z17" s="35">
        <v>480</v>
      </c>
      <c r="AA17" s="103">
        <v>0.3</v>
      </c>
      <c r="AB17" s="103">
        <v>0.6</v>
      </c>
      <c r="AC17" s="103">
        <v>0.9</v>
      </c>
      <c r="AD17" s="103">
        <v>1.5</v>
      </c>
      <c r="AE17" s="103">
        <v>2.25</v>
      </c>
      <c r="AF17" s="103">
        <v>3</v>
      </c>
      <c r="AG17" s="103">
        <v>91.4</v>
      </c>
      <c r="AH17" s="103">
        <v>94.7</v>
      </c>
      <c r="AI17" s="103">
        <v>95.5</v>
      </c>
      <c r="AJ17" s="103">
        <v>96.1</v>
      </c>
      <c r="AK17" s="103">
        <v>95.9</v>
      </c>
      <c r="AL17" s="103">
        <v>95.6</v>
      </c>
      <c r="AM17" s="103">
        <v>95.7</v>
      </c>
      <c r="AN17" s="103">
        <v>92.5</v>
      </c>
      <c r="AO17" s="103">
        <v>95.8</v>
      </c>
      <c r="AP17" s="103">
        <v>96.5</v>
      </c>
      <c r="AQ17" s="103">
        <v>96.9</v>
      </c>
      <c r="AR17" s="103">
        <v>96.9</v>
      </c>
      <c r="AS17" s="103">
        <v>96.8</v>
      </c>
      <c r="AT17" s="103">
        <v>96.6</v>
      </c>
      <c r="AU17" s="103">
        <v>91.1</v>
      </c>
      <c r="AV17" s="103">
        <v>95.2</v>
      </c>
      <c r="AW17" s="103">
        <v>96.2</v>
      </c>
      <c r="AX17" s="103">
        <v>96.7</v>
      </c>
      <c r="AY17" s="103">
        <v>96.8</v>
      </c>
      <c r="AZ17" s="103">
        <v>96.7</v>
      </c>
      <c r="BA17" s="103">
        <v>96.4</v>
      </c>
      <c r="BB17" s="40">
        <v>42917</v>
      </c>
      <c r="BC17" s="40">
        <v>43388</v>
      </c>
    </row>
    <row r="18" spans="1:55" s="120" customFormat="1" ht="62.25" customHeight="1">
      <c r="A18" s="9" t="s">
        <v>0</v>
      </c>
      <c r="B18" s="9" t="s">
        <v>351</v>
      </c>
      <c r="C18" s="63" t="s">
        <v>10</v>
      </c>
      <c r="D18" s="63" t="s">
        <v>10</v>
      </c>
      <c r="E18" s="63" t="s">
        <v>11</v>
      </c>
      <c r="F18" s="63" t="s">
        <v>11</v>
      </c>
      <c r="G18" s="9" t="s">
        <v>75</v>
      </c>
      <c r="H18" s="54">
        <v>3</v>
      </c>
      <c r="I18" s="35">
        <v>208</v>
      </c>
      <c r="J18" s="35">
        <v>96</v>
      </c>
      <c r="K18" s="39" t="s">
        <v>1323</v>
      </c>
      <c r="L18" s="128" t="s">
        <v>854</v>
      </c>
      <c r="M18" s="39" t="s">
        <v>465</v>
      </c>
      <c r="N18" s="40">
        <v>43388</v>
      </c>
      <c r="O18" s="63" t="s">
        <v>17</v>
      </c>
      <c r="P18" s="63" t="s">
        <v>17</v>
      </c>
      <c r="Q18" s="63" t="s">
        <v>17</v>
      </c>
      <c r="R18" s="65" t="s">
        <v>26</v>
      </c>
      <c r="S18" s="34" t="s">
        <v>10</v>
      </c>
      <c r="T18" s="34" t="s">
        <v>11</v>
      </c>
      <c r="U18" s="35">
        <v>0.1</v>
      </c>
      <c r="V18" s="35">
        <v>3</v>
      </c>
      <c r="W18" s="35">
        <v>0.1</v>
      </c>
      <c r="X18" s="35">
        <v>100</v>
      </c>
      <c r="Y18" s="35">
        <v>310</v>
      </c>
      <c r="Z18" s="35">
        <v>480</v>
      </c>
      <c r="AA18" s="103">
        <v>0.3</v>
      </c>
      <c r="AB18" s="103">
        <v>0.6</v>
      </c>
      <c r="AC18" s="103">
        <v>0.9</v>
      </c>
      <c r="AD18" s="103">
        <v>1.5</v>
      </c>
      <c r="AE18" s="103">
        <v>2.25</v>
      </c>
      <c r="AF18" s="103">
        <v>3</v>
      </c>
      <c r="AG18" s="103">
        <v>93.1</v>
      </c>
      <c r="AH18" s="103">
        <v>95.5</v>
      </c>
      <c r="AI18" s="103">
        <v>96</v>
      </c>
      <c r="AJ18" s="103">
        <v>95.9</v>
      </c>
      <c r="AK18" s="103">
        <v>95.7</v>
      </c>
      <c r="AL18" s="103">
        <v>95.1</v>
      </c>
      <c r="AM18" s="103">
        <v>95.6</v>
      </c>
      <c r="AN18" s="103">
        <v>93.3</v>
      </c>
      <c r="AO18" s="103">
        <v>95.9</v>
      </c>
      <c r="AP18" s="103">
        <v>96.4</v>
      </c>
      <c r="AQ18" s="103">
        <v>96.4</v>
      </c>
      <c r="AR18" s="103">
        <v>96.2</v>
      </c>
      <c r="AS18" s="103">
        <v>95.8</v>
      </c>
      <c r="AT18" s="103">
        <v>96.1</v>
      </c>
      <c r="AU18" s="103">
        <v>91</v>
      </c>
      <c r="AV18" s="103">
        <v>94.9</v>
      </c>
      <c r="AW18" s="103">
        <v>95.7</v>
      </c>
      <c r="AX18" s="103">
        <v>96</v>
      </c>
      <c r="AY18" s="103">
        <v>95.8</v>
      </c>
      <c r="AZ18" s="103">
        <v>95.5</v>
      </c>
      <c r="BA18" s="103">
        <v>95.6</v>
      </c>
      <c r="BB18" s="40">
        <v>42917</v>
      </c>
      <c r="BC18" s="40">
        <v>43388</v>
      </c>
    </row>
    <row r="19" spans="1:55" s="120" customFormat="1" ht="62.25" customHeight="1">
      <c r="A19" s="9" t="s">
        <v>0</v>
      </c>
      <c r="B19" s="9" t="s">
        <v>352</v>
      </c>
      <c r="C19" s="63" t="s">
        <v>10</v>
      </c>
      <c r="D19" s="63" t="s">
        <v>10</v>
      </c>
      <c r="E19" s="63" t="s">
        <v>11</v>
      </c>
      <c r="F19" s="63" t="s">
        <v>11</v>
      </c>
      <c r="G19" s="9" t="s">
        <v>76</v>
      </c>
      <c r="H19" s="54">
        <v>3</v>
      </c>
      <c r="I19" s="35">
        <v>240</v>
      </c>
      <c r="J19" s="35">
        <v>96</v>
      </c>
      <c r="K19" s="39" t="s">
        <v>1323</v>
      </c>
      <c r="L19" s="128" t="s">
        <v>854</v>
      </c>
      <c r="M19" s="39" t="s">
        <v>465</v>
      </c>
      <c r="N19" s="40">
        <v>43388</v>
      </c>
      <c r="O19" s="63" t="s">
        <v>17</v>
      </c>
      <c r="P19" s="63" t="s">
        <v>17</v>
      </c>
      <c r="Q19" s="63" t="s">
        <v>17</v>
      </c>
      <c r="R19" s="65" t="s">
        <v>26</v>
      </c>
      <c r="S19" s="34" t="s">
        <v>10</v>
      </c>
      <c r="T19" s="34" t="s">
        <v>11</v>
      </c>
      <c r="U19" s="35">
        <v>0.1</v>
      </c>
      <c r="V19" s="35">
        <v>3</v>
      </c>
      <c r="W19" s="35">
        <v>0.1</v>
      </c>
      <c r="X19" s="35">
        <v>100</v>
      </c>
      <c r="Y19" s="35">
        <v>340</v>
      </c>
      <c r="Z19" s="35">
        <v>480</v>
      </c>
      <c r="AA19" s="103">
        <v>0.25</v>
      </c>
      <c r="AB19" s="103">
        <v>0.6</v>
      </c>
      <c r="AC19" s="103">
        <v>0.9</v>
      </c>
      <c r="AD19" s="103">
        <v>1.5</v>
      </c>
      <c r="AE19" s="103">
        <v>2.25</v>
      </c>
      <c r="AF19" s="103">
        <v>3</v>
      </c>
      <c r="AG19" s="103">
        <v>92.5</v>
      </c>
      <c r="AH19" s="103">
        <v>95.2</v>
      </c>
      <c r="AI19" s="103">
        <v>95.9</v>
      </c>
      <c r="AJ19" s="103">
        <v>96.1</v>
      </c>
      <c r="AK19" s="103">
        <v>95.9</v>
      </c>
      <c r="AL19" s="103">
        <v>95.5</v>
      </c>
      <c r="AM19" s="103">
        <v>95.7</v>
      </c>
      <c r="AN19" s="103">
        <v>93.1</v>
      </c>
      <c r="AO19" s="103">
        <v>95.9</v>
      </c>
      <c r="AP19" s="103">
        <v>96.5</v>
      </c>
      <c r="AQ19" s="103">
        <v>96.7</v>
      </c>
      <c r="AR19" s="103">
        <v>96.7</v>
      </c>
      <c r="AS19" s="103">
        <v>96.4</v>
      </c>
      <c r="AT19" s="103">
        <v>96.5</v>
      </c>
      <c r="AU19" s="103">
        <v>91.1</v>
      </c>
      <c r="AV19" s="103">
        <v>95.1</v>
      </c>
      <c r="AW19" s="103">
        <v>96</v>
      </c>
      <c r="AX19" s="103">
        <v>96.4</v>
      </c>
      <c r="AY19" s="103">
        <v>96.4</v>
      </c>
      <c r="AZ19" s="103">
        <v>96.2</v>
      </c>
      <c r="BA19" s="103">
        <v>96.1</v>
      </c>
      <c r="BB19" s="40">
        <v>42917</v>
      </c>
      <c r="BC19" s="40">
        <v>43388</v>
      </c>
    </row>
    <row r="20" spans="1:55" s="120" customFormat="1" ht="62.25" customHeight="1">
      <c r="A20" s="9" t="s">
        <v>0</v>
      </c>
      <c r="B20" s="9" t="s">
        <v>353</v>
      </c>
      <c r="C20" s="63" t="s">
        <v>10</v>
      </c>
      <c r="D20" s="63" t="s">
        <v>10</v>
      </c>
      <c r="E20" s="63" t="s">
        <v>11</v>
      </c>
      <c r="F20" s="63" t="s">
        <v>11</v>
      </c>
      <c r="G20" s="9" t="s">
        <v>77</v>
      </c>
      <c r="H20" s="54">
        <v>3</v>
      </c>
      <c r="I20" s="35">
        <v>277</v>
      </c>
      <c r="J20" s="35">
        <v>96</v>
      </c>
      <c r="K20" s="39" t="s">
        <v>1323</v>
      </c>
      <c r="L20" s="128" t="s">
        <v>854</v>
      </c>
      <c r="M20" s="39" t="s">
        <v>465</v>
      </c>
      <c r="N20" s="40">
        <v>43388</v>
      </c>
      <c r="O20" s="63" t="s">
        <v>17</v>
      </c>
      <c r="P20" s="63" t="s">
        <v>17</v>
      </c>
      <c r="Q20" s="63" t="s">
        <v>17</v>
      </c>
      <c r="R20" s="65" t="s">
        <v>26</v>
      </c>
      <c r="S20" s="34" t="s">
        <v>10</v>
      </c>
      <c r="T20" s="34" t="s">
        <v>11</v>
      </c>
      <c r="U20" s="35">
        <v>0.2</v>
      </c>
      <c r="V20" s="35">
        <v>3</v>
      </c>
      <c r="W20" s="35">
        <v>0.2</v>
      </c>
      <c r="X20" s="35">
        <v>100</v>
      </c>
      <c r="Y20" s="35">
        <v>390</v>
      </c>
      <c r="Z20" s="35">
        <v>480</v>
      </c>
      <c r="AA20" s="103">
        <v>0.3</v>
      </c>
      <c r="AB20" s="103">
        <v>0.6</v>
      </c>
      <c r="AC20" s="103">
        <v>0.9</v>
      </c>
      <c r="AD20" s="103">
        <v>1.5</v>
      </c>
      <c r="AE20" s="103">
        <v>2.25</v>
      </c>
      <c r="AF20" s="103">
        <v>3</v>
      </c>
      <c r="AG20" s="103">
        <v>91.4</v>
      </c>
      <c r="AH20" s="103">
        <v>94.7</v>
      </c>
      <c r="AI20" s="103">
        <v>95.5</v>
      </c>
      <c r="AJ20" s="103">
        <v>96.1</v>
      </c>
      <c r="AK20" s="103">
        <v>95.9</v>
      </c>
      <c r="AL20" s="103">
        <v>95.6</v>
      </c>
      <c r="AM20" s="103">
        <v>95.7</v>
      </c>
      <c r="AN20" s="103">
        <v>92.5</v>
      </c>
      <c r="AO20" s="103">
        <v>95.8</v>
      </c>
      <c r="AP20" s="103">
        <v>96.5</v>
      </c>
      <c r="AQ20" s="103">
        <v>96.9</v>
      </c>
      <c r="AR20" s="103">
        <v>96.9</v>
      </c>
      <c r="AS20" s="103">
        <v>96.8</v>
      </c>
      <c r="AT20" s="103">
        <v>96.6</v>
      </c>
      <c r="AU20" s="103">
        <v>91.1</v>
      </c>
      <c r="AV20" s="103">
        <v>95.2</v>
      </c>
      <c r="AW20" s="103">
        <v>96.2</v>
      </c>
      <c r="AX20" s="103">
        <v>96.7</v>
      </c>
      <c r="AY20" s="103">
        <v>96.8</v>
      </c>
      <c r="AZ20" s="103">
        <v>96.7</v>
      </c>
      <c r="BA20" s="103">
        <v>96.4</v>
      </c>
      <c r="BB20" s="40">
        <v>42917</v>
      </c>
      <c r="BC20" s="40">
        <v>43388</v>
      </c>
    </row>
    <row r="21" spans="1:55" s="120" customFormat="1" ht="62.25" customHeight="1">
      <c r="A21" s="9" t="s">
        <v>0</v>
      </c>
      <c r="B21" s="9" t="s">
        <v>866</v>
      </c>
      <c r="C21" s="63" t="s">
        <v>10</v>
      </c>
      <c r="D21" s="63" t="s">
        <v>10</v>
      </c>
      <c r="E21" s="63" t="s">
        <v>11</v>
      </c>
      <c r="F21" s="63" t="s">
        <v>11</v>
      </c>
      <c r="G21" s="9" t="s">
        <v>78</v>
      </c>
      <c r="H21" s="54">
        <v>3</v>
      </c>
      <c r="I21" s="35">
        <v>208</v>
      </c>
      <c r="J21" s="35">
        <v>96</v>
      </c>
      <c r="K21" s="39" t="s">
        <v>1323</v>
      </c>
      <c r="L21" s="128" t="s">
        <v>854</v>
      </c>
      <c r="M21" s="39" t="s">
        <v>465</v>
      </c>
      <c r="N21" s="40">
        <v>43388</v>
      </c>
      <c r="O21" s="63" t="s">
        <v>17</v>
      </c>
      <c r="P21" s="63" t="s">
        <v>17</v>
      </c>
      <c r="Q21" s="63" t="s">
        <v>17</v>
      </c>
      <c r="R21" s="65" t="s">
        <v>26</v>
      </c>
      <c r="S21" s="34" t="s">
        <v>10</v>
      </c>
      <c r="T21" s="34" t="s">
        <v>11</v>
      </c>
      <c r="U21" s="35">
        <v>0.1</v>
      </c>
      <c r="V21" s="35"/>
      <c r="W21" s="35"/>
      <c r="X21" s="35">
        <v>100</v>
      </c>
      <c r="Y21" s="35">
        <v>310</v>
      </c>
      <c r="Z21" s="35">
        <v>480</v>
      </c>
      <c r="AA21" s="103">
        <v>0.3</v>
      </c>
      <c r="AB21" s="103">
        <v>0.6</v>
      </c>
      <c r="AC21" s="103">
        <v>0.9</v>
      </c>
      <c r="AD21" s="103">
        <v>1.5</v>
      </c>
      <c r="AE21" s="103">
        <v>2.25</v>
      </c>
      <c r="AF21" s="103">
        <v>3</v>
      </c>
      <c r="AG21" s="103">
        <v>93.1</v>
      </c>
      <c r="AH21" s="103">
        <v>95.5</v>
      </c>
      <c r="AI21" s="103">
        <v>96</v>
      </c>
      <c r="AJ21" s="103">
        <v>95.9</v>
      </c>
      <c r="AK21" s="103">
        <v>95.7</v>
      </c>
      <c r="AL21" s="103">
        <v>95.1</v>
      </c>
      <c r="AM21" s="103">
        <v>95.6</v>
      </c>
      <c r="AN21" s="103">
        <v>93.3</v>
      </c>
      <c r="AO21" s="103">
        <v>95.9</v>
      </c>
      <c r="AP21" s="103">
        <v>96.4</v>
      </c>
      <c r="AQ21" s="103">
        <v>96.4</v>
      </c>
      <c r="AR21" s="103">
        <v>96.2</v>
      </c>
      <c r="AS21" s="103">
        <v>95.8</v>
      </c>
      <c r="AT21" s="103">
        <v>96.1</v>
      </c>
      <c r="AU21" s="103">
        <v>91</v>
      </c>
      <c r="AV21" s="103">
        <v>94.9</v>
      </c>
      <c r="AW21" s="103">
        <v>95.7</v>
      </c>
      <c r="AX21" s="103">
        <v>96</v>
      </c>
      <c r="AY21" s="103">
        <v>95.8</v>
      </c>
      <c r="AZ21" s="103">
        <v>95.5</v>
      </c>
      <c r="BA21" s="103">
        <v>95.6</v>
      </c>
      <c r="BB21" s="40">
        <v>42917</v>
      </c>
      <c r="BC21" s="40">
        <v>43388</v>
      </c>
    </row>
    <row r="22" spans="1:55" s="120" customFormat="1" ht="62.25" customHeight="1">
      <c r="A22" s="9" t="s">
        <v>0</v>
      </c>
      <c r="B22" s="9" t="s">
        <v>867</v>
      </c>
      <c r="C22" s="63" t="s">
        <v>10</v>
      </c>
      <c r="D22" s="63" t="s">
        <v>10</v>
      </c>
      <c r="E22" s="63" t="s">
        <v>11</v>
      </c>
      <c r="F22" s="63" t="s">
        <v>11</v>
      </c>
      <c r="G22" s="9" t="s">
        <v>79</v>
      </c>
      <c r="H22" s="54">
        <v>3</v>
      </c>
      <c r="I22" s="35">
        <v>240</v>
      </c>
      <c r="J22" s="35">
        <v>96</v>
      </c>
      <c r="K22" s="39" t="s">
        <v>1323</v>
      </c>
      <c r="L22" s="128" t="s">
        <v>854</v>
      </c>
      <c r="M22" s="39" t="s">
        <v>465</v>
      </c>
      <c r="N22" s="40">
        <v>43388</v>
      </c>
      <c r="O22" s="63" t="s">
        <v>17</v>
      </c>
      <c r="P22" s="63" t="s">
        <v>17</v>
      </c>
      <c r="Q22" s="63" t="s">
        <v>17</v>
      </c>
      <c r="R22" s="65" t="s">
        <v>26</v>
      </c>
      <c r="S22" s="34" t="s">
        <v>10</v>
      </c>
      <c r="T22" s="34" t="s">
        <v>11</v>
      </c>
      <c r="U22" s="35">
        <v>0.1</v>
      </c>
      <c r="V22" s="35"/>
      <c r="W22" s="35"/>
      <c r="X22" s="35">
        <v>100</v>
      </c>
      <c r="Y22" s="35">
        <v>340</v>
      </c>
      <c r="Z22" s="35">
        <v>480</v>
      </c>
      <c r="AA22" s="103">
        <v>0.25</v>
      </c>
      <c r="AB22" s="103">
        <v>0.6</v>
      </c>
      <c r="AC22" s="103">
        <v>0.9</v>
      </c>
      <c r="AD22" s="103">
        <v>1.5</v>
      </c>
      <c r="AE22" s="103">
        <v>2.25</v>
      </c>
      <c r="AF22" s="103">
        <v>3</v>
      </c>
      <c r="AG22" s="103">
        <v>92.5</v>
      </c>
      <c r="AH22" s="103">
        <v>95.2</v>
      </c>
      <c r="AI22" s="103">
        <v>95.9</v>
      </c>
      <c r="AJ22" s="103">
        <v>96.1</v>
      </c>
      <c r="AK22" s="103">
        <v>95.9</v>
      </c>
      <c r="AL22" s="103">
        <v>95.5</v>
      </c>
      <c r="AM22" s="103">
        <v>95.7</v>
      </c>
      <c r="AN22" s="103">
        <v>93.1</v>
      </c>
      <c r="AO22" s="103">
        <v>95.9</v>
      </c>
      <c r="AP22" s="103">
        <v>96.5</v>
      </c>
      <c r="AQ22" s="103">
        <v>96.7</v>
      </c>
      <c r="AR22" s="103">
        <v>96.7</v>
      </c>
      <c r="AS22" s="103">
        <v>96.4</v>
      </c>
      <c r="AT22" s="103">
        <v>96.5</v>
      </c>
      <c r="AU22" s="103">
        <v>91.1</v>
      </c>
      <c r="AV22" s="103">
        <v>95.1</v>
      </c>
      <c r="AW22" s="103">
        <v>96</v>
      </c>
      <c r="AX22" s="103">
        <v>96.4</v>
      </c>
      <c r="AY22" s="103">
        <v>96.4</v>
      </c>
      <c r="AZ22" s="103">
        <v>96.2</v>
      </c>
      <c r="BA22" s="103">
        <v>96.1</v>
      </c>
      <c r="BB22" s="40">
        <v>42917</v>
      </c>
      <c r="BC22" s="40">
        <v>43388</v>
      </c>
    </row>
    <row r="23" spans="1:55" s="120" customFormat="1" ht="62.25" customHeight="1">
      <c r="A23" s="9" t="s">
        <v>0</v>
      </c>
      <c r="B23" s="9" t="s">
        <v>868</v>
      </c>
      <c r="C23" s="63" t="s">
        <v>10</v>
      </c>
      <c r="D23" s="63" t="s">
        <v>10</v>
      </c>
      <c r="E23" s="63" t="s">
        <v>11</v>
      </c>
      <c r="F23" s="63" t="s">
        <v>11</v>
      </c>
      <c r="G23" s="9" t="s">
        <v>80</v>
      </c>
      <c r="H23" s="54">
        <v>3</v>
      </c>
      <c r="I23" s="35">
        <v>277</v>
      </c>
      <c r="J23" s="35">
        <v>96</v>
      </c>
      <c r="K23" s="39" t="s">
        <v>1323</v>
      </c>
      <c r="L23" s="128" t="s">
        <v>854</v>
      </c>
      <c r="M23" s="39" t="s">
        <v>465</v>
      </c>
      <c r="N23" s="40">
        <v>43388</v>
      </c>
      <c r="O23" s="63" t="s">
        <v>17</v>
      </c>
      <c r="P23" s="63" t="s">
        <v>17</v>
      </c>
      <c r="Q23" s="63" t="s">
        <v>17</v>
      </c>
      <c r="R23" s="65" t="s">
        <v>26</v>
      </c>
      <c r="S23" s="34" t="s">
        <v>10</v>
      </c>
      <c r="T23" s="34" t="s">
        <v>11</v>
      </c>
      <c r="U23" s="35">
        <v>0.2</v>
      </c>
      <c r="V23" s="35"/>
      <c r="W23" s="35"/>
      <c r="X23" s="35">
        <v>100</v>
      </c>
      <c r="Y23" s="35">
        <v>390</v>
      </c>
      <c r="Z23" s="35">
        <v>480</v>
      </c>
      <c r="AA23" s="103">
        <v>0.3</v>
      </c>
      <c r="AB23" s="103">
        <v>0.6</v>
      </c>
      <c r="AC23" s="103">
        <v>0.9</v>
      </c>
      <c r="AD23" s="103">
        <v>1.5</v>
      </c>
      <c r="AE23" s="103">
        <v>2.25</v>
      </c>
      <c r="AF23" s="103">
        <v>3</v>
      </c>
      <c r="AG23" s="103">
        <v>91.4</v>
      </c>
      <c r="AH23" s="103">
        <v>94.7</v>
      </c>
      <c r="AI23" s="103">
        <v>95.5</v>
      </c>
      <c r="AJ23" s="103">
        <v>96.1</v>
      </c>
      <c r="AK23" s="103">
        <v>95.9</v>
      </c>
      <c r="AL23" s="103">
        <v>95.6</v>
      </c>
      <c r="AM23" s="103">
        <v>95.7</v>
      </c>
      <c r="AN23" s="103">
        <v>92.5</v>
      </c>
      <c r="AO23" s="103">
        <v>95.8</v>
      </c>
      <c r="AP23" s="103">
        <v>96.5</v>
      </c>
      <c r="AQ23" s="103">
        <v>96.9</v>
      </c>
      <c r="AR23" s="103">
        <v>96.9</v>
      </c>
      <c r="AS23" s="103">
        <v>96.8</v>
      </c>
      <c r="AT23" s="103">
        <v>96.6</v>
      </c>
      <c r="AU23" s="103">
        <v>91.1</v>
      </c>
      <c r="AV23" s="103">
        <v>95.2</v>
      </c>
      <c r="AW23" s="103">
        <v>96.2</v>
      </c>
      <c r="AX23" s="103">
        <v>96.7</v>
      </c>
      <c r="AY23" s="103">
        <v>96.8</v>
      </c>
      <c r="AZ23" s="103">
        <v>96.7</v>
      </c>
      <c r="BA23" s="103">
        <v>96.4</v>
      </c>
      <c r="BB23" s="40">
        <v>42917</v>
      </c>
      <c r="BC23" s="40">
        <v>43388</v>
      </c>
    </row>
    <row r="24" spans="1:55" s="120" customFormat="1" ht="62.25" customHeight="1">
      <c r="A24" s="55" t="s">
        <v>0</v>
      </c>
      <c r="B24" s="8" t="s">
        <v>869</v>
      </c>
      <c r="C24" s="138" t="s">
        <v>10</v>
      </c>
      <c r="D24" s="138" t="s">
        <v>10</v>
      </c>
      <c r="E24" s="63" t="s">
        <v>11</v>
      </c>
      <c r="F24" s="63" t="s">
        <v>11</v>
      </c>
      <c r="G24" s="9" t="s">
        <v>53</v>
      </c>
      <c r="H24" s="26">
        <v>3</v>
      </c>
      <c r="I24" s="25">
        <v>208</v>
      </c>
      <c r="J24" s="26">
        <v>96</v>
      </c>
      <c r="K24" s="39" t="s">
        <v>1323</v>
      </c>
      <c r="L24" s="129" t="s">
        <v>855</v>
      </c>
      <c r="M24" s="33" t="s">
        <v>467</v>
      </c>
      <c r="N24" s="40">
        <v>43388</v>
      </c>
      <c r="O24" s="63" t="s">
        <v>17</v>
      </c>
      <c r="P24" s="63" t="s">
        <v>17</v>
      </c>
      <c r="Q24" s="63" t="s">
        <v>17</v>
      </c>
      <c r="R24" s="26"/>
      <c r="S24" s="32" t="s">
        <v>10</v>
      </c>
      <c r="T24" s="32" t="s">
        <v>11</v>
      </c>
      <c r="U24" s="25">
        <v>0.9</v>
      </c>
      <c r="V24" s="25">
        <v>3</v>
      </c>
      <c r="W24" s="25">
        <v>0.9</v>
      </c>
      <c r="X24" s="25">
        <v>200</v>
      </c>
      <c r="Y24" s="25">
        <v>340</v>
      </c>
      <c r="Z24" s="25">
        <v>480</v>
      </c>
      <c r="AA24" s="95">
        <v>0.3</v>
      </c>
      <c r="AB24" s="95">
        <v>0.6</v>
      </c>
      <c r="AC24" s="95">
        <v>0.9</v>
      </c>
      <c r="AD24" s="95">
        <v>1.5</v>
      </c>
      <c r="AE24" s="95">
        <v>2.25</v>
      </c>
      <c r="AF24" s="95">
        <v>3</v>
      </c>
      <c r="AG24" s="95">
        <v>92.3</v>
      </c>
      <c r="AH24" s="95">
        <v>95</v>
      </c>
      <c r="AI24" s="95">
        <v>95.4</v>
      </c>
      <c r="AJ24" s="95">
        <v>95.8</v>
      </c>
      <c r="AK24" s="95">
        <v>95.7</v>
      </c>
      <c r="AL24" s="95">
        <v>95.3</v>
      </c>
      <c r="AM24" s="95">
        <v>95.5</v>
      </c>
      <c r="AN24" s="95">
        <v>93.2</v>
      </c>
      <c r="AO24" s="95">
        <v>95.6</v>
      </c>
      <c r="AP24" s="95">
        <v>96.1</v>
      </c>
      <c r="AQ24" s="95">
        <v>96.4</v>
      </c>
      <c r="AR24" s="95">
        <v>96.4</v>
      </c>
      <c r="AS24" s="95">
        <v>96.2</v>
      </c>
      <c r="AT24" s="95">
        <v>96.2</v>
      </c>
      <c r="AU24" s="95">
        <v>91.4</v>
      </c>
      <c r="AV24" s="95">
        <v>94.7</v>
      </c>
      <c r="AW24" s="95">
        <v>95.6</v>
      </c>
      <c r="AX24" s="95">
        <v>96.1</v>
      </c>
      <c r="AY24" s="95">
        <v>96.1</v>
      </c>
      <c r="AZ24" s="95">
        <v>95.9</v>
      </c>
      <c r="BA24" s="95">
        <v>95.8</v>
      </c>
      <c r="BB24" s="40">
        <v>42917</v>
      </c>
      <c r="BC24" s="40">
        <v>43388</v>
      </c>
    </row>
    <row r="25" spans="1:55" s="120" customFormat="1" ht="62.25" customHeight="1">
      <c r="A25" s="55" t="s">
        <v>0</v>
      </c>
      <c r="B25" s="8" t="s">
        <v>870</v>
      </c>
      <c r="C25" s="138" t="s">
        <v>10</v>
      </c>
      <c r="D25" s="138" t="s">
        <v>10</v>
      </c>
      <c r="E25" s="63" t="s">
        <v>11</v>
      </c>
      <c r="F25" s="63" t="s">
        <v>11</v>
      </c>
      <c r="G25" s="9" t="s">
        <v>54</v>
      </c>
      <c r="H25" s="26">
        <v>3</v>
      </c>
      <c r="I25" s="25">
        <v>208</v>
      </c>
      <c r="J25" s="26">
        <v>96</v>
      </c>
      <c r="K25" s="39" t="s">
        <v>1323</v>
      </c>
      <c r="L25" s="129" t="s">
        <v>855</v>
      </c>
      <c r="M25" s="33" t="s">
        <v>467</v>
      </c>
      <c r="N25" s="40">
        <v>43388</v>
      </c>
      <c r="O25" s="63" t="s">
        <v>17</v>
      </c>
      <c r="P25" s="63" t="s">
        <v>17</v>
      </c>
      <c r="Q25" s="63" t="s">
        <v>17</v>
      </c>
      <c r="R25" s="26"/>
      <c r="S25" s="32" t="s">
        <v>10</v>
      </c>
      <c r="T25" s="32" t="s">
        <v>11</v>
      </c>
      <c r="U25" s="25">
        <v>0.9</v>
      </c>
      <c r="V25" s="25">
        <v>3</v>
      </c>
      <c r="W25" s="25">
        <v>0.9</v>
      </c>
      <c r="X25" s="25">
        <v>200</v>
      </c>
      <c r="Y25" s="25">
        <v>340</v>
      </c>
      <c r="Z25" s="25">
        <v>480</v>
      </c>
      <c r="AA25" s="95">
        <v>0.3</v>
      </c>
      <c r="AB25" s="95">
        <v>0.6</v>
      </c>
      <c r="AC25" s="95">
        <v>0.9</v>
      </c>
      <c r="AD25" s="95">
        <v>1.5</v>
      </c>
      <c r="AE25" s="95">
        <v>2.25</v>
      </c>
      <c r="AF25" s="95">
        <v>3</v>
      </c>
      <c r="AG25" s="95">
        <v>92.3</v>
      </c>
      <c r="AH25" s="95">
        <v>95</v>
      </c>
      <c r="AI25" s="95">
        <v>95.4</v>
      </c>
      <c r="AJ25" s="95">
        <v>95.8</v>
      </c>
      <c r="AK25" s="95">
        <v>95.7</v>
      </c>
      <c r="AL25" s="95">
        <v>95.3</v>
      </c>
      <c r="AM25" s="95">
        <v>95.5</v>
      </c>
      <c r="AN25" s="95">
        <v>93.2</v>
      </c>
      <c r="AO25" s="95">
        <v>95.6</v>
      </c>
      <c r="AP25" s="95">
        <v>96.1</v>
      </c>
      <c r="AQ25" s="95">
        <v>96.4</v>
      </c>
      <c r="AR25" s="95">
        <v>96.4</v>
      </c>
      <c r="AS25" s="95">
        <v>96.2</v>
      </c>
      <c r="AT25" s="95">
        <v>96.2</v>
      </c>
      <c r="AU25" s="95">
        <v>91.4</v>
      </c>
      <c r="AV25" s="95">
        <v>94.7</v>
      </c>
      <c r="AW25" s="95">
        <v>95.6</v>
      </c>
      <c r="AX25" s="95">
        <v>96.1</v>
      </c>
      <c r="AY25" s="95">
        <v>96.1</v>
      </c>
      <c r="AZ25" s="95">
        <v>95.9</v>
      </c>
      <c r="BA25" s="95">
        <v>95.8</v>
      </c>
      <c r="BB25" s="40">
        <v>42917</v>
      </c>
      <c r="BC25" s="40">
        <v>43388</v>
      </c>
    </row>
    <row r="26" spans="1:55" s="120" customFormat="1" ht="62.25" customHeight="1">
      <c r="A26" s="55" t="s">
        <v>0</v>
      </c>
      <c r="B26" s="8" t="s">
        <v>871</v>
      </c>
      <c r="C26" s="138" t="s">
        <v>10</v>
      </c>
      <c r="D26" s="138" t="s">
        <v>10</v>
      </c>
      <c r="E26" s="63" t="s">
        <v>11</v>
      </c>
      <c r="F26" s="63" t="s">
        <v>11</v>
      </c>
      <c r="G26" s="9" t="s">
        <v>51</v>
      </c>
      <c r="H26" s="26">
        <v>3</v>
      </c>
      <c r="I26" s="25">
        <v>208</v>
      </c>
      <c r="J26" s="26">
        <v>96</v>
      </c>
      <c r="K26" s="39" t="s">
        <v>1323</v>
      </c>
      <c r="L26" s="129" t="s">
        <v>855</v>
      </c>
      <c r="M26" s="33" t="s">
        <v>467</v>
      </c>
      <c r="N26" s="40">
        <v>43388</v>
      </c>
      <c r="O26" s="63" t="s">
        <v>17</v>
      </c>
      <c r="P26" s="63" t="s">
        <v>17</v>
      </c>
      <c r="Q26" s="63" t="s">
        <v>17</v>
      </c>
      <c r="R26" s="26"/>
      <c r="S26" s="32" t="s">
        <v>10</v>
      </c>
      <c r="T26" s="32" t="s">
        <v>11</v>
      </c>
      <c r="U26" s="25">
        <v>0.9</v>
      </c>
      <c r="V26" s="25">
        <v>3</v>
      </c>
      <c r="W26" s="25">
        <v>0.9</v>
      </c>
      <c r="X26" s="25">
        <v>200</v>
      </c>
      <c r="Y26" s="25">
        <v>340</v>
      </c>
      <c r="Z26" s="25">
        <v>480</v>
      </c>
      <c r="AA26" s="95">
        <v>0.3</v>
      </c>
      <c r="AB26" s="95">
        <v>0.6</v>
      </c>
      <c r="AC26" s="95">
        <v>0.9</v>
      </c>
      <c r="AD26" s="95">
        <v>1.5</v>
      </c>
      <c r="AE26" s="95">
        <v>2.25</v>
      </c>
      <c r="AF26" s="95">
        <v>3</v>
      </c>
      <c r="AG26" s="95">
        <v>92.3</v>
      </c>
      <c r="AH26" s="95">
        <v>95</v>
      </c>
      <c r="AI26" s="95">
        <v>95.4</v>
      </c>
      <c r="AJ26" s="95">
        <v>95.8</v>
      </c>
      <c r="AK26" s="95">
        <v>95.7</v>
      </c>
      <c r="AL26" s="95">
        <v>95.3</v>
      </c>
      <c r="AM26" s="95">
        <v>95.5</v>
      </c>
      <c r="AN26" s="95">
        <v>93.2</v>
      </c>
      <c r="AO26" s="95">
        <v>95.6</v>
      </c>
      <c r="AP26" s="95">
        <v>96.1</v>
      </c>
      <c r="AQ26" s="95">
        <v>96.4</v>
      </c>
      <c r="AR26" s="95">
        <v>96.4</v>
      </c>
      <c r="AS26" s="95">
        <v>96.2</v>
      </c>
      <c r="AT26" s="95">
        <v>96.2</v>
      </c>
      <c r="AU26" s="95">
        <v>91.4</v>
      </c>
      <c r="AV26" s="95">
        <v>94.7</v>
      </c>
      <c r="AW26" s="95">
        <v>95.6</v>
      </c>
      <c r="AX26" s="95">
        <v>96.1</v>
      </c>
      <c r="AY26" s="95">
        <v>96.1</v>
      </c>
      <c r="AZ26" s="95">
        <v>95.9</v>
      </c>
      <c r="BA26" s="95">
        <v>95.8</v>
      </c>
      <c r="BB26" s="40">
        <v>42917</v>
      </c>
      <c r="BC26" s="40">
        <v>43388</v>
      </c>
    </row>
    <row r="27" spans="1:55" s="120" customFormat="1" ht="62.25" customHeight="1">
      <c r="A27" s="55" t="s">
        <v>0</v>
      </c>
      <c r="B27" s="8" t="s">
        <v>872</v>
      </c>
      <c r="C27" s="138" t="s">
        <v>10</v>
      </c>
      <c r="D27" s="138" t="s">
        <v>10</v>
      </c>
      <c r="E27" s="63" t="s">
        <v>11</v>
      </c>
      <c r="F27" s="63" t="s">
        <v>11</v>
      </c>
      <c r="G27" s="9" t="s">
        <v>52</v>
      </c>
      <c r="H27" s="26">
        <v>3</v>
      </c>
      <c r="I27" s="25">
        <v>208</v>
      </c>
      <c r="J27" s="26">
        <v>96</v>
      </c>
      <c r="K27" s="39" t="s">
        <v>1323</v>
      </c>
      <c r="L27" s="129" t="s">
        <v>855</v>
      </c>
      <c r="M27" s="33" t="s">
        <v>467</v>
      </c>
      <c r="N27" s="40">
        <v>43388</v>
      </c>
      <c r="O27" s="63" t="s">
        <v>17</v>
      </c>
      <c r="P27" s="63" t="s">
        <v>17</v>
      </c>
      <c r="Q27" s="63" t="s">
        <v>17</v>
      </c>
      <c r="R27" s="26"/>
      <c r="S27" s="32" t="s">
        <v>10</v>
      </c>
      <c r="T27" s="32" t="s">
        <v>11</v>
      </c>
      <c r="U27" s="25">
        <v>0.9</v>
      </c>
      <c r="V27" s="25">
        <v>3</v>
      </c>
      <c r="W27" s="25">
        <v>0.9</v>
      </c>
      <c r="X27" s="25">
        <v>200</v>
      </c>
      <c r="Y27" s="25">
        <v>340</v>
      </c>
      <c r="Z27" s="25">
        <v>480</v>
      </c>
      <c r="AA27" s="95">
        <v>0.3</v>
      </c>
      <c r="AB27" s="95">
        <v>0.6</v>
      </c>
      <c r="AC27" s="95">
        <v>0.9</v>
      </c>
      <c r="AD27" s="95">
        <v>1.5</v>
      </c>
      <c r="AE27" s="95">
        <v>2.25</v>
      </c>
      <c r="AF27" s="95">
        <v>3</v>
      </c>
      <c r="AG27" s="95">
        <v>92.3</v>
      </c>
      <c r="AH27" s="95">
        <v>95</v>
      </c>
      <c r="AI27" s="95">
        <v>95.4</v>
      </c>
      <c r="AJ27" s="95">
        <v>95.8</v>
      </c>
      <c r="AK27" s="95">
        <v>95.7</v>
      </c>
      <c r="AL27" s="95">
        <v>95.3</v>
      </c>
      <c r="AM27" s="95">
        <v>95.5</v>
      </c>
      <c r="AN27" s="95">
        <v>93.2</v>
      </c>
      <c r="AO27" s="95">
        <v>95.6</v>
      </c>
      <c r="AP27" s="95">
        <v>96.1</v>
      </c>
      <c r="AQ27" s="95">
        <v>96.4</v>
      </c>
      <c r="AR27" s="95">
        <v>96.4</v>
      </c>
      <c r="AS27" s="95">
        <v>96.2</v>
      </c>
      <c r="AT27" s="95">
        <v>96.2</v>
      </c>
      <c r="AU27" s="95">
        <v>91.4</v>
      </c>
      <c r="AV27" s="95">
        <v>94.7</v>
      </c>
      <c r="AW27" s="95">
        <v>95.6</v>
      </c>
      <c r="AX27" s="95">
        <v>96.1</v>
      </c>
      <c r="AY27" s="95">
        <v>96.1</v>
      </c>
      <c r="AZ27" s="95">
        <v>95.9</v>
      </c>
      <c r="BA27" s="95">
        <v>95.8</v>
      </c>
      <c r="BB27" s="40">
        <v>42917</v>
      </c>
      <c r="BC27" s="40">
        <v>43388</v>
      </c>
    </row>
    <row r="28" spans="1:55" s="120" customFormat="1" ht="62.25" customHeight="1">
      <c r="A28" s="55" t="s">
        <v>0</v>
      </c>
      <c r="B28" s="8" t="s">
        <v>873</v>
      </c>
      <c r="C28" s="138" t="s">
        <v>10</v>
      </c>
      <c r="D28" s="138" t="s">
        <v>10</v>
      </c>
      <c r="E28" s="63" t="s">
        <v>11</v>
      </c>
      <c r="F28" s="63" t="s">
        <v>11</v>
      </c>
      <c r="G28" s="9" t="s">
        <v>57</v>
      </c>
      <c r="H28" s="26">
        <v>3.3</v>
      </c>
      <c r="I28" s="25">
        <v>240</v>
      </c>
      <c r="J28" s="26">
        <v>96.5</v>
      </c>
      <c r="K28" s="39" t="s">
        <v>1323</v>
      </c>
      <c r="L28" s="129" t="s">
        <v>855</v>
      </c>
      <c r="M28" s="33" t="s">
        <v>467</v>
      </c>
      <c r="N28" s="40">
        <v>43388</v>
      </c>
      <c r="O28" s="63" t="s">
        <v>17</v>
      </c>
      <c r="P28" s="63" t="s">
        <v>17</v>
      </c>
      <c r="Q28" s="63" t="s">
        <v>17</v>
      </c>
      <c r="R28" s="26"/>
      <c r="S28" s="32" t="s">
        <v>10</v>
      </c>
      <c r="T28" s="32" t="s">
        <v>11</v>
      </c>
      <c r="U28" s="25">
        <v>0.9</v>
      </c>
      <c r="V28" s="25">
        <v>3.3</v>
      </c>
      <c r="W28" s="25">
        <v>0.9</v>
      </c>
      <c r="X28" s="25">
        <v>200</v>
      </c>
      <c r="Y28" s="25">
        <v>355</v>
      </c>
      <c r="Z28" s="25">
        <v>480</v>
      </c>
      <c r="AA28" s="95">
        <v>0.33</v>
      </c>
      <c r="AB28" s="95">
        <v>0.66</v>
      </c>
      <c r="AC28" s="95">
        <v>0.99</v>
      </c>
      <c r="AD28" s="95">
        <v>1.65</v>
      </c>
      <c r="AE28" s="95">
        <v>2.48</v>
      </c>
      <c r="AF28" s="95">
        <v>3.3</v>
      </c>
      <c r="AG28" s="95">
        <v>92.8</v>
      </c>
      <c r="AH28" s="95">
        <v>95.3</v>
      </c>
      <c r="AI28" s="95">
        <v>95.8</v>
      </c>
      <c r="AJ28" s="95">
        <v>96.1</v>
      </c>
      <c r="AK28" s="95">
        <v>96.1</v>
      </c>
      <c r="AL28" s="95">
        <v>95.7</v>
      </c>
      <c r="AM28" s="95">
        <v>95.9</v>
      </c>
      <c r="AN28" s="95">
        <v>93.6</v>
      </c>
      <c r="AO28" s="95">
        <v>96</v>
      </c>
      <c r="AP28" s="95">
        <v>96.6</v>
      </c>
      <c r="AQ28" s="95">
        <v>96.9</v>
      </c>
      <c r="AR28" s="95">
        <v>96.8</v>
      </c>
      <c r="AS28" s="95">
        <v>96.7</v>
      </c>
      <c r="AT28" s="95">
        <v>96.6</v>
      </c>
      <c r="AU28" s="95">
        <v>92.2</v>
      </c>
      <c r="AV28" s="95">
        <v>95.3</v>
      </c>
      <c r="AW28" s="95">
        <v>96</v>
      </c>
      <c r="AX28" s="95">
        <v>96.6</v>
      </c>
      <c r="AY28" s="95">
        <v>96.6</v>
      </c>
      <c r="AZ28" s="95">
        <v>96.5</v>
      </c>
      <c r="BA28" s="95">
        <v>96.3</v>
      </c>
      <c r="BB28" s="40">
        <v>42917</v>
      </c>
      <c r="BC28" s="40">
        <v>43388</v>
      </c>
    </row>
    <row r="29" spans="1:55" s="120" customFormat="1" ht="62.25" customHeight="1">
      <c r="A29" s="55" t="s">
        <v>0</v>
      </c>
      <c r="B29" s="8" t="s">
        <v>874</v>
      </c>
      <c r="C29" s="138" t="s">
        <v>10</v>
      </c>
      <c r="D29" s="138" t="s">
        <v>10</v>
      </c>
      <c r="E29" s="63" t="s">
        <v>11</v>
      </c>
      <c r="F29" s="63" t="s">
        <v>11</v>
      </c>
      <c r="G29" s="9" t="s">
        <v>58</v>
      </c>
      <c r="H29" s="26">
        <v>3.3</v>
      </c>
      <c r="I29" s="25">
        <v>240</v>
      </c>
      <c r="J29" s="26">
        <v>96.5</v>
      </c>
      <c r="K29" s="39" t="s">
        <v>1323</v>
      </c>
      <c r="L29" s="129" t="s">
        <v>855</v>
      </c>
      <c r="M29" s="33" t="s">
        <v>467</v>
      </c>
      <c r="N29" s="40">
        <v>43388</v>
      </c>
      <c r="O29" s="63" t="s">
        <v>17</v>
      </c>
      <c r="P29" s="63" t="s">
        <v>17</v>
      </c>
      <c r="Q29" s="63" t="s">
        <v>17</v>
      </c>
      <c r="R29" s="26"/>
      <c r="S29" s="32" t="s">
        <v>10</v>
      </c>
      <c r="T29" s="32" t="s">
        <v>11</v>
      </c>
      <c r="U29" s="25">
        <v>0.9</v>
      </c>
      <c r="V29" s="25">
        <v>3.3</v>
      </c>
      <c r="W29" s="25">
        <v>0.9</v>
      </c>
      <c r="X29" s="25">
        <v>200</v>
      </c>
      <c r="Y29" s="25">
        <v>355</v>
      </c>
      <c r="Z29" s="25">
        <v>480</v>
      </c>
      <c r="AA29" s="95">
        <v>0.33</v>
      </c>
      <c r="AB29" s="95">
        <v>0.66</v>
      </c>
      <c r="AC29" s="95">
        <v>0.99</v>
      </c>
      <c r="AD29" s="95">
        <v>1.65</v>
      </c>
      <c r="AE29" s="95">
        <v>2.48</v>
      </c>
      <c r="AF29" s="95">
        <v>3.3</v>
      </c>
      <c r="AG29" s="95">
        <v>92.8</v>
      </c>
      <c r="AH29" s="95">
        <v>95.3</v>
      </c>
      <c r="AI29" s="95">
        <v>95.8</v>
      </c>
      <c r="AJ29" s="95">
        <v>96.1</v>
      </c>
      <c r="AK29" s="95">
        <v>96.1</v>
      </c>
      <c r="AL29" s="95">
        <v>95.7</v>
      </c>
      <c r="AM29" s="95">
        <v>95.9</v>
      </c>
      <c r="AN29" s="95">
        <v>93.6</v>
      </c>
      <c r="AO29" s="95">
        <v>96</v>
      </c>
      <c r="AP29" s="95">
        <v>96.6</v>
      </c>
      <c r="AQ29" s="95">
        <v>96.9</v>
      </c>
      <c r="AR29" s="95">
        <v>96.8</v>
      </c>
      <c r="AS29" s="95">
        <v>96.7</v>
      </c>
      <c r="AT29" s="95">
        <v>96.6</v>
      </c>
      <c r="AU29" s="95">
        <v>92.2</v>
      </c>
      <c r="AV29" s="95">
        <v>95.3</v>
      </c>
      <c r="AW29" s="95">
        <v>96</v>
      </c>
      <c r="AX29" s="95">
        <v>96.6</v>
      </c>
      <c r="AY29" s="95">
        <v>96.6</v>
      </c>
      <c r="AZ29" s="95">
        <v>96.5</v>
      </c>
      <c r="BA29" s="95">
        <v>96.3</v>
      </c>
      <c r="BB29" s="40">
        <v>42917</v>
      </c>
      <c r="BC29" s="40">
        <v>43388</v>
      </c>
    </row>
    <row r="30" spans="1:55" s="120" customFormat="1" ht="62.25" customHeight="1">
      <c r="A30" s="55" t="s">
        <v>0</v>
      </c>
      <c r="B30" s="8" t="s">
        <v>875</v>
      </c>
      <c r="C30" s="138" t="s">
        <v>10</v>
      </c>
      <c r="D30" s="138" t="s">
        <v>10</v>
      </c>
      <c r="E30" s="63" t="s">
        <v>11</v>
      </c>
      <c r="F30" s="63" t="s">
        <v>11</v>
      </c>
      <c r="G30" s="9" t="s">
        <v>55</v>
      </c>
      <c r="H30" s="26">
        <v>3.3</v>
      </c>
      <c r="I30" s="25">
        <v>240</v>
      </c>
      <c r="J30" s="26">
        <v>96.5</v>
      </c>
      <c r="K30" s="39" t="s">
        <v>1323</v>
      </c>
      <c r="L30" s="129" t="s">
        <v>855</v>
      </c>
      <c r="M30" s="33" t="s">
        <v>467</v>
      </c>
      <c r="N30" s="40">
        <v>43388</v>
      </c>
      <c r="O30" s="63" t="s">
        <v>17</v>
      </c>
      <c r="P30" s="63" t="s">
        <v>17</v>
      </c>
      <c r="Q30" s="63" t="s">
        <v>17</v>
      </c>
      <c r="R30" s="26"/>
      <c r="S30" s="32" t="s">
        <v>10</v>
      </c>
      <c r="T30" s="32" t="s">
        <v>11</v>
      </c>
      <c r="U30" s="25">
        <v>0.9</v>
      </c>
      <c r="V30" s="25">
        <v>3.3</v>
      </c>
      <c r="W30" s="25">
        <v>0.9</v>
      </c>
      <c r="X30" s="25">
        <v>200</v>
      </c>
      <c r="Y30" s="25">
        <v>355</v>
      </c>
      <c r="Z30" s="25">
        <v>480</v>
      </c>
      <c r="AA30" s="95">
        <v>0.33</v>
      </c>
      <c r="AB30" s="95">
        <v>0.66</v>
      </c>
      <c r="AC30" s="95">
        <v>0.99</v>
      </c>
      <c r="AD30" s="95">
        <v>1.65</v>
      </c>
      <c r="AE30" s="95">
        <v>2.48</v>
      </c>
      <c r="AF30" s="95">
        <v>3.3</v>
      </c>
      <c r="AG30" s="95">
        <v>92.8</v>
      </c>
      <c r="AH30" s="95">
        <v>95.3</v>
      </c>
      <c r="AI30" s="95">
        <v>95.8</v>
      </c>
      <c r="AJ30" s="95">
        <v>96.1</v>
      </c>
      <c r="AK30" s="95">
        <v>96.1</v>
      </c>
      <c r="AL30" s="95">
        <v>95.7</v>
      </c>
      <c r="AM30" s="95">
        <v>95.9</v>
      </c>
      <c r="AN30" s="95">
        <v>93.6</v>
      </c>
      <c r="AO30" s="95">
        <v>96</v>
      </c>
      <c r="AP30" s="95">
        <v>96.6</v>
      </c>
      <c r="AQ30" s="95">
        <v>96.9</v>
      </c>
      <c r="AR30" s="95">
        <v>96.8</v>
      </c>
      <c r="AS30" s="95">
        <v>96.7</v>
      </c>
      <c r="AT30" s="95">
        <v>96.6</v>
      </c>
      <c r="AU30" s="95">
        <v>92.2</v>
      </c>
      <c r="AV30" s="95">
        <v>95.3</v>
      </c>
      <c r="AW30" s="95">
        <v>96</v>
      </c>
      <c r="AX30" s="95">
        <v>96.6</v>
      </c>
      <c r="AY30" s="95">
        <v>96.6</v>
      </c>
      <c r="AZ30" s="95">
        <v>96.5</v>
      </c>
      <c r="BA30" s="95">
        <v>96.3</v>
      </c>
      <c r="BB30" s="40">
        <v>42917</v>
      </c>
      <c r="BC30" s="40">
        <v>43388</v>
      </c>
    </row>
    <row r="31" spans="1:55" s="120" customFormat="1" ht="62.25" customHeight="1">
      <c r="A31" s="55" t="s">
        <v>0</v>
      </c>
      <c r="B31" s="8" t="s">
        <v>876</v>
      </c>
      <c r="C31" s="138" t="s">
        <v>10</v>
      </c>
      <c r="D31" s="138" t="s">
        <v>10</v>
      </c>
      <c r="E31" s="63" t="s">
        <v>11</v>
      </c>
      <c r="F31" s="63" t="s">
        <v>11</v>
      </c>
      <c r="G31" s="9" t="s">
        <v>56</v>
      </c>
      <c r="H31" s="26">
        <v>3.3</v>
      </c>
      <c r="I31" s="25">
        <v>240</v>
      </c>
      <c r="J31" s="26">
        <v>96.5</v>
      </c>
      <c r="K31" s="39" t="s">
        <v>1323</v>
      </c>
      <c r="L31" s="129" t="s">
        <v>855</v>
      </c>
      <c r="M31" s="33" t="s">
        <v>467</v>
      </c>
      <c r="N31" s="40">
        <v>43388</v>
      </c>
      <c r="O31" s="63" t="s">
        <v>17</v>
      </c>
      <c r="P31" s="63" t="s">
        <v>17</v>
      </c>
      <c r="Q31" s="63" t="s">
        <v>17</v>
      </c>
      <c r="R31" s="26"/>
      <c r="S31" s="32" t="s">
        <v>10</v>
      </c>
      <c r="T31" s="32" t="s">
        <v>11</v>
      </c>
      <c r="U31" s="25">
        <v>0.9</v>
      </c>
      <c r="V31" s="25">
        <v>3.3</v>
      </c>
      <c r="W31" s="25">
        <v>0.9</v>
      </c>
      <c r="X31" s="25">
        <v>200</v>
      </c>
      <c r="Y31" s="25">
        <v>355</v>
      </c>
      <c r="Z31" s="25">
        <v>480</v>
      </c>
      <c r="AA31" s="95">
        <v>0.33</v>
      </c>
      <c r="AB31" s="95">
        <v>0.66</v>
      </c>
      <c r="AC31" s="95">
        <v>0.99</v>
      </c>
      <c r="AD31" s="95">
        <v>1.65</v>
      </c>
      <c r="AE31" s="95">
        <v>2.48</v>
      </c>
      <c r="AF31" s="95">
        <v>3.3</v>
      </c>
      <c r="AG31" s="95">
        <v>92.8</v>
      </c>
      <c r="AH31" s="95">
        <v>95.3</v>
      </c>
      <c r="AI31" s="95">
        <v>95.8</v>
      </c>
      <c r="AJ31" s="95">
        <v>96.1</v>
      </c>
      <c r="AK31" s="95">
        <v>96.1</v>
      </c>
      <c r="AL31" s="95">
        <v>95.7</v>
      </c>
      <c r="AM31" s="95">
        <v>95.9</v>
      </c>
      <c r="AN31" s="95">
        <v>93.6</v>
      </c>
      <c r="AO31" s="95">
        <v>96</v>
      </c>
      <c r="AP31" s="95">
        <v>96.6</v>
      </c>
      <c r="AQ31" s="95">
        <v>96.9</v>
      </c>
      <c r="AR31" s="95">
        <v>96.8</v>
      </c>
      <c r="AS31" s="95">
        <v>96.7</v>
      </c>
      <c r="AT31" s="95">
        <v>96.6</v>
      </c>
      <c r="AU31" s="95">
        <v>92.2</v>
      </c>
      <c r="AV31" s="95">
        <v>95.3</v>
      </c>
      <c r="AW31" s="95">
        <v>96</v>
      </c>
      <c r="AX31" s="95">
        <v>96.6</v>
      </c>
      <c r="AY31" s="95">
        <v>96.6</v>
      </c>
      <c r="AZ31" s="95">
        <v>96.5</v>
      </c>
      <c r="BA31" s="95">
        <v>96.3</v>
      </c>
      <c r="BB31" s="40">
        <v>42917</v>
      </c>
      <c r="BC31" s="40">
        <v>43388</v>
      </c>
    </row>
    <row r="32" spans="1:55" s="120" customFormat="1" ht="62.25" customHeight="1">
      <c r="A32" s="55" t="s">
        <v>0</v>
      </c>
      <c r="B32" s="8" t="s">
        <v>877</v>
      </c>
      <c r="C32" s="138" t="s">
        <v>10</v>
      </c>
      <c r="D32" s="138" t="s">
        <v>10</v>
      </c>
      <c r="E32" s="63" t="s">
        <v>11</v>
      </c>
      <c r="F32" s="63" t="s">
        <v>11</v>
      </c>
      <c r="G32" s="9" t="s">
        <v>61</v>
      </c>
      <c r="H32" s="26">
        <v>3.3</v>
      </c>
      <c r="I32" s="25">
        <v>208</v>
      </c>
      <c r="J32" s="26">
        <v>96</v>
      </c>
      <c r="K32" s="39" t="s">
        <v>1323</v>
      </c>
      <c r="L32" s="129" t="s">
        <v>855</v>
      </c>
      <c r="M32" s="33" t="s">
        <v>467</v>
      </c>
      <c r="N32" s="40">
        <v>43388</v>
      </c>
      <c r="O32" s="63" t="s">
        <v>17</v>
      </c>
      <c r="P32" s="63" t="s">
        <v>17</v>
      </c>
      <c r="Q32" s="63" t="s">
        <v>17</v>
      </c>
      <c r="R32" s="26"/>
      <c r="S32" s="32" t="s">
        <v>10</v>
      </c>
      <c r="T32" s="32" t="s">
        <v>11</v>
      </c>
      <c r="U32" s="25">
        <v>0.9</v>
      </c>
      <c r="V32" s="25">
        <v>3.3</v>
      </c>
      <c r="W32" s="25">
        <v>0.9</v>
      </c>
      <c r="X32" s="25">
        <v>200</v>
      </c>
      <c r="Y32" s="25">
        <v>340</v>
      </c>
      <c r="Z32" s="25">
        <v>480</v>
      </c>
      <c r="AA32" s="95">
        <v>0.33</v>
      </c>
      <c r="AB32" s="95">
        <v>0.66</v>
      </c>
      <c r="AC32" s="95">
        <v>0.99</v>
      </c>
      <c r="AD32" s="95">
        <v>1.65</v>
      </c>
      <c r="AE32" s="95">
        <v>2.48</v>
      </c>
      <c r="AF32" s="95">
        <v>3.3</v>
      </c>
      <c r="AG32" s="95">
        <v>91.5</v>
      </c>
      <c r="AH32" s="95">
        <v>94.7</v>
      </c>
      <c r="AI32" s="95">
        <v>95.4</v>
      </c>
      <c r="AJ32" s="95">
        <v>95.7</v>
      </c>
      <c r="AK32" s="95">
        <v>95.5</v>
      </c>
      <c r="AL32" s="95">
        <v>95.2</v>
      </c>
      <c r="AM32" s="95">
        <v>95.3</v>
      </c>
      <c r="AN32" s="95">
        <v>92.9</v>
      </c>
      <c r="AO32" s="95">
        <v>95.7</v>
      </c>
      <c r="AP32" s="95">
        <v>96.2</v>
      </c>
      <c r="AQ32" s="95">
        <v>96.6</v>
      </c>
      <c r="AR32" s="95">
        <v>96.6</v>
      </c>
      <c r="AS32" s="95">
        <v>96.5</v>
      </c>
      <c r="AT32" s="95">
        <v>96.4</v>
      </c>
      <c r="AU32" s="95">
        <v>90.5</v>
      </c>
      <c r="AV32" s="95">
        <v>94.5</v>
      </c>
      <c r="AW32" s="95">
        <v>95.7</v>
      </c>
      <c r="AX32" s="95">
        <v>96.2</v>
      </c>
      <c r="AY32" s="95">
        <v>96.1</v>
      </c>
      <c r="AZ32" s="95">
        <v>96</v>
      </c>
      <c r="BA32" s="95">
        <v>95.8</v>
      </c>
      <c r="BB32" s="40">
        <v>42917</v>
      </c>
      <c r="BC32" s="40">
        <v>43388</v>
      </c>
    </row>
    <row r="33" spans="1:55" s="120" customFormat="1" ht="62.25" customHeight="1">
      <c r="A33" s="55" t="s">
        <v>0</v>
      </c>
      <c r="B33" s="8" t="s">
        <v>878</v>
      </c>
      <c r="C33" s="138" t="s">
        <v>10</v>
      </c>
      <c r="D33" s="138" t="s">
        <v>10</v>
      </c>
      <c r="E33" s="63" t="s">
        <v>11</v>
      </c>
      <c r="F33" s="63" t="s">
        <v>11</v>
      </c>
      <c r="G33" s="9" t="s">
        <v>62</v>
      </c>
      <c r="H33" s="26">
        <v>3.3</v>
      </c>
      <c r="I33" s="25">
        <v>208</v>
      </c>
      <c r="J33" s="26">
        <v>96</v>
      </c>
      <c r="K33" s="39" t="s">
        <v>1323</v>
      </c>
      <c r="L33" s="129" t="s">
        <v>855</v>
      </c>
      <c r="M33" s="33" t="s">
        <v>467</v>
      </c>
      <c r="N33" s="40">
        <v>43388</v>
      </c>
      <c r="O33" s="63" t="s">
        <v>17</v>
      </c>
      <c r="P33" s="63" t="s">
        <v>17</v>
      </c>
      <c r="Q33" s="63" t="s">
        <v>17</v>
      </c>
      <c r="R33" s="26"/>
      <c r="S33" s="32" t="s">
        <v>10</v>
      </c>
      <c r="T33" s="32" t="s">
        <v>11</v>
      </c>
      <c r="U33" s="25">
        <v>0.9</v>
      </c>
      <c r="V33" s="25">
        <v>3.3</v>
      </c>
      <c r="W33" s="25">
        <v>0.9</v>
      </c>
      <c r="X33" s="25">
        <v>200</v>
      </c>
      <c r="Y33" s="25">
        <v>340</v>
      </c>
      <c r="Z33" s="25">
        <v>480</v>
      </c>
      <c r="AA33" s="95">
        <v>0.33</v>
      </c>
      <c r="AB33" s="95">
        <v>0.66</v>
      </c>
      <c r="AC33" s="95">
        <v>0.99</v>
      </c>
      <c r="AD33" s="95">
        <v>1.65</v>
      </c>
      <c r="AE33" s="95">
        <v>2.48</v>
      </c>
      <c r="AF33" s="95">
        <v>3.3</v>
      </c>
      <c r="AG33" s="95">
        <v>91.5</v>
      </c>
      <c r="AH33" s="95">
        <v>94.7</v>
      </c>
      <c r="AI33" s="95">
        <v>95.4</v>
      </c>
      <c r="AJ33" s="95">
        <v>95.7</v>
      </c>
      <c r="AK33" s="95">
        <v>95.5</v>
      </c>
      <c r="AL33" s="95">
        <v>95.2</v>
      </c>
      <c r="AM33" s="95">
        <v>95.3</v>
      </c>
      <c r="AN33" s="95">
        <v>92.9</v>
      </c>
      <c r="AO33" s="95">
        <v>95.7</v>
      </c>
      <c r="AP33" s="95">
        <v>96.2</v>
      </c>
      <c r="AQ33" s="95">
        <v>96.6</v>
      </c>
      <c r="AR33" s="95">
        <v>96.6</v>
      </c>
      <c r="AS33" s="95">
        <v>96.5</v>
      </c>
      <c r="AT33" s="95">
        <v>96.4</v>
      </c>
      <c r="AU33" s="95">
        <v>90.5</v>
      </c>
      <c r="AV33" s="95">
        <v>94.5</v>
      </c>
      <c r="AW33" s="95">
        <v>95.7</v>
      </c>
      <c r="AX33" s="95">
        <v>96.2</v>
      </c>
      <c r="AY33" s="95">
        <v>96.1</v>
      </c>
      <c r="AZ33" s="95">
        <v>96</v>
      </c>
      <c r="BA33" s="95">
        <v>95.8</v>
      </c>
      <c r="BB33" s="40">
        <v>42917</v>
      </c>
      <c r="BC33" s="40">
        <v>43388</v>
      </c>
    </row>
    <row r="34" spans="1:55" s="120" customFormat="1" ht="62.25" customHeight="1">
      <c r="A34" s="55" t="s">
        <v>0</v>
      </c>
      <c r="B34" s="8" t="s">
        <v>879</v>
      </c>
      <c r="C34" s="138" t="s">
        <v>10</v>
      </c>
      <c r="D34" s="138" t="s">
        <v>10</v>
      </c>
      <c r="E34" s="63" t="s">
        <v>11</v>
      </c>
      <c r="F34" s="63" t="s">
        <v>11</v>
      </c>
      <c r="G34" s="9" t="s">
        <v>59</v>
      </c>
      <c r="H34" s="26">
        <v>3.3</v>
      </c>
      <c r="I34" s="25">
        <v>208</v>
      </c>
      <c r="J34" s="26">
        <v>96</v>
      </c>
      <c r="K34" s="39" t="s">
        <v>1323</v>
      </c>
      <c r="L34" s="129" t="s">
        <v>855</v>
      </c>
      <c r="M34" s="33" t="s">
        <v>467</v>
      </c>
      <c r="N34" s="40">
        <v>43388</v>
      </c>
      <c r="O34" s="63" t="s">
        <v>17</v>
      </c>
      <c r="P34" s="63" t="s">
        <v>17</v>
      </c>
      <c r="Q34" s="63" t="s">
        <v>17</v>
      </c>
      <c r="R34" s="26"/>
      <c r="S34" s="32" t="s">
        <v>10</v>
      </c>
      <c r="T34" s="32" t="s">
        <v>11</v>
      </c>
      <c r="U34" s="25">
        <v>0.9</v>
      </c>
      <c r="V34" s="25">
        <v>3.3</v>
      </c>
      <c r="W34" s="25">
        <v>0.9</v>
      </c>
      <c r="X34" s="25">
        <v>200</v>
      </c>
      <c r="Y34" s="25">
        <v>340</v>
      </c>
      <c r="Z34" s="25">
        <v>480</v>
      </c>
      <c r="AA34" s="95">
        <v>0.33</v>
      </c>
      <c r="AB34" s="95">
        <v>0.66</v>
      </c>
      <c r="AC34" s="95">
        <v>0.99</v>
      </c>
      <c r="AD34" s="95">
        <v>1.65</v>
      </c>
      <c r="AE34" s="95">
        <v>2.48</v>
      </c>
      <c r="AF34" s="95">
        <v>3.3</v>
      </c>
      <c r="AG34" s="95">
        <v>91.5</v>
      </c>
      <c r="AH34" s="95">
        <v>94.7</v>
      </c>
      <c r="AI34" s="95">
        <v>95.4</v>
      </c>
      <c r="AJ34" s="95">
        <v>95.7</v>
      </c>
      <c r="AK34" s="95">
        <v>95.5</v>
      </c>
      <c r="AL34" s="95">
        <v>95.2</v>
      </c>
      <c r="AM34" s="95">
        <v>95.3</v>
      </c>
      <c r="AN34" s="95">
        <v>92.9</v>
      </c>
      <c r="AO34" s="95">
        <v>95.7</v>
      </c>
      <c r="AP34" s="95">
        <v>96.2</v>
      </c>
      <c r="AQ34" s="95">
        <v>96.6</v>
      </c>
      <c r="AR34" s="95">
        <v>96.6</v>
      </c>
      <c r="AS34" s="95">
        <v>96.5</v>
      </c>
      <c r="AT34" s="95">
        <v>96.4</v>
      </c>
      <c r="AU34" s="95">
        <v>90.5</v>
      </c>
      <c r="AV34" s="95">
        <v>94.5</v>
      </c>
      <c r="AW34" s="95">
        <v>95.7</v>
      </c>
      <c r="AX34" s="95">
        <v>96.2</v>
      </c>
      <c r="AY34" s="95">
        <v>96.1</v>
      </c>
      <c r="AZ34" s="95">
        <v>96</v>
      </c>
      <c r="BA34" s="95">
        <v>95.8</v>
      </c>
      <c r="BB34" s="40">
        <v>42917</v>
      </c>
      <c r="BC34" s="40">
        <v>43388</v>
      </c>
    </row>
    <row r="35" spans="1:55" s="120" customFormat="1" ht="62.25" customHeight="1">
      <c r="A35" s="55" t="s">
        <v>0</v>
      </c>
      <c r="B35" s="8" t="s">
        <v>880</v>
      </c>
      <c r="C35" s="138" t="s">
        <v>10</v>
      </c>
      <c r="D35" s="138" t="s">
        <v>10</v>
      </c>
      <c r="E35" s="63" t="s">
        <v>11</v>
      </c>
      <c r="F35" s="63" t="s">
        <v>11</v>
      </c>
      <c r="G35" s="9" t="s">
        <v>60</v>
      </c>
      <c r="H35" s="26">
        <v>3.3</v>
      </c>
      <c r="I35" s="25">
        <v>208</v>
      </c>
      <c r="J35" s="26">
        <v>96</v>
      </c>
      <c r="K35" s="39" t="s">
        <v>1323</v>
      </c>
      <c r="L35" s="129" t="s">
        <v>855</v>
      </c>
      <c r="M35" s="33" t="s">
        <v>467</v>
      </c>
      <c r="N35" s="40">
        <v>43388</v>
      </c>
      <c r="O35" s="63" t="s">
        <v>17</v>
      </c>
      <c r="P35" s="63" t="s">
        <v>17</v>
      </c>
      <c r="Q35" s="63" t="s">
        <v>17</v>
      </c>
      <c r="R35" s="26"/>
      <c r="S35" s="32" t="s">
        <v>10</v>
      </c>
      <c r="T35" s="32" t="s">
        <v>11</v>
      </c>
      <c r="U35" s="25">
        <v>0.9</v>
      </c>
      <c r="V35" s="25">
        <v>3.3</v>
      </c>
      <c r="W35" s="25">
        <v>0.9</v>
      </c>
      <c r="X35" s="25">
        <v>200</v>
      </c>
      <c r="Y35" s="25">
        <v>340</v>
      </c>
      <c r="Z35" s="25">
        <v>480</v>
      </c>
      <c r="AA35" s="95">
        <v>0.33</v>
      </c>
      <c r="AB35" s="95">
        <v>0.66</v>
      </c>
      <c r="AC35" s="95">
        <v>0.99</v>
      </c>
      <c r="AD35" s="95">
        <v>1.65</v>
      </c>
      <c r="AE35" s="95">
        <v>2.48</v>
      </c>
      <c r="AF35" s="95">
        <v>3.3</v>
      </c>
      <c r="AG35" s="95">
        <v>91.5</v>
      </c>
      <c r="AH35" s="95">
        <v>94.7</v>
      </c>
      <c r="AI35" s="95">
        <v>95.4</v>
      </c>
      <c r="AJ35" s="95">
        <v>95.7</v>
      </c>
      <c r="AK35" s="95">
        <v>95.5</v>
      </c>
      <c r="AL35" s="95">
        <v>95.2</v>
      </c>
      <c r="AM35" s="95">
        <v>95.3</v>
      </c>
      <c r="AN35" s="95">
        <v>92.9</v>
      </c>
      <c r="AO35" s="95">
        <v>95.7</v>
      </c>
      <c r="AP35" s="95">
        <v>96.2</v>
      </c>
      <c r="AQ35" s="95">
        <v>96.6</v>
      </c>
      <c r="AR35" s="95">
        <v>96.6</v>
      </c>
      <c r="AS35" s="95">
        <v>96.5</v>
      </c>
      <c r="AT35" s="95">
        <v>96.4</v>
      </c>
      <c r="AU35" s="95">
        <v>90.5</v>
      </c>
      <c r="AV35" s="95">
        <v>94.5</v>
      </c>
      <c r="AW35" s="95">
        <v>95.7</v>
      </c>
      <c r="AX35" s="95">
        <v>96.2</v>
      </c>
      <c r="AY35" s="95">
        <v>96.1</v>
      </c>
      <c r="AZ35" s="95">
        <v>96</v>
      </c>
      <c r="BA35" s="95">
        <v>95.8</v>
      </c>
      <c r="BB35" s="40">
        <v>42917</v>
      </c>
      <c r="BC35" s="40">
        <v>43388</v>
      </c>
    </row>
    <row r="36" spans="1:55" s="120" customFormat="1" ht="62.25" customHeight="1">
      <c r="A36" s="9" t="s">
        <v>0</v>
      </c>
      <c r="B36" s="9" t="s">
        <v>354</v>
      </c>
      <c r="C36" s="63" t="s">
        <v>10</v>
      </c>
      <c r="D36" s="63" t="s">
        <v>10</v>
      </c>
      <c r="E36" s="63" t="s">
        <v>11</v>
      </c>
      <c r="F36" s="63" t="s">
        <v>11</v>
      </c>
      <c r="G36" s="9" t="s">
        <v>81</v>
      </c>
      <c r="H36" s="54">
        <v>3.6</v>
      </c>
      <c r="I36" s="35">
        <v>208</v>
      </c>
      <c r="J36" s="35">
        <v>96</v>
      </c>
      <c r="K36" s="39" t="s">
        <v>1323</v>
      </c>
      <c r="L36" s="128" t="s">
        <v>854</v>
      </c>
      <c r="M36" s="39" t="s">
        <v>465</v>
      </c>
      <c r="N36" s="40">
        <v>43388</v>
      </c>
      <c r="O36" s="63" t="s">
        <v>17</v>
      </c>
      <c r="P36" s="63" t="s">
        <v>17</v>
      </c>
      <c r="Q36" s="63" t="s">
        <v>17</v>
      </c>
      <c r="R36" s="65" t="s">
        <v>26</v>
      </c>
      <c r="S36" s="34" t="s">
        <v>10</v>
      </c>
      <c r="T36" s="34" t="s">
        <v>11</v>
      </c>
      <c r="U36" s="35">
        <v>0.1</v>
      </c>
      <c r="V36" s="35">
        <v>3.6</v>
      </c>
      <c r="W36" s="35">
        <v>0.1</v>
      </c>
      <c r="X36" s="35">
        <v>100</v>
      </c>
      <c r="Y36" s="35">
        <v>310</v>
      </c>
      <c r="Z36" s="35">
        <v>480</v>
      </c>
      <c r="AA36" s="103">
        <v>0.36</v>
      </c>
      <c r="AB36" s="103">
        <v>0.72</v>
      </c>
      <c r="AC36" s="103">
        <v>1.08</v>
      </c>
      <c r="AD36" s="103">
        <v>1.8</v>
      </c>
      <c r="AE36" s="103">
        <v>2.7</v>
      </c>
      <c r="AF36" s="103">
        <v>3.6</v>
      </c>
      <c r="AG36" s="103">
        <v>92.2</v>
      </c>
      <c r="AH36" s="103">
        <v>94.7</v>
      </c>
      <c r="AI36" s="103">
        <v>95.4</v>
      </c>
      <c r="AJ36" s="103">
        <v>95.9</v>
      </c>
      <c r="AK36" s="103">
        <v>95.9</v>
      </c>
      <c r="AL36" s="103">
        <v>95.6</v>
      </c>
      <c r="AM36" s="103">
        <v>95.6</v>
      </c>
      <c r="AN36" s="103">
        <v>92.7</v>
      </c>
      <c r="AO36" s="103">
        <v>95.5</v>
      </c>
      <c r="AP36" s="103">
        <v>96.1</v>
      </c>
      <c r="AQ36" s="103">
        <v>96.4</v>
      </c>
      <c r="AR36" s="103">
        <v>96.4</v>
      </c>
      <c r="AS36" s="103">
        <v>96.1</v>
      </c>
      <c r="AT36" s="103">
        <v>96.1</v>
      </c>
      <c r="AU36" s="103">
        <v>90.3</v>
      </c>
      <c r="AV36" s="103">
        <v>94.5</v>
      </c>
      <c r="AW36" s="103">
        <v>95.3</v>
      </c>
      <c r="AX36" s="103">
        <v>95.9</v>
      </c>
      <c r="AY36" s="103">
        <v>96</v>
      </c>
      <c r="AZ36" s="103">
        <v>95.7</v>
      </c>
      <c r="BA36" s="103">
        <v>95.6</v>
      </c>
      <c r="BB36" s="40">
        <v>42917</v>
      </c>
      <c r="BC36" s="40">
        <v>43388</v>
      </c>
    </row>
    <row r="37" spans="1:55" s="120" customFormat="1" ht="62.25" customHeight="1">
      <c r="A37" s="9" t="s">
        <v>0</v>
      </c>
      <c r="B37" s="9" t="s">
        <v>355</v>
      </c>
      <c r="C37" s="63" t="s">
        <v>10</v>
      </c>
      <c r="D37" s="63" t="s">
        <v>10</v>
      </c>
      <c r="E37" s="63" t="s">
        <v>11</v>
      </c>
      <c r="F37" s="63" t="s">
        <v>11</v>
      </c>
      <c r="G37" s="9" t="s">
        <v>82</v>
      </c>
      <c r="H37" s="54">
        <v>3.6</v>
      </c>
      <c r="I37" s="35">
        <v>240</v>
      </c>
      <c r="J37" s="35">
        <v>96</v>
      </c>
      <c r="K37" s="39" t="s">
        <v>1323</v>
      </c>
      <c r="L37" s="128" t="s">
        <v>854</v>
      </c>
      <c r="M37" s="39" t="s">
        <v>465</v>
      </c>
      <c r="N37" s="40">
        <v>43388</v>
      </c>
      <c r="O37" s="63" t="s">
        <v>17</v>
      </c>
      <c r="P37" s="63" t="s">
        <v>17</v>
      </c>
      <c r="Q37" s="63" t="s">
        <v>17</v>
      </c>
      <c r="R37" s="65" t="s">
        <v>26</v>
      </c>
      <c r="S37" s="34" t="s">
        <v>10</v>
      </c>
      <c r="T37" s="34" t="s">
        <v>11</v>
      </c>
      <c r="U37" s="35">
        <v>0.2</v>
      </c>
      <c r="V37" s="35">
        <v>3.6</v>
      </c>
      <c r="W37" s="35">
        <v>0.2</v>
      </c>
      <c r="X37" s="35">
        <v>100</v>
      </c>
      <c r="Y37" s="35">
        <v>340</v>
      </c>
      <c r="Z37" s="35">
        <v>480</v>
      </c>
      <c r="AA37" s="103">
        <v>0.3</v>
      </c>
      <c r="AB37" s="103">
        <v>0.72</v>
      </c>
      <c r="AC37" s="103">
        <v>1.08</v>
      </c>
      <c r="AD37" s="103">
        <v>1.8</v>
      </c>
      <c r="AE37" s="103">
        <v>2.7</v>
      </c>
      <c r="AF37" s="103">
        <v>3.6</v>
      </c>
      <c r="AG37" s="103">
        <v>91.1</v>
      </c>
      <c r="AH37" s="103">
        <v>94.1</v>
      </c>
      <c r="AI37" s="103">
        <v>94.9</v>
      </c>
      <c r="AJ37" s="103">
        <v>95.6</v>
      </c>
      <c r="AK37" s="103">
        <v>95.8</v>
      </c>
      <c r="AL37" s="103">
        <v>95.7</v>
      </c>
      <c r="AM37" s="103">
        <v>95.4</v>
      </c>
      <c r="AN37" s="103">
        <v>92.4</v>
      </c>
      <c r="AO37" s="103">
        <v>95.5</v>
      </c>
      <c r="AP37" s="103">
        <v>96.3</v>
      </c>
      <c r="AQ37" s="103">
        <v>96.7</v>
      </c>
      <c r="AR37" s="103">
        <v>96.7</v>
      </c>
      <c r="AS37" s="103">
        <v>96.6</v>
      </c>
      <c r="AT37" s="103">
        <v>96.5</v>
      </c>
      <c r="AU37" s="103">
        <v>90.2</v>
      </c>
      <c r="AV37" s="103">
        <v>94.6</v>
      </c>
      <c r="AW37" s="103">
        <v>95.6</v>
      </c>
      <c r="AX37" s="103">
        <v>96.2</v>
      </c>
      <c r="AY37" s="103">
        <v>96.4</v>
      </c>
      <c r="AZ37" s="103">
        <v>96.3</v>
      </c>
      <c r="BA37" s="103">
        <v>95.9</v>
      </c>
      <c r="BB37" s="40">
        <v>42917</v>
      </c>
      <c r="BC37" s="40">
        <v>43388</v>
      </c>
    </row>
    <row r="38" spans="1:55" s="120" customFormat="1" ht="62.25" customHeight="1">
      <c r="A38" s="9" t="s">
        <v>0</v>
      </c>
      <c r="B38" s="9" t="s">
        <v>356</v>
      </c>
      <c r="C38" s="63" t="s">
        <v>10</v>
      </c>
      <c r="D38" s="63" t="s">
        <v>10</v>
      </c>
      <c r="E38" s="63" t="s">
        <v>11</v>
      </c>
      <c r="F38" s="63" t="s">
        <v>11</v>
      </c>
      <c r="G38" s="9" t="s">
        <v>83</v>
      </c>
      <c r="H38" s="54">
        <v>3.6</v>
      </c>
      <c r="I38" s="35">
        <v>277</v>
      </c>
      <c r="J38" s="35">
        <v>96</v>
      </c>
      <c r="K38" s="39" t="s">
        <v>1323</v>
      </c>
      <c r="L38" s="128" t="s">
        <v>854</v>
      </c>
      <c r="M38" s="39" t="s">
        <v>465</v>
      </c>
      <c r="N38" s="40">
        <v>43388</v>
      </c>
      <c r="O38" s="63" t="s">
        <v>17</v>
      </c>
      <c r="P38" s="63" t="s">
        <v>17</v>
      </c>
      <c r="Q38" s="63" t="s">
        <v>17</v>
      </c>
      <c r="R38" s="65" t="s">
        <v>26</v>
      </c>
      <c r="S38" s="34" t="s">
        <v>10</v>
      </c>
      <c r="T38" s="34" t="s">
        <v>11</v>
      </c>
      <c r="U38" s="35">
        <v>0.2</v>
      </c>
      <c r="V38" s="35">
        <v>3.6</v>
      </c>
      <c r="W38" s="35">
        <v>0.2</v>
      </c>
      <c r="X38" s="35">
        <v>100</v>
      </c>
      <c r="Y38" s="35">
        <v>395</v>
      </c>
      <c r="Z38" s="35">
        <v>480</v>
      </c>
      <c r="AA38" s="103">
        <v>0.36</v>
      </c>
      <c r="AB38" s="103">
        <v>0.72</v>
      </c>
      <c r="AC38" s="103">
        <v>1.08</v>
      </c>
      <c r="AD38" s="103">
        <v>1.8</v>
      </c>
      <c r="AE38" s="103">
        <v>2.7</v>
      </c>
      <c r="AF38" s="103">
        <v>3.6</v>
      </c>
      <c r="AG38" s="103">
        <v>90</v>
      </c>
      <c r="AH38" s="103">
        <v>93.4</v>
      </c>
      <c r="AI38" s="103">
        <v>94.4</v>
      </c>
      <c r="AJ38" s="103">
        <v>95.4</v>
      </c>
      <c r="AK38" s="103">
        <v>95.7</v>
      </c>
      <c r="AL38" s="103">
        <v>95.6</v>
      </c>
      <c r="AM38" s="103">
        <v>95.1</v>
      </c>
      <c r="AN38" s="103">
        <v>91.9</v>
      </c>
      <c r="AO38" s="103">
        <v>95.4</v>
      </c>
      <c r="AP38" s="103">
        <v>96.3</v>
      </c>
      <c r="AQ38" s="103">
        <v>96.9</v>
      </c>
      <c r="AR38" s="103">
        <v>97</v>
      </c>
      <c r="AS38" s="103">
        <v>96.9</v>
      </c>
      <c r="AT38" s="103">
        <v>96.6</v>
      </c>
      <c r="AU38" s="103">
        <v>90.4</v>
      </c>
      <c r="AV38" s="103">
        <v>94.9</v>
      </c>
      <c r="AW38" s="103">
        <v>95.9</v>
      </c>
      <c r="AX38" s="103">
        <v>96.6</v>
      </c>
      <c r="AY38" s="103">
        <v>96.8</v>
      </c>
      <c r="AZ38" s="103">
        <v>96.8</v>
      </c>
      <c r="BA38" s="103">
        <v>96.3</v>
      </c>
      <c r="BB38" s="40">
        <v>42917</v>
      </c>
      <c r="BC38" s="40">
        <v>43388</v>
      </c>
    </row>
    <row r="39" spans="1:55" s="120" customFormat="1" ht="62.25" customHeight="1">
      <c r="A39" s="9" t="s">
        <v>0</v>
      </c>
      <c r="B39" s="9" t="s">
        <v>357</v>
      </c>
      <c r="C39" s="63" t="s">
        <v>10</v>
      </c>
      <c r="D39" s="63" t="s">
        <v>10</v>
      </c>
      <c r="E39" s="63" t="s">
        <v>11</v>
      </c>
      <c r="F39" s="63" t="s">
        <v>11</v>
      </c>
      <c r="G39" s="9" t="s">
        <v>81</v>
      </c>
      <c r="H39" s="54">
        <v>3.6</v>
      </c>
      <c r="I39" s="35">
        <v>208</v>
      </c>
      <c r="J39" s="35">
        <v>96</v>
      </c>
      <c r="K39" s="39" t="s">
        <v>1323</v>
      </c>
      <c r="L39" s="128" t="s">
        <v>854</v>
      </c>
      <c r="M39" s="39" t="s">
        <v>465</v>
      </c>
      <c r="N39" s="40">
        <v>43388</v>
      </c>
      <c r="O39" s="63" t="s">
        <v>17</v>
      </c>
      <c r="P39" s="63" t="s">
        <v>17</v>
      </c>
      <c r="Q39" s="63" t="s">
        <v>17</v>
      </c>
      <c r="R39" s="65" t="s">
        <v>26</v>
      </c>
      <c r="S39" s="34" t="s">
        <v>10</v>
      </c>
      <c r="T39" s="34" t="s">
        <v>11</v>
      </c>
      <c r="U39" s="35">
        <v>0.1</v>
      </c>
      <c r="V39" s="35">
        <v>3.6</v>
      </c>
      <c r="W39" s="35">
        <v>0.1</v>
      </c>
      <c r="X39" s="35">
        <v>100</v>
      </c>
      <c r="Y39" s="35">
        <v>310</v>
      </c>
      <c r="Z39" s="35">
        <v>480</v>
      </c>
      <c r="AA39" s="103">
        <v>0.36</v>
      </c>
      <c r="AB39" s="103">
        <v>0.72</v>
      </c>
      <c r="AC39" s="103">
        <v>1.08</v>
      </c>
      <c r="AD39" s="103">
        <v>1.8</v>
      </c>
      <c r="AE39" s="103">
        <v>2.7</v>
      </c>
      <c r="AF39" s="103">
        <v>3.6</v>
      </c>
      <c r="AG39" s="103">
        <v>92.2</v>
      </c>
      <c r="AH39" s="103">
        <v>94.7</v>
      </c>
      <c r="AI39" s="103">
        <v>95.4</v>
      </c>
      <c r="AJ39" s="103">
        <v>95.9</v>
      </c>
      <c r="AK39" s="103">
        <v>95.9</v>
      </c>
      <c r="AL39" s="103">
        <v>95.6</v>
      </c>
      <c r="AM39" s="103">
        <v>95.6</v>
      </c>
      <c r="AN39" s="103">
        <v>92.7</v>
      </c>
      <c r="AO39" s="103">
        <v>95.5</v>
      </c>
      <c r="AP39" s="103">
        <v>96.1</v>
      </c>
      <c r="AQ39" s="103">
        <v>96.4</v>
      </c>
      <c r="AR39" s="103">
        <v>96.4</v>
      </c>
      <c r="AS39" s="103">
        <v>96.1</v>
      </c>
      <c r="AT39" s="103">
        <v>96.1</v>
      </c>
      <c r="AU39" s="103">
        <v>90.3</v>
      </c>
      <c r="AV39" s="103">
        <v>94.5</v>
      </c>
      <c r="AW39" s="103">
        <v>95.3</v>
      </c>
      <c r="AX39" s="103">
        <v>95.9</v>
      </c>
      <c r="AY39" s="103">
        <v>96</v>
      </c>
      <c r="AZ39" s="103">
        <v>95.7</v>
      </c>
      <c r="BA39" s="103">
        <v>95.6</v>
      </c>
      <c r="BB39" s="40">
        <v>42917</v>
      </c>
      <c r="BC39" s="40">
        <v>43388</v>
      </c>
    </row>
    <row r="40" spans="1:55" s="120" customFormat="1" ht="62.25" customHeight="1">
      <c r="A40" s="9" t="s">
        <v>0</v>
      </c>
      <c r="B40" s="9" t="s">
        <v>358</v>
      </c>
      <c r="C40" s="63" t="s">
        <v>10</v>
      </c>
      <c r="D40" s="63" t="s">
        <v>10</v>
      </c>
      <c r="E40" s="63" t="s">
        <v>11</v>
      </c>
      <c r="F40" s="63" t="s">
        <v>11</v>
      </c>
      <c r="G40" s="9" t="s">
        <v>82</v>
      </c>
      <c r="H40" s="54">
        <v>3.6</v>
      </c>
      <c r="I40" s="35">
        <v>240</v>
      </c>
      <c r="J40" s="35">
        <v>96</v>
      </c>
      <c r="K40" s="39" t="s">
        <v>1323</v>
      </c>
      <c r="L40" s="128" t="s">
        <v>854</v>
      </c>
      <c r="M40" s="39" t="s">
        <v>465</v>
      </c>
      <c r="N40" s="40">
        <v>43388</v>
      </c>
      <c r="O40" s="63" t="s">
        <v>17</v>
      </c>
      <c r="P40" s="63" t="s">
        <v>17</v>
      </c>
      <c r="Q40" s="63" t="s">
        <v>17</v>
      </c>
      <c r="R40" s="65" t="s">
        <v>26</v>
      </c>
      <c r="S40" s="34" t="s">
        <v>10</v>
      </c>
      <c r="T40" s="34" t="s">
        <v>11</v>
      </c>
      <c r="U40" s="35">
        <v>0.2</v>
      </c>
      <c r="V40" s="35">
        <v>3.6</v>
      </c>
      <c r="W40" s="35">
        <v>0.2</v>
      </c>
      <c r="X40" s="35">
        <v>100</v>
      </c>
      <c r="Y40" s="35">
        <v>340</v>
      </c>
      <c r="Z40" s="35">
        <v>480</v>
      </c>
      <c r="AA40" s="103">
        <v>0.3</v>
      </c>
      <c r="AB40" s="103">
        <v>0.72</v>
      </c>
      <c r="AC40" s="103">
        <v>1.08</v>
      </c>
      <c r="AD40" s="103">
        <v>1.8</v>
      </c>
      <c r="AE40" s="103">
        <v>2.7</v>
      </c>
      <c r="AF40" s="103">
        <v>3.6</v>
      </c>
      <c r="AG40" s="103">
        <v>91.1</v>
      </c>
      <c r="AH40" s="103">
        <v>94.1</v>
      </c>
      <c r="AI40" s="103">
        <v>94.9</v>
      </c>
      <c r="AJ40" s="103">
        <v>95.6</v>
      </c>
      <c r="AK40" s="103">
        <v>95.8</v>
      </c>
      <c r="AL40" s="103">
        <v>95.7</v>
      </c>
      <c r="AM40" s="103">
        <v>95.4</v>
      </c>
      <c r="AN40" s="103">
        <v>92.4</v>
      </c>
      <c r="AO40" s="103">
        <v>95.5</v>
      </c>
      <c r="AP40" s="103">
        <v>96.3</v>
      </c>
      <c r="AQ40" s="103">
        <v>96.7</v>
      </c>
      <c r="AR40" s="103">
        <v>96.7</v>
      </c>
      <c r="AS40" s="103">
        <v>96.6</v>
      </c>
      <c r="AT40" s="103">
        <v>96.5</v>
      </c>
      <c r="AU40" s="103">
        <v>90.2</v>
      </c>
      <c r="AV40" s="103">
        <v>94.6</v>
      </c>
      <c r="AW40" s="103">
        <v>95.6</v>
      </c>
      <c r="AX40" s="103">
        <v>96.2</v>
      </c>
      <c r="AY40" s="103">
        <v>96.4</v>
      </c>
      <c r="AZ40" s="103">
        <v>96.3</v>
      </c>
      <c r="BA40" s="103">
        <v>95.9</v>
      </c>
      <c r="BB40" s="40">
        <v>42917</v>
      </c>
      <c r="BC40" s="40">
        <v>43388</v>
      </c>
    </row>
    <row r="41" spans="1:55" s="120" customFormat="1" ht="62.25" customHeight="1">
      <c r="A41" s="9" t="s">
        <v>0</v>
      </c>
      <c r="B41" s="9" t="s">
        <v>359</v>
      </c>
      <c r="C41" s="63" t="s">
        <v>10</v>
      </c>
      <c r="D41" s="63" t="s">
        <v>10</v>
      </c>
      <c r="E41" s="63" t="s">
        <v>11</v>
      </c>
      <c r="F41" s="63" t="s">
        <v>11</v>
      </c>
      <c r="G41" s="9" t="s">
        <v>83</v>
      </c>
      <c r="H41" s="54">
        <v>3.6</v>
      </c>
      <c r="I41" s="35">
        <v>277</v>
      </c>
      <c r="J41" s="35">
        <v>96</v>
      </c>
      <c r="K41" s="39" t="s">
        <v>1323</v>
      </c>
      <c r="L41" s="128" t="s">
        <v>854</v>
      </c>
      <c r="M41" s="39" t="s">
        <v>465</v>
      </c>
      <c r="N41" s="40">
        <v>43388</v>
      </c>
      <c r="O41" s="63" t="s">
        <v>17</v>
      </c>
      <c r="P41" s="63" t="s">
        <v>17</v>
      </c>
      <c r="Q41" s="63" t="s">
        <v>17</v>
      </c>
      <c r="R41" s="65" t="s">
        <v>26</v>
      </c>
      <c r="S41" s="34" t="s">
        <v>10</v>
      </c>
      <c r="T41" s="34" t="s">
        <v>11</v>
      </c>
      <c r="U41" s="35">
        <v>0.2</v>
      </c>
      <c r="V41" s="35">
        <v>3.6</v>
      </c>
      <c r="W41" s="35">
        <v>0.2</v>
      </c>
      <c r="X41" s="35">
        <v>100</v>
      </c>
      <c r="Y41" s="35">
        <v>395</v>
      </c>
      <c r="Z41" s="35">
        <v>480</v>
      </c>
      <c r="AA41" s="103">
        <v>0.36</v>
      </c>
      <c r="AB41" s="103">
        <v>0.72</v>
      </c>
      <c r="AC41" s="103">
        <v>1.08</v>
      </c>
      <c r="AD41" s="103">
        <v>1.8</v>
      </c>
      <c r="AE41" s="103">
        <v>2.7</v>
      </c>
      <c r="AF41" s="103">
        <v>3.6</v>
      </c>
      <c r="AG41" s="103">
        <v>90</v>
      </c>
      <c r="AH41" s="103">
        <v>93.4</v>
      </c>
      <c r="AI41" s="103">
        <v>94.4</v>
      </c>
      <c r="AJ41" s="103">
        <v>95.4</v>
      </c>
      <c r="AK41" s="103">
        <v>95.7</v>
      </c>
      <c r="AL41" s="103">
        <v>95.6</v>
      </c>
      <c r="AM41" s="103">
        <v>95.1</v>
      </c>
      <c r="AN41" s="103">
        <v>91.9</v>
      </c>
      <c r="AO41" s="103">
        <v>95.4</v>
      </c>
      <c r="AP41" s="103">
        <v>96.3</v>
      </c>
      <c r="AQ41" s="103">
        <v>96.9</v>
      </c>
      <c r="AR41" s="103">
        <v>97</v>
      </c>
      <c r="AS41" s="103">
        <v>96.9</v>
      </c>
      <c r="AT41" s="103">
        <v>96.6</v>
      </c>
      <c r="AU41" s="103">
        <v>90.4</v>
      </c>
      <c r="AV41" s="103">
        <v>94.9</v>
      </c>
      <c r="AW41" s="103">
        <v>95.9</v>
      </c>
      <c r="AX41" s="103">
        <v>96.6</v>
      </c>
      <c r="AY41" s="103">
        <v>96.8</v>
      </c>
      <c r="AZ41" s="103">
        <v>96.8</v>
      </c>
      <c r="BA41" s="103">
        <v>96.3</v>
      </c>
      <c r="BB41" s="40">
        <v>42917</v>
      </c>
      <c r="BC41" s="40">
        <v>43388</v>
      </c>
    </row>
    <row r="42" spans="1:55" s="120" customFormat="1" ht="62.25" customHeight="1">
      <c r="A42" s="9" t="s">
        <v>0</v>
      </c>
      <c r="B42" s="9" t="s">
        <v>881</v>
      </c>
      <c r="C42" s="63" t="s">
        <v>10</v>
      </c>
      <c r="D42" s="63" t="s">
        <v>10</v>
      </c>
      <c r="E42" s="63" t="s">
        <v>11</v>
      </c>
      <c r="F42" s="63" t="s">
        <v>11</v>
      </c>
      <c r="G42" s="9" t="s">
        <v>84</v>
      </c>
      <c r="H42" s="35">
        <v>3.6</v>
      </c>
      <c r="I42" s="35">
        <v>208</v>
      </c>
      <c r="J42" s="35">
        <v>96</v>
      </c>
      <c r="K42" s="39" t="s">
        <v>1323</v>
      </c>
      <c r="L42" s="128" t="s">
        <v>854</v>
      </c>
      <c r="M42" s="39" t="s">
        <v>465</v>
      </c>
      <c r="N42" s="40">
        <v>43388</v>
      </c>
      <c r="O42" s="63" t="s">
        <v>17</v>
      </c>
      <c r="P42" s="63" t="s">
        <v>17</v>
      </c>
      <c r="Q42" s="63" t="s">
        <v>17</v>
      </c>
      <c r="R42" s="65" t="s">
        <v>26</v>
      </c>
      <c r="S42" s="34" t="s">
        <v>10</v>
      </c>
      <c r="T42" s="34" t="s">
        <v>11</v>
      </c>
      <c r="U42" s="35">
        <v>0.1</v>
      </c>
      <c r="V42" s="35"/>
      <c r="W42" s="35"/>
      <c r="X42" s="35">
        <v>100</v>
      </c>
      <c r="Y42" s="35">
        <v>310</v>
      </c>
      <c r="Z42" s="35">
        <v>480</v>
      </c>
      <c r="AA42" s="103">
        <v>0.36</v>
      </c>
      <c r="AB42" s="103">
        <v>0.72</v>
      </c>
      <c r="AC42" s="103">
        <v>1.08</v>
      </c>
      <c r="AD42" s="103">
        <v>1.8</v>
      </c>
      <c r="AE42" s="103">
        <v>2.7</v>
      </c>
      <c r="AF42" s="103">
        <v>3.6</v>
      </c>
      <c r="AG42" s="103">
        <v>92.2</v>
      </c>
      <c r="AH42" s="103">
        <v>94.7</v>
      </c>
      <c r="AI42" s="103">
        <v>95.4</v>
      </c>
      <c r="AJ42" s="103">
        <v>95.9</v>
      </c>
      <c r="AK42" s="103">
        <v>95.9</v>
      </c>
      <c r="AL42" s="103">
        <v>95.6</v>
      </c>
      <c r="AM42" s="103">
        <v>95.6</v>
      </c>
      <c r="AN42" s="103">
        <v>92.7</v>
      </c>
      <c r="AO42" s="103">
        <v>95.5</v>
      </c>
      <c r="AP42" s="103">
        <v>96.1</v>
      </c>
      <c r="AQ42" s="103">
        <v>96.4</v>
      </c>
      <c r="AR42" s="103">
        <v>96.4</v>
      </c>
      <c r="AS42" s="103">
        <v>96.1</v>
      </c>
      <c r="AT42" s="103">
        <v>96.1</v>
      </c>
      <c r="AU42" s="103">
        <v>90.3</v>
      </c>
      <c r="AV42" s="103">
        <v>94.5</v>
      </c>
      <c r="AW42" s="103">
        <v>95.3</v>
      </c>
      <c r="AX42" s="103">
        <v>95.9</v>
      </c>
      <c r="AY42" s="103">
        <v>96</v>
      </c>
      <c r="AZ42" s="103">
        <v>95.7</v>
      </c>
      <c r="BA42" s="103">
        <v>95.6</v>
      </c>
      <c r="BB42" s="40">
        <v>42917</v>
      </c>
      <c r="BC42" s="40">
        <v>43388</v>
      </c>
    </row>
    <row r="43" spans="1:55" s="120" customFormat="1" ht="62.25" customHeight="1">
      <c r="A43" s="9" t="s">
        <v>0</v>
      </c>
      <c r="B43" s="9" t="s">
        <v>882</v>
      </c>
      <c r="C43" s="63" t="s">
        <v>10</v>
      </c>
      <c r="D43" s="63" t="s">
        <v>10</v>
      </c>
      <c r="E43" s="63" t="s">
        <v>11</v>
      </c>
      <c r="F43" s="63" t="s">
        <v>11</v>
      </c>
      <c r="G43" s="9" t="s">
        <v>85</v>
      </c>
      <c r="H43" s="35">
        <v>3.6</v>
      </c>
      <c r="I43" s="35">
        <v>240</v>
      </c>
      <c r="J43" s="35">
        <v>96</v>
      </c>
      <c r="K43" s="39" t="s">
        <v>1323</v>
      </c>
      <c r="L43" s="128" t="s">
        <v>854</v>
      </c>
      <c r="M43" s="39" t="s">
        <v>465</v>
      </c>
      <c r="N43" s="40">
        <v>43388</v>
      </c>
      <c r="O43" s="63" t="s">
        <v>17</v>
      </c>
      <c r="P43" s="63" t="s">
        <v>17</v>
      </c>
      <c r="Q43" s="63" t="s">
        <v>17</v>
      </c>
      <c r="R43" s="65" t="s">
        <v>26</v>
      </c>
      <c r="S43" s="34" t="s">
        <v>10</v>
      </c>
      <c r="T43" s="34" t="s">
        <v>11</v>
      </c>
      <c r="U43" s="35">
        <v>0.2</v>
      </c>
      <c r="V43" s="35"/>
      <c r="W43" s="35"/>
      <c r="X43" s="35">
        <v>100</v>
      </c>
      <c r="Y43" s="35">
        <v>340</v>
      </c>
      <c r="Z43" s="35">
        <v>480</v>
      </c>
      <c r="AA43" s="103">
        <v>0.3</v>
      </c>
      <c r="AB43" s="103">
        <v>0.72</v>
      </c>
      <c r="AC43" s="103">
        <v>1.08</v>
      </c>
      <c r="AD43" s="103">
        <v>1.8</v>
      </c>
      <c r="AE43" s="103">
        <v>2.7</v>
      </c>
      <c r="AF43" s="103">
        <v>3.6</v>
      </c>
      <c r="AG43" s="103">
        <v>91.1</v>
      </c>
      <c r="AH43" s="103">
        <v>94.1</v>
      </c>
      <c r="AI43" s="103">
        <v>94.9</v>
      </c>
      <c r="AJ43" s="103">
        <v>95.6</v>
      </c>
      <c r="AK43" s="103">
        <v>95.8</v>
      </c>
      <c r="AL43" s="103">
        <v>95.7</v>
      </c>
      <c r="AM43" s="103">
        <v>95.4</v>
      </c>
      <c r="AN43" s="103">
        <v>92.4</v>
      </c>
      <c r="AO43" s="103">
        <v>95.5</v>
      </c>
      <c r="AP43" s="103">
        <v>96.3</v>
      </c>
      <c r="AQ43" s="103">
        <v>96.7</v>
      </c>
      <c r="AR43" s="103">
        <v>96.7</v>
      </c>
      <c r="AS43" s="103">
        <v>96.6</v>
      </c>
      <c r="AT43" s="103">
        <v>96.5</v>
      </c>
      <c r="AU43" s="103">
        <v>90.2</v>
      </c>
      <c r="AV43" s="103">
        <v>94.6</v>
      </c>
      <c r="AW43" s="103">
        <v>95.6</v>
      </c>
      <c r="AX43" s="103">
        <v>96.2</v>
      </c>
      <c r="AY43" s="103">
        <v>96.4</v>
      </c>
      <c r="AZ43" s="103">
        <v>96.3</v>
      </c>
      <c r="BA43" s="103">
        <v>95.9</v>
      </c>
      <c r="BB43" s="40">
        <v>42917</v>
      </c>
      <c r="BC43" s="40">
        <v>43388</v>
      </c>
    </row>
    <row r="44" spans="1:55" s="120" customFormat="1" ht="62.25" customHeight="1">
      <c r="A44" s="9" t="s">
        <v>0</v>
      </c>
      <c r="B44" s="9" t="s">
        <v>883</v>
      </c>
      <c r="C44" s="63" t="s">
        <v>10</v>
      </c>
      <c r="D44" s="63" t="s">
        <v>10</v>
      </c>
      <c r="E44" s="63" t="s">
        <v>11</v>
      </c>
      <c r="F44" s="63" t="s">
        <v>11</v>
      </c>
      <c r="G44" s="9" t="s">
        <v>86</v>
      </c>
      <c r="H44" s="35">
        <v>3.6</v>
      </c>
      <c r="I44" s="35">
        <v>277</v>
      </c>
      <c r="J44" s="35">
        <v>96</v>
      </c>
      <c r="K44" s="39" t="s">
        <v>1323</v>
      </c>
      <c r="L44" s="128" t="s">
        <v>854</v>
      </c>
      <c r="M44" s="39" t="s">
        <v>465</v>
      </c>
      <c r="N44" s="40">
        <v>43388</v>
      </c>
      <c r="O44" s="63" t="s">
        <v>17</v>
      </c>
      <c r="P44" s="63" t="s">
        <v>17</v>
      </c>
      <c r="Q44" s="63" t="s">
        <v>17</v>
      </c>
      <c r="R44" s="65" t="s">
        <v>26</v>
      </c>
      <c r="S44" s="34" t="s">
        <v>10</v>
      </c>
      <c r="T44" s="34" t="s">
        <v>11</v>
      </c>
      <c r="U44" s="35">
        <v>0.2</v>
      </c>
      <c r="V44" s="35"/>
      <c r="W44" s="35"/>
      <c r="X44" s="35">
        <v>100</v>
      </c>
      <c r="Y44" s="35">
        <v>395</v>
      </c>
      <c r="Z44" s="35">
        <v>480</v>
      </c>
      <c r="AA44" s="103">
        <v>0.36</v>
      </c>
      <c r="AB44" s="103">
        <v>0.72</v>
      </c>
      <c r="AC44" s="103">
        <v>1.08</v>
      </c>
      <c r="AD44" s="103">
        <v>1.8</v>
      </c>
      <c r="AE44" s="103">
        <v>2.7</v>
      </c>
      <c r="AF44" s="103">
        <v>3.6</v>
      </c>
      <c r="AG44" s="103">
        <v>90</v>
      </c>
      <c r="AH44" s="103">
        <v>93.4</v>
      </c>
      <c r="AI44" s="103">
        <v>94.4</v>
      </c>
      <c r="AJ44" s="103">
        <v>95.4</v>
      </c>
      <c r="AK44" s="103">
        <v>95.7</v>
      </c>
      <c r="AL44" s="103">
        <v>95.6</v>
      </c>
      <c r="AM44" s="103">
        <v>95.1</v>
      </c>
      <c r="AN44" s="103">
        <v>91.9</v>
      </c>
      <c r="AO44" s="103">
        <v>95.4</v>
      </c>
      <c r="AP44" s="103">
        <v>96.3</v>
      </c>
      <c r="AQ44" s="103">
        <v>96.9</v>
      </c>
      <c r="AR44" s="103">
        <v>97</v>
      </c>
      <c r="AS44" s="103">
        <v>96.9</v>
      </c>
      <c r="AT44" s="103">
        <v>96.6</v>
      </c>
      <c r="AU44" s="103">
        <v>90.4</v>
      </c>
      <c r="AV44" s="103">
        <v>94.9</v>
      </c>
      <c r="AW44" s="103">
        <v>95.9</v>
      </c>
      <c r="AX44" s="103">
        <v>96.6</v>
      </c>
      <c r="AY44" s="103">
        <v>96.8</v>
      </c>
      <c r="AZ44" s="103">
        <v>96.8</v>
      </c>
      <c r="BA44" s="103">
        <v>96.3</v>
      </c>
      <c r="BB44" s="40">
        <v>42917</v>
      </c>
      <c r="BC44" s="40">
        <v>43388</v>
      </c>
    </row>
    <row r="45" spans="1:55" s="120" customFormat="1" ht="62.25" customHeight="1">
      <c r="A45" s="9" t="s">
        <v>0</v>
      </c>
      <c r="B45" s="9" t="s">
        <v>360</v>
      </c>
      <c r="C45" s="63" t="s">
        <v>10</v>
      </c>
      <c r="D45" s="63" t="s">
        <v>10</v>
      </c>
      <c r="E45" s="63" t="s">
        <v>11</v>
      </c>
      <c r="F45" s="63" t="s">
        <v>11</v>
      </c>
      <c r="G45" s="9" t="s">
        <v>87</v>
      </c>
      <c r="H45" s="54">
        <v>3.8</v>
      </c>
      <c r="I45" s="35">
        <v>208</v>
      </c>
      <c r="J45" s="35">
        <v>95.5</v>
      </c>
      <c r="K45" s="39" t="s">
        <v>1323</v>
      </c>
      <c r="L45" s="128" t="s">
        <v>854</v>
      </c>
      <c r="M45" s="39" t="s">
        <v>465</v>
      </c>
      <c r="N45" s="40">
        <v>43388</v>
      </c>
      <c r="O45" s="63" t="s">
        <v>17</v>
      </c>
      <c r="P45" s="63" t="s">
        <v>17</v>
      </c>
      <c r="Q45" s="63" t="s">
        <v>17</v>
      </c>
      <c r="R45" s="65" t="s">
        <v>26</v>
      </c>
      <c r="S45" s="34" t="s">
        <v>10</v>
      </c>
      <c r="T45" s="34" t="s">
        <v>11</v>
      </c>
      <c r="U45" s="35">
        <v>0.12</v>
      </c>
      <c r="V45" s="35"/>
      <c r="W45" s="35"/>
      <c r="X45" s="35">
        <v>100</v>
      </c>
      <c r="Y45" s="35">
        <v>310</v>
      </c>
      <c r="Z45" s="35">
        <v>480</v>
      </c>
      <c r="AA45" s="103">
        <v>0.33</v>
      </c>
      <c r="AB45" s="103">
        <v>0.66</v>
      </c>
      <c r="AC45" s="103">
        <v>0.99</v>
      </c>
      <c r="AD45" s="103">
        <v>1.65</v>
      </c>
      <c r="AE45" s="103">
        <v>2.48</v>
      </c>
      <c r="AF45" s="103">
        <v>3.3</v>
      </c>
      <c r="AG45" s="103">
        <v>91.5</v>
      </c>
      <c r="AH45" s="103">
        <v>94.3</v>
      </c>
      <c r="AI45" s="103">
        <v>95.1</v>
      </c>
      <c r="AJ45" s="103">
        <v>95.6</v>
      </c>
      <c r="AK45" s="103">
        <v>95.6</v>
      </c>
      <c r="AL45" s="103">
        <v>95.4</v>
      </c>
      <c r="AM45" s="103">
        <v>95.3</v>
      </c>
      <c r="AN45" s="103">
        <v>92.1</v>
      </c>
      <c r="AO45" s="103">
        <v>95.1</v>
      </c>
      <c r="AP45" s="103">
        <v>95.9</v>
      </c>
      <c r="AQ45" s="103">
        <v>96.3</v>
      </c>
      <c r="AR45" s="103">
        <v>96.4</v>
      </c>
      <c r="AS45" s="103">
        <v>96.2</v>
      </c>
      <c r="AT45" s="103">
        <v>96.1</v>
      </c>
      <c r="AU45" s="103">
        <v>89.1</v>
      </c>
      <c r="AV45" s="103">
        <v>93.9</v>
      </c>
      <c r="AW45" s="103">
        <v>95</v>
      </c>
      <c r="AX45" s="103">
        <v>95.7</v>
      </c>
      <c r="AY45" s="103">
        <v>95.9</v>
      </c>
      <c r="AZ45" s="103">
        <v>95.8</v>
      </c>
      <c r="BA45" s="103">
        <v>95.4</v>
      </c>
      <c r="BB45" s="40">
        <v>42917</v>
      </c>
      <c r="BC45" s="40">
        <v>43388</v>
      </c>
    </row>
    <row r="46" spans="1:55" s="120" customFormat="1" ht="62.25" customHeight="1">
      <c r="A46" s="9" t="s">
        <v>0</v>
      </c>
      <c r="B46" s="9" t="s">
        <v>361</v>
      </c>
      <c r="C46" s="63" t="s">
        <v>10</v>
      </c>
      <c r="D46" s="63" t="s">
        <v>10</v>
      </c>
      <c r="E46" s="63" t="s">
        <v>11</v>
      </c>
      <c r="F46" s="63" t="s">
        <v>11</v>
      </c>
      <c r="G46" s="9" t="s">
        <v>120</v>
      </c>
      <c r="H46" s="54">
        <v>3.8</v>
      </c>
      <c r="I46" s="35">
        <v>240</v>
      </c>
      <c r="J46" s="35">
        <v>96</v>
      </c>
      <c r="K46" s="39" t="s">
        <v>1323</v>
      </c>
      <c r="L46" s="128" t="s">
        <v>854</v>
      </c>
      <c r="M46" s="39" t="s">
        <v>465</v>
      </c>
      <c r="N46" s="40">
        <v>43388</v>
      </c>
      <c r="O46" s="63" t="s">
        <v>17</v>
      </c>
      <c r="P46" s="63" t="s">
        <v>17</v>
      </c>
      <c r="Q46" s="63" t="s">
        <v>17</v>
      </c>
      <c r="R46" s="65" t="s">
        <v>26</v>
      </c>
      <c r="S46" s="34" t="s">
        <v>10</v>
      </c>
      <c r="T46" s="34" t="s">
        <v>11</v>
      </c>
      <c r="U46" s="35">
        <v>0.16</v>
      </c>
      <c r="V46" s="35"/>
      <c r="W46" s="35"/>
      <c r="X46" s="35">
        <v>100</v>
      </c>
      <c r="Y46" s="35">
        <v>340</v>
      </c>
      <c r="Z46" s="35">
        <v>480</v>
      </c>
      <c r="AA46" s="103">
        <v>0.38</v>
      </c>
      <c r="AB46" s="103">
        <v>0.76</v>
      </c>
      <c r="AC46" s="103">
        <v>1.1399999999999999</v>
      </c>
      <c r="AD46" s="103">
        <v>1.9</v>
      </c>
      <c r="AE46" s="103">
        <v>2.85</v>
      </c>
      <c r="AF46" s="103">
        <v>3.8</v>
      </c>
      <c r="AG46" s="103">
        <v>91.4</v>
      </c>
      <c r="AH46" s="103">
        <v>94.2</v>
      </c>
      <c r="AI46" s="103">
        <v>94.9</v>
      </c>
      <c r="AJ46" s="103">
        <v>95.5</v>
      </c>
      <c r="AK46" s="103">
        <v>95.6</v>
      </c>
      <c r="AL46" s="103">
        <v>95.5</v>
      </c>
      <c r="AM46" s="103">
        <v>95.3</v>
      </c>
      <c r="AN46" s="103">
        <v>92.6</v>
      </c>
      <c r="AO46" s="103">
        <v>95.5</v>
      </c>
      <c r="AP46" s="103">
        <v>96.2</v>
      </c>
      <c r="AQ46" s="103">
        <v>96.6</v>
      </c>
      <c r="AR46" s="103">
        <v>96.7</v>
      </c>
      <c r="AS46" s="103">
        <v>96.6</v>
      </c>
      <c r="AT46" s="103">
        <v>96.4</v>
      </c>
      <c r="AU46" s="103">
        <v>90.3</v>
      </c>
      <c r="AV46" s="103">
        <v>94.5</v>
      </c>
      <c r="AW46" s="103">
        <v>95.5</v>
      </c>
      <c r="AX46" s="103">
        <v>96.2</v>
      </c>
      <c r="AY46" s="103">
        <v>96.3</v>
      </c>
      <c r="AZ46" s="103">
        <v>96.3</v>
      </c>
      <c r="BA46" s="103">
        <v>95.9</v>
      </c>
      <c r="BB46" s="40">
        <v>42917</v>
      </c>
      <c r="BC46" s="40">
        <v>43388</v>
      </c>
    </row>
    <row r="47" spans="1:55" s="120" customFormat="1" ht="62.25" customHeight="1">
      <c r="A47" s="9" t="s">
        <v>0</v>
      </c>
      <c r="B47" s="9" t="s">
        <v>362</v>
      </c>
      <c r="C47" s="63" t="s">
        <v>10</v>
      </c>
      <c r="D47" s="63" t="s">
        <v>10</v>
      </c>
      <c r="E47" s="63" t="s">
        <v>11</v>
      </c>
      <c r="F47" s="63" t="s">
        <v>11</v>
      </c>
      <c r="G47" s="9" t="s">
        <v>121</v>
      </c>
      <c r="H47" s="54">
        <v>3.8</v>
      </c>
      <c r="I47" s="35">
        <v>277</v>
      </c>
      <c r="J47" s="35">
        <v>96</v>
      </c>
      <c r="K47" s="39" t="s">
        <v>1323</v>
      </c>
      <c r="L47" s="128" t="s">
        <v>854</v>
      </c>
      <c r="M47" s="39" t="s">
        <v>465</v>
      </c>
      <c r="N47" s="40">
        <v>43388</v>
      </c>
      <c r="O47" s="63" t="s">
        <v>17</v>
      </c>
      <c r="P47" s="63" t="s">
        <v>17</v>
      </c>
      <c r="Q47" s="63" t="s">
        <v>17</v>
      </c>
      <c r="R47" s="65" t="s">
        <v>26</v>
      </c>
      <c r="S47" s="34" t="s">
        <v>10</v>
      </c>
      <c r="T47" s="34" t="s">
        <v>11</v>
      </c>
      <c r="U47" s="35">
        <v>0.22</v>
      </c>
      <c r="V47" s="35"/>
      <c r="W47" s="35"/>
      <c r="X47" s="35">
        <v>100</v>
      </c>
      <c r="Y47" s="35">
        <v>395</v>
      </c>
      <c r="Z47" s="35">
        <v>480</v>
      </c>
      <c r="AA47" s="103">
        <v>0.38</v>
      </c>
      <c r="AB47" s="103">
        <v>0.76</v>
      </c>
      <c r="AC47" s="103">
        <v>1.1399999999999999</v>
      </c>
      <c r="AD47" s="103">
        <v>1.9</v>
      </c>
      <c r="AE47" s="103">
        <v>2.85</v>
      </c>
      <c r="AF47" s="103">
        <v>3.8</v>
      </c>
      <c r="AG47" s="103">
        <v>90.3</v>
      </c>
      <c r="AH47" s="103">
        <v>93.6</v>
      </c>
      <c r="AI47" s="103">
        <v>94.5</v>
      </c>
      <c r="AJ47" s="103">
        <v>95.3</v>
      </c>
      <c r="AK47" s="103">
        <v>95.6</v>
      </c>
      <c r="AL47" s="103">
        <v>95.5</v>
      </c>
      <c r="AM47" s="103">
        <v>95.1</v>
      </c>
      <c r="AN47" s="103">
        <v>92</v>
      </c>
      <c r="AO47" s="103">
        <v>95.3</v>
      </c>
      <c r="AP47" s="103">
        <v>96.2</v>
      </c>
      <c r="AQ47" s="103">
        <v>96.8</v>
      </c>
      <c r="AR47" s="103">
        <v>96.9</v>
      </c>
      <c r="AS47" s="103">
        <v>96.9</v>
      </c>
      <c r="AT47" s="103">
        <v>96.5</v>
      </c>
      <c r="AU47" s="103">
        <v>90.4</v>
      </c>
      <c r="AV47" s="103">
        <v>94.7</v>
      </c>
      <c r="AW47" s="103">
        <v>95.8</v>
      </c>
      <c r="AX47" s="103">
        <v>96.5</v>
      </c>
      <c r="AY47" s="103">
        <v>96.7</v>
      </c>
      <c r="AZ47" s="103">
        <v>96.8</v>
      </c>
      <c r="BA47" s="103">
        <v>96.2</v>
      </c>
      <c r="BB47" s="40">
        <v>42917</v>
      </c>
      <c r="BC47" s="40">
        <v>43388</v>
      </c>
    </row>
    <row r="48" spans="1:55" s="120" customFormat="1" ht="62.25" customHeight="1">
      <c r="A48" s="9" t="s">
        <v>0</v>
      </c>
      <c r="B48" s="9" t="s">
        <v>363</v>
      </c>
      <c r="C48" s="63" t="s">
        <v>10</v>
      </c>
      <c r="D48" s="63" t="s">
        <v>10</v>
      </c>
      <c r="E48" s="63" t="s">
        <v>11</v>
      </c>
      <c r="F48" s="63" t="s">
        <v>11</v>
      </c>
      <c r="G48" s="9" t="s">
        <v>87</v>
      </c>
      <c r="H48" s="35">
        <v>3.8</v>
      </c>
      <c r="I48" s="35">
        <v>208</v>
      </c>
      <c r="J48" s="66">
        <v>95.5</v>
      </c>
      <c r="K48" s="39" t="s">
        <v>1323</v>
      </c>
      <c r="L48" s="128" t="s">
        <v>854</v>
      </c>
      <c r="M48" s="39" t="s">
        <v>465</v>
      </c>
      <c r="N48" s="40">
        <v>43388</v>
      </c>
      <c r="O48" s="63" t="s">
        <v>17</v>
      </c>
      <c r="P48" s="63" t="s">
        <v>17</v>
      </c>
      <c r="Q48" s="63" t="s">
        <v>17</v>
      </c>
      <c r="R48" s="65" t="s">
        <v>26</v>
      </c>
      <c r="S48" s="34" t="s">
        <v>10</v>
      </c>
      <c r="T48" s="39" t="s">
        <v>11</v>
      </c>
      <c r="U48" s="35">
        <v>0.12</v>
      </c>
      <c r="V48" s="35"/>
      <c r="W48" s="35"/>
      <c r="X48" s="35">
        <v>100</v>
      </c>
      <c r="Y48" s="35">
        <v>310</v>
      </c>
      <c r="Z48" s="35">
        <v>480</v>
      </c>
      <c r="AA48" s="103">
        <v>0.33</v>
      </c>
      <c r="AB48" s="103">
        <v>0.66</v>
      </c>
      <c r="AC48" s="103">
        <v>0.99</v>
      </c>
      <c r="AD48" s="103">
        <v>1.65</v>
      </c>
      <c r="AE48" s="103">
        <v>2.48</v>
      </c>
      <c r="AF48" s="103">
        <v>3.3</v>
      </c>
      <c r="AG48" s="103">
        <v>91.5</v>
      </c>
      <c r="AH48" s="103">
        <v>94.3</v>
      </c>
      <c r="AI48" s="103">
        <v>95.1</v>
      </c>
      <c r="AJ48" s="103">
        <v>95.6</v>
      </c>
      <c r="AK48" s="103">
        <v>95.6</v>
      </c>
      <c r="AL48" s="103">
        <v>95.4</v>
      </c>
      <c r="AM48" s="103">
        <v>95.3</v>
      </c>
      <c r="AN48" s="103">
        <v>92.1</v>
      </c>
      <c r="AO48" s="103">
        <v>95.1</v>
      </c>
      <c r="AP48" s="103">
        <v>95.9</v>
      </c>
      <c r="AQ48" s="103">
        <v>96.3</v>
      </c>
      <c r="AR48" s="103">
        <v>96.4</v>
      </c>
      <c r="AS48" s="103">
        <v>96.2</v>
      </c>
      <c r="AT48" s="103">
        <v>96.1</v>
      </c>
      <c r="AU48" s="103">
        <v>89.1</v>
      </c>
      <c r="AV48" s="103">
        <v>93.9</v>
      </c>
      <c r="AW48" s="103">
        <v>95</v>
      </c>
      <c r="AX48" s="103">
        <v>95.7</v>
      </c>
      <c r="AY48" s="103">
        <v>95.9</v>
      </c>
      <c r="AZ48" s="103">
        <v>95.8</v>
      </c>
      <c r="BA48" s="96">
        <v>95.4</v>
      </c>
      <c r="BB48" s="40">
        <v>42917</v>
      </c>
      <c r="BC48" s="40">
        <v>43388</v>
      </c>
    </row>
    <row r="49" spans="1:55" s="120" customFormat="1" ht="62.25" customHeight="1">
      <c r="A49" s="9" t="s">
        <v>0</v>
      </c>
      <c r="B49" s="9" t="s">
        <v>364</v>
      </c>
      <c r="C49" s="63" t="s">
        <v>10</v>
      </c>
      <c r="D49" s="63" t="s">
        <v>10</v>
      </c>
      <c r="E49" s="63" t="s">
        <v>11</v>
      </c>
      <c r="F49" s="63" t="s">
        <v>11</v>
      </c>
      <c r="G49" s="9" t="s">
        <v>120</v>
      </c>
      <c r="H49" s="35">
        <v>3.8</v>
      </c>
      <c r="I49" s="35">
        <v>240</v>
      </c>
      <c r="J49" s="66">
        <v>96</v>
      </c>
      <c r="K49" s="39" t="s">
        <v>1323</v>
      </c>
      <c r="L49" s="128" t="s">
        <v>854</v>
      </c>
      <c r="M49" s="39" t="s">
        <v>465</v>
      </c>
      <c r="N49" s="40">
        <v>43388</v>
      </c>
      <c r="O49" s="63" t="s">
        <v>17</v>
      </c>
      <c r="P49" s="63" t="s">
        <v>17</v>
      </c>
      <c r="Q49" s="63" t="s">
        <v>17</v>
      </c>
      <c r="R49" s="65" t="s">
        <v>26</v>
      </c>
      <c r="S49" s="34" t="s">
        <v>10</v>
      </c>
      <c r="T49" s="39" t="s">
        <v>11</v>
      </c>
      <c r="U49" s="35">
        <v>0.16</v>
      </c>
      <c r="V49" s="35"/>
      <c r="W49" s="35"/>
      <c r="X49" s="35">
        <v>100</v>
      </c>
      <c r="Y49" s="35">
        <v>340</v>
      </c>
      <c r="Z49" s="35">
        <v>480</v>
      </c>
      <c r="AA49" s="103">
        <v>0.38</v>
      </c>
      <c r="AB49" s="103">
        <v>0.76</v>
      </c>
      <c r="AC49" s="103">
        <v>1.1399999999999999</v>
      </c>
      <c r="AD49" s="103">
        <v>1.9</v>
      </c>
      <c r="AE49" s="103">
        <v>2.85</v>
      </c>
      <c r="AF49" s="103">
        <v>3.8</v>
      </c>
      <c r="AG49" s="103">
        <v>91.4</v>
      </c>
      <c r="AH49" s="103">
        <v>94.2</v>
      </c>
      <c r="AI49" s="103">
        <v>94.9</v>
      </c>
      <c r="AJ49" s="103">
        <v>95.5</v>
      </c>
      <c r="AK49" s="103">
        <v>95.6</v>
      </c>
      <c r="AL49" s="103">
        <v>95.5</v>
      </c>
      <c r="AM49" s="103">
        <v>95.3</v>
      </c>
      <c r="AN49" s="103">
        <v>92.6</v>
      </c>
      <c r="AO49" s="103">
        <v>95.5</v>
      </c>
      <c r="AP49" s="103">
        <v>96.2</v>
      </c>
      <c r="AQ49" s="103">
        <v>96.6</v>
      </c>
      <c r="AR49" s="103">
        <v>96.7</v>
      </c>
      <c r="AS49" s="103">
        <v>96.6</v>
      </c>
      <c r="AT49" s="103">
        <v>96.4</v>
      </c>
      <c r="AU49" s="103">
        <v>90.3</v>
      </c>
      <c r="AV49" s="103">
        <v>94.5</v>
      </c>
      <c r="AW49" s="103">
        <v>95.5</v>
      </c>
      <c r="AX49" s="103">
        <v>96.2</v>
      </c>
      <c r="AY49" s="103">
        <v>96.3</v>
      </c>
      <c r="AZ49" s="103">
        <v>96.3</v>
      </c>
      <c r="BA49" s="96">
        <v>95.9</v>
      </c>
      <c r="BB49" s="40">
        <v>42917</v>
      </c>
      <c r="BC49" s="40">
        <v>43388</v>
      </c>
    </row>
    <row r="50" spans="1:55" s="120" customFormat="1" ht="62.25" customHeight="1">
      <c r="A50" s="9" t="s">
        <v>0</v>
      </c>
      <c r="B50" s="9" t="s">
        <v>365</v>
      </c>
      <c r="C50" s="63" t="s">
        <v>10</v>
      </c>
      <c r="D50" s="63" t="s">
        <v>10</v>
      </c>
      <c r="E50" s="63" t="s">
        <v>11</v>
      </c>
      <c r="F50" s="63" t="s">
        <v>11</v>
      </c>
      <c r="G50" s="9" t="s">
        <v>121</v>
      </c>
      <c r="H50" s="35">
        <v>3.8</v>
      </c>
      <c r="I50" s="35">
        <v>277</v>
      </c>
      <c r="J50" s="66">
        <v>96</v>
      </c>
      <c r="K50" s="39" t="s">
        <v>1323</v>
      </c>
      <c r="L50" s="128" t="s">
        <v>854</v>
      </c>
      <c r="M50" s="39" t="s">
        <v>465</v>
      </c>
      <c r="N50" s="40">
        <v>43388</v>
      </c>
      <c r="O50" s="63" t="s">
        <v>17</v>
      </c>
      <c r="P50" s="63" t="s">
        <v>17</v>
      </c>
      <c r="Q50" s="63" t="s">
        <v>17</v>
      </c>
      <c r="R50" s="65" t="s">
        <v>26</v>
      </c>
      <c r="S50" s="34" t="s">
        <v>10</v>
      </c>
      <c r="T50" s="39" t="s">
        <v>11</v>
      </c>
      <c r="U50" s="35">
        <v>0.22</v>
      </c>
      <c r="V50" s="35"/>
      <c r="W50" s="35"/>
      <c r="X50" s="35">
        <v>100</v>
      </c>
      <c r="Y50" s="35">
        <v>395</v>
      </c>
      <c r="Z50" s="35">
        <v>480</v>
      </c>
      <c r="AA50" s="103">
        <v>0.38</v>
      </c>
      <c r="AB50" s="103">
        <v>0.76</v>
      </c>
      <c r="AC50" s="103">
        <v>1.1399999999999999</v>
      </c>
      <c r="AD50" s="103">
        <v>1.9</v>
      </c>
      <c r="AE50" s="103">
        <v>2.85</v>
      </c>
      <c r="AF50" s="103">
        <v>3.8</v>
      </c>
      <c r="AG50" s="103">
        <v>90.3</v>
      </c>
      <c r="AH50" s="103">
        <v>93.6</v>
      </c>
      <c r="AI50" s="103">
        <v>94.5</v>
      </c>
      <c r="AJ50" s="103">
        <v>95.3</v>
      </c>
      <c r="AK50" s="103">
        <v>95.6</v>
      </c>
      <c r="AL50" s="103">
        <v>95.5</v>
      </c>
      <c r="AM50" s="103">
        <v>95.1</v>
      </c>
      <c r="AN50" s="103">
        <v>92</v>
      </c>
      <c r="AO50" s="103">
        <v>95.3</v>
      </c>
      <c r="AP50" s="103">
        <v>96.2</v>
      </c>
      <c r="AQ50" s="103">
        <v>96.8</v>
      </c>
      <c r="AR50" s="103">
        <v>96.9</v>
      </c>
      <c r="AS50" s="103">
        <v>96.9</v>
      </c>
      <c r="AT50" s="103">
        <v>96.5</v>
      </c>
      <c r="AU50" s="103">
        <v>90.4</v>
      </c>
      <c r="AV50" s="103">
        <v>94.7</v>
      </c>
      <c r="AW50" s="103">
        <v>95.8</v>
      </c>
      <c r="AX50" s="103">
        <v>96.5</v>
      </c>
      <c r="AY50" s="103">
        <v>96.7</v>
      </c>
      <c r="AZ50" s="103">
        <v>96.8</v>
      </c>
      <c r="BA50" s="96">
        <v>96.2</v>
      </c>
      <c r="BB50" s="40">
        <v>42917</v>
      </c>
      <c r="BC50" s="40">
        <v>43388</v>
      </c>
    </row>
    <row r="51" spans="1:55" s="120" customFormat="1" ht="62.25" customHeight="1">
      <c r="A51" s="9" t="s">
        <v>0</v>
      </c>
      <c r="B51" s="9" t="s">
        <v>884</v>
      </c>
      <c r="C51" s="63" t="s">
        <v>10</v>
      </c>
      <c r="D51" s="63" t="s">
        <v>10</v>
      </c>
      <c r="E51" s="63" t="s">
        <v>11</v>
      </c>
      <c r="F51" s="63" t="s">
        <v>11</v>
      </c>
      <c r="G51" s="9" t="s">
        <v>88</v>
      </c>
      <c r="H51" s="54">
        <v>3.8</v>
      </c>
      <c r="I51" s="35">
        <v>208</v>
      </c>
      <c r="J51" s="54">
        <v>95.5</v>
      </c>
      <c r="K51" s="39" t="s">
        <v>1323</v>
      </c>
      <c r="L51" s="128" t="s">
        <v>464</v>
      </c>
      <c r="M51" s="39" t="s">
        <v>465</v>
      </c>
      <c r="N51" s="40">
        <v>43388</v>
      </c>
      <c r="O51" s="63" t="s">
        <v>17</v>
      </c>
      <c r="P51" s="63" t="s">
        <v>17</v>
      </c>
      <c r="Q51" s="63" t="s">
        <v>17</v>
      </c>
      <c r="R51" s="65" t="s">
        <v>26</v>
      </c>
      <c r="S51" s="34" t="s">
        <v>10</v>
      </c>
      <c r="T51" s="34" t="s">
        <v>11</v>
      </c>
      <c r="U51" s="35">
        <v>0.12</v>
      </c>
      <c r="V51" s="35"/>
      <c r="W51" s="35"/>
      <c r="X51" s="35">
        <v>100</v>
      </c>
      <c r="Y51" s="35">
        <v>310</v>
      </c>
      <c r="Z51" s="35">
        <v>480</v>
      </c>
      <c r="AA51" s="103">
        <v>0.33</v>
      </c>
      <c r="AB51" s="103">
        <v>0.66</v>
      </c>
      <c r="AC51" s="103">
        <v>0.99</v>
      </c>
      <c r="AD51" s="103">
        <v>1.65</v>
      </c>
      <c r="AE51" s="103">
        <v>2.48</v>
      </c>
      <c r="AF51" s="103">
        <v>3.3</v>
      </c>
      <c r="AG51" s="103">
        <v>91.5</v>
      </c>
      <c r="AH51" s="103">
        <v>94.3</v>
      </c>
      <c r="AI51" s="103">
        <v>95.1</v>
      </c>
      <c r="AJ51" s="103">
        <v>95.6</v>
      </c>
      <c r="AK51" s="103">
        <v>95.6</v>
      </c>
      <c r="AL51" s="103">
        <v>95.4</v>
      </c>
      <c r="AM51" s="103">
        <v>95.3</v>
      </c>
      <c r="AN51" s="103">
        <v>92.1</v>
      </c>
      <c r="AO51" s="103">
        <v>95.1</v>
      </c>
      <c r="AP51" s="103">
        <v>95.9</v>
      </c>
      <c r="AQ51" s="103">
        <v>96.3</v>
      </c>
      <c r="AR51" s="103">
        <v>96.4</v>
      </c>
      <c r="AS51" s="103">
        <v>96.2</v>
      </c>
      <c r="AT51" s="103">
        <v>96.1</v>
      </c>
      <c r="AU51" s="103">
        <v>89.1</v>
      </c>
      <c r="AV51" s="103">
        <v>93.9</v>
      </c>
      <c r="AW51" s="103">
        <v>95</v>
      </c>
      <c r="AX51" s="103">
        <v>95.7</v>
      </c>
      <c r="AY51" s="103">
        <v>95.9</v>
      </c>
      <c r="AZ51" s="103">
        <v>95.8</v>
      </c>
      <c r="BA51" s="103">
        <v>95.4</v>
      </c>
      <c r="BB51" s="40">
        <v>42917</v>
      </c>
      <c r="BC51" s="40">
        <v>43388</v>
      </c>
    </row>
    <row r="52" spans="1:55" s="120" customFormat="1" ht="62.25" customHeight="1">
      <c r="A52" s="9" t="s">
        <v>0</v>
      </c>
      <c r="B52" s="9" t="s">
        <v>885</v>
      </c>
      <c r="C52" s="63" t="s">
        <v>10</v>
      </c>
      <c r="D52" s="63" t="s">
        <v>10</v>
      </c>
      <c r="E52" s="63" t="s">
        <v>11</v>
      </c>
      <c r="F52" s="63" t="s">
        <v>11</v>
      </c>
      <c r="G52" s="9" t="s">
        <v>89</v>
      </c>
      <c r="H52" s="54">
        <v>3.8</v>
      </c>
      <c r="I52" s="35">
        <v>240</v>
      </c>
      <c r="J52" s="54">
        <v>96</v>
      </c>
      <c r="K52" s="39" t="s">
        <v>1323</v>
      </c>
      <c r="L52" s="128" t="s">
        <v>464</v>
      </c>
      <c r="M52" s="39" t="s">
        <v>465</v>
      </c>
      <c r="N52" s="40">
        <v>43388</v>
      </c>
      <c r="O52" s="63" t="s">
        <v>17</v>
      </c>
      <c r="P52" s="63" t="s">
        <v>17</v>
      </c>
      <c r="Q52" s="63" t="s">
        <v>17</v>
      </c>
      <c r="R52" s="65" t="s">
        <v>26</v>
      </c>
      <c r="S52" s="34" t="s">
        <v>10</v>
      </c>
      <c r="T52" s="34" t="s">
        <v>11</v>
      </c>
      <c r="U52" s="35">
        <v>0.16</v>
      </c>
      <c r="V52" s="35"/>
      <c r="W52" s="35"/>
      <c r="X52" s="35">
        <v>100</v>
      </c>
      <c r="Y52" s="35">
        <v>340</v>
      </c>
      <c r="Z52" s="35">
        <v>480</v>
      </c>
      <c r="AA52" s="103">
        <v>0.38</v>
      </c>
      <c r="AB52" s="103">
        <v>0.76</v>
      </c>
      <c r="AC52" s="103">
        <v>1.1399999999999999</v>
      </c>
      <c r="AD52" s="103">
        <v>1.9</v>
      </c>
      <c r="AE52" s="103">
        <v>2.85</v>
      </c>
      <c r="AF52" s="103">
        <v>3.8</v>
      </c>
      <c r="AG52" s="103">
        <v>91.4</v>
      </c>
      <c r="AH52" s="103">
        <v>94.2</v>
      </c>
      <c r="AI52" s="103">
        <v>94.9</v>
      </c>
      <c r="AJ52" s="103">
        <v>95.5</v>
      </c>
      <c r="AK52" s="103">
        <v>95.6</v>
      </c>
      <c r="AL52" s="103">
        <v>95.5</v>
      </c>
      <c r="AM52" s="103">
        <v>95.3</v>
      </c>
      <c r="AN52" s="103">
        <v>92.6</v>
      </c>
      <c r="AO52" s="103">
        <v>95.5</v>
      </c>
      <c r="AP52" s="103">
        <v>96.2</v>
      </c>
      <c r="AQ52" s="103">
        <v>96.6</v>
      </c>
      <c r="AR52" s="103">
        <v>96.7</v>
      </c>
      <c r="AS52" s="103">
        <v>96.6</v>
      </c>
      <c r="AT52" s="103">
        <v>96.4</v>
      </c>
      <c r="AU52" s="103">
        <v>90.3</v>
      </c>
      <c r="AV52" s="103">
        <v>94.5</v>
      </c>
      <c r="AW52" s="103">
        <v>95.5</v>
      </c>
      <c r="AX52" s="103">
        <v>96.2</v>
      </c>
      <c r="AY52" s="103">
        <v>96.3</v>
      </c>
      <c r="AZ52" s="103">
        <v>96.3</v>
      </c>
      <c r="BA52" s="103">
        <v>95.9</v>
      </c>
      <c r="BB52" s="40">
        <v>42917</v>
      </c>
      <c r="BC52" s="40">
        <v>43388</v>
      </c>
    </row>
    <row r="53" spans="1:55" s="120" customFormat="1" ht="62.25" customHeight="1">
      <c r="A53" s="9" t="s">
        <v>0</v>
      </c>
      <c r="B53" s="9" t="s">
        <v>886</v>
      </c>
      <c r="C53" s="63" t="s">
        <v>10</v>
      </c>
      <c r="D53" s="63" t="s">
        <v>10</v>
      </c>
      <c r="E53" s="63" t="s">
        <v>11</v>
      </c>
      <c r="F53" s="63" t="s">
        <v>11</v>
      </c>
      <c r="G53" s="9" t="s">
        <v>90</v>
      </c>
      <c r="H53" s="54">
        <v>3.8</v>
      </c>
      <c r="I53" s="35">
        <v>277</v>
      </c>
      <c r="J53" s="54">
        <v>96</v>
      </c>
      <c r="K53" s="39" t="s">
        <v>1323</v>
      </c>
      <c r="L53" s="128" t="s">
        <v>854</v>
      </c>
      <c r="M53" s="39" t="s">
        <v>465</v>
      </c>
      <c r="N53" s="40">
        <v>43388</v>
      </c>
      <c r="O53" s="63" t="s">
        <v>17</v>
      </c>
      <c r="P53" s="63" t="s">
        <v>17</v>
      </c>
      <c r="Q53" s="63" t="s">
        <v>17</v>
      </c>
      <c r="R53" s="65" t="s">
        <v>26</v>
      </c>
      <c r="S53" s="34" t="s">
        <v>10</v>
      </c>
      <c r="T53" s="34" t="s">
        <v>11</v>
      </c>
      <c r="U53" s="35">
        <v>0.22</v>
      </c>
      <c r="V53" s="35"/>
      <c r="W53" s="35"/>
      <c r="X53" s="35">
        <v>100</v>
      </c>
      <c r="Y53" s="35">
        <v>395</v>
      </c>
      <c r="Z53" s="35">
        <v>480</v>
      </c>
      <c r="AA53" s="103">
        <v>0.38</v>
      </c>
      <c r="AB53" s="103">
        <v>0.76</v>
      </c>
      <c r="AC53" s="103">
        <v>1.1399999999999999</v>
      </c>
      <c r="AD53" s="103">
        <v>1.9</v>
      </c>
      <c r="AE53" s="103">
        <v>2.85</v>
      </c>
      <c r="AF53" s="103">
        <v>3.8</v>
      </c>
      <c r="AG53" s="103">
        <v>90.3</v>
      </c>
      <c r="AH53" s="103">
        <v>93.6</v>
      </c>
      <c r="AI53" s="103">
        <v>94.5</v>
      </c>
      <c r="AJ53" s="103">
        <v>95.3</v>
      </c>
      <c r="AK53" s="103">
        <v>95.6</v>
      </c>
      <c r="AL53" s="103">
        <v>95.5</v>
      </c>
      <c r="AM53" s="103">
        <v>95.1</v>
      </c>
      <c r="AN53" s="103">
        <v>92</v>
      </c>
      <c r="AO53" s="103">
        <v>95.3</v>
      </c>
      <c r="AP53" s="103">
        <v>96.2</v>
      </c>
      <c r="AQ53" s="103">
        <v>96.8</v>
      </c>
      <c r="AR53" s="103">
        <v>96.9</v>
      </c>
      <c r="AS53" s="103">
        <v>96.9</v>
      </c>
      <c r="AT53" s="103">
        <v>96.5</v>
      </c>
      <c r="AU53" s="103">
        <v>90.4</v>
      </c>
      <c r="AV53" s="103">
        <v>94.7</v>
      </c>
      <c r="AW53" s="103">
        <v>95.8</v>
      </c>
      <c r="AX53" s="103">
        <v>96.5</v>
      </c>
      <c r="AY53" s="103">
        <v>96.7</v>
      </c>
      <c r="AZ53" s="103">
        <v>96.8</v>
      </c>
      <c r="BA53" s="103">
        <v>96.2</v>
      </c>
      <c r="BB53" s="40">
        <v>42917</v>
      </c>
      <c r="BC53" s="40">
        <v>43388</v>
      </c>
    </row>
    <row r="54" spans="1:55" s="120" customFormat="1" ht="62.25" customHeight="1">
      <c r="A54" s="55" t="s">
        <v>0</v>
      </c>
      <c r="B54" s="75" t="s">
        <v>887</v>
      </c>
      <c r="C54" s="57" t="s">
        <v>10</v>
      </c>
      <c r="D54" s="57" t="s">
        <v>10</v>
      </c>
      <c r="E54" s="63" t="s">
        <v>11</v>
      </c>
      <c r="F54" s="63" t="s">
        <v>11</v>
      </c>
      <c r="G54" s="75" t="s">
        <v>91</v>
      </c>
      <c r="H54" s="26">
        <v>3.8</v>
      </c>
      <c r="I54" s="25">
        <v>240</v>
      </c>
      <c r="J54" s="26">
        <v>96.5</v>
      </c>
      <c r="K54" s="39" t="s">
        <v>1323</v>
      </c>
      <c r="L54" s="128" t="s">
        <v>855</v>
      </c>
      <c r="M54" s="39" t="s">
        <v>467</v>
      </c>
      <c r="N54" s="40">
        <v>43388</v>
      </c>
      <c r="O54" s="63" t="s">
        <v>17</v>
      </c>
      <c r="P54" s="63" t="s">
        <v>17</v>
      </c>
      <c r="Q54" s="63" t="s">
        <v>17</v>
      </c>
      <c r="R54" s="65"/>
      <c r="S54" s="34" t="s">
        <v>10</v>
      </c>
      <c r="T54" s="34" t="s">
        <v>11</v>
      </c>
      <c r="U54" s="25">
        <v>1</v>
      </c>
      <c r="V54" s="35">
        <v>3.8</v>
      </c>
      <c r="W54" s="35">
        <v>1</v>
      </c>
      <c r="X54" s="35">
        <v>200</v>
      </c>
      <c r="Y54" s="35">
        <v>355</v>
      </c>
      <c r="Z54" s="35">
        <v>480</v>
      </c>
      <c r="AA54" s="103">
        <v>0.38</v>
      </c>
      <c r="AB54" s="103">
        <v>0.76</v>
      </c>
      <c r="AC54" s="103">
        <v>1.1399999999999999</v>
      </c>
      <c r="AD54" s="103">
        <v>1.9</v>
      </c>
      <c r="AE54" s="103">
        <v>2.85</v>
      </c>
      <c r="AF54" s="103">
        <v>3.8</v>
      </c>
      <c r="AG54" s="103">
        <v>92</v>
      </c>
      <c r="AH54" s="103">
        <v>95</v>
      </c>
      <c r="AI54" s="103">
        <v>95.7</v>
      </c>
      <c r="AJ54" s="103">
        <v>95.9</v>
      </c>
      <c r="AK54" s="103">
        <v>96</v>
      </c>
      <c r="AL54" s="103">
        <v>95.8</v>
      </c>
      <c r="AM54" s="103">
        <v>95.7</v>
      </c>
      <c r="AN54" s="103">
        <v>93.7</v>
      </c>
      <c r="AO54" s="103">
        <v>96</v>
      </c>
      <c r="AP54" s="103">
        <v>96.6</v>
      </c>
      <c r="AQ54" s="103">
        <v>96.9</v>
      </c>
      <c r="AR54" s="103">
        <v>97</v>
      </c>
      <c r="AS54" s="103">
        <v>96.8</v>
      </c>
      <c r="AT54" s="103">
        <v>96.7</v>
      </c>
      <c r="AU54" s="103">
        <v>91.7</v>
      </c>
      <c r="AV54" s="103">
        <v>95.2</v>
      </c>
      <c r="AW54" s="103">
        <v>96</v>
      </c>
      <c r="AX54" s="103">
        <v>96.6</v>
      </c>
      <c r="AY54" s="103">
        <v>96.7</v>
      </c>
      <c r="AZ54" s="103">
        <v>96.5</v>
      </c>
      <c r="BA54" s="103">
        <v>96.3</v>
      </c>
      <c r="BB54" s="40">
        <v>42917</v>
      </c>
      <c r="BC54" s="40">
        <v>43388</v>
      </c>
    </row>
    <row r="55" spans="1:55" s="120" customFormat="1" ht="62.25" customHeight="1">
      <c r="A55" s="55" t="s">
        <v>0</v>
      </c>
      <c r="B55" s="75" t="s">
        <v>888</v>
      </c>
      <c r="C55" s="57" t="s">
        <v>10</v>
      </c>
      <c r="D55" s="57" t="s">
        <v>10</v>
      </c>
      <c r="E55" s="63" t="s">
        <v>11</v>
      </c>
      <c r="F55" s="63" t="s">
        <v>11</v>
      </c>
      <c r="G55" s="75" t="s">
        <v>92</v>
      </c>
      <c r="H55" s="26">
        <v>3.8</v>
      </c>
      <c r="I55" s="25">
        <v>240</v>
      </c>
      <c r="J55" s="26">
        <v>96.5</v>
      </c>
      <c r="K55" s="39" t="s">
        <v>1323</v>
      </c>
      <c r="L55" s="128" t="s">
        <v>855</v>
      </c>
      <c r="M55" s="39" t="s">
        <v>467</v>
      </c>
      <c r="N55" s="40">
        <v>43388</v>
      </c>
      <c r="O55" s="63" t="s">
        <v>17</v>
      </c>
      <c r="P55" s="63" t="s">
        <v>17</v>
      </c>
      <c r="Q55" s="63" t="s">
        <v>17</v>
      </c>
      <c r="R55" s="65"/>
      <c r="S55" s="34" t="s">
        <v>10</v>
      </c>
      <c r="T55" s="34" t="s">
        <v>11</v>
      </c>
      <c r="U55" s="35">
        <v>1</v>
      </c>
      <c r="V55" s="35">
        <v>3.8</v>
      </c>
      <c r="W55" s="35">
        <v>1</v>
      </c>
      <c r="X55" s="35">
        <v>200</v>
      </c>
      <c r="Y55" s="35">
        <v>355</v>
      </c>
      <c r="Z55" s="35">
        <v>480</v>
      </c>
      <c r="AA55" s="103">
        <v>0.38</v>
      </c>
      <c r="AB55" s="103">
        <v>0.76</v>
      </c>
      <c r="AC55" s="103">
        <v>1.1399999999999999</v>
      </c>
      <c r="AD55" s="103">
        <v>1.9</v>
      </c>
      <c r="AE55" s="103">
        <v>2.85</v>
      </c>
      <c r="AF55" s="103">
        <v>3.8</v>
      </c>
      <c r="AG55" s="103">
        <v>92</v>
      </c>
      <c r="AH55" s="103">
        <v>95</v>
      </c>
      <c r="AI55" s="103">
        <v>95.7</v>
      </c>
      <c r="AJ55" s="103">
        <v>95.9</v>
      </c>
      <c r="AK55" s="103">
        <v>96</v>
      </c>
      <c r="AL55" s="103">
        <v>95.8</v>
      </c>
      <c r="AM55" s="103">
        <v>95.7</v>
      </c>
      <c r="AN55" s="103">
        <v>93.7</v>
      </c>
      <c r="AO55" s="103">
        <v>96</v>
      </c>
      <c r="AP55" s="103">
        <v>96.6</v>
      </c>
      <c r="AQ55" s="103">
        <v>96.9</v>
      </c>
      <c r="AR55" s="103">
        <v>97</v>
      </c>
      <c r="AS55" s="103">
        <v>96.8</v>
      </c>
      <c r="AT55" s="103">
        <v>96.7</v>
      </c>
      <c r="AU55" s="103">
        <v>91.7</v>
      </c>
      <c r="AV55" s="103">
        <v>95.2</v>
      </c>
      <c r="AW55" s="103">
        <v>96</v>
      </c>
      <c r="AX55" s="103">
        <v>96.6</v>
      </c>
      <c r="AY55" s="103">
        <v>96.7</v>
      </c>
      <c r="AZ55" s="103">
        <v>96.5</v>
      </c>
      <c r="BA55" s="103">
        <v>96.3</v>
      </c>
      <c r="BB55" s="40">
        <v>42917</v>
      </c>
      <c r="BC55" s="40">
        <v>43388</v>
      </c>
    </row>
    <row r="56" spans="1:55" s="120" customFormat="1" ht="62.25" customHeight="1">
      <c r="A56" s="55" t="s">
        <v>0</v>
      </c>
      <c r="B56" s="75" t="s">
        <v>889</v>
      </c>
      <c r="C56" s="57" t="s">
        <v>10</v>
      </c>
      <c r="D56" s="57" t="s">
        <v>10</v>
      </c>
      <c r="E56" s="63" t="s">
        <v>11</v>
      </c>
      <c r="F56" s="63" t="s">
        <v>11</v>
      </c>
      <c r="G56" s="75" t="s">
        <v>93</v>
      </c>
      <c r="H56" s="26">
        <v>3.8</v>
      </c>
      <c r="I56" s="25">
        <v>240</v>
      </c>
      <c r="J56" s="26">
        <v>96.5</v>
      </c>
      <c r="K56" s="39" t="s">
        <v>1323</v>
      </c>
      <c r="L56" s="128" t="s">
        <v>855</v>
      </c>
      <c r="M56" s="39" t="s">
        <v>467</v>
      </c>
      <c r="N56" s="40">
        <v>43388</v>
      </c>
      <c r="O56" s="63" t="s">
        <v>17</v>
      </c>
      <c r="P56" s="63" t="s">
        <v>17</v>
      </c>
      <c r="Q56" s="63" t="s">
        <v>17</v>
      </c>
      <c r="R56" s="65" t="s">
        <v>26</v>
      </c>
      <c r="S56" s="34" t="s">
        <v>10</v>
      </c>
      <c r="T56" s="34" t="s">
        <v>11</v>
      </c>
      <c r="U56" s="35">
        <v>1</v>
      </c>
      <c r="V56" s="35">
        <v>3.8</v>
      </c>
      <c r="W56" s="35">
        <v>1</v>
      </c>
      <c r="X56" s="35">
        <v>200</v>
      </c>
      <c r="Y56" s="35">
        <v>355</v>
      </c>
      <c r="Z56" s="35">
        <v>480</v>
      </c>
      <c r="AA56" s="103">
        <v>0.38</v>
      </c>
      <c r="AB56" s="103">
        <v>0.76</v>
      </c>
      <c r="AC56" s="103">
        <v>1.1399999999999999</v>
      </c>
      <c r="AD56" s="103">
        <v>1.9</v>
      </c>
      <c r="AE56" s="103">
        <v>2.85</v>
      </c>
      <c r="AF56" s="103">
        <v>3.8</v>
      </c>
      <c r="AG56" s="103">
        <v>92</v>
      </c>
      <c r="AH56" s="103">
        <v>95</v>
      </c>
      <c r="AI56" s="103">
        <v>95.7</v>
      </c>
      <c r="AJ56" s="103">
        <v>95.9</v>
      </c>
      <c r="AK56" s="103">
        <v>96</v>
      </c>
      <c r="AL56" s="103">
        <v>95.8</v>
      </c>
      <c r="AM56" s="103">
        <v>95.7</v>
      </c>
      <c r="AN56" s="103">
        <v>93.7</v>
      </c>
      <c r="AO56" s="103">
        <v>96</v>
      </c>
      <c r="AP56" s="103">
        <v>96.6</v>
      </c>
      <c r="AQ56" s="103">
        <v>96.9</v>
      </c>
      <c r="AR56" s="103">
        <v>97</v>
      </c>
      <c r="AS56" s="103">
        <v>96.8</v>
      </c>
      <c r="AT56" s="103">
        <v>96.7</v>
      </c>
      <c r="AU56" s="103">
        <v>91.7</v>
      </c>
      <c r="AV56" s="103">
        <v>95.2</v>
      </c>
      <c r="AW56" s="103">
        <v>96</v>
      </c>
      <c r="AX56" s="103">
        <v>96.6</v>
      </c>
      <c r="AY56" s="103">
        <v>96.7</v>
      </c>
      <c r="AZ56" s="103">
        <v>96.5</v>
      </c>
      <c r="BA56" s="103">
        <v>96.3</v>
      </c>
      <c r="BB56" s="40">
        <v>42917</v>
      </c>
      <c r="BC56" s="40">
        <v>43388</v>
      </c>
    </row>
    <row r="57" spans="1:55" s="120" customFormat="1" ht="62.25" customHeight="1">
      <c r="A57" s="55" t="s">
        <v>0</v>
      </c>
      <c r="B57" s="75" t="s">
        <v>366</v>
      </c>
      <c r="C57" s="57" t="s">
        <v>10</v>
      </c>
      <c r="D57" s="57" t="s">
        <v>10</v>
      </c>
      <c r="E57" s="63" t="s">
        <v>11</v>
      </c>
      <c r="F57" s="63" t="s">
        <v>11</v>
      </c>
      <c r="G57" s="75" t="s">
        <v>94</v>
      </c>
      <c r="H57" s="26">
        <v>3.8</v>
      </c>
      <c r="I57" s="25">
        <v>240</v>
      </c>
      <c r="J57" s="26">
        <v>96.5</v>
      </c>
      <c r="K57" s="39" t="s">
        <v>1323</v>
      </c>
      <c r="L57" s="128" t="s">
        <v>855</v>
      </c>
      <c r="M57" s="39" t="s">
        <v>467</v>
      </c>
      <c r="N57" s="40">
        <v>43388</v>
      </c>
      <c r="O57" s="63" t="s">
        <v>17</v>
      </c>
      <c r="P57" s="63" t="s">
        <v>17</v>
      </c>
      <c r="Q57" s="63" t="s">
        <v>17</v>
      </c>
      <c r="R57" s="65" t="s">
        <v>26</v>
      </c>
      <c r="S57" s="34" t="s">
        <v>10</v>
      </c>
      <c r="T57" s="34" t="s">
        <v>11</v>
      </c>
      <c r="U57" s="35">
        <v>1</v>
      </c>
      <c r="V57" s="35">
        <v>3.8</v>
      </c>
      <c r="W57" s="35">
        <v>1</v>
      </c>
      <c r="X57" s="35">
        <v>200</v>
      </c>
      <c r="Y57" s="35">
        <v>355</v>
      </c>
      <c r="Z57" s="35">
        <v>480</v>
      </c>
      <c r="AA57" s="103">
        <v>0.38</v>
      </c>
      <c r="AB57" s="103">
        <v>0.76</v>
      </c>
      <c r="AC57" s="103">
        <v>1.1399999999999999</v>
      </c>
      <c r="AD57" s="103">
        <v>1.9</v>
      </c>
      <c r="AE57" s="103">
        <v>2.85</v>
      </c>
      <c r="AF57" s="103">
        <v>3.8</v>
      </c>
      <c r="AG57" s="103">
        <v>92</v>
      </c>
      <c r="AH57" s="103">
        <v>95</v>
      </c>
      <c r="AI57" s="103">
        <v>95.7</v>
      </c>
      <c r="AJ57" s="103">
        <v>95.9</v>
      </c>
      <c r="AK57" s="103">
        <v>96</v>
      </c>
      <c r="AL57" s="103">
        <v>95.8</v>
      </c>
      <c r="AM57" s="103">
        <v>95.7</v>
      </c>
      <c r="AN57" s="103">
        <v>93.7</v>
      </c>
      <c r="AO57" s="103">
        <v>96</v>
      </c>
      <c r="AP57" s="103">
        <v>96.6</v>
      </c>
      <c r="AQ57" s="103">
        <v>96.9</v>
      </c>
      <c r="AR57" s="103">
        <v>97</v>
      </c>
      <c r="AS57" s="103">
        <v>96.8</v>
      </c>
      <c r="AT57" s="103">
        <v>96.7</v>
      </c>
      <c r="AU57" s="103">
        <v>91.7</v>
      </c>
      <c r="AV57" s="103">
        <v>95.2</v>
      </c>
      <c r="AW57" s="103">
        <v>96</v>
      </c>
      <c r="AX57" s="103">
        <v>96.6</v>
      </c>
      <c r="AY57" s="103">
        <v>96.7</v>
      </c>
      <c r="AZ57" s="103">
        <v>96.5</v>
      </c>
      <c r="BA57" s="103">
        <v>96.3</v>
      </c>
      <c r="BB57" s="40">
        <v>42917</v>
      </c>
      <c r="BC57" s="40">
        <v>43388</v>
      </c>
    </row>
    <row r="58" spans="1:55" s="120" customFormat="1" ht="62.25" customHeight="1">
      <c r="A58" s="9" t="s">
        <v>0</v>
      </c>
      <c r="B58" s="9" t="s">
        <v>367</v>
      </c>
      <c r="C58" s="63" t="s">
        <v>10</v>
      </c>
      <c r="D58" s="63" t="s">
        <v>10</v>
      </c>
      <c r="E58" s="63" t="s">
        <v>11</v>
      </c>
      <c r="F58" s="63" t="s">
        <v>11</v>
      </c>
      <c r="G58" s="9" t="s">
        <v>95</v>
      </c>
      <c r="H58" s="54">
        <v>4.2</v>
      </c>
      <c r="I58" s="35">
        <v>208</v>
      </c>
      <c r="J58" s="54">
        <v>96</v>
      </c>
      <c r="K58" s="39" t="s">
        <v>1323</v>
      </c>
      <c r="L58" s="128" t="s">
        <v>854</v>
      </c>
      <c r="M58" s="39" t="s">
        <v>465</v>
      </c>
      <c r="N58" s="40">
        <v>43388</v>
      </c>
      <c r="O58" s="63" t="s">
        <v>17</v>
      </c>
      <c r="P58" s="63" t="s">
        <v>17</v>
      </c>
      <c r="Q58" s="63" t="s">
        <v>17</v>
      </c>
      <c r="R58" s="65" t="s">
        <v>26</v>
      </c>
      <c r="S58" s="34" t="s">
        <v>10</v>
      </c>
      <c r="T58" s="34" t="s">
        <v>11</v>
      </c>
      <c r="U58" s="35">
        <v>0.1</v>
      </c>
      <c r="V58" s="35">
        <v>4.2</v>
      </c>
      <c r="W58" s="35">
        <v>0.1</v>
      </c>
      <c r="X58" s="35">
        <v>100</v>
      </c>
      <c r="Y58" s="35">
        <v>310</v>
      </c>
      <c r="Z58" s="35">
        <v>480</v>
      </c>
      <c r="AA58" s="103">
        <v>0.42</v>
      </c>
      <c r="AB58" s="103">
        <v>0.84</v>
      </c>
      <c r="AC58" s="103">
        <v>1.26</v>
      </c>
      <c r="AD58" s="103">
        <v>2.1</v>
      </c>
      <c r="AE58" s="103">
        <v>3.15</v>
      </c>
      <c r="AF58" s="103">
        <v>4.2</v>
      </c>
      <c r="AG58" s="103">
        <v>92.9</v>
      </c>
      <c r="AH58" s="103">
        <v>95</v>
      </c>
      <c r="AI58" s="103">
        <v>95.6</v>
      </c>
      <c r="AJ58" s="103">
        <v>95.9</v>
      </c>
      <c r="AK58" s="103">
        <v>95.8</v>
      </c>
      <c r="AL58" s="103">
        <v>95.4</v>
      </c>
      <c r="AM58" s="103">
        <v>95.6</v>
      </c>
      <c r="AN58" s="103">
        <v>93.5</v>
      </c>
      <c r="AO58" s="103">
        <v>95.8</v>
      </c>
      <c r="AP58" s="103">
        <v>96.3</v>
      </c>
      <c r="AQ58" s="103">
        <v>96.4</v>
      </c>
      <c r="AR58" s="103">
        <v>96.3</v>
      </c>
      <c r="AS58" s="103">
        <v>95.9</v>
      </c>
      <c r="AT58" s="103">
        <v>96.1</v>
      </c>
      <c r="AU58" s="103">
        <v>91.4</v>
      </c>
      <c r="AV58" s="103">
        <v>94.9</v>
      </c>
      <c r="AW58" s="103">
        <v>95.6</v>
      </c>
      <c r="AX58" s="103">
        <v>95.9</v>
      </c>
      <c r="AY58" s="103">
        <v>95.8</v>
      </c>
      <c r="AZ58" s="103">
        <v>95.5</v>
      </c>
      <c r="BA58" s="103">
        <v>95.6</v>
      </c>
      <c r="BB58" s="40">
        <v>42917</v>
      </c>
      <c r="BC58" s="40">
        <v>43388</v>
      </c>
    </row>
    <row r="59" spans="1:55" s="120" customFormat="1" ht="62.25" customHeight="1">
      <c r="A59" s="9" t="s">
        <v>0</v>
      </c>
      <c r="B59" s="9" t="s">
        <v>368</v>
      </c>
      <c r="C59" s="63" t="s">
        <v>10</v>
      </c>
      <c r="D59" s="63" t="s">
        <v>10</v>
      </c>
      <c r="E59" s="63" t="s">
        <v>11</v>
      </c>
      <c r="F59" s="63" t="s">
        <v>11</v>
      </c>
      <c r="G59" s="9" t="s">
        <v>96</v>
      </c>
      <c r="H59" s="54">
        <v>4.2</v>
      </c>
      <c r="I59" s="35">
        <v>240</v>
      </c>
      <c r="J59" s="54">
        <v>96</v>
      </c>
      <c r="K59" s="39" t="s">
        <v>1323</v>
      </c>
      <c r="L59" s="128" t="s">
        <v>854</v>
      </c>
      <c r="M59" s="39" t="s">
        <v>465</v>
      </c>
      <c r="N59" s="40">
        <v>43388</v>
      </c>
      <c r="O59" s="63" t="s">
        <v>17</v>
      </c>
      <c r="P59" s="63" t="s">
        <v>17</v>
      </c>
      <c r="Q59" s="63" t="s">
        <v>17</v>
      </c>
      <c r="R59" s="65" t="s">
        <v>26</v>
      </c>
      <c r="S59" s="34" t="s">
        <v>10</v>
      </c>
      <c r="T59" s="34" t="s">
        <v>11</v>
      </c>
      <c r="U59" s="35">
        <v>0.2</v>
      </c>
      <c r="V59" s="35">
        <v>4.2</v>
      </c>
      <c r="W59" s="35">
        <v>0.2</v>
      </c>
      <c r="X59" s="35">
        <v>100</v>
      </c>
      <c r="Y59" s="35">
        <v>340</v>
      </c>
      <c r="Z59" s="35">
        <v>480</v>
      </c>
      <c r="AA59" s="103">
        <v>0.42</v>
      </c>
      <c r="AB59" s="103">
        <v>0.84</v>
      </c>
      <c r="AC59" s="103">
        <v>1.26</v>
      </c>
      <c r="AD59" s="103">
        <v>2.1</v>
      </c>
      <c r="AE59" s="103">
        <v>3.15</v>
      </c>
      <c r="AF59" s="103">
        <v>4.2</v>
      </c>
      <c r="AG59" s="103">
        <v>91.8</v>
      </c>
      <c r="AH59" s="103">
        <v>94.4</v>
      </c>
      <c r="AI59" s="103">
        <v>95.2</v>
      </c>
      <c r="AJ59" s="103">
        <v>95.8</v>
      </c>
      <c r="AK59" s="103">
        <v>95.8</v>
      </c>
      <c r="AL59" s="103">
        <v>95.4</v>
      </c>
      <c r="AM59" s="103">
        <v>95.5</v>
      </c>
      <c r="AN59" s="103">
        <v>93.3</v>
      </c>
      <c r="AO59" s="103">
        <v>95.9</v>
      </c>
      <c r="AP59" s="103">
        <v>96.5</v>
      </c>
      <c r="AQ59" s="103">
        <v>96.7</v>
      </c>
      <c r="AR59" s="103">
        <v>96.7</v>
      </c>
      <c r="AS59" s="103">
        <v>96.5</v>
      </c>
      <c r="AT59" s="103">
        <v>96.5</v>
      </c>
      <c r="AU59" s="103">
        <v>91.3</v>
      </c>
      <c r="AV59" s="103">
        <v>95.1</v>
      </c>
      <c r="AW59" s="103">
        <v>95.9</v>
      </c>
      <c r="AX59" s="103">
        <v>96.3</v>
      </c>
      <c r="AY59" s="103">
        <v>96.4</v>
      </c>
      <c r="AZ59" s="103">
        <v>96.2</v>
      </c>
      <c r="BA59" s="103">
        <v>96</v>
      </c>
      <c r="BB59" s="40">
        <v>42917</v>
      </c>
      <c r="BC59" s="40">
        <v>43388</v>
      </c>
    </row>
    <row r="60" spans="1:55" s="120" customFormat="1" ht="62.25" customHeight="1">
      <c r="A60" s="9" t="s">
        <v>0</v>
      </c>
      <c r="B60" s="9" t="s">
        <v>369</v>
      </c>
      <c r="C60" s="63" t="s">
        <v>10</v>
      </c>
      <c r="D60" s="63" t="s">
        <v>10</v>
      </c>
      <c r="E60" s="63" t="s">
        <v>11</v>
      </c>
      <c r="F60" s="63" t="s">
        <v>11</v>
      </c>
      <c r="G60" s="9" t="s">
        <v>97</v>
      </c>
      <c r="H60" s="54">
        <v>4.2</v>
      </c>
      <c r="I60" s="35">
        <v>277</v>
      </c>
      <c r="J60" s="54">
        <v>96</v>
      </c>
      <c r="K60" s="39" t="s">
        <v>1323</v>
      </c>
      <c r="L60" s="128" t="s">
        <v>854</v>
      </c>
      <c r="M60" s="39" t="s">
        <v>465</v>
      </c>
      <c r="N60" s="40">
        <v>43388</v>
      </c>
      <c r="O60" s="63" t="s">
        <v>17</v>
      </c>
      <c r="P60" s="63" t="s">
        <v>17</v>
      </c>
      <c r="Q60" s="63" t="s">
        <v>17</v>
      </c>
      <c r="R60" s="65" t="s">
        <v>26</v>
      </c>
      <c r="S60" s="34" t="s">
        <v>10</v>
      </c>
      <c r="T60" s="34" t="s">
        <v>11</v>
      </c>
      <c r="U60" s="35">
        <v>0.2</v>
      </c>
      <c r="V60" s="35">
        <v>4.2</v>
      </c>
      <c r="W60" s="35">
        <v>0.2</v>
      </c>
      <c r="X60" s="35">
        <v>100</v>
      </c>
      <c r="Y60" s="35">
        <v>395</v>
      </c>
      <c r="Z60" s="35">
        <v>480</v>
      </c>
      <c r="AA60" s="103">
        <v>0.42</v>
      </c>
      <c r="AB60" s="103">
        <v>0.84</v>
      </c>
      <c r="AC60" s="103">
        <v>1.26</v>
      </c>
      <c r="AD60" s="103">
        <v>2.1</v>
      </c>
      <c r="AE60" s="103">
        <v>3.15</v>
      </c>
      <c r="AF60" s="103">
        <v>4.2</v>
      </c>
      <c r="AG60" s="103">
        <v>90.8</v>
      </c>
      <c r="AH60" s="103">
        <v>93.9</v>
      </c>
      <c r="AI60" s="103">
        <v>94.8</v>
      </c>
      <c r="AJ60" s="103">
        <v>95.6</v>
      </c>
      <c r="AK60" s="103">
        <v>95.7</v>
      </c>
      <c r="AL60" s="103">
        <v>95.6</v>
      </c>
      <c r="AM60" s="103">
        <v>95.3</v>
      </c>
      <c r="AN60" s="103">
        <v>92.8</v>
      </c>
      <c r="AO60" s="103">
        <v>95.8</v>
      </c>
      <c r="AP60" s="103">
        <v>96.6</v>
      </c>
      <c r="AQ60" s="103">
        <v>97</v>
      </c>
      <c r="AR60" s="103">
        <v>97</v>
      </c>
      <c r="AS60" s="103">
        <v>96.9</v>
      </c>
      <c r="AT60" s="103">
        <v>96.7</v>
      </c>
      <c r="AU60" s="103">
        <v>91.6</v>
      </c>
      <c r="AV60" s="103">
        <v>95.4</v>
      </c>
      <c r="AW60" s="103">
        <v>96.2</v>
      </c>
      <c r="AX60" s="103">
        <v>96.7</v>
      </c>
      <c r="AY60" s="103">
        <v>96.8</v>
      </c>
      <c r="AZ60" s="103">
        <v>96.7</v>
      </c>
      <c r="BA60" s="103">
        <v>96.4</v>
      </c>
      <c r="BB60" s="40">
        <v>42917</v>
      </c>
      <c r="BC60" s="40">
        <v>43388</v>
      </c>
    </row>
    <row r="61" spans="1:55" s="120" customFormat="1" ht="62.25" customHeight="1">
      <c r="A61" s="9" t="s">
        <v>0</v>
      </c>
      <c r="B61" s="9" t="s">
        <v>370</v>
      </c>
      <c r="C61" s="63" t="s">
        <v>10</v>
      </c>
      <c r="D61" s="63" t="s">
        <v>10</v>
      </c>
      <c r="E61" s="63" t="s">
        <v>11</v>
      </c>
      <c r="F61" s="63" t="s">
        <v>11</v>
      </c>
      <c r="G61" s="9" t="s">
        <v>95</v>
      </c>
      <c r="H61" s="54">
        <v>4.2</v>
      </c>
      <c r="I61" s="35">
        <v>208</v>
      </c>
      <c r="J61" s="54">
        <v>96</v>
      </c>
      <c r="K61" s="39" t="s">
        <v>1323</v>
      </c>
      <c r="L61" s="128" t="s">
        <v>854</v>
      </c>
      <c r="M61" s="39" t="s">
        <v>465</v>
      </c>
      <c r="N61" s="40">
        <v>43388</v>
      </c>
      <c r="O61" s="63" t="s">
        <v>17</v>
      </c>
      <c r="P61" s="63" t="s">
        <v>17</v>
      </c>
      <c r="Q61" s="63" t="s">
        <v>17</v>
      </c>
      <c r="R61" s="65" t="s">
        <v>26</v>
      </c>
      <c r="S61" s="34" t="s">
        <v>10</v>
      </c>
      <c r="T61" s="34" t="s">
        <v>11</v>
      </c>
      <c r="U61" s="35">
        <v>0.1</v>
      </c>
      <c r="V61" s="35">
        <v>4.2</v>
      </c>
      <c r="W61" s="35">
        <v>0.1</v>
      </c>
      <c r="X61" s="35">
        <v>100</v>
      </c>
      <c r="Y61" s="35">
        <v>310</v>
      </c>
      <c r="Z61" s="35">
        <v>480</v>
      </c>
      <c r="AA61" s="103">
        <v>0.42</v>
      </c>
      <c r="AB61" s="103">
        <v>0.84</v>
      </c>
      <c r="AC61" s="103">
        <v>1.26</v>
      </c>
      <c r="AD61" s="103">
        <v>2.1</v>
      </c>
      <c r="AE61" s="103">
        <v>3.15</v>
      </c>
      <c r="AF61" s="103">
        <v>4.2</v>
      </c>
      <c r="AG61" s="103">
        <v>92.9</v>
      </c>
      <c r="AH61" s="103">
        <v>95</v>
      </c>
      <c r="AI61" s="103">
        <v>95.6</v>
      </c>
      <c r="AJ61" s="103">
        <v>95.9</v>
      </c>
      <c r="AK61" s="103">
        <v>95.8</v>
      </c>
      <c r="AL61" s="103">
        <v>95.4</v>
      </c>
      <c r="AM61" s="103">
        <v>95.6</v>
      </c>
      <c r="AN61" s="103">
        <v>93.5</v>
      </c>
      <c r="AO61" s="103">
        <v>95.8</v>
      </c>
      <c r="AP61" s="103">
        <v>96.3</v>
      </c>
      <c r="AQ61" s="103">
        <v>96.4</v>
      </c>
      <c r="AR61" s="103">
        <v>96.3</v>
      </c>
      <c r="AS61" s="103">
        <v>95.9</v>
      </c>
      <c r="AT61" s="103">
        <v>96.1</v>
      </c>
      <c r="AU61" s="103">
        <v>91.4</v>
      </c>
      <c r="AV61" s="103">
        <v>94.9</v>
      </c>
      <c r="AW61" s="103">
        <v>95.6</v>
      </c>
      <c r="AX61" s="103">
        <v>95.9</v>
      </c>
      <c r="AY61" s="103">
        <v>95.8</v>
      </c>
      <c r="AZ61" s="103">
        <v>95.5</v>
      </c>
      <c r="BA61" s="103">
        <v>95.6</v>
      </c>
      <c r="BB61" s="40">
        <v>42917</v>
      </c>
      <c r="BC61" s="40">
        <v>43388</v>
      </c>
    </row>
    <row r="62" spans="1:55" s="120" customFormat="1" ht="62.25" customHeight="1">
      <c r="A62" s="9" t="s">
        <v>0</v>
      </c>
      <c r="B62" s="9" t="s">
        <v>371</v>
      </c>
      <c r="C62" s="63" t="s">
        <v>10</v>
      </c>
      <c r="D62" s="63" t="s">
        <v>10</v>
      </c>
      <c r="E62" s="63" t="s">
        <v>11</v>
      </c>
      <c r="F62" s="63" t="s">
        <v>11</v>
      </c>
      <c r="G62" s="9" t="s">
        <v>96</v>
      </c>
      <c r="H62" s="54">
        <v>4.2</v>
      </c>
      <c r="I62" s="35">
        <v>240</v>
      </c>
      <c r="J62" s="54">
        <v>96</v>
      </c>
      <c r="K62" s="39" t="s">
        <v>1323</v>
      </c>
      <c r="L62" s="128" t="s">
        <v>854</v>
      </c>
      <c r="M62" s="39" t="s">
        <v>465</v>
      </c>
      <c r="N62" s="40">
        <v>43388</v>
      </c>
      <c r="O62" s="63" t="s">
        <v>17</v>
      </c>
      <c r="P62" s="63" t="s">
        <v>17</v>
      </c>
      <c r="Q62" s="63" t="s">
        <v>17</v>
      </c>
      <c r="R62" s="65" t="s">
        <v>26</v>
      </c>
      <c r="S62" s="34" t="s">
        <v>10</v>
      </c>
      <c r="T62" s="34" t="s">
        <v>11</v>
      </c>
      <c r="U62" s="35">
        <v>0.2</v>
      </c>
      <c r="V62" s="35">
        <v>4.2</v>
      </c>
      <c r="W62" s="35">
        <v>0.2</v>
      </c>
      <c r="X62" s="35">
        <v>100</v>
      </c>
      <c r="Y62" s="35">
        <v>340</v>
      </c>
      <c r="Z62" s="35">
        <v>480</v>
      </c>
      <c r="AA62" s="103">
        <v>0.42</v>
      </c>
      <c r="AB62" s="103">
        <v>0.84</v>
      </c>
      <c r="AC62" s="103">
        <v>1.26</v>
      </c>
      <c r="AD62" s="103">
        <v>2.1</v>
      </c>
      <c r="AE62" s="103">
        <v>3.15</v>
      </c>
      <c r="AF62" s="103">
        <v>4.2</v>
      </c>
      <c r="AG62" s="103">
        <v>91.8</v>
      </c>
      <c r="AH62" s="103">
        <v>94.4</v>
      </c>
      <c r="AI62" s="103">
        <v>95.2</v>
      </c>
      <c r="AJ62" s="103">
        <v>95.8</v>
      </c>
      <c r="AK62" s="103">
        <v>95.8</v>
      </c>
      <c r="AL62" s="103">
        <v>95.4</v>
      </c>
      <c r="AM62" s="103">
        <v>95.5</v>
      </c>
      <c r="AN62" s="103">
        <v>93.3</v>
      </c>
      <c r="AO62" s="103">
        <v>95.9</v>
      </c>
      <c r="AP62" s="103">
        <v>96.5</v>
      </c>
      <c r="AQ62" s="103">
        <v>96.7</v>
      </c>
      <c r="AR62" s="103">
        <v>96.7</v>
      </c>
      <c r="AS62" s="103">
        <v>96.5</v>
      </c>
      <c r="AT62" s="103">
        <v>96.5</v>
      </c>
      <c r="AU62" s="103">
        <v>91.3</v>
      </c>
      <c r="AV62" s="103">
        <v>95.1</v>
      </c>
      <c r="AW62" s="103">
        <v>95.9</v>
      </c>
      <c r="AX62" s="103">
        <v>96.3</v>
      </c>
      <c r="AY62" s="103">
        <v>96.4</v>
      </c>
      <c r="AZ62" s="103">
        <v>96.2</v>
      </c>
      <c r="BA62" s="103">
        <v>96</v>
      </c>
      <c r="BB62" s="40">
        <v>42917</v>
      </c>
      <c r="BC62" s="40">
        <v>43388</v>
      </c>
    </row>
    <row r="63" spans="1:55" s="120" customFormat="1" ht="62.25" customHeight="1">
      <c r="A63" s="9" t="s">
        <v>0</v>
      </c>
      <c r="B63" s="9" t="s">
        <v>372</v>
      </c>
      <c r="C63" s="63" t="s">
        <v>10</v>
      </c>
      <c r="D63" s="63" t="s">
        <v>10</v>
      </c>
      <c r="E63" s="63" t="s">
        <v>11</v>
      </c>
      <c r="F63" s="63" t="s">
        <v>11</v>
      </c>
      <c r="G63" s="9" t="s">
        <v>97</v>
      </c>
      <c r="H63" s="54">
        <v>4.2</v>
      </c>
      <c r="I63" s="35">
        <v>277</v>
      </c>
      <c r="J63" s="54">
        <v>96</v>
      </c>
      <c r="K63" s="39" t="s">
        <v>1323</v>
      </c>
      <c r="L63" s="128" t="s">
        <v>854</v>
      </c>
      <c r="M63" s="39" t="s">
        <v>465</v>
      </c>
      <c r="N63" s="40">
        <v>43388</v>
      </c>
      <c r="O63" s="63" t="s">
        <v>17</v>
      </c>
      <c r="P63" s="63" t="s">
        <v>17</v>
      </c>
      <c r="Q63" s="63" t="s">
        <v>17</v>
      </c>
      <c r="R63" s="65" t="s">
        <v>26</v>
      </c>
      <c r="S63" s="34" t="s">
        <v>10</v>
      </c>
      <c r="T63" s="34" t="s">
        <v>11</v>
      </c>
      <c r="U63" s="35">
        <v>0.2</v>
      </c>
      <c r="V63" s="35">
        <v>4.2</v>
      </c>
      <c r="W63" s="35">
        <v>0.2</v>
      </c>
      <c r="X63" s="35">
        <v>100</v>
      </c>
      <c r="Y63" s="35">
        <v>395</v>
      </c>
      <c r="Z63" s="35">
        <v>480</v>
      </c>
      <c r="AA63" s="103">
        <v>0.42</v>
      </c>
      <c r="AB63" s="103">
        <v>0.84</v>
      </c>
      <c r="AC63" s="103">
        <v>1.26</v>
      </c>
      <c r="AD63" s="103">
        <v>2.1</v>
      </c>
      <c r="AE63" s="103">
        <v>3.15</v>
      </c>
      <c r="AF63" s="103">
        <v>4.2</v>
      </c>
      <c r="AG63" s="103">
        <v>90.8</v>
      </c>
      <c r="AH63" s="103">
        <v>93.9</v>
      </c>
      <c r="AI63" s="103">
        <v>94.8</v>
      </c>
      <c r="AJ63" s="103">
        <v>95.6</v>
      </c>
      <c r="AK63" s="103">
        <v>95.7</v>
      </c>
      <c r="AL63" s="103">
        <v>95.6</v>
      </c>
      <c r="AM63" s="103">
        <v>95.3</v>
      </c>
      <c r="AN63" s="103">
        <v>92.8</v>
      </c>
      <c r="AO63" s="103">
        <v>95.8</v>
      </c>
      <c r="AP63" s="103">
        <v>96.6</v>
      </c>
      <c r="AQ63" s="103">
        <v>97</v>
      </c>
      <c r="AR63" s="103">
        <v>97</v>
      </c>
      <c r="AS63" s="103">
        <v>96.9</v>
      </c>
      <c r="AT63" s="103">
        <v>96.7</v>
      </c>
      <c r="AU63" s="103">
        <v>91.6</v>
      </c>
      <c r="AV63" s="103">
        <v>95.4</v>
      </c>
      <c r="AW63" s="103">
        <v>96.2</v>
      </c>
      <c r="AX63" s="103">
        <v>96.7</v>
      </c>
      <c r="AY63" s="103">
        <v>96.8</v>
      </c>
      <c r="AZ63" s="103">
        <v>96.7</v>
      </c>
      <c r="BA63" s="103">
        <v>96.4</v>
      </c>
      <c r="BB63" s="40">
        <v>42917</v>
      </c>
      <c r="BC63" s="40">
        <v>43388</v>
      </c>
    </row>
    <row r="64" spans="1:55" s="120" customFormat="1" ht="62.25" customHeight="1">
      <c r="A64" s="9" t="s">
        <v>0</v>
      </c>
      <c r="B64" s="9" t="s">
        <v>890</v>
      </c>
      <c r="C64" s="63" t="s">
        <v>10</v>
      </c>
      <c r="D64" s="63" t="s">
        <v>10</v>
      </c>
      <c r="E64" s="63" t="s">
        <v>11</v>
      </c>
      <c r="F64" s="63" t="s">
        <v>11</v>
      </c>
      <c r="G64" s="9" t="s">
        <v>98</v>
      </c>
      <c r="H64" s="35">
        <v>4.2</v>
      </c>
      <c r="I64" s="35">
        <v>208</v>
      </c>
      <c r="J64" s="35">
        <v>96</v>
      </c>
      <c r="K64" s="39" t="s">
        <v>1323</v>
      </c>
      <c r="L64" s="128" t="s">
        <v>854</v>
      </c>
      <c r="M64" s="39" t="s">
        <v>465</v>
      </c>
      <c r="N64" s="40">
        <v>43388</v>
      </c>
      <c r="O64" s="63" t="s">
        <v>17</v>
      </c>
      <c r="P64" s="63" t="s">
        <v>17</v>
      </c>
      <c r="Q64" s="63" t="s">
        <v>17</v>
      </c>
      <c r="R64" s="65" t="s">
        <v>26</v>
      </c>
      <c r="S64" s="34" t="s">
        <v>10</v>
      </c>
      <c r="T64" s="34" t="s">
        <v>11</v>
      </c>
      <c r="U64" s="35">
        <v>0.1</v>
      </c>
      <c r="V64" s="35"/>
      <c r="W64" s="35"/>
      <c r="X64" s="35">
        <v>100</v>
      </c>
      <c r="Y64" s="35">
        <v>310</v>
      </c>
      <c r="Z64" s="35">
        <v>480</v>
      </c>
      <c r="AA64" s="103">
        <v>0.42</v>
      </c>
      <c r="AB64" s="103">
        <v>0.84</v>
      </c>
      <c r="AC64" s="103">
        <v>1.26</v>
      </c>
      <c r="AD64" s="103">
        <v>2.1</v>
      </c>
      <c r="AE64" s="103">
        <v>3.15</v>
      </c>
      <c r="AF64" s="103">
        <v>4.2</v>
      </c>
      <c r="AG64" s="103">
        <v>92.9</v>
      </c>
      <c r="AH64" s="103">
        <v>95</v>
      </c>
      <c r="AI64" s="103">
        <v>95.6</v>
      </c>
      <c r="AJ64" s="103">
        <v>95.9</v>
      </c>
      <c r="AK64" s="103">
        <v>95.8</v>
      </c>
      <c r="AL64" s="103">
        <v>95.4</v>
      </c>
      <c r="AM64" s="103">
        <v>95.6</v>
      </c>
      <c r="AN64" s="103">
        <v>93.5</v>
      </c>
      <c r="AO64" s="103">
        <v>95.8</v>
      </c>
      <c r="AP64" s="103">
        <v>96.3</v>
      </c>
      <c r="AQ64" s="103">
        <v>96.4</v>
      </c>
      <c r="AR64" s="103">
        <v>96.3</v>
      </c>
      <c r="AS64" s="103">
        <v>95.9</v>
      </c>
      <c r="AT64" s="103">
        <v>96.1</v>
      </c>
      <c r="AU64" s="103">
        <v>91.4</v>
      </c>
      <c r="AV64" s="103">
        <v>94.9</v>
      </c>
      <c r="AW64" s="103">
        <v>95.6</v>
      </c>
      <c r="AX64" s="103">
        <v>95.9</v>
      </c>
      <c r="AY64" s="103">
        <v>95.8</v>
      </c>
      <c r="AZ64" s="103">
        <v>95.5</v>
      </c>
      <c r="BA64" s="103">
        <v>95.6</v>
      </c>
      <c r="BB64" s="40">
        <v>42917</v>
      </c>
      <c r="BC64" s="40">
        <v>43388</v>
      </c>
    </row>
    <row r="65" spans="1:55" s="120" customFormat="1" ht="62.25" customHeight="1">
      <c r="A65" s="9" t="s">
        <v>0</v>
      </c>
      <c r="B65" s="9" t="s">
        <v>891</v>
      </c>
      <c r="C65" s="63" t="s">
        <v>10</v>
      </c>
      <c r="D65" s="63" t="s">
        <v>10</v>
      </c>
      <c r="E65" s="63" t="s">
        <v>11</v>
      </c>
      <c r="F65" s="63" t="s">
        <v>11</v>
      </c>
      <c r="G65" s="9" t="s">
        <v>99</v>
      </c>
      <c r="H65" s="35">
        <v>4.2</v>
      </c>
      <c r="I65" s="35">
        <v>240</v>
      </c>
      <c r="J65" s="35">
        <v>96</v>
      </c>
      <c r="K65" s="39" t="s">
        <v>1323</v>
      </c>
      <c r="L65" s="128" t="s">
        <v>854</v>
      </c>
      <c r="M65" s="39" t="s">
        <v>465</v>
      </c>
      <c r="N65" s="40">
        <v>43388</v>
      </c>
      <c r="O65" s="63" t="s">
        <v>17</v>
      </c>
      <c r="P65" s="63" t="s">
        <v>17</v>
      </c>
      <c r="Q65" s="63" t="s">
        <v>17</v>
      </c>
      <c r="R65" s="65" t="s">
        <v>26</v>
      </c>
      <c r="S65" s="34" t="s">
        <v>10</v>
      </c>
      <c r="T65" s="34" t="s">
        <v>11</v>
      </c>
      <c r="U65" s="35">
        <v>0.2</v>
      </c>
      <c r="V65" s="35"/>
      <c r="W65" s="35"/>
      <c r="X65" s="35">
        <v>100</v>
      </c>
      <c r="Y65" s="35">
        <v>340</v>
      </c>
      <c r="Z65" s="35">
        <v>480</v>
      </c>
      <c r="AA65" s="103">
        <v>0.42</v>
      </c>
      <c r="AB65" s="103">
        <v>0.84</v>
      </c>
      <c r="AC65" s="103">
        <v>1.26</v>
      </c>
      <c r="AD65" s="103">
        <v>2.1</v>
      </c>
      <c r="AE65" s="103">
        <v>3.15</v>
      </c>
      <c r="AF65" s="103">
        <v>4.2</v>
      </c>
      <c r="AG65" s="103">
        <v>91.8</v>
      </c>
      <c r="AH65" s="103">
        <v>94.4</v>
      </c>
      <c r="AI65" s="103">
        <v>95.2</v>
      </c>
      <c r="AJ65" s="103">
        <v>95.8</v>
      </c>
      <c r="AK65" s="103">
        <v>95.8</v>
      </c>
      <c r="AL65" s="103">
        <v>95.4</v>
      </c>
      <c r="AM65" s="103">
        <v>95.5</v>
      </c>
      <c r="AN65" s="103">
        <v>93.3</v>
      </c>
      <c r="AO65" s="103">
        <v>95.9</v>
      </c>
      <c r="AP65" s="103">
        <v>96.5</v>
      </c>
      <c r="AQ65" s="103">
        <v>96.7</v>
      </c>
      <c r="AR65" s="103">
        <v>96.7</v>
      </c>
      <c r="AS65" s="103">
        <v>96.5</v>
      </c>
      <c r="AT65" s="103">
        <v>96.5</v>
      </c>
      <c r="AU65" s="103">
        <v>91.3</v>
      </c>
      <c r="AV65" s="103">
        <v>95.1</v>
      </c>
      <c r="AW65" s="103">
        <v>95.9</v>
      </c>
      <c r="AX65" s="103">
        <v>96.3</v>
      </c>
      <c r="AY65" s="103">
        <v>96.4</v>
      </c>
      <c r="AZ65" s="103">
        <v>96.2</v>
      </c>
      <c r="BA65" s="103">
        <v>96</v>
      </c>
      <c r="BB65" s="40">
        <v>42917</v>
      </c>
      <c r="BC65" s="40">
        <v>43388</v>
      </c>
    </row>
    <row r="66" spans="1:55" s="120" customFormat="1" ht="62.25" customHeight="1">
      <c r="A66" s="9" t="s">
        <v>0</v>
      </c>
      <c r="B66" s="9" t="s">
        <v>892</v>
      </c>
      <c r="C66" s="63" t="s">
        <v>10</v>
      </c>
      <c r="D66" s="63" t="s">
        <v>10</v>
      </c>
      <c r="E66" s="63" t="s">
        <v>11</v>
      </c>
      <c r="F66" s="63" t="s">
        <v>11</v>
      </c>
      <c r="G66" s="9" t="s">
        <v>100</v>
      </c>
      <c r="H66" s="35">
        <v>4.2</v>
      </c>
      <c r="I66" s="35">
        <v>277</v>
      </c>
      <c r="J66" s="35">
        <v>96</v>
      </c>
      <c r="K66" s="39" t="s">
        <v>1323</v>
      </c>
      <c r="L66" s="128" t="s">
        <v>854</v>
      </c>
      <c r="M66" s="39" t="s">
        <v>465</v>
      </c>
      <c r="N66" s="40">
        <v>43388</v>
      </c>
      <c r="O66" s="63" t="s">
        <v>17</v>
      </c>
      <c r="P66" s="63" t="s">
        <v>17</v>
      </c>
      <c r="Q66" s="63" t="s">
        <v>17</v>
      </c>
      <c r="R66" s="65" t="s">
        <v>26</v>
      </c>
      <c r="S66" s="34" t="s">
        <v>10</v>
      </c>
      <c r="T66" s="34" t="s">
        <v>11</v>
      </c>
      <c r="U66" s="35">
        <v>0.2</v>
      </c>
      <c r="V66" s="35"/>
      <c r="W66" s="35"/>
      <c r="X66" s="35">
        <v>100</v>
      </c>
      <c r="Y66" s="35">
        <v>395</v>
      </c>
      <c r="Z66" s="35">
        <v>480</v>
      </c>
      <c r="AA66" s="103">
        <v>0.42</v>
      </c>
      <c r="AB66" s="103">
        <v>0.84</v>
      </c>
      <c r="AC66" s="103">
        <v>1.26</v>
      </c>
      <c r="AD66" s="103">
        <v>2.1</v>
      </c>
      <c r="AE66" s="103">
        <v>3.15</v>
      </c>
      <c r="AF66" s="103">
        <v>4.2</v>
      </c>
      <c r="AG66" s="103">
        <v>90.8</v>
      </c>
      <c r="AH66" s="103">
        <v>93.9</v>
      </c>
      <c r="AI66" s="103">
        <v>94.8</v>
      </c>
      <c r="AJ66" s="103">
        <v>95.6</v>
      </c>
      <c r="AK66" s="103">
        <v>95.7</v>
      </c>
      <c r="AL66" s="103">
        <v>95.6</v>
      </c>
      <c r="AM66" s="103">
        <v>95.3</v>
      </c>
      <c r="AN66" s="103">
        <v>92.8</v>
      </c>
      <c r="AO66" s="103">
        <v>95.8</v>
      </c>
      <c r="AP66" s="103">
        <v>96.6</v>
      </c>
      <c r="AQ66" s="103">
        <v>97</v>
      </c>
      <c r="AR66" s="103">
        <v>97</v>
      </c>
      <c r="AS66" s="103">
        <v>96.9</v>
      </c>
      <c r="AT66" s="103">
        <v>96.7</v>
      </c>
      <c r="AU66" s="103">
        <v>91.6</v>
      </c>
      <c r="AV66" s="103">
        <v>95.4</v>
      </c>
      <c r="AW66" s="103">
        <v>96.2</v>
      </c>
      <c r="AX66" s="103">
        <v>96.7</v>
      </c>
      <c r="AY66" s="103">
        <v>96.8</v>
      </c>
      <c r="AZ66" s="103">
        <v>96.7</v>
      </c>
      <c r="BA66" s="103">
        <v>96.4</v>
      </c>
      <c r="BB66" s="40">
        <v>42917</v>
      </c>
      <c r="BC66" s="40">
        <v>43388</v>
      </c>
    </row>
    <row r="67" spans="1:55" s="120" customFormat="1" ht="62.25" customHeight="1">
      <c r="A67" s="55" t="s">
        <v>0</v>
      </c>
      <c r="B67" s="8" t="s">
        <v>893</v>
      </c>
      <c r="C67" s="138" t="s">
        <v>10</v>
      </c>
      <c r="D67" s="138" t="s">
        <v>10</v>
      </c>
      <c r="E67" s="63" t="s">
        <v>11</v>
      </c>
      <c r="F67" s="63" t="s">
        <v>11</v>
      </c>
      <c r="G67" s="9" t="s">
        <v>65</v>
      </c>
      <c r="H67" s="26">
        <v>4.2</v>
      </c>
      <c r="I67" s="25">
        <v>208</v>
      </c>
      <c r="J67" s="26">
        <v>96</v>
      </c>
      <c r="K67" s="39" t="s">
        <v>1323</v>
      </c>
      <c r="L67" s="129" t="s">
        <v>855</v>
      </c>
      <c r="M67" s="33" t="s">
        <v>467</v>
      </c>
      <c r="N67" s="40">
        <v>43388</v>
      </c>
      <c r="O67" s="63" t="s">
        <v>17</v>
      </c>
      <c r="P67" s="63" t="s">
        <v>17</v>
      </c>
      <c r="Q67" s="63" t="s">
        <v>17</v>
      </c>
      <c r="R67" s="26"/>
      <c r="S67" s="32" t="s">
        <v>10</v>
      </c>
      <c r="T67" s="32" t="s">
        <v>11</v>
      </c>
      <c r="U67" s="25">
        <v>0.9</v>
      </c>
      <c r="V67" s="25">
        <v>4.2</v>
      </c>
      <c r="W67" s="25">
        <v>0.9</v>
      </c>
      <c r="X67" s="25">
        <v>200</v>
      </c>
      <c r="Y67" s="25">
        <v>340</v>
      </c>
      <c r="Z67" s="25">
        <v>480</v>
      </c>
      <c r="AA67" s="95">
        <v>0.42</v>
      </c>
      <c r="AB67" s="95">
        <v>0.84</v>
      </c>
      <c r="AC67" s="95">
        <v>1.26</v>
      </c>
      <c r="AD67" s="95">
        <v>2.1</v>
      </c>
      <c r="AE67" s="95">
        <v>3.15</v>
      </c>
      <c r="AF67" s="95">
        <v>4.2</v>
      </c>
      <c r="AG67" s="95">
        <v>92.6</v>
      </c>
      <c r="AH67" s="95">
        <v>95</v>
      </c>
      <c r="AI67" s="95">
        <v>95.7</v>
      </c>
      <c r="AJ67" s="95">
        <v>95.6</v>
      </c>
      <c r="AK67" s="95">
        <v>95.2</v>
      </c>
      <c r="AL67" s="95">
        <v>95</v>
      </c>
      <c r="AM67" s="95">
        <v>95.2</v>
      </c>
      <c r="AN67" s="95">
        <v>94.1</v>
      </c>
      <c r="AO67" s="95">
        <v>96</v>
      </c>
      <c r="AP67" s="95">
        <v>96.4</v>
      </c>
      <c r="AQ67" s="95">
        <v>96.6</v>
      </c>
      <c r="AR67" s="95">
        <v>96.5</v>
      </c>
      <c r="AS67" s="95">
        <v>96.1</v>
      </c>
      <c r="AT67" s="95">
        <v>96.4</v>
      </c>
      <c r="AU67" s="95">
        <v>92.3</v>
      </c>
      <c r="AV67" s="95">
        <v>95.2</v>
      </c>
      <c r="AW67" s="95">
        <v>96</v>
      </c>
      <c r="AX67" s="95">
        <v>96.2</v>
      </c>
      <c r="AY67" s="95">
        <v>96</v>
      </c>
      <c r="AZ67" s="95">
        <v>95.8</v>
      </c>
      <c r="BA67" s="95">
        <v>95.8</v>
      </c>
      <c r="BB67" s="40">
        <v>42917</v>
      </c>
      <c r="BC67" s="40">
        <v>43388</v>
      </c>
    </row>
    <row r="68" spans="1:55" s="120" customFormat="1" ht="62.25" customHeight="1">
      <c r="A68" s="55" t="s">
        <v>0</v>
      </c>
      <c r="B68" s="8" t="s">
        <v>894</v>
      </c>
      <c r="C68" s="138" t="s">
        <v>10</v>
      </c>
      <c r="D68" s="138" t="s">
        <v>10</v>
      </c>
      <c r="E68" s="63" t="s">
        <v>11</v>
      </c>
      <c r="F68" s="63" t="s">
        <v>11</v>
      </c>
      <c r="G68" s="9" t="s">
        <v>66</v>
      </c>
      <c r="H68" s="26">
        <v>4.2</v>
      </c>
      <c r="I68" s="25">
        <v>208</v>
      </c>
      <c r="J68" s="26">
        <v>96</v>
      </c>
      <c r="K68" s="39" t="s">
        <v>1323</v>
      </c>
      <c r="L68" s="129" t="s">
        <v>855</v>
      </c>
      <c r="M68" s="33" t="s">
        <v>467</v>
      </c>
      <c r="N68" s="40">
        <v>43388</v>
      </c>
      <c r="O68" s="63" t="s">
        <v>17</v>
      </c>
      <c r="P68" s="63" t="s">
        <v>17</v>
      </c>
      <c r="Q68" s="63" t="s">
        <v>17</v>
      </c>
      <c r="R68" s="26"/>
      <c r="S68" s="32" t="s">
        <v>10</v>
      </c>
      <c r="T68" s="32" t="s">
        <v>11</v>
      </c>
      <c r="U68" s="25">
        <v>0.9</v>
      </c>
      <c r="V68" s="25">
        <v>4.2</v>
      </c>
      <c r="W68" s="25">
        <v>0.9</v>
      </c>
      <c r="X68" s="25">
        <v>200</v>
      </c>
      <c r="Y68" s="25">
        <v>340</v>
      </c>
      <c r="Z68" s="25">
        <v>480</v>
      </c>
      <c r="AA68" s="95">
        <v>0.42</v>
      </c>
      <c r="AB68" s="95">
        <v>0.84</v>
      </c>
      <c r="AC68" s="95">
        <v>1.26</v>
      </c>
      <c r="AD68" s="95">
        <v>2.1</v>
      </c>
      <c r="AE68" s="95">
        <v>3.15</v>
      </c>
      <c r="AF68" s="95">
        <v>4.2</v>
      </c>
      <c r="AG68" s="95">
        <v>92.6</v>
      </c>
      <c r="AH68" s="95">
        <v>95</v>
      </c>
      <c r="AI68" s="95">
        <v>95.7</v>
      </c>
      <c r="AJ68" s="95">
        <v>95.6</v>
      </c>
      <c r="AK68" s="95">
        <v>95.2</v>
      </c>
      <c r="AL68" s="95">
        <v>95</v>
      </c>
      <c r="AM68" s="95">
        <v>95.2</v>
      </c>
      <c r="AN68" s="95">
        <v>94.1</v>
      </c>
      <c r="AO68" s="95">
        <v>96</v>
      </c>
      <c r="AP68" s="95">
        <v>96.4</v>
      </c>
      <c r="AQ68" s="95">
        <v>96.6</v>
      </c>
      <c r="AR68" s="95">
        <v>96.5</v>
      </c>
      <c r="AS68" s="95">
        <v>96.1</v>
      </c>
      <c r="AT68" s="95">
        <v>96.4</v>
      </c>
      <c r="AU68" s="95">
        <v>92.3</v>
      </c>
      <c r="AV68" s="95">
        <v>95.2</v>
      </c>
      <c r="AW68" s="95">
        <v>96</v>
      </c>
      <c r="AX68" s="95">
        <v>96.2</v>
      </c>
      <c r="AY68" s="95">
        <v>96</v>
      </c>
      <c r="AZ68" s="95">
        <v>95.8</v>
      </c>
      <c r="BA68" s="95">
        <v>95.8</v>
      </c>
      <c r="BB68" s="40">
        <v>42917</v>
      </c>
      <c r="BC68" s="40">
        <v>43388</v>
      </c>
    </row>
    <row r="69" spans="1:55" s="120" customFormat="1" ht="62.25" customHeight="1">
      <c r="A69" s="55" t="s">
        <v>0</v>
      </c>
      <c r="B69" s="8" t="s">
        <v>895</v>
      </c>
      <c r="C69" s="138" t="s">
        <v>10</v>
      </c>
      <c r="D69" s="138" t="s">
        <v>10</v>
      </c>
      <c r="E69" s="63" t="s">
        <v>11</v>
      </c>
      <c r="F69" s="63" t="s">
        <v>11</v>
      </c>
      <c r="G69" s="9" t="s">
        <v>63</v>
      </c>
      <c r="H69" s="26">
        <v>4.2</v>
      </c>
      <c r="I69" s="25">
        <v>208</v>
      </c>
      <c r="J69" s="26">
        <v>96</v>
      </c>
      <c r="K69" s="39" t="s">
        <v>1323</v>
      </c>
      <c r="L69" s="129" t="s">
        <v>855</v>
      </c>
      <c r="M69" s="33" t="s">
        <v>467</v>
      </c>
      <c r="N69" s="40">
        <v>43388</v>
      </c>
      <c r="O69" s="63" t="s">
        <v>17</v>
      </c>
      <c r="P69" s="63" t="s">
        <v>17</v>
      </c>
      <c r="Q69" s="63" t="s">
        <v>17</v>
      </c>
      <c r="R69" s="26"/>
      <c r="S69" s="32" t="s">
        <v>10</v>
      </c>
      <c r="T69" s="32" t="s">
        <v>11</v>
      </c>
      <c r="U69" s="25">
        <v>0.9</v>
      </c>
      <c r="V69" s="25">
        <v>4.2</v>
      </c>
      <c r="W69" s="25">
        <v>0.9</v>
      </c>
      <c r="X69" s="25">
        <v>200</v>
      </c>
      <c r="Y69" s="25">
        <v>340</v>
      </c>
      <c r="Z69" s="25">
        <v>480</v>
      </c>
      <c r="AA69" s="95">
        <v>0.42</v>
      </c>
      <c r="AB69" s="95">
        <v>0.84</v>
      </c>
      <c r="AC69" s="95">
        <v>1.26</v>
      </c>
      <c r="AD69" s="95">
        <v>2.1</v>
      </c>
      <c r="AE69" s="95">
        <v>3.15</v>
      </c>
      <c r="AF69" s="95">
        <v>4.2</v>
      </c>
      <c r="AG69" s="95">
        <v>92.6</v>
      </c>
      <c r="AH69" s="95">
        <v>95</v>
      </c>
      <c r="AI69" s="95">
        <v>95.7</v>
      </c>
      <c r="AJ69" s="95">
        <v>95.6</v>
      </c>
      <c r="AK69" s="95">
        <v>95.2</v>
      </c>
      <c r="AL69" s="95">
        <v>95</v>
      </c>
      <c r="AM69" s="95">
        <v>95.2</v>
      </c>
      <c r="AN69" s="95">
        <v>94.1</v>
      </c>
      <c r="AO69" s="95">
        <v>96</v>
      </c>
      <c r="AP69" s="95">
        <v>96.4</v>
      </c>
      <c r="AQ69" s="95">
        <v>96.6</v>
      </c>
      <c r="AR69" s="95">
        <v>96.5</v>
      </c>
      <c r="AS69" s="95">
        <v>96.1</v>
      </c>
      <c r="AT69" s="95">
        <v>96.4</v>
      </c>
      <c r="AU69" s="95">
        <v>92.3</v>
      </c>
      <c r="AV69" s="95">
        <v>95.2</v>
      </c>
      <c r="AW69" s="95">
        <v>96</v>
      </c>
      <c r="AX69" s="95">
        <v>96.2</v>
      </c>
      <c r="AY69" s="95">
        <v>96</v>
      </c>
      <c r="AZ69" s="95">
        <v>95.8</v>
      </c>
      <c r="BA69" s="95">
        <v>95.8</v>
      </c>
      <c r="BB69" s="40">
        <v>42917</v>
      </c>
      <c r="BC69" s="40">
        <v>43388</v>
      </c>
    </row>
    <row r="70" spans="1:55" s="120" customFormat="1" ht="62.25" customHeight="1">
      <c r="A70" s="55" t="s">
        <v>0</v>
      </c>
      <c r="B70" s="8" t="s">
        <v>896</v>
      </c>
      <c r="C70" s="138" t="s">
        <v>10</v>
      </c>
      <c r="D70" s="138" t="s">
        <v>10</v>
      </c>
      <c r="E70" s="63" t="s">
        <v>11</v>
      </c>
      <c r="F70" s="63" t="s">
        <v>11</v>
      </c>
      <c r="G70" s="9" t="s">
        <v>64</v>
      </c>
      <c r="H70" s="26">
        <v>4.2</v>
      </c>
      <c r="I70" s="25">
        <v>208</v>
      </c>
      <c r="J70" s="26">
        <v>96</v>
      </c>
      <c r="K70" s="39" t="s">
        <v>1323</v>
      </c>
      <c r="L70" s="129" t="s">
        <v>855</v>
      </c>
      <c r="M70" s="33" t="s">
        <v>467</v>
      </c>
      <c r="N70" s="40">
        <v>43388</v>
      </c>
      <c r="O70" s="63" t="s">
        <v>17</v>
      </c>
      <c r="P70" s="63" t="s">
        <v>17</v>
      </c>
      <c r="Q70" s="63" t="s">
        <v>17</v>
      </c>
      <c r="R70" s="26"/>
      <c r="S70" s="32" t="s">
        <v>10</v>
      </c>
      <c r="T70" s="32" t="s">
        <v>11</v>
      </c>
      <c r="U70" s="25">
        <v>0.9</v>
      </c>
      <c r="V70" s="25">
        <v>4.2</v>
      </c>
      <c r="W70" s="25">
        <v>0.9</v>
      </c>
      <c r="X70" s="25">
        <v>200</v>
      </c>
      <c r="Y70" s="25">
        <v>340</v>
      </c>
      <c r="Z70" s="25">
        <v>480</v>
      </c>
      <c r="AA70" s="95">
        <v>0.42</v>
      </c>
      <c r="AB70" s="95">
        <v>0.84</v>
      </c>
      <c r="AC70" s="95">
        <v>1.26</v>
      </c>
      <c r="AD70" s="95">
        <v>2.1</v>
      </c>
      <c r="AE70" s="95">
        <v>3.15</v>
      </c>
      <c r="AF70" s="95">
        <v>4.2</v>
      </c>
      <c r="AG70" s="95">
        <v>92.6</v>
      </c>
      <c r="AH70" s="95">
        <v>95</v>
      </c>
      <c r="AI70" s="95">
        <v>95.7</v>
      </c>
      <c r="AJ70" s="95">
        <v>95.6</v>
      </c>
      <c r="AK70" s="95">
        <v>95.2</v>
      </c>
      <c r="AL70" s="95">
        <v>95</v>
      </c>
      <c r="AM70" s="95">
        <v>95.2</v>
      </c>
      <c r="AN70" s="95">
        <v>94.1</v>
      </c>
      <c r="AO70" s="95">
        <v>96</v>
      </c>
      <c r="AP70" s="95">
        <v>96.4</v>
      </c>
      <c r="AQ70" s="95">
        <v>96.6</v>
      </c>
      <c r="AR70" s="95">
        <v>96.5</v>
      </c>
      <c r="AS70" s="95">
        <v>96.1</v>
      </c>
      <c r="AT70" s="95">
        <v>96.4</v>
      </c>
      <c r="AU70" s="95">
        <v>92.3</v>
      </c>
      <c r="AV70" s="95">
        <v>95.2</v>
      </c>
      <c r="AW70" s="95">
        <v>96</v>
      </c>
      <c r="AX70" s="95">
        <v>96.2</v>
      </c>
      <c r="AY70" s="95">
        <v>96</v>
      </c>
      <c r="AZ70" s="95">
        <v>95.8</v>
      </c>
      <c r="BA70" s="95">
        <v>95.8</v>
      </c>
      <c r="BB70" s="40">
        <v>42917</v>
      </c>
      <c r="BC70" s="40">
        <v>43388</v>
      </c>
    </row>
    <row r="71" spans="1:55" s="120" customFormat="1" ht="62.25" customHeight="1">
      <c r="A71" s="55" t="s">
        <v>0</v>
      </c>
      <c r="B71" s="4" t="s">
        <v>897</v>
      </c>
      <c r="C71" s="139" t="s">
        <v>10</v>
      </c>
      <c r="D71" s="139" t="s">
        <v>10</v>
      </c>
      <c r="E71" s="63" t="s">
        <v>11</v>
      </c>
      <c r="F71" s="63" t="s">
        <v>11</v>
      </c>
      <c r="G71" s="75" t="s">
        <v>101</v>
      </c>
      <c r="H71" s="26">
        <v>4.5999999999999996</v>
      </c>
      <c r="I71" s="25">
        <v>240</v>
      </c>
      <c r="J71" s="26">
        <v>96.5</v>
      </c>
      <c r="K71" s="39" t="s">
        <v>1323</v>
      </c>
      <c r="L71" s="128" t="s">
        <v>855</v>
      </c>
      <c r="M71" s="39" t="s">
        <v>467</v>
      </c>
      <c r="N71" s="40">
        <v>43388</v>
      </c>
      <c r="O71" s="63" t="s">
        <v>17</v>
      </c>
      <c r="P71" s="63" t="s">
        <v>17</v>
      </c>
      <c r="Q71" s="63" t="s">
        <v>17</v>
      </c>
      <c r="R71" s="65"/>
      <c r="S71" s="34" t="s">
        <v>10</v>
      </c>
      <c r="T71" s="34" t="s">
        <v>11</v>
      </c>
      <c r="U71" s="35">
        <v>1</v>
      </c>
      <c r="V71" s="35">
        <v>4.5999999999999996</v>
      </c>
      <c r="W71" s="35">
        <v>1</v>
      </c>
      <c r="X71" s="35">
        <v>200</v>
      </c>
      <c r="Y71" s="35">
        <v>355</v>
      </c>
      <c r="Z71" s="35">
        <v>480</v>
      </c>
      <c r="AA71" s="103">
        <v>0.46</v>
      </c>
      <c r="AB71" s="103">
        <v>0.92</v>
      </c>
      <c r="AC71" s="103">
        <v>1.38</v>
      </c>
      <c r="AD71" s="103">
        <v>2.2999999999999998</v>
      </c>
      <c r="AE71" s="103">
        <v>3.45</v>
      </c>
      <c r="AF71" s="103">
        <v>4.5999999999999996</v>
      </c>
      <c r="AG71" s="103">
        <v>93.1</v>
      </c>
      <c r="AH71" s="103">
        <v>95.3</v>
      </c>
      <c r="AI71" s="103">
        <v>95.9</v>
      </c>
      <c r="AJ71" s="103">
        <v>96</v>
      </c>
      <c r="AK71" s="103">
        <v>95.9</v>
      </c>
      <c r="AL71" s="103">
        <v>95.5</v>
      </c>
      <c r="AM71" s="103">
        <v>95.8</v>
      </c>
      <c r="AN71" s="103">
        <v>94.5</v>
      </c>
      <c r="AO71" s="103">
        <v>96.3</v>
      </c>
      <c r="AP71" s="103">
        <v>96.8</v>
      </c>
      <c r="AQ71" s="103">
        <v>97</v>
      </c>
      <c r="AR71" s="103">
        <v>96.9</v>
      </c>
      <c r="AS71" s="103">
        <v>96.6</v>
      </c>
      <c r="AT71" s="103">
        <v>96.8</v>
      </c>
      <c r="AU71" s="103">
        <v>92.6</v>
      </c>
      <c r="AV71" s="103">
        <v>95.6</v>
      </c>
      <c r="AW71" s="103">
        <v>96.3</v>
      </c>
      <c r="AX71" s="103">
        <v>96.6</v>
      </c>
      <c r="AY71" s="103">
        <v>96.6</v>
      </c>
      <c r="AZ71" s="103">
        <v>96.3</v>
      </c>
      <c r="BA71" s="103">
        <v>96.4</v>
      </c>
      <c r="BB71" s="40">
        <v>42917</v>
      </c>
      <c r="BC71" s="40">
        <v>43388</v>
      </c>
    </row>
    <row r="72" spans="1:55" s="120" customFormat="1" ht="62.25" customHeight="1">
      <c r="A72" s="55" t="s">
        <v>0</v>
      </c>
      <c r="B72" s="4" t="s">
        <v>898</v>
      </c>
      <c r="C72" s="139" t="s">
        <v>10</v>
      </c>
      <c r="D72" s="139" t="s">
        <v>10</v>
      </c>
      <c r="E72" s="63" t="s">
        <v>11</v>
      </c>
      <c r="F72" s="63" t="s">
        <v>11</v>
      </c>
      <c r="G72" s="75" t="s">
        <v>102</v>
      </c>
      <c r="H72" s="26">
        <v>4.5999999999999996</v>
      </c>
      <c r="I72" s="25">
        <v>240</v>
      </c>
      <c r="J72" s="26">
        <v>96.5</v>
      </c>
      <c r="K72" s="39" t="s">
        <v>1323</v>
      </c>
      <c r="L72" s="128" t="s">
        <v>855</v>
      </c>
      <c r="M72" s="39" t="s">
        <v>467</v>
      </c>
      <c r="N72" s="40">
        <v>43388</v>
      </c>
      <c r="O72" s="63" t="s">
        <v>17</v>
      </c>
      <c r="P72" s="63" t="s">
        <v>17</v>
      </c>
      <c r="Q72" s="63" t="s">
        <v>17</v>
      </c>
      <c r="R72" s="65"/>
      <c r="S72" s="34" t="s">
        <v>10</v>
      </c>
      <c r="T72" s="34" t="s">
        <v>11</v>
      </c>
      <c r="U72" s="35">
        <v>1</v>
      </c>
      <c r="V72" s="35">
        <v>4.5999999999999996</v>
      </c>
      <c r="W72" s="35">
        <v>1</v>
      </c>
      <c r="X72" s="35">
        <v>200</v>
      </c>
      <c r="Y72" s="35">
        <v>355</v>
      </c>
      <c r="Z72" s="35">
        <v>480</v>
      </c>
      <c r="AA72" s="103">
        <v>0.46</v>
      </c>
      <c r="AB72" s="103">
        <v>0.92</v>
      </c>
      <c r="AC72" s="103">
        <v>1.38</v>
      </c>
      <c r="AD72" s="103">
        <v>2.2999999999999998</v>
      </c>
      <c r="AE72" s="103">
        <v>3.45</v>
      </c>
      <c r="AF72" s="103">
        <v>4.5999999999999996</v>
      </c>
      <c r="AG72" s="103">
        <v>93.1</v>
      </c>
      <c r="AH72" s="103">
        <v>95.3</v>
      </c>
      <c r="AI72" s="103">
        <v>95.9</v>
      </c>
      <c r="AJ72" s="103">
        <v>96</v>
      </c>
      <c r="AK72" s="103">
        <v>95.9</v>
      </c>
      <c r="AL72" s="103">
        <v>95.5</v>
      </c>
      <c r="AM72" s="103">
        <v>95.8</v>
      </c>
      <c r="AN72" s="103">
        <v>94.5</v>
      </c>
      <c r="AO72" s="103">
        <v>96.3</v>
      </c>
      <c r="AP72" s="103">
        <v>96.8</v>
      </c>
      <c r="AQ72" s="103">
        <v>97</v>
      </c>
      <c r="AR72" s="103">
        <v>96.9</v>
      </c>
      <c r="AS72" s="103">
        <v>96.6</v>
      </c>
      <c r="AT72" s="103">
        <v>96.8</v>
      </c>
      <c r="AU72" s="103">
        <v>92.6</v>
      </c>
      <c r="AV72" s="103">
        <v>95.6</v>
      </c>
      <c r="AW72" s="103">
        <v>96.3</v>
      </c>
      <c r="AX72" s="103">
        <v>96.6</v>
      </c>
      <c r="AY72" s="103">
        <v>96.6</v>
      </c>
      <c r="AZ72" s="103">
        <v>96.3</v>
      </c>
      <c r="BA72" s="103">
        <v>96.4</v>
      </c>
      <c r="BB72" s="40">
        <v>42917</v>
      </c>
      <c r="BC72" s="40">
        <v>43388</v>
      </c>
    </row>
    <row r="73" spans="1:55" s="120" customFormat="1" ht="62.25" customHeight="1">
      <c r="A73" s="55" t="s">
        <v>0</v>
      </c>
      <c r="B73" s="75" t="s">
        <v>899</v>
      </c>
      <c r="C73" s="57" t="s">
        <v>10</v>
      </c>
      <c r="D73" s="57" t="s">
        <v>10</v>
      </c>
      <c r="E73" s="63" t="s">
        <v>11</v>
      </c>
      <c r="F73" s="63" t="s">
        <v>11</v>
      </c>
      <c r="G73" s="75" t="s">
        <v>103</v>
      </c>
      <c r="H73" s="26">
        <v>4.5999999999999996</v>
      </c>
      <c r="I73" s="25">
        <v>240</v>
      </c>
      <c r="J73" s="26">
        <v>96.5</v>
      </c>
      <c r="K73" s="39" t="s">
        <v>1323</v>
      </c>
      <c r="L73" s="128" t="s">
        <v>855</v>
      </c>
      <c r="M73" s="39" t="s">
        <v>467</v>
      </c>
      <c r="N73" s="40">
        <v>43388</v>
      </c>
      <c r="O73" s="63" t="s">
        <v>17</v>
      </c>
      <c r="P73" s="63" t="s">
        <v>17</v>
      </c>
      <c r="Q73" s="63" t="s">
        <v>17</v>
      </c>
      <c r="R73" s="65"/>
      <c r="S73" s="34" t="s">
        <v>10</v>
      </c>
      <c r="T73" s="34" t="s">
        <v>11</v>
      </c>
      <c r="U73" s="35">
        <v>1</v>
      </c>
      <c r="V73" s="35">
        <v>4.5999999999999996</v>
      </c>
      <c r="W73" s="35">
        <v>1</v>
      </c>
      <c r="X73" s="35">
        <v>200</v>
      </c>
      <c r="Y73" s="35">
        <v>355</v>
      </c>
      <c r="Z73" s="35">
        <v>480</v>
      </c>
      <c r="AA73" s="103">
        <v>0.46</v>
      </c>
      <c r="AB73" s="103">
        <v>0.92</v>
      </c>
      <c r="AC73" s="103">
        <v>1.38</v>
      </c>
      <c r="AD73" s="103">
        <v>2.2999999999999998</v>
      </c>
      <c r="AE73" s="103">
        <v>3.45</v>
      </c>
      <c r="AF73" s="103">
        <v>4.5999999999999996</v>
      </c>
      <c r="AG73" s="103">
        <v>93.1</v>
      </c>
      <c r="AH73" s="103">
        <v>95.3</v>
      </c>
      <c r="AI73" s="103">
        <v>95.9</v>
      </c>
      <c r="AJ73" s="103">
        <v>96</v>
      </c>
      <c r="AK73" s="103">
        <v>95.9</v>
      </c>
      <c r="AL73" s="103">
        <v>95.5</v>
      </c>
      <c r="AM73" s="103">
        <v>95.8</v>
      </c>
      <c r="AN73" s="103">
        <v>94.5</v>
      </c>
      <c r="AO73" s="103">
        <v>96.3</v>
      </c>
      <c r="AP73" s="103">
        <v>96.8</v>
      </c>
      <c r="AQ73" s="103">
        <v>97</v>
      </c>
      <c r="AR73" s="103">
        <v>96.9</v>
      </c>
      <c r="AS73" s="103">
        <v>96.6</v>
      </c>
      <c r="AT73" s="103">
        <v>96.8</v>
      </c>
      <c r="AU73" s="103">
        <v>92.6</v>
      </c>
      <c r="AV73" s="103">
        <v>95.6</v>
      </c>
      <c r="AW73" s="103">
        <v>96.3</v>
      </c>
      <c r="AX73" s="103">
        <v>96.6</v>
      </c>
      <c r="AY73" s="103">
        <v>96.6</v>
      </c>
      <c r="AZ73" s="103">
        <v>96.3</v>
      </c>
      <c r="BA73" s="103">
        <v>96.4</v>
      </c>
      <c r="BB73" s="40">
        <v>42917</v>
      </c>
      <c r="BC73" s="40">
        <v>43388</v>
      </c>
    </row>
    <row r="74" spans="1:55" s="120" customFormat="1" ht="62.25" customHeight="1">
      <c r="A74" s="55" t="s">
        <v>0</v>
      </c>
      <c r="B74" s="4" t="s">
        <v>900</v>
      </c>
      <c r="C74" s="139" t="s">
        <v>10</v>
      </c>
      <c r="D74" s="139" t="s">
        <v>10</v>
      </c>
      <c r="E74" s="63" t="s">
        <v>11</v>
      </c>
      <c r="F74" s="63" t="s">
        <v>11</v>
      </c>
      <c r="G74" s="75" t="s">
        <v>104</v>
      </c>
      <c r="H74" s="26">
        <v>4.5999999999999996</v>
      </c>
      <c r="I74" s="25">
        <v>240</v>
      </c>
      <c r="J74" s="26">
        <v>96.5</v>
      </c>
      <c r="K74" s="39" t="s">
        <v>1323</v>
      </c>
      <c r="L74" s="128" t="s">
        <v>855</v>
      </c>
      <c r="M74" s="39" t="s">
        <v>467</v>
      </c>
      <c r="N74" s="40">
        <v>43388</v>
      </c>
      <c r="O74" s="63" t="s">
        <v>17</v>
      </c>
      <c r="P74" s="63" t="s">
        <v>17</v>
      </c>
      <c r="Q74" s="63" t="s">
        <v>17</v>
      </c>
      <c r="R74" s="65" t="s">
        <v>26</v>
      </c>
      <c r="S74" s="34" t="s">
        <v>10</v>
      </c>
      <c r="T74" s="34" t="s">
        <v>11</v>
      </c>
      <c r="U74" s="35">
        <v>1</v>
      </c>
      <c r="V74" s="35">
        <v>4.5999999999999996</v>
      </c>
      <c r="W74" s="35">
        <v>1</v>
      </c>
      <c r="X74" s="35">
        <v>200</v>
      </c>
      <c r="Y74" s="35">
        <v>355</v>
      </c>
      <c r="Z74" s="35">
        <v>480</v>
      </c>
      <c r="AA74" s="103">
        <v>0.46</v>
      </c>
      <c r="AB74" s="103">
        <v>0.92</v>
      </c>
      <c r="AC74" s="103">
        <v>1.38</v>
      </c>
      <c r="AD74" s="103">
        <v>2.2999999999999998</v>
      </c>
      <c r="AE74" s="103">
        <v>3.45</v>
      </c>
      <c r="AF74" s="103">
        <v>4.5999999999999996</v>
      </c>
      <c r="AG74" s="103">
        <v>93.1</v>
      </c>
      <c r="AH74" s="103">
        <v>95.3</v>
      </c>
      <c r="AI74" s="103">
        <v>95.9</v>
      </c>
      <c r="AJ74" s="103">
        <v>96</v>
      </c>
      <c r="AK74" s="103">
        <v>95.9</v>
      </c>
      <c r="AL74" s="103">
        <v>95.5</v>
      </c>
      <c r="AM74" s="103">
        <v>95.8</v>
      </c>
      <c r="AN74" s="103">
        <v>94.5</v>
      </c>
      <c r="AO74" s="103">
        <v>96.3</v>
      </c>
      <c r="AP74" s="103">
        <v>96.8</v>
      </c>
      <c r="AQ74" s="103">
        <v>97</v>
      </c>
      <c r="AR74" s="103">
        <v>96.9</v>
      </c>
      <c r="AS74" s="103">
        <v>96.6</v>
      </c>
      <c r="AT74" s="103">
        <v>96.8</v>
      </c>
      <c r="AU74" s="103">
        <v>92.6</v>
      </c>
      <c r="AV74" s="103">
        <v>95.6</v>
      </c>
      <c r="AW74" s="103">
        <v>96.3</v>
      </c>
      <c r="AX74" s="103">
        <v>96.6</v>
      </c>
      <c r="AY74" s="103">
        <v>96.6</v>
      </c>
      <c r="AZ74" s="103">
        <v>96.3</v>
      </c>
      <c r="BA74" s="103">
        <v>96.4</v>
      </c>
      <c r="BB74" s="40">
        <v>42917</v>
      </c>
      <c r="BC74" s="40">
        <v>43388</v>
      </c>
    </row>
    <row r="75" spans="1:55" s="120" customFormat="1" ht="62.25" customHeight="1">
      <c r="A75" s="55" t="s">
        <v>0</v>
      </c>
      <c r="B75" s="9" t="s">
        <v>901</v>
      </c>
      <c r="C75" s="63" t="s">
        <v>10</v>
      </c>
      <c r="D75" s="63" t="s">
        <v>10</v>
      </c>
      <c r="E75" s="63" t="s">
        <v>11</v>
      </c>
      <c r="F75" s="63" t="s">
        <v>11</v>
      </c>
      <c r="G75" s="9" t="s">
        <v>69</v>
      </c>
      <c r="H75" s="26">
        <v>4.5999999999999996</v>
      </c>
      <c r="I75" s="25">
        <v>208</v>
      </c>
      <c r="J75" s="26">
        <v>96.5</v>
      </c>
      <c r="K75" s="39" t="s">
        <v>1323</v>
      </c>
      <c r="L75" s="129" t="s">
        <v>855</v>
      </c>
      <c r="M75" s="33" t="s">
        <v>467</v>
      </c>
      <c r="N75" s="40">
        <v>43388</v>
      </c>
      <c r="O75" s="63" t="s">
        <v>17</v>
      </c>
      <c r="P75" s="63" t="s">
        <v>17</v>
      </c>
      <c r="Q75" s="63" t="s">
        <v>17</v>
      </c>
      <c r="R75" s="26"/>
      <c r="S75" s="32" t="s">
        <v>10</v>
      </c>
      <c r="T75" s="32" t="s">
        <v>11</v>
      </c>
      <c r="U75" s="25">
        <v>1</v>
      </c>
      <c r="V75" s="25">
        <v>4.5999999999999996</v>
      </c>
      <c r="W75" s="25">
        <v>1</v>
      </c>
      <c r="X75" s="25">
        <v>240</v>
      </c>
      <c r="Y75" s="25">
        <v>340</v>
      </c>
      <c r="Z75" s="25">
        <v>480</v>
      </c>
      <c r="AA75" s="95">
        <v>0.46</v>
      </c>
      <c r="AB75" s="95">
        <v>0.92</v>
      </c>
      <c r="AC75" s="95">
        <v>1.38</v>
      </c>
      <c r="AD75" s="95">
        <v>2.2999999999999998</v>
      </c>
      <c r="AE75" s="95">
        <v>3.45</v>
      </c>
      <c r="AF75" s="95">
        <v>4.5999999999999996</v>
      </c>
      <c r="AG75" s="95">
        <v>93</v>
      </c>
      <c r="AH75" s="95">
        <v>95.4</v>
      </c>
      <c r="AI75" s="95">
        <v>96.2</v>
      </c>
      <c r="AJ75" s="95">
        <v>96.4</v>
      </c>
      <c r="AK75" s="95">
        <v>96.3</v>
      </c>
      <c r="AL75" s="95">
        <v>96.1</v>
      </c>
      <c r="AM75" s="95">
        <v>96.1</v>
      </c>
      <c r="AN75" s="95">
        <v>93.6</v>
      </c>
      <c r="AO75" s="95">
        <v>95.9</v>
      </c>
      <c r="AP75" s="95">
        <v>96.5</v>
      </c>
      <c r="AQ75" s="95">
        <v>96.8</v>
      </c>
      <c r="AR75" s="95">
        <v>96.8</v>
      </c>
      <c r="AS75" s="95">
        <v>96.6</v>
      </c>
      <c r="AT75" s="95">
        <v>96.6</v>
      </c>
      <c r="AU75" s="95">
        <v>90.8</v>
      </c>
      <c r="AV75" s="95">
        <v>94.9</v>
      </c>
      <c r="AW75" s="95">
        <v>95.8</v>
      </c>
      <c r="AX75" s="95">
        <v>96.4</v>
      </c>
      <c r="AY75" s="95">
        <v>96.4</v>
      </c>
      <c r="AZ75" s="95">
        <v>96.3</v>
      </c>
      <c r="BA75" s="95">
        <v>96</v>
      </c>
      <c r="BB75" s="40">
        <v>42917</v>
      </c>
      <c r="BC75" s="40">
        <v>43388</v>
      </c>
    </row>
    <row r="76" spans="1:55" s="120" customFormat="1" ht="62.25" customHeight="1">
      <c r="A76" s="55" t="s">
        <v>0</v>
      </c>
      <c r="B76" s="9" t="s">
        <v>902</v>
      </c>
      <c r="C76" s="63" t="s">
        <v>10</v>
      </c>
      <c r="D76" s="63" t="s">
        <v>10</v>
      </c>
      <c r="E76" s="63" t="s">
        <v>11</v>
      </c>
      <c r="F76" s="63" t="s">
        <v>11</v>
      </c>
      <c r="G76" s="9" t="s">
        <v>70</v>
      </c>
      <c r="H76" s="26">
        <v>4.5999999999999996</v>
      </c>
      <c r="I76" s="25">
        <v>208</v>
      </c>
      <c r="J76" s="26">
        <v>96.5</v>
      </c>
      <c r="K76" s="39" t="s">
        <v>1323</v>
      </c>
      <c r="L76" s="129" t="s">
        <v>466</v>
      </c>
      <c r="M76" s="33" t="s">
        <v>467</v>
      </c>
      <c r="N76" s="40">
        <v>43388</v>
      </c>
      <c r="O76" s="63" t="s">
        <v>17</v>
      </c>
      <c r="P76" s="63" t="s">
        <v>17</v>
      </c>
      <c r="Q76" s="63" t="s">
        <v>17</v>
      </c>
      <c r="R76" s="26"/>
      <c r="S76" s="32" t="s">
        <v>10</v>
      </c>
      <c r="T76" s="32" t="s">
        <v>11</v>
      </c>
      <c r="U76" s="25">
        <v>1</v>
      </c>
      <c r="V76" s="25">
        <v>4.5999999999999996</v>
      </c>
      <c r="W76" s="25">
        <v>1</v>
      </c>
      <c r="X76" s="25">
        <v>240</v>
      </c>
      <c r="Y76" s="25">
        <v>340</v>
      </c>
      <c r="Z76" s="25">
        <v>480</v>
      </c>
      <c r="AA76" s="95">
        <v>0.46</v>
      </c>
      <c r="AB76" s="95">
        <v>0.92</v>
      </c>
      <c r="AC76" s="95">
        <v>1.38</v>
      </c>
      <c r="AD76" s="95">
        <v>2.2999999999999998</v>
      </c>
      <c r="AE76" s="95">
        <v>3.45</v>
      </c>
      <c r="AF76" s="95">
        <v>4.5999999999999996</v>
      </c>
      <c r="AG76" s="95">
        <v>93</v>
      </c>
      <c r="AH76" s="95">
        <v>95.4</v>
      </c>
      <c r="AI76" s="95">
        <v>96.2</v>
      </c>
      <c r="AJ76" s="95">
        <v>96.4</v>
      </c>
      <c r="AK76" s="95">
        <v>96.3</v>
      </c>
      <c r="AL76" s="95">
        <v>96.1</v>
      </c>
      <c r="AM76" s="95">
        <v>96.1</v>
      </c>
      <c r="AN76" s="95">
        <v>93.6</v>
      </c>
      <c r="AO76" s="95">
        <v>95.9</v>
      </c>
      <c r="AP76" s="95">
        <v>96.5</v>
      </c>
      <c r="AQ76" s="95">
        <v>96.8</v>
      </c>
      <c r="AR76" s="95">
        <v>96.8</v>
      </c>
      <c r="AS76" s="95">
        <v>96.6</v>
      </c>
      <c r="AT76" s="95">
        <v>96.6</v>
      </c>
      <c r="AU76" s="95">
        <v>90.8</v>
      </c>
      <c r="AV76" s="95">
        <v>94.9</v>
      </c>
      <c r="AW76" s="95">
        <v>95.8</v>
      </c>
      <c r="AX76" s="95">
        <v>96.4</v>
      </c>
      <c r="AY76" s="95">
        <v>96.4</v>
      </c>
      <c r="AZ76" s="95">
        <v>96.3</v>
      </c>
      <c r="BA76" s="95">
        <v>96</v>
      </c>
      <c r="BB76" s="40">
        <v>42917</v>
      </c>
      <c r="BC76" s="40">
        <v>43388</v>
      </c>
    </row>
    <row r="77" spans="1:55" s="120" customFormat="1" ht="62.25" customHeight="1">
      <c r="A77" s="55" t="s">
        <v>0</v>
      </c>
      <c r="B77" s="8" t="s">
        <v>903</v>
      </c>
      <c r="C77" s="138" t="s">
        <v>10</v>
      </c>
      <c r="D77" s="138" t="s">
        <v>10</v>
      </c>
      <c r="E77" s="63" t="s">
        <v>11</v>
      </c>
      <c r="F77" s="63" t="s">
        <v>11</v>
      </c>
      <c r="G77" s="9" t="s">
        <v>67</v>
      </c>
      <c r="H77" s="26">
        <v>4.5999999999999996</v>
      </c>
      <c r="I77" s="25">
        <v>208</v>
      </c>
      <c r="J77" s="26">
        <v>96.5</v>
      </c>
      <c r="K77" s="39" t="s">
        <v>1323</v>
      </c>
      <c r="L77" s="129" t="s">
        <v>466</v>
      </c>
      <c r="M77" s="33" t="s">
        <v>467</v>
      </c>
      <c r="N77" s="40">
        <v>43388</v>
      </c>
      <c r="O77" s="63" t="s">
        <v>17</v>
      </c>
      <c r="P77" s="63" t="s">
        <v>17</v>
      </c>
      <c r="Q77" s="63" t="s">
        <v>17</v>
      </c>
      <c r="R77" s="26"/>
      <c r="S77" s="32" t="s">
        <v>10</v>
      </c>
      <c r="T77" s="32" t="s">
        <v>11</v>
      </c>
      <c r="U77" s="25">
        <v>1</v>
      </c>
      <c r="V77" s="25">
        <v>4.5999999999999996</v>
      </c>
      <c r="W77" s="25">
        <v>1</v>
      </c>
      <c r="X77" s="25">
        <v>240</v>
      </c>
      <c r="Y77" s="25">
        <v>340</v>
      </c>
      <c r="Z77" s="25">
        <v>480</v>
      </c>
      <c r="AA77" s="95">
        <v>0.46</v>
      </c>
      <c r="AB77" s="95">
        <v>0.92</v>
      </c>
      <c r="AC77" s="95">
        <v>1.38</v>
      </c>
      <c r="AD77" s="95">
        <v>2.2999999999999998</v>
      </c>
      <c r="AE77" s="95">
        <v>3.45</v>
      </c>
      <c r="AF77" s="95">
        <v>4.5999999999999996</v>
      </c>
      <c r="AG77" s="95">
        <v>93</v>
      </c>
      <c r="AH77" s="95">
        <v>95.4</v>
      </c>
      <c r="AI77" s="95">
        <v>96.2</v>
      </c>
      <c r="AJ77" s="95">
        <v>96.4</v>
      </c>
      <c r="AK77" s="95">
        <v>96.3</v>
      </c>
      <c r="AL77" s="95">
        <v>96.1</v>
      </c>
      <c r="AM77" s="95">
        <v>96.1</v>
      </c>
      <c r="AN77" s="95">
        <v>93.6</v>
      </c>
      <c r="AO77" s="95">
        <v>95.9</v>
      </c>
      <c r="AP77" s="95">
        <v>96.5</v>
      </c>
      <c r="AQ77" s="95">
        <v>96.8</v>
      </c>
      <c r="AR77" s="95">
        <v>96.8</v>
      </c>
      <c r="AS77" s="95">
        <v>96.6</v>
      </c>
      <c r="AT77" s="95">
        <v>96.6</v>
      </c>
      <c r="AU77" s="95">
        <v>90.8</v>
      </c>
      <c r="AV77" s="95">
        <v>94.9</v>
      </c>
      <c r="AW77" s="95">
        <v>95.8</v>
      </c>
      <c r="AX77" s="95">
        <v>96.4</v>
      </c>
      <c r="AY77" s="95">
        <v>96.4</v>
      </c>
      <c r="AZ77" s="95">
        <v>96.3</v>
      </c>
      <c r="BA77" s="95">
        <v>96</v>
      </c>
      <c r="BB77" s="40">
        <v>42917</v>
      </c>
      <c r="BC77" s="40">
        <v>43388</v>
      </c>
    </row>
    <row r="78" spans="1:55" s="120" customFormat="1" ht="62.25" customHeight="1">
      <c r="A78" s="55" t="s">
        <v>0</v>
      </c>
      <c r="B78" s="8" t="s">
        <v>904</v>
      </c>
      <c r="C78" s="138" t="s">
        <v>10</v>
      </c>
      <c r="D78" s="138" t="s">
        <v>10</v>
      </c>
      <c r="E78" s="63" t="s">
        <v>11</v>
      </c>
      <c r="F78" s="63" t="s">
        <v>11</v>
      </c>
      <c r="G78" s="9" t="s">
        <v>68</v>
      </c>
      <c r="H78" s="26">
        <v>4.5999999999999996</v>
      </c>
      <c r="I78" s="25">
        <v>208</v>
      </c>
      <c r="J78" s="26">
        <v>96.5</v>
      </c>
      <c r="K78" s="39" t="s">
        <v>1323</v>
      </c>
      <c r="L78" s="129" t="s">
        <v>466</v>
      </c>
      <c r="M78" s="33" t="s">
        <v>467</v>
      </c>
      <c r="N78" s="40">
        <v>43388</v>
      </c>
      <c r="O78" s="63" t="s">
        <v>17</v>
      </c>
      <c r="P78" s="63" t="s">
        <v>17</v>
      </c>
      <c r="Q78" s="63" t="s">
        <v>17</v>
      </c>
      <c r="R78" s="26"/>
      <c r="S78" s="32" t="s">
        <v>10</v>
      </c>
      <c r="T78" s="32" t="s">
        <v>11</v>
      </c>
      <c r="U78" s="25">
        <v>1</v>
      </c>
      <c r="V78" s="25">
        <v>4.5999999999999996</v>
      </c>
      <c r="W78" s="25">
        <v>1</v>
      </c>
      <c r="X78" s="25">
        <v>240</v>
      </c>
      <c r="Y78" s="25">
        <v>340</v>
      </c>
      <c r="Z78" s="25">
        <v>480</v>
      </c>
      <c r="AA78" s="95">
        <v>0.46</v>
      </c>
      <c r="AB78" s="95">
        <v>0.92</v>
      </c>
      <c r="AC78" s="95">
        <v>1.38</v>
      </c>
      <c r="AD78" s="95">
        <v>2.2999999999999998</v>
      </c>
      <c r="AE78" s="95">
        <v>3.45</v>
      </c>
      <c r="AF78" s="95">
        <v>4.5999999999999996</v>
      </c>
      <c r="AG78" s="95">
        <v>93</v>
      </c>
      <c r="AH78" s="95">
        <v>95.4</v>
      </c>
      <c r="AI78" s="95">
        <v>96.2</v>
      </c>
      <c r="AJ78" s="95">
        <v>96.4</v>
      </c>
      <c r="AK78" s="95">
        <v>96.3</v>
      </c>
      <c r="AL78" s="95">
        <v>96.1</v>
      </c>
      <c r="AM78" s="95">
        <v>96.1</v>
      </c>
      <c r="AN78" s="95">
        <v>93.6</v>
      </c>
      <c r="AO78" s="95">
        <v>95.9</v>
      </c>
      <c r="AP78" s="95">
        <v>96.5</v>
      </c>
      <c r="AQ78" s="95">
        <v>96.8</v>
      </c>
      <c r="AR78" s="95">
        <v>96.8</v>
      </c>
      <c r="AS78" s="95">
        <v>96.6</v>
      </c>
      <c r="AT78" s="95">
        <v>96.6</v>
      </c>
      <c r="AU78" s="95">
        <v>90.8</v>
      </c>
      <c r="AV78" s="95">
        <v>94.9</v>
      </c>
      <c r="AW78" s="95">
        <v>95.8</v>
      </c>
      <c r="AX78" s="95">
        <v>96.4</v>
      </c>
      <c r="AY78" s="95">
        <v>96.4</v>
      </c>
      <c r="AZ78" s="95">
        <v>96.3</v>
      </c>
      <c r="BA78" s="95">
        <v>96</v>
      </c>
      <c r="BB78" s="40">
        <v>42917</v>
      </c>
      <c r="BC78" s="40">
        <v>43388</v>
      </c>
    </row>
    <row r="79" spans="1:55" s="120" customFormat="1" ht="45">
      <c r="A79" s="9" t="s">
        <v>0</v>
      </c>
      <c r="B79" s="9" t="s">
        <v>373</v>
      </c>
      <c r="C79" s="63" t="s">
        <v>10</v>
      </c>
      <c r="D79" s="63" t="s">
        <v>10</v>
      </c>
      <c r="E79" s="63" t="s">
        <v>11</v>
      </c>
      <c r="F79" s="63" t="s">
        <v>11</v>
      </c>
      <c r="G79" s="9" t="s">
        <v>105</v>
      </c>
      <c r="H79" s="54">
        <v>5</v>
      </c>
      <c r="I79" s="35">
        <v>208</v>
      </c>
      <c r="J79" s="54">
        <v>96</v>
      </c>
      <c r="K79" s="39" t="s">
        <v>1323</v>
      </c>
      <c r="L79" s="128" t="s">
        <v>468</v>
      </c>
      <c r="M79" s="39" t="s">
        <v>469</v>
      </c>
      <c r="N79" s="40">
        <v>43388</v>
      </c>
      <c r="O79" s="63" t="s">
        <v>17</v>
      </c>
      <c r="P79" s="63" t="s">
        <v>17</v>
      </c>
      <c r="Q79" s="63" t="s">
        <v>17</v>
      </c>
      <c r="R79" s="65" t="s">
        <v>26</v>
      </c>
      <c r="S79" s="34" t="s">
        <v>10</v>
      </c>
      <c r="T79" s="34" t="s">
        <v>11</v>
      </c>
      <c r="U79" s="35">
        <v>0.18</v>
      </c>
      <c r="V79" s="35"/>
      <c r="W79" s="35"/>
      <c r="X79" s="35">
        <v>100</v>
      </c>
      <c r="Y79" s="35">
        <v>310</v>
      </c>
      <c r="Z79" s="35">
        <v>480</v>
      </c>
      <c r="AA79" s="103">
        <v>0.5</v>
      </c>
      <c r="AB79" s="103">
        <v>1</v>
      </c>
      <c r="AC79" s="103">
        <v>1.5</v>
      </c>
      <c r="AD79" s="103">
        <v>2.5</v>
      </c>
      <c r="AE79" s="103">
        <v>3.75</v>
      </c>
      <c r="AF79" s="103">
        <v>5</v>
      </c>
      <c r="AG79" s="103">
        <v>93.4</v>
      </c>
      <c r="AH79" s="103">
        <v>95.7</v>
      </c>
      <c r="AI79" s="103">
        <v>96.2</v>
      </c>
      <c r="AJ79" s="103">
        <v>96.4</v>
      </c>
      <c r="AK79" s="103">
        <v>96.2</v>
      </c>
      <c r="AL79" s="103">
        <v>95.8</v>
      </c>
      <c r="AM79" s="103">
        <v>96.1</v>
      </c>
      <c r="AN79" s="103">
        <v>93.6</v>
      </c>
      <c r="AO79" s="103">
        <v>95.9</v>
      </c>
      <c r="AP79" s="103">
        <v>96.5</v>
      </c>
      <c r="AQ79" s="103">
        <v>96.7</v>
      </c>
      <c r="AR79" s="103">
        <v>96.6</v>
      </c>
      <c r="AS79" s="103">
        <v>96.3</v>
      </c>
      <c r="AT79" s="103">
        <v>96.4</v>
      </c>
      <c r="AU79" s="103">
        <v>90.9</v>
      </c>
      <c r="AV79" s="103">
        <v>94.7</v>
      </c>
      <c r="AW79" s="103">
        <v>95.6</v>
      </c>
      <c r="AX79" s="103">
        <v>96.1</v>
      </c>
      <c r="AY79" s="103">
        <v>96.1</v>
      </c>
      <c r="AZ79" s="103">
        <v>95.9</v>
      </c>
      <c r="BA79" s="103">
        <v>95.8</v>
      </c>
      <c r="BB79" s="40">
        <v>42917</v>
      </c>
      <c r="BC79" s="40">
        <v>43388</v>
      </c>
    </row>
    <row r="80" spans="1:55" s="120" customFormat="1" ht="45">
      <c r="A80" s="9" t="s">
        <v>0</v>
      </c>
      <c r="B80" s="9" t="s">
        <v>374</v>
      </c>
      <c r="C80" s="63" t="s">
        <v>10</v>
      </c>
      <c r="D80" s="63" t="s">
        <v>10</v>
      </c>
      <c r="E80" s="63" t="s">
        <v>11</v>
      </c>
      <c r="F80" s="63" t="s">
        <v>11</v>
      </c>
      <c r="G80" s="9" t="s">
        <v>106</v>
      </c>
      <c r="H80" s="54">
        <v>5</v>
      </c>
      <c r="I80" s="35">
        <v>240</v>
      </c>
      <c r="J80" s="54">
        <v>96.5</v>
      </c>
      <c r="K80" s="39" t="s">
        <v>1323</v>
      </c>
      <c r="L80" s="128" t="s">
        <v>468</v>
      </c>
      <c r="M80" s="39" t="s">
        <v>469</v>
      </c>
      <c r="N80" s="40">
        <v>43388</v>
      </c>
      <c r="O80" s="63" t="s">
        <v>17</v>
      </c>
      <c r="P80" s="63" t="s">
        <v>17</v>
      </c>
      <c r="Q80" s="63" t="s">
        <v>17</v>
      </c>
      <c r="R80" s="65" t="s">
        <v>26</v>
      </c>
      <c r="S80" s="34" t="s">
        <v>10</v>
      </c>
      <c r="T80" s="34" t="s">
        <v>11</v>
      </c>
      <c r="U80" s="35">
        <v>0.24</v>
      </c>
      <c r="V80" s="35"/>
      <c r="W80" s="35"/>
      <c r="X80" s="35">
        <v>100</v>
      </c>
      <c r="Y80" s="35">
        <v>345</v>
      </c>
      <c r="Z80" s="35">
        <v>480</v>
      </c>
      <c r="AA80" s="103">
        <v>0.5</v>
      </c>
      <c r="AB80" s="103">
        <v>1</v>
      </c>
      <c r="AC80" s="103">
        <v>1.5</v>
      </c>
      <c r="AD80" s="103">
        <v>2.5</v>
      </c>
      <c r="AE80" s="103">
        <v>3.75</v>
      </c>
      <c r="AF80" s="103">
        <v>5</v>
      </c>
      <c r="AG80" s="103">
        <v>92.5</v>
      </c>
      <c r="AH80" s="103">
        <v>95.5</v>
      </c>
      <c r="AI80" s="103">
        <v>96.1</v>
      </c>
      <c r="AJ80" s="103">
        <v>96.4</v>
      </c>
      <c r="AK80" s="103">
        <v>96.3</v>
      </c>
      <c r="AL80" s="103">
        <v>96</v>
      </c>
      <c r="AM80" s="103">
        <v>96.1</v>
      </c>
      <c r="AN80" s="103">
        <v>93.8</v>
      </c>
      <c r="AO80" s="103">
        <v>96.2</v>
      </c>
      <c r="AP80" s="103">
        <v>96.7</v>
      </c>
      <c r="AQ80" s="103">
        <v>97</v>
      </c>
      <c r="AR80" s="103">
        <v>96.9</v>
      </c>
      <c r="AS80" s="103">
        <v>96.6</v>
      </c>
      <c r="AT80" s="103">
        <v>96.7</v>
      </c>
      <c r="AU80" s="103">
        <v>91.5</v>
      </c>
      <c r="AV80" s="103">
        <v>95</v>
      </c>
      <c r="AW80" s="103">
        <v>95.9</v>
      </c>
      <c r="AX80" s="103">
        <v>96.4</v>
      </c>
      <c r="AY80" s="103">
        <v>96.5</v>
      </c>
      <c r="AZ80" s="103">
        <v>96.3</v>
      </c>
      <c r="BA80" s="103">
        <v>96.1</v>
      </c>
      <c r="BB80" s="40">
        <v>42917</v>
      </c>
      <c r="BC80" s="40">
        <v>43388</v>
      </c>
    </row>
    <row r="81" spans="1:55" s="120" customFormat="1" ht="45">
      <c r="A81" s="9" t="s">
        <v>0</v>
      </c>
      <c r="B81" s="9" t="s">
        <v>375</v>
      </c>
      <c r="C81" s="63" t="s">
        <v>10</v>
      </c>
      <c r="D81" s="63" t="s">
        <v>10</v>
      </c>
      <c r="E81" s="63" t="s">
        <v>11</v>
      </c>
      <c r="F81" s="63" t="s">
        <v>11</v>
      </c>
      <c r="G81" s="9" t="s">
        <v>107</v>
      </c>
      <c r="H81" s="54">
        <v>5</v>
      </c>
      <c r="I81" s="35">
        <v>277</v>
      </c>
      <c r="J81" s="54">
        <v>96.5</v>
      </c>
      <c r="K81" s="39" t="s">
        <v>1323</v>
      </c>
      <c r="L81" s="128" t="s">
        <v>468</v>
      </c>
      <c r="M81" s="39" t="s">
        <v>469</v>
      </c>
      <c r="N81" s="40">
        <v>43388</v>
      </c>
      <c r="O81" s="63" t="s">
        <v>17</v>
      </c>
      <c r="P81" s="63" t="s">
        <v>17</v>
      </c>
      <c r="Q81" s="63" t="s">
        <v>17</v>
      </c>
      <c r="R81" s="65" t="s">
        <v>26</v>
      </c>
      <c r="S81" s="34" t="s">
        <v>10</v>
      </c>
      <c r="T81" s="34" t="s">
        <v>11</v>
      </c>
      <c r="U81" s="35">
        <v>0.32</v>
      </c>
      <c r="V81" s="35"/>
      <c r="W81" s="35"/>
      <c r="X81" s="35">
        <v>100</v>
      </c>
      <c r="Y81" s="35">
        <v>400</v>
      </c>
      <c r="Z81" s="35">
        <v>480</v>
      </c>
      <c r="AA81" s="103">
        <v>0.5</v>
      </c>
      <c r="AB81" s="103">
        <v>1</v>
      </c>
      <c r="AC81" s="103">
        <v>1.5</v>
      </c>
      <c r="AD81" s="103">
        <v>2.5</v>
      </c>
      <c r="AE81" s="103">
        <v>3.75</v>
      </c>
      <c r="AF81" s="103">
        <v>5</v>
      </c>
      <c r="AG81" s="103">
        <v>91.6</v>
      </c>
      <c r="AH81" s="103">
        <v>95</v>
      </c>
      <c r="AI81" s="103">
        <v>95.9</v>
      </c>
      <c r="AJ81" s="103">
        <v>96.4</v>
      </c>
      <c r="AK81" s="103">
        <v>96.5</v>
      </c>
      <c r="AL81" s="103">
        <v>96.3</v>
      </c>
      <c r="AM81" s="103">
        <v>96.1</v>
      </c>
      <c r="AN81" s="103">
        <v>92.5</v>
      </c>
      <c r="AO81" s="103">
        <v>95.7</v>
      </c>
      <c r="AP81" s="103">
        <v>96.5</v>
      </c>
      <c r="AQ81" s="103">
        <v>97.1</v>
      </c>
      <c r="AR81" s="103">
        <v>97.1</v>
      </c>
      <c r="AS81" s="103">
        <v>97</v>
      </c>
      <c r="AT81" s="103">
        <v>96.8</v>
      </c>
      <c r="AU81" s="103">
        <v>90.9</v>
      </c>
      <c r="AV81" s="103">
        <v>95</v>
      </c>
      <c r="AW81" s="103">
        <v>95.9</v>
      </c>
      <c r="AX81" s="103">
        <v>96.7</v>
      </c>
      <c r="AY81" s="103">
        <v>96.9</v>
      </c>
      <c r="AZ81" s="103">
        <v>96.9</v>
      </c>
      <c r="BA81" s="103">
        <v>96.4</v>
      </c>
      <c r="BB81" s="40">
        <v>42917</v>
      </c>
      <c r="BC81" s="40">
        <v>43388</v>
      </c>
    </row>
    <row r="82" spans="1:55" s="120" customFormat="1" ht="45">
      <c r="A82" s="9" t="s">
        <v>0</v>
      </c>
      <c r="B82" s="9" t="s">
        <v>376</v>
      </c>
      <c r="C82" s="63" t="s">
        <v>10</v>
      </c>
      <c r="D82" s="63" t="s">
        <v>10</v>
      </c>
      <c r="E82" s="63" t="s">
        <v>11</v>
      </c>
      <c r="F82" s="63" t="s">
        <v>11</v>
      </c>
      <c r="G82" s="9" t="s">
        <v>108</v>
      </c>
      <c r="H82" s="54">
        <v>5</v>
      </c>
      <c r="I82" s="35">
        <v>208</v>
      </c>
      <c r="J82" s="54">
        <v>96</v>
      </c>
      <c r="K82" s="39" t="s">
        <v>1323</v>
      </c>
      <c r="L82" s="128" t="s">
        <v>468</v>
      </c>
      <c r="M82" s="39" t="s">
        <v>469</v>
      </c>
      <c r="N82" s="40">
        <v>43388</v>
      </c>
      <c r="O82" s="63" t="s">
        <v>17</v>
      </c>
      <c r="P82" s="63" t="s">
        <v>17</v>
      </c>
      <c r="Q82" s="63" t="s">
        <v>17</v>
      </c>
      <c r="R82" s="65" t="s">
        <v>26</v>
      </c>
      <c r="S82" s="34" t="s">
        <v>10</v>
      </c>
      <c r="T82" s="34" t="s">
        <v>11</v>
      </c>
      <c r="U82" s="35">
        <v>0.18</v>
      </c>
      <c r="V82" s="35"/>
      <c r="W82" s="35"/>
      <c r="X82" s="35">
        <v>100</v>
      </c>
      <c r="Y82" s="35">
        <v>310</v>
      </c>
      <c r="Z82" s="35">
        <v>480</v>
      </c>
      <c r="AA82" s="103">
        <v>0.5</v>
      </c>
      <c r="AB82" s="103">
        <v>1</v>
      </c>
      <c r="AC82" s="103">
        <v>1.5</v>
      </c>
      <c r="AD82" s="103">
        <v>2.5</v>
      </c>
      <c r="AE82" s="103">
        <v>3.75</v>
      </c>
      <c r="AF82" s="103">
        <v>5</v>
      </c>
      <c r="AG82" s="103">
        <v>93.4</v>
      </c>
      <c r="AH82" s="103">
        <v>95.7</v>
      </c>
      <c r="AI82" s="103">
        <v>96.2</v>
      </c>
      <c r="AJ82" s="103">
        <v>96.4</v>
      </c>
      <c r="AK82" s="103">
        <v>96.2</v>
      </c>
      <c r="AL82" s="103">
        <v>95.8</v>
      </c>
      <c r="AM82" s="103">
        <v>96.1</v>
      </c>
      <c r="AN82" s="103">
        <v>93.6</v>
      </c>
      <c r="AO82" s="103">
        <v>95.9</v>
      </c>
      <c r="AP82" s="103">
        <v>96.5</v>
      </c>
      <c r="AQ82" s="103">
        <v>96.7</v>
      </c>
      <c r="AR82" s="103">
        <v>96.6</v>
      </c>
      <c r="AS82" s="103">
        <v>96.3</v>
      </c>
      <c r="AT82" s="103">
        <v>96.4</v>
      </c>
      <c r="AU82" s="103">
        <v>90.9</v>
      </c>
      <c r="AV82" s="103">
        <v>94.7</v>
      </c>
      <c r="AW82" s="103">
        <v>95.6</v>
      </c>
      <c r="AX82" s="103">
        <v>96.1</v>
      </c>
      <c r="AY82" s="103">
        <v>96.1</v>
      </c>
      <c r="AZ82" s="103">
        <v>95.9</v>
      </c>
      <c r="BA82" s="103">
        <v>95.8</v>
      </c>
      <c r="BB82" s="40">
        <v>42917</v>
      </c>
      <c r="BC82" s="40">
        <v>43388</v>
      </c>
    </row>
    <row r="83" spans="1:55" s="120" customFormat="1" ht="45">
      <c r="A83" s="9" t="s">
        <v>0</v>
      </c>
      <c r="B83" s="9" t="s">
        <v>377</v>
      </c>
      <c r="C83" s="63" t="s">
        <v>10</v>
      </c>
      <c r="D83" s="63" t="s">
        <v>10</v>
      </c>
      <c r="E83" s="63" t="s">
        <v>11</v>
      </c>
      <c r="F83" s="63" t="s">
        <v>11</v>
      </c>
      <c r="G83" s="9" t="s">
        <v>109</v>
      </c>
      <c r="H83" s="54">
        <v>5</v>
      </c>
      <c r="I83" s="35">
        <v>240</v>
      </c>
      <c r="J83" s="54">
        <v>96.5</v>
      </c>
      <c r="K83" s="39" t="s">
        <v>1323</v>
      </c>
      <c r="L83" s="128" t="s">
        <v>468</v>
      </c>
      <c r="M83" s="39" t="s">
        <v>469</v>
      </c>
      <c r="N83" s="40">
        <v>43388</v>
      </c>
      <c r="O83" s="63" t="s">
        <v>17</v>
      </c>
      <c r="P83" s="63" t="s">
        <v>17</v>
      </c>
      <c r="Q83" s="63" t="s">
        <v>17</v>
      </c>
      <c r="R83" s="65" t="s">
        <v>26</v>
      </c>
      <c r="S83" s="34" t="s">
        <v>10</v>
      </c>
      <c r="T83" s="34" t="s">
        <v>11</v>
      </c>
      <c r="U83" s="35">
        <v>0.24</v>
      </c>
      <c r="V83" s="35"/>
      <c r="W83" s="35"/>
      <c r="X83" s="35">
        <v>100</v>
      </c>
      <c r="Y83" s="35">
        <v>345</v>
      </c>
      <c r="Z83" s="35">
        <v>480</v>
      </c>
      <c r="AA83" s="103">
        <v>0.5</v>
      </c>
      <c r="AB83" s="103">
        <v>1</v>
      </c>
      <c r="AC83" s="103">
        <v>1.5</v>
      </c>
      <c r="AD83" s="103">
        <v>2.5</v>
      </c>
      <c r="AE83" s="103">
        <v>3.75</v>
      </c>
      <c r="AF83" s="103">
        <v>5</v>
      </c>
      <c r="AG83" s="103">
        <v>92.5</v>
      </c>
      <c r="AH83" s="103">
        <v>95.5</v>
      </c>
      <c r="AI83" s="103">
        <v>96.1</v>
      </c>
      <c r="AJ83" s="103">
        <v>96.4</v>
      </c>
      <c r="AK83" s="103">
        <v>96.3</v>
      </c>
      <c r="AL83" s="103">
        <v>96</v>
      </c>
      <c r="AM83" s="103">
        <v>96.1</v>
      </c>
      <c r="AN83" s="103">
        <v>93.8</v>
      </c>
      <c r="AO83" s="103">
        <v>96.2</v>
      </c>
      <c r="AP83" s="103">
        <v>96.7</v>
      </c>
      <c r="AQ83" s="103">
        <v>97</v>
      </c>
      <c r="AR83" s="103">
        <v>96.9</v>
      </c>
      <c r="AS83" s="103">
        <v>96.6</v>
      </c>
      <c r="AT83" s="103">
        <v>96.7</v>
      </c>
      <c r="AU83" s="103">
        <v>91.5</v>
      </c>
      <c r="AV83" s="103">
        <v>95</v>
      </c>
      <c r="AW83" s="103">
        <v>95.9</v>
      </c>
      <c r="AX83" s="103">
        <v>96.4</v>
      </c>
      <c r="AY83" s="103">
        <v>96.5</v>
      </c>
      <c r="AZ83" s="103">
        <v>96.3</v>
      </c>
      <c r="BA83" s="103">
        <v>96.1</v>
      </c>
      <c r="BB83" s="40">
        <v>42917</v>
      </c>
      <c r="BC83" s="40">
        <v>43388</v>
      </c>
    </row>
    <row r="84" spans="1:55" s="120" customFormat="1" ht="45">
      <c r="A84" s="9" t="s">
        <v>0</v>
      </c>
      <c r="B84" s="9" t="s">
        <v>378</v>
      </c>
      <c r="C84" s="63" t="s">
        <v>10</v>
      </c>
      <c r="D84" s="63" t="s">
        <v>10</v>
      </c>
      <c r="E84" s="63" t="s">
        <v>11</v>
      </c>
      <c r="F84" s="63" t="s">
        <v>11</v>
      </c>
      <c r="G84" s="9" t="s">
        <v>110</v>
      </c>
      <c r="H84" s="54">
        <v>5</v>
      </c>
      <c r="I84" s="35">
        <v>277</v>
      </c>
      <c r="J84" s="54">
        <v>96.5</v>
      </c>
      <c r="K84" s="39" t="s">
        <v>1323</v>
      </c>
      <c r="L84" s="128" t="s">
        <v>468</v>
      </c>
      <c r="M84" s="39" t="s">
        <v>469</v>
      </c>
      <c r="N84" s="40">
        <v>43388</v>
      </c>
      <c r="O84" s="63" t="s">
        <v>17</v>
      </c>
      <c r="P84" s="63" t="s">
        <v>17</v>
      </c>
      <c r="Q84" s="63" t="s">
        <v>17</v>
      </c>
      <c r="R84" s="65" t="s">
        <v>26</v>
      </c>
      <c r="S84" s="34" t="s">
        <v>10</v>
      </c>
      <c r="T84" s="34" t="s">
        <v>11</v>
      </c>
      <c r="U84" s="35">
        <v>0.32</v>
      </c>
      <c r="V84" s="35"/>
      <c r="W84" s="35"/>
      <c r="X84" s="35">
        <v>100</v>
      </c>
      <c r="Y84" s="35">
        <v>400</v>
      </c>
      <c r="Z84" s="35">
        <v>480</v>
      </c>
      <c r="AA84" s="103">
        <v>0.5</v>
      </c>
      <c r="AB84" s="103">
        <v>1</v>
      </c>
      <c r="AC84" s="103">
        <v>1.5</v>
      </c>
      <c r="AD84" s="103">
        <v>2.5</v>
      </c>
      <c r="AE84" s="103">
        <v>3.75</v>
      </c>
      <c r="AF84" s="103">
        <v>5</v>
      </c>
      <c r="AG84" s="103">
        <v>91.6</v>
      </c>
      <c r="AH84" s="103">
        <v>95</v>
      </c>
      <c r="AI84" s="103">
        <v>95.9</v>
      </c>
      <c r="AJ84" s="103">
        <v>96.4</v>
      </c>
      <c r="AK84" s="103">
        <v>96.5</v>
      </c>
      <c r="AL84" s="103">
        <v>96.3</v>
      </c>
      <c r="AM84" s="103">
        <v>96.1</v>
      </c>
      <c r="AN84" s="103">
        <v>92.5</v>
      </c>
      <c r="AO84" s="103">
        <v>95.7</v>
      </c>
      <c r="AP84" s="103">
        <v>96.5</v>
      </c>
      <c r="AQ84" s="103">
        <v>97.1</v>
      </c>
      <c r="AR84" s="103">
        <v>97.1</v>
      </c>
      <c r="AS84" s="103">
        <v>97</v>
      </c>
      <c r="AT84" s="103">
        <v>96.8</v>
      </c>
      <c r="AU84" s="103">
        <v>90.9</v>
      </c>
      <c r="AV84" s="103">
        <v>95</v>
      </c>
      <c r="AW84" s="103">
        <v>95.9</v>
      </c>
      <c r="AX84" s="103">
        <v>96.7</v>
      </c>
      <c r="AY84" s="103">
        <v>96.9</v>
      </c>
      <c r="AZ84" s="103">
        <v>96.9</v>
      </c>
      <c r="BA84" s="103">
        <v>96.4</v>
      </c>
      <c r="BB84" s="40">
        <v>42917</v>
      </c>
      <c r="BC84" s="40">
        <v>43388</v>
      </c>
    </row>
    <row r="85" spans="1:55" s="120" customFormat="1" ht="45">
      <c r="A85" s="9" t="s">
        <v>0</v>
      </c>
      <c r="B85" s="9" t="s">
        <v>905</v>
      </c>
      <c r="C85" s="63" t="s">
        <v>10</v>
      </c>
      <c r="D85" s="63" t="s">
        <v>10</v>
      </c>
      <c r="E85" s="63" t="s">
        <v>11</v>
      </c>
      <c r="F85" s="63" t="s">
        <v>11</v>
      </c>
      <c r="G85" s="9" t="s">
        <v>111</v>
      </c>
      <c r="H85" s="54">
        <v>5</v>
      </c>
      <c r="I85" s="35">
        <v>208</v>
      </c>
      <c r="J85" s="54">
        <v>96</v>
      </c>
      <c r="K85" s="39" t="s">
        <v>1323</v>
      </c>
      <c r="L85" s="128" t="s">
        <v>468</v>
      </c>
      <c r="M85" s="39" t="s">
        <v>469</v>
      </c>
      <c r="N85" s="40">
        <v>43388</v>
      </c>
      <c r="O85" s="63" t="s">
        <v>17</v>
      </c>
      <c r="P85" s="63" t="s">
        <v>17</v>
      </c>
      <c r="Q85" s="63" t="s">
        <v>17</v>
      </c>
      <c r="R85" s="65" t="s">
        <v>26</v>
      </c>
      <c r="S85" s="34" t="s">
        <v>10</v>
      </c>
      <c r="T85" s="34" t="s">
        <v>11</v>
      </c>
      <c r="U85" s="35">
        <v>0.18</v>
      </c>
      <c r="V85" s="35"/>
      <c r="W85" s="35"/>
      <c r="X85" s="66">
        <v>100</v>
      </c>
      <c r="Y85" s="35">
        <v>310</v>
      </c>
      <c r="Z85" s="35">
        <v>480</v>
      </c>
      <c r="AA85" s="103">
        <v>0.5</v>
      </c>
      <c r="AB85" s="103">
        <v>1</v>
      </c>
      <c r="AC85" s="103">
        <v>1.5</v>
      </c>
      <c r="AD85" s="103">
        <v>2.5</v>
      </c>
      <c r="AE85" s="103">
        <v>3.75</v>
      </c>
      <c r="AF85" s="103">
        <v>5</v>
      </c>
      <c r="AG85" s="103">
        <v>93.4</v>
      </c>
      <c r="AH85" s="103">
        <v>95.7</v>
      </c>
      <c r="AI85" s="103">
        <v>96.2</v>
      </c>
      <c r="AJ85" s="103">
        <v>96.4</v>
      </c>
      <c r="AK85" s="103">
        <v>96.2</v>
      </c>
      <c r="AL85" s="103">
        <v>95.8</v>
      </c>
      <c r="AM85" s="103">
        <v>96.1</v>
      </c>
      <c r="AN85" s="103">
        <v>93.6</v>
      </c>
      <c r="AO85" s="103">
        <v>95.9</v>
      </c>
      <c r="AP85" s="103">
        <v>96.5</v>
      </c>
      <c r="AQ85" s="103">
        <v>96.7</v>
      </c>
      <c r="AR85" s="103">
        <v>96.6</v>
      </c>
      <c r="AS85" s="103">
        <v>96.3</v>
      </c>
      <c r="AT85" s="103">
        <v>96.4</v>
      </c>
      <c r="AU85" s="103">
        <v>90.9</v>
      </c>
      <c r="AV85" s="103">
        <v>94.7</v>
      </c>
      <c r="AW85" s="103">
        <v>95.6</v>
      </c>
      <c r="AX85" s="103">
        <v>96.1</v>
      </c>
      <c r="AY85" s="103">
        <v>96.1</v>
      </c>
      <c r="AZ85" s="103">
        <v>95.9</v>
      </c>
      <c r="BA85" s="103">
        <v>95.8</v>
      </c>
      <c r="BB85" s="40">
        <v>42917</v>
      </c>
      <c r="BC85" s="40">
        <v>43388</v>
      </c>
    </row>
    <row r="86" spans="1:55" s="120" customFormat="1" ht="45">
      <c r="A86" s="9" t="s">
        <v>0</v>
      </c>
      <c r="B86" s="9" t="s">
        <v>906</v>
      </c>
      <c r="C86" s="63" t="s">
        <v>10</v>
      </c>
      <c r="D86" s="63" t="s">
        <v>10</v>
      </c>
      <c r="E86" s="63" t="s">
        <v>11</v>
      </c>
      <c r="F86" s="63" t="s">
        <v>11</v>
      </c>
      <c r="G86" s="9" t="s">
        <v>112</v>
      </c>
      <c r="H86" s="54">
        <v>5</v>
      </c>
      <c r="I86" s="35">
        <v>240</v>
      </c>
      <c r="J86" s="54">
        <v>96.5</v>
      </c>
      <c r="K86" s="39" t="s">
        <v>1323</v>
      </c>
      <c r="L86" s="128" t="s">
        <v>468</v>
      </c>
      <c r="M86" s="39" t="s">
        <v>469</v>
      </c>
      <c r="N86" s="40">
        <v>43388</v>
      </c>
      <c r="O86" s="63" t="s">
        <v>17</v>
      </c>
      <c r="P86" s="63" t="s">
        <v>17</v>
      </c>
      <c r="Q86" s="63" t="s">
        <v>17</v>
      </c>
      <c r="R86" s="65" t="s">
        <v>26</v>
      </c>
      <c r="S86" s="34" t="s">
        <v>10</v>
      </c>
      <c r="T86" s="34" t="s">
        <v>11</v>
      </c>
      <c r="U86" s="35">
        <v>0.24</v>
      </c>
      <c r="V86" s="35"/>
      <c r="W86" s="35"/>
      <c r="X86" s="66">
        <v>100</v>
      </c>
      <c r="Y86" s="35">
        <v>345</v>
      </c>
      <c r="Z86" s="35">
        <v>480</v>
      </c>
      <c r="AA86" s="103">
        <v>0.5</v>
      </c>
      <c r="AB86" s="103">
        <v>1</v>
      </c>
      <c r="AC86" s="103">
        <v>1.5</v>
      </c>
      <c r="AD86" s="103">
        <v>2.5</v>
      </c>
      <c r="AE86" s="103">
        <v>3.75</v>
      </c>
      <c r="AF86" s="103">
        <v>5</v>
      </c>
      <c r="AG86" s="103">
        <v>92.5</v>
      </c>
      <c r="AH86" s="103">
        <v>95.5</v>
      </c>
      <c r="AI86" s="103">
        <v>96.1</v>
      </c>
      <c r="AJ86" s="103">
        <v>96.4</v>
      </c>
      <c r="AK86" s="103">
        <v>96.3</v>
      </c>
      <c r="AL86" s="103">
        <v>96</v>
      </c>
      <c r="AM86" s="103">
        <v>96.1</v>
      </c>
      <c r="AN86" s="103">
        <v>93.8</v>
      </c>
      <c r="AO86" s="103">
        <v>96.2</v>
      </c>
      <c r="AP86" s="103">
        <v>96.7</v>
      </c>
      <c r="AQ86" s="103">
        <v>97</v>
      </c>
      <c r="AR86" s="103">
        <v>96.9</v>
      </c>
      <c r="AS86" s="103">
        <v>96.6</v>
      </c>
      <c r="AT86" s="103">
        <v>96.7</v>
      </c>
      <c r="AU86" s="103">
        <v>91.5</v>
      </c>
      <c r="AV86" s="103">
        <v>95</v>
      </c>
      <c r="AW86" s="103">
        <v>95.9</v>
      </c>
      <c r="AX86" s="103">
        <v>96.4</v>
      </c>
      <c r="AY86" s="103">
        <v>96.5</v>
      </c>
      <c r="AZ86" s="103">
        <v>96.3</v>
      </c>
      <c r="BA86" s="103">
        <v>96.1</v>
      </c>
      <c r="BB86" s="40">
        <v>42917</v>
      </c>
      <c r="BC86" s="40">
        <v>43388</v>
      </c>
    </row>
    <row r="87" spans="1:55" s="120" customFormat="1" ht="45">
      <c r="A87" s="9" t="s">
        <v>0</v>
      </c>
      <c r="B87" s="9" t="s">
        <v>907</v>
      </c>
      <c r="C87" s="63" t="s">
        <v>10</v>
      </c>
      <c r="D87" s="63" t="s">
        <v>10</v>
      </c>
      <c r="E87" s="63" t="s">
        <v>11</v>
      </c>
      <c r="F87" s="63" t="s">
        <v>11</v>
      </c>
      <c r="G87" s="9" t="s">
        <v>113</v>
      </c>
      <c r="H87" s="54">
        <v>5</v>
      </c>
      <c r="I87" s="35">
        <v>277</v>
      </c>
      <c r="J87" s="54">
        <v>96.5</v>
      </c>
      <c r="K87" s="39" t="s">
        <v>1323</v>
      </c>
      <c r="L87" s="128" t="s">
        <v>468</v>
      </c>
      <c r="M87" s="39" t="s">
        <v>469</v>
      </c>
      <c r="N87" s="40">
        <v>43388</v>
      </c>
      <c r="O87" s="63" t="s">
        <v>17</v>
      </c>
      <c r="P87" s="63" t="s">
        <v>17</v>
      </c>
      <c r="Q87" s="63" t="s">
        <v>17</v>
      </c>
      <c r="R87" s="65" t="s">
        <v>26</v>
      </c>
      <c r="S87" s="34" t="s">
        <v>10</v>
      </c>
      <c r="T87" s="34" t="s">
        <v>11</v>
      </c>
      <c r="U87" s="35">
        <v>0.32</v>
      </c>
      <c r="V87" s="35"/>
      <c r="W87" s="35"/>
      <c r="X87" s="66">
        <v>100</v>
      </c>
      <c r="Y87" s="35">
        <v>400</v>
      </c>
      <c r="Z87" s="35">
        <v>480</v>
      </c>
      <c r="AA87" s="103">
        <v>0.5</v>
      </c>
      <c r="AB87" s="103">
        <v>1</v>
      </c>
      <c r="AC87" s="103">
        <v>1.5</v>
      </c>
      <c r="AD87" s="103">
        <v>2.5</v>
      </c>
      <c r="AE87" s="103">
        <v>3.75</v>
      </c>
      <c r="AF87" s="103">
        <v>5</v>
      </c>
      <c r="AG87" s="103">
        <v>91.6</v>
      </c>
      <c r="AH87" s="103">
        <v>95</v>
      </c>
      <c r="AI87" s="103">
        <v>95.9</v>
      </c>
      <c r="AJ87" s="103">
        <v>96.4</v>
      </c>
      <c r="AK87" s="103">
        <v>96.5</v>
      </c>
      <c r="AL87" s="103">
        <v>96.3</v>
      </c>
      <c r="AM87" s="103">
        <v>96.1</v>
      </c>
      <c r="AN87" s="103">
        <v>92.5</v>
      </c>
      <c r="AO87" s="103">
        <v>95.7</v>
      </c>
      <c r="AP87" s="103">
        <v>96.5</v>
      </c>
      <c r="AQ87" s="103">
        <v>97.1</v>
      </c>
      <c r="AR87" s="103">
        <v>97.1</v>
      </c>
      <c r="AS87" s="103">
        <v>97</v>
      </c>
      <c r="AT87" s="103">
        <v>96.8</v>
      </c>
      <c r="AU87" s="103">
        <v>90.9</v>
      </c>
      <c r="AV87" s="103">
        <v>95</v>
      </c>
      <c r="AW87" s="103">
        <v>95.9</v>
      </c>
      <c r="AX87" s="103">
        <v>96.7</v>
      </c>
      <c r="AY87" s="103">
        <v>96.9</v>
      </c>
      <c r="AZ87" s="103">
        <v>96.9</v>
      </c>
      <c r="BA87" s="103">
        <v>96.4</v>
      </c>
      <c r="BB87" s="40">
        <v>42917</v>
      </c>
      <c r="BC87" s="40">
        <v>43388</v>
      </c>
    </row>
    <row r="88" spans="1:55" s="120" customFormat="1" ht="45">
      <c r="A88" s="55" t="s">
        <v>0</v>
      </c>
      <c r="B88" s="9" t="s">
        <v>908</v>
      </c>
      <c r="C88" s="63" t="s">
        <v>10</v>
      </c>
      <c r="D88" s="63" t="s">
        <v>10</v>
      </c>
      <c r="E88" s="63" t="s">
        <v>11</v>
      </c>
      <c r="F88" s="63" t="s">
        <v>11</v>
      </c>
      <c r="G88" s="9" t="s">
        <v>73</v>
      </c>
      <c r="H88" s="26">
        <v>5</v>
      </c>
      <c r="I88" s="25">
        <v>240</v>
      </c>
      <c r="J88" s="26">
        <v>96.5</v>
      </c>
      <c r="K88" s="39" t="s">
        <v>1323</v>
      </c>
      <c r="L88" s="129" t="s">
        <v>466</v>
      </c>
      <c r="M88" s="33" t="s">
        <v>467</v>
      </c>
      <c r="N88" s="40">
        <v>43388</v>
      </c>
      <c r="O88" s="63" t="s">
        <v>17</v>
      </c>
      <c r="P88" s="63" t="s">
        <v>17</v>
      </c>
      <c r="Q88" s="63" t="s">
        <v>17</v>
      </c>
      <c r="R88" s="26"/>
      <c r="S88" s="32" t="s">
        <v>10</v>
      </c>
      <c r="T88" s="32" t="s">
        <v>11</v>
      </c>
      <c r="U88" s="25">
        <v>1</v>
      </c>
      <c r="V88" s="25">
        <v>5</v>
      </c>
      <c r="W88" s="25">
        <v>1</v>
      </c>
      <c r="X88" s="25">
        <v>200</v>
      </c>
      <c r="Y88" s="25">
        <v>355</v>
      </c>
      <c r="Z88" s="25">
        <v>480</v>
      </c>
      <c r="AA88" s="95">
        <v>0.5</v>
      </c>
      <c r="AB88" s="95">
        <v>1</v>
      </c>
      <c r="AC88" s="95">
        <v>1.5</v>
      </c>
      <c r="AD88" s="95">
        <v>2.5</v>
      </c>
      <c r="AE88" s="95">
        <v>3.75</v>
      </c>
      <c r="AF88" s="95">
        <v>5</v>
      </c>
      <c r="AG88" s="95">
        <v>93.1</v>
      </c>
      <c r="AH88" s="95">
        <v>95.5</v>
      </c>
      <c r="AI88" s="95">
        <v>96.1</v>
      </c>
      <c r="AJ88" s="95">
        <v>96.4</v>
      </c>
      <c r="AK88" s="95">
        <v>96.4</v>
      </c>
      <c r="AL88" s="95">
        <v>96.1</v>
      </c>
      <c r="AM88" s="95">
        <v>96.2</v>
      </c>
      <c r="AN88" s="95">
        <v>94</v>
      </c>
      <c r="AO88" s="95">
        <v>96.3</v>
      </c>
      <c r="AP88" s="95">
        <v>96.9</v>
      </c>
      <c r="AQ88" s="95">
        <v>97.2</v>
      </c>
      <c r="AR88" s="95">
        <v>97.2</v>
      </c>
      <c r="AS88" s="95">
        <v>97</v>
      </c>
      <c r="AT88" s="95">
        <v>97</v>
      </c>
      <c r="AU88" s="95">
        <v>91.5</v>
      </c>
      <c r="AV88" s="95">
        <v>95.3</v>
      </c>
      <c r="AW88" s="95">
        <v>96.3</v>
      </c>
      <c r="AX88" s="95">
        <v>96.8</v>
      </c>
      <c r="AY88" s="95">
        <v>96.9</v>
      </c>
      <c r="AZ88" s="95">
        <v>96.8</v>
      </c>
      <c r="BA88" s="95">
        <v>96.5</v>
      </c>
      <c r="BB88" s="40">
        <v>42917</v>
      </c>
      <c r="BC88" s="40">
        <v>43388</v>
      </c>
    </row>
    <row r="89" spans="1:55" s="120" customFormat="1" ht="45">
      <c r="A89" s="55" t="s">
        <v>0</v>
      </c>
      <c r="B89" s="9" t="s">
        <v>909</v>
      </c>
      <c r="C89" s="63" t="s">
        <v>10</v>
      </c>
      <c r="D89" s="63" t="s">
        <v>10</v>
      </c>
      <c r="E89" s="63" t="s">
        <v>11</v>
      </c>
      <c r="F89" s="63" t="s">
        <v>11</v>
      </c>
      <c r="G89" s="9" t="s">
        <v>74</v>
      </c>
      <c r="H89" s="26">
        <v>5</v>
      </c>
      <c r="I89" s="25">
        <v>240</v>
      </c>
      <c r="J89" s="26">
        <v>96.5</v>
      </c>
      <c r="K89" s="39" t="s">
        <v>1323</v>
      </c>
      <c r="L89" s="129" t="s">
        <v>466</v>
      </c>
      <c r="M89" s="33" t="s">
        <v>467</v>
      </c>
      <c r="N89" s="40">
        <v>43388</v>
      </c>
      <c r="O89" s="63" t="s">
        <v>17</v>
      </c>
      <c r="P89" s="63" t="s">
        <v>17</v>
      </c>
      <c r="Q89" s="63" t="s">
        <v>17</v>
      </c>
      <c r="R89" s="26"/>
      <c r="S89" s="32" t="s">
        <v>10</v>
      </c>
      <c r="T89" s="32" t="s">
        <v>11</v>
      </c>
      <c r="U89" s="25">
        <v>1</v>
      </c>
      <c r="V89" s="25">
        <v>5</v>
      </c>
      <c r="W89" s="25">
        <v>1</v>
      </c>
      <c r="X89" s="25">
        <v>200</v>
      </c>
      <c r="Y89" s="25">
        <v>355</v>
      </c>
      <c r="Z89" s="25">
        <v>480</v>
      </c>
      <c r="AA89" s="95">
        <v>0.5</v>
      </c>
      <c r="AB89" s="95">
        <v>1</v>
      </c>
      <c r="AC89" s="95">
        <v>1.5</v>
      </c>
      <c r="AD89" s="95">
        <v>2.5</v>
      </c>
      <c r="AE89" s="95">
        <v>3.75</v>
      </c>
      <c r="AF89" s="95">
        <v>5</v>
      </c>
      <c r="AG89" s="95">
        <v>93.1</v>
      </c>
      <c r="AH89" s="95">
        <v>95.5</v>
      </c>
      <c r="AI89" s="95">
        <v>96.1</v>
      </c>
      <c r="AJ89" s="95">
        <v>96.4</v>
      </c>
      <c r="AK89" s="95">
        <v>96.4</v>
      </c>
      <c r="AL89" s="95">
        <v>96.1</v>
      </c>
      <c r="AM89" s="95">
        <v>96.2</v>
      </c>
      <c r="AN89" s="95">
        <v>94</v>
      </c>
      <c r="AO89" s="95">
        <v>96.3</v>
      </c>
      <c r="AP89" s="95">
        <v>96.9</v>
      </c>
      <c r="AQ89" s="95">
        <v>97.2</v>
      </c>
      <c r="AR89" s="95">
        <v>97.2</v>
      </c>
      <c r="AS89" s="95">
        <v>97</v>
      </c>
      <c r="AT89" s="95">
        <v>97</v>
      </c>
      <c r="AU89" s="95">
        <v>91.5</v>
      </c>
      <c r="AV89" s="95">
        <v>95.3</v>
      </c>
      <c r="AW89" s="95">
        <v>96.3</v>
      </c>
      <c r="AX89" s="95">
        <v>96.8</v>
      </c>
      <c r="AY89" s="95">
        <v>96.9</v>
      </c>
      <c r="AZ89" s="95">
        <v>96.8</v>
      </c>
      <c r="BA89" s="95">
        <v>96.5</v>
      </c>
      <c r="BB89" s="40">
        <v>42917</v>
      </c>
      <c r="BC89" s="40">
        <v>43388</v>
      </c>
    </row>
    <row r="90" spans="1:55" s="120" customFormat="1" ht="60">
      <c r="A90" s="55" t="s">
        <v>0</v>
      </c>
      <c r="B90" s="9" t="s">
        <v>910</v>
      </c>
      <c r="C90" s="63" t="s">
        <v>10</v>
      </c>
      <c r="D90" s="63" t="s">
        <v>10</v>
      </c>
      <c r="E90" s="63" t="s">
        <v>11</v>
      </c>
      <c r="F90" s="63" t="s">
        <v>11</v>
      </c>
      <c r="G90" s="9" t="s">
        <v>71</v>
      </c>
      <c r="H90" s="26">
        <v>5</v>
      </c>
      <c r="I90" s="25">
        <v>240</v>
      </c>
      <c r="J90" s="26">
        <v>96.5</v>
      </c>
      <c r="K90" s="39" t="s">
        <v>1323</v>
      </c>
      <c r="L90" s="129" t="s">
        <v>466</v>
      </c>
      <c r="M90" s="33" t="s">
        <v>467</v>
      </c>
      <c r="N90" s="40">
        <v>43388</v>
      </c>
      <c r="O90" s="63" t="s">
        <v>17</v>
      </c>
      <c r="P90" s="63" t="s">
        <v>17</v>
      </c>
      <c r="Q90" s="63" t="s">
        <v>17</v>
      </c>
      <c r="R90" s="26"/>
      <c r="S90" s="32" t="s">
        <v>10</v>
      </c>
      <c r="T90" s="32" t="s">
        <v>11</v>
      </c>
      <c r="U90" s="25">
        <v>1</v>
      </c>
      <c r="V90" s="25">
        <v>5</v>
      </c>
      <c r="W90" s="25">
        <v>1</v>
      </c>
      <c r="X90" s="25">
        <v>200</v>
      </c>
      <c r="Y90" s="25">
        <v>355</v>
      </c>
      <c r="Z90" s="25">
        <v>480</v>
      </c>
      <c r="AA90" s="95">
        <v>0.5</v>
      </c>
      <c r="AB90" s="95">
        <v>1</v>
      </c>
      <c r="AC90" s="95">
        <v>1.5</v>
      </c>
      <c r="AD90" s="95">
        <v>2.5</v>
      </c>
      <c r="AE90" s="95">
        <v>3.75</v>
      </c>
      <c r="AF90" s="95">
        <v>5</v>
      </c>
      <c r="AG90" s="95">
        <v>93.1</v>
      </c>
      <c r="AH90" s="95">
        <v>95.5</v>
      </c>
      <c r="AI90" s="95">
        <v>96.1</v>
      </c>
      <c r="AJ90" s="95">
        <v>96.4</v>
      </c>
      <c r="AK90" s="95">
        <v>96.4</v>
      </c>
      <c r="AL90" s="95">
        <v>96.1</v>
      </c>
      <c r="AM90" s="95">
        <v>96.2</v>
      </c>
      <c r="AN90" s="95">
        <v>94</v>
      </c>
      <c r="AO90" s="95">
        <v>96.3</v>
      </c>
      <c r="AP90" s="95">
        <v>96.9</v>
      </c>
      <c r="AQ90" s="95">
        <v>97.2</v>
      </c>
      <c r="AR90" s="95">
        <v>97.2</v>
      </c>
      <c r="AS90" s="95">
        <v>97</v>
      </c>
      <c r="AT90" s="95">
        <v>97</v>
      </c>
      <c r="AU90" s="95">
        <v>91.5</v>
      </c>
      <c r="AV90" s="95">
        <v>95.3</v>
      </c>
      <c r="AW90" s="95">
        <v>96.3</v>
      </c>
      <c r="AX90" s="95">
        <v>96.8</v>
      </c>
      <c r="AY90" s="95">
        <v>96.9</v>
      </c>
      <c r="AZ90" s="95">
        <v>96.8</v>
      </c>
      <c r="BA90" s="95">
        <v>96.5</v>
      </c>
      <c r="BB90" s="40">
        <v>42917</v>
      </c>
      <c r="BC90" s="40">
        <v>43388</v>
      </c>
    </row>
    <row r="91" spans="1:55" s="120" customFormat="1" ht="45">
      <c r="A91" s="55" t="s">
        <v>0</v>
      </c>
      <c r="B91" s="9" t="s">
        <v>911</v>
      </c>
      <c r="C91" s="63" t="s">
        <v>10</v>
      </c>
      <c r="D91" s="63" t="s">
        <v>10</v>
      </c>
      <c r="E91" s="63" t="s">
        <v>11</v>
      </c>
      <c r="F91" s="63" t="s">
        <v>11</v>
      </c>
      <c r="G91" s="9" t="s">
        <v>72</v>
      </c>
      <c r="H91" s="26">
        <v>5</v>
      </c>
      <c r="I91" s="25">
        <v>240</v>
      </c>
      <c r="J91" s="26">
        <v>96.5</v>
      </c>
      <c r="K91" s="39" t="s">
        <v>1323</v>
      </c>
      <c r="L91" s="129" t="s">
        <v>466</v>
      </c>
      <c r="M91" s="33" t="s">
        <v>467</v>
      </c>
      <c r="N91" s="40">
        <v>43388</v>
      </c>
      <c r="O91" s="63" t="s">
        <v>17</v>
      </c>
      <c r="P91" s="63" t="s">
        <v>17</v>
      </c>
      <c r="Q91" s="63" t="s">
        <v>17</v>
      </c>
      <c r="R91" s="26"/>
      <c r="S91" s="32" t="s">
        <v>10</v>
      </c>
      <c r="T91" s="32" t="s">
        <v>11</v>
      </c>
      <c r="U91" s="25">
        <v>1</v>
      </c>
      <c r="V91" s="25">
        <v>5</v>
      </c>
      <c r="W91" s="25">
        <v>1</v>
      </c>
      <c r="X91" s="25">
        <v>200</v>
      </c>
      <c r="Y91" s="25">
        <v>355</v>
      </c>
      <c r="Z91" s="25">
        <v>480</v>
      </c>
      <c r="AA91" s="95">
        <v>0.5</v>
      </c>
      <c r="AB91" s="95">
        <v>1</v>
      </c>
      <c r="AC91" s="95">
        <v>1.5</v>
      </c>
      <c r="AD91" s="95">
        <v>2.5</v>
      </c>
      <c r="AE91" s="95">
        <v>3.75</v>
      </c>
      <c r="AF91" s="95">
        <v>5</v>
      </c>
      <c r="AG91" s="95">
        <v>93.1</v>
      </c>
      <c r="AH91" s="95">
        <v>95.5</v>
      </c>
      <c r="AI91" s="95">
        <v>96.1</v>
      </c>
      <c r="AJ91" s="95">
        <v>96.4</v>
      </c>
      <c r="AK91" s="95">
        <v>96.4</v>
      </c>
      <c r="AL91" s="95">
        <v>96.1</v>
      </c>
      <c r="AM91" s="95">
        <v>96.2</v>
      </c>
      <c r="AN91" s="95">
        <v>94</v>
      </c>
      <c r="AO91" s="95">
        <v>96.3</v>
      </c>
      <c r="AP91" s="95">
        <v>96.9</v>
      </c>
      <c r="AQ91" s="95">
        <v>97.2</v>
      </c>
      <c r="AR91" s="95">
        <v>97.2</v>
      </c>
      <c r="AS91" s="95">
        <v>97</v>
      </c>
      <c r="AT91" s="95">
        <v>97</v>
      </c>
      <c r="AU91" s="95">
        <v>91.5</v>
      </c>
      <c r="AV91" s="95">
        <v>95.3</v>
      </c>
      <c r="AW91" s="95">
        <v>96.3</v>
      </c>
      <c r="AX91" s="95">
        <v>96.8</v>
      </c>
      <c r="AY91" s="95">
        <v>96.9</v>
      </c>
      <c r="AZ91" s="95">
        <v>96.8</v>
      </c>
      <c r="BA91" s="95">
        <v>96.5</v>
      </c>
      <c r="BB91" s="40">
        <v>42917</v>
      </c>
      <c r="BC91" s="40">
        <v>43388</v>
      </c>
    </row>
    <row r="92" spans="1:55" s="120" customFormat="1" ht="45">
      <c r="A92" s="9" t="s">
        <v>0</v>
      </c>
      <c r="B92" s="9" t="s">
        <v>379</v>
      </c>
      <c r="C92" s="63" t="s">
        <v>10</v>
      </c>
      <c r="D92" s="63" t="s">
        <v>10</v>
      </c>
      <c r="E92" s="63" t="s">
        <v>11</v>
      </c>
      <c r="F92" s="63" t="s">
        <v>11</v>
      </c>
      <c r="G92" s="9" t="s">
        <v>114</v>
      </c>
      <c r="H92" s="54">
        <v>6</v>
      </c>
      <c r="I92" s="35">
        <v>208</v>
      </c>
      <c r="J92" s="54">
        <v>96</v>
      </c>
      <c r="K92" s="39" t="s">
        <v>1323</v>
      </c>
      <c r="L92" s="128" t="s">
        <v>468</v>
      </c>
      <c r="M92" s="39" t="s">
        <v>469</v>
      </c>
      <c r="N92" s="40">
        <v>43388</v>
      </c>
      <c r="O92" s="63" t="s">
        <v>17</v>
      </c>
      <c r="P92" s="63" t="s">
        <v>17</v>
      </c>
      <c r="Q92" s="63" t="s">
        <v>17</v>
      </c>
      <c r="R92" s="65" t="s">
        <v>26</v>
      </c>
      <c r="S92" s="34" t="s">
        <v>10</v>
      </c>
      <c r="T92" s="34" t="s">
        <v>11</v>
      </c>
      <c r="U92" s="35">
        <v>0.18</v>
      </c>
      <c r="V92" s="35"/>
      <c r="W92" s="35"/>
      <c r="X92" s="35">
        <v>100</v>
      </c>
      <c r="Y92" s="35">
        <v>310</v>
      </c>
      <c r="Z92" s="35">
        <v>480</v>
      </c>
      <c r="AA92" s="103">
        <v>0.6</v>
      </c>
      <c r="AB92" s="103">
        <v>1.2</v>
      </c>
      <c r="AC92" s="103">
        <v>1.8</v>
      </c>
      <c r="AD92" s="103">
        <v>3</v>
      </c>
      <c r="AE92" s="103">
        <v>4.5</v>
      </c>
      <c r="AF92" s="103">
        <v>6</v>
      </c>
      <c r="AG92" s="103">
        <v>94</v>
      </c>
      <c r="AH92" s="103">
        <v>96</v>
      </c>
      <c r="AI92" s="103">
        <v>96.4</v>
      </c>
      <c r="AJ92" s="103">
        <v>96.3</v>
      </c>
      <c r="AK92" s="103">
        <v>96</v>
      </c>
      <c r="AL92" s="103">
        <v>95.5</v>
      </c>
      <c r="AM92" s="103">
        <v>96</v>
      </c>
      <c r="AN92" s="103">
        <v>94.3</v>
      </c>
      <c r="AO92" s="103">
        <v>96.2</v>
      </c>
      <c r="AP92" s="103">
        <v>96.6</v>
      </c>
      <c r="AQ92" s="103">
        <v>96.7</v>
      </c>
      <c r="AR92" s="103">
        <v>96.4</v>
      </c>
      <c r="AS92" s="103">
        <v>96</v>
      </c>
      <c r="AT92" s="103">
        <v>96.4</v>
      </c>
      <c r="AU92" s="103">
        <v>92.1</v>
      </c>
      <c r="AV92" s="103">
        <v>95.1</v>
      </c>
      <c r="AW92" s="103">
        <v>95.9</v>
      </c>
      <c r="AX92" s="103">
        <v>96.1</v>
      </c>
      <c r="AY92" s="103">
        <v>96</v>
      </c>
      <c r="AZ92" s="103">
        <v>95.7</v>
      </c>
      <c r="BA92" s="103">
        <v>95.8</v>
      </c>
      <c r="BB92" s="40">
        <v>42917</v>
      </c>
      <c r="BC92" s="40">
        <v>43388</v>
      </c>
    </row>
    <row r="93" spans="1:55" s="120" customFormat="1" ht="45">
      <c r="A93" s="9" t="s">
        <v>0</v>
      </c>
      <c r="B93" s="9" t="s">
        <v>380</v>
      </c>
      <c r="C93" s="63" t="s">
        <v>10</v>
      </c>
      <c r="D93" s="63" t="s">
        <v>10</v>
      </c>
      <c r="E93" s="63" t="s">
        <v>11</v>
      </c>
      <c r="F93" s="63" t="s">
        <v>11</v>
      </c>
      <c r="G93" s="9" t="s">
        <v>115</v>
      </c>
      <c r="H93" s="54">
        <v>6</v>
      </c>
      <c r="I93" s="35">
        <v>240</v>
      </c>
      <c r="J93" s="54">
        <v>96.5</v>
      </c>
      <c r="K93" s="39" t="s">
        <v>1323</v>
      </c>
      <c r="L93" s="128" t="s">
        <v>468</v>
      </c>
      <c r="M93" s="39" t="s">
        <v>469</v>
      </c>
      <c r="N93" s="40">
        <v>43388</v>
      </c>
      <c r="O93" s="63" t="s">
        <v>17</v>
      </c>
      <c r="P93" s="63" t="s">
        <v>17</v>
      </c>
      <c r="Q93" s="63" t="s">
        <v>17</v>
      </c>
      <c r="R93" s="65" t="s">
        <v>26</v>
      </c>
      <c r="S93" s="34" t="s">
        <v>10</v>
      </c>
      <c r="T93" s="34" t="s">
        <v>11</v>
      </c>
      <c r="U93" s="35">
        <v>0.24</v>
      </c>
      <c r="V93" s="35"/>
      <c r="W93" s="35"/>
      <c r="X93" s="35">
        <v>100</v>
      </c>
      <c r="Y93" s="35">
        <v>345</v>
      </c>
      <c r="Z93" s="35">
        <v>480</v>
      </c>
      <c r="AA93" s="103">
        <v>0.6</v>
      </c>
      <c r="AB93" s="103">
        <v>1.2</v>
      </c>
      <c r="AC93" s="103">
        <v>1.8</v>
      </c>
      <c r="AD93" s="103">
        <v>3</v>
      </c>
      <c r="AE93" s="103">
        <v>4.5</v>
      </c>
      <c r="AF93" s="103">
        <v>6</v>
      </c>
      <c r="AG93" s="103">
        <v>93.5</v>
      </c>
      <c r="AH93" s="103">
        <v>95.8</v>
      </c>
      <c r="AI93" s="103">
        <v>96.3</v>
      </c>
      <c r="AJ93" s="103">
        <v>96.4</v>
      </c>
      <c r="AK93" s="103">
        <v>96.2</v>
      </c>
      <c r="AL93" s="103">
        <v>95.8</v>
      </c>
      <c r="AM93" s="103">
        <v>96.1</v>
      </c>
      <c r="AN93" s="103">
        <v>94.6</v>
      </c>
      <c r="AO93" s="103">
        <v>96.5</v>
      </c>
      <c r="AP93" s="103">
        <v>96.9</v>
      </c>
      <c r="AQ93" s="103">
        <v>96.9</v>
      </c>
      <c r="AR93" s="103">
        <v>96.8</v>
      </c>
      <c r="AS93" s="103">
        <v>96.5</v>
      </c>
      <c r="AT93" s="103">
        <v>96.7</v>
      </c>
      <c r="AU93" s="103">
        <v>92.6</v>
      </c>
      <c r="AV93" s="103">
        <v>95.5</v>
      </c>
      <c r="AW93" s="103">
        <v>96.1</v>
      </c>
      <c r="AX93" s="103">
        <v>96.5</v>
      </c>
      <c r="AY93" s="103">
        <v>96.4</v>
      </c>
      <c r="AZ93" s="103">
        <v>96.2</v>
      </c>
      <c r="BA93" s="103">
        <v>96.2</v>
      </c>
      <c r="BB93" s="40">
        <v>42917</v>
      </c>
      <c r="BC93" s="40">
        <v>43388</v>
      </c>
    </row>
    <row r="94" spans="1:55" s="120" customFormat="1" ht="45">
      <c r="A94" s="9" t="s">
        <v>0</v>
      </c>
      <c r="B94" s="9" t="s">
        <v>381</v>
      </c>
      <c r="C94" s="63" t="s">
        <v>10</v>
      </c>
      <c r="D94" s="63" t="s">
        <v>10</v>
      </c>
      <c r="E94" s="63" t="s">
        <v>11</v>
      </c>
      <c r="F94" s="63" t="s">
        <v>11</v>
      </c>
      <c r="G94" s="9" t="s">
        <v>116</v>
      </c>
      <c r="H94" s="54">
        <v>6</v>
      </c>
      <c r="I94" s="35">
        <v>277</v>
      </c>
      <c r="J94" s="54">
        <v>96.5</v>
      </c>
      <c r="K94" s="39" t="s">
        <v>1323</v>
      </c>
      <c r="L94" s="128" t="s">
        <v>468</v>
      </c>
      <c r="M94" s="39" t="s">
        <v>469</v>
      </c>
      <c r="N94" s="40">
        <v>43388</v>
      </c>
      <c r="O94" s="63" t="s">
        <v>17</v>
      </c>
      <c r="P94" s="63" t="s">
        <v>17</v>
      </c>
      <c r="Q94" s="63" t="s">
        <v>17</v>
      </c>
      <c r="R94" s="65" t="s">
        <v>26</v>
      </c>
      <c r="S94" s="34" t="s">
        <v>10</v>
      </c>
      <c r="T94" s="34" t="s">
        <v>11</v>
      </c>
      <c r="U94" s="35">
        <v>0.32</v>
      </c>
      <c r="V94" s="35"/>
      <c r="W94" s="35"/>
      <c r="X94" s="35">
        <v>100</v>
      </c>
      <c r="Y94" s="35">
        <v>400</v>
      </c>
      <c r="Z94" s="35">
        <v>480</v>
      </c>
      <c r="AA94" s="103">
        <v>0.6</v>
      </c>
      <c r="AB94" s="103">
        <v>1.2</v>
      </c>
      <c r="AC94" s="103">
        <v>1.8</v>
      </c>
      <c r="AD94" s="103">
        <v>3</v>
      </c>
      <c r="AE94" s="103">
        <v>4.5</v>
      </c>
      <c r="AF94" s="103">
        <v>6</v>
      </c>
      <c r="AG94" s="103">
        <v>92.5</v>
      </c>
      <c r="AH94" s="103">
        <v>95.5</v>
      </c>
      <c r="AI94" s="103">
        <v>96.2</v>
      </c>
      <c r="AJ94" s="103">
        <v>96.4</v>
      </c>
      <c r="AK94" s="103">
        <v>96.4</v>
      </c>
      <c r="AL94" s="103">
        <v>96.1</v>
      </c>
      <c r="AM94" s="103">
        <v>96.1</v>
      </c>
      <c r="AN94" s="103">
        <v>93.5</v>
      </c>
      <c r="AO94" s="103">
        <v>96.2</v>
      </c>
      <c r="AP94" s="103">
        <v>96.8</v>
      </c>
      <c r="AQ94" s="103">
        <v>97.1</v>
      </c>
      <c r="AR94" s="103">
        <v>97.1</v>
      </c>
      <c r="AS94" s="103">
        <v>97</v>
      </c>
      <c r="AT94" s="103">
        <v>96.9</v>
      </c>
      <c r="AU94" s="103">
        <v>92.2</v>
      </c>
      <c r="AV94" s="103">
        <v>95.5</v>
      </c>
      <c r="AW94" s="103">
        <v>96.3</v>
      </c>
      <c r="AX94" s="103">
        <v>96.8</v>
      </c>
      <c r="AY94" s="103">
        <v>96.9</v>
      </c>
      <c r="AZ94" s="103">
        <v>96.9</v>
      </c>
      <c r="BA94" s="103">
        <v>96.5</v>
      </c>
      <c r="BB94" s="40">
        <v>42917</v>
      </c>
      <c r="BC94" s="40">
        <v>43388</v>
      </c>
    </row>
    <row r="95" spans="1:55" s="120" customFormat="1" ht="45">
      <c r="A95" s="9" t="s">
        <v>0</v>
      </c>
      <c r="B95" s="9" t="s">
        <v>382</v>
      </c>
      <c r="C95" s="63" t="s">
        <v>10</v>
      </c>
      <c r="D95" s="63" t="s">
        <v>10</v>
      </c>
      <c r="E95" s="63" t="s">
        <v>11</v>
      </c>
      <c r="F95" s="63" t="s">
        <v>11</v>
      </c>
      <c r="G95" s="9" t="s">
        <v>114</v>
      </c>
      <c r="H95" s="54">
        <v>6</v>
      </c>
      <c r="I95" s="35">
        <v>208</v>
      </c>
      <c r="J95" s="54">
        <v>96</v>
      </c>
      <c r="K95" s="39" t="s">
        <v>1323</v>
      </c>
      <c r="L95" s="128" t="s">
        <v>468</v>
      </c>
      <c r="M95" s="39" t="s">
        <v>469</v>
      </c>
      <c r="N95" s="40">
        <v>43388</v>
      </c>
      <c r="O95" s="63" t="s">
        <v>17</v>
      </c>
      <c r="P95" s="63" t="s">
        <v>17</v>
      </c>
      <c r="Q95" s="63" t="s">
        <v>17</v>
      </c>
      <c r="R95" s="65" t="s">
        <v>26</v>
      </c>
      <c r="S95" s="34" t="s">
        <v>10</v>
      </c>
      <c r="T95" s="34" t="s">
        <v>11</v>
      </c>
      <c r="U95" s="35">
        <v>0.18</v>
      </c>
      <c r="V95" s="35"/>
      <c r="W95" s="35"/>
      <c r="X95" s="35">
        <v>100</v>
      </c>
      <c r="Y95" s="35">
        <v>310</v>
      </c>
      <c r="Z95" s="35">
        <v>480</v>
      </c>
      <c r="AA95" s="103">
        <v>0.6</v>
      </c>
      <c r="AB95" s="103">
        <v>1.2</v>
      </c>
      <c r="AC95" s="103">
        <v>1.8</v>
      </c>
      <c r="AD95" s="103">
        <v>3</v>
      </c>
      <c r="AE95" s="103">
        <v>4.5</v>
      </c>
      <c r="AF95" s="103">
        <v>6</v>
      </c>
      <c r="AG95" s="103">
        <v>94</v>
      </c>
      <c r="AH95" s="103">
        <v>96</v>
      </c>
      <c r="AI95" s="103">
        <v>96.4</v>
      </c>
      <c r="AJ95" s="103">
        <v>96.3</v>
      </c>
      <c r="AK95" s="103">
        <v>96</v>
      </c>
      <c r="AL95" s="103">
        <v>95.5</v>
      </c>
      <c r="AM95" s="103">
        <v>96</v>
      </c>
      <c r="AN95" s="103">
        <v>94.3</v>
      </c>
      <c r="AO95" s="103">
        <v>96.2</v>
      </c>
      <c r="AP95" s="103">
        <v>96.6</v>
      </c>
      <c r="AQ95" s="103">
        <v>96.7</v>
      </c>
      <c r="AR95" s="103">
        <v>96.4</v>
      </c>
      <c r="AS95" s="103">
        <v>96</v>
      </c>
      <c r="AT95" s="103">
        <v>96.4</v>
      </c>
      <c r="AU95" s="103">
        <v>92.1</v>
      </c>
      <c r="AV95" s="103">
        <v>95.1</v>
      </c>
      <c r="AW95" s="103">
        <v>95.9</v>
      </c>
      <c r="AX95" s="103">
        <v>96.1</v>
      </c>
      <c r="AY95" s="103">
        <v>96</v>
      </c>
      <c r="AZ95" s="103">
        <v>95.7</v>
      </c>
      <c r="BA95" s="103">
        <v>95.8</v>
      </c>
      <c r="BB95" s="40">
        <v>42917</v>
      </c>
      <c r="BC95" s="40">
        <v>43388</v>
      </c>
    </row>
    <row r="96" spans="1:55" s="120" customFormat="1" ht="45">
      <c r="A96" s="9" t="s">
        <v>0</v>
      </c>
      <c r="B96" s="9" t="s">
        <v>383</v>
      </c>
      <c r="C96" s="63" t="s">
        <v>10</v>
      </c>
      <c r="D96" s="63" t="s">
        <v>10</v>
      </c>
      <c r="E96" s="63" t="s">
        <v>11</v>
      </c>
      <c r="F96" s="63" t="s">
        <v>11</v>
      </c>
      <c r="G96" s="9" t="s">
        <v>115</v>
      </c>
      <c r="H96" s="54">
        <v>6</v>
      </c>
      <c r="I96" s="35">
        <v>240</v>
      </c>
      <c r="J96" s="54">
        <v>96.5</v>
      </c>
      <c r="K96" s="39" t="s">
        <v>1323</v>
      </c>
      <c r="L96" s="128" t="s">
        <v>468</v>
      </c>
      <c r="M96" s="39" t="s">
        <v>469</v>
      </c>
      <c r="N96" s="40">
        <v>43388</v>
      </c>
      <c r="O96" s="63" t="s">
        <v>17</v>
      </c>
      <c r="P96" s="63" t="s">
        <v>17</v>
      </c>
      <c r="Q96" s="63" t="s">
        <v>17</v>
      </c>
      <c r="R96" s="65" t="s">
        <v>26</v>
      </c>
      <c r="S96" s="34" t="s">
        <v>10</v>
      </c>
      <c r="T96" s="34" t="s">
        <v>11</v>
      </c>
      <c r="U96" s="35">
        <v>0.24</v>
      </c>
      <c r="V96" s="35"/>
      <c r="W96" s="35"/>
      <c r="X96" s="35">
        <v>100</v>
      </c>
      <c r="Y96" s="35">
        <v>345</v>
      </c>
      <c r="Z96" s="35">
        <v>480</v>
      </c>
      <c r="AA96" s="103">
        <v>0.6</v>
      </c>
      <c r="AB96" s="103">
        <v>1.2</v>
      </c>
      <c r="AC96" s="103">
        <v>1.8</v>
      </c>
      <c r="AD96" s="103">
        <v>3</v>
      </c>
      <c r="AE96" s="103">
        <v>4.5</v>
      </c>
      <c r="AF96" s="103">
        <v>6</v>
      </c>
      <c r="AG96" s="103">
        <v>93.5</v>
      </c>
      <c r="AH96" s="103">
        <v>95.8</v>
      </c>
      <c r="AI96" s="103">
        <v>96.3</v>
      </c>
      <c r="AJ96" s="103">
        <v>96.4</v>
      </c>
      <c r="AK96" s="103">
        <v>96.2</v>
      </c>
      <c r="AL96" s="103">
        <v>95.8</v>
      </c>
      <c r="AM96" s="103">
        <v>96.1</v>
      </c>
      <c r="AN96" s="103">
        <v>94.6</v>
      </c>
      <c r="AO96" s="103">
        <v>96.5</v>
      </c>
      <c r="AP96" s="103">
        <v>96.9</v>
      </c>
      <c r="AQ96" s="103">
        <v>96.9</v>
      </c>
      <c r="AR96" s="103">
        <v>96.8</v>
      </c>
      <c r="AS96" s="103">
        <v>96.5</v>
      </c>
      <c r="AT96" s="103">
        <v>96.7</v>
      </c>
      <c r="AU96" s="103">
        <v>92.6</v>
      </c>
      <c r="AV96" s="103">
        <v>95.5</v>
      </c>
      <c r="AW96" s="103">
        <v>96.1</v>
      </c>
      <c r="AX96" s="103">
        <v>96.5</v>
      </c>
      <c r="AY96" s="103">
        <v>96.4</v>
      </c>
      <c r="AZ96" s="103">
        <v>96.2</v>
      </c>
      <c r="BA96" s="103">
        <v>96.2</v>
      </c>
      <c r="BB96" s="40">
        <v>42917</v>
      </c>
      <c r="BC96" s="40">
        <v>43388</v>
      </c>
    </row>
    <row r="97" spans="1:55" s="120" customFormat="1" ht="45">
      <c r="A97" s="9" t="s">
        <v>0</v>
      </c>
      <c r="B97" s="9" t="s">
        <v>384</v>
      </c>
      <c r="C97" s="63" t="s">
        <v>10</v>
      </c>
      <c r="D97" s="63" t="s">
        <v>10</v>
      </c>
      <c r="E97" s="63" t="s">
        <v>11</v>
      </c>
      <c r="F97" s="63" t="s">
        <v>11</v>
      </c>
      <c r="G97" s="9" t="s">
        <v>116</v>
      </c>
      <c r="H97" s="54">
        <v>6</v>
      </c>
      <c r="I97" s="35">
        <v>277</v>
      </c>
      <c r="J97" s="54">
        <v>96.5</v>
      </c>
      <c r="K97" s="39" t="s">
        <v>1323</v>
      </c>
      <c r="L97" s="128" t="s">
        <v>468</v>
      </c>
      <c r="M97" s="39" t="s">
        <v>469</v>
      </c>
      <c r="N97" s="40">
        <v>43388</v>
      </c>
      <c r="O97" s="63" t="s">
        <v>17</v>
      </c>
      <c r="P97" s="63" t="s">
        <v>17</v>
      </c>
      <c r="Q97" s="63" t="s">
        <v>17</v>
      </c>
      <c r="R97" s="65" t="s">
        <v>26</v>
      </c>
      <c r="S97" s="34" t="s">
        <v>10</v>
      </c>
      <c r="T97" s="34" t="s">
        <v>11</v>
      </c>
      <c r="U97" s="35">
        <v>0.32</v>
      </c>
      <c r="V97" s="35"/>
      <c r="W97" s="35"/>
      <c r="X97" s="35">
        <v>100</v>
      </c>
      <c r="Y97" s="35">
        <v>400</v>
      </c>
      <c r="Z97" s="35">
        <v>480</v>
      </c>
      <c r="AA97" s="103">
        <v>0.6</v>
      </c>
      <c r="AB97" s="103">
        <v>1.2</v>
      </c>
      <c r="AC97" s="103">
        <v>1.8</v>
      </c>
      <c r="AD97" s="103">
        <v>3</v>
      </c>
      <c r="AE97" s="103">
        <v>4.5</v>
      </c>
      <c r="AF97" s="103">
        <v>6</v>
      </c>
      <c r="AG97" s="103">
        <v>92.5</v>
      </c>
      <c r="AH97" s="103">
        <v>95.5</v>
      </c>
      <c r="AI97" s="103">
        <v>96.2</v>
      </c>
      <c r="AJ97" s="103">
        <v>96.4</v>
      </c>
      <c r="AK97" s="103">
        <v>96.4</v>
      </c>
      <c r="AL97" s="103">
        <v>96.1</v>
      </c>
      <c r="AM97" s="103">
        <v>96.1</v>
      </c>
      <c r="AN97" s="103">
        <v>93.5</v>
      </c>
      <c r="AO97" s="103">
        <v>96.2</v>
      </c>
      <c r="AP97" s="103">
        <v>96.8</v>
      </c>
      <c r="AQ97" s="103">
        <v>97.1</v>
      </c>
      <c r="AR97" s="103">
        <v>97.1</v>
      </c>
      <c r="AS97" s="103">
        <v>97</v>
      </c>
      <c r="AT97" s="103">
        <v>96.9</v>
      </c>
      <c r="AU97" s="103">
        <v>92.2</v>
      </c>
      <c r="AV97" s="103">
        <v>95.5</v>
      </c>
      <c r="AW97" s="103">
        <v>96.3</v>
      </c>
      <c r="AX97" s="103">
        <v>96.8</v>
      </c>
      <c r="AY97" s="103">
        <v>96.9</v>
      </c>
      <c r="AZ97" s="103">
        <v>96.9</v>
      </c>
      <c r="BA97" s="103">
        <v>96.5</v>
      </c>
      <c r="BB97" s="40">
        <v>42917</v>
      </c>
      <c r="BC97" s="40">
        <v>43388</v>
      </c>
    </row>
    <row r="98" spans="1:55" s="120" customFormat="1" ht="45">
      <c r="A98" s="9" t="s">
        <v>0</v>
      </c>
      <c r="B98" s="9" t="s">
        <v>912</v>
      </c>
      <c r="C98" s="63" t="s">
        <v>10</v>
      </c>
      <c r="D98" s="63" t="s">
        <v>10</v>
      </c>
      <c r="E98" s="63" t="s">
        <v>11</v>
      </c>
      <c r="F98" s="63" t="s">
        <v>11</v>
      </c>
      <c r="G98" s="9" t="s">
        <v>117</v>
      </c>
      <c r="H98" s="54">
        <v>6</v>
      </c>
      <c r="I98" s="35">
        <v>208</v>
      </c>
      <c r="J98" s="54">
        <v>96</v>
      </c>
      <c r="K98" s="39" t="s">
        <v>1323</v>
      </c>
      <c r="L98" s="128" t="s">
        <v>468</v>
      </c>
      <c r="M98" s="39" t="s">
        <v>469</v>
      </c>
      <c r="N98" s="40">
        <v>43388</v>
      </c>
      <c r="O98" s="63" t="s">
        <v>17</v>
      </c>
      <c r="P98" s="63" t="s">
        <v>17</v>
      </c>
      <c r="Q98" s="63" t="s">
        <v>17</v>
      </c>
      <c r="R98" s="65" t="s">
        <v>26</v>
      </c>
      <c r="S98" s="34" t="s">
        <v>10</v>
      </c>
      <c r="T98" s="34" t="s">
        <v>11</v>
      </c>
      <c r="U98" s="35">
        <v>0.18</v>
      </c>
      <c r="V98" s="35"/>
      <c r="W98" s="35"/>
      <c r="X98" s="35">
        <v>100</v>
      </c>
      <c r="Y98" s="35">
        <v>310</v>
      </c>
      <c r="Z98" s="35">
        <v>480</v>
      </c>
      <c r="AA98" s="103">
        <v>0.6</v>
      </c>
      <c r="AB98" s="103">
        <v>1.2</v>
      </c>
      <c r="AC98" s="103">
        <v>1.8</v>
      </c>
      <c r="AD98" s="103">
        <v>3</v>
      </c>
      <c r="AE98" s="103">
        <v>4.5</v>
      </c>
      <c r="AF98" s="103">
        <v>6</v>
      </c>
      <c r="AG98" s="103">
        <v>94</v>
      </c>
      <c r="AH98" s="103">
        <v>96</v>
      </c>
      <c r="AI98" s="103">
        <v>96.4</v>
      </c>
      <c r="AJ98" s="103">
        <v>96.3</v>
      </c>
      <c r="AK98" s="103">
        <v>96</v>
      </c>
      <c r="AL98" s="103">
        <v>95.5</v>
      </c>
      <c r="AM98" s="103">
        <v>96</v>
      </c>
      <c r="AN98" s="103">
        <v>94.3</v>
      </c>
      <c r="AO98" s="103">
        <v>96.2</v>
      </c>
      <c r="AP98" s="103">
        <v>96.6</v>
      </c>
      <c r="AQ98" s="103">
        <v>96.7</v>
      </c>
      <c r="AR98" s="103">
        <v>96.4</v>
      </c>
      <c r="AS98" s="103">
        <v>96</v>
      </c>
      <c r="AT98" s="103">
        <v>96.4</v>
      </c>
      <c r="AU98" s="103">
        <v>92.1</v>
      </c>
      <c r="AV98" s="103">
        <v>95.1</v>
      </c>
      <c r="AW98" s="103">
        <v>95.9</v>
      </c>
      <c r="AX98" s="103">
        <v>96.1</v>
      </c>
      <c r="AY98" s="103">
        <v>96</v>
      </c>
      <c r="AZ98" s="103">
        <v>95.7</v>
      </c>
      <c r="BA98" s="103">
        <v>95.8</v>
      </c>
      <c r="BB98" s="40">
        <v>42917</v>
      </c>
      <c r="BC98" s="40">
        <v>43388</v>
      </c>
    </row>
    <row r="99" spans="1:55" s="120" customFormat="1" ht="45">
      <c r="A99" s="9" t="s">
        <v>0</v>
      </c>
      <c r="B99" s="9" t="s">
        <v>913</v>
      </c>
      <c r="C99" s="63" t="s">
        <v>10</v>
      </c>
      <c r="D99" s="63" t="s">
        <v>10</v>
      </c>
      <c r="E99" s="63" t="s">
        <v>11</v>
      </c>
      <c r="F99" s="63" t="s">
        <v>11</v>
      </c>
      <c r="G99" s="9" t="s">
        <v>118</v>
      </c>
      <c r="H99" s="54">
        <v>6</v>
      </c>
      <c r="I99" s="35">
        <v>240</v>
      </c>
      <c r="J99" s="54">
        <v>96.5</v>
      </c>
      <c r="K99" s="39" t="s">
        <v>1323</v>
      </c>
      <c r="L99" s="128" t="s">
        <v>468</v>
      </c>
      <c r="M99" s="39" t="s">
        <v>469</v>
      </c>
      <c r="N99" s="40">
        <v>43388</v>
      </c>
      <c r="O99" s="63" t="s">
        <v>17</v>
      </c>
      <c r="P99" s="63" t="s">
        <v>17</v>
      </c>
      <c r="Q99" s="63" t="s">
        <v>17</v>
      </c>
      <c r="R99" s="65" t="s">
        <v>26</v>
      </c>
      <c r="S99" s="34" t="s">
        <v>10</v>
      </c>
      <c r="T99" s="34" t="s">
        <v>11</v>
      </c>
      <c r="U99" s="35">
        <v>0.24</v>
      </c>
      <c r="V99" s="35"/>
      <c r="W99" s="35"/>
      <c r="X99" s="35">
        <v>100</v>
      </c>
      <c r="Y99" s="35">
        <v>345</v>
      </c>
      <c r="Z99" s="35">
        <v>480</v>
      </c>
      <c r="AA99" s="103">
        <v>0.6</v>
      </c>
      <c r="AB99" s="103">
        <v>1.2</v>
      </c>
      <c r="AC99" s="103">
        <v>1.8</v>
      </c>
      <c r="AD99" s="103">
        <v>3</v>
      </c>
      <c r="AE99" s="103">
        <v>4.5</v>
      </c>
      <c r="AF99" s="103">
        <v>6</v>
      </c>
      <c r="AG99" s="103">
        <v>93.5</v>
      </c>
      <c r="AH99" s="103">
        <v>95.8</v>
      </c>
      <c r="AI99" s="103">
        <v>96.3</v>
      </c>
      <c r="AJ99" s="103">
        <v>96.4</v>
      </c>
      <c r="AK99" s="103">
        <v>96.2</v>
      </c>
      <c r="AL99" s="103">
        <v>95.8</v>
      </c>
      <c r="AM99" s="103">
        <v>96.1</v>
      </c>
      <c r="AN99" s="103">
        <v>94.6</v>
      </c>
      <c r="AO99" s="103">
        <v>96.5</v>
      </c>
      <c r="AP99" s="103">
        <v>96.9</v>
      </c>
      <c r="AQ99" s="103">
        <v>96.9</v>
      </c>
      <c r="AR99" s="103">
        <v>96.8</v>
      </c>
      <c r="AS99" s="103">
        <v>96.5</v>
      </c>
      <c r="AT99" s="103">
        <v>96.7</v>
      </c>
      <c r="AU99" s="103">
        <v>92.6</v>
      </c>
      <c r="AV99" s="103">
        <v>95.5</v>
      </c>
      <c r="AW99" s="103">
        <v>96.1</v>
      </c>
      <c r="AX99" s="103">
        <v>96.5</v>
      </c>
      <c r="AY99" s="103">
        <v>96.4</v>
      </c>
      <c r="AZ99" s="103">
        <v>96.2</v>
      </c>
      <c r="BA99" s="103">
        <v>96.2</v>
      </c>
      <c r="BB99" s="40">
        <v>42917</v>
      </c>
      <c r="BC99" s="40">
        <v>43388</v>
      </c>
    </row>
    <row r="100" spans="1:55" s="120" customFormat="1" ht="45">
      <c r="A100" s="9" t="s">
        <v>0</v>
      </c>
      <c r="B100" s="9" t="s">
        <v>914</v>
      </c>
      <c r="C100" s="63" t="s">
        <v>10</v>
      </c>
      <c r="D100" s="63" t="s">
        <v>10</v>
      </c>
      <c r="E100" s="63" t="s">
        <v>11</v>
      </c>
      <c r="F100" s="63" t="s">
        <v>11</v>
      </c>
      <c r="G100" s="9" t="s">
        <v>119</v>
      </c>
      <c r="H100" s="54">
        <v>6</v>
      </c>
      <c r="I100" s="35">
        <v>277</v>
      </c>
      <c r="J100" s="54">
        <v>96.5</v>
      </c>
      <c r="K100" s="39" t="s">
        <v>1323</v>
      </c>
      <c r="L100" s="128" t="s">
        <v>468</v>
      </c>
      <c r="M100" s="39" t="s">
        <v>469</v>
      </c>
      <c r="N100" s="40">
        <v>43388</v>
      </c>
      <c r="O100" s="63" t="s">
        <v>17</v>
      </c>
      <c r="P100" s="63" t="s">
        <v>17</v>
      </c>
      <c r="Q100" s="63" t="s">
        <v>17</v>
      </c>
      <c r="R100" s="65" t="s">
        <v>26</v>
      </c>
      <c r="S100" s="34" t="s">
        <v>10</v>
      </c>
      <c r="T100" s="34" t="s">
        <v>11</v>
      </c>
      <c r="U100" s="35">
        <v>0.32</v>
      </c>
      <c r="V100" s="35"/>
      <c r="W100" s="35"/>
      <c r="X100" s="35">
        <v>100</v>
      </c>
      <c r="Y100" s="35">
        <v>400</v>
      </c>
      <c r="Z100" s="35">
        <v>480</v>
      </c>
      <c r="AA100" s="103">
        <v>0.6</v>
      </c>
      <c r="AB100" s="103">
        <v>1.2</v>
      </c>
      <c r="AC100" s="103">
        <v>1.8</v>
      </c>
      <c r="AD100" s="103">
        <v>3</v>
      </c>
      <c r="AE100" s="103">
        <v>4.5</v>
      </c>
      <c r="AF100" s="103">
        <v>6</v>
      </c>
      <c r="AG100" s="103">
        <v>92.5</v>
      </c>
      <c r="AH100" s="103">
        <v>95.5</v>
      </c>
      <c r="AI100" s="103">
        <v>96.2</v>
      </c>
      <c r="AJ100" s="103">
        <v>96.4</v>
      </c>
      <c r="AK100" s="103">
        <v>96.4</v>
      </c>
      <c r="AL100" s="103">
        <v>96.1</v>
      </c>
      <c r="AM100" s="103">
        <v>96.1</v>
      </c>
      <c r="AN100" s="103">
        <v>93.5</v>
      </c>
      <c r="AO100" s="103">
        <v>96.2</v>
      </c>
      <c r="AP100" s="103">
        <v>96.8</v>
      </c>
      <c r="AQ100" s="103">
        <v>97.1</v>
      </c>
      <c r="AR100" s="103">
        <v>97.1</v>
      </c>
      <c r="AS100" s="103">
        <v>97</v>
      </c>
      <c r="AT100" s="103">
        <v>96.9</v>
      </c>
      <c r="AU100" s="103">
        <v>92.2</v>
      </c>
      <c r="AV100" s="103">
        <v>95.5</v>
      </c>
      <c r="AW100" s="103">
        <v>96.3</v>
      </c>
      <c r="AX100" s="103">
        <v>96.8</v>
      </c>
      <c r="AY100" s="103">
        <v>96.9</v>
      </c>
      <c r="AZ100" s="103">
        <v>96.9</v>
      </c>
      <c r="BA100" s="103">
        <v>96.5</v>
      </c>
      <c r="BB100" s="40">
        <v>42917</v>
      </c>
      <c r="BC100" s="40">
        <v>43388</v>
      </c>
    </row>
    <row r="101" spans="1:55" s="120" customFormat="1" ht="45">
      <c r="A101" s="41" t="s">
        <v>0</v>
      </c>
      <c r="B101" s="86" t="s">
        <v>915</v>
      </c>
      <c r="C101" s="85" t="s">
        <v>10</v>
      </c>
      <c r="D101" s="85" t="s">
        <v>10</v>
      </c>
      <c r="E101" s="63" t="s">
        <v>11</v>
      </c>
      <c r="F101" s="63" t="s">
        <v>11</v>
      </c>
      <c r="G101" s="41" t="s">
        <v>281</v>
      </c>
      <c r="H101" s="66">
        <v>6</v>
      </c>
      <c r="I101" s="48">
        <v>208</v>
      </c>
      <c r="J101" s="64">
        <v>97</v>
      </c>
      <c r="K101" s="39" t="s">
        <v>1323</v>
      </c>
      <c r="L101" s="129" t="s">
        <v>589</v>
      </c>
      <c r="M101" s="45" t="s">
        <v>470</v>
      </c>
      <c r="N101" s="40">
        <v>43388</v>
      </c>
      <c r="O101" s="63" t="s">
        <v>17</v>
      </c>
      <c r="P101" s="63" t="s">
        <v>17</v>
      </c>
      <c r="Q101" s="63" t="s">
        <v>17</v>
      </c>
      <c r="R101" s="41" t="s">
        <v>26</v>
      </c>
      <c r="S101" s="57" t="s">
        <v>10</v>
      </c>
      <c r="T101" s="57" t="s">
        <v>11</v>
      </c>
      <c r="U101" s="65">
        <v>1.3</v>
      </c>
      <c r="V101" s="74"/>
      <c r="W101" s="74"/>
      <c r="X101" s="74">
        <v>240</v>
      </c>
      <c r="Y101" s="74">
        <v>340</v>
      </c>
      <c r="Z101" s="74">
        <v>480</v>
      </c>
      <c r="AA101" s="97">
        <v>0.6</v>
      </c>
      <c r="AB101" s="97">
        <v>1.2</v>
      </c>
      <c r="AC101" s="97">
        <v>1.8</v>
      </c>
      <c r="AD101" s="97">
        <v>3</v>
      </c>
      <c r="AE101" s="97">
        <v>4.5</v>
      </c>
      <c r="AF101" s="97">
        <v>6</v>
      </c>
      <c r="AG101" s="98">
        <v>94.3</v>
      </c>
      <c r="AH101" s="98">
        <v>96.3</v>
      </c>
      <c r="AI101" s="98">
        <v>96.7</v>
      </c>
      <c r="AJ101" s="98">
        <v>96.8</v>
      </c>
      <c r="AK101" s="98">
        <v>96.6</v>
      </c>
      <c r="AL101" s="98">
        <v>96.3</v>
      </c>
      <c r="AM101" s="98">
        <v>96.6</v>
      </c>
      <c r="AN101" s="98">
        <v>94.9</v>
      </c>
      <c r="AO101" s="98">
        <v>96.7</v>
      </c>
      <c r="AP101" s="98">
        <v>97</v>
      </c>
      <c r="AQ101" s="98">
        <v>97.1</v>
      </c>
      <c r="AR101" s="98">
        <v>97</v>
      </c>
      <c r="AS101" s="98">
        <v>96.7</v>
      </c>
      <c r="AT101" s="98">
        <v>96.9</v>
      </c>
      <c r="AU101" s="98">
        <v>93.7</v>
      </c>
      <c r="AV101" s="98">
        <v>96.2</v>
      </c>
      <c r="AW101" s="98">
        <v>96.7</v>
      </c>
      <c r="AX101" s="98">
        <v>97.1</v>
      </c>
      <c r="AY101" s="98">
        <v>97.1</v>
      </c>
      <c r="AZ101" s="98">
        <v>96.8</v>
      </c>
      <c r="BA101" s="96">
        <v>96.8</v>
      </c>
      <c r="BB101" s="40">
        <v>43040</v>
      </c>
      <c r="BC101" s="40">
        <v>43388</v>
      </c>
    </row>
    <row r="102" spans="1:55" s="120" customFormat="1" ht="45">
      <c r="A102" s="41" t="s">
        <v>0</v>
      </c>
      <c r="B102" s="86" t="s">
        <v>916</v>
      </c>
      <c r="C102" s="85" t="s">
        <v>10</v>
      </c>
      <c r="D102" s="85" t="s">
        <v>10</v>
      </c>
      <c r="E102" s="63" t="s">
        <v>11</v>
      </c>
      <c r="F102" s="63" t="s">
        <v>11</v>
      </c>
      <c r="G102" s="41" t="s">
        <v>311</v>
      </c>
      <c r="H102" s="66">
        <v>6</v>
      </c>
      <c r="I102" s="48">
        <v>240</v>
      </c>
      <c r="J102" s="64">
        <v>97</v>
      </c>
      <c r="K102" s="39" t="s">
        <v>1323</v>
      </c>
      <c r="L102" s="129" t="s">
        <v>589</v>
      </c>
      <c r="M102" s="45" t="s">
        <v>470</v>
      </c>
      <c r="N102" s="40">
        <v>43388</v>
      </c>
      <c r="O102" s="63" t="s">
        <v>17</v>
      </c>
      <c r="P102" s="63" t="s">
        <v>17</v>
      </c>
      <c r="Q102" s="63" t="s">
        <v>17</v>
      </c>
      <c r="R102" s="41" t="s">
        <v>26</v>
      </c>
      <c r="S102" s="57" t="s">
        <v>10</v>
      </c>
      <c r="T102" s="57" t="s">
        <v>11</v>
      </c>
      <c r="U102" s="65">
        <v>1.3</v>
      </c>
      <c r="V102" s="74"/>
      <c r="W102" s="74"/>
      <c r="X102" s="74">
        <v>200</v>
      </c>
      <c r="Y102" s="74">
        <v>355</v>
      </c>
      <c r="Z102" s="74">
        <v>480</v>
      </c>
      <c r="AA102" s="97">
        <v>0.6</v>
      </c>
      <c r="AB102" s="97">
        <v>1.2</v>
      </c>
      <c r="AC102" s="97">
        <v>1.8</v>
      </c>
      <c r="AD102" s="97">
        <v>3</v>
      </c>
      <c r="AE102" s="97">
        <v>4.5</v>
      </c>
      <c r="AF102" s="97">
        <v>6</v>
      </c>
      <c r="AG102" s="98">
        <v>94.1</v>
      </c>
      <c r="AH102" s="98">
        <v>96.3</v>
      </c>
      <c r="AI102" s="98">
        <v>96.6</v>
      </c>
      <c r="AJ102" s="98">
        <v>96.8</v>
      </c>
      <c r="AK102" s="98">
        <v>96.7</v>
      </c>
      <c r="AL102" s="98">
        <v>96.4</v>
      </c>
      <c r="AM102" s="98">
        <v>96.6</v>
      </c>
      <c r="AN102" s="98">
        <v>95.1</v>
      </c>
      <c r="AO102" s="98">
        <v>96.9</v>
      </c>
      <c r="AP102" s="98">
        <v>97.3</v>
      </c>
      <c r="AQ102" s="98">
        <v>97.4</v>
      </c>
      <c r="AR102" s="98">
        <v>97.4</v>
      </c>
      <c r="AS102" s="98">
        <v>97.2</v>
      </c>
      <c r="AT102" s="98">
        <v>97.3</v>
      </c>
      <c r="AU102" s="98">
        <v>93.8</v>
      </c>
      <c r="AV102" s="98">
        <v>96.4</v>
      </c>
      <c r="AW102" s="98">
        <v>97.1</v>
      </c>
      <c r="AX102" s="98">
        <v>97.4</v>
      </c>
      <c r="AY102" s="98">
        <v>97.5</v>
      </c>
      <c r="AZ102" s="98">
        <v>97.4</v>
      </c>
      <c r="BA102" s="96">
        <v>97.2</v>
      </c>
      <c r="BB102" s="40">
        <v>43040</v>
      </c>
      <c r="BC102" s="40">
        <v>43388</v>
      </c>
    </row>
    <row r="103" spans="1:55" s="120" customFormat="1" ht="45">
      <c r="A103" s="41" t="s">
        <v>0</v>
      </c>
      <c r="B103" s="86" t="s">
        <v>917</v>
      </c>
      <c r="C103" s="85" t="s">
        <v>10</v>
      </c>
      <c r="D103" s="85" t="s">
        <v>10</v>
      </c>
      <c r="E103" s="63" t="s">
        <v>11</v>
      </c>
      <c r="F103" s="63" t="s">
        <v>11</v>
      </c>
      <c r="G103" s="41" t="s">
        <v>282</v>
      </c>
      <c r="H103" s="66">
        <v>6</v>
      </c>
      <c r="I103" s="48">
        <v>208</v>
      </c>
      <c r="J103" s="64">
        <v>97</v>
      </c>
      <c r="K103" s="39" t="s">
        <v>1323</v>
      </c>
      <c r="L103" s="129" t="s">
        <v>589</v>
      </c>
      <c r="M103" s="45" t="s">
        <v>470</v>
      </c>
      <c r="N103" s="40">
        <v>43388</v>
      </c>
      <c r="O103" s="63" t="s">
        <v>17</v>
      </c>
      <c r="P103" s="63" t="s">
        <v>17</v>
      </c>
      <c r="Q103" s="63" t="s">
        <v>17</v>
      </c>
      <c r="R103" s="41" t="s">
        <v>26</v>
      </c>
      <c r="S103" s="57" t="s">
        <v>10</v>
      </c>
      <c r="T103" s="57" t="s">
        <v>11</v>
      </c>
      <c r="U103" s="65">
        <v>1.3</v>
      </c>
      <c r="V103" s="74"/>
      <c r="W103" s="74"/>
      <c r="X103" s="74">
        <v>240</v>
      </c>
      <c r="Y103" s="74">
        <v>340</v>
      </c>
      <c r="Z103" s="74">
        <v>480</v>
      </c>
      <c r="AA103" s="97">
        <v>0.6</v>
      </c>
      <c r="AB103" s="97">
        <v>1.2</v>
      </c>
      <c r="AC103" s="97">
        <v>1.8</v>
      </c>
      <c r="AD103" s="97">
        <v>3</v>
      </c>
      <c r="AE103" s="97">
        <v>4.5</v>
      </c>
      <c r="AF103" s="97">
        <v>6</v>
      </c>
      <c r="AG103" s="98">
        <v>94.3</v>
      </c>
      <c r="AH103" s="98">
        <v>96.3</v>
      </c>
      <c r="AI103" s="98">
        <v>96.7</v>
      </c>
      <c r="AJ103" s="98">
        <v>96.8</v>
      </c>
      <c r="AK103" s="98">
        <v>96.6</v>
      </c>
      <c r="AL103" s="98">
        <v>96.3</v>
      </c>
      <c r="AM103" s="98">
        <v>96.6</v>
      </c>
      <c r="AN103" s="98">
        <v>94.9</v>
      </c>
      <c r="AO103" s="98">
        <v>96.7</v>
      </c>
      <c r="AP103" s="98">
        <v>97</v>
      </c>
      <c r="AQ103" s="98">
        <v>97.1</v>
      </c>
      <c r="AR103" s="98">
        <v>97</v>
      </c>
      <c r="AS103" s="98">
        <v>96.7</v>
      </c>
      <c r="AT103" s="98">
        <v>96.9</v>
      </c>
      <c r="AU103" s="98">
        <v>93.7</v>
      </c>
      <c r="AV103" s="98">
        <v>96.2</v>
      </c>
      <c r="AW103" s="98">
        <v>96.7</v>
      </c>
      <c r="AX103" s="98">
        <v>97.1</v>
      </c>
      <c r="AY103" s="98">
        <v>97.1</v>
      </c>
      <c r="AZ103" s="98">
        <v>96.8</v>
      </c>
      <c r="BA103" s="96">
        <v>96.8</v>
      </c>
      <c r="BB103" s="40">
        <v>43040</v>
      </c>
      <c r="BC103" s="40">
        <v>43388</v>
      </c>
    </row>
    <row r="104" spans="1:55" s="120" customFormat="1" ht="45">
      <c r="A104" s="41" t="s">
        <v>0</v>
      </c>
      <c r="B104" s="86" t="s">
        <v>918</v>
      </c>
      <c r="C104" s="85" t="s">
        <v>10</v>
      </c>
      <c r="D104" s="85" t="s">
        <v>10</v>
      </c>
      <c r="E104" s="63" t="s">
        <v>11</v>
      </c>
      <c r="F104" s="63" t="s">
        <v>11</v>
      </c>
      <c r="G104" s="41" t="s">
        <v>313</v>
      </c>
      <c r="H104" s="66">
        <v>6</v>
      </c>
      <c r="I104" s="48">
        <v>240</v>
      </c>
      <c r="J104" s="64">
        <v>97</v>
      </c>
      <c r="K104" s="39" t="s">
        <v>1323</v>
      </c>
      <c r="L104" s="129" t="s">
        <v>589</v>
      </c>
      <c r="M104" s="45" t="s">
        <v>470</v>
      </c>
      <c r="N104" s="40">
        <v>43388</v>
      </c>
      <c r="O104" s="63" t="s">
        <v>17</v>
      </c>
      <c r="P104" s="63" t="s">
        <v>17</v>
      </c>
      <c r="Q104" s="63" t="s">
        <v>17</v>
      </c>
      <c r="R104" s="41" t="s">
        <v>26</v>
      </c>
      <c r="S104" s="57" t="s">
        <v>10</v>
      </c>
      <c r="T104" s="57" t="s">
        <v>11</v>
      </c>
      <c r="U104" s="65">
        <v>1.3</v>
      </c>
      <c r="V104" s="74"/>
      <c r="W104" s="74"/>
      <c r="X104" s="74">
        <v>200</v>
      </c>
      <c r="Y104" s="74">
        <v>355</v>
      </c>
      <c r="Z104" s="74">
        <v>480</v>
      </c>
      <c r="AA104" s="97">
        <v>0.6</v>
      </c>
      <c r="AB104" s="97">
        <v>1.2</v>
      </c>
      <c r="AC104" s="97">
        <v>1.8</v>
      </c>
      <c r="AD104" s="97">
        <v>3</v>
      </c>
      <c r="AE104" s="97">
        <v>4.5</v>
      </c>
      <c r="AF104" s="97">
        <v>6</v>
      </c>
      <c r="AG104" s="98">
        <v>94.1</v>
      </c>
      <c r="AH104" s="98">
        <v>96.3</v>
      </c>
      <c r="AI104" s="98">
        <v>96.6</v>
      </c>
      <c r="AJ104" s="98">
        <v>96.8</v>
      </c>
      <c r="AK104" s="98">
        <v>96.7</v>
      </c>
      <c r="AL104" s="98">
        <v>96.4</v>
      </c>
      <c r="AM104" s="98">
        <v>96.6</v>
      </c>
      <c r="AN104" s="98">
        <v>95.1</v>
      </c>
      <c r="AO104" s="98">
        <v>96.9</v>
      </c>
      <c r="AP104" s="98">
        <v>97.3</v>
      </c>
      <c r="AQ104" s="98">
        <v>97.4</v>
      </c>
      <c r="AR104" s="98">
        <v>97.4</v>
      </c>
      <c r="AS104" s="98">
        <v>97.2</v>
      </c>
      <c r="AT104" s="98">
        <v>97.3</v>
      </c>
      <c r="AU104" s="98">
        <v>93.8</v>
      </c>
      <c r="AV104" s="98">
        <v>96.4</v>
      </c>
      <c r="AW104" s="98">
        <v>97.1</v>
      </c>
      <c r="AX104" s="98">
        <v>97.4</v>
      </c>
      <c r="AY104" s="98">
        <v>97.5</v>
      </c>
      <c r="AZ104" s="98">
        <v>97.4</v>
      </c>
      <c r="BA104" s="96">
        <v>97.2</v>
      </c>
      <c r="BB104" s="40">
        <v>43040</v>
      </c>
      <c r="BC104" s="40">
        <v>43388</v>
      </c>
    </row>
    <row r="105" spans="1:55" s="120" customFormat="1" ht="45">
      <c r="A105" s="41" t="s">
        <v>0</v>
      </c>
      <c r="B105" s="86" t="s">
        <v>919</v>
      </c>
      <c r="C105" s="85" t="s">
        <v>10</v>
      </c>
      <c r="D105" s="85" t="s">
        <v>10</v>
      </c>
      <c r="E105" s="63" t="s">
        <v>11</v>
      </c>
      <c r="F105" s="63" t="s">
        <v>11</v>
      </c>
      <c r="G105" s="41" t="s">
        <v>283</v>
      </c>
      <c r="H105" s="66">
        <v>6</v>
      </c>
      <c r="I105" s="48">
        <v>208</v>
      </c>
      <c r="J105" s="64">
        <v>97</v>
      </c>
      <c r="K105" s="39" t="s">
        <v>1323</v>
      </c>
      <c r="L105" s="129" t="s">
        <v>589</v>
      </c>
      <c r="M105" s="45" t="s">
        <v>470</v>
      </c>
      <c r="N105" s="40">
        <v>43388</v>
      </c>
      <c r="O105" s="63" t="s">
        <v>17</v>
      </c>
      <c r="P105" s="63" t="s">
        <v>17</v>
      </c>
      <c r="Q105" s="63" t="s">
        <v>17</v>
      </c>
      <c r="R105" s="41" t="s">
        <v>26</v>
      </c>
      <c r="S105" s="57" t="s">
        <v>10</v>
      </c>
      <c r="T105" s="57" t="s">
        <v>11</v>
      </c>
      <c r="U105" s="65">
        <v>1.3</v>
      </c>
      <c r="V105" s="74"/>
      <c r="W105" s="74"/>
      <c r="X105" s="74">
        <v>240</v>
      </c>
      <c r="Y105" s="74">
        <v>340</v>
      </c>
      <c r="Z105" s="74">
        <v>480</v>
      </c>
      <c r="AA105" s="97">
        <v>0.6</v>
      </c>
      <c r="AB105" s="97">
        <v>1.2</v>
      </c>
      <c r="AC105" s="97">
        <v>1.8</v>
      </c>
      <c r="AD105" s="97">
        <v>3</v>
      </c>
      <c r="AE105" s="97">
        <v>4.5</v>
      </c>
      <c r="AF105" s="97">
        <v>6</v>
      </c>
      <c r="AG105" s="98">
        <v>94.3</v>
      </c>
      <c r="AH105" s="98">
        <v>96.3</v>
      </c>
      <c r="AI105" s="98">
        <v>96.7</v>
      </c>
      <c r="AJ105" s="98">
        <v>96.8</v>
      </c>
      <c r="AK105" s="98">
        <v>96.6</v>
      </c>
      <c r="AL105" s="98">
        <v>96.3</v>
      </c>
      <c r="AM105" s="98">
        <v>96.6</v>
      </c>
      <c r="AN105" s="98">
        <v>94.9</v>
      </c>
      <c r="AO105" s="98">
        <v>96.7</v>
      </c>
      <c r="AP105" s="98">
        <v>97</v>
      </c>
      <c r="AQ105" s="98">
        <v>97.1</v>
      </c>
      <c r="AR105" s="98">
        <v>97</v>
      </c>
      <c r="AS105" s="98">
        <v>96.7</v>
      </c>
      <c r="AT105" s="98">
        <v>96.9</v>
      </c>
      <c r="AU105" s="98">
        <v>93.7</v>
      </c>
      <c r="AV105" s="98">
        <v>96.2</v>
      </c>
      <c r="AW105" s="98">
        <v>96.7</v>
      </c>
      <c r="AX105" s="98">
        <v>97.1</v>
      </c>
      <c r="AY105" s="98">
        <v>97.1</v>
      </c>
      <c r="AZ105" s="98">
        <v>96.8</v>
      </c>
      <c r="BA105" s="96">
        <v>96.8</v>
      </c>
      <c r="BB105" s="40">
        <v>43040</v>
      </c>
      <c r="BC105" s="40">
        <v>43388</v>
      </c>
    </row>
    <row r="106" spans="1:55" s="120" customFormat="1" ht="45">
      <c r="A106" s="41" t="s">
        <v>0</v>
      </c>
      <c r="B106" s="86" t="s">
        <v>920</v>
      </c>
      <c r="C106" s="85" t="s">
        <v>10</v>
      </c>
      <c r="D106" s="85" t="s">
        <v>10</v>
      </c>
      <c r="E106" s="63" t="s">
        <v>11</v>
      </c>
      <c r="F106" s="63" t="s">
        <v>11</v>
      </c>
      <c r="G106" s="41" t="s">
        <v>312</v>
      </c>
      <c r="H106" s="66">
        <v>6</v>
      </c>
      <c r="I106" s="48">
        <v>240</v>
      </c>
      <c r="J106" s="64">
        <v>97</v>
      </c>
      <c r="K106" s="39" t="s">
        <v>1323</v>
      </c>
      <c r="L106" s="129" t="s">
        <v>589</v>
      </c>
      <c r="M106" s="45" t="s">
        <v>470</v>
      </c>
      <c r="N106" s="40">
        <v>43388</v>
      </c>
      <c r="O106" s="63" t="s">
        <v>17</v>
      </c>
      <c r="P106" s="63" t="s">
        <v>17</v>
      </c>
      <c r="Q106" s="63" t="s">
        <v>17</v>
      </c>
      <c r="R106" s="41" t="s">
        <v>26</v>
      </c>
      <c r="S106" s="57" t="s">
        <v>10</v>
      </c>
      <c r="T106" s="57" t="s">
        <v>11</v>
      </c>
      <c r="U106" s="65">
        <v>1.3</v>
      </c>
      <c r="V106" s="74"/>
      <c r="W106" s="74"/>
      <c r="X106" s="74">
        <v>200</v>
      </c>
      <c r="Y106" s="74">
        <v>355</v>
      </c>
      <c r="Z106" s="74">
        <v>480</v>
      </c>
      <c r="AA106" s="97">
        <v>0.6</v>
      </c>
      <c r="AB106" s="97">
        <v>1.2</v>
      </c>
      <c r="AC106" s="97">
        <v>1.8</v>
      </c>
      <c r="AD106" s="97">
        <v>3</v>
      </c>
      <c r="AE106" s="97">
        <v>4.5</v>
      </c>
      <c r="AF106" s="97">
        <v>6</v>
      </c>
      <c r="AG106" s="98">
        <v>94.1</v>
      </c>
      <c r="AH106" s="98">
        <v>96.3</v>
      </c>
      <c r="AI106" s="98">
        <v>96.6</v>
      </c>
      <c r="AJ106" s="98">
        <v>96.8</v>
      </c>
      <c r="AK106" s="98">
        <v>96.7</v>
      </c>
      <c r="AL106" s="98">
        <v>96.4</v>
      </c>
      <c r="AM106" s="98">
        <v>96.6</v>
      </c>
      <c r="AN106" s="98">
        <v>95.1</v>
      </c>
      <c r="AO106" s="98">
        <v>96.9</v>
      </c>
      <c r="AP106" s="98">
        <v>97.3</v>
      </c>
      <c r="AQ106" s="98">
        <v>97.4</v>
      </c>
      <c r="AR106" s="98">
        <v>97.4</v>
      </c>
      <c r="AS106" s="98">
        <v>97.2</v>
      </c>
      <c r="AT106" s="98">
        <v>97.3</v>
      </c>
      <c r="AU106" s="98">
        <v>93.8</v>
      </c>
      <c r="AV106" s="98">
        <v>96.4</v>
      </c>
      <c r="AW106" s="98">
        <v>97.1</v>
      </c>
      <c r="AX106" s="98">
        <v>97.4</v>
      </c>
      <c r="AY106" s="98">
        <v>97.5</v>
      </c>
      <c r="AZ106" s="98">
        <v>97.4</v>
      </c>
      <c r="BA106" s="96">
        <v>97.2</v>
      </c>
      <c r="BB106" s="40">
        <v>43040</v>
      </c>
      <c r="BC106" s="40">
        <v>43388</v>
      </c>
    </row>
    <row r="107" spans="1:55" s="120" customFormat="1" ht="45">
      <c r="A107" s="41" t="s">
        <v>0</v>
      </c>
      <c r="B107" s="86" t="s">
        <v>921</v>
      </c>
      <c r="C107" s="85" t="s">
        <v>10</v>
      </c>
      <c r="D107" s="85" t="s">
        <v>10</v>
      </c>
      <c r="E107" s="63" t="s">
        <v>11</v>
      </c>
      <c r="F107" s="63" t="s">
        <v>11</v>
      </c>
      <c r="G107" s="41" t="s">
        <v>281</v>
      </c>
      <c r="H107" s="66">
        <v>6</v>
      </c>
      <c r="I107" s="48">
        <v>208</v>
      </c>
      <c r="J107" s="64">
        <v>97</v>
      </c>
      <c r="K107" s="39" t="s">
        <v>1323</v>
      </c>
      <c r="L107" s="129" t="s">
        <v>589</v>
      </c>
      <c r="M107" s="45" t="s">
        <v>470</v>
      </c>
      <c r="N107" s="40">
        <v>43388</v>
      </c>
      <c r="O107" s="63" t="s">
        <v>17</v>
      </c>
      <c r="P107" s="63" t="s">
        <v>17</v>
      </c>
      <c r="Q107" s="63" t="s">
        <v>17</v>
      </c>
      <c r="R107" s="41" t="s">
        <v>26</v>
      </c>
      <c r="S107" s="57" t="s">
        <v>10</v>
      </c>
      <c r="T107" s="57" t="s">
        <v>11</v>
      </c>
      <c r="U107" s="65">
        <v>1.3</v>
      </c>
      <c r="V107" s="74"/>
      <c r="W107" s="74"/>
      <c r="X107" s="74">
        <v>240</v>
      </c>
      <c r="Y107" s="74">
        <v>340</v>
      </c>
      <c r="Z107" s="74">
        <v>480</v>
      </c>
      <c r="AA107" s="97">
        <v>0.6</v>
      </c>
      <c r="AB107" s="97">
        <v>1.2</v>
      </c>
      <c r="AC107" s="97">
        <v>1.8</v>
      </c>
      <c r="AD107" s="97">
        <v>3</v>
      </c>
      <c r="AE107" s="97">
        <v>4.5</v>
      </c>
      <c r="AF107" s="97">
        <v>6</v>
      </c>
      <c r="AG107" s="98">
        <v>94.3</v>
      </c>
      <c r="AH107" s="98">
        <v>96.3</v>
      </c>
      <c r="AI107" s="98">
        <v>96.7</v>
      </c>
      <c r="AJ107" s="98">
        <v>96.8</v>
      </c>
      <c r="AK107" s="98">
        <v>96.6</v>
      </c>
      <c r="AL107" s="98">
        <v>96.3</v>
      </c>
      <c r="AM107" s="98">
        <v>96.6</v>
      </c>
      <c r="AN107" s="98">
        <v>94.9</v>
      </c>
      <c r="AO107" s="98">
        <v>96.7</v>
      </c>
      <c r="AP107" s="98">
        <v>97</v>
      </c>
      <c r="AQ107" s="98">
        <v>97.1</v>
      </c>
      <c r="AR107" s="98">
        <v>97</v>
      </c>
      <c r="AS107" s="98">
        <v>96.7</v>
      </c>
      <c r="AT107" s="98">
        <v>96.9</v>
      </c>
      <c r="AU107" s="98">
        <v>93.7</v>
      </c>
      <c r="AV107" s="98">
        <v>96.2</v>
      </c>
      <c r="AW107" s="98">
        <v>96.7</v>
      </c>
      <c r="AX107" s="98">
        <v>97.1</v>
      </c>
      <c r="AY107" s="98">
        <v>97.1</v>
      </c>
      <c r="AZ107" s="98">
        <v>96.8</v>
      </c>
      <c r="BA107" s="96">
        <v>96.8</v>
      </c>
      <c r="BB107" s="40">
        <v>43040</v>
      </c>
      <c r="BC107" s="40">
        <v>43388</v>
      </c>
    </row>
    <row r="108" spans="1:55" s="120" customFormat="1" ht="45">
      <c r="A108" s="41" t="s">
        <v>0</v>
      </c>
      <c r="B108" s="86" t="s">
        <v>922</v>
      </c>
      <c r="C108" s="85" t="s">
        <v>10</v>
      </c>
      <c r="D108" s="85" t="s">
        <v>10</v>
      </c>
      <c r="E108" s="63" t="s">
        <v>11</v>
      </c>
      <c r="F108" s="63" t="s">
        <v>11</v>
      </c>
      <c r="G108" s="41" t="s">
        <v>311</v>
      </c>
      <c r="H108" s="66">
        <v>6</v>
      </c>
      <c r="I108" s="48">
        <v>240</v>
      </c>
      <c r="J108" s="64">
        <v>97</v>
      </c>
      <c r="K108" s="39" t="s">
        <v>1323</v>
      </c>
      <c r="L108" s="129" t="s">
        <v>589</v>
      </c>
      <c r="M108" s="45" t="s">
        <v>470</v>
      </c>
      <c r="N108" s="40">
        <v>43388</v>
      </c>
      <c r="O108" s="63" t="s">
        <v>17</v>
      </c>
      <c r="P108" s="63" t="s">
        <v>17</v>
      </c>
      <c r="Q108" s="63" t="s">
        <v>17</v>
      </c>
      <c r="R108" s="41" t="s">
        <v>26</v>
      </c>
      <c r="S108" s="57" t="s">
        <v>10</v>
      </c>
      <c r="T108" s="57" t="s">
        <v>11</v>
      </c>
      <c r="U108" s="65">
        <v>1.3</v>
      </c>
      <c r="V108" s="74"/>
      <c r="W108" s="74"/>
      <c r="X108" s="74">
        <v>200</v>
      </c>
      <c r="Y108" s="74">
        <v>355</v>
      </c>
      <c r="Z108" s="74">
        <v>480</v>
      </c>
      <c r="AA108" s="97">
        <v>0.6</v>
      </c>
      <c r="AB108" s="97">
        <v>1.2</v>
      </c>
      <c r="AC108" s="97">
        <v>1.8</v>
      </c>
      <c r="AD108" s="97">
        <v>3</v>
      </c>
      <c r="AE108" s="97">
        <v>4.5</v>
      </c>
      <c r="AF108" s="97">
        <v>6</v>
      </c>
      <c r="AG108" s="98">
        <v>94.1</v>
      </c>
      <c r="AH108" s="98">
        <v>96.3</v>
      </c>
      <c r="AI108" s="98">
        <v>96.6</v>
      </c>
      <c r="AJ108" s="98">
        <v>96.8</v>
      </c>
      <c r="AK108" s="98">
        <v>96.7</v>
      </c>
      <c r="AL108" s="98">
        <v>96.4</v>
      </c>
      <c r="AM108" s="98">
        <v>96.6</v>
      </c>
      <c r="AN108" s="98">
        <v>95.1</v>
      </c>
      <c r="AO108" s="98">
        <v>96.9</v>
      </c>
      <c r="AP108" s="98">
        <v>97.3</v>
      </c>
      <c r="AQ108" s="98">
        <v>97.4</v>
      </c>
      <c r="AR108" s="98">
        <v>97.4</v>
      </c>
      <c r="AS108" s="98">
        <v>97.2</v>
      </c>
      <c r="AT108" s="98">
        <v>97.3</v>
      </c>
      <c r="AU108" s="98">
        <v>93.8</v>
      </c>
      <c r="AV108" s="98">
        <v>96.4</v>
      </c>
      <c r="AW108" s="98">
        <v>97.1</v>
      </c>
      <c r="AX108" s="98">
        <v>97.4</v>
      </c>
      <c r="AY108" s="98">
        <v>97.5</v>
      </c>
      <c r="AZ108" s="98">
        <v>97.4</v>
      </c>
      <c r="BA108" s="96">
        <v>97.2</v>
      </c>
      <c r="BB108" s="40">
        <v>43040</v>
      </c>
      <c r="BC108" s="40">
        <v>43388</v>
      </c>
    </row>
    <row r="109" spans="1:55" s="120" customFormat="1" ht="45">
      <c r="A109" s="41" t="s">
        <v>0</v>
      </c>
      <c r="B109" s="86" t="s">
        <v>923</v>
      </c>
      <c r="C109" s="85" t="s">
        <v>10</v>
      </c>
      <c r="D109" s="85" t="s">
        <v>10</v>
      </c>
      <c r="E109" s="63" t="s">
        <v>11</v>
      </c>
      <c r="F109" s="63" t="s">
        <v>11</v>
      </c>
      <c r="G109" s="41" t="s">
        <v>284</v>
      </c>
      <c r="H109" s="66">
        <v>6</v>
      </c>
      <c r="I109" s="48">
        <v>208</v>
      </c>
      <c r="J109" s="64">
        <v>97</v>
      </c>
      <c r="K109" s="39" t="s">
        <v>1323</v>
      </c>
      <c r="L109" s="129" t="s">
        <v>589</v>
      </c>
      <c r="M109" s="45" t="s">
        <v>470</v>
      </c>
      <c r="N109" s="40">
        <v>43388</v>
      </c>
      <c r="O109" s="63" t="s">
        <v>17</v>
      </c>
      <c r="P109" s="63" t="s">
        <v>17</v>
      </c>
      <c r="Q109" s="63" t="s">
        <v>17</v>
      </c>
      <c r="R109" s="41" t="s">
        <v>26</v>
      </c>
      <c r="S109" s="57" t="s">
        <v>10</v>
      </c>
      <c r="T109" s="57" t="s">
        <v>11</v>
      </c>
      <c r="U109" s="65">
        <v>1.3</v>
      </c>
      <c r="V109" s="74"/>
      <c r="W109" s="74"/>
      <c r="X109" s="74">
        <v>240</v>
      </c>
      <c r="Y109" s="74">
        <v>340</v>
      </c>
      <c r="Z109" s="74">
        <v>480</v>
      </c>
      <c r="AA109" s="97">
        <v>0.6</v>
      </c>
      <c r="AB109" s="97">
        <v>1.2</v>
      </c>
      <c r="AC109" s="97">
        <v>1.8</v>
      </c>
      <c r="AD109" s="97">
        <v>3</v>
      </c>
      <c r="AE109" s="97">
        <v>4.5</v>
      </c>
      <c r="AF109" s="97">
        <v>6</v>
      </c>
      <c r="AG109" s="98">
        <v>94.3</v>
      </c>
      <c r="AH109" s="98">
        <v>96.3</v>
      </c>
      <c r="AI109" s="98">
        <v>96.7</v>
      </c>
      <c r="AJ109" s="98">
        <v>96.8</v>
      </c>
      <c r="AK109" s="98">
        <v>96.6</v>
      </c>
      <c r="AL109" s="98">
        <v>96.3</v>
      </c>
      <c r="AM109" s="98">
        <v>96.6</v>
      </c>
      <c r="AN109" s="98">
        <v>94.9</v>
      </c>
      <c r="AO109" s="98">
        <v>96.7</v>
      </c>
      <c r="AP109" s="98">
        <v>97</v>
      </c>
      <c r="AQ109" s="98">
        <v>97.1</v>
      </c>
      <c r="AR109" s="98">
        <v>97</v>
      </c>
      <c r="AS109" s="98">
        <v>96.7</v>
      </c>
      <c r="AT109" s="98">
        <v>96.9</v>
      </c>
      <c r="AU109" s="98">
        <v>93.7</v>
      </c>
      <c r="AV109" s="98">
        <v>96.2</v>
      </c>
      <c r="AW109" s="98">
        <v>96.7</v>
      </c>
      <c r="AX109" s="98">
        <v>97.1</v>
      </c>
      <c r="AY109" s="98">
        <v>97.1</v>
      </c>
      <c r="AZ109" s="98">
        <v>96.8</v>
      </c>
      <c r="BA109" s="96">
        <v>96.8</v>
      </c>
      <c r="BB109" s="40">
        <v>43040</v>
      </c>
      <c r="BC109" s="40">
        <v>43388</v>
      </c>
    </row>
    <row r="110" spans="1:55" s="120" customFormat="1" ht="45">
      <c r="A110" s="41" t="s">
        <v>0</v>
      </c>
      <c r="B110" s="86" t="s">
        <v>924</v>
      </c>
      <c r="C110" s="85" t="s">
        <v>10</v>
      </c>
      <c r="D110" s="85" t="s">
        <v>10</v>
      </c>
      <c r="E110" s="63" t="s">
        <v>11</v>
      </c>
      <c r="F110" s="63" t="s">
        <v>11</v>
      </c>
      <c r="G110" s="41" t="s">
        <v>310</v>
      </c>
      <c r="H110" s="66">
        <v>6</v>
      </c>
      <c r="I110" s="48">
        <v>240</v>
      </c>
      <c r="J110" s="64">
        <v>97</v>
      </c>
      <c r="K110" s="39" t="s">
        <v>1323</v>
      </c>
      <c r="L110" s="129" t="s">
        <v>589</v>
      </c>
      <c r="M110" s="45" t="s">
        <v>470</v>
      </c>
      <c r="N110" s="40">
        <v>43388</v>
      </c>
      <c r="O110" s="63" t="s">
        <v>17</v>
      </c>
      <c r="P110" s="63" t="s">
        <v>17</v>
      </c>
      <c r="Q110" s="63" t="s">
        <v>17</v>
      </c>
      <c r="R110" s="41" t="s">
        <v>26</v>
      </c>
      <c r="S110" s="57" t="s">
        <v>10</v>
      </c>
      <c r="T110" s="57" t="s">
        <v>11</v>
      </c>
      <c r="U110" s="65">
        <v>1.3</v>
      </c>
      <c r="V110" s="74"/>
      <c r="W110" s="74"/>
      <c r="X110" s="74">
        <v>200</v>
      </c>
      <c r="Y110" s="74">
        <v>355</v>
      </c>
      <c r="Z110" s="74">
        <v>480</v>
      </c>
      <c r="AA110" s="97">
        <v>0.6</v>
      </c>
      <c r="AB110" s="97">
        <v>1.2</v>
      </c>
      <c r="AC110" s="97">
        <v>1.8</v>
      </c>
      <c r="AD110" s="97">
        <v>3</v>
      </c>
      <c r="AE110" s="97">
        <v>4.5</v>
      </c>
      <c r="AF110" s="97">
        <v>6</v>
      </c>
      <c r="AG110" s="98">
        <v>94.1</v>
      </c>
      <c r="AH110" s="98">
        <v>96.3</v>
      </c>
      <c r="AI110" s="98">
        <v>96.6</v>
      </c>
      <c r="AJ110" s="98">
        <v>96.8</v>
      </c>
      <c r="AK110" s="98">
        <v>96.7</v>
      </c>
      <c r="AL110" s="98">
        <v>96.4</v>
      </c>
      <c r="AM110" s="98">
        <v>96.6</v>
      </c>
      <c r="AN110" s="98">
        <v>95.1</v>
      </c>
      <c r="AO110" s="98">
        <v>96.9</v>
      </c>
      <c r="AP110" s="98">
        <v>97.3</v>
      </c>
      <c r="AQ110" s="98">
        <v>97.4</v>
      </c>
      <c r="AR110" s="98">
        <v>97.4</v>
      </c>
      <c r="AS110" s="98">
        <v>97.2</v>
      </c>
      <c r="AT110" s="98">
        <v>97.3</v>
      </c>
      <c r="AU110" s="98">
        <v>93.8</v>
      </c>
      <c r="AV110" s="98">
        <v>96.4</v>
      </c>
      <c r="AW110" s="98">
        <v>97.1</v>
      </c>
      <c r="AX110" s="98">
        <v>97.4</v>
      </c>
      <c r="AY110" s="98">
        <v>97.5</v>
      </c>
      <c r="AZ110" s="98">
        <v>97.4</v>
      </c>
      <c r="BA110" s="96">
        <v>97.2</v>
      </c>
      <c r="BB110" s="40">
        <v>43040</v>
      </c>
      <c r="BC110" s="40">
        <v>43388</v>
      </c>
    </row>
    <row r="111" spans="1:55" s="120" customFormat="1" ht="45">
      <c r="A111" s="9" t="s">
        <v>0</v>
      </c>
      <c r="B111" s="9" t="s">
        <v>385</v>
      </c>
      <c r="C111" s="63" t="s">
        <v>10</v>
      </c>
      <c r="D111" s="63" t="s">
        <v>10</v>
      </c>
      <c r="E111" s="63" t="s">
        <v>11</v>
      </c>
      <c r="F111" s="63" t="s">
        <v>11</v>
      </c>
      <c r="G111" s="9" t="s">
        <v>148</v>
      </c>
      <c r="H111" s="54">
        <v>7.6</v>
      </c>
      <c r="I111" s="35">
        <v>208</v>
      </c>
      <c r="J111" s="54">
        <v>97</v>
      </c>
      <c r="K111" s="39" t="s">
        <v>1323</v>
      </c>
      <c r="L111" s="128" t="s">
        <v>468</v>
      </c>
      <c r="M111" s="39" t="s">
        <v>471</v>
      </c>
      <c r="N111" s="40">
        <v>43388</v>
      </c>
      <c r="O111" s="63" t="s">
        <v>17</v>
      </c>
      <c r="P111" s="63" t="s">
        <v>17</v>
      </c>
      <c r="Q111" s="63" t="s">
        <v>17</v>
      </c>
      <c r="R111" s="65" t="s">
        <v>26</v>
      </c>
      <c r="S111" s="34" t="s">
        <v>10</v>
      </c>
      <c r="T111" s="34" t="s">
        <v>11</v>
      </c>
      <c r="U111" s="35">
        <v>1.3</v>
      </c>
      <c r="V111" s="35"/>
      <c r="W111" s="35"/>
      <c r="X111" s="35">
        <v>200</v>
      </c>
      <c r="Y111" s="35">
        <v>340</v>
      </c>
      <c r="Z111" s="35">
        <v>480</v>
      </c>
      <c r="AA111" s="103">
        <v>0.76</v>
      </c>
      <c r="AB111" s="103">
        <v>1.52</v>
      </c>
      <c r="AC111" s="103">
        <v>2.2799999999999998</v>
      </c>
      <c r="AD111" s="103">
        <v>3.8</v>
      </c>
      <c r="AE111" s="103">
        <v>5.7</v>
      </c>
      <c r="AF111" s="103">
        <v>7.6</v>
      </c>
      <c r="AG111" s="103">
        <v>93.9</v>
      </c>
      <c r="AH111" s="103">
        <v>96</v>
      </c>
      <c r="AI111" s="103">
        <v>96.4</v>
      </c>
      <c r="AJ111" s="103">
        <v>96.5</v>
      </c>
      <c r="AK111" s="103">
        <v>96.4</v>
      </c>
      <c r="AL111" s="103">
        <v>96.1</v>
      </c>
      <c r="AM111" s="103">
        <v>96.3</v>
      </c>
      <c r="AN111" s="103">
        <v>95.6</v>
      </c>
      <c r="AO111" s="103">
        <v>97.1</v>
      </c>
      <c r="AP111" s="103">
        <v>97.4</v>
      </c>
      <c r="AQ111" s="103">
        <v>97.4</v>
      </c>
      <c r="AR111" s="103">
        <v>97.3</v>
      </c>
      <c r="AS111" s="103">
        <v>97</v>
      </c>
      <c r="AT111" s="103">
        <v>97.2</v>
      </c>
      <c r="AU111" s="103">
        <v>93.8</v>
      </c>
      <c r="AV111" s="103">
        <v>96.3</v>
      </c>
      <c r="AW111" s="103">
        <v>96.8</v>
      </c>
      <c r="AX111" s="103">
        <v>97.1</v>
      </c>
      <c r="AY111" s="103">
        <v>97</v>
      </c>
      <c r="AZ111" s="103">
        <v>96.7</v>
      </c>
      <c r="BA111" s="103">
        <v>96.8</v>
      </c>
      <c r="BB111" s="40">
        <v>42917</v>
      </c>
      <c r="BC111" s="40">
        <v>43388</v>
      </c>
    </row>
    <row r="112" spans="1:55" s="120" customFormat="1" ht="45">
      <c r="A112" s="9" t="s">
        <v>0</v>
      </c>
      <c r="B112" s="9" t="s">
        <v>386</v>
      </c>
      <c r="C112" s="63" t="s">
        <v>10</v>
      </c>
      <c r="D112" s="63" t="s">
        <v>10</v>
      </c>
      <c r="E112" s="63" t="s">
        <v>11</v>
      </c>
      <c r="F112" s="63" t="s">
        <v>11</v>
      </c>
      <c r="G112" s="9" t="s">
        <v>149</v>
      </c>
      <c r="H112" s="54">
        <v>7.6</v>
      </c>
      <c r="I112" s="35">
        <v>240</v>
      </c>
      <c r="J112" s="54">
        <v>97</v>
      </c>
      <c r="K112" s="39" t="s">
        <v>1323</v>
      </c>
      <c r="L112" s="128" t="s">
        <v>468</v>
      </c>
      <c r="M112" s="39" t="s">
        <v>471</v>
      </c>
      <c r="N112" s="40">
        <v>43388</v>
      </c>
      <c r="O112" s="63" t="s">
        <v>17</v>
      </c>
      <c r="P112" s="63" t="s">
        <v>17</v>
      </c>
      <c r="Q112" s="63" t="s">
        <v>17</v>
      </c>
      <c r="R112" s="65" t="s">
        <v>26</v>
      </c>
      <c r="S112" s="34" t="s">
        <v>10</v>
      </c>
      <c r="T112" s="34" t="s">
        <v>11</v>
      </c>
      <c r="U112" s="35">
        <v>1.4</v>
      </c>
      <c r="V112" s="35"/>
      <c r="W112" s="35"/>
      <c r="X112" s="35">
        <v>200</v>
      </c>
      <c r="Y112" s="35">
        <v>380</v>
      </c>
      <c r="Z112" s="35">
        <v>480</v>
      </c>
      <c r="AA112" s="103">
        <v>0.76</v>
      </c>
      <c r="AB112" s="103">
        <v>1.52</v>
      </c>
      <c r="AC112" s="103">
        <v>2.2799999999999998</v>
      </c>
      <c r="AD112" s="103">
        <v>3.8</v>
      </c>
      <c r="AE112" s="103">
        <v>5.7</v>
      </c>
      <c r="AF112" s="103">
        <v>7.6</v>
      </c>
      <c r="AG112" s="103">
        <v>93.1</v>
      </c>
      <c r="AH112" s="103">
        <v>95.7</v>
      </c>
      <c r="AI112" s="103">
        <v>96.3</v>
      </c>
      <c r="AJ112" s="103">
        <v>96.6</v>
      </c>
      <c r="AK112" s="103">
        <v>96.5</v>
      </c>
      <c r="AL112" s="103">
        <v>96.3</v>
      </c>
      <c r="AM112" s="103">
        <v>96.3</v>
      </c>
      <c r="AN112" s="103">
        <v>95.4</v>
      </c>
      <c r="AO112" s="103">
        <v>97.1</v>
      </c>
      <c r="AP112" s="103">
        <v>97.5</v>
      </c>
      <c r="AQ112" s="103">
        <v>97.7</v>
      </c>
      <c r="AR112" s="103">
        <v>97.6</v>
      </c>
      <c r="AS112" s="103">
        <v>97.4</v>
      </c>
      <c r="AT112" s="103">
        <v>97.5</v>
      </c>
      <c r="AU112" s="103">
        <v>93.9</v>
      </c>
      <c r="AV112" s="103">
        <v>96.5</v>
      </c>
      <c r="AW112" s="103">
        <v>97.1</v>
      </c>
      <c r="AX112" s="103">
        <v>97.4</v>
      </c>
      <c r="AY112" s="103">
        <v>97.4</v>
      </c>
      <c r="AZ112" s="103">
        <v>97.2</v>
      </c>
      <c r="BA112" s="103">
        <v>97.2</v>
      </c>
      <c r="BB112" s="40">
        <v>42917</v>
      </c>
      <c r="BC112" s="40">
        <v>43388</v>
      </c>
    </row>
    <row r="113" spans="1:55" s="120" customFormat="1" ht="45">
      <c r="A113" s="9" t="s">
        <v>0</v>
      </c>
      <c r="B113" s="9" t="s">
        <v>387</v>
      </c>
      <c r="C113" s="63" t="s">
        <v>10</v>
      </c>
      <c r="D113" s="63" t="s">
        <v>10</v>
      </c>
      <c r="E113" s="63" t="s">
        <v>11</v>
      </c>
      <c r="F113" s="63" t="s">
        <v>11</v>
      </c>
      <c r="G113" s="9" t="s">
        <v>150</v>
      </c>
      <c r="H113" s="54">
        <v>7.6</v>
      </c>
      <c r="I113" s="35">
        <v>277</v>
      </c>
      <c r="J113" s="54">
        <v>97</v>
      </c>
      <c r="K113" s="39" t="s">
        <v>1323</v>
      </c>
      <c r="L113" s="128" t="s">
        <v>468</v>
      </c>
      <c r="M113" s="39" t="s">
        <v>471</v>
      </c>
      <c r="N113" s="40">
        <v>43388</v>
      </c>
      <c r="O113" s="63" t="s">
        <v>17</v>
      </c>
      <c r="P113" s="63" t="s">
        <v>17</v>
      </c>
      <c r="Q113" s="63" t="s">
        <v>17</v>
      </c>
      <c r="R113" s="65" t="s">
        <v>26</v>
      </c>
      <c r="S113" s="34" t="s">
        <v>10</v>
      </c>
      <c r="T113" s="34" t="s">
        <v>11</v>
      </c>
      <c r="U113" s="35">
        <v>1.5</v>
      </c>
      <c r="V113" s="35"/>
      <c r="W113" s="35"/>
      <c r="X113" s="35">
        <v>200</v>
      </c>
      <c r="Y113" s="35">
        <v>380</v>
      </c>
      <c r="Z113" s="35">
        <v>480</v>
      </c>
      <c r="AA113" s="103">
        <v>0.76</v>
      </c>
      <c r="AB113" s="103">
        <v>1.52</v>
      </c>
      <c r="AC113" s="103">
        <v>2.2799999999999998</v>
      </c>
      <c r="AD113" s="103">
        <v>3.8</v>
      </c>
      <c r="AE113" s="103">
        <v>5.7</v>
      </c>
      <c r="AF113" s="103">
        <v>7.6</v>
      </c>
      <c r="AG113" s="103">
        <v>92.1</v>
      </c>
      <c r="AH113" s="103">
        <v>95.3</v>
      </c>
      <c r="AI113" s="103">
        <v>96.1</v>
      </c>
      <c r="AJ113" s="103">
        <v>96.6</v>
      </c>
      <c r="AK113" s="103">
        <v>96.6</v>
      </c>
      <c r="AL113" s="103">
        <v>96.4</v>
      </c>
      <c r="AM113" s="103">
        <v>96.3</v>
      </c>
      <c r="AN113" s="103">
        <v>93.9</v>
      </c>
      <c r="AO113" s="103">
        <v>96.4</v>
      </c>
      <c r="AP113" s="103">
        <v>97</v>
      </c>
      <c r="AQ113" s="103">
        <v>97.4</v>
      </c>
      <c r="AR113" s="103">
        <v>97.4</v>
      </c>
      <c r="AS113" s="103">
        <v>97.3</v>
      </c>
      <c r="AT113" s="103">
        <v>97.2</v>
      </c>
      <c r="AU113" s="103">
        <v>94.2</v>
      </c>
      <c r="AV113" s="103">
        <v>96.7</v>
      </c>
      <c r="AW113" s="103">
        <v>97.3</v>
      </c>
      <c r="AX113" s="103">
        <v>97.7</v>
      </c>
      <c r="AY113" s="103">
        <v>97.7</v>
      </c>
      <c r="AZ113" s="103">
        <v>97.7</v>
      </c>
      <c r="BA113" s="103">
        <v>97.5</v>
      </c>
      <c r="BB113" s="40">
        <v>42917</v>
      </c>
      <c r="BC113" s="40">
        <v>43388</v>
      </c>
    </row>
    <row r="114" spans="1:55" s="120" customFormat="1" ht="45">
      <c r="A114" s="9" t="s">
        <v>0</v>
      </c>
      <c r="B114" s="9" t="s">
        <v>388</v>
      </c>
      <c r="C114" s="63" t="s">
        <v>10</v>
      </c>
      <c r="D114" s="63" t="s">
        <v>10</v>
      </c>
      <c r="E114" s="63" t="s">
        <v>11</v>
      </c>
      <c r="F114" s="63" t="s">
        <v>11</v>
      </c>
      <c r="G114" s="9" t="s">
        <v>148</v>
      </c>
      <c r="H114" s="54">
        <v>7.6</v>
      </c>
      <c r="I114" s="35">
        <v>208</v>
      </c>
      <c r="J114" s="54">
        <v>97</v>
      </c>
      <c r="K114" s="39" t="s">
        <v>1323</v>
      </c>
      <c r="L114" s="128" t="s">
        <v>468</v>
      </c>
      <c r="M114" s="39" t="s">
        <v>471</v>
      </c>
      <c r="N114" s="40">
        <v>43388</v>
      </c>
      <c r="O114" s="63" t="s">
        <v>17</v>
      </c>
      <c r="P114" s="63" t="s">
        <v>17</v>
      </c>
      <c r="Q114" s="63" t="s">
        <v>17</v>
      </c>
      <c r="R114" s="65" t="s">
        <v>26</v>
      </c>
      <c r="S114" s="34" t="s">
        <v>10</v>
      </c>
      <c r="T114" s="34" t="s">
        <v>11</v>
      </c>
      <c r="U114" s="35">
        <v>1.3</v>
      </c>
      <c r="V114" s="35"/>
      <c r="W114" s="35"/>
      <c r="X114" s="35">
        <v>200</v>
      </c>
      <c r="Y114" s="35">
        <v>340</v>
      </c>
      <c r="Z114" s="35">
        <v>480</v>
      </c>
      <c r="AA114" s="103">
        <v>0.76</v>
      </c>
      <c r="AB114" s="103">
        <v>1.52</v>
      </c>
      <c r="AC114" s="103">
        <v>2.2799999999999998</v>
      </c>
      <c r="AD114" s="103">
        <v>3.8</v>
      </c>
      <c r="AE114" s="103">
        <v>5.7</v>
      </c>
      <c r="AF114" s="103">
        <v>7.6</v>
      </c>
      <c r="AG114" s="103">
        <v>93.9</v>
      </c>
      <c r="AH114" s="103">
        <v>96</v>
      </c>
      <c r="AI114" s="103">
        <v>96.4</v>
      </c>
      <c r="AJ114" s="103">
        <v>96.5</v>
      </c>
      <c r="AK114" s="103">
        <v>96.4</v>
      </c>
      <c r="AL114" s="103">
        <v>96.1</v>
      </c>
      <c r="AM114" s="103">
        <v>96.3</v>
      </c>
      <c r="AN114" s="103">
        <v>95.6</v>
      </c>
      <c r="AO114" s="103">
        <v>97.1</v>
      </c>
      <c r="AP114" s="103">
        <v>97.4</v>
      </c>
      <c r="AQ114" s="103">
        <v>97.4</v>
      </c>
      <c r="AR114" s="103">
        <v>97.3</v>
      </c>
      <c r="AS114" s="103">
        <v>97</v>
      </c>
      <c r="AT114" s="103">
        <v>97.2</v>
      </c>
      <c r="AU114" s="103">
        <v>93.8</v>
      </c>
      <c r="AV114" s="103">
        <v>96.3</v>
      </c>
      <c r="AW114" s="103">
        <v>96.8</v>
      </c>
      <c r="AX114" s="103">
        <v>97.1</v>
      </c>
      <c r="AY114" s="103">
        <v>97</v>
      </c>
      <c r="AZ114" s="103">
        <v>96.7</v>
      </c>
      <c r="BA114" s="103">
        <v>96.8</v>
      </c>
      <c r="BB114" s="40">
        <v>42917</v>
      </c>
      <c r="BC114" s="40">
        <v>43388</v>
      </c>
    </row>
    <row r="115" spans="1:55" s="120" customFormat="1" ht="45">
      <c r="A115" s="9" t="s">
        <v>0</v>
      </c>
      <c r="B115" s="9" t="s">
        <v>389</v>
      </c>
      <c r="C115" s="63" t="s">
        <v>10</v>
      </c>
      <c r="D115" s="63" t="s">
        <v>10</v>
      </c>
      <c r="E115" s="63" t="s">
        <v>11</v>
      </c>
      <c r="F115" s="63" t="s">
        <v>11</v>
      </c>
      <c r="G115" s="9" t="s">
        <v>149</v>
      </c>
      <c r="H115" s="54">
        <v>7.6</v>
      </c>
      <c r="I115" s="35">
        <v>240</v>
      </c>
      <c r="J115" s="54">
        <v>97</v>
      </c>
      <c r="K115" s="39" t="s">
        <v>1323</v>
      </c>
      <c r="L115" s="128" t="s">
        <v>468</v>
      </c>
      <c r="M115" s="39" t="s">
        <v>471</v>
      </c>
      <c r="N115" s="40">
        <v>43388</v>
      </c>
      <c r="O115" s="63" t="s">
        <v>17</v>
      </c>
      <c r="P115" s="63" t="s">
        <v>17</v>
      </c>
      <c r="Q115" s="63" t="s">
        <v>17</v>
      </c>
      <c r="R115" s="65" t="s">
        <v>26</v>
      </c>
      <c r="S115" s="34" t="s">
        <v>10</v>
      </c>
      <c r="T115" s="34" t="s">
        <v>11</v>
      </c>
      <c r="U115" s="35">
        <v>1.4</v>
      </c>
      <c r="V115" s="35"/>
      <c r="W115" s="35"/>
      <c r="X115" s="35">
        <v>200</v>
      </c>
      <c r="Y115" s="35">
        <v>380</v>
      </c>
      <c r="Z115" s="35">
        <v>480</v>
      </c>
      <c r="AA115" s="103">
        <v>0.76</v>
      </c>
      <c r="AB115" s="103">
        <v>1.52</v>
      </c>
      <c r="AC115" s="103">
        <v>2.2799999999999998</v>
      </c>
      <c r="AD115" s="103">
        <v>3.8</v>
      </c>
      <c r="AE115" s="103">
        <v>5.7</v>
      </c>
      <c r="AF115" s="103">
        <v>7.6</v>
      </c>
      <c r="AG115" s="103">
        <v>93.1</v>
      </c>
      <c r="AH115" s="103">
        <v>95.7</v>
      </c>
      <c r="AI115" s="103">
        <v>96.3</v>
      </c>
      <c r="AJ115" s="103">
        <v>96.6</v>
      </c>
      <c r="AK115" s="103">
        <v>96.5</v>
      </c>
      <c r="AL115" s="103">
        <v>96.3</v>
      </c>
      <c r="AM115" s="103">
        <v>96.3</v>
      </c>
      <c r="AN115" s="103">
        <v>95.4</v>
      </c>
      <c r="AO115" s="103">
        <v>97.1</v>
      </c>
      <c r="AP115" s="103">
        <v>97.5</v>
      </c>
      <c r="AQ115" s="103">
        <v>97.7</v>
      </c>
      <c r="AR115" s="103">
        <v>97.6</v>
      </c>
      <c r="AS115" s="103">
        <v>97.4</v>
      </c>
      <c r="AT115" s="103">
        <v>97.5</v>
      </c>
      <c r="AU115" s="103">
        <v>93.9</v>
      </c>
      <c r="AV115" s="103">
        <v>96.5</v>
      </c>
      <c r="AW115" s="103">
        <v>97.1</v>
      </c>
      <c r="AX115" s="103">
        <v>97.4</v>
      </c>
      <c r="AY115" s="103">
        <v>97.4</v>
      </c>
      <c r="AZ115" s="103">
        <v>97.2</v>
      </c>
      <c r="BA115" s="103">
        <v>97.2</v>
      </c>
      <c r="BB115" s="40">
        <v>42917</v>
      </c>
      <c r="BC115" s="40">
        <v>43388</v>
      </c>
    </row>
    <row r="116" spans="1:55" s="120" customFormat="1" ht="45">
      <c r="A116" s="9" t="s">
        <v>0</v>
      </c>
      <c r="B116" s="9" t="s">
        <v>390</v>
      </c>
      <c r="C116" s="63" t="s">
        <v>10</v>
      </c>
      <c r="D116" s="63" t="s">
        <v>10</v>
      </c>
      <c r="E116" s="63" t="s">
        <v>11</v>
      </c>
      <c r="F116" s="63" t="s">
        <v>11</v>
      </c>
      <c r="G116" s="9" t="s">
        <v>150</v>
      </c>
      <c r="H116" s="54">
        <v>7.6</v>
      </c>
      <c r="I116" s="35">
        <v>277</v>
      </c>
      <c r="J116" s="54">
        <v>97</v>
      </c>
      <c r="K116" s="39" t="s">
        <v>1323</v>
      </c>
      <c r="L116" s="128" t="s">
        <v>468</v>
      </c>
      <c r="M116" s="39" t="s">
        <v>471</v>
      </c>
      <c r="N116" s="40">
        <v>43388</v>
      </c>
      <c r="O116" s="63" t="s">
        <v>17</v>
      </c>
      <c r="P116" s="63" t="s">
        <v>17</v>
      </c>
      <c r="Q116" s="63" t="s">
        <v>17</v>
      </c>
      <c r="R116" s="65" t="s">
        <v>26</v>
      </c>
      <c r="S116" s="34" t="s">
        <v>10</v>
      </c>
      <c r="T116" s="34" t="s">
        <v>11</v>
      </c>
      <c r="U116" s="35">
        <v>1.5</v>
      </c>
      <c r="V116" s="35"/>
      <c r="W116" s="35"/>
      <c r="X116" s="35">
        <v>200</v>
      </c>
      <c r="Y116" s="35">
        <v>380</v>
      </c>
      <c r="Z116" s="35">
        <v>480</v>
      </c>
      <c r="AA116" s="103">
        <v>0.76</v>
      </c>
      <c r="AB116" s="103">
        <v>1.52</v>
      </c>
      <c r="AC116" s="103">
        <v>2.2799999999999998</v>
      </c>
      <c r="AD116" s="103">
        <v>3.8</v>
      </c>
      <c r="AE116" s="103">
        <v>5.7</v>
      </c>
      <c r="AF116" s="103">
        <v>7.6</v>
      </c>
      <c r="AG116" s="103">
        <v>92.1</v>
      </c>
      <c r="AH116" s="103">
        <v>95.3</v>
      </c>
      <c r="AI116" s="103">
        <v>96.1</v>
      </c>
      <c r="AJ116" s="103">
        <v>96.6</v>
      </c>
      <c r="AK116" s="103">
        <v>96.6</v>
      </c>
      <c r="AL116" s="103">
        <v>96.4</v>
      </c>
      <c r="AM116" s="103">
        <v>96.3</v>
      </c>
      <c r="AN116" s="103">
        <v>93.9</v>
      </c>
      <c r="AO116" s="103">
        <v>96.4</v>
      </c>
      <c r="AP116" s="103">
        <v>97</v>
      </c>
      <c r="AQ116" s="103">
        <v>97.4</v>
      </c>
      <c r="AR116" s="103">
        <v>97.4</v>
      </c>
      <c r="AS116" s="103">
        <v>97.3</v>
      </c>
      <c r="AT116" s="103">
        <v>97.2</v>
      </c>
      <c r="AU116" s="103">
        <v>94.2</v>
      </c>
      <c r="AV116" s="103">
        <v>96.7</v>
      </c>
      <c r="AW116" s="103">
        <v>97.3</v>
      </c>
      <c r="AX116" s="103">
        <v>97.7</v>
      </c>
      <c r="AY116" s="103">
        <v>97.7</v>
      </c>
      <c r="AZ116" s="103">
        <v>97.7</v>
      </c>
      <c r="BA116" s="103">
        <v>97.5</v>
      </c>
      <c r="BB116" s="40">
        <v>42917</v>
      </c>
      <c r="BC116" s="40">
        <v>43388</v>
      </c>
    </row>
    <row r="117" spans="1:55" s="120" customFormat="1" ht="45">
      <c r="A117" s="9" t="s">
        <v>0</v>
      </c>
      <c r="B117" s="9" t="s">
        <v>925</v>
      </c>
      <c r="C117" s="63" t="s">
        <v>10</v>
      </c>
      <c r="D117" s="63" t="s">
        <v>10</v>
      </c>
      <c r="E117" s="63" t="s">
        <v>11</v>
      </c>
      <c r="F117" s="63" t="s">
        <v>11</v>
      </c>
      <c r="G117" s="9" t="s">
        <v>148</v>
      </c>
      <c r="H117" s="54">
        <v>7.6</v>
      </c>
      <c r="I117" s="35">
        <v>208</v>
      </c>
      <c r="J117" s="54">
        <v>97</v>
      </c>
      <c r="K117" s="39" t="s">
        <v>1323</v>
      </c>
      <c r="L117" s="128" t="s">
        <v>468</v>
      </c>
      <c r="M117" s="39" t="s">
        <v>471</v>
      </c>
      <c r="N117" s="40">
        <v>43388</v>
      </c>
      <c r="O117" s="63" t="s">
        <v>17</v>
      </c>
      <c r="P117" s="63" t="s">
        <v>17</v>
      </c>
      <c r="Q117" s="63" t="s">
        <v>17</v>
      </c>
      <c r="R117" s="65" t="s">
        <v>26</v>
      </c>
      <c r="S117" s="34" t="s">
        <v>10</v>
      </c>
      <c r="T117" s="34" t="s">
        <v>11</v>
      </c>
      <c r="U117" s="35">
        <v>1.3</v>
      </c>
      <c r="V117" s="35"/>
      <c r="W117" s="35"/>
      <c r="X117" s="35">
        <v>200</v>
      </c>
      <c r="Y117" s="35">
        <v>340</v>
      </c>
      <c r="Z117" s="35">
        <v>480</v>
      </c>
      <c r="AA117" s="103">
        <v>0.76</v>
      </c>
      <c r="AB117" s="103">
        <v>1.52</v>
      </c>
      <c r="AC117" s="103">
        <v>2.2799999999999998</v>
      </c>
      <c r="AD117" s="103">
        <v>3.8</v>
      </c>
      <c r="AE117" s="103">
        <v>5.7</v>
      </c>
      <c r="AF117" s="103">
        <v>7.6</v>
      </c>
      <c r="AG117" s="103">
        <v>93.9</v>
      </c>
      <c r="AH117" s="103">
        <v>96</v>
      </c>
      <c r="AI117" s="103">
        <v>96.4</v>
      </c>
      <c r="AJ117" s="103">
        <v>96.5</v>
      </c>
      <c r="AK117" s="103">
        <v>96.4</v>
      </c>
      <c r="AL117" s="103">
        <v>96.1</v>
      </c>
      <c r="AM117" s="103">
        <v>96.3</v>
      </c>
      <c r="AN117" s="103">
        <v>95.6</v>
      </c>
      <c r="AO117" s="103">
        <v>97.1</v>
      </c>
      <c r="AP117" s="103">
        <v>97.4</v>
      </c>
      <c r="AQ117" s="103">
        <v>97.4</v>
      </c>
      <c r="AR117" s="103">
        <v>97.3</v>
      </c>
      <c r="AS117" s="103">
        <v>97</v>
      </c>
      <c r="AT117" s="103">
        <v>97.2</v>
      </c>
      <c r="AU117" s="103">
        <v>93.8</v>
      </c>
      <c r="AV117" s="103">
        <v>96.3</v>
      </c>
      <c r="AW117" s="103">
        <v>96.8</v>
      </c>
      <c r="AX117" s="103">
        <v>97.1</v>
      </c>
      <c r="AY117" s="103">
        <v>97</v>
      </c>
      <c r="AZ117" s="103">
        <v>96.7</v>
      </c>
      <c r="BA117" s="103">
        <v>96.8</v>
      </c>
      <c r="BB117" s="40">
        <v>42917</v>
      </c>
      <c r="BC117" s="40">
        <v>43388</v>
      </c>
    </row>
    <row r="118" spans="1:55" s="120" customFormat="1" ht="45">
      <c r="A118" s="9" t="s">
        <v>0</v>
      </c>
      <c r="B118" s="9" t="s">
        <v>926</v>
      </c>
      <c r="C118" s="63" t="s">
        <v>10</v>
      </c>
      <c r="D118" s="63" t="s">
        <v>10</v>
      </c>
      <c r="E118" s="63" t="s">
        <v>11</v>
      </c>
      <c r="F118" s="63" t="s">
        <v>11</v>
      </c>
      <c r="G118" s="9" t="s">
        <v>149</v>
      </c>
      <c r="H118" s="54">
        <v>7.6</v>
      </c>
      <c r="I118" s="35">
        <v>240</v>
      </c>
      <c r="J118" s="54">
        <v>97</v>
      </c>
      <c r="K118" s="39" t="s">
        <v>1323</v>
      </c>
      <c r="L118" s="128" t="s">
        <v>468</v>
      </c>
      <c r="M118" s="39" t="s">
        <v>471</v>
      </c>
      <c r="N118" s="40">
        <v>43388</v>
      </c>
      <c r="O118" s="63" t="s">
        <v>17</v>
      </c>
      <c r="P118" s="63" t="s">
        <v>17</v>
      </c>
      <c r="Q118" s="63" t="s">
        <v>17</v>
      </c>
      <c r="R118" s="65" t="s">
        <v>26</v>
      </c>
      <c r="S118" s="34" t="s">
        <v>10</v>
      </c>
      <c r="T118" s="34" t="s">
        <v>11</v>
      </c>
      <c r="U118" s="35">
        <v>1.4</v>
      </c>
      <c r="V118" s="35"/>
      <c r="W118" s="35"/>
      <c r="X118" s="35">
        <v>200</v>
      </c>
      <c r="Y118" s="35">
        <v>380</v>
      </c>
      <c r="Z118" s="35">
        <v>480</v>
      </c>
      <c r="AA118" s="103">
        <v>0.76</v>
      </c>
      <c r="AB118" s="103">
        <v>1.52</v>
      </c>
      <c r="AC118" s="103">
        <v>2.2799999999999998</v>
      </c>
      <c r="AD118" s="103">
        <v>3.8</v>
      </c>
      <c r="AE118" s="103">
        <v>5.7</v>
      </c>
      <c r="AF118" s="103">
        <v>7.6</v>
      </c>
      <c r="AG118" s="103">
        <v>93.1</v>
      </c>
      <c r="AH118" s="103">
        <v>95.7</v>
      </c>
      <c r="AI118" s="103">
        <v>96.3</v>
      </c>
      <c r="AJ118" s="103">
        <v>96.6</v>
      </c>
      <c r="AK118" s="103">
        <v>96.5</v>
      </c>
      <c r="AL118" s="103">
        <v>96.3</v>
      </c>
      <c r="AM118" s="103">
        <v>96.3</v>
      </c>
      <c r="AN118" s="103">
        <v>95.4</v>
      </c>
      <c r="AO118" s="103">
        <v>97.1</v>
      </c>
      <c r="AP118" s="103">
        <v>97.5</v>
      </c>
      <c r="AQ118" s="103">
        <v>97.7</v>
      </c>
      <c r="AR118" s="103">
        <v>97.6</v>
      </c>
      <c r="AS118" s="103">
        <v>97.4</v>
      </c>
      <c r="AT118" s="103">
        <v>97.5</v>
      </c>
      <c r="AU118" s="103">
        <v>93.9</v>
      </c>
      <c r="AV118" s="103">
        <v>96.5</v>
      </c>
      <c r="AW118" s="103">
        <v>97.1</v>
      </c>
      <c r="AX118" s="103">
        <v>97.4</v>
      </c>
      <c r="AY118" s="103">
        <v>97.4</v>
      </c>
      <c r="AZ118" s="103">
        <v>97.2</v>
      </c>
      <c r="BA118" s="103">
        <v>97.2</v>
      </c>
      <c r="BB118" s="40">
        <v>42917</v>
      </c>
      <c r="BC118" s="40">
        <v>43388</v>
      </c>
    </row>
    <row r="119" spans="1:55" s="120" customFormat="1" ht="45">
      <c r="A119" s="9" t="s">
        <v>0</v>
      </c>
      <c r="B119" s="9" t="s">
        <v>927</v>
      </c>
      <c r="C119" s="63" t="s">
        <v>10</v>
      </c>
      <c r="D119" s="63" t="s">
        <v>10</v>
      </c>
      <c r="E119" s="63" t="s">
        <v>11</v>
      </c>
      <c r="F119" s="63" t="s">
        <v>11</v>
      </c>
      <c r="G119" s="9" t="s">
        <v>150</v>
      </c>
      <c r="H119" s="54">
        <v>7.6</v>
      </c>
      <c r="I119" s="35">
        <v>277</v>
      </c>
      <c r="J119" s="54">
        <v>97</v>
      </c>
      <c r="K119" s="39" t="s">
        <v>1323</v>
      </c>
      <c r="L119" s="128" t="s">
        <v>468</v>
      </c>
      <c r="M119" s="39" t="s">
        <v>471</v>
      </c>
      <c r="N119" s="40">
        <v>43388</v>
      </c>
      <c r="O119" s="63" t="s">
        <v>17</v>
      </c>
      <c r="P119" s="63" t="s">
        <v>17</v>
      </c>
      <c r="Q119" s="63" t="s">
        <v>17</v>
      </c>
      <c r="R119" s="65" t="s">
        <v>26</v>
      </c>
      <c r="S119" s="34" t="s">
        <v>10</v>
      </c>
      <c r="T119" s="34" t="s">
        <v>11</v>
      </c>
      <c r="U119" s="35">
        <v>1.5</v>
      </c>
      <c r="V119" s="35"/>
      <c r="W119" s="35"/>
      <c r="X119" s="35">
        <v>200</v>
      </c>
      <c r="Y119" s="35">
        <v>380</v>
      </c>
      <c r="Z119" s="35">
        <v>480</v>
      </c>
      <c r="AA119" s="103">
        <v>0.76</v>
      </c>
      <c r="AB119" s="103">
        <v>1.52</v>
      </c>
      <c r="AC119" s="103">
        <v>2.2799999999999998</v>
      </c>
      <c r="AD119" s="103">
        <v>3.8</v>
      </c>
      <c r="AE119" s="103">
        <v>5.7</v>
      </c>
      <c r="AF119" s="103">
        <v>7.6</v>
      </c>
      <c r="AG119" s="103">
        <v>92.1</v>
      </c>
      <c r="AH119" s="103">
        <v>95.3</v>
      </c>
      <c r="AI119" s="103">
        <v>96.1</v>
      </c>
      <c r="AJ119" s="103">
        <v>96.6</v>
      </c>
      <c r="AK119" s="103">
        <v>96.6</v>
      </c>
      <c r="AL119" s="103">
        <v>96.4</v>
      </c>
      <c r="AM119" s="103">
        <v>96.3</v>
      </c>
      <c r="AN119" s="103">
        <v>93.9</v>
      </c>
      <c r="AO119" s="103">
        <v>96.4</v>
      </c>
      <c r="AP119" s="103">
        <v>97</v>
      </c>
      <c r="AQ119" s="103">
        <v>97.4</v>
      </c>
      <c r="AR119" s="103">
        <v>97.4</v>
      </c>
      <c r="AS119" s="103">
        <v>97.3</v>
      </c>
      <c r="AT119" s="103">
        <v>97.2</v>
      </c>
      <c r="AU119" s="103">
        <v>94.2</v>
      </c>
      <c r="AV119" s="103">
        <v>96.7</v>
      </c>
      <c r="AW119" s="103">
        <v>97.3</v>
      </c>
      <c r="AX119" s="103">
        <v>97.7</v>
      </c>
      <c r="AY119" s="103">
        <v>97.7</v>
      </c>
      <c r="AZ119" s="103">
        <v>97.7</v>
      </c>
      <c r="BA119" s="103">
        <v>97.5</v>
      </c>
      <c r="BB119" s="40">
        <v>42917</v>
      </c>
      <c r="BC119" s="40">
        <v>43388</v>
      </c>
    </row>
    <row r="120" spans="1:55" s="120" customFormat="1" ht="45">
      <c r="A120" s="9" t="s">
        <v>0</v>
      </c>
      <c r="B120" s="9" t="s">
        <v>391</v>
      </c>
      <c r="C120" s="63" t="s">
        <v>10</v>
      </c>
      <c r="D120" s="63" t="s">
        <v>10</v>
      </c>
      <c r="E120" s="63" t="s">
        <v>11</v>
      </c>
      <c r="F120" s="63" t="s">
        <v>11</v>
      </c>
      <c r="G120" s="9" t="s">
        <v>151</v>
      </c>
      <c r="H120" s="54">
        <v>8.6</v>
      </c>
      <c r="I120" s="35">
        <v>240</v>
      </c>
      <c r="J120" s="54">
        <v>97</v>
      </c>
      <c r="K120" s="39" t="s">
        <v>1323</v>
      </c>
      <c r="L120" s="128" t="s">
        <v>468</v>
      </c>
      <c r="M120" s="39" t="s">
        <v>471</v>
      </c>
      <c r="N120" s="40">
        <v>43388</v>
      </c>
      <c r="O120" s="63" t="s">
        <v>17</v>
      </c>
      <c r="P120" s="63" t="s">
        <v>17</v>
      </c>
      <c r="Q120" s="63" t="s">
        <v>17</v>
      </c>
      <c r="R120" s="65" t="s">
        <v>26</v>
      </c>
      <c r="S120" s="34" t="s">
        <v>10</v>
      </c>
      <c r="T120" s="34" t="s">
        <v>11</v>
      </c>
      <c r="U120" s="35">
        <v>1.4</v>
      </c>
      <c r="V120" s="35"/>
      <c r="W120" s="35"/>
      <c r="X120" s="35">
        <v>200</v>
      </c>
      <c r="Y120" s="35">
        <v>380</v>
      </c>
      <c r="Z120" s="35">
        <v>480</v>
      </c>
      <c r="AA120" s="103">
        <v>0.86</v>
      </c>
      <c r="AB120" s="103">
        <v>1.72</v>
      </c>
      <c r="AC120" s="103">
        <v>2.58</v>
      </c>
      <c r="AD120" s="103">
        <v>4.3</v>
      </c>
      <c r="AE120" s="103">
        <v>6.45</v>
      </c>
      <c r="AF120" s="103">
        <v>8.6</v>
      </c>
      <c r="AG120" s="103">
        <v>93.7</v>
      </c>
      <c r="AH120" s="103">
        <v>95.9</v>
      </c>
      <c r="AI120" s="103">
        <v>96.4</v>
      </c>
      <c r="AJ120" s="103">
        <v>96.6</v>
      </c>
      <c r="AK120" s="103">
        <v>96.4</v>
      </c>
      <c r="AL120" s="103">
        <v>96.2</v>
      </c>
      <c r="AM120" s="103">
        <v>96.3</v>
      </c>
      <c r="AN120" s="103">
        <v>95.7</v>
      </c>
      <c r="AO120" s="103">
        <v>97.3</v>
      </c>
      <c r="AP120" s="103">
        <v>97.6</v>
      </c>
      <c r="AQ120" s="103">
        <v>97.7</v>
      </c>
      <c r="AR120" s="103">
        <v>97.6</v>
      </c>
      <c r="AS120" s="103">
        <v>97.4</v>
      </c>
      <c r="AT120" s="103">
        <v>97.5</v>
      </c>
      <c r="AU120" s="103">
        <v>94.5</v>
      </c>
      <c r="AV120" s="103">
        <v>96.7</v>
      </c>
      <c r="AW120" s="103">
        <v>97.2</v>
      </c>
      <c r="AX120" s="103">
        <v>97.4</v>
      </c>
      <c r="AY120" s="103">
        <v>97.4</v>
      </c>
      <c r="AZ120" s="103">
        <v>97.2</v>
      </c>
      <c r="BA120" s="103">
        <v>97.2</v>
      </c>
      <c r="BB120" s="40">
        <v>42917</v>
      </c>
      <c r="BC120" s="40">
        <v>43388</v>
      </c>
    </row>
    <row r="121" spans="1:55" s="120" customFormat="1" ht="45">
      <c r="A121" s="9" t="s">
        <v>0</v>
      </c>
      <c r="B121" s="9" t="s">
        <v>392</v>
      </c>
      <c r="C121" s="63" t="s">
        <v>10</v>
      </c>
      <c r="D121" s="63" t="s">
        <v>10</v>
      </c>
      <c r="E121" s="63" t="s">
        <v>11</v>
      </c>
      <c r="F121" s="63" t="s">
        <v>11</v>
      </c>
      <c r="G121" s="9" t="s">
        <v>152</v>
      </c>
      <c r="H121" s="54">
        <v>8.6</v>
      </c>
      <c r="I121" s="35">
        <v>277</v>
      </c>
      <c r="J121" s="54">
        <v>97</v>
      </c>
      <c r="K121" s="39" t="s">
        <v>1323</v>
      </c>
      <c r="L121" s="128" t="s">
        <v>468</v>
      </c>
      <c r="M121" s="39" t="s">
        <v>471</v>
      </c>
      <c r="N121" s="40">
        <v>43388</v>
      </c>
      <c r="O121" s="63" t="s">
        <v>17</v>
      </c>
      <c r="P121" s="63" t="s">
        <v>17</v>
      </c>
      <c r="Q121" s="63" t="s">
        <v>17</v>
      </c>
      <c r="R121" s="65" t="s">
        <v>26</v>
      </c>
      <c r="S121" s="34" t="s">
        <v>10</v>
      </c>
      <c r="T121" s="34" t="s">
        <v>11</v>
      </c>
      <c r="U121" s="35">
        <v>1.5</v>
      </c>
      <c r="V121" s="35"/>
      <c r="W121" s="35"/>
      <c r="X121" s="35">
        <v>200</v>
      </c>
      <c r="Y121" s="35">
        <v>380</v>
      </c>
      <c r="Z121" s="35">
        <v>480</v>
      </c>
      <c r="AA121" s="103">
        <v>0.86</v>
      </c>
      <c r="AB121" s="103">
        <v>1.72</v>
      </c>
      <c r="AC121" s="103">
        <v>2.58</v>
      </c>
      <c r="AD121" s="103">
        <v>4.3</v>
      </c>
      <c r="AE121" s="103">
        <v>6.45</v>
      </c>
      <c r="AF121" s="103">
        <v>8.6</v>
      </c>
      <c r="AG121" s="103">
        <v>92.8</v>
      </c>
      <c r="AH121" s="103">
        <v>95.6</v>
      </c>
      <c r="AI121" s="103">
        <v>96.3</v>
      </c>
      <c r="AJ121" s="103">
        <v>96.6</v>
      </c>
      <c r="AK121" s="103">
        <v>96.5</v>
      </c>
      <c r="AL121" s="103">
        <v>96.3</v>
      </c>
      <c r="AM121" s="103">
        <v>96.3</v>
      </c>
      <c r="AN121" s="103">
        <v>94.5</v>
      </c>
      <c r="AO121" s="103">
        <v>96.6</v>
      </c>
      <c r="AP121" s="103">
        <v>97.1</v>
      </c>
      <c r="AQ121" s="103">
        <v>97.4</v>
      </c>
      <c r="AR121" s="103">
        <v>97.4</v>
      </c>
      <c r="AS121" s="103">
        <v>97.3</v>
      </c>
      <c r="AT121" s="103">
        <v>97.2</v>
      </c>
      <c r="AU121" s="103">
        <v>94.8</v>
      </c>
      <c r="AV121" s="103">
        <v>96.9</v>
      </c>
      <c r="AW121" s="103">
        <v>97.5</v>
      </c>
      <c r="AX121" s="103">
        <v>97.8</v>
      </c>
      <c r="AY121" s="103">
        <v>97.7</v>
      </c>
      <c r="AZ121" s="103">
        <v>97.6</v>
      </c>
      <c r="BA121" s="103">
        <v>97.5</v>
      </c>
      <c r="BB121" s="40">
        <v>42917</v>
      </c>
      <c r="BC121" s="40">
        <v>43388</v>
      </c>
    </row>
    <row r="122" spans="1:55" s="120" customFormat="1" ht="45">
      <c r="A122" s="9" t="s">
        <v>0</v>
      </c>
      <c r="B122" s="9" t="s">
        <v>393</v>
      </c>
      <c r="C122" s="63" t="s">
        <v>10</v>
      </c>
      <c r="D122" s="63" t="s">
        <v>10</v>
      </c>
      <c r="E122" s="63" t="s">
        <v>11</v>
      </c>
      <c r="F122" s="63" t="s">
        <v>11</v>
      </c>
      <c r="G122" s="9" t="s">
        <v>151</v>
      </c>
      <c r="H122" s="54">
        <v>8.6</v>
      </c>
      <c r="I122" s="35">
        <v>240</v>
      </c>
      <c r="J122" s="54">
        <v>97</v>
      </c>
      <c r="K122" s="39" t="s">
        <v>1323</v>
      </c>
      <c r="L122" s="128" t="s">
        <v>468</v>
      </c>
      <c r="M122" s="39" t="s">
        <v>471</v>
      </c>
      <c r="N122" s="40">
        <v>43388</v>
      </c>
      <c r="O122" s="63" t="s">
        <v>17</v>
      </c>
      <c r="P122" s="63" t="s">
        <v>17</v>
      </c>
      <c r="Q122" s="63" t="s">
        <v>17</v>
      </c>
      <c r="R122" s="65" t="s">
        <v>26</v>
      </c>
      <c r="S122" s="34" t="s">
        <v>10</v>
      </c>
      <c r="T122" s="34" t="s">
        <v>11</v>
      </c>
      <c r="U122" s="35">
        <v>1.4</v>
      </c>
      <c r="V122" s="35"/>
      <c r="W122" s="35"/>
      <c r="X122" s="35">
        <v>200</v>
      </c>
      <c r="Y122" s="35">
        <v>380</v>
      </c>
      <c r="Z122" s="35">
        <v>480</v>
      </c>
      <c r="AA122" s="103">
        <v>0.86</v>
      </c>
      <c r="AB122" s="103">
        <v>1.72</v>
      </c>
      <c r="AC122" s="103">
        <v>2.58</v>
      </c>
      <c r="AD122" s="103">
        <v>4.3</v>
      </c>
      <c r="AE122" s="103">
        <v>6.45</v>
      </c>
      <c r="AF122" s="103">
        <v>8.6</v>
      </c>
      <c r="AG122" s="103">
        <v>93.7</v>
      </c>
      <c r="AH122" s="103">
        <v>95.9</v>
      </c>
      <c r="AI122" s="103">
        <v>96.4</v>
      </c>
      <c r="AJ122" s="103">
        <v>96.6</v>
      </c>
      <c r="AK122" s="103">
        <v>96.4</v>
      </c>
      <c r="AL122" s="103">
        <v>96.2</v>
      </c>
      <c r="AM122" s="103">
        <v>96.3</v>
      </c>
      <c r="AN122" s="103">
        <v>95.7</v>
      </c>
      <c r="AO122" s="103">
        <v>97.3</v>
      </c>
      <c r="AP122" s="103">
        <v>97.6</v>
      </c>
      <c r="AQ122" s="103">
        <v>97.7</v>
      </c>
      <c r="AR122" s="103">
        <v>97.6</v>
      </c>
      <c r="AS122" s="103">
        <v>97.4</v>
      </c>
      <c r="AT122" s="103">
        <v>97.5</v>
      </c>
      <c r="AU122" s="103">
        <v>94.5</v>
      </c>
      <c r="AV122" s="103">
        <v>96.7</v>
      </c>
      <c r="AW122" s="103">
        <v>97.2</v>
      </c>
      <c r="AX122" s="103">
        <v>97.4</v>
      </c>
      <c r="AY122" s="103">
        <v>97.4</v>
      </c>
      <c r="AZ122" s="103">
        <v>97.2</v>
      </c>
      <c r="BA122" s="103">
        <v>97.2</v>
      </c>
      <c r="BB122" s="40">
        <v>42917</v>
      </c>
      <c r="BC122" s="40">
        <v>43388</v>
      </c>
    </row>
    <row r="123" spans="1:55" s="120" customFormat="1" ht="45">
      <c r="A123" s="9" t="s">
        <v>0</v>
      </c>
      <c r="B123" s="9" t="s">
        <v>394</v>
      </c>
      <c r="C123" s="63" t="s">
        <v>10</v>
      </c>
      <c r="D123" s="63" t="s">
        <v>10</v>
      </c>
      <c r="E123" s="63" t="s">
        <v>11</v>
      </c>
      <c r="F123" s="63" t="s">
        <v>11</v>
      </c>
      <c r="G123" s="9" t="s">
        <v>152</v>
      </c>
      <c r="H123" s="54">
        <v>8.6</v>
      </c>
      <c r="I123" s="35">
        <v>277</v>
      </c>
      <c r="J123" s="54">
        <v>97</v>
      </c>
      <c r="K123" s="39" t="s">
        <v>1323</v>
      </c>
      <c r="L123" s="128" t="s">
        <v>468</v>
      </c>
      <c r="M123" s="39" t="s">
        <v>471</v>
      </c>
      <c r="N123" s="40">
        <v>43388</v>
      </c>
      <c r="O123" s="63" t="s">
        <v>17</v>
      </c>
      <c r="P123" s="63" t="s">
        <v>17</v>
      </c>
      <c r="Q123" s="63" t="s">
        <v>17</v>
      </c>
      <c r="R123" s="65" t="s">
        <v>26</v>
      </c>
      <c r="S123" s="34" t="s">
        <v>10</v>
      </c>
      <c r="T123" s="34" t="s">
        <v>11</v>
      </c>
      <c r="U123" s="35">
        <v>1.5</v>
      </c>
      <c r="V123" s="35"/>
      <c r="W123" s="35"/>
      <c r="X123" s="35">
        <v>200</v>
      </c>
      <c r="Y123" s="35">
        <v>380</v>
      </c>
      <c r="Z123" s="35">
        <v>480</v>
      </c>
      <c r="AA123" s="103">
        <v>0.86</v>
      </c>
      <c r="AB123" s="103">
        <v>1.72</v>
      </c>
      <c r="AC123" s="103">
        <v>2.58</v>
      </c>
      <c r="AD123" s="103">
        <v>4.3</v>
      </c>
      <c r="AE123" s="103">
        <v>6.45</v>
      </c>
      <c r="AF123" s="103">
        <v>8.6</v>
      </c>
      <c r="AG123" s="103">
        <v>92.8</v>
      </c>
      <c r="AH123" s="103">
        <v>95.6</v>
      </c>
      <c r="AI123" s="103">
        <v>96.3</v>
      </c>
      <c r="AJ123" s="103">
        <v>96.6</v>
      </c>
      <c r="AK123" s="103">
        <v>96.5</v>
      </c>
      <c r="AL123" s="103">
        <v>96.3</v>
      </c>
      <c r="AM123" s="103">
        <v>96.3</v>
      </c>
      <c r="AN123" s="103">
        <v>94.5</v>
      </c>
      <c r="AO123" s="103">
        <v>96.6</v>
      </c>
      <c r="AP123" s="103">
        <v>97.1</v>
      </c>
      <c r="AQ123" s="103">
        <v>97.4</v>
      </c>
      <c r="AR123" s="103">
        <v>97.4</v>
      </c>
      <c r="AS123" s="103">
        <v>97.3</v>
      </c>
      <c r="AT123" s="103">
        <v>97.2</v>
      </c>
      <c r="AU123" s="103">
        <v>94.8</v>
      </c>
      <c r="AV123" s="103">
        <v>96.9</v>
      </c>
      <c r="AW123" s="103">
        <v>97.5</v>
      </c>
      <c r="AX123" s="103">
        <v>97.8</v>
      </c>
      <c r="AY123" s="103">
        <v>97.7</v>
      </c>
      <c r="AZ123" s="103">
        <v>97.6</v>
      </c>
      <c r="BA123" s="103">
        <v>97.5</v>
      </c>
      <c r="BB123" s="40">
        <v>42917</v>
      </c>
      <c r="BC123" s="40">
        <v>43388</v>
      </c>
    </row>
    <row r="124" spans="1:55" s="120" customFormat="1" ht="43.9" customHeight="1">
      <c r="A124" s="9" t="s">
        <v>0</v>
      </c>
      <c r="B124" s="9" t="s">
        <v>928</v>
      </c>
      <c r="C124" s="63" t="s">
        <v>10</v>
      </c>
      <c r="D124" s="63" t="s">
        <v>10</v>
      </c>
      <c r="E124" s="63" t="s">
        <v>11</v>
      </c>
      <c r="F124" s="63" t="s">
        <v>11</v>
      </c>
      <c r="G124" s="9" t="s">
        <v>151</v>
      </c>
      <c r="H124" s="54">
        <v>8.6</v>
      </c>
      <c r="I124" s="35">
        <v>240</v>
      </c>
      <c r="J124" s="54">
        <v>97</v>
      </c>
      <c r="K124" s="39" t="s">
        <v>1323</v>
      </c>
      <c r="L124" s="128" t="s">
        <v>468</v>
      </c>
      <c r="M124" s="39" t="s">
        <v>471</v>
      </c>
      <c r="N124" s="40">
        <v>43388</v>
      </c>
      <c r="O124" s="63" t="s">
        <v>17</v>
      </c>
      <c r="P124" s="63" t="s">
        <v>17</v>
      </c>
      <c r="Q124" s="63" t="s">
        <v>17</v>
      </c>
      <c r="R124" s="65" t="s">
        <v>26</v>
      </c>
      <c r="S124" s="34" t="s">
        <v>10</v>
      </c>
      <c r="T124" s="34" t="s">
        <v>11</v>
      </c>
      <c r="U124" s="35">
        <v>1.4</v>
      </c>
      <c r="V124" s="35"/>
      <c r="W124" s="35"/>
      <c r="X124" s="35">
        <v>200</v>
      </c>
      <c r="Y124" s="35">
        <v>380</v>
      </c>
      <c r="Z124" s="35">
        <v>480</v>
      </c>
      <c r="AA124" s="103">
        <v>0.86</v>
      </c>
      <c r="AB124" s="103">
        <v>1.72</v>
      </c>
      <c r="AC124" s="103">
        <v>2.58</v>
      </c>
      <c r="AD124" s="103">
        <v>4.3</v>
      </c>
      <c r="AE124" s="103">
        <v>6.45</v>
      </c>
      <c r="AF124" s="103">
        <v>8.6</v>
      </c>
      <c r="AG124" s="103">
        <v>93.7</v>
      </c>
      <c r="AH124" s="103">
        <v>95.9</v>
      </c>
      <c r="AI124" s="103">
        <v>96.4</v>
      </c>
      <c r="AJ124" s="103">
        <v>96.6</v>
      </c>
      <c r="AK124" s="103">
        <v>96.4</v>
      </c>
      <c r="AL124" s="103">
        <v>96.2</v>
      </c>
      <c r="AM124" s="103">
        <v>96.3</v>
      </c>
      <c r="AN124" s="103">
        <v>95.7</v>
      </c>
      <c r="AO124" s="103">
        <v>97.3</v>
      </c>
      <c r="AP124" s="103">
        <v>97.6</v>
      </c>
      <c r="AQ124" s="103">
        <v>97.7</v>
      </c>
      <c r="AR124" s="103">
        <v>97.6</v>
      </c>
      <c r="AS124" s="103">
        <v>97.4</v>
      </c>
      <c r="AT124" s="103">
        <v>97.5</v>
      </c>
      <c r="AU124" s="103">
        <v>94.5</v>
      </c>
      <c r="AV124" s="103">
        <v>96.7</v>
      </c>
      <c r="AW124" s="103">
        <v>97.2</v>
      </c>
      <c r="AX124" s="103">
        <v>97.4</v>
      </c>
      <c r="AY124" s="103">
        <v>97.4</v>
      </c>
      <c r="AZ124" s="103">
        <v>97.2</v>
      </c>
      <c r="BA124" s="103">
        <v>97.2</v>
      </c>
      <c r="BB124" s="40">
        <v>42917</v>
      </c>
      <c r="BC124" s="40">
        <v>43388</v>
      </c>
    </row>
    <row r="125" spans="1:55" s="120" customFormat="1" ht="43.9" customHeight="1">
      <c r="A125" s="9" t="s">
        <v>0</v>
      </c>
      <c r="B125" s="9" t="s">
        <v>929</v>
      </c>
      <c r="C125" s="63" t="s">
        <v>10</v>
      </c>
      <c r="D125" s="63" t="s">
        <v>10</v>
      </c>
      <c r="E125" s="63" t="s">
        <v>11</v>
      </c>
      <c r="F125" s="63" t="s">
        <v>11</v>
      </c>
      <c r="G125" s="9" t="s">
        <v>152</v>
      </c>
      <c r="H125" s="54">
        <v>8.6</v>
      </c>
      <c r="I125" s="35">
        <v>277</v>
      </c>
      <c r="J125" s="54">
        <v>97</v>
      </c>
      <c r="K125" s="39" t="s">
        <v>1323</v>
      </c>
      <c r="L125" s="128" t="s">
        <v>468</v>
      </c>
      <c r="M125" s="39" t="s">
        <v>471</v>
      </c>
      <c r="N125" s="40">
        <v>43388</v>
      </c>
      <c r="O125" s="63" t="s">
        <v>17</v>
      </c>
      <c r="P125" s="63" t="s">
        <v>17</v>
      </c>
      <c r="Q125" s="63" t="s">
        <v>17</v>
      </c>
      <c r="R125" s="65" t="s">
        <v>26</v>
      </c>
      <c r="S125" s="34" t="s">
        <v>10</v>
      </c>
      <c r="T125" s="34" t="s">
        <v>11</v>
      </c>
      <c r="U125" s="35">
        <v>1.5</v>
      </c>
      <c r="V125" s="35"/>
      <c r="W125" s="35"/>
      <c r="X125" s="35">
        <v>200</v>
      </c>
      <c r="Y125" s="35">
        <v>380</v>
      </c>
      <c r="Z125" s="35">
        <v>480</v>
      </c>
      <c r="AA125" s="103">
        <v>0.86</v>
      </c>
      <c r="AB125" s="103">
        <v>1.72</v>
      </c>
      <c r="AC125" s="103">
        <v>2.58</v>
      </c>
      <c r="AD125" s="103">
        <v>4.3</v>
      </c>
      <c r="AE125" s="103">
        <v>6.45</v>
      </c>
      <c r="AF125" s="103">
        <v>8.6</v>
      </c>
      <c r="AG125" s="103">
        <v>92.8</v>
      </c>
      <c r="AH125" s="103">
        <v>95.6</v>
      </c>
      <c r="AI125" s="103">
        <v>96.3</v>
      </c>
      <c r="AJ125" s="103">
        <v>96.6</v>
      </c>
      <c r="AK125" s="103">
        <v>96.5</v>
      </c>
      <c r="AL125" s="103">
        <v>96.3</v>
      </c>
      <c r="AM125" s="103">
        <v>96.3</v>
      </c>
      <c r="AN125" s="103">
        <v>94.5</v>
      </c>
      <c r="AO125" s="103">
        <v>96.6</v>
      </c>
      <c r="AP125" s="103">
        <v>97.1</v>
      </c>
      <c r="AQ125" s="103">
        <v>97.4</v>
      </c>
      <c r="AR125" s="103">
        <v>97.4</v>
      </c>
      <c r="AS125" s="103">
        <v>97.3</v>
      </c>
      <c r="AT125" s="103">
        <v>97.2</v>
      </c>
      <c r="AU125" s="103">
        <v>94.8</v>
      </c>
      <c r="AV125" s="103">
        <v>96.9</v>
      </c>
      <c r="AW125" s="103">
        <v>97.5</v>
      </c>
      <c r="AX125" s="103">
        <v>97.8</v>
      </c>
      <c r="AY125" s="103">
        <v>97.7</v>
      </c>
      <c r="AZ125" s="103">
        <v>97.6</v>
      </c>
      <c r="BA125" s="103">
        <v>97.5</v>
      </c>
      <c r="BB125" s="40">
        <v>42917</v>
      </c>
      <c r="BC125" s="40">
        <v>43388</v>
      </c>
    </row>
    <row r="126" spans="1:55" s="120" customFormat="1" ht="45">
      <c r="A126" s="9" t="s">
        <v>0</v>
      </c>
      <c r="B126" s="9" t="s">
        <v>930</v>
      </c>
      <c r="C126" s="63" t="s">
        <v>10</v>
      </c>
      <c r="D126" s="63" t="s">
        <v>10</v>
      </c>
      <c r="E126" s="63" t="s">
        <v>11</v>
      </c>
      <c r="F126" s="63" t="s">
        <v>11</v>
      </c>
      <c r="G126" s="9" t="s">
        <v>122</v>
      </c>
      <c r="H126" s="35">
        <v>50</v>
      </c>
      <c r="I126" s="35">
        <v>480</v>
      </c>
      <c r="J126" s="35">
        <v>98</v>
      </c>
      <c r="K126" s="39" t="s">
        <v>1323</v>
      </c>
      <c r="L126" s="128" t="s">
        <v>472</v>
      </c>
      <c r="M126" s="39" t="s">
        <v>473</v>
      </c>
      <c r="N126" s="40">
        <v>43388</v>
      </c>
      <c r="O126" s="63" t="s">
        <v>17</v>
      </c>
      <c r="P126" s="63" t="s">
        <v>17</v>
      </c>
      <c r="Q126" s="63" t="s">
        <v>17</v>
      </c>
      <c r="R126" s="65" t="s">
        <v>26</v>
      </c>
      <c r="S126" s="34" t="s">
        <v>10</v>
      </c>
      <c r="T126" s="34" t="s">
        <v>11</v>
      </c>
      <c r="U126" s="35">
        <v>1</v>
      </c>
      <c r="V126" s="35">
        <v>50</v>
      </c>
      <c r="W126" s="35">
        <v>1</v>
      </c>
      <c r="X126" s="35">
        <v>520</v>
      </c>
      <c r="Y126" s="35">
        <v>720</v>
      </c>
      <c r="Z126" s="35">
        <v>800</v>
      </c>
      <c r="AA126" s="103">
        <v>5</v>
      </c>
      <c r="AB126" s="103">
        <v>10</v>
      </c>
      <c r="AC126" s="103">
        <v>15</v>
      </c>
      <c r="AD126" s="103">
        <v>25</v>
      </c>
      <c r="AE126" s="103">
        <v>37.5</v>
      </c>
      <c r="AF126" s="103">
        <v>50</v>
      </c>
      <c r="AG126" s="103">
        <v>96.342590866613719</v>
      </c>
      <c r="AH126" s="103">
        <v>97.39411188523512</v>
      </c>
      <c r="AI126" s="103">
        <v>97.730509677227218</v>
      </c>
      <c r="AJ126" s="103">
        <v>97.849372845857189</v>
      </c>
      <c r="AK126" s="103">
        <v>97.864151934162123</v>
      </c>
      <c r="AL126" s="103">
        <v>97.735773713628447</v>
      </c>
      <c r="AM126" s="103">
        <v>97.8</v>
      </c>
      <c r="AN126" s="103">
        <v>96.858957935821849</v>
      </c>
      <c r="AO126" s="103">
        <v>98.003347675106397</v>
      </c>
      <c r="AP126" s="103">
        <v>98.335107750948936</v>
      </c>
      <c r="AQ126" s="103">
        <v>98.526031796946754</v>
      </c>
      <c r="AR126" s="103">
        <v>98.551492631407513</v>
      </c>
      <c r="AS126" s="103">
        <v>98.493346758272125</v>
      </c>
      <c r="AT126" s="103">
        <v>98.422163741220473</v>
      </c>
      <c r="AU126" s="103">
        <v>95.922612669418839</v>
      </c>
      <c r="AV126" s="103">
        <v>97.568344051090364</v>
      </c>
      <c r="AW126" s="103">
        <v>98.034086986063684</v>
      </c>
      <c r="AX126" s="103">
        <v>98.317886765684975</v>
      </c>
      <c r="AY126" s="103">
        <v>98.343247316145977</v>
      </c>
      <c r="AZ126" s="103">
        <v>98.304327830005803</v>
      </c>
      <c r="BA126" s="103">
        <v>98.163305837510407</v>
      </c>
      <c r="BB126" s="40">
        <v>42917</v>
      </c>
      <c r="BC126" s="40">
        <v>43388</v>
      </c>
    </row>
    <row r="127" spans="1:55" s="120" customFormat="1" ht="45">
      <c r="A127" s="9" t="s">
        <v>0</v>
      </c>
      <c r="B127" s="9" t="s">
        <v>931</v>
      </c>
      <c r="C127" s="63" t="s">
        <v>10</v>
      </c>
      <c r="D127" s="63" t="s">
        <v>10</v>
      </c>
      <c r="E127" s="63" t="s">
        <v>11</v>
      </c>
      <c r="F127" s="63" t="s">
        <v>11</v>
      </c>
      <c r="G127" s="9" t="s">
        <v>123</v>
      </c>
      <c r="H127" s="35">
        <v>60</v>
      </c>
      <c r="I127" s="35">
        <v>480</v>
      </c>
      <c r="J127" s="35">
        <v>98</v>
      </c>
      <c r="K127" s="39" t="s">
        <v>1323</v>
      </c>
      <c r="L127" s="128" t="s">
        <v>472</v>
      </c>
      <c r="M127" s="39" t="s">
        <v>473</v>
      </c>
      <c r="N127" s="40">
        <v>43388</v>
      </c>
      <c r="O127" s="63" t="s">
        <v>17</v>
      </c>
      <c r="P127" s="63" t="s">
        <v>17</v>
      </c>
      <c r="Q127" s="63" t="s">
        <v>17</v>
      </c>
      <c r="R127" s="65" t="s">
        <v>26</v>
      </c>
      <c r="S127" s="34" t="s">
        <v>10</v>
      </c>
      <c r="T127" s="34" t="s">
        <v>11</v>
      </c>
      <c r="U127" s="35">
        <v>0.8</v>
      </c>
      <c r="V127" s="35">
        <v>60</v>
      </c>
      <c r="W127" s="35">
        <v>0.8</v>
      </c>
      <c r="X127" s="35">
        <v>570</v>
      </c>
      <c r="Y127" s="35">
        <v>720</v>
      </c>
      <c r="Z127" s="35">
        <v>800</v>
      </c>
      <c r="AA127" s="103">
        <v>6</v>
      </c>
      <c r="AB127" s="103">
        <v>12</v>
      </c>
      <c r="AC127" s="103">
        <v>18</v>
      </c>
      <c r="AD127" s="103">
        <v>30</v>
      </c>
      <c r="AE127" s="103">
        <v>45</v>
      </c>
      <c r="AF127" s="103">
        <v>60</v>
      </c>
      <c r="AG127" s="103">
        <v>96.7</v>
      </c>
      <c r="AH127" s="103">
        <v>97.7</v>
      </c>
      <c r="AI127" s="103">
        <v>97.9</v>
      </c>
      <c r="AJ127" s="103">
        <v>98</v>
      </c>
      <c r="AK127" s="103">
        <v>98</v>
      </c>
      <c r="AL127" s="103">
        <v>97.8</v>
      </c>
      <c r="AM127" s="103">
        <v>97.9</v>
      </c>
      <c r="AN127" s="103">
        <v>97.2</v>
      </c>
      <c r="AO127" s="103">
        <v>98.1</v>
      </c>
      <c r="AP127" s="103">
        <v>98.4</v>
      </c>
      <c r="AQ127" s="103">
        <v>98.5</v>
      </c>
      <c r="AR127" s="103">
        <v>98.5</v>
      </c>
      <c r="AS127" s="103">
        <v>98.4</v>
      </c>
      <c r="AT127" s="103">
        <v>98.4</v>
      </c>
      <c r="AU127" s="103">
        <v>96.4</v>
      </c>
      <c r="AV127" s="103">
        <v>97.8</v>
      </c>
      <c r="AW127" s="103">
        <v>98.1</v>
      </c>
      <c r="AX127" s="103">
        <v>98.3</v>
      </c>
      <c r="AY127" s="103">
        <v>98.3</v>
      </c>
      <c r="AZ127" s="103">
        <v>98.2</v>
      </c>
      <c r="BA127" s="103">
        <v>98.2</v>
      </c>
      <c r="BB127" s="40">
        <v>42917</v>
      </c>
      <c r="BC127" s="40">
        <v>43388</v>
      </c>
    </row>
    <row r="128" spans="1:55" s="120" customFormat="1" ht="45">
      <c r="A128" s="41" t="s">
        <v>0</v>
      </c>
      <c r="B128" s="41" t="s">
        <v>932</v>
      </c>
      <c r="C128" s="43" t="s">
        <v>10</v>
      </c>
      <c r="D128" s="43" t="s">
        <v>10</v>
      </c>
      <c r="E128" s="43" t="s">
        <v>10</v>
      </c>
      <c r="F128" s="63" t="s">
        <v>11</v>
      </c>
      <c r="G128" s="41" t="s">
        <v>740</v>
      </c>
      <c r="H128" s="27">
        <v>60</v>
      </c>
      <c r="I128" s="109">
        <v>480</v>
      </c>
      <c r="J128" s="27">
        <v>98</v>
      </c>
      <c r="K128" s="39" t="s">
        <v>1323</v>
      </c>
      <c r="L128" s="130" t="s">
        <v>741</v>
      </c>
      <c r="M128" s="110" t="s">
        <v>742</v>
      </c>
      <c r="N128" s="40">
        <v>43388</v>
      </c>
      <c r="O128" s="130" t="s">
        <v>741</v>
      </c>
      <c r="P128" s="63" t="s">
        <v>17</v>
      </c>
      <c r="Q128" s="63" t="s">
        <v>17</v>
      </c>
      <c r="R128" s="112"/>
      <c r="S128" s="111" t="s">
        <v>10</v>
      </c>
      <c r="T128" s="111" t="s">
        <v>11</v>
      </c>
      <c r="U128" s="113">
        <v>0.6</v>
      </c>
      <c r="V128" s="113"/>
      <c r="W128" s="113"/>
      <c r="X128" s="113">
        <v>570</v>
      </c>
      <c r="Y128" s="113">
        <v>720</v>
      </c>
      <c r="Z128" s="113">
        <v>800</v>
      </c>
      <c r="AA128" s="114">
        <v>6</v>
      </c>
      <c r="AB128" s="114">
        <v>12</v>
      </c>
      <c r="AC128" s="114">
        <v>18</v>
      </c>
      <c r="AD128" s="114">
        <v>30</v>
      </c>
      <c r="AE128" s="114">
        <v>45</v>
      </c>
      <c r="AF128" s="114">
        <v>60</v>
      </c>
      <c r="AG128" s="114">
        <v>96.7</v>
      </c>
      <c r="AH128" s="114">
        <v>97.6</v>
      </c>
      <c r="AI128" s="114">
        <v>97.8</v>
      </c>
      <c r="AJ128" s="114">
        <v>97.9</v>
      </c>
      <c r="AK128" s="114">
        <v>97.8</v>
      </c>
      <c r="AL128" s="114">
        <v>97.6</v>
      </c>
      <c r="AM128" s="114">
        <v>97.8</v>
      </c>
      <c r="AN128" s="114">
        <v>97.3</v>
      </c>
      <c r="AO128" s="114">
        <v>98.3</v>
      </c>
      <c r="AP128" s="114">
        <v>98.5</v>
      </c>
      <c r="AQ128" s="114">
        <v>98.6</v>
      </c>
      <c r="AR128" s="114">
        <v>98.6</v>
      </c>
      <c r="AS128" s="114">
        <v>98.4</v>
      </c>
      <c r="AT128" s="114">
        <v>98.5</v>
      </c>
      <c r="AU128" s="114">
        <v>96.7</v>
      </c>
      <c r="AV128" s="114">
        <v>98</v>
      </c>
      <c r="AW128" s="114">
        <v>98.3</v>
      </c>
      <c r="AX128" s="114">
        <v>98.4</v>
      </c>
      <c r="AY128" s="114">
        <v>98.4</v>
      </c>
      <c r="AZ128" s="114">
        <v>98.3</v>
      </c>
      <c r="BA128" s="114">
        <v>98.3</v>
      </c>
      <c r="BB128" s="40">
        <v>43252</v>
      </c>
      <c r="BC128" s="40">
        <v>43388</v>
      </c>
    </row>
    <row r="129" spans="1:55" s="120" customFormat="1" ht="45">
      <c r="A129" s="74" t="s">
        <v>395</v>
      </c>
      <c r="B129" s="74" t="s">
        <v>933</v>
      </c>
      <c r="C129" s="63" t="s">
        <v>10</v>
      </c>
      <c r="D129" s="63" t="s">
        <v>10</v>
      </c>
      <c r="E129" s="63" t="s">
        <v>11</v>
      </c>
      <c r="F129" s="63" t="s">
        <v>11</v>
      </c>
      <c r="G129" s="37" t="s">
        <v>637</v>
      </c>
      <c r="H129" s="35">
        <v>0.55000000000000004</v>
      </c>
      <c r="I129" s="35">
        <v>240</v>
      </c>
      <c r="J129" s="35">
        <v>96.5</v>
      </c>
      <c r="K129" s="39" t="s">
        <v>1324</v>
      </c>
      <c r="L129" s="128" t="s">
        <v>638</v>
      </c>
      <c r="M129" s="39" t="s">
        <v>639</v>
      </c>
      <c r="N129" s="40">
        <v>43388</v>
      </c>
      <c r="O129" s="63" t="s">
        <v>17</v>
      </c>
      <c r="P129" s="63" t="s">
        <v>17</v>
      </c>
      <c r="Q129" s="63" t="s">
        <v>17</v>
      </c>
      <c r="R129" s="54"/>
      <c r="S129" s="34" t="s">
        <v>11</v>
      </c>
      <c r="T129" s="34" t="s">
        <v>10</v>
      </c>
      <c r="U129" s="35">
        <v>0.02</v>
      </c>
      <c r="V129" s="35"/>
      <c r="W129" s="35"/>
      <c r="X129" s="35">
        <v>24</v>
      </c>
      <c r="Y129" s="35">
        <v>36</v>
      </c>
      <c r="Z129" s="35">
        <v>45</v>
      </c>
      <c r="AA129" s="103">
        <v>5.4800000000000001E-2</v>
      </c>
      <c r="AB129" s="103">
        <v>0.1096</v>
      </c>
      <c r="AC129" s="103">
        <v>0.16439999999999999</v>
      </c>
      <c r="AD129" s="103">
        <v>0.27400000000000002</v>
      </c>
      <c r="AE129" s="103">
        <v>0.41099999999999998</v>
      </c>
      <c r="AF129" s="103">
        <v>0.54800000000000004</v>
      </c>
      <c r="AG129" s="103">
        <v>94.4</v>
      </c>
      <c r="AH129" s="103">
        <v>95.9</v>
      </c>
      <c r="AI129" s="103">
        <v>96</v>
      </c>
      <c r="AJ129" s="103">
        <v>96.4</v>
      </c>
      <c r="AK129" s="103">
        <v>96.3</v>
      </c>
      <c r="AL129" s="103">
        <v>96.1</v>
      </c>
      <c r="AM129" s="103">
        <v>96.2</v>
      </c>
      <c r="AN129" s="103">
        <v>94.1</v>
      </c>
      <c r="AO129" s="103">
        <v>95.8</v>
      </c>
      <c r="AP129" s="103">
        <v>96.2</v>
      </c>
      <c r="AQ129" s="103">
        <v>96.5</v>
      </c>
      <c r="AR129" s="103">
        <v>96.7</v>
      </c>
      <c r="AS129" s="103">
        <v>96.6</v>
      </c>
      <c r="AT129" s="103">
        <v>96.4</v>
      </c>
      <c r="AU129" s="103">
        <v>93.7</v>
      </c>
      <c r="AV129" s="103">
        <v>95.7</v>
      </c>
      <c r="AW129" s="103">
        <v>95.8</v>
      </c>
      <c r="AX129" s="103">
        <v>96.4</v>
      </c>
      <c r="AY129" s="103">
        <v>96.7</v>
      </c>
      <c r="AZ129" s="103">
        <v>96.7</v>
      </c>
      <c r="BA129" s="103">
        <v>96.4</v>
      </c>
      <c r="BB129" s="40">
        <v>43160</v>
      </c>
      <c r="BC129" s="40">
        <v>43388</v>
      </c>
    </row>
    <row r="130" spans="1:55" s="120" customFormat="1" ht="45">
      <c r="A130" s="87" t="s">
        <v>228</v>
      </c>
      <c r="B130" s="74" t="s">
        <v>934</v>
      </c>
      <c r="C130" s="63" t="s">
        <v>10</v>
      </c>
      <c r="D130" s="63" t="s">
        <v>10</v>
      </c>
      <c r="E130" s="43" t="s">
        <v>10</v>
      </c>
      <c r="F130" s="63" t="s">
        <v>11</v>
      </c>
      <c r="G130" s="37" t="s">
        <v>615</v>
      </c>
      <c r="H130" s="35">
        <v>25.05</v>
      </c>
      <c r="I130" s="35">
        <v>480</v>
      </c>
      <c r="J130" s="35">
        <v>98</v>
      </c>
      <c r="K130" s="39" t="s">
        <v>1325</v>
      </c>
      <c r="L130" s="128" t="s">
        <v>616</v>
      </c>
      <c r="M130" s="39" t="s">
        <v>610</v>
      </c>
      <c r="N130" s="40">
        <v>43405</v>
      </c>
      <c r="O130" s="128" t="s">
        <v>616</v>
      </c>
      <c r="P130" s="63" t="s">
        <v>17</v>
      </c>
      <c r="Q130" s="63" t="s">
        <v>17</v>
      </c>
      <c r="R130" s="65" t="s">
        <v>617</v>
      </c>
      <c r="S130" s="34" t="s">
        <v>11</v>
      </c>
      <c r="T130" s="34" t="s">
        <v>11</v>
      </c>
      <c r="U130" s="35">
        <v>14</v>
      </c>
      <c r="V130" s="35"/>
      <c r="W130" s="35"/>
      <c r="X130" s="35">
        <v>580</v>
      </c>
      <c r="Y130" s="35">
        <v>650</v>
      </c>
      <c r="Z130" s="35">
        <v>780</v>
      </c>
      <c r="AA130" s="103">
        <v>2.5</v>
      </c>
      <c r="AB130" s="103">
        <v>5</v>
      </c>
      <c r="AC130" s="103">
        <v>7.5</v>
      </c>
      <c r="AD130" s="103">
        <v>12.5</v>
      </c>
      <c r="AE130" s="103">
        <v>18.75</v>
      </c>
      <c r="AF130" s="103">
        <v>25</v>
      </c>
      <c r="AG130" s="103">
        <v>97.1</v>
      </c>
      <c r="AH130" s="103">
        <v>97.4</v>
      </c>
      <c r="AI130" s="103">
        <v>97.6</v>
      </c>
      <c r="AJ130" s="103">
        <v>97.9</v>
      </c>
      <c r="AK130" s="103">
        <v>98</v>
      </c>
      <c r="AL130" s="103">
        <v>97.8</v>
      </c>
      <c r="AM130" s="103">
        <v>97.9</v>
      </c>
      <c r="AN130" s="103">
        <v>97.1</v>
      </c>
      <c r="AO130" s="103">
        <v>97.3</v>
      </c>
      <c r="AP130" s="103">
        <v>97.6</v>
      </c>
      <c r="AQ130" s="103">
        <v>97.8</v>
      </c>
      <c r="AR130" s="103">
        <v>98.3</v>
      </c>
      <c r="AS130" s="103">
        <v>97.6</v>
      </c>
      <c r="AT130" s="103">
        <v>98</v>
      </c>
      <c r="AU130" s="103">
        <v>97.2</v>
      </c>
      <c r="AV130" s="103">
        <v>97.4</v>
      </c>
      <c r="AW130" s="103">
        <v>97.7</v>
      </c>
      <c r="AX130" s="103">
        <v>97.8</v>
      </c>
      <c r="AY130" s="103">
        <v>98</v>
      </c>
      <c r="AZ130" s="103">
        <v>97.5</v>
      </c>
      <c r="BA130" s="103">
        <v>97.9</v>
      </c>
      <c r="BB130" s="40">
        <v>43146</v>
      </c>
      <c r="BC130" s="40">
        <v>43405</v>
      </c>
    </row>
    <row r="131" spans="1:55" s="120" customFormat="1" ht="45">
      <c r="A131" s="87" t="s">
        <v>228</v>
      </c>
      <c r="B131" s="74" t="s">
        <v>935</v>
      </c>
      <c r="C131" s="63" t="s">
        <v>10</v>
      </c>
      <c r="D131" s="63" t="s">
        <v>10</v>
      </c>
      <c r="E131" s="43" t="s">
        <v>10</v>
      </c>
      <c r="F131" s="63" t="s">
        <v>11</v>
      </c>
      <c r="G131" s="37" t="s">
        <v>618</v>
      </c>
      <c r="H131" s="35">
        <v>30.05</v>
      </c>
      <c r="I131" s="35">
        <v>480</v>
      </c>
      <c r="J131" s="35">
        <v>98</v>
      </c>
      <c r="K131" s="39" t="s">
        <v>1325</v>
      </c>
      <c r="L131" s="128" t="s">
        <v>616</v>
      </c>
      <c r="M131" s="39" t="s">
        <v>610</v>
      </c>
      <c r="N131" s="40">
        <v>43405</v>
      </c>
      <c r="O131" s="128" t="s">
        <v>616</v>
      </c>
      <c r="P131" s="63" t="s">
        <v>17</v>
      </c>
      <c r="Q131" s="63" t="s">
        <v>17</v>
      </c>
      <c r="R131" s="65" t="s">
        <v>619</v>
      </c>
      <c r="S131" s="34" t="s">
        <v>11</v>
      </c>
      <c r="T131" s="34" t="s">
        <v>11</v>
      </c>
      <c r="U131" s="35">
        <v>15</v>
      </c>
      <c r="V131" s="35"/>
      <c r="W131" s="35"/>
      <c r="X131" s="35">
        <v>580</v>
      </c>
      <c r="Y131" s="35">
        <v>650</v>
      </c>
      <c r="Z131" s="35">
        <v>780</v>
      </c>
      <c r="AA131" s="103">
        <v>3</v>
      </c>
      <c r="AB131" s="103">
        <v>6</v>
      </c>
      <c r="AC131" s="103">
        <v>9</v>
      </c>
      <c r="AD131" s="103">
        <v>15</v>
      </c>
      <c r="AE131" s="103">
        <v>22.5</v>
      </c>
      <c r="AF131" s="103">
        <v>30</v>
      </c>
      <c r="AG131" s="103">
        <v>97.1</v>
      </c>
      <c r="AH131" s="103">
        <v>97.9</v>
      </c>
      <c r="AI131" s="103">
        <v>97.9</v>
      </c>
      <c r="AJ131" s="103">
        <v>98.3</v>
      </c>
      <c r="AK131" s="103">
        <v>97.5</v>
      </c>
      <c r="AL131" s="103">
        <v>97.9</v>
      </c>
      <c r="AM131" s="103">
        <v>97.8</v>
      </c>
      <c r="AN131" s="103">
        <v>97.4</v>
      </c>
      <c r="AO131" s="103">
        <v>98.1</v>
      </c>
      <c r="AP131" s="103">
        <v>98.1</v>
      </c>
      <c r="AQ131" s="103">
        <v>98.4</v>
      </c>
      <c r="AR131" s="103">
        <v>98.1</v>
      </c>
      <c r="AS131" s="103">
        <v>97.9</v>
      </c>
      <c r="AT131" s="103">
        <v>98.1</v>
      </c>
      <c r="AU131" s="103">
        <v>97.1</v>
      </c>
      <c r="AV131" s="103">
        <v>97.9</v>
      </c>
      <c r="AW131" s="103">
        <v>98</v>
      </c>
      <c r="AX131" s="103">
        <v>98.3</v>
      </c>
      <c r="AY131" s="103">
        <v>98</v>
      </c>
      <c r="AZ131" s="103">
        <v>97.8</v>
      </c>
      <c r="BA131" s="103">
        <v>98</v>
      </c>
      <c r="BB131" s="40">
        <v>43146</v>
      </c>
      <c r="BC131" s="40">
        <v>43405</v>
      </c>
    </row>
    <row r="132" spans="1:55" s="120" customFormat="1" ht="60">
      <c r="A132" s="74" t="s">
        <v>228</v>
      </c>
      <c r="B132" s="67" t="s">
        <v>936</v>
      </c>
      <c r="C132" s="69" t="s">
        <v>10</v>
      </c>
      <c r="D132" s="69" t="s">
        <v>10</v>
      </c>
      <c r="E132" s="63" t="s">
        <v>11</v>
      </c>
      <c r="F132" s="63" t="s">
        <v>11</v>
      </c>
      <c r="G132" s="74" t="s">
        <v>224</v>
      </c>
      <c r="H132" s="54">
        <v>36</v>
      </c>
      <c r="I132" s="25">
        <v>480</v>
      </c>
      <c r="J132" s="26">
        <v>98</v>
      </c>
      <c r="K132" s="39" t="s">
        <v>1324</v>
      </c>
      <c r="L132" s="129" t="s">
        <v>474</v>
      </c>
      <c r="M132" s="33" t="s">
        <v>475</v>
      </c>
      <c r="N132" s="40">
        <v>43388</v>
      </c>
      <c r="O132" s="63" t="s">
        <v>17</v>
      </c>
      <c r="P132" s="63" t="s">
        <v>17</v>
      </c>
      <c r="Q132" s="63" t="s">
        <v>17</v>
      </c>
      <c r="R132" s="60" t="s">
        <v>227</v>
      </c>
      <c r="S132" s="32" t="s">
        <v>11</v>
      </c>
      <c r="T132" s="32" t="s">
        <v>11</v>
      </c>
      <c r="U132" s="25">
        <v>0</v>
      </c>
      <c r="V132" s="25"/>
      <c r="W132" s="25"/>
      <c r="X132" s="25">
        <v>540</v>
      </c>
      <c r="Y132" s="25">
        <v>730</v>
      </c>
      <c r="Z132" s="25">
        <v>800</v>
      </c>
      <c r="AA132" s="95">
        <v>3.6</v>
      </c>
      <c r="AB132" s="95">
        <v>7.2</v>
      </c>
      <c r="AC132" s="95">
        <v>10.8</v>
      </c>
      <c r="AD132" s="95">
        <v>18</v>
      </c>
      <c r="AE132" s="95">
        <v>27</v>
      </c>
      <c r="AF132" s="95">
        <v>36</v>
      </c>
      <c r="AG132" s="95">
        <v>95.5</v>
      </c>
      <c r="AH132" s="95">
        <v>96.8</v>
      </c>
      <c r="AI132" s="95">
        <v>97.2</v>
      </c>
      <c r="AJ132" s="95">
        <v>97.5</v>
      </c>
      <c r="AK132" s="95">
        <v>97.5</v>
      </c>
      <c r="AL132" s="95">
        <v>97.3</v>
      </c>
      <c r="AM132" s="95">
        <v>97.3</v>
      </c>
      <c r="AN132" s="95">
        <v>97.4</v>
      </c>
      <c r="AO132" s="95">
        <v>98.3</v>
      </c>
      <c r="AP132" s="95">
        <v>98.5</v>
      </c>
      <c r="AQ132" s="95">
        <v>98.5</v>
      </c>
      <c r="AR132" s="95">
        <v>98.5</v>
      </c>
      <c r="AS132" s="95">
        <v>98.3</v>
      </c>
      <c r="AT132" s="95">
        <v>98.4</v>
      </c>
      <c r="AU132" s="95">
        <v>97.1</v>
      </c>
      <c r="AV132" s="95">
        <v>98</v>
      </c>
      <c r="AW132" s="95">
        <v>98.3</v>
      </c>
      <c r="AX132" s="95">
        <v>98.4</v>
      </c>
      <c r="AY132" s="95">
        <v>98.3</v>
      </c>
      <c r="AZ132" s="95">
        <v>98.2</v>
      </c>
      <c r="BA132" s="95">
        <v>98.3</v>
      </c>
      <c r="BB132" s="40">
        <v>43009</v>
      </c>
      <c r="BC132" s="40">
        <v>43405</v>
      </c>
    </row>
    <row r="133" spans="1:55" s="120" customFormat="1" ht="45">
      <c r="A133" s="87" t="s">
        <v>228</v>
      </c>
      <c r="B133" s="74" t="s">
        <v>937</v>
      </c>
      <c r="C133" s="63" t="s">
        <v>10</v>
      </c>
      <c r="D133" s="63" t="s">
        <v>10</v>
      </c>
      <c r="E133" s="43" t="s">
        <v>10</v>
      </c>
      <c r="F133" s="63" t="s">
        <v>11</v>
      </c>
      <c r="G133" s="37" t="s">
        <v>620</v>
      </c>
      <c r="H133" s="35">
        <v>36.049999999999997</v>
      </c>
      <c r="I133" s="35">
        <v>480</v>
      </c>
      <c r="J133" s="35">
        <v>98</v>
      </c>
      <c r="K133" s="39" t="s">
        <v>1325</v>
      </c>
      <c r="L133" s="128" t="s">
        <v>616</v>
      </c>
      <c r="M133" s="39" t="s">
        <v>610</v>
      </c>
      <c r="N133" s="40">
        <v>43405</v>
      </c>
      <c r="O133" s="128" t="s">
        <v>616</v>
      </c>
      <c r="P133" s="63" t="s">
        <v>17</v>
      </c>
      <c r="Q133" s="63" t="s">
        <v>17</v>
      </c>
      <c r="R133" s="65" t="s">
        <v>621</v>
      </c>
      <c r="S133" s="34" t="s">
        <v>11</v>
      </c>
      <c r="T133" s="34" t="s">
        <v>11</v>
      </c>
      <c r="U133" s="35">
        <v>15</v>
      </c>
      <c r="V133" s="35"/>
      <c r="W133" s="35"/>
      <c r="X133" s="35">
        <v>580</v>
      </c>
      <c r="Y133" s="35">
        <v>650</v>
      </c>
      <c r="Z133" s="35">
        <v>780</v>
      </c>
      <c r="AA133" s="103">
        <v>3.6</v>
      </c>
      <c r="AB133" s="103">
        <v>7.2</v>
      </c>
      <c r="AC133" s="103">
        <v>10.8</v>
      </c>
      <c r="AD133" s="103">
        <v>18</v>
      </c>
      <c r="AE133" s="103">
        <v>27</v>
      </c>
      <c r="AF133" s="103">
        <v>36</v>
      </c>
      <c r="AG133" s="103">
        <v>97.3</v>
      </c>
      <c r="AH133" s="103">
        <v>98.2</v>
      </c>
      <c r="AI133" s="103">
        <v>98.1</v>
      </c>
      <c r="AJ133" s="103">
        <v>98.4</v>
      </c>
      <c r="AK133" s="103">
        <v>97.6</v>
      </c>
      <c r="AL133" s="103">
        <v>98.1</v>
      </c>
      <c r="AM133" s="103">
        <v>97.9</v>
      </c>
      <c r="AN133" s="103">
        <v>97.7</v>
      </c>
      <c r="AO133" s="103">
        <v>98.3</v>
      </c>
      <c r="AP133" s="103">
        <v>98.3</v>
      </c>
      <c r="AQ133" s="103">
        <v>98.4</v>
      </c>
      <c r="AR133" s="103">
        <v>98.3</v>
      </c>
      <c r="AS133" s="103">
        <v>98.1</v>
      </c>
      <c r="AT133" s="103">
        <v>98.3</v>
      </c>
      <c r="AU133" s="103">
        <v>97.4</v>
      </c>
      <c r="AV133" s="103">
        <v>98.1</v>
      </c>
      <c r="AW133" s="103">
        <v>98.2</v>
      </c>
      <c r="AX133" s="103">
        <v>98.3</v>
      </c>
      <c r="AY133" s="103">
        <v>98.2</v>
      </c>
      <c r="AZ133" s="103">
        <v>98.1</v>
      </c>
      <c r="BA133" s="103">
        <v>98.2</v>
      </c>
      <c r="BB133" s="40">
        <v>43146</v>
      </c>
      <c r="BC133" s="40">
        <v>43405</v>
      </c>
    </row>
    <row r="134" spans="1:55" s="120" customFormat="1" ht="45">
      <c r="A134" s="87" t="s">
        <v>228</v>
      </c>
      <c r="B134" s="74" t="s">
        <v>938</v>
      </c>
      <c r="C134" s="63" t="s">
        <v>10</v>
      </c>
      <c r="D134" s="63" t="s">
        <v>10</v>
      </c>
      <c r="E134" s="43" t="s">
        <v>10</v>
      </c>
      <c r="F134" s="63" t="s">
        <v>11</v>
      </c>
      <c r="G134" s="37" t="s">
        <v>624</v>
      </c>
      <c r="H134" s="35">
        <v>40.049999999999997</v>
      </c>
      <c r="I134" s="35">
        <v>480</v>
      </c>
      <c r="J134" s="35">
        <v>98.5</v>
      </c>
      <c r="K134" s="39" t="s">
        <v>1325</v>
      </c>
      <c r="L134" s="128" t="s">
        <v>616</v>
      </c>
      <c r="M134" s="39" t="s">
        <v>610</v>
      </c>
      <c r="N134" s="40">
        <v>43405</v>
      </c>
      <c r="O134" s="128" t="s">
        <v>616</v>
      </c>
      <c r="P134" s="63" t="s">
        <v>17</v>
      </c>
      <c r="Q134" s="63" t="s">
        <v>17</v>
      </c>
      <c r="R134" s="65" t="s">
        <v>625</v>
      </c>
      <c r="S134" s="34" t="s">
        <v>11</v>
      </c>
      <c r="T134" s="34" t="s">
        <v>11</v>
      </c>
      <c r="U134" s="35">
        <v>1</v>
      </c>
      <c r="V134" s="35"/>
      <c r="W134" s="35"/>
      <c r="X134" s="35">
        <v>580</v>
      </c>
      <c r="Y134" s="35">
        <v>650</v>
      </c>
      <c r="Z134" s="35">
        <v>780</v>
      </c>
      <c r="AA134" s="103">
        <v>4</v>
      </c>
      <c r="AB134" s="103">
        <v>8</v>
      </c>
      <c r="AC134" s="103">
        <v>12</v>
      </c>
      <c r="AD134" s="103">
        <v>20</v>
      </c>
      <c r="AE134" s="103">
        <v>30</v>
      </c>
      <c r="AF134" s="103">
        <v>40</v>
      </c>
      <c r="AG134" s="103">
        <v>97.5</v>
      </c>
      <c r="AH134" s="103">
        <v>98</v>
      </c>
      <c r="AI134" s="103">
        <v>98.1</v>
      </c>
      <c r="AJ134" s="103">
        <v>98.2</v>
      </c>
      <c r="AK134" s="103">
        <v>98.1</v>
      </c>
      <c r="AL134" s="103">
        <v>97.7</v>
      </c>
      <c r="AM134" s="103">
        <v>98.1</v>
      </c>
      <c r="AN134" s="103">
        <v>97.8</v>
      </c>
      <c r="AO134" s="103">
        <v>98.3</v>
      </c>
      <c r="AP134" s="103">
        <v>98.4</v>
      </c>
      <c r="AQ134" s="103">
        <v>98.6</v>
      </c>
      <c r="AR134" s="103">
        <v>98.5</v>
      </c>
      <c r="AS134" s="103">
        <v>98.3</v>
      </c>
      <c r="AT134" s="103">
        <v>98.5</v>
      </c>
      <c r="AU134" s="103">
        <v>97.6</v>
      </c>
      <c r="AV134" s="103">
        <v>98.1</v>
      </c>
      <c r="AW134" s="103">
        <v>98.2</v>
      </c>
      <c r="AX134" s="103">
        <v>98.4</v>
      </c>
      <c r="AY134" s="103">
        <v>98.3</v>
      </c>
      <c r="AZ134" s="103">
        <v>98</v>
      </c>
      <c r="BA134" s="103">
        <v>98.3</v>
      </c>
      <c r="BB134" s="40">
        <v>43146</v>
      </c>
      <c r="BC134" s="40">
        <v>43405</v>
      </c>
    </row>
    <row r="135" spans="1:55" s="120" customFormat="1" ht="45">
      <c r="A135" s="87" t="s">
        <v>228</v>
      </c>
      <c r="B135" s="74" t="s">
        <v>939</v>
      </c>
      <c r="C135" s="63" t="s">
        <v>10</v>
      </c>
      <c r="D135" s="63" t="s">
        <v>10</v>
      </c>
      <c r="E135" s="43" t="s">
        <v>10</v>
      </c>
      <c r="F135" s="63" t="s">
        <v>11</v>
      </c>
      <c r="G135" s="37" t="s">
        <v>622</v>
      </c>
      <c r="H135" s="35">
        <v>40.049999999999997</v>
      </c>
      <c r="I135" s="35">
        <v>480</v>
      </c>
      <c r="J135" s="35">
        <v>98.5</v>
      </c>
      <c r="K135" s="39" t="s">
        <v>1325</v>
      </c>
      <c r="L135" s="128" t="s">
        <v>616</v>
      </c>
      <c r="M135" s="39" t="s">
        <v>610</v>
      </c>
      <c r="N135" s="40">
        <v>43405</v>
      </c>
      <c r="O135" s="128" t="s">
        <v>616</v>
      </c>
      <c r="P135" s="63" t="s">
        <v>17</v>
      </c>
      <c r="Q135" s="63" t="s">
        <v>17</v>
      </c>
      <c r="R135" s="65" t="s">
        <v>623</v>
      </c>
      <c r="S135" s="34" t="s">
        <v>11</v>
      </c>
      <c r="T135" s="34" t="s">
        <v>11</v>
      </c>
      <c r="U135" s="35">
        <v>1</v>
      </c>
      <c r="V135" s="35"/>
      <c r="W135" s="35"/>
      <c r="X135" s="35">
        <v>580</v>
      </c>
      <c r="Y135" s="35">
        <v>650</v>
      </c>
      <c r="Z135" s="35">
        <v>780</v>
      </c>
      <c r="AA135" s="103">
        <v>4</v>
      </c>
      <c r="AB135" s="103">
        <v>8</v>
      </c>
      <c r="AC135" s="103">
        <v>12</v>
      </c>
      <c r="AD135" s="103">
        <v>20</v>
      </c>
      <c r="AE135" s="103">
        <v>30</v>
      </c>
      <c r="AF135" s="103">
        <v>40</v>
      </c>
      <c r="AG135" s="103">
        <v>97.5</v>
      </c>
      <c r="AH135" s="103">
        <v>98</v>
      </c>
      <c r="AI135" s="103">
        <v>98.1</v>
      </c>
      <c r="AJ135" s="103">
        <v>98.2</v>
      </c>
      <c r="AK135" s="103">
        <v>98.1</v>
      </c>
      <c r="AL135" s="103">
        <v>98</v>
      </c>
      <c r="AM135" s="103">
        <v>98.1</v>
      </c>
      <c r="AN135" s="103">
        <v>97.9</v>
      </c>
      <c r="AO135" s="103">
        <v>98.3</v>
      </c>
      <c r="AP135" s="103">
        <v>98.4</v>
      </c>
      <c r="AQ135" s="103">
        <v>98.7</v>
      </c>
      <c r="AR135" s="103">
        <v>98.6</v>
      </c>
      <c r="AS135" s="103">
        <v>98.3</v>
      </c>
      <c r="AT135" s="103">
        <v>98.5</v>
      </c>
      <c r="AU135" s="103">
        <v>97.6</v>
      </c>
      <c r="AV135" s="103">
        <v>98.2</v>
      </c>
      <c r="AW135" s="103">
        <v>98.2</v>
      </c>
      <c r="AX135" s="103">
        <v>98.4</v>
      </c>
      <c r="AY135" s="103">
        <v>98.3</v>
      </c>
      <c r="AZ135" s="103">
        <v>98.2</v>
      </c>
      <c r="BA135" s="103">
        <v>98.3</v>
      </c>
      <c r="BB135" s="40">
        <v>43146</v>
      </c>
      <c r="BC135" s="40">
        <v>43405</v>
      </c>
    </row>
    <row r="136" spans="1:55" s="120" customFormat="1" ht="46.9" customHeight="1">
      <c r="A136" s="74" t="s">
        <v>228</v>
      </c>
      <c r="B136" s="67" t="s">
        <v>396</v>
      </c>
      <c r="C136" s="69" t="s">
        <v>10</v>
      </c>
      <c r="D136" s="69" t="s">
        <v>10</v>
      </c>
      <c r="E136" s="63" t="s">
        <v>11</v>
      </c>
      <c r="F136" s="63" t="s">
        <v>11</v>
      </c>
      <c r="G136" s="74" t="s">
        <v>225</v>
      </c>
      <c r="H136" s="54">
        <v>50</v>
      </c>
      <c r="I136" s="25">
        <v>480</v>
      </c>
      <c r="J136" s="26">
        <v>98.5</v>
      </c>
      <c r="K136" s="39" t="s">
        <v>1324</v>
      </c>
      <c r="L136" s="129" t="s">
        <v>476</v>
      </c>
      <c r="M136" s="33" t="s">
        <v>477</v>
      </c>
      <c r="N136" s="40">
        <v>43388</v>
      </c>
      <c r="O136" s="63" t="s">
        <v>17</v>
      </c>
      <c r="P136" s="63" t="s">
        <v>17</v>
      </c>
      <c r="Q136" s="63" t="s">
        <v>17</v>
      </c>
      <c r="R136" s="60" t="s">
        <v>229</v>
      </c>
      <c r="S136" s="32" t="s">
        <v>11</v>
      </c>
      <c r="T136" s="32" t="s">
        <v>11</v>
      </c>
      <c r="U136" s="25">
        <v>0.88</v>
      </c>
      <c r="V136" s="25"/>
      <c r="W136" s="25"/>
      <c r="X136" s="25">
        <v>480</v>
      </c>
      <c r="Y136" s="25">
        <v>730</v>
      </c>
      <c r="Z136" s="25">
        <v>850</v>
      </c>
      <c r="AA136" s="95">
        <v>5</v>
      </c>
      <c r="AB136" s="95">
        <v>10</v>
      </c>
      <c r="AC136" s="95">
        <v>15</v>
      </c>
      <c r="AD136" s="95">
        <v>25</v>
      </c>
      <c r="AE136" s="95">
        <v>37.5</v>
      </c>
      <c r="AF136" s="95">
        <v>50</v>
      </c>
      <c r="AG136" s="95">
        <v>95.608866666666671</v>
      </c>
      <c r="AH136" s="95">
        <v>96.843033333333338</v>
      </c>
      <c r="AI136" s="95">
        <v>97.481599999999986</v>
      </c>
      <c r="AJ136" s="95">
        <v>97.854866666666666</v>
      </c>
      <c r="AK136" s="95">
        <v>97.832722222222202</v>
      </c>
      <c r="AL136" s="95">
        <v>97.690433333333345</v>
      </c>
      <c r="AM136" s="95">
        <v>97.649684777777765</v>
      </c>
      <c r="AN136" s="95">
        <v>98.018411111111092</v>
      </c>
      <c r="AO136" s="95">
        <v>98.627466666666663</v>
      </c>
      <c r="AP136" s="95">
        <v>98.774899999999988</v>
      </c>
      <c r="AQ136" s="95">
        <v>98.802266666666668</v>
      </c>
      <c r="AR136" s="95">
        <v>98.719577777777744</v>
      </c>
      <c r="AS136" s="95">
        <v>98.610844444444439</v>
      </c>
      <c r="AT136" s="95">
        <v>98.705492222222205</v>
      </c>
      <c r="AU136" s="95">
        <v>97.733900000000006</v>
      </c>
      <c r="AV136" s="95">
        <v>98.458566666666655</v>
      </c>
      <c r="AW136" s="95">
        <v>98.622255555555569</v>
      </c>
      <c r="AX136" s="95">
        <v>98.659377777777792</v>
      </c>
      <c r="AY136" s="95">
        <v>98.586888888888865</v>
      </c>
      <c r="AZ136" s="95">
        <v>98.469777777777765</v>
      </c>
      <c r="BA136" s="95">
        <v>98.559964333333326</v>
      </c>
      <c r="BB136" s="40">
        <v>43009</v>
      </c>
      <c r="BC136" s="40">
        <v>43405</v>
      </c>
    </row>
    <row r="137" spans="1:55" s="120" customFormat="1" ht="46.9" customHeight="1">
      <c r="A137" s="74" t="s">
        <v>228</v>
      </c>
      <c r="B137" s="67" t="s">
        <v>397</v>
      </c>
      <c r="C137" s="69" t="s">
        <v>10</v>
      </c>
      <c r="D137" s="69" t="s">
        <v>10</v>
      </c>
      <c r="E137" s="63" t="s">
        <v>11</v>
      </c>
      <c r="F137" s="63" t="s">
        <v>11</v>
      </c>
      <c r="G137" s="74" t="s">
        <v>226</v>
      </c>
      <c r="H137" s="54">
        <v>60</v>
      </c>
      <c r="I137" s="25">
        <v>480</v>
      </c>
      <c r="J137" s="26">
        <v>98.5</v>
      </c>
      <c r="K137" s="39" t="s">
        <v>1324</v>
      </c>
      <c r="L137" s="129" t="s">
        <v>476</v>
      </c>
      <c r="M137" s="33" t="s">
        <v>477</v>
      </c>
      <c r="N137" s="40">
        <v>43388</v>
      </c>
      <c r="O137" s="63" t="s">
        <v>17</v>
      </c>
      <c r="P137" s="63" t="s">
        <v>17</v>
      </c>
      <c r="Q137" s="63" t="s">
        <v>17</v>
      </c>
      <c r="R137" s="60" t="s">
        <v>230</v>
      </c>
      <c r="S137" s="32" t="s">
        <v>11</v>
      </c>
      <c r="T137" s="32" t="s">
        <v>11</v>
      </c>
      <c r="U137" s="25">
        <v>0.88</v>
      </c>
      <c r="V137" s="25"/>
      <c r="W137" s="25"/>
      <c r="X137" s="25">
        <v>540</v>
      </c>
      <c r="Y137" s="25">
        <v>730</v>
      </c>
      <c r="Z137" s="25">
        <v>850</v>
      </c>
      <c r="AA137" s="95">
        <v>6</v>
      </c>
      <c r="AB137" s="95">
        <v>12</v>
      </c>
      <c r="AC137" s="95">
        <v>18</v>
      </c>
      <c r="AD137" s="95">
        <v>30</v>
      </c>
      <c r="AE137" s="95">
        <v>45</v>
      </c>
      <c r="AF137" s="95">
        <v>60</v>
      </c>
      <c r="AG137" s="95">
        <v>96.510377777777791</v>
      </c>
      <c r="AH137" s="95">
        <v>97.476077777777775</v>
      </c>
      <c r="AI137" s="95">
        <v>97.885233333333332</v>
      </c>
      <c r="AJ137" s="95">
        <v>98.052477777777781</v>
      </c>
      <c r="AK137" s="95">
        <v>97.943411111111089</v>
      </c>
      <c r="AL137" s="95">
        <v>97.727133333333313</v>
      </c>
      <c r="AM137" s="95">
        <v>97.867831888888873</v>
      </c>
      <c r="AN137" s="95">
        <v>98.222722222222217</v>
      </c>
      <c r="AO137" s="95">
        <v>98.711588888888883</v>
      </c>
      <c r="AP137" s="95">
        <v>98.791055555555559</v>
      </c>
      <c r="AQ137" s="95">
        <v>98.779022222222224</v>
      </c>
      <c r="AR137" s="95">
        <v>98.654766666666688</v>
      </c>
      <c r="AS137" s="95">
        <v>98.498144444444435</v>
      </c>
      <c r="AT137" s="95">
        <v>98.674943222222225</v>
      </c>
      <c r="AU137" s="95">
        <v>98.000833333333347</v>
      </c>
      <c r="AV137" s="95">
        <v>98.550600000000003</v>
      </c>
      <c r="AW137" s="95">
        <v>98.663277777777779</v>
      </c>
      <c r="AX137" s="95">
        <v>98.658800000000014</v>
      </c>
      <c r="AY137" s="95">
        <v>98.522800000000018</v>
      </c>
      <c r="AZ137" s="95">
        <v>98.354055555555547</v>
      </c>
      <c r="BA137" s="95">
        <v>98.540291444444463</v>
      </c>
      <c r="BB137" s="40">
        <v>43009</v>
      </c>
      <c r="BC137" s="40">
        <v>43405</v>
      </c>
    </row>
    <row r="138" spans="1:55" s="120" customFormat="1" ht="46.9" customHeight="1">
      <c r="A138" s="76" t="s">
        <v>567</v>
      </c>
      <c r="B138" s="76" t="s">
        <v>940</v>
      </c>
      <c r="C138" s="79" t="s">
        <v>10</v>
      </c>
      <c r="D138" s="63" t="s">
        <v>10</v>
      </c>
      <c r="E138" s="43" t="s">
        <v>10</v>
      </c>
      <c r="F138" s="63" t="s">
        <v>11</v>
      </c>
      <c r="G138" s="76" t="s">
        <v>555</v>
      </c>
      <c r="H138" s="90">
        <v>50.082999999999998</v>
      </c>
      <c r="I138" s="77">
        <v>480</v>
      </c>
      <c r="J138" s="78">
        <v>98.5</v>
      </c>
      <c r="K138" s="39" t="s">
        <v>1325</v>
      </c>
      <c r="L138" s="131" t="s">
        <v>569</v>
      </c>
      <c r="M138" s="79" t="s">
        <v>553</v>
      </c>
      <c r="N138" s="40">
        <v>43405</v>
      </c>
      <c r="O138" s="131" t="s">
        <v>569</v>
      </c>
      <c r="P138" s="63" t="s">
        <v>17</v>
      </c>
      <c r="Q138" s="63" t="s">
        <v>17</v>
      </c>
      <c r="R138" s="81" t="s">
        <v>578</v>
      </c>
      <c r="S138" s="80" t="s">
        <v>11</v>
      </c>
      <c r="T138" s="80" t="s">
        <v>11</v>
      </c>
      <c r="U138" s="82">
        <v>1</v>
      </c>
      <c r="V138" s="83"/>
      <c r="W138" s="83"/>
      <c r="X138" s="83">
        <v>580</v>
      </c>
      <c r="Y138" s="83">
        <v>650</v>
      </c>
      <c r="Z138" s="83">
        <v>720</v>
      </c>
      <c r="AA138" s="100">
        <v>5</v>
      </c>
      <c r="AB138" s="100">
        <v>10</v>
      </c>
      <c r="AC138" s="100">
        <v>15</v>
      </c>
      <c r="AD138" s="100">
        <v>25</v>
      </c>
      <c r="AE138" s="100">
        <v>37.5</v>
      </c>
      <c r="AF138" s="100">
        <v>50</v>
      </c>
      <c r="AG138" s="100">
        <v>97.7</v>
      </c>
      <c r="AH138" s="100">
        <v>98.4</v>
      </c>
      <c r="AI138" s="100">
        <v>98.5</v>
      </c>
      <c r="AJ138" s="100">
        <v>98.6</v>
      </c>
      <c r="AK138" s="100">
        <v>98.5</v>
      </c>
      <c r="AL138" s="100">
        <v>98.4</v>
      </c>
      <c r="AM138" s="100">
        <v>98.4</v>
      </c>
      <c r="AN138" s="100">
        <v>97.8</v>
      </c>
      <c r="AO138" s="100">
        <v>98.5</v>
      </c>
      <c r="AP138" s="100">
        <v>98.6</v>
      </c>
      <c r="AQ138" s="100">
        <v>98.7</v>
      </c>
      <c r="AR138" s="100">
        <v>98.5</v>
      </c>
      <c r="AS138" s="100">
        <v>98.4</v>
      </c>
      <c r="AT138" s="100">
        <v>98.5</v>
      </c>
      <c r="AU138" s="100">
        <v>97.9</v>
      </c>
      <c r="AV138" s="100">
        <v>98.6</v>
      </c>
      <c r="AW138" s="100">
        <v>98.7</v>
      </c>
      <c r="AX138" s="100">
        <v>98.8</v>
      </c>
      <c r="AY138" s="100">
        <v>98.6</v>
      </c>
      <c r="AZ138" s="100">
        <v>98.5</v>
      </c>
      <c r="BA138" s="100">
        <v>98.6</v>
      </c>
      <c r="BB138" s="40">
        <v>43132</v>
      </c>
      <c r="BC138" s="40">
        <v>43405</v>
      </c>
    </row>
    <row r="139" spans="1:55" s="120" customFormat="1" ht="46.9" customHeight="1">
      <c r="A139" s="76" t="s">
        <v>567</v>
      </c>
      <c r="B139" s="76" t="s">
        <v>944</v>
      </c>
      <c r="C139" s="79" t="s">
        <v>10</v>
      </c>
      <c r="D139" s="63" t="s">
        <v>10</v>
      </c>
      <c r="E139" s="43" t="s">
        <v>10</v>
      </c>
      <c r="F139" s="63" t="s">
        <v>11</v>
      </c>
      <c r="G139" s="76" t="s">
        <v>571</v>
      </c>
      <c r="H139" s="90">
        <v>50.082999999999998</v>
      </c>
      <c r="I139" s="77">
        <v>480</v>
      </c>
      <c r="J139" s="78">
        <v>98.5</v>
      </c>
      <c r="K139" s="39" t="s">
        <v>1325</v>
      </c>
      <c r="L139" s="131" t="s">
        <v>569</v>
      </c>
      <c r="M139" s="79" t="s">
        <v>553</v>
      </c>
      <c r="N139" s="40">
        <v>43405</v>
      </c>
      <c r="O139" s="131" t="s">
        <v>569</v>
      </c>
      <c r="P139" s="63" t="s">
        <v>17</v>
      </c>
      <c r="Q139" s="63" t="s">
        <v>17</v>
      </c>
      <c r="R139" s="81" t="s">
        <v>572</v>
      </c>
      <c r="S139" s="80" t="s">
        <v>11</v>
      </c>
      <c r="T139" s="80" t="s">
        <v>11</v>
      </c>
      <c r="U139" s="82">
        <v>1</v>
      </c>
      <c r="V139" s="83"/>
      <c r="W139" s="83"/>
      <c r="X139" s="83">
        <v>580</v>
      </c>
      <c r="Y139" s="83">
        <v>650</v>
      </c>
      <c r="Z139" s="83">
        <v>720</v>
      </c>
      <c r="AA139" s="100">
        <v>5</v>
      </c>
      <c r="AB139" s="100">
        <v>10</v>
      </c>
      <c r="AC139" s="100">
        <v>15</v>
      </c>
      <c r="AD139" s="100">
        <v>25</v>
      </c>
      <c r="AE139" s="100">
        <v>37.5</v>
      </c>
      <c r="AF139" s="100">
        <v>50</v>
      </c>
      <c r="AG139" s="100">
        <v>97.73621</v>
      </c>
      <c r="AH139" s="100">
        <v>98.444220000000001</v>
      </c>
      <c r="AI139" s="100">
        <v>98.455920000000006</v>
      </c>
      <c r="AJ139" s="100">
        <v>98.582179999999994</v>
      </c>
      <c r="AK139" s="100">
        <v>98.449969999999993</v>
      </c>
      <c r="AL139" s="100">
        <v>98.347470000000001</v>
      </c>
      <c r="AM139" s="100">
        <v>98.444490000000002</v>
      </c>
      <c r="AN139" s="100">
        <v>97.798339999999996</v>
      </c>
      <c r="AO139" s="100">
        <v>98.53134</v>
      </c>
      <c r="AP139" s="100">
        <v>98.552109999999999</v>
      </c>
      <c r="AQ139" s="100">
        <v>98.700419999999994</v>
      </c>
      <c r="AR139" s="100">
        <v>98.512280000000004</v>
      </c>
      <c r="AS139" s="100">
        <v>98.395949999999999</v>
      </c>
      <c r="AT139" s="100">
        <v>98.523150000000001</v>
      </c>
      <c r="AU139" s="100">
        <v>97.876750000000001</v>
      </c>
      <c r="AV139" s="100">
        <v>98.578149999999994</v>
      </c>
      <c r="AW139" s="100">
        <v>98.650589999999994</v>
      </c>
      <c r="AX139" s="100">
        <v>98.759609999999995</v>
      </c>
      <c r="AY139" s="100">
        <v>98.567750000000004</v>
      </c>
      <c r="AZ139" s="100">
        <v>98.464439999999996</v>
      </c>
      <c r="BA139" s="100">
        <v>98.585700000000003</v>
      </c>
      <c r="BB139" s="40">
        <v>43132</v>
      </c>
      <c r="BC139" s="40">
        <v>43405</v>
      </c>
    </row>
    <row r="140" spans="1:55" s="120" customFormat="1" ht="46.9" customHeight="1">
      <c r="A140" s="76" t="s">
        <v>567</v>
      </c>
      <c r="B140" s="76" t="s">
        <v>945</v>
      </c>
      <c r="C140" s="79" t="s">
        <v>10</v>
      </c>
      <c r="D140" s="63" t="s">
        <v>10</v>
      </c>
      <c r="E140" s="43" t="s">
        <v>10</v>
      </c>
      <c r="F140" s="63" t="s">
        <v>11</v>
      </c>
      <c r="G140" s="76" t="s">
        <v>568</v>
      </c>
      <c r="H140" s="90">
        <v>50.082999999999998</v>
      </c>
      <c r="I140" s="77">
        <v>480</v>
      </c>
      <c r="J140" s="78">
        <v>98.5</v>
      </c>
      <c r="K140" s="39" t="s">
        <v>1325</v>
      </c>
      <c r="L140" s="131" t="s">
        <v>569</v>
      </c>
      <c r="M140" s="79" t="s">
        <v>553</v>
      </c>
      <c r="N140" s="40">
        <v>43405</v>
      </c>
      <c r="O140" s="131" t="s">
        <v>569</v>
      </c>
      <c r="P140" s="63" t="s">
        <v>17</v>
      </c>
      <c r="Q140" s="63" t="s">
        <v>17</v>
      </c>
      <c r="R140" s="81" t="s">
        <v>570</v>
      </c>
      <c r="S140" s="80" t="s">
        <v>11</v>
      </c>
      <c r="T140" s="80" t="s">
        <v>11</v>
      </c>
      <c r="U140" s="82">
        <v>1</v>
      </c>
      <c r="V140" s="83"/>
      <c r="W140" s="83"/>
      <c r="X140" s="83">
        <v>580</v>
      </c>
      <c r="Y140" s="83">
        <v>650</v>
      </c>
      <c r="Z140" s="83">
        <v>720</v>
      </c>
      <c r="AA140" s="100">
        <v>5</v>
      </c>
      <c r="AB140" s="100">
        <v>10</v>
      </c>
      <c r="AC140" s="100">
        <v>15</v>
      </c>
      <c r="AD140" s="100">
        <v>25</v>
      </c>
      <c r="AE140" s="100">
        <v>37.5</v>
      </c>
      <c r="AF140" s="100">
        <v>50</v>
      </c>
      <c r="AG140" s="100">
        <v>97.516660000000002</v>
      </c>
      <c r="AH140" s="100">
        <v>98.527910000000006</v>
      </c>
      <c r="AI140" s="100">
        <v>98.440969999999993</v>
      </c>
      <c r="AJ140" s="100">
        <v>98.556190000000001</v>
      </c>
      <c r="AK140" s="100">
        <v>98.322069999999997</v>
      </c>
      <c r="AL140" s="100">
        <v>98.44641</v>
      </c>
      <c r="AM140" s="100">
        <v>98.369799999999998</v>
      </c>
      <c r="AN140" s="100">
        <v>97.746949999999998</v>
      </c>
      <c r="AO140" s="100">
        <v>98.550470000000004</v>
      </c>
      <c r="AP140" s="100">
        <v>98.522189999999995</v>
      </c>
      <c r="AQ140" s="100">
        <v>98.653930000000003</v>
      </c>
      <c r="AR140" s="100">
        <v>98.433809999999994</v>
      </c>
      <c r="AS140" s="100">
        <v>98.488839999999996</v>
      </c>
      <c r="AT140" s="100">
        <v>98.47175</v>
      </c>
      <c r="AU140" s="100">
        <v>97.980519999999999</v>
      </c>
      <c r="AV140" s="100">
        <v>98.699969999999993</v>
      </c>
      <c r="AW140" s="100">
        <v>98.804749999999999</v>
      </c>
      <c r="AX140" s="100">
        <v>98.791889999999995</v>
      </c>
      <c r="AY140" s="100">
        <v>98.567930000000004</v>
      </c>
      <c r="AZ140" s="100">
        <v>98.500640000000004</v>
      </c>
      <c r="BA140" s="100">
        <v>98.62312</v>
      </c>
      <c r="BB140" s="40">
        <v>43132</v>
      </c>
      <c r="BC140" s="40">
        <v>43405</v>
      </c>
    </row>
    <row r="141" spans="1:55" s="120" customFormat="1" ht="46.9" customHeight="1">
      <c r="A141" s="76" t="s">
        <v>567</v>
      </c>
      <c r="B141" s="76" t="s">
        <v>941</v>
      </c>
      <c r="C141" s="79" t="s">
        <v>10</v>
      </c>
      <c r="D141" s="63" t="s">
        <v>10</v>
      </c>
      <c r="E141" s="43" t="s">
        <v>10</v>
      </c>
      <c r="F141" s="63" t="s">
        <v>11</v>
      </c>
      <c r="G141" s="76" t="s">
        <v>551</v>
      </c>
      <c r="H141" s="90">
        <v>50.084000000000003</v>
      </c>
      <c r="I141" s="77">
        <v>480</v>
      </c>
      <c r="J141" s="78">
        <v>98.5</v>
      </c>
      <c r="K141" s="39" t="s">
        <v>1325</v>
      </c>
      <c r="L141" s="131" t="s">
        <v>569</v>
      </c>
      <c r="M141" s="79" t="s">
        <v>553</v>
      </c>
      <c r="N141" s="40">
        <v>43405</v>
      </c>
      <c r="O141" s="131" t="s">
        <v>569</v>
      </c>
      <c r="P141" s="63" t="s">
        <v>17</v>
      </c>
      <c r="Q141" s="63" t="s">
        <v>17</v>
      </c>
      <c r="R141" s="81" t="s">
        <v>577</v>
      </c>
      <c r="S141" s="80" t="s">
        <v>11</v>
      </c>
      <c r="T141" s="80" t="s">
        <v>11</v>
      </c>
      <c r="U141" s="82">
        <v>1</v>
      </c>
      <c r="V141" s="83"/>
      <c r="W141" s="83"/>
      <c r="X141" s="83">
        <v>580</v>
      </c>
      <c r="Y141" s="83">
        <v>650</v>
      </c>
      <c r="Z141" s="83">
        <v>720</v>
      </c>
      <c r="AA141" s="100">
        <v>5</v>
      </c>
      <c r="AB141" s="100">
        <v>10</v>
      </c>
      <c r="AC141" s="100">
        <v>15</v>
      </c>
      <c r="AD141" s="100">
        <v>25</v>
      </c>
      <c r="AE141" s="100">
        <v>37.5</v>
      </c>
      <c r="AF141" s="100">
        <v>50</v>
      </c>
      <c r="AG141" s="100">
        <v>97.5</v>
      </c>
      <c r="AH141" s="100">
        <v>98.5</v>
      </c>
      <c r="AI141" s="100">
        <v>98.4</v>
      </c>
      <c r="AJ141" s="100">
        <v>98.6</v>
      </c>
      <c r="AK141" s="100">
        <v>98.3</v>
      </c>
      <c r="AL141" s="100">
        <v>98.5</v>
      </c>
      <c r="AM141" s="100">
        <v>98.4</v>
      </c>
      <c r="AN141" s="100">
        <v>97.8</v>
      </c>
      <c r="AO141" s="100">
        <v>98.6</v>
      </c>
      <c r="AP141" s="100">
        <v>98.5</v>
      </c>
      <c r="AQ141" s="100">
        <v>98.7</v>
      </c>
      <c r="AR141" s="100">
        <v>98.4</v>
      </c>
      <c r="AS141" s="100">
        <v>98.5</v>
      </c>
      <c r="AT141" s="100">
        <v>98.5</v>
      </c>
      <c r="AU141" s="100">
        <v>98</v>
      </c>
      <c r="AV141" s="100">
        <v>98.7</v>
      </c>
      <c r="AW141" s="100">
        <v>98.8</v>
      </c>
      <c r="AX141" s="100">
        <v>98.8</v>
      </c>
      <c r="AY141" s="100">
        <v>98.6</v>
      </c>
      <c r="AZ141" s="100">
        <v>98.5</v>
      </c>
      <c r="BA141" s="100">
        <v>98.6</v>
      </c>
      <c r="BB141" s="40">
        <v>43132</v>
      </c>
      <c r="BC141" s="40">
        <v>43405</v>
      </c>
    </row>
    <row r="142" spans="1:55" s="120" customFormat="1" ht="46.9" customHeight="1">
      <c r="A142" s="76" t="s">
        <v>567</v>
      </c>
      <c r="B142" s="76" t="s">
        <v>942</v>
      </c>
      <c r="C142" s="79" t="s">
        <v>10</v>
      </c>
      <c r="D142" s="63" t="s">
        <v>10</v>
      </c>
      <c r="E142" s="43" t="s">
        <v>10</v>
      </c>
      <c r="F142" s="63" t="s">
        <v>11</v>
      </c>
      <c r="G142" s="76" t="s">
        <v>557</v>
      </c>
      <c r="H142" s="90">
        <v>60.085999999999999</v>
      </c>
      <c r="I142" s="77">
        <v>480</v>
      </c>
      <c r="J142" s="78">
        <v>98.5</v>
      </c>
      <c r="K142" s="39" t="s">
        <v>1325</v>
      </c>
      <c r="L142" s="131" t="s">
        <v>569</v>
      </c>
      <c r="M142" s="79" t="s">
        <v>553</v>
      </c>
      <c r="N142" s="40">
        <v>43405</v>
      </c>
      <c r="O142" s="131" t="s">
        <v>569</v>
      </c>
      <c r="P142" s="63" t="s">
        <v>17</v>
      </c>
      <c r="Q142" s="63" t="s">
        <v>17</v>
      </c>
      <c r="R142" s="81" t="s">
        <v>579</v>
      </c>
      <c r="S142" s="80" t="s">
        <v>11</v>
      </c>
      <c r="T142" s="80" t="s">
        <v>11</v>
      </c>
      <c r="U142" s="82">
        <v>1</v>
      </c>
      <c r="V142" s="83"/>
      <c r="W142" s="83"/>
      <c r="X142" s="83">
        <v>580</v>
      </c>
      <c r="Y142" s="83">
        <v>650</v>
      </c>
      <c r="Z142" s="83">
        <v>720</v>
      </c>
      <c r="AA142" s="100">
        <v>6</v>
      </c>
      <c r="AB142" s="100">
        <v>12</v>
      </c>
      <c r="AC142" s="100">
        <v>18</v>
      </c>
      <c r="AD142" s="100">
        <v>30</v>
      </c>
      <c r="AE142" s="100">
        <v>45</v>
      </c>
      <c r="AF142" s="100">
        <v>60</v>
      </c>
      <c r="AG142" s="100">
        <v>97.7</v>
      </c>
      <c r="AH142" s="100">
        <v>98.3</v>
      </c>
      <c r="AI142" s="100">
        <v>98.4</v>
      </c>
      <c r="AJ142" s="100">
        <v>98.6</v>
      </c>
      <c r="AK142" s="100">
        <v>98.4</v>
      </c>
      <c r="AL142" s="100">
        <v>98.2</v>
      </c>
      <c r="AM142" s="100">
        <v>98.4</v>
      </c>
      <c r="AN142" s="100">
        <v>97.8</v>
      </c>
      <c r="AO142" s="100">
        <v>98.5</v>
      </c>
      <c r="AP142" s="100">
        <v>98.5</v>
      </c>
      <c r="AQ142" s="100">
        <v>98.6</v>
      </c>
      <c r="AR142" s="100">
        <v>98.5</v>
      </c>
      <c r="AS142" s="100">
        <v>98.3</v>
      </c>
      <c r="AT142" s="100">
        <v>98.5</v>
      </c>
      <c r="AU142" s="100">
        <v>97.9</v>
      </c>
      <c r="AV142" s="100">
        <v>98.5</v>
      </c>
      <c r="AW142" s="100">
        <v>98.6</v>
      </c>
      <c r="AX142" s="100">
        <v>98.7</v>
      </c>
      <c r="AY142" s="100">
        <v>98.6</v>
      </c>
      <c r="AZ142" s="100">
        <v>98.5</v>
      </c>
      <c r="BA142" s="100">
        <v>98.6</v>
      </c>
      <c r="BB142" s="40">
        <v>43132</v>
      </c>
      <c r="BC142" s="40">
        <v>43405</v>
      </c>
    </row>
    <row r="143" spans="1:55" s="120" customFormat="1" ht="46.9" customHeight="1">
      <c r="A143" s="76" t="s">
        <v>567</v>
      </c>
      <c r="B143" s="76" t="s">
        <v>946</v>
      </c>
      <c r="C143" s="79" t="s">
        <v>10</v>
      </c>
      <c r="D143" s="63" t="s">
        <v>10</v>
      </c>
      <c r="E143" s="43" t="s">
        <v>10</v>
      </c>
      <c r="F143" s="63" t="s">
        <v>11</v>
      </c>
      <c r="G143" s="76" t="s">
        <v>573</v>
      </c>
      <c r="H143" s="90">
        <v>60.085999999999999</v>
      </c>
      <c r="I143" s="77">
        <v>480</v>
      </c>
      <c r="J143" s="78">
        <v>98.5</v>
      </c>
      <c r="K143" s="39" t="s">
        <v>1325</v>
      </c>
      <c r="L143" s="131" t="s">
        <v>569</v>
      </c>
      <c r="M143" s="79" t="s">
        <v>553</v>
      </c>
      <c r="N143" s="40">
        <v>43405</v>
      </c>
      <c r="O143" s="131" t="s">
        <v>569</v>
      </c>
      <c r="P143" s="63" t="s">
        <v>17</v>
      </c>
      <c r="Q143" s="63" t="s">
        <v>17</v>
      </c>
      <c r="R143" s="81" t="s">
        <v>574</v>
      </c>
      <c r="S143" s="80" t="s">
        <v>11</v>
      </c>
      <c r="T143" s="80" t="s">
        <v>11</v>
      </c>
      <c r="U143" s="82">
        <v>1</v>
      </c>
      <c r="V143" s="83"/>
      <c r="W143" s="83"/>
      <c r="X143" s="83">
        <v>580</v>
      </c>
      <c r="Y143" s="83">
        <v>650</v>
      </c>
      <c r="Z143" s="83">
        <v>720</v>
      </c>
      <c r="AA143" s="100">
        <v>6</v>
      </c>
      <c r="AB143" s="100">
        <v>12</v>
      </c>
      <c r="AC143" s="100">
        <v>18</v>
      </c>
      <c r="AD143" s="100">
        <v>30</v>
      </c>
      <c r="AE143" s="100">
        <v>45</v>
      </c>
      <c r="AF143" s="100">
        <v>60</v>
      </c>
      <c r="AG143" s="100">
        <v>97.725110000000001</v>
      </c>
      <c r="AH143" s="100">
        <v>98.310810000000004</v>
      </c>
      <c r="AI143" s="100">
        <v>98.418899999999994</v>
      </c>
      <c r="AJ143" s="100">
        <v>98.550129999999996</v>
      </c>
      <c r="AK143" s="100">
        <v>98.371089999999995</v>
      </c>
      <c r="AL143" s="100">
        <v>98.223780000000005</v>
      </c>
      <c r="AM143" s="100">
        <v>98.378209999999996</v>
      </c>
      <c r="AN143" s="100">
        <v>97.822659999999999</v>
      </c>
      <c r="AO143" s="100">
        <v>98.449550000000002</v>
      </c>
      <c r="AP143" s="100">
        <v>98.540400000000005</v>
      </c>
      <c r="AQ143" s="100">
        <v>98.626189999999994</v>
      </c>
      <c r="AR143" s="100">
        <v>98.49897</v>
      </c>
      <c r="AS143" s="100">
        <v>98.329369999999997</v>
      </c>
      <c r="AT143" s="100">
        <v>98.492649999999998</v>
      </c>
      <c r="AU143" s="100">
        <v>97.862219999999994</v>
      </c>
      <c r="AV143" s="100">
        <v>98.525220000000004</v>
      </c>
      <c r="AW143" s="100">
        <v>98.586510000000004</v>
      </c>
      <c r="AX143" s="100">
        <v>98.699969999999993</v>
      </c>
      <c r="AY143" s="100">
        <v>98.55256</v>
      </c>
      <c r="AZ143" s="100">
        <v>98.449910000000003</v>
      </c>
      <c r="BA143" s="100">
        <v>98.553479999999993</v>
      </c>
      <c r="BB143" s="40">
        <v>43132</v>
      </c>
      <c r="BC143" s="40">
        <v>43405</v>
      </c>
    </row>
    <row r="144" spans="1:55" s="120" customFormat="1" ht="46.9" customHeight="1">
      <c r="A144" s="76" t="s">
        <v>567</v>
      </c>
      <c r="B144" s="76" t="s">
        <v>943</v>
      </c>
      <c r="C144" s="79" t="s">
        <v>10</v>
      </c>
      <c r="D144" s="63" t="s">
        <v>10</v>
      </c>
      <c r="E144" s="43" t="s">
        <v>10</v>
      </c>
      <c r="F144" s="63" t="s">
        <v>11</v>
      </c>
      <c r="G144" s="76" t="s">
        <v>565</v>
      </c>
      <c r="H144" s="90">
        <v>66.069999999999993</v>
      </c>
      <c r="I144" s="77">
        <v>480</v>
      </c>
      <c r="J144" s="78">
        <v>98.5</v>
      </c>
      <c r="K144" s="39" t="s">
        <v>1325</v>
      </c>
      <c r="L144" s="131" t="s">
        <v>569</v>
      </c>
      <c r="M144" s="79" t="s">
        <v>553</v>
      </c>
      <c r="N144" s="40">
        <v>43405</v>
      </c>
      <c r="O144" s="131" t="s">
        <v>569</v>
      </c>
      <c r="P144" s="63" t="s">
        <v>17</v>
      </c>
      <c r="Q144" s="63" t="s">
        <v>17</v>
      </c>
      <c r="R144" s="81" t="s">
        <v>580</v>
      </c>
      <c r="S144" s="80" t="s">
        <v>11</v>
      </c>
      <c r="T144" s="80" t="s">
        <v>11</v>
      </c>
      <c r="U144" s="82">
        <v>1</v>
      </c>
      <c r="V144" s="83"/>
      <c r="W144" s="83"/>
      <c r="X144" s="83">
        <v>580</v>
      </c>
      <c r="Y144" s="83">
        <v>650</v>
      </c>
      <c r="Z144" s="83">
        <v>720</v>
      </c>
      <c r="AA144" s="100">
        <v>6.6</v>
      </c>
      <c r="AB144" s="100">
        <v>13.2</v>
      </c>
      <c r="AC144" s="100">
        <v>19.8</v>
      </c>
      <c r="AD144" s="100">
        <v>33</v>
      </c>
      <c r="AE144" s="100">
        <v>49.5</v>
      </c>
      <c r="AF144" s="100">
        <v>66</v>
      </c>
      <c r="AG144" s="100">
        <v>97.6</v>
      </c>
      <c r="AH144" s="100">
        <v>98.4</v>
      </c>
      <c r="AI144" s="100">
        <v>98.5</v>
      </c>
      <c r="AJ144" s="100">
        <v>98.6</v>
      </c>
      <c r="AK144" s="100">
        <v>98.4</v>
      </c>
      <c r="AL144" s="100">
        <v>98.3</v>
      </c>
      <c r="AM144" s="100">
        <v>98.4</v>
      </c>
      <c r="AN144" s="100">
        <v>97.7</v>
      </c>
      <c r="AO144" s="100">
        <v>98.5</v>
      </c>
      <c r="AP144" s="100">
        <v>98.6</v>
      </c>
      <c r="AQ144" s="100">
        <v>98.7</v>
      </c>
      <c r="AR144" s="100">
        <v>98.5</v>
      </c>
      <c r="AS144" s="100">
        <v>98.4</v>
      </c>
      <c r="AT144" s="100">
        <v>98.5</v>
      </c>
      <c r="AU144" s="100">
        <v>97.8</v>
      </c>
      <c r="AV144" s="100">
        <v>98.7</v>
      </c>
      <c r="AW144" s="100">
        <v>98.7</v>
      </c>
      <c r="AX144" s="100">
        <v>98.8</v>
      </c>
      <c r="AY144" s="100">
        <v>98.6</v>
      </c>
      <c r="AZ144" s="100">
        <v>98.5</v>
      </c>
      <c r="BA144" s="100">
        <v>98.6</v>
      </c>
      <c r="BB144" s="40">
        <v>43132</v>
      </c>
      <c r="BC144" s="40">
        <v>43405</v>
      </c>
    </row>
    <row r="145" spans="1:55" s="120" customFormat="1" ht="46.9" customHeight="1">
      <c r="A145" s="76" t="s">
        <v>567</v>
      </c>
      <c r="B145" s="76" t="s">
        <v>947</v>
      </c>
      <c r="C145" s="79" t="s">
        <v>10</v>
      </c>
      <c r="D145" s="63" t="s">
        <v>10</v>
      </c>
      <c r="E145" s="43" t="s">
        <v>10</v>
      </c>
      <c r="F145" s="63" t="s">
        <v>11</v>
      </c>
      <c r="G145" s="76" t="s">
        <v>575</v>
      </c>
      <c r="H145" s="90">
        <v>66.069999999999993</v>
      </c>
      <c r="I145" s="77">
        <v>480</v>
      </c>
      <c r="J145" s="78">
        <v>98.5</v>
      </c>
      <c r="K145" s="39" t="s">
        <v>1325</v>
      </c>
      <c r="L145" s="131" t="s">
        <v>569</v>
      </c>
      <c r="M145" s="79" t="s">
        <v>553</v>
      </c>
      <c r="N145" s="40">
        <v>43405</v>
      </c>
      <c r="O145" s="131" t="s">
        <v>569</v>
      </c>
      <c r="P145" s="63" t="s">
        <v>17</v>
      </c>
      <c r="Q145" s="63" t="s">
        <v>17</v>
      </c>
      <c r="R145" s="81" t="s">
        <v>576</v>
      </c>
      <c r="S145" s="80" t="s">
        <v>11</v>
      </c>
      <c r="T145" s="80" t="s">
        <v>11</v>
      </c>
      <c r="U145" s="82">
        <v>1</v>
      </c>
      <c r="V145" s="83"/>
      <c r="W145" s="83"/>
      <c r="X145" s="83">
        <v>580</v>
      </c>
      <c r="Y145" s="83">
        <v>650</v>
      </c>
      <c r="Z145" s="83">
        <v>720</v>
      </c>
      <c r="AA145" s="100">
        <v>6.6</v>
      </c>
      <c r="AB145" s="100">
        <v>13.2</v>
      </c>
      <c r="AC145" s="100">
        <v>19.8</v>
      </c>
      <c r="AD145" s="100">
        <v>33</v>
      </c>
      <c r="AE145" s="100">
        <v>49.5</v>
      </c>
      <c r="AF145" s="100">
        <v>66</v>
      </c>
      <c r="AG145" s="100">
        <v>97.571680000000001</v>
      </c>
      <c r="AH145" s="100">
        <v>98.376260000000002</v>
      </c>
      <c r="AI145" s="100">
        <v>98.476309999999998</v>
      </c>
      <c r="AJ145" s="100">
        <v>98.563289999999995</v>
      </c>
      <c r="AK145" s="100">
        <v>98.421390000000002</v>
      </c>
      <c r="AL145" s="100">
        <v>98.311779999999999</v>
      </c>
      <c r="AM145" s="100">
        <v>98.416049999999998</v>
      </c>
      <c r="AN145" s="100">
        <v>97.744069999999994</v>
      </c>
      <c r="AO145" s="100">
        <v>98.500609999999995</v>
      </c>
      <c r="AP145" s="100">
        <v>98.553719999999998</v>
      </c>
      <c r="AQ145" s="100">
        <v>98.7042</v>
      </c>
      <c r="AR145" s="100">
        <v>98.498869999999997</v>
      </c>
      <c r="AS145" s="100">
        <v>98.390150000000006</v>
      </c>
      <c r="AT145" s="100">
        <v>98.513030000000001</v>
      </c>
      <c r="AU145" s="100">
        <v>97.772109999999998</v>
      </c>
      <c r="AV145" s="100">
        <v>98.671279999999996</v>
      </c>
      <c r="AW145" s="100">
        <v>98.653779999999998</v>
      </c>
      <c r="AX145" s="100">
        <v>98.773750000000007</v>
      </c>
      <c r="AY145" s="100">
        <v>98.556129999999996</v>
      </c>
      <c r="AZ145" s="100">
        <v>98.491799999999998</v>
      </c>
      <c r="BA145" s="100">
        <v>98.584729999999993</v>
      </c>
      <c r="BB145" s="40">
        <v>43132</v>
      </c>
      <c r="BC145" s="40">
        <v>43405</v>
      </c>
    </row>
    <row r="146" spans="1:55" s="120" customFormat="1" ht="88.9" customHeight="1">
      <c r="A146" s="74" t="s">
        <v>331</v>
      </c>
      <c r="B146" s="74" t="s">
        <v>948</v>
      </c>
      <c r="C146" s="63" t="s">
        <v>10</v>
      </c>
      <c r="D146" s="63" t="s">
        <v>10</v>
      </c>
      <c r="E146" s="63" t="s">
        <v>11</v>
      </c>
      <c r="F146" s="63" t="s">
        <v>11</v>
      </c>
      <c r="G146" s="74" t="s">
        <v>332</v>
      </c>
      <c r="H146" s="61">
        <v>0.27700000000000002</v>
      </c>
      <c r="I146" s="62">
        <v>208</v>
      </c>
      <c r="J146" s="61">
        <v>95.5</v>
      </c>
      <c r="K146" s="39" t="s">
        <v>1325</v>
      </c>
      <c r="L146" s="129" t="s">
        <v>478</v>
      </c>
      <c r="M146" s="57" t="s">
        <v>479</v>
      </c>
      <c r="N146" s="40">
        <v>43388</v>
      </c>
      <c r="O146" s="63" t="s">
        <v>17</v>
      </c>
      <c r="P146" s="63" t="s">
        <v>17</v>
      </c>
      <c r="Q146" s="63" t="s">
        <v>17</v>
      </c>
      <c r="R146" s="71"/>
      <c r="S146" s="57" t="s">
        <v>11</v>
      </c>
      <c r="T146" s="57" t="s">
        <v>10</v>
      </c>
      <c r="U146" s="61">
        <v>0.02</v>
      </c>
      <c r="V146" s="59"/>
      <c r="W146" s="59"/>
      <c r="X146" s="59">
        <v>28</v>
      </c>
      <c r="Y146" s="59">
        <v>30</v>
      </c>
      <c r="Z146" s="59">
        <v>32</v>
      </c>
      <c r="AA146" s="99">
        <v>0.03</v>
      </c>
      <c r="AB146" s="99">
        <v>0.06</v>
      </c>
      <c r="AC146" s="99">
        <v>0.08</v>
      </c>
      <c r="AD146" s="99">
        <v>0.14000000000000001</v>
      </c>
      <c r="AE146" s="99">
        <v>0.21</v>
      </c>
      <c r="AF146" s="99">
        <v>0.28000000000000003</v>
      </c>
      <c r="AG146" s="99">
        <v>92</v>
      </c>
      <c r="AH146" s="99">
        <v>95.1</v>
      </c>
      <c r="AI146" s="99">
        <v>95.9</v>
      </c>
      <c r="AJ146" s="99">
        <v>96</v>
      </c>
      <c r="AK146" s="99">
        <v>95.6</v>
      </c>
      <c r="AL146" s="99">
        <v>94.9</v>
      </c>
      <c r="AM146" s="99">
        <v>95.5</v>
      </c>
      <c r="AN146" s="99">
        <v>91.2</v>
      </c>
      <c r="AO146" s="99">
        <v>94.8</v>
      </c>
      <c r="AP146" s="99">
        <v>95.7</v>
      </c>
      <c r="AQ146" s="99">
        <v>96</v>
      </c>
      <c r="AR146" s="99">
        <v>95.6</v>
      </c>
      <c r="AS146" s="99">
        <v>95.1</v>
      </c>
      <c r="AT146" s="99">
        <v>95.5</v>
      </c>
      <c r="AU146" s="99">
        <v>90.6</v>
      </c>
      <c r="AV146" s="99">
        <v>94.5</v>
      </c>
      <c r="AW146" s="99">
        <v>95.6</v>
      </c>
      <c r="AX146" s="99">
        <v>96</v>
      </c>
      <c r="AY146" s="99">
        <v>95.7</v>
      </c>
      <c r="AZ146" s="99">
        <v>95.2</v>
      </c>
      <c r="BA146" s="99">
        <v>95.4</v>
      </c>
      <c r="BB146" s="40">
        <v>43084</v>
      </c>
      <c r="BC146" s="40">
        <v>43388</v>
      </c>
    </row>
    <row r="147" spans="1:55" s="120" customFormat="1" ht="88.9" customHeight="1">
      <c r="A147" s="74" t="s">
        <v>331</v>
      </c>
      <c r="B147" s="74" t="s">
        <v>949</v>
      </c>
      <c r="C147" s="63" t="s">
        <v>10</v>
      </c>
      <c r="D147" s="63" t="s">
        <v>10</v>
      </c>
      <c r="E147" s="63" t="s">
        <v>11</v>
      </c>
      <c r="F147" s="63" t="s">
        <v>11</v>
      </c>
      <c r="G147" s="74" t="s">
        <v>333</v>
      </c>
      <c r="H147" s="61">
        <v>0.28899999999999998</v>
      </c>
      <c r="I147" s="62">
        <v>240</v>
      </c>
      <c r="J147" s="61">
        <v>96</v>
      </c>
      <c r="K147" s="39" t="s">
        <v>1325</v>
      </c>
      <c r="L147" s="129" t="s">
        <v>478</v>
      </c>
      <c r="M147" s="57" t="s">
        <v>479</v>
      </c>
      <c r="N147" s="40">
        <v>43388</v>
      </c>
      <c r="O147" s="63" t="s">
        <v>17</v>
      </c>
      <c r="P147" s="63" t="s">
        <v>17</v>
      </c>
      <c r="Q147" s="63" t="s">
        <v>17</v>
      </c>
      <c r="R147" s="71"/>
      <c r="S147" s="57" t="s">
        <v>11</v>
      </c>
      <c r="T147" s="57" t="s">
        <v>10</v>
      </c>
      <c r="U147" s="61">
        <v>0.06</v>
      </c>
      <c r="V147" s="59"/>
      <c r="W147" s="59"/>
      <c r="X147" s="59">
        <v>28</v>
      </c>
      <c r="Y147" s="59">
        <v>30</v>
      </c>
      <c r="Z147" s="59">
        <v>32</v>
      </c>
      <c r="AA147" s="99">
        <v>0.03</v>
      </c>
      <c r="AB147" s="99">
        <v>0.06</v>
      </c>
      <c r="AC147" s="99">
        <v>0.09</v>
      </c>
      <c r="AD147" s="99">
        <v>0.14000000000000001</v>
      </c>
      <c r="AE147" s="99">
        <v>0.22</v>
      </c>
      <c r="AF147" s="99">
        <v>0.28999999999999998</v>
      </c>
      <c r="AG147" s="99">
        <v>92.3</v>
      </c>
      <c r="AH147" s="99">
        <v>95.4</v>
      </c>
      <c r="AI147" s="99">
        <v>96.1</v>
      </c>
      <c r="AJ147" s="99">
        <v>96.2</v>
      </c>
      <c r="AK147" s="99">
        <v>95.9</v>
      </c>
      <c r="AL147" s="99">
        <v>95.2</v>
      </c>
      <c r="AM147" s="99">
        <v>95.8</v>
      </c>
      <c r="AN147" s="99">
        <v>91.6</v>
      </c>
      <c r="AO147" s="99">
        <v>95.2</v>
      </c>
      <c r="AP147" s="99">
        <v>96</v>
      </c>
      <c r="AQ147" s="99">
        <v>96.3</v>
      </c>
      <c r="AR147" s="99">
        <v>96</v>
      </c>
      <c r="AS147" s="99">
        <v>95.4</v>
      </c>
      <c r="AT147" s="99">
        <v>95.8</v>
      </c>
      <c r="AU147" s="99">
        <v>91</v>
      </c>
      <c r="AV147" s="99">
        <v>95.1</v>
      </c>
      <c r="AW147" s="99">
        <v>95.9</v>
      </c>
      <c r="AX147" s="99">
        <v>96.3</v>
      </c>
      <c r="AY147" s="99">
        <v>96.1</v>
      </c>
      <c r="AZ147" s="99">
        <v>95.6</v>
      </c>
      <c r="BA147" s="99">
        <v>95.8</v>
      </c>
      <c r="BB147" s="40">
        <v>43084</v>
      </c>
      <c r="BC147" s="40">
        <v>43388</v>
      </c>
    </row>
    <row r="148" spans="1:55" s="120" customFormat="1" ht="88.9" customHeight="1">
      <c r="A148" s="74" t="s">
        <v>1</v>
      </c>
      <c r="B148" s="74" t="s">
        <v>398</v>
      </c>
      <c r="C148" s="63" t="s">
        <v>10</v>
      </c>
      <c r="D148" s="63" t="s">
        <v>10</v>
      </c>
      <c r="E148" s="63" t="s">
        <v>11</v>
      </c>
      <c r="F148" s="63" t="s">
        <v>11</v>
      </c>
      <c r="G148" s="74" t="s">
        <v>211</v>
      </c>
      <c r="H148" s="35">
        <v>36</v>
      </c>
      <c r="I148" s="35">
        <v>480</v>
      </c>
      <c r="J148" s="35">
        <v>98</v>
      </c>
      <c r="K148" s="39" t="s">
        <v>1324</v>
      </c>
      <c r="L148" s="128" t="s">
        <v>480</v>
      </c>
      <c r="M148" s="39" t="s">
        <v>475</v>
      </c>
      <c r="N148" s="40">
        <v>43388</v>
      </c>
      <c r="O148" s="63" t="s">
        <v>17</v>
      </c>
      <c r="P148" s="63" t="s">
        <v>17</v>
      </c>
      <c r="Q148" s="63" t="s">
        <v>17</v>
      </c>
      <c r="R148" s="60" t="s">
        <v>236</v>
      </c>
      <c r="S148" s="34" t="s">
        <v>10</v>
      </c>
      <c r="T148" s="34" t="s">
        <v>11</v>
      </c>
      <c r="U148" s="35">
        <v>0</v>
      </c>
      <c r="V148" s="35"/>
      <c r="W148" s="35"/>
      <c r="X148" s="35">
        <v>540</v>
      </c>
      <c r="Y148" s="35">
        <v>730</v>
      </c>
      <c r="Z148" s="35">
        <v>800</v>
      </c>
      <c r="AA148" s="103">
        <v>3.6</v>
      </c>
      <c r="AB148" s="103">
        <v>7.2</v>
      </c>
      <c r="AC148" s="103">
        <v>10.8</v>
      </c>
      <c r="AD148" s="103">
        <v>18</v>
      </c>
      <c r="AE148" s="103">
        <v>27</v>
      </c>
      <c r="AF148" s="103">
        <v>36</v>
      </c>
      <c r="AG148" s="103">
        <v>95.5</v>
      </c>
      <c r="AH148" s="103">
        <v>96.8</v>
      </c>
      <c r="AI148" s="103">
        <v>97.2</v>
      </c>
      <c r="AJ148" s="103">
        <v>97.5</v>
      </c>
      <c r="AK148" s="103">
        <v>97.5</v>
      </c>
      <c r="AL148" s="103">
        <v>97.3</v>
      </c>
      <c r="AM148" s="103">
        <v>97.3</v>
      </c>
      <c r="AN148" s="103">
        <v>97.4</v>
      </c>
      <c r="AO148" s="103">
        <v>98.3</v>
      </c>
      <c r="AP148" s="103">
        <v>98.5</v>
      </c>
      <c r="AQ148" s="103">
        <v>98.5</v>
      </c>
      <c r="AR148" s="103">
        <v>98.5</v>
      </c>
      <c r="AS148" s="103">
        <v>98.3</v>
      </c>
      <c r="AT148" s="103">
        <v>98.4</v>
      </c>
      <c r="AU148" s="103">
        <v>97.1</v>
      </c>
      <c r="AV148" s="103">
        <v>98</v>
      </c>
      <c r="AW148" s="103">
        <v>98.3</v>
      </c>
      <c r="AX148" s="103">
        <v>98.4</v>
      </c>
      <c r="AY148" s="103">
        <v>98.3</v>
      </c>
      <c r="AZ148" s="103">
        <v>98.2</v>
      </c>
      <c r="BA148" s="103">
        <v>98.3</v>
      </c>
      <c r="BB148" s="40">
        <v>42979</v>
      </c>
      <c r="BC148" s="40">
        <v>43388</v>
      </c>
    </row>
    <row r="149" spans="1:55" s="120" customFormat="1" ht="88.9" customHeight="1">
      <c r="A149" s="74" t="s">
        <v>1</v>
      </c>
      <c r="B149" s="75" t="s">
        <v>399</v>
      </c>
      <c r="C149" s="57" t="s">
        <v>10</v>
      </c>
      <c r="D149" s="57" t="s">
        <v>10</v>
      </c>
      <c r="E149" s="63" t="s">
        <v>11</v>
      </c>
      <c r="F149" s="63" t="s">
        <v>11</v>
      </c>
      <c r="G149" s="36" t="s">
        <v>128</v>
      </c>
      <c r="H149" s="60">
        <v>50</v>
      </c>
      <c r="I149" s="61">
        <v>480</v>
      </c>
      <c r="J149" s="60">
        <v>98.5</v>
      </c>
      <c r="K149" s="39" t="s">
        <v>1324</v>
      </c>
      <c r="L149" s="129" t="s">
        <v>476</v>
      </c>
      <c r="M149" s="33" t="s">
        <v>477</v>
      </c>
      <c r="N149" s="40">
        <v>43388</v>
      </c>
      <c r="O149" s="63" t="s">
        <v>17</v>
      </c>
      <c r="P149" s="63" t="s">
        <v>17</v>
      </c>
      <c r="Q149" s="63" t="s">
        <v>17</v>
      </c>
      <c r="R149" s="60" t="s">
        <v>235</v>
      </c>
      <c r="S149" s="33" t="s">
        <v>10</v>
      </c>
      <c r="T149" s="33" t="s">
        <v>11</v>
      </c>
      <c r="U149" s="61">
        <v>0.88</v>
      </c>
      <c r="V149" s="61"/>
      <c r="W149" s="61"/>
      <c r="X149" s="61">
        <v>480</v>
      </c>
      <c r="Y149" s="61">
        <v>730</v>
      </c>
      <c r="Z149" s="61">
        <v>850</v>
      </c>
      <c r="AA149" s="99">
        <v>5</v>
      </c>
      <c r="AB149" s="99">
        <v>10</v>
      </c>
      <c r="AC149" s="99">
        <v>15</v>
      </c>
      <c r="AD149" s="99">
        <v>25</v>
      </c>
      <c r="AE149" s="99">
        <v>37.5</v>
      </c>
      <c r="AF149" s="99">
        <v>50</v>
      </c>
      <c r="AG149" s="99">
        <v>95.6</v>
      </c>
      <c r="AH149" s="99">
        <v>96.8</v>
      </c>
      <c r="AI149" s="99">
        <v>97.5</v>
      </c>
      <c r="AJ149" s="99">
        <v>97.9</v>
      </c>
      <c r="AK149" s="99">
        <v>97.8</v>
      </c>
      <c r="AL149" s="99">
        <v>97.7</v>
      </c>
      <c r="AM149" s="99">
        <v>97.6</v>
      </c>
      <c r="AN149" s="99">
        <v>98</v>
      </c>
      <c r="AO149" s="99">
        <v>98.6</v>
      </c>
      <c r="AP149" s="99">
        <v>98.8</v>
      </c>
      <c r="AQ149" s="99">
        <v>98.8</v>
      </c>
      <c r="AR149" s="99">
        <v>98.7</v>
      </c>
      <c r="AS149" s="99">
        <v>98.6</v>
      </c>
      <c r="AT149" s="99">
        <v>98.7</v>
      </c>
      <c r="AU149" s="99">
        <v>97.7</v>
      </c>
      <c r="AV149" s="99">
        <v>98.5</v>
      </c>
      <c r="AW149" s="99">
        <v>98.6</v>
      </c>
      <c r="AX149" s="99">
        <v>98.7</v>
      </c>
      <c r="AY149" s="99">
        <v>98.6</v>
      </c>
      <c r="AZ149" s="99">
        <v>98.5</v>
      </c>
      <c r="BA149" s="99">
        <v>98.6</v>
      </c>
      <c r="BB149" s="40">
        <v>42948</v>
      </c>
      <c r="BC149" s="40">
        <v>43388</v>
      </c>
    </row>
    <row r="150" spans="1:55" s="120" customFormat="1" ht="88.9" customHeight="1">
      <c r="A150" s="74" t="s">
        <v>1</v>
      </c>
      <c r="B150" s="75" t="s">
        <v>400</v>
      </c>
      <c r="C150" s="57" t="s">
        <v>10</v>
      </c>
      <c r="D150" s="57" t="s">
        <v>10</v>
      </c>
      <c r="E150" s="63" t="s">
        <v>11</v>
      </c>
      <c r="F150" s="63" t="s">
        <v>11</v>
      </c>
      <c r="G150" s="36" t="s">
        <v>129</v>
      </c>
      <c r="H150" s="60">
        <v>60</v>
      </c>
      <c r="I150" s="61">
        <v>480</v>
      </c>
      <c r="J150" s="60">
        <v>98.5</v>
      </c>
      <c r="K150" s="39" t="s">
        <v>1324</v>
      </c>
      <c r="L150" s="129" t="s">
        <v>476</v>
      </c>
      <c r="M150" s="33" t="s">
        <v>477</v>
      </c>
      <c r="N150" s="40">
        <v>43388</v>
      </c>
      <c r="O150" s="63" t="s">
        <v>17</v>
      </c>
      <c r="P150" s="63" t="s">
        <v>17</v>
      </c>
      <c r="Q150" s="63" t="s">
        <v>17</v>
      </c>
      <c r="R150" s="60" t="s">
        <v>237</v>
      </c>
      <c r="S150" s="33" t="s">
        <v>10</v>
      </c>
      <c r="T150" s="33" t="s">
        <v>11</v>
      </c>
      <c r="U150" s="61">
        <v>0.88</v>
      </c>
      <c r="V150" s="61"/>
      <c r="W150" s="61"/>
      <c r="X150" s="61">
        <v>540</v>
      </c>
      <c r="Y150" s="61">
        <v>730</v>
      </c>
      <c r="Z150" s="61">
        <v>850</v>
      </c>
      <c r="AA150" s="99">
        <v>6</v>
      </c>
      <c r="AB150" s="99">
        <v>12</v>
      </c>
      <c r="AC150" s="99">
        <v>18</v>
      </c>
      <c r="AD150" s="99">
        <v>30</v>
      </c>
      <c r="AE150" s="99">
        <v>45</v>
      </c>
      <c r="AF150" s="99">
        <v>60</v>
      </c>
      <c r="AG150" s="99">
        <v>96.5</v>
      </c>
      <c r="AH150" s="99">
        <v>97.5</v>
      </c>
      <c r="AI150" s="99">
        <v>97.9</v>
      </c>
      <c r="AJ150" s="99">
        <v>98.1</v>
      </c>
      <c r="AK150" s="99">
        <v>97.9</v>
      </c>
      <c r="AL150" s="99">
        <v>97.7</v>
      </c>
      <c r="AM150" s="99">
        <v>97.9</v>
      </c>
      <c r="AN150" s="99">
        <v>98.2</v>
      </c>
      <c r="AO150" s="99">
        <v>98.7</v>
      </c>
      <c r="AP150" s="99">
        <v>98.8</v>
      </c>
      <c r="AQ150" s="99">
        <v>98.8</v>
      </c>
      <c r="AR150" s="99">
        <v>98.7</v>
      </c>
      <c r="AS150" s="99">
        <v>98.5</v>
      </c>
      <c r="AT150" s="99">
        <v>98.7</v>
      </c>
      <c r="AU150" s="99">
        <v>98</v>
      </c>
      <c r="AV150" s="99">
        <v>98.6</v>
      </c>
      <c r="AW150" s="99">
        <v>98.7</v>
      </c>
      <c r="AX150" s="99">
        <v>98.7</v>
      </c>
      <c r="AY150" s="99">
        <v>98.5</v>
      </c>
      <c r="AZ150" s="99">
        <v>98.4</v>
      </c>
      <c r="BA150" s="99">
        <v>98.5</v>
      </c>
      <c r="BB150" s="40">
        <v>42948</v>
      </c>
      <c r="BC150" s="40">
        <v>43388</v>
      </c>
    </row>
    <row r="151" spans="1:55" s="120" customFormat="1" ht="88.9" customHeight="1">
      <c r="A151" s="41" t="s">
        <v>1</v>
      </c>
      <c r="B151" s="41" t="s">
        <v>950</v>
      </c>
      <c r="C151" s="43" t="s">
        <v>10</v>
      </c>
      <c r="D151" s="43" t="s">
        <v>10</v>
      </c>
      <c r="E151" s="43" t="s">
        <v>10</v>
      </c>
      <c r="F151" s="63" t="s">
        <v>11</v>
      </c>
      <c r="G151" s="41" t="s">
        <v>805</v>
      </c>
      <c r="H151" s="27">
        <v>100</v>
      </c>
      <c r="I151" s="109">
        <v>600</v>
      </c>
      <c r="J151" s="27">
        <v>98.5</v>
      </c>
      <c r="K151" s="39" t="s">
        <v>1324</v>
      </c>
      <c r="L151" s="130" t="s">
        <v>806</v>
      </c>
      <c r="M151" s="110" t="s">
        <v>807</v>
      </c>
      <c r="N151" s="40">
        <v>43388</v>
      </c>
      <c r="O151" s="130" t="s">
        <v>806</v>
      </c>
      <c r="P151" s="63" t="s">
        <v>17</v>
      </c>
      <c r="Q151" s="63" t="s">
        <v>17</v>
      </c>
      <c r="R151" s="112"/>
      <c r="S151" s="111" t="s">
        <v>11</v>
      </c>
      <c r="T151" s="111" t="s">
        <v>11</v>
      </c>
      <c r="U151" s="113">
        <v>4.5</v>
      </c>
      <c r="V151" s="113"/>
      <c r="W151" s="113"/>
      <c r="X151" s="113">
        <v>870</v>
      </c>
      <c r="Y151" s="113">
        <v>1000</v>
      </c>
      <c r="Z151" s="113">
        <v>1300</v>
      </c>
      <c r="AA151" s="114">
        <v>10</v>
      </c>
      <c r="AB151" s="114">
        <v>20</v>
      </c>
      <c r="AC151" s="114">
        <v>30</v>
      </c>
      <c r="AD151" s="114">
        <v>50</v>
      </c>
      <c r="AE151" s="114">
        <v>75</v>
      </c>
      <c r="AF151" s="114">
        <v>100</v>
      </c>
      <c r="AG151" s="114">
        <v>98.551913170550606</v>
      </c>
      <c r="AH151" s="114">
        <v>98.997154065699576</v>
      </c>
      <c r="AI151" s="114">
        <v>99.061972328956216</v>
      </c>
      <c r="AJ151" s="114">
        <v>99.00078048409739</v>
      </c>
      <c r="AK151" s="114">
        <v>98.873762893254693</v>
      </c>
      <c r="AL151" s="114">
        <v>98.745242502108027</v>
      </c>
      <c r="AM151" s="114">
        <v>98.909891269772601</v>
      </c>
      <c r="AN151" s="114">
        <v>97.902550474383133</v>
      </c>
      <c r="AO151" s="114">
        <v>98.484857507533135</v>
      </c>
      <c r="AP151" s="114">
        <v>98.532225912684183</v>
      </c>
      <c r="AQ151" s="114">
        <v>98.567385583558817</v>
      </c>
      <c r="AR151" s="114">
        <v>98.447013080233702</v>
      </c>
      <c r="AS151" s="114">
        <v>98.281050897108159</v>
      </c>
      <c r="AT151" s="114">
        <v>98.454332453800717</v>
      </c>
      <c r="AU151" s="114">
        <v>97.097950071451592</v>
      </c>
      <c r="AV151" s="114">
        <v>97.901048246755153</v>
      </c>
      <c r="AW151" s="114">
        <v>98.071044058010003</v>
      </c>
      <c r="AX151" s="114">
        <v>98.105298659618327</v>
      </c>
      <c r="AY151" s="114">
        <v>98.080044777547087</v>
      </c>
      <c r="AZ151" s="114">
        <v>97.905368682202621</v>
      </c>
      <c r="BA151" s="114">
        <v>98.027300586886966</v>
      </c>
      <c r="BB151" s="40">
        <v>43313</v>
      </c>
      <c r="BC151" s="40">
        <v>43388</v>
      </c>
    </row>
    <row r="152" spans="1:55" s="120" customFormat="1" ht="88.9" customHeight="1">
      <c r="A152" s="41" t="s">
        <v>1</v>
      </c>
      <c r="B152" s="41" t="s">
        <v>951</v>
      </c>
      <c r="C152" s="43" t="s">
        <v>10</v>
      </c>
      <c r="D152" s="43" t="s">
        <v>10</v>
      </c>
      <c r="E152" s="43" t="s">
        <v>10</v>
      </c>
      <c r="F152" s="63" t="s">
        <v>11</v>
      </c>
      <c r="G152" s="41" t="s">
        <v>808</v>
      </c>
      <c r="H152" s="27">
        <v>125</v>
      </c>
      <c r="I152" s="109">
        <v>600</v>
      </c>
      <c r="J152" s="27">
        <v>98.5</v>
      </c>
      <c r="K152" s="39" t="s">
        <v>1324</v>
      </c>
      <c r="L152" s="130" t="s">
        <v>806</v>
      </c>
      <c r="M152" s="110" t="s">
        <v>807</v>
      </c>
      <c r="N152" s="40">
        <v>43388</v>
      </c>
      <c r="O152" s="130" t="s">
        <v>806</v>
      </c>
      <c r="P152" s="63" t="s">
        <v>17</v>
      </c>
      <c r="Q152" s="63" t="s">
        <v>17</v>
      </c>
      <c r="R152" s="112"/>
      <c r="S152" s="111" t="s">
        <v>11</v>
      </c>
      <c r="T152" s="111" t="s">
        <v>11</v>
      </c>
      <c r="U152" s="113">
        <v>4.9000000000000004</v>
      </c>
      <c r="V152" s="113"/>
      <c r="W152" s="113"/>
      <c r="X152" s="113">
        <v>870</v>
      </c>
      <c r="Y152" s="113">
        <v>1000</v>
      </c>
      <c r="Z152" s="113">
        <v>1300</v>
      </c>
      <c r="AA152" s="114">
        <v>12.5</v>
      </c>
      <c r="AB152" s="114">
        <v>25</v>
      </c>
      <c r="AC152" s="114">
        <v>37.5</v>
      </c>
      <c r="AD152" s="114">
        <v>62.5</v>
      </c>
      <c r="AE152" s="114">
        <v>93.75</v>
      </c>
      <c r="AF152" s="114">
        <v>125</v>
      </c>
      <c r="AG152" s="114">
        <v>98.707684820160623</v>
      </c>
      <c r="AH152" s="114">
        <v>99.032876683015886</v>
      </c>
      <c r="AI152" s="114">
        <v>99.06907867202689</v>
      </c>
      <c r="AJ152" s="114">
        <v>98.952307926326014</v>
      </c>
      <c r="AK152" s="114">
        <v>98.789908624320944</v>
      </c>
      <c r="AL152" s="114">
        <v>98.561327097315782</v>
      </c>
      <c r="AM152" s="114">
        <v>98.854943257884798</v>
      </c>
      <c r="AN152" s="114">
        <v>98.100765115696163</v>
      </c>
      <c r="AO152" s="114">
        <v>98.562967124892893</v>
      </c>
      <c r="AP152" s="114">
        <v>98.584147101616665</v>
      </c>
      <c r="AQ152" s="114">
        <v>98.538352052196359</v>
      </c>
      <c r="AR152" s="114">
        <v>98.35202881328668</v>
      </c>
      <c r="AS152" s="114">
        <v>98.051253876208165</v>
      </c>
      <c r="AT152" s="114">
        <v>98.404468508880086</v>
      </c>
      <c r="AU152" s="114">
        <v>97.417075240097319</v>
      </c>
      <c r="AV152" s="114">
        <v>98.038277017220338</v>
      </c>
      <c r="AW152" s="114">
        <v>98.140012382549841</v>
      </c>
      <c r="AX152" s="114">
        <v>98.141131689216635</v>
      </c>
      <c r="AY152" s="114">
        <v>97.978233161124621</v>
      </c>
      <c r="AZ152" s="114">
        <v>97.699223726568917</v>
      </c>
      <c r="BA152" s="114">
        <v>97.998460762830888</v>
      </c>
      <c r="BB152" s="40">
        <v>43313</v>
      </c>
      <c r="BC152" s="40">
        <v>43388</v>
      </c>
    </row>
    <row r="153" spans="1:55" s="120" customFormat="1" ht="45">
      <c r="A153" s="41" t="s">
        <v>640</v>
      </c>
      <c r="B153" s="41" t="s">
        <v>952</v>
      </c>
      <c r="C153" s="43" t="s">
        <v>10</v>
      </c>
      <c r="D153" s="43" t="s">
        <v>10</v>
      </c>
      <c r="E153" s="63" t="s">
        <v>11</v>
      </c>
      <c r="F153" s="63" t="s">
        <v>11</v>
      </c>
      <c r="G153" s="41" t="s">
        <v>644</v>
      </c>
      <c r="H153" s="27">
        <v>5.0739999999999998</v>
      </c>
      <c r="I153" s="109">
        <v>240</v>
      </c>
      <c r="J153" s="27">
        <v>95.5</v>
      </c>
      <c r="K153" s="39" t="s">
        <v>1325</v>
      </c>
      <c r="L153" s="130" t="s">
        <v>645</v>
      </c>
      <c r="M153" s="110" t="s">
        <v>646</v>
      </c>
      <c r="N153" s="40">
        <v>43388</v>
      </c>
      <c r="O153" s="63" t="s">
        <v>17</v>
      </c>
      <c r="P153" s="63" t="s">
        <v>17</v>
      </c>
      <c r="Q153" s="63" t="s">
        <v>17</v>
      </c>
      <c r="R153" s="112"/>
      <c r="S153" s="111" t="s">
        <v>11</v>
      </c>
      <c r="T153" s="111" t="s">
        <v>11</v>
      </c>
      <c r="U153" s="113">
        <v>0.43</v>
      </c>
      <c r="V153" s="113"/>
      <c r="W153" s="113"/>
      <c r="X153" s="113">
        <v>300</v>
      </c>
      <c r="Y153" s="113">
        <v>360</v>
      </c>
      <c r="Z153" s="113">
        <v>380</v>
      </c>
      <c r="AA153" s="114">
        <v>0.50800000000000001</v>
      </c>
      <c r="AB153" s="114">
        <v>1.016</v>
      </c>
      <c r="AC153" s="114">
        <v>1.524</v>
      </c>
      <c r="AD153" s="114">
        <v>2.54</v>
      </c>
      <c r="AE153" s="114">
        <v>3.81</v>
      </c>
      <c r="AF153" s="114">
        <v>5.0759999999999996</v>
      </c>
      <c r="AG153" s="114">
        <v>89.228338400000013</v>
      </c>
      <c r="AH153" s="114">
        <v>93.736259799999999</v>
      </c>
      <c r="AI153" s="114">
        <v>94.907423600000001</v>
      </c>
      <c r="AJ153" s="114">
        <v>95.751822599999997</v>
      </c>
      <c r="AK153" s="114">
        <v>95.886322399999997</v>
      </c>
      <c r="AL153" s="114">
        <v>95.612956999999994</v>
      </c>
      <c r="AM153" s="114">
        <v>95.353118825999999</v>
      </c>
      <c r="AN153" s="114">
        <v>89.489125199999989</v>
      </c>
      <c r="AO153" s="114">
        <v>93.948561799999993</v>
      </c>
      <c r="AP153" s="114">
        <v>95.256629000000004</v>
      </c>
      <c r="AQ153" s="114">
        <v>95.913850999999994</v>
      </c>
      <c r="AR153" s="114">
        <v>96.033797399999997</v>
      </c>
      <c r="AS153" s="114">
        <v>95.885842800000006</v>
      </c>
      <c r="AT153" s="114">
        <v>95.54190204999999</v>
      </c>
      <c r="AU153" s="114">
        <v>89.3176694</v>
      </c>
      <c r="AV153" s="114">
        <v>94.004821399999997</v>
      </c>
      <c r="AW153" s="114">
        <v>95.202498000000006</v>
      </c>
      <c r="AX153" s="114">
        <v>95.947675400000008</v>
      </c>
      <c r="AY153" s="114">
        <v>96.0160956</v>
      </c>
      <c r="AZ153" s="114">
        <v>95.91960379999999</v>
      </c>
      <c r="BA153" s="114">
        <v>95.530770297999993</v>
      </c>
      <c r="BB153" s="40">
        <v>43174</v>
      </c>
      <c r="BC153" s="40">
        <v>43388</v>
      </c>
    </row>
    <row r="154" spans="1:55" s="120" customFormat="1" ht="60">
      <c r="A154" s="76" t="s">
        <v>2</v>
      </c>
      <c r="B154" s="76" t="s">
        <v>953</v>
      </c>
      <c r="C154" s="79" t="s">
        <v>10</v>
      </c>
      <c r="D154" s="79" t="s">
        <v>10</v>
      </c>
      <c r="E154" s="43" t="s">
        <v>10</v>
      </c>
      <c r="F154" s="63" t="s">
        <v>11</v>
      </c>
      <c r="G154" s="76" t="s">
        <v>274</v>
      </c>
      <c r="H154" s="35">
        <v>3.32</v>
      </c>
      <c r="I154" s="35">
        <v>208</v>
      </c>
      <c r="J154" s="35">
        <v>97.5</v>
      </c>
      <c r="K154" s="39" t="s">
        <v>1324</v>
      </c>
      <c r="L154" s="128" t="s">
        <v>481</v>
      </c>
      <c r="M154" s="39" t="s">
        <v>482</v>
      </c>
      <c r="N154" s="40">
        <v>43388</v>
      </c>
      <c r="O154" s="128" t="s">
        <v>481</v>
      </c>
      <c r="P154" s="63" t="s">
        <v>17</v>
      </c>
      <c r="Q154" s="63" t="s">
        <v>17</v>
      </c>
      <c r="R154" s="54"/>
      <c r="S154" s="34" t="s">
        <v>10</v>
      </c>
      <c r="T154" s="34" t="s">
        <v>11</v>
      </c>
      <c r="U154" s="35">
        <v>1.1399999999999999</v>
      </c>
      <c r="V154" s="83"/>
      <c r="W154" s="83"/>
      <c r="X154" s="83">
        <v>100</v>
      </c>
      <c r="Y154" s="83">
        <v>380</v>
      </c>
      <c r="Z154" s="83">
        <v>500</v>
      </c>
      <c r="AA154" s="100">
        <v>0.33</v>
      </c>
      <c r="AB154" s="100">
        <v>0.66</v>
      </c>
      <c r="AC154" s="100">
        <v>1</v>
      </c>
      <c r="AD154" s="100">
        <v>1.66</v>
      </c>
      <c r="AE154" s="100">
        <v>2.4900000000000002</v>
      </c>
      <c r="AF154" s="100">
        <v>3.32</v>
      </c>
      <c r="AG154" s="100">
        <v>94.6</v>
      </c>
      <c r="AH154" s="100">
        <v>96.1</v>
      </c>
      <c r="AI154" s="100">
        <v>97</v>
      </c>
      <c r="AJ154" s="100">
        <v>97.3</v>
      </c>
      <c r="AK154" s="100">
        <v>97.1</v>
      </c>
      <c r="AL154" s="100">
        <v>96.8</v>
      </c>
      <c r="AM154" s="100">
        <v>97</v>
      </c>
      <c r="AN154" s="100">
        <v>96.3</v>
      </c>
      <c r="AO154" s="100">
        <v>96.9</v>
      </c>
      <c r="AP154" s="100">
        <v>97.8</v>
      </c>
      <c r="AQ154" s="100">
        <v>97.9</v>
      </c>
      <c r="AR154" s="100">
        <v>98.1</v>
      </c>
      <c r="AS154" s="100">
        <v>97.5</v>
      </c>
      <c r="AT154" s="100">
        <v>97.8</v>
      </c>
      <c r="AU154" s="100">
        <v>95.9</v>
      </c>
      <c r="AV154" s="100">
        <v>95.8</v>
      </c>
      <c r="AW154" s="100">
        <v>96.9</v>
      </c>
      <c r="AX154" s="100">
        <v>97.4</v>
      </c>
      <c r="AY154" s="100">
        <v>97.4</v>
      </c>
      <c r="AZ154" s="100">
        <v>97.1</v>
      </c>
      <c r="BA154" s="100">
        <v>97.2</v>
      </c>
      <c r="BB154" s="40">
        <v>43024</v>
      </c>
      <c r="BC154" s="40">
        <v>43388</v>
      </c>
    </row>
    <row r="155" spans="1:55" s="120" customFormat="1" ht="45">
      <c r="A155" s="74" t="s">
        <v>2</v>
      </c>
      <c r="B155" s="74" t="s">
        <v>954</v>
      </c>
      <c r="C155" s="63" t="s">
        <v>10</v>
      </c>
      <c r="D155" s="63" t="s">
        <v>10</v>
      </c>
      <c r="E155" s="43" t="s">
        <v>10</v>
      </c>
      <c r="F155" s="63" t="s">
        <v>11</v>
      </c>
      <c r="G155" s="37" t="s">
        <v>627</v>
      </c>
      <c r="H155" s="35">
        <v>3.33</v>
      </c>
      <c r="I155" s="35">
        <v>208</v>
      </c>
      <c r="J155" s="35">
        <v>97</v>
      </c>
      <c r="K155" s="39" t="s">
        <v>1324</v>
      </c>
      <c r="L155" s="128" t="s">
        <v>628</v>
      </c>
      <c r="M155" s="39" t="s">
        <v>629</v>
      </c>
      <c r="N155" s="40">
        <v>43388</v>
      </c>
      <c r="O155" s="128" t="s">
        <v>628</v>
      </c>
      <c r="P155" s="63" t="s">
        <v>17</v>
      </c>
      <c r="Q155" s="63" t="s">
        <v>17</v>
      </c>
      <c r="R155" s="54"/>
      <c r="S155" s="34" t="s">
        <v>10</v>
      </c>
      <c r="T155" s="34" t="s">
        <v>11</v>
      </c>
      <c r="U155" s="35">
        <v>1.92</v>
      </c>
      <c r="V155" s="35"/>
      <c r="W155" s="35"/>
      <c r="X155" s="35">
        <v>180</v>
      </c>
      <c r="Y155" s="35">
        <v>380</v>
      </c>
      <c r="Z155" s="35">
        <v>480</v>
      </c>
      <c r="AA155" s="103">
        <v>0.33279999999999998</v>
      </c>
      <c r="AB155" s="103">
        <v>0.66559999999999997</v>
      </c>
      <c r="AC155" s="103">
        <v>0.99839999999999995</v>
      </c>
      <c r="AD155" s="103">
        <v>1.6639999999999999</v>
      </c>
      <c r="AE155" s="103">
        <v>2.496</v>
      </c>
      <c r="AF155" s="103">
        <v>3.3279999999999998</v>
      </c>
      <c r="AG155" s="103">
        <v>92</v>
      </c>
      <c r="AH155" s="103">
        <v>94.6</v>
      </c>
      <c r="AI155" s="103">
        <v>95.7</v>
      </c>
      <c r="AJ155" s="103">
        <v>96.5</v>
      </c>
      <c r="AK155" s="103">
        <v>96.7</v>
      </c>
      <c r="AL155" s="103">
        <v>96.5</v>
      </c>
      <c r="AM155" s="103">
        <v>96.2</v>
      </c>
      <c r="AN155" s="103">
        <v>93</v>
      </c>
      <c r="AO155" s="103">
        <v>95.7</v>
      </c>
      <c r="AP155" s="103">
        <v>97.3</v>
      </c>
      <c r="AQ155" s="103">
        <v>97.3</v>
      </c>
      <c r="AR155" s="103">
        <v>97.8</v>
      </c>
      <c r="AS155" s="103">
        <v>97.4</v>
      </c>
      <c r="AT155" s="103">
        <v>97.3</v>
      </c>
      <c r="AU155" s="103">
        <v>92.9</v>
      </c>
      <c r="AV155" s="103">
        <v>95.9</v>
      </c>
      <c r="AW155" s="103">
        <v>96.8</v>
      </c>
      <c r="AX155" s="103">
        <v>97.5</v>
      </c>
      <c r="AY155" s="103">
        <v>97.6</v>
      </c>
      <c r="AZ155" s="103">
        <v>97.5</v>
      </c>
      <c r="BA155" s="103">
        <v>97.2</v>
      </c>
      <c r="BB155" s="40">
        <v>43160</v>
      </c>
      <c r="BC155" s="40">
        <v>43388</v>
      </c>
    </row>
    <row r="156" spans="1:55" s="120" customFormat="1" ht="60">
      <c r="A156" s="76" t="s">
        <v>2</v>
      </c>
      <c r="B156" s="76" t="s">
        <v>955</v>
      </c>
      <c r="C156" s="79" t="s">
        <v>10</v>
      </c>
      <c r="D156" s="79" t="s">
        <v>10</v>
      </c>
      <c r="E156" s="43" t="s">
        <v>10</v>
      </c>
      <c r="F156" s="63" t="s">
        <v>11</v>
      </c>
      <c r="G156" s="76" t="s">
        <v>275</v>
      </c>
      <c r="H156" s="90">
        <v>3.81</v>
      </c>
      <c r="I156" s="77">
        <v>240</v>
      </c>
      <c r="J156" s="78">
        <v>97.5</v>
      </c>
      <c r="K156" s="39" t="s">
        <v>1324</v>
      </c>
      <c r="L156" s="131" t="s">
        <v>481</v>
      </c>
      <c r="M156" s="79" t="s">
        <v>482</v>
      </c>
      <c r="N156" s="40">
        <v>43388</v>
      </c>
      <c r="O156" s="131" t="s">
        <v>481</v>
      </c>
      <c r="P156" s="63" t="s">
        <v>17</v>
      </c>
      <c r="Q156" s="63" t="s">
        <v>17</v>
      </c>
      <c r="R156" s="81"/>
      <c r="S156" s="80" t="s">
        <v>10</v>
      </c>
      <c r="T156" s="80" t="s">
        <v>11</v>
      </c>
      <c r="U156" s="82">
        <v>1.19</v>
      </c>
      <c r="V156" s="83"/>
      <c r="W156" s="83"/>
      <c r="X156" s="83">
        <v>100</v>
      </c>
      <c r="Y156" s="83">
        <v>380</v>
      </c>
      <c r="Z156" s="83">
        <v>500</v>
      </c>
      <c r="AA156" s="100">
        <v>0.38</v>
      </c>
      <c r="AB156" s="100">
        <v>0.76</v>
      </c>
      <c r="AC156" s="100">
        <v>1.1399999999999999</v>
      </c>
      <c r="AD156" s="100">
        <v>1.91</v>
      </c>
      <c r="AE156" s="100">
        <v>2.86</v>
      </c>
      <c r="AF156" s="100">
        <v>3.81</v>
      </c>
      <c r="AG156" s="100">
        <v>94.1</v>
      </c>
      <c r="AH156" s="100">
        <v>95.9</v>
      </c>
      <c r="AI156" s="100">
        <v>96.9</v>
      </c>
      <c r="AJ156" s="100">
        <v>97.3</v>
      </c>
      <c r="AK156" s="100">
        <v>97.2</v>
      </c>
      <c r="AL156" s="100">
        <v>96.8</v>
      </c>
      <c r="AM156" s="100">
        <v>97</v>
      </c>
      <c r="AN156" s="100">
        <v>95.5</v>
      </c>
      <c r="AO156" s="100">
        <v>96.9</v>
      </c>
      <c r="AP156" s="100">
        <v>98</v>
      </c>
      <c r="AQ156" s="100">
        <v>98.3</v>
      </c>
      <c r="AR156" s="100">
        <v>98.1</v>
      </c>
      <c r="AS156" s="100">
        <v>98</v>
      </c>
      <c r="AT156" s="100">
        <v>98</v>
      </c>
      <c r="AU156" s="100">
        <v>94.6</v>
      </c>
      <c r="AV156" s="100">
        <v>95.6</v>
      </c>
      <c r="AW156" s="100">
        <v>97.3</v>
      </c>
      <c r="AX156" s="100">
        <v>97.8</v>
      </c>
      <c r="AY156" s="100">
        <v>97.8</v>
      </c>
      <c r="AZ156" s="100">
        <v>97.6</v>
      </c>
      <c r="BA156" s="100">
        <v>97.5</v>
      </c>
      <c r="BB156" s="40">
        <v>43024</v>
      </c>
      <c r="BC156" s="40">
        <v>43388</v>
      </c>
    </row>
    <row r="157" spans="1:55" s="120" customFormat="1" ht="45">
      <c r="A157" s="74" t="s">
        <v>2</v>
      </c>
      <c r="B157" s="74" t="s">
        <v>956</v>
      </c>
      <c r="C157" s="63" t="s">
        <v>10</v>
      </c>
      <c r="D157" s="63" t="s">
        <v>10</v>
      </c>
      <c r="E157" s="43" t="s">
        <v>10</v>
      </c>
      <c r="F157" s="63" t="s">
        <v>11</v>
      </c>
      <c r="G157" s="37" t="s">
        <v>630</v>
      </c>
      <c r="H157" s="35">
        <v>3.84</v>
      </c>
      <c r="I157" s="35">
        <v>240</v>
      </c>
      <c r="J157" s="35">
        <v>97.5</v>
      </c>
      <c r="K157" s="39" t="s">
        <v>1324</v>
      </c>
      <c r="L157" s="128" t="s">
        <v>628</v>
      </c>
      <c r="M157" s="39" t="s">
        <v>629</v>
      </c>
      <c r="N157" s="40">
        <v>43388</v>
      </c>
      <c r="O157" s="128" t="s">
        <v>628</v>
      </c>
      <c r="P157" s="63" t="s">
        <v>17</v>
      </c>
      <c r="Q157" s="63" t="s">
        <v>17</v>
      </c>
      <c r="R157" s="54"/>
      <c r="S157" s="34" t="s">
        <v>10</v>
      </c>
      <c r="T157" s="34" t="s">
        <v>11</v>
      </c>
      <c r="U157" s="35">
        <v>2.0299999999999998</v>
      </c>
      <c r="V157" s="35"/>
      <c r="W157" s="35"/>
      <c r="X157" s="35">
        <v>180</v>
      </c>
      <c r="Y157" s="35">
        <v>380</v>
      </c>
      <c r="Z157" s="35">
        <v>480</v>
      </c>
      <c r="AA157" s="103">
        <v>0.38400000000000001</v>
      </c>
      <c r="AB157" s="103">
        <v>0.76800000000000002</v>
      </c>
      <c r="AC157" s="103">
        <v>1.1519999999999999</v>
      </c>
      <c r="AD157" s="103">
        <v>1.92</v>
      </c>
      <c r="AE157" s="103">
        <v>2.88</v>
      </c>
      <c r="AF157" s="103">
        <v>3.84</v>
      </c>
      <c r="AG157" s="103">
        <v>92.9</v>
      </c>
      <c r="AH157" s="103">
        <v>95.1</v>
      </c>
      <c r="AI157" s="103">
        <v>96.1</v>
      </c>
      <c r="AJ157" s="103">
        <v>96.9</v>
      </c>
      <c r="AK157" s="103">
        <v>96.9</v>
      </c>
      <c r="AL157" s="103">
        <v>96.7</v>
      </c>
      <c r="AM157" s="103">
        <v>96.6</v>
      </c>
      <c r="AN157" s="103">
        <v>95.7</v>
      </c>
      <c r="AO157" s="103">
        <v>97.4</v>
      </c>
      <c r="AP157" s="103">
        <v>97.8</v>
      </c>
      <c r="AQ157" s="103">
        <v>98.1</v>
      </c>
      <c r="AR157" s="103">
        <v>98.1</v>
      </c>
      <c r="AS157" s="103">
        <v>98</v>
      </c>
      <c r="AT157" s="103">
        <v>98</v>
      </c>
      <c r="AU157" s="103">
        <v>93.6</v>
      </c>
      <c r="AV157" s="103">
        <v>96.4</v>
      </c>
      <c r="AW157" s="103">
        <v>97.2</v>
      </c>
      <c r="AX157" s="103">
        <v>97.7</v>
      </c>
      <c r="AY157" s="103">
        <v>97.8</v>
      </c>
      <c r="AZ157" s="103">
        <v>97.7</v>
      </c>
      <c r="BA157" s="103">
        <v>97.5</v>
      </c>
      <c r="BB157" s="40">
        <v>43160</v>
      </c>
      <c r="BC157" s="40">
        <v>43388</v>
      </c>
    </row>
    <row r="158" spans="1:55" s="120" customFormat="1" ht="45">
      <c r="A158" s="74" t="s">
        <v>2</v>
      </c>
      <c r="B158" s="74" t="s">
        <v>957</v>
      </c>
      <c r="C158" s="63" t="s">
        <v>10</v>
      </c>
      <c r="D158" s="63" t="s">
        <v>10</v>
      </c>
      <c r="E158" s="43" t="s">
        <v>10</v>
      </c>
      <c r="F158" s="63" t="s">
        <v>11</v>
      </c>
      <c r="G158" s="37" t="s">
        <v>631</v>
      </c>
      <c r="H158" s="35">
        <v>4.16</v>
      </c>
      <c r="I158" s="35">
        <v>208</v>
      </c>
      <c r="J158" s="35">
        <v>97.5</v>
      </c>
      <c r="K158" s="39" t="s">
        <v>1324</v>
      </c>
      <c r="L158" s="128" t="s">
        <v>628</v>
      </c>
      <c r="M158" s="39" t="s">
        <v>629</v>
      </c>
      <c r="N158" s="40">
        <v>43388</v>
      </c>
      <c r="O158" s="128" t="s">
        <v>628</v>
      </c>
      <c r="P158" s="63" t="s">
        <v>17</v>
      </c>
      <c r="Q158" s="63" t="s">
        <v>17</v>
      </c>
      <c r="R158" s="54"/>
      <c r="S158" s="34" t="s">
        <v>10</v>
      </c>
      <c r="T158" s="34" t="s">
        <v>11</v>
      </c>
      <c r="U158" s="35">
        <v>1.24</v>
      </c>
      <c r="V158" s="35"/>
      <c r="W158" s="35"/>
      <c r="X158" s="35">
        <v>220</v>
      </c>
      <c r="Y158" s="35">
        <v>380</v>
      </c>
      <c r="Z158" s="35">
        <v>480</v>
      </c>
      <c r="AA158" s="103">
        <v>0.41599999999999998</v>
      </c>
      <c r="AB158" s="103">
        <v>0.83199999999999996</v>
      </c>
      <c r="AC158" s="103">
        <v>1.248</v>
      </c>
      <c r="AD158" s="103">
        <v>2.08</v>
      </c>
      <c r="AE158" s="103">
        <v>3.12</v>
      </c>
      <c r="AF158" s="103">
        <v>4.16</v>
      </c>
      <c r="AG158" s="103">
        <v>94.5</v>
      </c>
      <c r="AH158" s="103">
        <v>96.1</v>
      </c>
      <c r="AI158" s="103">
        <v>96.9</v>
      </c>
      <c r="AJ158" s="103">
        <v>97.3</v>
      </c>
      <c r="AK158" s="103">
        <v>97.2</v>
      </c>
      <c r="AL158" s="103">
        <v>96.9</v>
      </c>
      <c r="AM158" s="103">
        <v>97</v>
      </c>
      <c r="AN158" s="103">
        <v>95.8</v>
      </c>
      <c r="AO158" s="103">
        <v>97.3</v>
      </c>
      <c r="AP158" s="103">
        <v>97.8</v>
      </c>
      <c r="AQ158" s="103">
        <v>98</v>
      </c>
      <c r="AR158" s="103">
        <v>97.8</v>
      </c>
      <c r="AS158" s="103">
        <v>97.6</v>
      </c>
      <c r="AT158" s="103">
        <v>97.7</v>
      </c>
      <c r="AU158" s="103">
        <v>95</v>
      </c>
      <c r="AV158" s="103">
        <v>96.8</v>
      </c>
      <c r="AW158" s="103">
        <v>97.4</v>
      </c>
      <c r="AX158" s="103">
        <v>97.7</v>
      </c>
      <c r="AY158" s="103">
        <v>97.7</v>
      </c>
      <c r="AZ158" s="103">
        <v>97.4</v>
      </c>
      <c r="BA158" s="103">
        <v>97.5</v>
      </c>
      <c r="BB158" s="40">
        <v>43160</v>
      </c>
      <c r="BC158" s="40">
        <v>43388</v>
      </c>
    </row>
    <row r="159" spans="1:55" s="120" customFormat="1" ht="45">
      <c r="A159" s="74" t="s">
        <v>2</v>
      </c>
      <c r="B159" s="74" t="s">
        <v>958</v>
      </c>
      <c r="C159" s="63" t="s">
        <v>10</v>
      </c>
      <c r="D159" s="63" t="s">
        <v>10</v>
      </c>
      <c r="E159" s="43" t="s">
        <v>10</v>
      </c>
      <c r="F159" s="63" t="s">
        <v>11</v>
      </c>
      <c r="G159" s="37" t="s">
        <v>632</v>
      </c>
      <c r="H159" s="35">
        <v>4.8600000000000003</v>
      </c>
      <c r="I159" s="35">
        <v>240</v>
      </c>
      <c r="J159" s="35">
        <v>97.5</v>
      </c>
      <c r="K159" s="39" t="s">
        <v>1324</v>
      </c>
      <c r="L159" s="128" t="s">
        <v>628</v>
      </c>
      <c r="M159" s="39" t="s">
        <v>629</v>
      </c>
      <c r="N159" s="40">
        <v>43388</v>
      </c>
      <c r="O159" s="128" t="s">
        <v>628</v>
      </c>
      <c r="P159" s="63" t="s">
        <v>17</v>
      </c>
      <c r="Q159" s="63" t="s">
        <v>17</v>
      </c>
      <c r="R159" s="54"/>
      <c r="S159" s="34" t="s">
        <v>10</v>
      </c>
      <c r="T159" s="34" t="s">
        <v>11</v>
      </c>
      <c r="U159" s="35">
        <v>1.26</v>
      </c>
      <c r="V159" s="35"/>
      <c r="W159" s="35"/>
      <c r="X159" s="35">
        <v>220</v>
      </c>
      <c r="Y159" s="35">
        <v>380</v>
      </c>
      <c r="Z159" s="35">
        <v>480</v>
      </c>
      <c r="AA159" s="103">
        <v>0.48</v>
      </c>
      <c r="AB159" s="103">
        <v>0.96</v>
      </c>
      <c r="AC159" s="103">
        <v>1.44</v>
      </c>
      <c r="AD159" s="103">
        <v>2.4</v>
      </c>
      <c r="AE159" s="103">
        <v>3.6</v>
      </c>
      <c r="AF159" s="103">
        <v>4.8</v>
      </c>
      <c r="AG159" s="103">
        <v>94.3</v>
      </c>
      <c r="AH159" s="103">
        <v>96.1</v>
      </c>
      <c r="AI159" s="103">
        <v>96.9</v>
      </c>
      <c r="AJ159" s="103">
        <v>97.3</v>
      </c>
      <c r="AK159" s="103">
        <v>97.2</v>
      </c>
      <c r="AL159" s="103">
        <v>96.9</v>
      </c>
      <c r="AM159" s="103">
        <v>97</v>
      </c>
      <c r="AN159" s="103">
        <v>96.3</v>
      </c>
      <c r="AO159" s="103">
        <v>97.6</v>
      </c>
      <c r="AP159" s="103">
        <v>98</v>
      </c>
      <c r="AQ159" s="103">
        <v>98.2</v>
      </c>
      <c r="AR159" s="103">
        <v>98</v>
      </c>
      <c r="AS159" s="103">
        <v>97.8</v>
      </c>
      <c r="AT159" s="103">
        <v>97.9</v>
      </c>
      <c r="AU159" s="103">
        <v>95.6</v>
      </c>
      <c r="AV159" s="103">
        <v>97.2</v>
      </c>
      <c r="AW159" s="103">
        <v>97.7</v>
      </c>
      <c r="AX159" s="103">
        <v>98</v>
      </c>
      <c r="AY159" s="103">
        <v>97.9</v>
      </c>
      <c r="AZ159" s="103">
        <v>97.7</v>
      </c>
      <c r="BA159" s="103">
        <v>97.8</v>
      </c>
      <c r="BB159" s="40">
        <v>43160</v>
      </c>
      <c r="BC159" s="40">
        <v>43388</v>
      </c>
    </row>
    <row r="160" spans="1:55" s="120" customFormat="1" ht="45">
      <c r="A160" s="74" t="s">
        <v>2</v>
      </c>
      <c r="B160" s="74" t="s">
        <v>959</v>
      </c>
      <c r="C160" s="63" t="s">
        <v>10</v>
      </c>
      <c r="D160" s="63" t="s">
        <v>10</v>
      </c>
      <c r="E160" s="43" t="s">
        <v>10</v>
      </c>
      <c r="F160" s="63" t="s">
        <v>11</v>
      </c>
      <c r="G160" s="37" t="s">
        <v>633</v>
      </c>
      <c r="H160" s="35">
        <v>4.99</v>
      </c>
      <c r="I160" s="35">
        <v>208</v>
      </c>
      <c r="J160" s="35">
        <v>97</v>
      </c>
      <c r="K160" s="39" t="s">
        <v>1324</v>
      </c>
      <c r="L160" s="128" t="s">
        <v>628</v>
      </c>
      <c r="M160" s="39" t="s">
        <v>629</v>
      </c>
      <c r="N160" s="40">
        <v>43388</v>
      </c>
      <c r="O160" s="128" t="s">
        <v>628</v>
      </c>
      <c r="P160" s="63" t="s">
        <v>17</v>
      </c>
      <c r="Q160" s="63" t="s">
        <v>17</v>
      </c>
      <c r="R160" s="54"/>
      <c r="S160" s="34" t="s">
        <v>10</v>
      </c>
      <c r="T160" s="34" t="s">
        <v>11</v>
      </c>
      <c r="U160" s="35">
        <v>1.86</v>
      </c>
      <c r="V160" s="35"/>
      <c r="W160" s="35"/>
      <c r="X160" s="35">
        <v>200</v>
      </c>
      <c r="Y160" s="35">
        <v>380</v>
      </c>
      <c r="Z160" s="35">
        <v>480</v>
      </c>
      <c r="AA160" s="103">
        <v>0.49919999999999998</v>
      </c>
      <c r="AB160" s="103">
        <v>0.99839999999999995</v>
      </c>
      <c r="AC160" s="103">
        <v>1.4976</v>
      </c>
      <c r="AD160" s="103">
        <v>2.496</v>
      </c>
      <c r="AE160" s="103">
        <v>3.7440000000000002</v>
      </c>
      <c r="AF160" s="103">
        <v>4.992</v>
      </c>
      <c r="AG160" s="103">
        <v>94</v>
      </c>
      <c r="AH160" s="103">
        <v>95.6</v>
      </c>
      <c r="AI160" s="103">
        <v>96.5</v>
      </c>
      <c r="AJ160" s="103">
        <v>97</v>
      </c>
      <c r="AK160" s="103">
        <v>97</v>
      </c>
      <c r="AL160" s="103">
        <v>96.7</v>
      </c>
      <c r="AM160" s="103">
        <v>96.7</v>
      </c>
      <c r="AN160" s="103">
        <v>95.7</v>
      </c>
      <c r="AO160" s="103">
        <v>97.2</v>
      </c>
      <c r="AP160" s="103">
        <v>97.7</v>
      </c>
      <c r="AQ160" s="103">
        <v>97.8</v>
      </c>
      <c r="AR160" s="103">
        <v>97.7</v>
      </c>
      <c r="AS160" s="103">
        <v>97.3</v>
      </c>
      <c r="AT160" s="103">
        <v>97.6</v>
      </c>
      <c r="AU160" s="103">
        <v>94.6</v>
      </c>
      <c r="AV160" s="103">
        <v>96.5</v>
      </c>
      <c r="AW160" s="103">
        <v>97.2</v>
      </c>
      <c r="AX160" s="103">
        <v>97.5</v>
      </c>
      <c r="AY160" s="103">
        <v>97.5</v>
      </c>
      <c r="AZ160" s="103">
        <v>97.2</v>
      </c>
      <c r="BA160" s="103">
        <v>97.3</v>
      </c>
      <c r="BB160" s="40">
        <v>43160</v>
      </c>
      <c r="BC160" s="40">
        <v>43388</v>
      </c>
    </row>
    <row r="161" spans="1:55" s="120" customFormat="1" ht="45">
      <c r="A161" s="41" t="s">
        <v>2</v>
      </c>
      <c r="B161" s="41" t="s">
        <v>960</v>
      </c>
      <c r="C161" s="43" t="s">
        <v>10</v>
      </c>
      <c r="D161" s="43" t="s">
        <v>10</v>
      </c>
      <c r="E161" s="43" t="s">
        <v>10</v>
      </c>
      <c r="F161" s="63" t="s">
        <v>11</v>
      </c>
      <c r="G161" s="41" t="s">
        <v>772</v>
      </c>
      <c r="H161" s="27">
        <v>4.992</v>
      </c>
      <c r="I161" s="109">
        <v>208</v>
      </c>
      <c r="J161" s="27">
        <v>97</v>
      </c>
      <c r="K161" s="39" t="s">
        <v>1324</v>
      </c>
      <c r="L161" s="130" t="s">
        <v>773</v>
      </c>
      <c r="M161" s="110" t="s">
        <v>629</v>
      </c>
      <c r="N161" s="40">
        <v>43388</v>
      </c>
      <c r="O161" s="130" t="s">
        <v>773</v>
      </c>
      <c r="P161" s="63" t="s">
        <v>17</v>
      </c>
      <c r="Q161" s="63" t="s">
        <v>17</v>
      </c>
      <c r="R161" s="112"/>
      <c r="S161" s="111" t="s">
        <v>10</v>
      </c>
      <c r="T161" s="111" t="s">
        <v>11</v>
      </c>
      <c r="U161" s="113">
        <v>1.86</v>
      </c>
      <c r="V161" s="113"/>
      <c r="W161" s="113"/>
      <c r="X161" s="113">
        <v>200</v>
      </c>
      <c r="Y161" s="113">
        <v>380</v>
      </c>
      <c r="Z161" s="113">
        <v>480</v>
      </c>
      <c r="AA161" s="114">
        <v>0.49920000000000003</v>
      </c>
      <c r="AB161" s="114">
        <v>0.99840000000000007</v>
      </c>
      <c r="AC161" s="114">
        <v>1.4976</v>
      </c>
      <c r="AD161" s="114">
        <v>2.496</v>
      </c>
      <c r="AE161" s="114">
        <v>3.7439999999999998</v>
      </c>
      <c r="AF161" s="114">
        <v>4.992</v>
      </c>
      <c r="AG161" s="114">
        <v>94.001552279710452</v>
      </c>
      <c r="AH161" s="114">
        <v>95.64854413845292</v>
      </c>
      <c r="AI161" s="114">
        <v>96.470502310715119</v>
      </c>
      <c r="AJ161" s="114">
        <v>97.031778029948327</v>
      </c>
      <c r="AK161" s="114">
        <v>96.98839431139308</v>
      </c>
      <c r="AL161" s="114">
        <v>96.678915967705834</v>
      </c>
      <c r="AM161" s="114">
        <v>96.733417745109648</v>
      </c>
      <c r="AN161" s="114">
        <v>95.696002839548186</v>
      </c>
      <c r="AO161" s="114">
        <v>97.220439644049392</v>
      </c>
      <c r="AP161" s="114">
        <v>97.652205765380231</v>
      </c>
      <c r="AQ161" s="114">
        <v>97.83623139070302</v>
      </c>
      <c r="AR161" s="114">
        <v>97.667061705813495</v>
      </c>
      <c r="AS161" s="114">
        <v>97.349085557061244</v>
      </c>
      <c r="AT161" s="114">
        <v>97.583732361611879</v>
      </c>
      <c r="AU161" s="114">
        <v>94.631669734067614</v>
      </c>
      <c r="AV161" s="114">
        <v>96.516985505297939</v>
      </c>
      <c r="AW161" s="114">
        <v>97.173540834476398</v>
      </c>
      <c r="AX161" s="114">
        <v>97.541628657333121</v>
      </c>
      <c r="AY161" s="114">
        <v>97.47105873269301</v>
      </c>
      <c r="AZ161" s="114">
        <v>97.173936814249188</v>
      </c>
      <c r="BA161" s="114">
        <v>97.274040951844484</v>
      </c>
      <c r="BB161" s="40">
        <v>43313</v>
      </c>
      <c r="BC161" s="40">
        <v>43388</v>
      </c>
    </row>
    <row r="162" spans="1:55" s="120" customFormat="1" ht="45">
      <c r="A162" s="41" t="s">
        <v>2</v>
      </c>
      <c r="B162" s="41" t="s">
        <v>961</v>
      </c>
      <c r="C162" s="43" t="s">
        <v>10</v>
      </c>
      <c r="D162" s="43" t="s">
        <v>10</v>
      </c>
      <c r="E162" s="43" t="s">
        <v>10</v>
      </c>
      <c r="F162" s="63" t="s">
        <v>11</v>
      </c>
      <c r="G162" s="41" t="s">
        <v>777</v>
      </c>
      <c r="H162" s="27">
        <v>5</v>
      </c>
      <c r="I162" s="109">
        <v>208</v>
      </c>
      <c r="J162" s="27">
        <v>98</v>
      </c>
      <c r="K162" s="39" t="s">
        <v>1324</v>
      </c>
      <c r="L162" s="130" t="s">
        <v>773</v>
      </c>
      <c r="M162" s="110" t="s">
        <v>629</v>
      </c>
      <c r="N162" s="40">
        <v>43388</v>
      </c>
      <c r="O162" s="130" t="s">
        <v>773</v>
      </c>
      <c r="P162" s="63" t="s">
        <v>17</v>
      </c>
      <c r="Q162" s="63" t="s">
        <v>17</v>
      </c>
      <c r="R162" s="112"/>
      <c r="S162" s="111" t="s">
        <v>10</v>
      </c>
      <c r="T162" s="111" t="s">
        <v>11</v>
      </c>
      <c r="U162" s="113">
        <v>1.85</v>
      </c>
      <c r="V162" s="113"/>
      <c r="W162" s="113"/>
      <c r="X162" s="113">
        <v>350</v>
      </c>
      <c r="Y162" s="113">
        <v>400</v>
      </c>
      <c r="Z162" s="113">
        <v>480</v>
      </c>
      <c r="AA162" s="114">
        <v>0.5</v>
      </c>
      <c r="AB162" s="114">
        <v>1</v>
      </c>
      <c r="AC162" s="114">
        <v>1.5</v>
      </c>
      <c r="AD162" s="114">
        <v>2.5</v>
      </c>
      <c r="AE162" s="114">
        <v>3.75</v>
      </c>
      <c r="AF162" s="114">
        <v>5</v>
      </c>
      <c r="AG162" s="114">
        <v>96.357619047619053</v>
      </c>
      <c r="AH162" s="114">
        <v>97.710380952380973</v>
      </c>
      <c r="AI162" s="114">
        <v>98.120142857142852</v>
      </c>
      <c r="AJ162" s="114">
        <v>98.208238095238102</v>
      </c>
      <c r="AK162" s="114">
        <v>98.033666666666676</v>
      </c>
      <c r="AL162" s="114">
        <v>97.687619047619037</v>
      </c>
      <c r="AM162" s="114">
        <v>97.980195238095249</v>
      </c>
      <c r="AN162" s="114">
        <v>95.697428571428574</v>
      </c>
      <c r="AO162" s="114">
        <v>97.377047619047616</v>
      </c>
      <c r="AP162" s="114">
        <v>97.868190476190492</v>
      </c>
      <c r="AQ162" s="114">
        <v>98.05714285714285</v>
      </c>
      <c r="AR162" s="114">
        <v>97.920047619047622</v>
      </c>
      <c r="AS162" s="114">
        <v>97.611000000000004</v>
      </c>
      <c r="AT162" s="114">
        <v>97.811107619047618</v>
      </c>
      <c r="AU162" s="114">
        <v>94.798285714285726</v>
      </c>
      <c r="AV162" s="114">
        <v>96.77690476190476</v>
      </c>
      <c r="AW162" s="114">
        <v>97.453619047619057</v>
      </c>
      <c r="AX162" s="114">
        <v>97.765047619047621</v>
      </c>
      <c r="AY162" s="114">
        <v>97.721095238095231</v>
      </c>
      <c r="AZ162" s="114">
        <v>97.430952380952377</v>
      </c>
      <c r="BA162" s="114">
        <v>97.519599047619039</v>
      </c>
      <c r="BB162" s="40">
        <v>43313</v>
      </c>
      <c r="BC162" s="40">
        <v>43388</v>
      </c>
    </row>
    <row r="163" spans="1:55" s="120" customFormat="1" ht="45">
      <c r="A163" s="41" t="s">
        <v>2</v>
      </c>
      <c r="B163" s="41" t="s">
        <v>962</v>
      </c>
      <c r="C163" s="43" t="s">
        <v>10</v>
      </c>
      <c r="D163" s="43" t="s">
        <v>10</v>
      </c>
      <c r="E163" s="43" t="s">
        <v>10</v>
      </c>
      <c r="F163" s="63" t="s">
        <v>11</v>
      </c>
      <c r="G163" s="41" t="s">
        <v>778</v>
      </c>
      <c r="H163" s="27">
        <v>5</v>
      </c>
      <c r="I163" s="109">
        <v>240</v>
      </c>
      <c r="J163" s="27">
        <v>98</v>
      </c>
      <c r="K163" s="39" t="s">
        <v>1324</v>
      </c>
      <c r="L163" s="130" t="s">
        <v>773</v>
      </c>
      <c r="M163" s="110" t="s">
        <v>629</v>
      </c>
      <c r="N163" s="40">
        <v>43388</v>
      </c>
      <c r="O163" s="130" t="s">
        <v>773</v>
      </c>
      <c r="P163" s="63" t="s">
        <v>17</v>
      </c>
      <c r="Q163" s="63" t="s">
        <v>17</v>
      </c>
      <c r="R163" s="112"/>
      <c r="S163" s="111" t="s">
        <v>10</v>
      </c>
      <c r="T163" s="111" t="s">
        <v>11</v>
      </c>
      <c r="U163" s="113">
        <v>2.0499999999999998</v>
      </c>
      <c r="V163" s="113"/>
      <c r="W163" s="113"/>
      <c r="X163" s="113">
        <v>350</v>
      </c>
      <c r="Y163" s="113">
        <v>400</v>
      </c>
      <c r="Z163" s="113">
        <v>480</v>
      </c>
      <c r="AA163" s="114">
        <v>0.5</v>
      </c>
      <c r="AB163" s="114">
        <v>1</v>
      </c>
      <c r="AC163" s="114">
        <v>1.5</v>
      </c>
      <c r="AD163" s="114">
        <v>2.5</v>
      </c>
      <c r="AE163" s="114">
        <v>3.75</v>
      </c>
      <c r="AF163" s="114">
        <v>5</v>
      </c>
      <c r="AG163" s="114">
        <v>96.480904761904767</v>
      </c>
      <c r="AH163" s="114">
        <v>97.584571428571422</v>
      </c>
      <c r="AI163" s="114">
        <v>98.116714285714281</v>
      </c>
      <c r="AJ163" s="114">
        <v>98.473571428571418</v>
      </c>
      <c r="AK163" s="114">
        <v>98.323761904761909</v>
      </c>
      <c r="AL163" s="114">
        <v>97.935095238095229</v>
      </c>
      <c r="AM163" s="114">
        <v>98.200269047619059</v>
      </c>
      <c r="AN163" s="114">
        <v>95.893809523809523</v>
      </c>
      <c r="AO163" s="114">
        <v>97.550809523809534</v>
      </c>
      <c r="AP163" s="114">
        <v>98.008380952380961</v>
      </c>
      <c r="AQ163" s="114">
        <v>98.450666666666663</v>
      </c>
      <c r="AR163" s="114">
        <v>98.350333333333339</v>
      </c>
      <c r="AS163" s="114">
        <v>98.123761904761906</v>
      </c>
      <c r="AT163" s="114">
        <v>98.18080333333333</v>
      </c>
      <c r="AU163" s="114">
        <v>94.871809523809517</v>
      </c>
      <c r="AV163" s="114">
        <v>96.934095238095253</v>
      </c>
      <c r="AW163" s="114">
        <v>97.58580952380953</v>
      </c>
      <c r="AX163" s="114">
        <v>98.19490476190478</v>
      </c>
      <c r="AY163" s="114">
        <v>98.167285714285725</v>
      </c>
      <c r="AZ163" s="114">
        <v>97.967238095238102</v>
      </c>
      <c r="BA163" s="114">
        <v>97.899827619047642</v>
      </c>
      <c r="BB163" s="40">
        <v>43313</v>
      </c>
      <c r="BC163" s="40">
        <v>43388</v>
      </c>
    </row>
    <row r="164" spans="1:55" s="120" customFormat="1" ht="60">
      <c r="A164" s="76" t="s">
        <v>2</v>
      </c>
      <c r="B164" s="76" t="s">
        <v>963</v>
      </c>
      <c r="C164" s="79" t="s">
        <v>10</v>
      </c>
      <c r="D164" s="79" t="s">
        <v>10</v>
      </c>
      <c r="E164" s="43" t="s">
        <v>10</v>
      </c>
      <c r="F164" s="63" t="s">
        <v>11</v>
      </c>
      <c r="G164" s="76" t="s">
        <v>276</v>
      </c>
      <c r="H164" s="90">
        <v>5.2</v>
      </c>
      <c r="I164" s="77">
        <v>208</v>
      </c>
      <c r="J164" s="78">
        <v>97.5</v>
      </c>
      <c r="K164" s="39" t="s">
        <v>1324</v>
      </c>
      <c r="L164" s="131" t="s">
        <v>481</v>
      </c>
      <c r="M164" s="79" t="s">
        <v>482</v>
      </c>
      <c r="N164" s="40">
        <v>43388</v>
      </c>
      <c r="O164" s="131" t="s">
        <v>481</v>
      </c>
      <c r="P164" s="63" t="s">
        <v>17</v>
      </c>
      <c r="Q164" s="63" t="s">
        <v>17</v>
      </c>
      <c r="R164" s="81"/>
      <c r="S164" s="80" t="s">
        <v>10</v>
      </c>
      <c r="T164" s="80" t="s">
        <v>11</v>
      </c>
      <c r="U164" s="82">
        <v>1.31</v>
      </c>
      <c r="V164" s="83"/>
      <c r="W164" s="83"/>
      <c r="X164" s="83">
        <v>100</v>
      </c>
      <c r="Y164" s="83">
        <v>380</v>
      </c>
      <c r="Z164" s="83">
        <v>500</v>
      </c>
      <c r="AA164" s="100">
        <v>0.52</v>
      </c>
      <c r="AB164" s="100">
        <v>1.04</v>
      </c>
      <c r="AC164" s="100">
        <v>1.56</v>
      </c>
      <c r="AD164" s="100">
        <v>2.6</v>
      </c>
      <c r="AE164" s="100">
        <v>3.9</v>
      </c>
      <c r="AF164" s="100">
        <v>5.2</v>
      </c>
      <c r="AG164" s="100">
        <v>93.6</v>
      </c>
      <c r="AH164" s="100">
        <v>95.6</v>
      </c>
      <c r="AI164" s="100">
        <v>96.3</v>
      </c>
      <c r="AJ164" s="100">
        <v>97.2</v>
      </c>
      <c r="AK164" s="100">
        <v>97.1</v>
      </c>
      <c r="AL164" s="100">
        <v>96.8</v>
      </c>
      <c r="AM164" s="100">
        <v>96.8</v>
      </c>
      <c r="AN164" s="100">
        <v>95.2</v>
      </c>
      <c r="AO164" s="100">
        <v>96.6</v>
      </c>
      <c r="AP164" s="100">
        <v>97.5</v>
      </c>
      <c r="AQ164" s="100">
        <v>98</v>
      </c>
      <c r="AR164" s="100">
        <v>98</v>
      </c>
      <c r="AS164" s="100">
        <v>97.7</v>
      </c>
      <c r="AT164" s="100">
        <v>97.7</v>
      </c>
      <c r="AU164" s="100">
        <v>93.6</v>
      </c>
      <c r="AV164" s="100">
        <v>96.3</v>
      </c>
      <c r="AW164" s="100">
        <v>97</v>
      </c>
      <c r="AX164" s="100">
        <v>97.7</v>
      </c>
      <c r="AY164" s="100">
        <v>97.7</v>
      </c>
      <c r="AZ164" s="100">
        <v>97.5</v>
      </c>
      <c r="BA164" s="100">
        <v>97.4</v>
      </c>
      <c r="BB164" s="40">
        <v>43024</v>
      </c>
      <c r="BC164" s="40">
        <v>43388</v>
      </c>
    </row>
    <row r="165" spans="1:55" s="120" customFormat="1" ht="60">
      <c r="A165" s="76" t="s">
        <v>2</v>
      </c>
      <c r="B165" s="76" t="s">
        <v>964</v>
      </c>
      <c r="C165" s="79" t="s">
        <v>10</v>
      </c>
      <c r="D165" s="79" t="s">
        <v>10</v>
      </c>
      <c r="E165" s="43" t="s">
        <v>10</v>
      </c>
      <c r="F165" s="63" t="s">
        <v>11</v>
      </c>
      <c r="G165" s="76" t="s">
        <v>277</v>
      </c>
      <c r="H165" s="90">
        <v>5.2</v>
      </c>
      <c r="I165" s="77">
        <v>240</v>
      </c>
      <c r="J165" s="78">
        <v>97.5</v>
      </c>
      <c r="K165" s="39" t="s">
        <v>1324</v>
      </c>
      <c r="L165" s="131" t="s">
        <v>481</v>
      </c>
      <c r="M165" s="79" t="s">
        <v>482</v>
      </c>
      <c r="N165" s="40">
        <v>43388</v>
      </c>
      <c r="O165" s="131" t="s">
        <v>481</v>
      </c>
      <c r="P165" s="63" t="s">
        <v>17</v>
      </c>
      <c r="Q165" s="63" t="s">
        <v>17</v>
      </c>
      <c r="R165" s="81"/>
      <c r="S165" s="80" t="s">
        <v>10</v>
      </c>
      <c r="T165" s="80" t="s">
        <v>11</v>
      </c>
      <c r="U165" s="82">
        <v>1.42</v>
      </c>
      <c r="V165" s="83"/>
      <c r="W165" s="83"/>
      <c r="X165" s="83">
        <v>100</v>
      </c>
      <c r="Y165" s="83">
        <v>380</v>
      </c>
      <c r="Z165" s="83">
        <v>500</v>
      </c>
      <c r="AA165" s="100">
        <v>0.52</v>
      </c>
      <c r="AB165" s="100">
        <v>1.04</v>
      </c>
      <c r="AC165" s="100">
        <v>1.56</v>
      </c>
      <c r="AD165" s="100">
        <v>2.6</v>
      </c>
      <c r="AE165" s="100">
        <v>3.9</v>
      </c>
      <c r="AF165" s="100">
        <v>5.2</v>
      </c>
      <c r="AG165" s="100">
        <v>94</v>
      </c>
      <c r="AH165" s="100">
        <v>95.8</v>
      </c>
      <c r="AI165" s="100">
        <v>96.4</v>
      </c>
      <c r="AJ165" s="100">
        <v>97.3</v>
      </c>
      <c r="AK165" s="100">
        <v>97.4</v>
      </c>
      <c r="AL165" s="100">
        <v>97.1</v>
      </c>
      <c r="AM165" s="100">
        <v>97</v>
      </c>
      <c r="AN165" s="100">
        <v>95.2</v>
      </c>
      <c r="AO165" s="100">
        <v>97</v>
      </c>
      <c r="AP165" s="100">
        <v>97.5</v>
      </c>
      <c r="AQ165" s="100">
        <v>98.2</v>
      </c>
      <c r="AR165" s="100">
        <v>98.3</v>
      </c>
      <c r="AS165" s="100">
        <v>98.1</v>
      </c>
      <c r="AT165" s="100">
        <v>98</v>
      </c>
      <c r="AU165" s="100">
        <v>93.8</v>
      </c>
      <c r="AV165" s="100">
        <v>96.6</v>
      </c>
      <c r="AW165" s="100">
        <v>97.2</v>
      </c>
      <c r="AX165" s="100">
        <v>97.9</v>
      </c>
      <c r="AY165" s="100">
        <v>98</v>
      </c>
      <c r="AZ165" s="100">
        <v>98</v>
      </c>
      <c r="BA165" s="100">
        <v>97.7</v>
      </c>
      <c r="BB165" s="40">
        <v>43024</v>
      </c>
      <c r="BC165" s="40">
        <v>43388</v>
      </c>
    </row>
    <row r="166" spans="1:55" s="120" customFormat="1" ht="45">
      <c r="A166" s="41" t="s">
        <v>2</v>
      </c>
      <c r="B166" s="41" t="s">
        <v>965</v>
      </c>
      <c r="C166" s="43" t="s">
        <v>10</v>
      </c>
      <c r="D166" s="43" t="s">
        <v>10</v>
      </c>
      <c r="E166" s="43" t="s">
        <v>10</v>
      </c>
      <c r="F166" s="63" t="s">
        <v>11</v>
      </c>
      <c r="G166" s="41" t="s">
        <v>774</v>
      </c>
      <c r="H166" s="27">
        <v>5.76</v>
      </c>
      <c r="I166" s="109">
        <v>240</v>
      </c>
      <c r="J166" s="27">
        <v>97.5</v>
      </c>
      <c r="K166" s="39" t="s">
        <v>1324</v>
      </c>
      <c r="L166" s="130" t="s">
        <v>773</v>
      </c>
      <c r="M166" s="110" t="s">
        <v>629</v>
      </c>
      <c r="N166" s="40">
        <v>43388</v>
      </c>
      <c r="O166" s="130" t="s">
        <v>773</v>
      </c>
      <c r="P166" s="63" t="s">
        <v>17</v>
      </c>
      <c r="Q166" s="63" t="s">
        <v>17</v>
      </c>
      <c r="R166" s="112"/>
      <c r="S166" s="111" t="s">
        <v>10</v>
      </c>
      <c r="T166" s="111" t="s">
        <v>11</v>
      </c>
      <c r="U166" s="113">
        <v>2.25</v>
      </c>
      <c r="V166" s="113"/>
      <c r="W166" s="113"/>
      <c r="X166" s="113">
        <v>200</v>
      </c>
      <c r="Y166" s="113">
        <v>380</v>
      </c>
      <c r="Z166" s="113">
        <v>480</v>
      </c>
      <c r="AA166" s="114">
        <v>0.57599999999999996</v>
      </c>
      <c r="AB166" s="114">
        <v>1.1519999999999999</v>
      </c>
      <c r="AC166" s="114">
        <v>1.728</v>
      </c>
      <c r="AD166" s="114">
        <v>2.88</v>
      </c>
      <c r="AE166" s="114">
        <v>4.32</v>
      </c>
      <c r="AF166" s="114">
        <v>5.76</v>
      </c>
      <c r="AG166" s="114">
        <v>93.963625969438439</v>
      </c>
      <c r="AH166" s="114">
        <v>95.732446384706193</v>
      </c>
      <c r="AI166" s="114">
        <v>96.532807684212585</v>
      </c>
      <c r="AJ166" s="114">
        <v>97.118348653429621</v>
      </c>
      <c r="AK166" s="114">
        <v>97.062377987109016</v>
      </c>
      <c r="AL166" s="114">
        <v>96.774553568769321</v>
      </c>
      <c r="AM166" s="114">
        <v>96.805745508944824</v>
      </c>
      <c r="AN166" s="114">
        <v>96.257434448555912</v>
      </c>
      <c r="AO166" s="114">
        <v>97.61499418821316</v>
      </c>
      <c r="AP166" s="114">
        <v>97.981948161933175</v>
      </c>
      <c r="AQ166" s="114">
        <v>98.081440619035661</v>
      </c>
      <c r="AR166" s="114">
        <v>97.680440613673383</v>
      </c>
      <c r="AS166" s="114">
        <v>97.626730315988667</v>
      </c>
      <c r="AT166" s="114">
        <v>97.737953437828693</v>
      </c>
      <c r="AU166" s="114">
        <v>95.238569980658667</v>
      </c>
      <c r="AV166" s="114">
        <v>96.982509064759839</v>
      </c>
      <c r="AW166" s="114">
        <v>97.535664405666651</v>
      </c>
      <c r="AX166" s="114">
        <v>97.834209595941928</v>
      </c>
      <c r="AY166" s="114">
        <v>97.754794153662942</v>
      </c>
      <c r="AZ166" s="114">
        <v>97.458502206940707</v>
      </c>
      <c r="BA166" s="114">
        <v>97.591098008080536</v>
      </c>
      <c r="BB166" s="40">
        <v>43313</v>
      </c>
      <c r="BC166" s="40">
        <v>43388</v>
      </c>
    </row>
    <row r="167" spans="1:55" s="120" customFormat="1" ht="45">
      <c r="A167" s="74" t="s">
        <v>2</v>
      </c>
      <c r="B167" s="74" t="s">
        <v>966</v>
      </c>
      <c r="C167" s="63" t="s">
        <v>10</v>
      </c>
      <c r="D167" s="63" t="s">
        <v>10</v>
      </c>
      <c r="E167" s="43" t="s">
        <v>10</v>
      </c>
      <c r="F167" s="63" t="s">
        <v>11</v>
      </c>
      <c r="G167" s="37" t="s">
        <v>634</v>
      </c>
      <c r="H167" s="35">
        <v>5.76</v>
      </c>
      <c r="I167" s="35">
        <v>240</v>
      </c>
      <c r="J167" s="35">
        <v>97.5</v>
      </c>
      <c r="K167" s="39" t="s">
        <v>1324</v>
      </c>
      <c r="L167" s="128" t="s">
        <v>628</v>
      </c>
      <c r="M167" s="39" t="s">
        <v>629</v>
      </c>
      <c r="N167" s="40">
        <v>43388</v>
      </c>
      <c r="O167" s="128" t="s">
        <v>628</v>
      </c>
      <c r="P167" s="63" t="s">
        <v>17</v>
      </c>
      <c r="Q167" s="63" t="s">
        <v>17</v>
      </c>
      <c r="R167" s="54"/>
      <c r="S167" s="34" t="s">
        <v>10</v>
      </c>
      <c r="T167" s="34" t="s">
        <v>11</v>
      </c>
      <c r="U167" s="35">
        <v>2.25</v>
      </c>
      <c r="V167" s="35"/>
      <c r="W167" s="35"/>
      <c r="X167" s="35">
        <v>200</v>
      </c>
      <c r="Y167" s="35">
        <v>380</v>
      </c>
      <c r="Z167" s="35">
        <v>480</v>
      </c>
      <c r="AA167" s="103">
        <v>0.57599999999999996</v>
      </c>
      <c r="AB167" s="103">
        <v>1.1519999999999999</v>
      </c>
      <c r="AC167" s="103">
        <v>1.728</v>
      </c>
      <c r="AD167" s="103">
        <v>2.88</v>
      </c>
      <c r="AE167" s="103">
        <v>4.32</v>
      </c>
      <c r="AF167" s="103">
        <v>5.76</v>
      </c>
      <c r="AG167" s="103">
        <v>94</v>
      </c>
      <c r="AH167" s="103">
        <v>95.7</v>
      </c>
      <c r="AI167" s="103">
        <v>96.5</v>
      </c>
      <c r="AJ167" s="103">
        <v>97.1</v>
      </c>
      <c r="AK167" s="103">
        <v>97.1</v>
      </c>
      <c r="AL167" s="103">
        <v>96.8</v>
      </c>
      <c r="AM167" s="103">
        <v>96.8</v>
      </c>
      <c r="AN167" s="103">
        <v>96.3</v>
      </c>
      <c r="AO167" s="103">
        <v>97.6</v>
      </c>
      <c r="AP167" s="103">
        <v>98</v>
      </c>
      <c r="AQ167" s="103">
        <v>98.1</v>
      </c>
      <c r="AR167" s="103">
        <v>97.7</v>
      </c>
      <c r="AS167" s="103">
        <v>97.6</v>
      </c>
      <c r="AT167" s="103">
        <v>97.7</v>
      </c>
      <c r="AU167" s="103">
        <v>95.2</v>
      </c>
      <c r="AV167" s="103">
        <v>97</v>
      </c>
      <c r="AW167" s="103">
        <v>97.5</v>
      </c>
      <c r="AX167" s="103">
        <v>97.8</v>
      </c>
      <c r="AY167" s="103">
        <v>97.8</v>
      </c>
      <c r="AZ167" s="103">
        <v>97.5</v>
      </c>
      <c r="BA167" s="103">
        <v>97.6</v>
      </c>
      <c r="BB167" s="40">
        <v>43160</v>
      </c>
      <c r="BC167" s="40">
        <v>43388</v>
      </c>
    </row>
    <row r="168" spans="1:55" s="120" customFormat="1" ht="45">
      <c r="A168" s="41" t="s">
        <v>2</v>
      </c>
      <c r="B168" s="41" t="s">
        <v>967</v>
      </c>
      <c r="C168" s="43" t="s">
        <v>10</v>
      </c>
      <c r="D168" s="43" t="s">
        <v>10</v>
      </c>
      <c r="E168" s="43" t="s">
        <v>10</v>
      </c>
      <c r="F168" s="63" t="s">
        <v>11</v>
      </c>
      <c r="G168" s="41" t="s">
        <v>780</v>
      </c>
      <c r="H168" s="27">
        <v>6.4939999999999998</v>
      </c>
      <c r="I168" s="109">
        <v>240</v>
      </c>
      <c r="J168" s="27">
        <v>98</v>
      </c>
      <c r="K168" s="39" t="s">
        <v>1324</v>
      </c>
      <c r="L168" s="130" t="s">
        <v>773</v>
      </c>
      <c r="M168" s="110" t="s">
        <v>629</v>
      </c>
      <c r="N168" s="40">
        <v>43388</v>
      </c>
      <c r="O168" s="130" t="s">
        <v>773</v>
      </c>
      <c r="P168" s="63" t="s">
        <v>17</v>
      </c>
      <c r="Q168" s="63" t="s">
        <v>17</v>
      </c>
      <c r="R168" s="112"/>
      <c r="S168" s="111" t="s">
        <v>10</v>
      </c>
      <c r="T168" s="111" t="s">
        <v>11</v>
      </c>
      <c r="U168" s="113">
        <v>2.1</v>
      </c>
      <c r="V168" s="113"/>
      <c r="W168" s="113"/>
      <c r="X168" s="113">
        <v>350</v>
      </c>
      <c r="Y168" s="113">
        <v>400</v>
      </c>
      <c r="Z168" s="113">
        <v>480</v>
      </c>
      <c r="AA168" s="114">
        <v>0.65</v>
      </c>
      <c r="AB168" s="114">
        <v>1.3</v>
      </c>
      <c r="AC168" s="114">
        <v>1.95</v>
      </c>
      <c r="AD168" s="114">
        <v>3.25</v>
      </c>
      <c r="AE168" s="114">
        <v>4.875</v>
      </c>
      <c r="AF168" s="114">
        <v>6.5</v>
      </c>
      <c r="AG168" s="114">
        <v>96.563999999999993</v>
      </c>
      <c r="AH168" s="114">
        <v>97.95338095238094</v>
      </c>
      <c r="AI168" s="114">
        <v>98.173095238095243</v>
      </c>
      <c r="AJ168" s="114">
        <v>98.382476190476183</v>
      </c>
      <c r="AK168" s="114">
        <v>98.296190476190489</v>
      </c>
      <c r="AL168" s="114">
        <v>98.085619047619048</v>
      </c>
      <c r="AM168" s="114">
        <v>98.202582380952393</v>
      </c>
      <c r="AN168" s="114">
        <v>95.994095238095227</v>
      </c>
      <c r="AO168" s="114">
        <v>97.682761904761918</v>
      </c>
      <c r="AP168" s="114">
        <v>98.118190476190463</v>
      </c>
      <c r="AQ168" s="114">
        <v>98.371190476190478</v>
      </c>
      <c r="AR168" s="114">
        <v>98.35938095238096</v>
      </c>
      <c r="AS168" s="114">
        <v>98.092285714285723</v>
      </c>
      <c r="AT168" s="114">
        <v>98.191120952380956</v>
      </c>
      <c r="AU168" s="114">
        <v>95.036000000000016</v>
      </c>
      <c r="AV168" s="114">
        <v>97.145571428571429</v>
      </c>
      <c r="AW168" s="114">
        <v>97.744428571428571</v>
      </c>
      <c r="AX168" s="114">
        <v>98.115476190476201</v>
      </c>
      <c r="AY168" s="114">
        <v>98.178190476190494</v>
      </c>
      <c r="AZ168" s="114">
        <v>97.914095238095243</v>
      </c>
      <c r="BA168" s="114">
        <v>97.922445714285729</v>
      </c>
      <c r="BB168" s="40">
        <v>43313</v>
      </c>
      <c r="BC168" s="40">
        <v>43388</v>
      </c>
    </row>
    <row r="169" spans="1:55" s="120" customFormat="1" ht="45">
      <c r="A169" s="41" t="s">
        <v>2</v>
      </c>
      <c r="B169" s="41" t="s">
        <v>968</v>
      </c>
      <c r="C169" s="43" t="s">
        <v>10</v>
      </c>
      <c r="D169" s="43" t="s">
        <v>10</v>
      </c>
      <c r="E169" s="43" t="s">
        <v>10</v>
      </c>
      <c r="F169" s="63" t="s">
        <v>11</v>
      </c>
      <c r="G169" s="41" t="s">
        <v>779</v>
      </c>
      <c r="H169" s="27">
        <v>6.5</v>
      </c>
      <c r="I169" s="109">
        <v>208</v>
      </c>
      <c r="J169" s="27">
        <v>98</v>
      </c>
      <c r="K169" s="39" t="s">
        <v>1324</v>
      </c>
      <c r="L169" s="130" t="s">
        <v>773</v>
      </c>
      <c r="M169" s="110" t="s">
        <v>629</v>
      </c>
      <c r="N169" s="40">
        <v>43388</v>
      </c>
      <c r="O169" s="130" t="s">
        <v>773</v>
      </c>
      <c r="P169" s="63" t="s">
        <v>17</v>
      </c>
      <c r="Q169" s="63" t="s">
        <v>17</v>
      </c>
      <c r="R169" s="112"/>
      <c r="S169" s="111" t="s">
        <v>10</v>
      </c>
      <c r="T169" s="111" t="s">
        <v>11</v>
      </c>
      <c r="U169" s="113">
        <v>1.91</v>
      </c>
      <c r="V169" s="113"/>
      <c r="W169" s="113"/>
      <c r="X169" s="113">
        <v>350</v>
      </c>
      <c r="Y169" s="113">
        <v>400</v>
      </c>
      <c r="Z169" s="113">
        <v>480</v>
      </c>
      <c r="AA169" s="114">
        <v>0.65</v>
      </c>
      <c r="AB169" s="114">
        <v>1.3</v>
      </c>
      <c r="AC169" s="114">
        <v>1.95</v>
      </c>
      <c r="AD169" s="114">
        <v>3.25</v>
      </c>
      <c r="AE169" s="114">
        <v>4.875</v>
      </c>
      <c r="AF169" s="114">
        <v>6.5</v>
      </c>
      <c r="AG169" s="114">
        <v>96.526761904761912</v>
      </c>
      <c r="AH169" s="114">
        <v>97.805142857142854</v>
      </c>
      <c r="AI169" s="114">
        <v>98.160714285714292</v>
      </c>
      <c r="AJ169" s="114">
        <v>98.27128571428571</v>
      </c>
      <c r="AK169" s="114">
        <v>98.070952380952363</v>
      </c>
      <c r="AL169" s="114">
        <v>97.744761904761887</v>
      </c>
      <c r="AM169" s="114">
        <v>98.032426190476187</v>
      </c>
      <c r="AN169" s="114">
        <v>95.993761904761897</v>
      </c>
      <c r="AO169" s="114">
        <v>97.540190476190475</v>
      </c>
      <c r="AP169" s="114">
        <v>97.940857142857141</v>
      </c>
      <c r="AQ169" s="114">
        <v>98.143666666666647</v>
      </c>
      <c r="AR169" s="114">
        <v>97.973190476190467</v>
      </c>
      <c r="AS169" s="114">
        <v>97.653476190476198</v>
      </c>
      <c r="AT169" s="114">
        <v>97.888297619047606</v>
      </c>
      <c r="AU169" s="114">
        <v>95.077238095238087</v>
      </c>
      <c r="AV169" s="114">
        <v>96.976809523809521</v>
      </c>
      <c r="AW169" s="114">
        <v>97.571476190476204</v>
      </c>
      <c r="AX169" s="114">
        <v>97.884095238095242</v>
      </c>
      <c r="AY169" s="114">
        <v>97.770190476190464</v>
      </c>
      <c r="AZ169" s="114">
        <v>97.46442857142857</v>
      </c>
      <c r="BA169" s="114">
        <v>97.607589523809523</v>
      </c>
      <c r="BB169" s="40">
        <v>43313</v>
      </c>
      <c r="BC169" s="40">
        <v>43388</v>
      </c>
    </row>
    <row r="170" spans="1:55" s="120" customFormat="1" ht="60">
      <c r="A170" s="76" t="s">
        <v>2</v>
      </c>
      <c r="B170" s="76" t="s">
        <v>969</v>
      </c>
      <c r="C170" s="79" t="s">
        <v>10</v>
      </c>
      <c r="D170" s="79" t="s">
        <v>10</v>
      </c>
      <c r="E170" s="43" t="s">
        <v>10</v>
      </c>
      <c r="F170" s="63" t="s">
        <v>11</v>
      </c>
      <c r="G170" s="76" t="s">
        <v>278</v>
      </c>
      <c r="H170" s="90">
        <v>6.6</v>
      </c>
      <c r="I170" s="77">
        <v>208</v>
      </c>
      <c r="J170" s="78">
        <v>97.5</v>
      </c>
      <c r="K170" s="39" t="s">
        <v>1324</v>
      </c>
      <c r="L170" s="131" t="s">
        <v>481</v>
      </c>
      <c r="M170" s="79" t="s">
        <v>482</v>
      </c>
      <c r="N170" s="40">
        <v>43388</v>
      </c>
      <c r="O170" s="131" t="s">
        <v>481</v>
      </c>
      <c r="P170" s="63" t="s">
        <v>17</v>
      </c>
      <c r="Q170" s="63" t="s">
        <v>17</v>
      </c>
      <c r="R170" s="81"/>
      <c r="S170" s="80" t="s">
        <v>10</v>
      </c>
      <c r="T170" s="80" t="s">
        <v>11</v>
      </c>
      <c r="U170" s="82">
        <v>1.23</v>
      </c>
      <c r="V170" s="83"/>
      <c r="W170" s="83"/>
      <c r="X170" s="83">
        <v>100</v>
      </c>
      <c r="Y170" s="83">
        <v>380</v>
      </c>
      <c r="Z170" s="83">
        <v>500</v>
      </c>
      <c r="AA170" s="100">
        <v>0.66</v>
      </c>
      <c r="AB170" s="100">
        <v>1.32</v>
      </c>
      <c r="AC170" s="100">
        <v>1.98</v>
      </c>
      <c r="AD170" s="100">
        <v>3.3</v>
      </c>
      <c r="AE170" s="100">
        <v>4.95</v>
      </c>
      <c r="AF170" s="100">
        <v>6.6</v>
      </c>
      <c r="AG170" s="100">
        <v>94.4</v>
      </c>
      <c r="AH170" s="100">
        <v>96.1</v>
      </c>
      <c r="AI170" s="100">
        <v>97</v>
      </c>
      <c r="AJ170" s="100">
        <v>97.2</v>
      </c>
      <c r="AK170" s="100">
        <v>96.9</v>
      </c>
      <c r="AL170" s="100">
        <v>96.2</v>
      </c>
      <c r="AM170" s="100">
        <v>96.8</v>
      </c>
      <c r="AN170" s="100">
        <v>95.9</v>
      </c>
      <c r="AO170" s="100">
        <v>96.9</v>
      </c>
      <c r="AP170" s="100">
        <v>97.8</v>
      </c>
      <c r="AQ170" s="100">
        <v>98</v>
      </c>
      <c r="AR170" s="100">
        <v>97.7</v>
      </c>
      <c r="AS170" s="100">
        <v>97.3</v>
      </c>
      <c r="AT170" s="100">
        <v>97.7</v>
      </c>
      <c r="AU170" s="100">
        <v>95</v>
      </c>
      <c r="AV170" s="100">
        <v>96.4</v>
      </c>
      <c r="AW170" s="100">
        <v>97.4</v>
      </c>
      <c r="AX170" s="100">
        <v>97.7</v>
      </c>
      <c r="AY170" s="100">
        <v>97.6</v>
      </c>
      <c r="AZ170" s="100">
        <v>97.1</v>
      </c>
      <c r="BA170" s="100">
        <v>97.4</v>
      </c>
      <c r="BB170" s="40">
        <v>43024</v>
      </c>
      <c r="BC170" s="40">
        <v>43388</v>
      </c>
    </row>
    <row r="171" spans="1:55" s="120" customFormat="1" ht="60">
      <c r="A171" s="76" t="s">
        <v>2</v>
      </c>
      <c r="B171" s="76" t="s">
        <v>970</v>
      </c>
      <c r="C171" s="79" t="s">
        <v>10</v>
      </c>
      <c r="D171" s="79" t="s">
        <v>10</v>
      </c>
      <c r="E171" s="43" t="s">
        <v>10</v>
      </c>
      <c r="F171" s="63" t="s">
        <v>11</v>
      </c>
      <c r="G171" s="76" t="s">
        <v>278</v>
      </c>
      <c r="H171" s="90">
        <v>6.6</v>
      </c>
      <c r="I171" s="35">
        <v>240</v>
      </c>
      <c r="J171" s="35">
        <v>97.5</v>
      </c>
      <c r="K171" s="39" t="s">
        <v>1324</v>
      </c>
      <c r="L171" s="128" t="s">
        <v>481</v>
      </c>
      <c r="M171" s="39" t="s">
        <v>482</v>
      </c>
      <c r="N171" s="40">
        <v>43388</v>
      </c>
      <c r="O171" s="131" t="s">
        <v>481</v>
      </c>
      <c r="P171" s="63" t="s">
        <v>17</v>
      </c>
      <c r="Q171" s="63" t="s">
        <v>17</v>
      </c>
      <c r="R171" s="54"/>
      <c r="S171" s="34" t="s">
        <v>10</v>
      </c>
      <c r="T171" s="34" t="s">
        <v>11</v>
      </c>
      <c r="U171" s="35">
        <v>1.45</v>
      </c>
      <c r="V171" s="83"/>
      <c r="W171" s="83"/>
      <c r="X171" s="83">
        <v>100</v>
      </c>
      <c r="Y171" s="83">
        <v>380</v>
      </c>
      <c r="Z171" s="83">
        <v>500</v>
      </c>
      <c r="AA171" s="100">
        <v>0.66</v>
      </c>
      <c r="AB171" s="100">
        <v>1.32</v>
      </c>
      <c r="AC171" s="100">
        <v>1.98</v>
      </c>
      <c r="AD171" s="100">
        <v>3.3</v>
      </c>
      <c r="AE171" s="100">
        <v>4.95</v>
      </c>
      <c r="AF171" s="100">
        <v>6.6</v>
      </c>
      <c r="AG171" s="100">
        <v>94.3</v>
      </c>
      <c r="AH171" s="100">
        <v>96.2</v>
      </c>
      <c r="AI171" s="100">
        <v>96.9</v>
      </c>
      <c r="AJ171" s="100">
        <v>97.4</v>
      </c>
      <c r="AK171" s="100">
        <v>97.2</v>
      </c>
      <c r="AL171" s="100">
        <v>96.8</v>
      </c>
      <c r="AM171" s="100">
        <v>97</v>
      </c>
      <c r="AN171" s="100">
        <v>96</v>
      </c>
      <c r="AO171" s="100">
        <v>97.3</v>
      </c>
      <c r="AP171" s="100">
        <v>97.9</v>
      </c>
      <c r="AQ171" s="100">
        <v>98.3</v>
      </c>
      <c r="AR171" s="100">
        <v>98.2</v>
      </c>
      <c r="AS171" s="100">
        <v>97.9</v>
      </c>
      <c r="AT171" s="100">
        <v>98</v>
      </c>
      <c r="AU171" s="100">
        <v>95</v>
      </c>
      <c r="AV171" s="100">
        <v>96.8</v>
      </c>
      <c r="AW171" s="100">
        <v>97.6</v>
      </c>
      <c r="AX171" s="100">
        <v>98</v>
      </c>
      <c r="AY171" s="100">
        <v>98</v>
      </c>
      <c r="AZ171" s="100">
        <v>97.7</v>
      </c>
      <c r="BA171" s="100">
        <v>97.7</v>
      </c>
      <c r="BB171" s="40">
        <v>43024</v>
      </c>
      <c r="BC171" s="40">
        <v>43388</v>
      </c>
    </row>
    <row r="172" spans="1:55" s="120" customFormat="1" ht="60">
      <c r="A172" s="76" t="s">
        <v>2</v>
      </c>
      <c r="B172" s="76" t="s">
        <v>971</v>
      </c>
      <c r="C172" s="79" t="s">
        <v>10</v>
      </c>
      <c r="D172" s="79" t="s">
        <v>10</v>
      </c>
      <c r="E172" s="43" t="s">
        <v>10</v>
      </c>
      <c r="F172" s="63" t="s">
        <v>11</v>
      </c>
      <c r="G172" s="76" t="s">
        <v>279</v>
      </c>
      <c r="H172" s="90">
        <v>6.6</v>
      </c>
      <c r="I172" s="77">
        <v>208</v>
      </c>
      <c r="J172" s="78">
        <v>97.5</v>
      </c>
      <c r="K172" s="39" t="s">
        <v>1324</v>
      </c>
      <c r="L172" s="131" t="s">
        <v>481</v>
      </c>
      <c r="M172" s="79" t="s">
        <v>482</v>
      </c>
      <c r="N172" s="40">
        <v>43388</v>
      </c>
      <c r="O172" s="131" t="s">
        <v>481</v>
      </c>
      <c r="P172" s="63" t="s">
        <v>17</v>
      </c>
      <c r="Q172" s="63" t="s">
        <v>17</v>
      </c>
      <c r="R172" s="81"/>
      <c r="S172" s="80" t="s">
        <v>10</v>
      </c>
      <c r="T172" s="80" t="s">
        <v>11</v>
      </c>
      <c r="U172" s="82">
        <v>1.23</v>
      </c>
      <c r="V172" s="83"/>
      <c r="W172" s="83"/>
      <c r="X172" s="83">
        <v>100</v>
      </c>
      <c r="Y172" s="83">
        <v>380</v>
      </c>
      <c r="Z172" s="83">
        <v>500</v>
      </c>
      <c r="AA172" s="100">
        <v>0.66</v>
      </c>
      <c r="AB172" s="100">
        <v>1.32</v>
      </c>
      <c r="AC172" s="100">
        <v>1.98</v>
      </c>
      <c r="AD172" s="100">
        <v>3.3</v>
      </c>
      <c r="AE172" s="100">
        <v>4.95</v>
      </c>
      <c r="AF172" s="100">
        <v>6.6</v>
      </c>
      <c r="AG172" s="100">
        <v>94.4</v>
      </c>
      <c r="AH172" s="100">
        <v>96.1</v>
      </c>
      <c r="AI172" s="100">
        <v>97</v>
      </c>
      <c r="AJ172" s="100">
        <v>97.2</v>
      </c>
      <c r="AK172" s="100">
        <v>96.9</v>
      </c>
      <c r="AL172" s="100">
        <v>96.2</v>
      </c>
      <c r="AM172" s="100">
        <v>96.8</v>
      </c>
      <c r="AN172" s="100">
        <v>95.9</v>
      </c>
      <c r="AO172" s="100">
        <v>96.9</v>
      </c>
      <c r="AP172" s="100">
        <v>97.8</v>
      </c>
      <c r="AQ172" s="100">
        <v>98</v>
      </c>
      <c r="AR172" s="100">
        <v>97.7</v>
      </c>
      <c r="AS172" s="100">
        <v>97.3</v>
      </c>
      <c r="AT172" s="100">
        <v>97.7</v>
      </c>
      <c r="AU172" s="100">
        <v>95</v>
      </c>
      <c r="AV172" s="100">
        <v>96.4</v>
      </c>
      <c r="AW172" s="100">
        <v>97.4</v>
      </c>
      <c r="AX172" s="100">
        <v>97.7</v>
      </c>
      <c r="AY172" s="100">
        <v>97.6</v>
      </c>
      <c r="AZ172" s="100">
        <v>97.1</v>
      </c>
      <c r="BA172" s="100">
        <v>97.4</v>
      </c>
      <c r="BB172" s="40">
        <v>43024</v>
      </c>
      <c r="BC172" s="40">
        <v>43388</v>
      </c>
    </row>
    <row r="173" spans="1:55" s="120" customFormat="1" ht="60">
      <c r="A173" s="41" t="s">
        <v>2</v>
      </c>
      <c r="B173" s="41" t="s">
        <v>972</v>
      </c>
      <c r="C173" s="43" t="s">
        <v>10</v>
      </c>
      <c r="D173" s="43" t="s">
        <v>10</v>
      </c>
      <c r="E173" s="43" t="s">
        <v>10</v>
      </c>
      <c r="F173" s="63" t="s">
        <v>11</v>
      </c>
      <c r="G173" s="41" t="s">
        <v>775</v>
      </c>
      <c r="H173" s="27">
        <v>6.6559999999999997</v>
      </c>
      <c r="I173" s="109">
        <v>208</v>
      </c>
      <c r="J173" s="27">
        <v>97.5</v>
      </c>
      <c r="K173" s="39" t="s">
        <v>1324</v>
      </c>
      <c r="L173" s="130" t="s">
        <v>773</v>
      </c>
      <c r="M173" s="110" t="s">
        <v>629</v>
      </c>
      <c r="N173" s="40">
        <v>43388</v>
      </c>
      <c r="O173" s="130" t="s">
        <v>773</v>
      </c>
      <c r="P173" s="63" t="s">
        <v>17</v>
      </c>
      <c r="Q173" s="63" t="s">
        <v>17</v>
      </c>
      <c r="R173" s="112"/>
      <c r="S173" s="111" t="s">
        <v>10</v>
      </c>
      <c r="T173" s="111" t="s">
        <v>11</v>
      </c>
      <c r="U173" s="113">
        <v>1.1499999999999999</v>
      </c>
      <c r="V173" s="113"/>
      <c r="W173" s="113"/>
      <c r="X173" s="113">
        <v>270</v>
      </c>
      <c r="Y173" s="113">
        <v>380</v>
      </c>
      <c r="Z173" s="113">
        <v>480</v>
      </c>
      <c r="AA173" s="114">
        <v>0.66559999999999997</v>
      </c>
      <c r="AB173" s="114">
        <v>1.3311999999999999</v>
      </c>
      <c r="AC173" s="114">
        <v>1.9967999999999999</v>
      </c>
      <c r="AD173" s="114">
        <v>3.3279999999999998</v>
      </c>
      <c r="AE173" s="114">
        <v>4.992</v>
      </c>
      <c r="AF173" s="114">
        <v>6.6559999999999997</v>
      </c>
      <c r="AG173" s="114">
        <v>95.230826251614573</v>
      </c>
      <c r="AH173" s="114">
        <v>96.891036349418002</v>
      </c>
      <c r="AI173" s="114">
        <v>97.383516545836727</v>
      </c>
      <c r="AJ173" s="114">
        <v>97.634333677831506</v>
      </c>
      <c r="AK173" s="114">
        <v>97.427625078509706</v>
      </c>
      <c r="AL173" s="114">
        <v>97.050617106357407</v>
      </c>
      <c r="AM173" s="114">
        <v>97.332189072308523</v>
      </c>
      <c r="AN173" s="114">
        <v>95.947578725965741</v>
      </c>
      <c r="AO173" s="114">
        <v>97.410382433977375</v>
      </c>
      <c r="AP173" s="114">
        <v>97.794550069017504</v>
      </c>
      <c r="AQ173" s="114">
        <v>97.948730653616494</v>
      </c>
      <c r="AR173" s="114">
        <v>97.699721373214217</v>
      </c>
      <c r="AS173" s="114">
        <v>97.39175599472415</v>
      </c>
      <c r="AT173" s="114">
        <v>97.663441843818802</v>
      </c>
      <c r="AU173" s="114">
        <v>94.854996124491507</v>
      </c>
      <c r="AV173" s="114">
        <v>96.776328670410962</v>
      </c>
      <c r="AW173" s="114">
        <v>97.373903337051033</v>
      </c>
      <c r="AX173" s="114">
        <v>97.660373266831044</v>
      </c>
      <c r="AY173" s="114">
        <v>97.517427624777397</v>
      </c>
      <c r="AZ173" s="114">
        <v>97.162060564850904</v>
      </c>
      <c r="BA173" s="114">
        <v>97.36890273435543</v>
      </c>
      <c r="BB173" s="40">
        <v>43313</v>
      </c>
      <c r="BC173" s="40">
        <v>43388</v>
      </c>
    </row>
    <row r="174" spans="1:55" s="120" customFormat="1" ht="45">
      <c r="A174" s="74" t="s">
        <v>2</v>
      </c>
      <c r="B174" s="74" t="s">
        <v>973</v>
      </c>
      <c r="C174" s="63" t="s">
        <v>10</v>
      </c>
      <c r="D174" s="63" t="s">
        <v>10</v>
      </c>
      <c r="E174" s="43" t="s">
        <v>10</v>
      </c>
      <c r="F174" s="63" t="s">
        <v>11</v>
      </c>
      <c r="G174" s="37" t="s">
        <v>635</v>
      </c>
      <c r="H174" s="35">
        <v>6.66</v>
      </c>
      <c r="I174" s="35">
        <v>208</v>
      </c>
      <c r="J174" s="35">
        <v>97.5</v>
      </c>
      <c r="K174" s="39" t="s">
        <v>1324</v>
      </c>
      <c r="L174" s="128" t="s">
        <v>628</v>
      </c>
      <c r="M174" s="39" t="s">
        <v>629</v>
      </c>
      <c r="N174" s="40">
        <v>43388</v>
      </c>
      <c r="O174" s="128" t="s">
        <v>628</v>
      </c>
      <c r="P174" s="63" t="s">
        <v>17</v>
      </c>
      <c r="Q174" s="63" t="s">
        <v>17</v>
      </c>
      <c r="R174" s="54"/>
      <c r="S174" s="34" t="s">
        <v>10</v>
      </c>
      <c r="T174" s="34" t="s">
        <v>11</v>
      </c>
      <c r="U174" s="35">
        <v>1.1499999999999999</v>
      </c>
      <c r="V174" s="35"/>
      <c r="W174" s="35"/>
      <c r="X174" s="35">
        <v>270</v>
      </c>
      <c r="Y174" s="35">
        <v>380</v>
      </c>
      <c r="Z174" s="35">
        <v>480</v>
      </c>
      <c r="AA174" s="103">
        <v>0.66559999999999997</v>
      </c>
      <c r="AB174" s="103">
        <v>1.3311999999999999</v>
      </c>
      <c r="AC174" s="103">
        <v>1.9967999999999999</v>
      </c>
      <c r="AD174" s="103">
        <v>3.3279999999999998</v>
      </c>
      <c r="AE174" s="103">
        <v>4.992</v>
      </c>
      <c r="AF174" s="103">
        <v>6.6559999999999997</v>
      </c>
      <c r="AG174" s="103">
        <v>95.2</v>
      </c>
      <c r="AH174" s="103">
        <v>96.9</v>
      </c>
      <c r="AI174" s="103">
        <v>97.4</v>
      </c>
      <c r="AJ174" s="103">
        <v>97.6</v>
      </c>
      <c r="AK174" s="103">
        <v>97.4</v>
      </c>
      <c r="AL174" s="103">
        <v>97.1</v>
      </c>
      <c r="AM174" s="103">
        <v>97.3</v>
      </c>
      <c r="AN174" s="103">
        <v>95.9</v>
      </c>
      <c r="AO174" s="103">
        <v>97.4</v>
      </c>
      <c r="AP174" s="103">
        <v>97.8</v>
      </c>
      <c r="AQ174" s="103">
        <v>97.9</v>
      </c>
      <c r="AR174" s="103">
        <v>97.7</v>
      </c>
      <c r="AS174" s="103">
        <v>97.4</v>
      </c>
      <c r="AT174" s="103">
        <v>97.7</v>
      </c>
      <c r="AU174" s="103">
        <v>94.9</v>
      </c>
      <c r="AV174" s="103">
        <v>96.8</v>
      </c>
      <c r="AW174" s="103">
        <v>97.4</v>
      </c>
      <c r="AX174" s="103">
        <v>97.7</v>
      </c>
      <c r="AY174" s="103">
        <v>97.5</v>
      </c>
      <c r="AZ174" s="103">
        <v>97.2</v>
      </c>
      <c r="BA174" s="103">
        <v>97.4</v>
      </c>
      <c r="BB174" s="40">
        <v>43160</v>
      </c>
      <c r="BC174" s="40">
        <v>43388</v>
      </c>
    </row>
    <row r="175" spans="1:55" s="120" customFormat="1" ht="60">
      <c r="A175" s="76" t="s">
        <v>2</v>
      </c>
      <c r="B175" s="76" t="s">
        <v>974</v>
      </c>
      <c r="C175" s="79" t="s">
        <v>10</v>
      </c>
      <c r="D175" s="79" t="s">
        <v>10</v>
      </c>
      <c r="E175" s="43" t="s">
        <v>10</v>
      </c>
      <c r="F175" s="63" t="s">
        <v>11</v>
      </c>
      <c r="G175" s="76" t="s">
        <v>280</v>
      </c>
      <c r="H175" s="90">
        <v>7.6</v>
      </c>
      <c r="I175" s="77">
        <v>240</v>
      </c>
      <c r="J175" s="78">
        <v>97.5</v>
      </c>
      <c r="K175" s="39" t="s">
        <v>1324</v>
      </c>
      <c r="L175" s="131" t="s">
        <v>481</v>
      </c>
      <c r="M175" s="79" t="s">
        <v>482</v>
      </c>
      <c r="N175" s="40">
        <v>43388</v>
      </c>
      <c r="O175" s="131" t="s">
        <v>481</v>
      </c>
      <c r="P175" s="63" t="s">
        <v>17</v>
      </c>
      <c r="Q175" s="63" t="s">
        <v>17</v>
      </c>
      <c r="R175" s="81"/>
      <c r="S175" s="80" t="s">
        <v>10</v>
      </c>
      <c r="T175" s="80" t="s">
        <v>11</v>
      </c>
      <c r="U175" s="82">
        <v>1.43</v>
      </c>
      <c r="V175" s="83"/>
      <c r="W175" s="83"/>
      <c r="X175" s="83">
        <v>100</v>
      </c>
      <c r="Y175" s="83">
        <v>380</v>
      </c>
      <c r="Z175" s="83">
        <v>500</v>
      </c>
      <c r="AA175" s="100">
        <v>0.76</v>
      </c>
      <c r="AB175" s="100">
        <v>1.52</v>
      </c>
      <c r="AC175" s="100">
        <v>2.2799999999999998</v>
      </c>
      <c r="AD175" s="100">
        <v>3.8</v>
      </c>
      <c r="AE175" s="100">
        <v>5.7</v>
      </c>
      <c r="AF175" s="100">
        <v>7.6</v>
      </c>
      <c r="AG175" s="100">
        <v>95</v>
      </c>
      <c r="AH175" s="100">
        <v>96.4</v>
      </c>
      <c r="AI175" s="100">
        <v>97.3</v>
      </c>
      <c r="AJ175" s="100">
        <v>97.4</v>
      </c>
      <c r="AK175" s="100">
        <v>97</v>
      </c>
      <c r="AL175" s="100">
        <v>96.4</v>
      </c>
      <c r="AM175" s="100">
        <v>97</v>
      </c>
      <c r="AN175" s="100">
        <v>96.3</v>
      </c>
      <c r="AO175" s="100">
        <v>97.4</v>
      </c>
      <c r="AP175" s="100">
        <v>98.1</v>
      </c>
      <c r="AQ175" s="100">
        <v>98.3</v>
      </c>
      <c r="AR175" s="100">
        <v>98</v>
      </c>
      <c r="AS175" s="100">
        <v>97.7</v>
      </c>
      <c r="AT175" s="100">
        <v>98</v>
      </c>
      <c r="AU175" s="100">
        <v>95.5</v>
      </c>
      <c r="AV175" s="100">
        <v>97.2</v>
      </c>
      <c r="AW175" s="100">
        <v>97.7</v>
      </c>
      <c r="AX175" s="100">
        <v>98</v>
      </c>
      <c r="AY175" s="100">
        <v>97.9</v>
      </c>
      <c r="AZ175" s="100">
        <v>97.5</v>
      </c>
      <c r="BA175" s="100">
        <v>97.7</v>
      </c>
      <c r="BB175" s="40">
        <v>43024</v>
      </c>
      <c r="BC175" s="40">
        <v>43388</v>
      </c>
    </row>
    <row r="176" spans="1:55" s="120" customFormat="1" ht="45">
      <c r="A176" s="41" t="s">
        <v>2</v>
      </c>
      <c r="B176" s="41" t="s">
        <v>975</v>
      </c>
      <c r="C176" s="43" t="s">
        <v>10</v>
      </c>
      <c r="D176" s="43" t="s">
        <v>10</v>
      </c>
      <c r="E176" s="43" t="s">
        <v>10</v>
      </c>
      <c r="F176" s="63" t="s">
        <v>11</v>
      </c>
      <c r="G176" s="41" t="s">
        <v>776</v>
      </c>
      <c r="H176" s="27">
        <v>7.68</v>
      </c>
      <c r="I176" s="109">
        <v>240</v>
      </c>
      <c r="J176" s="27">
        <v>97.5</v>
      </c>
      <c r="K176" s="39" t="s">
        <v>1324</v>
      </c>
      <c r="L176" s="130" t="s">
        <v>773</v>
      </c>
      <c r="M176" s="110" t="s">
        <v>629</v>
      </c>
      <c r="N176" s="40">
        <v>43388</v>
      </c>
      <c r="O176" s="130" t="s">
        <v>773</v>
      </c>
      <c r="P176" s="63" t="s">
        <v>17</v>
      </c>
      <c r="Q176" s="63" t="s">
        <v>17</v>
      </c>
      <c r="R176" s="112"/>
      <c r="S176" s="111" t="s">
        <v>10</v>
      </c>
      <c r="T176" s="111" t="s">
        <v>11</v>
      </c>
      <c r="U176" s="113">
        <v>1.19</v>
      </c>
      <c r="V176" s="113"/>
      <c r="W176" s="113"/>
      <c r="X176" s="113">
        <v>270</v>
      </c>
      <c r="Y176" s="113">
        <v>380</v>
      </c>
      <c r="Z176" s="113">
        <v>480</v>
      </c>
      <c r="AA176" s="114">
        <v>0.76800000000000002</v>
      </c>
      <c r="AB176" s="114">
        <v>1.536</v>
      </c>
      <c r="AC176" s="114">
        <v>2.3039999999999998</v>
      </c>
      <c r="AD176" s="114">
        <v>3.84</v>
      </c>
      <c r="AE176" s="114">
        <v>5.76</v>
      </c>
      <c r="AF176" s="114">
        <v>7.68</v>
      </c>
      <c r="AG176" s="114">
        <v>95.220244762392653</v>
      </c>
      <c r="AH176" s="114">
        <v>96.786476523169469</v>
      </c>
      <c r="AI176" s="114">
        <v>97.360484342448359</v>
      </c>
      <c r="AJ176" s="114">
        <v>97.661527866722594</v>
      </c>
      <c r="AK176" s="114">
        <v>97.514706743622483</v>
      </c>
      <c r="AL176" s="114">
        <v>97.063283332614333</v>
      </c>
      <c r="AM176" s="114">
        <v>97.376271330510363</v>
      </c>
      <c r="AN176" s="114">
        <v>96.557058272771911</v>
      </c>
      <c r="AO176" s="114">
        <v>97.768154171688977</v>
      </c>
      <c r="AP176" s="114">
        <v>98.091693567287209</v>
      </c>
      <c r="AQ176" s="114">
        <v>98.164435292147104</v>
      </c>
      <c r="AR176" s="114">
        <v>97.997075218849318</v>
      </c>
      <c r="AS176" s="114">
        <v>97.640443280171482</v>
      </c>
      <c r="AT176" s="114">
        <v>97.956696708919409</v>
      </c>
      <c r="AU176" s="114">
        <v>95.553280568100988</v>
      </c>
      <c r="AV176" s="114">
        <v>97.213562614555073</v>
      </c>
      <c r="AW176" s="114">
        <v>97.733873018671247</v>
      </c>
      <c r="AX176" s="114">
        <v>97.947621890495725</v>
      </c>
      <c r="AY176" s="114">
        <v>97.848069433399232</v>
      </c>
      <c r="AZ176" s="114">
        <v>97.50177995994143</v>
      </c>
      <c r="BA176" s="114">
        <v>97.714440510395107</v>
      </c>
      <c r="BB176" s="40">
        <v>43313</v>
      </c>
      <c r="BC176" s="40">
        <v>43388</v>
      </c>
    </row>
    <row r="177" spans="1:55" s="120" customFormat="1" ht="45">
      <c r="A177" s="74" t="s">
        <v>2</v>
      </c>
      <c r="B177" s="74" t="s">
        <v>976</v>
      </c>
      <c r="C177" s="63" t="s">
        <v>10</v>
      </c>
      <c r="D177" s="63" t="s">
        <v>10</v>
      </c>
      <c r="E177" s="43" t="s">
        <v>10</v>
      </c>
      <c r="F177" s="63" t="s">
        <v>11</v>
      </c>
      <c r="G177" s="37" t="s">
        <v>636</v>
      </c>
      <c r="H177" s="35">
        <v>7.68</v>
      </c>
      <c r="I177" s="35">
        <v>240</v>
      </c>
      <c r="J177" s="35">
        <v>97.5</v>
      </c>
      <c r="K177" s="39" t="s">
        <v>1324</v>
      </c>
      <c r="L177" s="128" t="s">
        <v>628</v>
      </c>
      <c r="M177" s="39" t="s">
        <v>629</v>
      </c>
      <c r="N177" s="40">
        <v>43388</v>
      </c>
      <c r="O177" s="128" t="s">
        <v>628</v>
      </c>
      <c r="P177" s="63" t="s">
        <v>17</v>
      </c>
      <c r="Q177" s="63" t="s">
        <v>17</v>
      </c>
      <c r="R177" s="54"/>
      <c r="S177" s="34" t="s">
        <v>10</v>
      </c>
      <c r="T177" s="34" t="s">
        <v>11</v>
      </c>
      <c r="U177" s="35">
        <v>1.19</v>
      </c>
      <c r="V177" s="35"/>
      <c r="W177" s="35"/>
      <c r="X177" s="35">
        <v>270</v>
      </c>
      <c r="Y177" s="35">
        <v>380</v>
      </c>
      <c r="Z177" s="35">
        <v>480</v>
      </c>
      <c r="AA177" s="103">
        <v>0.76800000000000002</v>
      </c>
      <c r="AB177" s="103">
        <v>1.536</v>
      </c>
      <c r="AC177" s="103">
        <v>2.3039999999999998</v>
      </c>
      <c r="AD177" s="103">
        <v>3.84</v>
      </c>
      <c r="AE177" s="103">
        <v>5.76</v>
      </c>
      <c r="AF177" s="103">
        <v>7.68</v>
      </c>
      <c r="AG177" s="103">
        <v>95.2</v>
      </c>
      <c r="AH177" s="103">
        <v>96.8</v>
      </c>
      <c r="AI177" s="103">
        <v>97.4</v>
      </c>
      <c r="AJ177" s="103">
        <v>97.7</v>
      </c>
      <c r="AK177" s="103">
        <v>97.5</v>
      </c>
      <c r="AL177" s="103">
        <v>97.1</v>
      </c>
      <c r="AM177" s="103">
        <v>97.4</v>
      </c>
      <c r="AN177" s="103">
        <v>96.6</v>
      </c>
      <c r="AO177" s="103">
        <v>97.8</v>
      </c>
      <c r="AP177" s="103">
        <v>98.1</v>
      </c>
      <c r="AQ177" s="103">
        <v>98.2</v>
      </c>
      <c r="AR177" s="103">
        <v>98</v>
      </c>
      <c r="AS177" s="103">
        <v>97.6</v>
      </c>
      <c r="AT177" s="103">
        <v>98</v>
      </c>
      <c r="AU177" s="103">
        <v>95.6</v>
      </c>
      <c r="AV177" s="103">
        <v>97.2</v>
      </c>
      <c r="AW177" s="103">
        <v>97.7</v>
      </c>
      <c r="AX177" s="103">
        <v>97.9</v>
      </c>
      <c r="AY177" s="103">
        <v>97.8</v>
      </c>
      <c r="AZ177" s="103">
        <v>97.5</v>
      </c>
      <c r="BA177" s="103">
        <v>97.7</v>
      </c>
      <c r="BB177" s="40">
        <v>43160</v>
      </c>
      <c r="BC177" s="40">
        <v>43388</v>
      </c>
    </row>
    <row r="178" spans="1:55" s="120" customFormat="1" ht="105">
      <c r="A178" s="74" t="s">
        <v>2</v>
      </c>
      <c r="B178" s="74" t="s">
        <v>977</v>
      </c>
      <c r="C178" s="63" t="s">
        <v>10</v>
      </c>
      <c r="D178" s="63" t="s">
        <v>10</v>
      </c>
      <c r="E178" s="63" t="s">
        <v>11</v>
      </c>
      <c r="F178" s="63" t="s">
        <v>11</v>
      </c>
      <c r="G178" s="74" t="s">
        <v>324</v>
      </c>
      <c r="H178" s="61">
        <v>26.402999999999999</v>
      </c>
      <c r="I178" s="62">
        <v>480</v>
      </c>
      <c r="J178" s="61">
        <v>98</v>
      </c>
      <c r="K178" s="39" t="s">
        <v>1325</v>
      </c>
      <c r="L178" s="129" t="s">
        <v>483</v>
      </c>
      <c r="M178" s="57" t="s">
        <v>484</v>
      </c>
      <c r="N178" s="40">
        <v>43388</v>
      </c>
      <c r="O178" s="63" t="s">
        <v>17</v>
      </c>
      <c r="P178" s="63" t="s">
        <v>17</v>
      </c>
      <c r="Q178" s="63" t="s">
        <v>17</v>
      </c>
      <c r="R178" s="71"/>
      <c r="S178" s="57" t="s">
        <v>11</v>
      </c>
      <c r="T178" s="57" t="s">
        <v>11</v>
      </c>
      <c r="U178" s="61">
        <v>2.6</v>
      </c>
      <c r="V178" s="59"/>
      <c r="W178" s="59"/>
      <c r="X178" s="59">
        <v>415</v>
      </c>
      <c r="Y178" s="59">
        <v>710</v>
      </c>
      <c r="Z178" s="59">
        <v>830</v>
      </c>
      <c r="AA178" s="99">
        <v>2.64</v>
      </c>
      <c r="AB178" s="99">
        <v>5.28</v>
      </c>
      <c r="AC178" s="99">
        <v>7.92</v>
      </c>
      <c r="AD178" s="99">
        <v>13.2</v>
      </c>
      <c r="AE178" s="99">
        <v>19.8</v>
      </c>
      <c r="AF178" s="99">
        <v>26.4</v>
      </c>
      <c r="AG178" s="99">
        <v>95.28</v>
      </c>
      <c r="AH178" s="99">
        <v>96.42</v>
      </c>
      <c r="AI178" s="99">
        <v>97.03</v>
      </c>
      <c r="AJ178" s="99">
        <v>97.41</v>
      </c>
      <c r="AK178" s="99">
        <v>97.46</v>
      </c>
      <c r="AL178" s="99">
        <v>97.3</v>
      </c>
      <c r="AM178" s="99">
        <v>97.25</v>
      </c>
      <c r="AN178" s="99">
        <v>97.39</v>
      </c>
      <c r="AO178" s="99">
        <v>98.27</v>
      </c>
      <c r="AP178" s="99">
        <v>98.56</v>
      </c>
      <c r="AQ178" s="99">
        <v>98.65</v>
      </c>
      <c r="AR178" s="99">
        <v>98.65</v>
      </c>
      <c r="AS178" s="99">
        <v>98.57</v>
      </c>
      <c r="AT178" s="99">
        <v>98.57</v>
      </c>
      <c r="AU178" s="99">
        <v>96.51</v>
      </c>
      <c r="AV178" s="99">
        <v>97.77</v>
      </c>
      <c r="AW178" s="99">
        <v>98.06</v>
      </c>
      <c r="AX178" s="99">
        <v>98.35</v>
      </c>
      <c r="AY178" s="99">
        <v>98.36</v>
      </c>
      <c r="AZ178" s="99">
        <v>98.27</v>
      </c>
      <c r="BA178" s="99">
        <v>98.21</v>
      </c>
      <c r="BB178" s="40">
        <v>43084</v>
      </c>
      <c r="BC178" s="40">
        <v>43388</v>
      </c>
    </row>
    <row r="179" spans="1:55" s="120" customFormat="1" ht="105">
      <c r="A179" s="74" t="s">
        <v>2</v>
      </c>
      <c r="B179" s="74" t="s">
        <v>978</v>
      </c>
      <c r="C179" s="63" t="s">
        <v>10</v>
      </c>
      <c r="D179" s="63" t="s">
        <v>10</v>
      </c>
      <c r="E179" s="63" t="s">
        <v>11</v>
      </c>
      <c r="F179" s="63" t="s">
        <v>11</v>
      </c>
      <c r="G179" s="74" t="s">
        <v>323</v>
      </c>
      <c r="H179" s="61">
        <v>30.709</v>
      </c>
      <c r="I179" s="62">
        <v>480</v>
      </c>
      <c r="J179" s="61">
        <v>98</v>
      </c>
      <c r="K179" s="39" t="s">
        <v>1325</v>
      </c>
      <c r="L179" s="129" t="s">
        <v>483</v>
      </c>
      <c r="M179" s="57" t="s">
        <v>484</v>
      </c>
      <c r="N179" s="40">
        <v>43388</v>
      </c>
      <c r="O179" s="63" t="s">
        <v>17</v>
      </c>
      <c r="P179" s="63" t="s">
        <v>17</v>
      </c>
      <c r="Q179" s="63" t="s">
        <v>17</v>
      </c>
      <c r="R179" s="71"/>
      <c r="S179" s="57" t="s">
        <v>11</v>
      </c>
      <c r="T179" s="57" t="s">
        <v>11</v>
      </c>
      <c r="U179" s="61">
        <v>2.4</v>
      </c>
      <c r="V179" s="59"/>
      <c r="W179" s="59"/>
      <c r="X179" s="59">
        <v>485</v>
      </c>
      <c r="Y179" s="59">
        <v>710</v>
      </c>
      <c r="Z179" s="59">
        <v>830</v>
      </c>
      <c r="AA179" s="99">
        <v>3.07</v>
      </c>
      <c r="AB179" s="99">
        <v>6.14</v>
      </c>
      <c r="AC179" s="99">
        <v>9.2100000000000009</v>
      </c>
      <c r="AD179" s="99">
        <v>15.35</v>
      </c>
      <c r="AE179" s="99">
        <v>23.03</v>
      </c>
      <c r="AF179" s="99">
        <v>30.71</v>
      </c>
      <c r="AG179" s="99">
        <v>95.98</v>
      </c>
      <c r="AH179" s="99">
        <v>97.06</v>
      </c>
      <c r="AI179" s="99">
        <v>97.64</v>
      </c>
      <c r="AJ179" s="99">
        <v>97.78</v>
      </c>
      <c r="AK179" s="99">
        <v>97.74</v>
      </c>
      <c r="AL179" s="99">
        <v>97.52</v>
      </c>
      <c r="AM179" s="99">
        <v>97.62</v>
      </c>
      <c r="AN179" s="99">
        <v>97.67</v>
      </c>
      <c r="AO179" s="99">
        <v>98.38</v>
      </c>
      <c r="AP179" s="99">
        <v>98.6</v>
      </c>
      <c r="AQ179" s="99">
        <v>98.65</v>
      </c>
      <c r="AR179" s="99">
        <v>98.6</v>
      </c>
      <c r="AS179" s="99">
        <v>98.49</v>
      </c>
      <c r="AT179" s="99">
        <v>98.56</v>
      </c>
      <c r="AU179" s="99">
        <v>96.9</v>
      </c>
      <c r="AV179" s="99">
        <v>97.95</v>
      </c>
      <c r="AW179" s="99">
        <v>98.21</v>
      </c>
      <c r="AX179" s="99">
        <v>98.35</v>
      </c>
      <c r="AY179" s="99">
        <v>98.32</v>
      </c>
      <c r="AZ179" s="99">
        <v>98.18</v>
      </c>
      <c r="BA179" s="99">
        <v>98.23</v>
      </c>
      <c r="BB179" s="40">
        <v>43084</v>
      </c>
      <c r="BC179" s="40">
        <v>43388</v>
      </c>
    </row>
    <row r="180" spans="1:55" s="120" customFormat="1" ht="105">
      <c r="A180" s="74" t="s">
        <v>2</v>
      </c>
      <c r="B180" s="74" t="s">
        <v>979</v>
      </c>
      <c r="C180" s="63" t="s">
        <v>10</v>
      </c>
      <c r="D180" s="63" t="s">
        <v>10</v>
      </c>
      <c r="E180" s="63" t="s">
        <v>11</v>
      </c>
      <c r="F180" s="63" t="s">
        <v>11</v>
      </c>
      <c r="G180" s="37" t="s">
        <v>322</v>
      </c>
      <c r="H180" s="61">
        <v>39.737000000000002</v>
      </c>
      <c r="I180" s="62">
        <v>480</v>
      </c>
      <c r="J180" s="61">
        <v>98</v>
      </c>
      <c r="K180" s="39" t="s">
        <v>1325</v>
      </c>
      <c r="L180" s="129" t="s">
        <v>483</v>
      </c>
      <c r="M180" s="57" t="s">
        <v>484</v>
      </c>
      <c r="N180" s="40">
        <v>43388</v>
      </c>
      <c r="O180" s="63" t="s">
        <v>17</v>
      </c>
      <c r="P180" s="63" t="s">
        <v>17</v>
      </c>
      <c r="Q180" s="63" t="s">
        <v>17</v>
      </c>
      <c r="R180" s="71"/>
      <c r="S180" s="57" t="s">
        <v>11</v>
      </c>
      <c r="T180" s="57" t="s">
        <v>11</v>
      </c>
      <c r="U180" s="61">
        <v>2.9</v>
      </c>
      <c r="V180" s="59"/>
      <c r="W180" s="59"/>
      <c r="X180" s="59">
        <v>520</v>
      </c>
      <c r="Y180" s="59">
        <v>710</v>
      </c>
      <c r="Z180" s="59">
        <v>830</v>
      </c>
      <c r="AA180" s="99">
        <v>3.97</v>
      </c>
      <c r="AB180" s="99">
        <v>7.95</v>
      </c>
      <c r="AC180" s="99">
        <v>11.92</v>
      </c>
      <c r="AD180" s="99">
        <v>19.87</v>
      </c>
      <c r="AE180" s="99">
        <v>29.8</v>
      </c>
      <c r="AF180" s="99">
        <v>39.74</v>
      </c>
      <c r="AG180" s="99">
        <v>96.36</v>
      </c>
      <c r="AH180" s="99">
        <v>97.47</v>
      </c>
      <c r="AI180" s="99">
        <v>97.83</v>
      </c>
      <c r="AJ180" s="99">
        <v>97.97</v>
      </c>
      <c r="AK180" s="99">
        <v>97.81</v>
      </c>
      <c r="AL180" s="99">
        <v>97.59</v>
      </c>
      <c r="AM180" s="99">
        <v>97.76</v>
      </c>
      <c r="AN180" s="99">
        <v>97.75</v>
      </c>
      <c r="AO180" s="99">
        <v>98.45</v>
      </c>
      <c r="AP180" s="99">
        <v>98.6</v>
      </c>
      <c r="AQ180" s="99">
        <v>98.6</v>
      </c>
      <c r="AR180" s="99">
        <v>98.43</v>
      </c>
      <c r="AS180" s="99">
        <v>98.28</v>
      </c>
      <c r="AT180" s="99">
        <v>98.45</v>
      </c>
      <c r="AU180" s="99">
        <v>96.89</v>
      </c>
      <c r="AV180" s="99">
        <v>97.92</v>
      </c>
      <c r="AW180" s="99">
        <v>98.22</v>
      </c>
      <c r="AX180" s="99">
        <v>98.3</v>
      </c>
      <c r="AY180" s="99">
        <v>98.16</v>
      </c>
      <c r="AZ180" s="99">
        <v>97.95</v>
      </c>
      <c r="BA180" s="99">
        <v>98.12</v>
      </c>
      <c r="BB180" s="40">
        <v>43084</v>
      </c>
      <c r="BC180" s="40">
        <v>43388</v>
      </c>
    </row>
    <row r="181" spans="1:55" s="120" customFormat="1" ht="105">
      <c r="A181" s="74" t="s">
        <v>2</v>
      </c>
      <c r="B181" s="74" t="s">
        <v>980</v>
      </c>
      <c r="C181" s="63" t="s">
        <v>10</v>
      </c>
      <c r="D181" s="63" t="s">
        <v>10</v>
      </c>
      <c r="E181" s="63" t="s">
        <v>11</v>
      </c>
      <c r="F181" s="63" t="s">
        <v>11</v>
      </c>
      <c r="G181" s="37" t="s">
        <v>321</v>
      </c>
      <c r="H181" s="61">
        <v>45.972000000000001</v>
      </c>
      <c r="I181" s="62">
        <v>480</v>
      </c>
      <c r="J181" s="61">
        <v>98</v>
      </c>
      <c r="K181" s="39" t="s">
        <v>1325</v>
      </c>
      <c r="L181" s="129" t="s">
        <v>483</v>
      </c>
      <c r="M181" s="57" t="s">
        <v>484</v>
      </c>
      <c r="N181" s="40">
        <v>43388</v>
      </c>
      <c r="O181" s="63" t="s">
        <v>17</v>
      </c>
      <c r="P181" s="63" t="s">
        <v>17</v>
      </c>
      <c r="Q181" s="63" t="s">
        <v>17</v>
      </c>
      <c r="R181" s="71"/>
      <c r="S181" s="57" t="s">
        <v>11</v>
      </c>
      <c r="T181" s="57" t="s">
        <v>11</v>
      </c>
      <c r="U181" s="61">
        <v>2.9</v>
      </c>
      <c r="V181" s="59"/>
      <c r="W181" s="59"/>
      <c r="X181" s="59">
        <v>545</v>
      </c>
      <c r="Y181" s="59">
        <v>710</v>
      </c>
      <c r="Z181" s="59">
        <v>830</v>
      </c>
      <c r="AA181" s="99">
        <v>4.5999999999999996</v>
      </c>
      <c r="AB181" s="99">
        <v>9.19</v>
      </c>
      <c r="AC181" s="99">
        <v>13.79</v>
      </c>
      <c r="AD181" s="99">
        <v>22.99</v>
      </c>
      <c r="AE181" s="99">
        <v>34.479999999999997</v>
      </c>
      <c r="AF181" s="99">
        <v>45.97</v>
      </c>
      <c r="AG181" s="99">
        <v>96.83</v>
      </c>
      <c r="AH181" s="99">
        <v>97.76</v>
      </c>
      <c r="AI181" s="99">
        <v>97.97</v>
      </c>
      <c r="AJ181" s="99">
        <v>98.02</v>
      </c>
      <c r="AK181" s="99">
        <v>97.8</v>
      </c>
      <c r="AL181" s="99">
        <v>97.54</v>
      </c>
      <c r="AM181" s="99">
        <v>97.81</v>
      </c>
      <c r="AN181" s="99">
        <v>97.98</v>
      </c>
      <c r="AO181" s="99">
        <v>98.53</v>
      </c>
      <c r="AP181" s="99">
        <v>98.6</v>
      </c>
      <c r="AQ181" s="99">
        <v>98.55</v>
      </c>
      <c r="AR181" s="99">
        <v>98.35</v>
      </c>
      <c r="AS181" s="99">
        <v>98.16</v>
      </c>
      <c r="AT181" s="99">
        <v>98.41</v>
      </c>
      <c r="AU181" s="99">
        <v>97.21</v>
      </c>
      <c r="AV181" s="99">
        <v>98.04</v>
      </c>
      <c r="AW181" s="99">
        <v>98.26</v>
      </c>
      <c r="AX181" s="99">
        <v>98.26</v>
      </c>
      <c r="AY181" s="99">
        <v>98.07</v>
      </c>
      <c r="AZ181" s="99">
        <v>97.86</v>
      </c>
      <c r="BA181" s="99">
        <v>98.09</v>
      </c>
      <c r="BB181" s="40">
        <v>43084</v>
      </c>
      <c r="BC181" s="40">
        <v>43388</v>
      </c>
    </row>
    <row r="182" spans="1:55" s="120" customFormat="1" ht="60">
      <c r="A182" s="74" t="s">
        <v>2</v>
      </c>
      <c r="B182" s="74" t="s">
        <v>981</v>
      </c>
      <c r="C182" s="63" t="s">
        <v>10</v>
      </c>
      <c r="D182" s="63" t="s">
        <v>10</v>
      </c>
      <c r="E182" s="63" t="s">
        <v>11</v>
      </c>
      <c r="F182" s="63" t="s">
        <v>11</v>
      </c>
      <c r="G182" s="74" t="s">
        <v>320</v>
      </c>
      <c r="H182" s="61">
        <v>65.47</v>
      </c>
      <c r="I182" s="62">
        <v>480</v>
      </c>
      <c r="J182" s="61">
        <v>98.5</v>
      </c>
      <c r="K182" s="39" t="s">
        <v>1325</v>
      </c>
      <c r="L182" s="129" t="s">
        <v>483</v>
      </c>
      <c r="M182" s="57" t="s">
        <v>852</v>
      </c>
      <c r="N182" s="40">
        <v>43388</v>
      </c>
      <c r="O182" s="63" t="s">
        <v>17</v>
      </c>
      <c r="P182" s="63" t="s">
        <v>17</v>
      </c>
      <c r="Q182" s="63" t="s">
        <v>17</v>
      </c>
      <c r="R182" s="71"/>
      <c r="S182" s="57" t="s">
        <v>11</v>
      </c>
      <c r="T182" s="57" t="s">
        <v>11</v>
      </c>
      <c r="U182" s="61">
        <v>2.8630300000000002</v>
      </c>
      <c r="V182" s="59"/>
      <c r="W182" s="59"/>
      <c r="X182" s="59">
        <v>540</v>
      </c>
      <c r="Y182" s="59">
        <v>710</v>
      </c>
      <c r="Z182" s="59">
        <v>800</v>
      </c>
      <c r="AA182" s="99">
        <v>6.55</v>
      </c>
      <c r="AB182" s="99">
        <v>13.09</v>
      </c>
      <c r="AC182" s="99">
        <v>19.64</v>
      </c>
      <c r="AD182" s="99">
        <v>32.74</v>
      </c>
      <c r="AE182" s="99">
        <v>49.1</v>
      </c>
      <c r="AF182" s="99">
        <v>65.47</v>
      </c>
      <c r="AG182" s="99">
        <v>96.77</v>
      </c>
      <c r="AH182" s="99">
        <v>97.69</v>
      </c>
      <c r="AI182" s="99">
        <v>97.62</v>
      </c>
      <c r="AJ182" s="99">
        <v>98.1</v>
      </c>
      <c r="AK182" s="99">
        <v>98.02</v>
      </c>
      <c r="AL182" s="99">
        <v>97.46</v>
      </c>
      <c r="AM182" s="99">
        <v>97.89</v>
      </c>
      <c r="AN182" s="99">
        <v>98.52</v>
      </c>
      <c r="AO182" s="99">
        <v>98.59</v>
      </c>
      <c r="AP182" s="99">
        <v>98.63</v>
      </c>
      <c r="AQ182" s="99">
        <v>98.71</v>
      </c>
      <c r="AR182" s="99">
        <v>98.46</v>
      </c>
      <c r="AS182" s="99">
        <v>98.29</v>
      </c>
      <c r="AT182" s="99">
        <v>98.54</v>
      </c>
      <c r="AU182" s="99">
        <v>97.76</v>
      </c>
      <c r="AV182" s="99">
        <v>98.59</v>
      </c>
      <c r="AW182" s="99">
        <v>98.41</v>
      </c>
      <c r="AX182" s="99">
        <v>98.51</v>
      </c>
      <c r="AY182" s="99">
        <v>98.32</v>
      </c>
      <c r="AZ182" s="99">
        <v>98.14</v>
      </c>
      <c r="BA182" s="99">
        <v>98.35</v>
      </c>
      <c r="BB182" s="40">
        <v>43084</v>
      </c>
      <c r="BC182" s="40">
        <v>43388</v>
      </c>
    </row>
    <row r="183" spans="1:55" s="120" customFormat="1" ht="60">
      <c r="A183" s="74" t="s">
        <v>2</v>
      </c>
      <c r="B183" s="74" t="s">
        <v>982</v>
      </c>
      <c r="C183" s="63" t="s">
        <v>10</v>
      </c>
      <c r="D183" s="63" t="s">
        <v>10</v>
      </c>
      <c r="E183" s="63" t="s">
        <v>11</v>
      </c>
      <c r="F183" s="63" t="s">
        <v>11</v>
      </c>
      <c r="G183" s="74" t="s">
        <v>319</v>
      </c>
      <c r="H183" s="61">
        <v>82.763999999999996</v>
      </c>
      <c r="I183" s="62">
        <v>480</v>
      </c>
      <c r="J183" s="61">
        <v>98.5</v>
      </c>
      <c r="K183" s="39" t="s">
        <v>1325</v>
      </c>
      <c r="L183" s="129" t="s">
        <v>483</v>
      </c>
      <c r="M183" s="57" t="s">
        <v>852</v>
      </c>
      <c r="N183" s="40">
        <v>43388</v>
      </c>
      <c r="O183" s="63" t="s">
        <v>17</v>
      </c>
      <c r="P183" s="63" t="s">
        <v>17</v>
      </c>
      <c r="Q183" s="63" t="s">
        <v>17</v>
      </c>
      <c r="R183" s="71"/>
      <c r="S183" s="57" t="s">
        <v>11</v>
      </c>
      <c r="T183" s="57" t="s">
        <v>11</v>
      </c>
      <c r="U183" s="61">
        <v>2.6</v>
      </c>
      <c r="V183" s="59"/>
      <c r="W183" s="59"/>
      <c r="X183" s="59">
        <v>600</v>
      </c>
      <c r="Y183" s="59">
        <v>710</v>
      </c>
      <c r="Z183" s="59">
        <v>800</v>
      </c>
      <c r="AA183" s="99">
        <v>8.2799999999999994</v>
      </c>
      <c r="AB183" s="99">
        <v>16.55</v>
      </c>
      <c r="AC183" s="99">
        <v>24.83</v>
      </c>
      <c r="AD183" s="99">
        <v>41.38</v>
      </c>
      <c r="AE183" s="99">
        <v>62.07</v>
      </c>
      <c r="AF183" s="99">
        <v>82.76</v>
      </c>
      <c r="AG183" s="99">
        <v>97.48</v>
      </c>
      <c r="AH183" s="99">
        <v>98.39</v>
      </c>
      <c r="AI183" s="99">
        <v>98.4</v>
      </c>
      <c r="AJ183" s="99">
        <v>98.22</v>
      </c>
      <c r="AK183" s="99">
        <v>97.97</v>
      </c>
      <c r="AL183" s="99">
        <v>97.79</v>
      </c>
      <c r="AM183" s="99">
        <v>98.06</v>
      </c>
      <c r="AN183" s="99">
        <v>98.31</v>
      </c>
      <c r="AO183" s="99">
        <v>98.79</v>
      </c>
      <c r="AP183" s="99">
        <v>98.85</v>
      </c>
      <c r="AQ183" s="99">
        <v>98.69</v>
      </c>
      <c r="AR183" s="99">
        <v>98.54</v>
      </c>
      <c r="AS183" s="99">
        <v>98.18</v>
      </c>
      <c r="AT183" s="99">
        <v>98.59</v>
      </c>
      <c r="AU183" s="99">
        <v>98.37</v>
      </c>
      <c r="AV183" s="99">
        <v>98.68</v>
      </c>
      <c r="AW183" s="99">
        <v>98.69</v>
      </c>
      <c r="AX183" s="99">
        <v>98.49</v>
      </c>
      <c r="AY183" s="99">
        <v>98.23</v>
      </c>
      <c r="AZ183" s="99">
        <v>98.09</v>
      </c>
      <c r="BA183" s="99">
        <v>98.36</v>
      </c>
      <c r="BB183" s="40">
        <v>43084</v>
      </c>
      <c r="BC183" s="40">
        <v>43388</v>
      </c>
    </row>
    <row r="184" spans="1:55" s="120" customFormat="1" ht="45">
      <c r="A184" s="74" t="s">
        <v>2</v>
      </c>
      <c r="B184" s="67" t="s">
        <v>983</v>
      </c>
      <c r="C184" s="69" t="s">
        <v>10</v>
      </c>
      <c r="D184" s="69" t="s">
        <v>10</v>
      </c>
      <c r="E184" s="63" t="s">
        <v>10</v>
      </c>
      <c r="F184" s="63" t="s">
        <v>11</v>
      </c>
      <c r="G184" s="74" t="s">
        <v>296</v>
      </c>
      <c r="H184" s="60">
        <v>125</v>
      </c>
      <c r="I184" s="62">
        <v>480</v>
      </c>
      <c r="J184" s="53">
        <v>97</v>
      </c>
      <c r="K184" s="39" t="s">
        <v>1324</v>
      </c>
      <c r="L184" s="129" t="s">
        <v>485</v>
      </c>
      <c r="M184" s="57" t="s">
        <v>853</v>
      </c>
      <c r="N184" s="40">
        <v>43388</v>
      </c>
      <c r="O184" s="129" t="s">
        <v>485</v>
      </c>
      <c r="P184" s="63" t="s">
        <v>17</v>
      </c>
      <c r="Q184" s="63" t="s">
        <v>17</v>
      </c>
      <c r="R184" s="74"/>
      <c r="S184" s="57" t="s">
        <v>11</v>
      </c>
      <c r="T184" s="57" t="s">
        <v>11</v>
      </c>
      <c r="U184" s="54">
        <v>22.4</v>
      </c>
      <c r="V184" s="67"/>
      <c r="W184" s="67"/>
      <c r="X184" s="67">
        <v>750</v>
      </c>
      <c r="Y184" s="67">
        <v>900</v>
      </c>
      <c r="Z184" s="67">
        <v>1000</v>
      </c>
      <c r="AA184" s="101">
        <v>12.5</v>
      </c>
      <c r="AB184" s="101">
        <v>25</v>
      </c>
      <c r="AC184" s="101">
        <v>37.5</v>
      </c>
      <c r="AD184" s="101">
        <v>62.5</v>
      </c>
      <c r="AE184" s="101">
        <v>93.75</v>
      </c>
      <c r="AF184" s="101">
        <v>125</v>
      </c>
      <c r="AG184" s="102">
        <v>95.730999999999995</v>
      </c>
      <c r="AH184" s="102">
        <v>97.198189999999997</v>
      </c>
      <c r="AI184" s="102">
        <v>97.548190000000005</v>
      </c>
      <c r="AJ184" s="102">
        <v>97.647239999999996</v>
      </c>
      <c r="AK184" s="102">
        <v>97.441190000000006</v>
      </c>
      <c r="AL184" s="102">
        <v>97.214240000000004</v>
      </c>
      <c r="AM184" s="102">
        <v>97.4054</v>
      </c>
      <c r="AN184" s="102">
        <v>93.804569999999998</v>
      </c>
      <c r="AO184" s="102">
        <v>96.323999999999998</v>
      </c>
      <c r="AP184" s="102">
        <v>96.933099999999996</v>
      </c>
      <c r="AQ184" s="102">
        <v>97.278049999999993</v>
      </c>
      <c r="AR184" s="102">
        <v>97.268619999999999</v>
      </c>
      <c r="AS184" s="102">
        <v>97.116900000000001</v>
      </c>
      <c r="AT184" s="102">
        <v>97.036959999999993</v>
      </c>
      <c r="AU184" s="102">
        <v>92.311189999999996</v>
      </c>
      <c r="AV184" s="102">
        <v>95.662189999999995</v>
      </c>
      <c r="AW184" s="102">
        <v>96.477620000000002</v>
      </c>
      <c r="AX184" s="102">
        <v>96.970429999999993</v>
      </c>
      <c r="AY184" s="102">
        <v>97.034760000000006</v>
      </c>
      <c r="AZ184" s="102">
        <v>96.800430000000006</v>
      </c>
      <c r="BA184" s="103">
        <v>96.685109999999995</v>
      </c>
      <c r="BB184" s="40">
        <v>43040</v>
      </c>
      <c r="BC184" s="40">
        <v>43388</v>
      </c>
    </row>
    <row r="185" spans="1:55" s="120" customFormat="1" ht="45">
      <c r="A185" s="76" t="s">
        <v>1239</v>
      </c>
      <c r="B185" s="76" t="s">
        <v>1240</v>
      </c>
      <c r="C185" s="79" t="s">
        <v>10</v>
      </c>
      <c r="D185" s="79" t="s">
        <v>11</v>
      </c>
      <c r="E185" s="63" t="s">
        <v>11</v>
      </c>
      <c r="F185" s="63" t="s">
        <v>11</v>
      </c>
      <c r="G185" s="76" t="s">
        <v>1241</v>
      </c>
      <c r="H185" s="144">
        <v>1000</v>
      </c>
      <c r="I185" s="77">
        <v>440</v>
      </c>
      <c r="J185" s="78">
        <v>98</v>
      </c>
      <c r="K185" s="39" t="s">
        <v>1326</v>
      </c>
      <c r="L185" s="145" t="s">
        <v>1242</v>
      </c>
      <c r="M185" s="79" t="s">
        <v>1243</v>
      </c>
      <c r="N185" s="63" t="s">
        <v>17</v>
      </c>
      <c r="O185" s="63" t="s">
        <v>17</v>
      </c>
      <c r="P185" s="63" t="s">
        <v>17</v>
      </c>
      <c r="Q185" s="63" t="s">
        <v>17</v>
      </c>
      <c r="R185" s="81" t="s">
        <v>1244</v>
      </c>
      <c r="S185" s="80" t="s">
        <v>11</v>
      </c>
      <c r="T185" s="80" t="s">
        <v>11</v>
      </c>
      <c r="U185" s="82">
        <v>149.25</v>
      </c>
      <c r="V185" s="83"/>
      <c r="W185" s="83"/>
      <c r="X185" s="83">
        <v>740</v>
      </c>
      <c r="Y185" s="83">
        <v>830</v>
      </c>
      <c r="Z185" s="83">
        <v>900</v>
      </c>
      <c r="AA185" s="82">
        <v>100</v>
      </c>
      <c r="AB185" s="82">
        <v>200</v>
      </c>
      <c r="AC185" s="82">
        <v>300</v>
      </c>
      <c r="AD185" s="82">
        <v>500</v>
      </c>
      <c r="AE185" s="82">
        <v>750</v>
      </c>
      <c r="AF185" s="82">
        <v>1000</v>
      </c>
      <c r="AG185" s="146">
        <v>94.976199999999992</v>
      </c>
      <c r="AH185" s="146">
        <v>97.210200000000015</v>
      </c>
      <c r="AI185" s="146">
        <v>97.951599999999999</v>
      </c>
      <c r="AJ185" s="146">
        <v>98.4084</v>
      </c>
      <c r="AK185" s="146">
        <v>98.506999999999991</v>
      </c>
      <c r="AL185" s="146">
        <v>98.421000000000006</v>
      </c>
      <c r="AM185" s="146">
        <v>98.209273999999994</v>
      </c>
      <c r="AN185" s="146">
        <v>94.25200000000001</v>
      </c>
      <c r="AO185" s="146">
        <v>96.764399999999995</v>
      </c>
      <c r="AP185" s="146">
        <v>97.581600000000009</v>
      </c>
      <c r="AQ185" s="146">
        <v>98.185599999999994</v>
      </c>
      <c r="AR185" s="146">
        <v>98.325400000000002</v>
      </c>
      <c r="AS185" s="146">
        <v>98.260799999999989</v>
      </c>
      <c r="AT185" s="146">
        <v>97.962569999999999</v>
      </c>
      <c r="AU185" s="146">
        <v>93.58720000000001</v>
      </c>
      <c r="AV185" s="146">
        <v>96.477400000000003</v>
      </c>
      <c r="AW185" s="146">
        <v>97.383799999999994</v>
      </c>
      <c r="AX185" s="146">
        <v>98.005799999999994</v>
      </c>
      <c r="AY185" s="146">
        <v>98.208799999999997</v>
      </c>
      <c r="AZ185" s="146">
        <v>98.169399999999996</v>
      </c>
      <c r="BA185" s="146">
        <v>97.793765999999991</v>
      </c>
      <c r="BB185" s="84">
        <v>43405</v>
      </c>
      <c r="BC185" s="85"/>
    </row>
    <row r="186" spans="1:55" s="120" customFormat="1" ht="75">
      <c r="A186" s="41" t="s">
        <v>595</v>
      </c>
      <c r="B186" s="41" t="s">
        <v>984</v>
      </c>
      <c r="C186" s="43" t="s">
        <v>10</v>
      </c>
      <c r="D186" s="43" t="s">
        <v>11</v>
      </c>
      <c r="E186" s="43" t="s">
        <v>10</v>
      </c>
      <c r="F186" s="63" t="s">
        <v>11</v>
      </c>
      <c r="G186" s="41" t="s">
        <v>754</v>
      </c>
      <c r="H186" s="27">
        <v>98.861000000000004</v>
      </c>
      <c r="I186" s="109">
        <v>480</v>
      </c>
      <c r="J186" s="27">
        <v>93</v>
      </c>
      <c r="K186" s="39" t="s">
        <v>1325</v>
      </c>
      <c r="L186" s="130" t="s">
        <v>596</v>
      </c>
      <c r="M186" s="110" t="s">
        <v>755</v>
      </c>
      <c r="N186" s="63" t="s">
        <v>17</v>
      </c>
      <c r="O186" s="130" t="s">
        <v>596</v>
      </c>
      <c r="P186" s="63" t="s">
        <v>17</v>
      </c>
      <c r="Q186" s="63" t="s">
        <v>17</v>
      </c>
      <c r="R186" s="112"/>
      <c r="S186" s="111" t="s">
        <v>11</v>
      </c>
      <c r="T186" s="111" t="s">
        <v>11</v>
      </c>
      <c r="U186" s="113">
        <v>803.97</v>
      </c>
      <c r="V186" s="113"/>
      <c r="W186" s="113"/>
      <c r="X186" s="113">
        <v>350</v>
      </c>
      <c r="Y186" s="113">
        <v>475</v>
      </c>
      <c r="Z186" s="113">
        <v>600</v>
      </c>
      <c r="AA186" s="114">
        <v>9.8861000000000008</v>
      </c>
      <c r="AB186" s="114">
        <v>19.772200000000002</v>
      </c>
      <c r="AC186" s="114">
        <v>29.658300000000001</v>
      </c>
      <c r="AD186" s="114">
        <v>49.430500000000002</v>
      </c>
      <c r="AE186" s="114">
        <v>74.145750000000007</v>
      </c>
      <c r="AF186" s="114">
        <v>98.861000000000004</v>
      </c>
      <c r="AG186" s="114">
        <v>81.549729106029986</v>
      </c>
      <c r="AH186" s="114">
        <v>89.974538943904108</v>
      </c>
      <c r="AI186" s="114">
        <v>92.764837199052181</v>
      </c>
      <c r="AJ186" s="114">
        <v>95.055380945060605</v>
      </c>
      <c r="AK186" s="114">
        <v>95.953827167765624</v>
      </c>
      <c r="AL186" s="114">
        <v>96.267397566741934</v>
      </c>
      <c r="AM186" s="114">
        <v>94.523024851038272</v>
      </c>
      <c r="AN186" s="114">
        <v>76.874045814495673</v>
      </c>
      <c r="AO186" s="114">
        <v>87.524622336294613</v>
      </c>
      <c r="AP186" s="114">
        <v>90.726104555513842</v>
      </c>
      <c r="AQ186" s="114">
        <v>93.685847560399708</v>
      </c>
      <c r="AR186" s="114">
        <v>95.08111701541732</v>
      </c>
      <c r="AS186" s="114">
        <v>95.578909890744185</v>
      </c>
      <c r="AT186" s="114">
        <v>93.184290996448553</v>
      </c>
      <c r="AU186" s="114">
        <v>73.017968946607908</v>
      </c>
      <c r="AV186" s="114">
        <v>84.96456393307723</v>
      </c>
      <c r="AW186" s="114">
        <v>89.04085254118921</v>
      </c>
      <c r="AX186" s="114">
        <v>92.381166211031143</v>
      </c>
      <c r="AY186" s="114">
        <v>94.006967161842141</v>
      </c>
      <c r="AZ186" s="114">
        <v>94.6159056750584</v>
      </c>
      <c r="BA186" s="114">
        <v>91.808382043306679</v>
      </c>
      <c r="BB186" s="40">
        <v>43266</v>
      </c>
      <c r="BC186" s="111"/>
    </row>
    <row r="187" spans="1:55" s="120" customFormat="1" ht="75">
      <c r="A187" s="87" t="s">
        <v>595</v>
      </c>
      <c r="B187" s="74" t="s">
        <v>985</v>
      </c>
      <c r="C187" s="63" t="s">
        <v>10</v>
      </c>
      <c r="D187" s="63" t="s">
        <v>10</v>
      </c>
      <c r="E187" s="43" t="s">
        <v>10</v>
      </c>
      <c r="F187" s="63" t="s">
        <v>11</v>
      </c>
      <c r="G187" s="37" t="s">
        <v>751</v>
      </c>
      <c r="H187" s="35">
        <v>248.91</v>
      </c>
      <c r="I187" s="35">
        <v>480</v>
      </c>
      <c r="J187" s="35">
        <v>95</v>
      </c>
      <c r="K187" s="39" t="s">
        <v>1325</v>
      </c>
      <c r="L187" s="128" t="s">
        <v>752</v>
      </c>
      <c r="M187" s="39" t="s">
        <v>753</v>
      </c>
      <c r="N187" s="40">
        <v>43388</v>
      </c>
      <c r="O187" s="128" t="s">
        <v>752</v>
      </c>
      <c r="P187" s="63" t="s">
        <v>17</v>
      </c>
      <c r="Q187" s="63" t="s">
        <v>17</v>
      </c>
      <c r="R187" s="65"/>
      <c r="S187" s="34" t="s">
        <v>11</v>
      </c>
      <c r="T187" s="34" t="s">
        <v>11</v>
      </c>
      <c r="U187" s="35">
        <v>1638.5</v>
      </c>
      <c r="V187" s="35"/>
      <c r="W187" s="35"/>
      <c r="X187" s="35">
        <v>350</v>
      </c>
      <c r="Y187" s="35">
        <v>475</v>
      </c>
      <c r="Z187" s="35">
        <v>600</v>
      </c>
      <c r="AA187" s="103">
        <v>24.890999999999998</v>
      </c>
      <c r="AB187" s="103">
        <v>49.781199999999998</v>
      </c>
      <c r="AC187" s="103">
        <v>74.671800000000005</v>
      </c>
      <c r="AD187" s="103">
        <v>124.453</v>
      </c>
      <c r="AE187" s="103">
        <v>186.68</v>
      </c>
      <c r="AF187" s="103">
        <v>248.90600000000001</v>
      </c>
      <c r="AG187" s="103">
        <v>89.1</v>
      </c>
      <c r="AH187" s="103">
        <v>93.5</v>
      </c>
      <c r="AI187" s="103">
        <v>95</v>
      </c>
      <c r="AJ187" s="103">
        <v>95.9</v>
      </c>
      <c r="AK187" s="103">
        <v>96</v>
      </c>
      <c r="AL187" s="103">
        <v>95.8</v>
      </c>
      <c r="AM187" s="103">
        <v>95.4</v>
      </c>
      <c r="AN187" s="103">
        <v>87.1</v>
      </c>
      <c r="AO187" s="103">
        <v>92.3</v>
      </c>
      <c r="AP187" s="103">
        <v>94.1</v>
      </c>
      <c r="AQ187" s="103">
        <v>95.3</v>
      </c>
      <c r="AR187" s="103">
        <v>95.6</v>
      </c>
      <c r="AS187" s="103">
        <v>95.3</v>
      </c>
      <c r="AT187" s="103">
        <v>94.8</v>
      </c>
      <c r="AU187" s="103">
        <v>85.6</v>
      </c>
      <c r="AV187" s="103">
        <v>91.1</v>
      </c>
      <c r="AW187" s="103">
        <v>93</v>
      </c>
      <c r="AX187" s="103">
        <v>94.5</v>
      </c>
      <c r="AY187" s="103">
        <v>94.9</v>
      </c>
      <c r="AZ187" s="103">
        <v>94.6</v>
      </c>
      <c r="BA187" s="103">
        <v>94</v>
      </c>
      <c r="BB187" s="40">
        <v>43146</v>
      </c>
      <c r="BC187" s="40">
        <v>43388</v>
      </c>
    </row>
    <row r="188" spans="1:55" s="120" customFormat="1" ht="75">
      <c r="A188" s="41" t="s">
        <v>595</v>
      </c>
      <c r="B188" s="41" t="s">
        <v>986</v>
      </c>
      <c r="C188" s="43" t="s">
        <v>10</v>
      </c>
      <c r="D188" s="43" t="s">
        <v>11</v>
      </c>
      <c r="E188" s="43" t="s">
        <v>10</v>
      </c>
      <c r="F188" s="63" t="s">
        <v>11</v>
      </c>
      <c r="G188" s="41" t="s">
        <v>749</v>
      </c>
      <c r="H188" s="27">
        <v>249.619</v>
      </c>
      <c r="I188" s="109">
        <v>480</v>
      </c>
      <c r="J188" s="27">
        <v>95.5</v>
      </c>
      <c r="K188" s="39" t="s">
        <v>1325</v>
      </c>
      <c r="L188" s="130" t="s">
        <v>596</v>
      </c>
      <c r="M188" s="110" t="s">
        <v>750</v>
      </c>
      <c r="N188" s="63" t="s">
        <v>17</v>
      </c>
      <c r="O188" s="130" t="s">
        <v>596</v>
      </c>
      <c r="P188" s="63" t="s">
        <v>17</v>
      </c>
      <c r="Q188" s="63" t="s">
        <v>17</v>
      </c>
      <c r="R188" s="112"/>
      <c r="S188" s="111" t="s">
        <v>11</v>
      </c>
      <c r="T188" s="111" t="s">
        <v>11</v>
      </c>
      <c r="U188" s="113">
        <v>437.7</v>
      </c>
      <c r="V188" s="113"/>
      <c r="W188" s="113"/>
      <c r="X188" s="113">
        <v>580</v>
      </c>
      <c r="Y188" s="113">
        <v>705</v>
      </c>
      <c r="Z188" s="113">
        <v>830</v>
      </c>
      <c r="AA188" s="114">
        <v>24.9619</v>
      </c>
      <c r="AB188" s="114">
        <v>49.9238</v>
      </c>
      <c r="AC188" s="114">
        <v>74.8857</v>
      </c>
      <c r="AD188" s="114">
        <v>124.8095</v>
      </c>
      <c r="AE188" s="114">
        <v>187.21424999999999</v>
      </c>
      <c r="AF188" s="114">
        <v>249.619</v>
      </c>
      <c r="AG188" s="114">
        <v>89.162466516547994</v>
      </c>
      <c r="AH188" s="114">
        <v>93.277754264854138</v>
      </c>
      <c r="AI188" s="114">
        <v>94.943555359960015</v>
      </c>
      <c r="AJ188" s="114">
        <v>96.635173224369893</v>
      </c>
      <c r="AK188" s="114">
        <v>96.507332319035953</v>
      </c>
      <c r="AL188" s="114">
        <v>96.498078452399824</v>
      </c>
      <c r="AM188" s="114">
        <v>95.890789445926558</v>
      </c>
      <c r="AN188" s="114">
        <v>87.144291364515993</v>
      </c>
      <c r="AO188" s="114">
        <v>92.741010595800759</v>
      </c>
      <c r="AP188" s="114">
        <v>94.160585089985801</v>
      </c>
      <c r="AQ188" s="114">
        <v>95.689372013838948</v>
      </c>
      <c r="AR188" s="114">
        <v>96.324363830329986</v>
      </c>
      <c r="AS188" s="114">
        <v>96.198182836470266</v>
      </c>
      <c r="AT188" s="114">
        <v>95.378682489973556</v>
      </c>
      <c r="AU188" s="114">
        <v>86.216690625126006</v>
      </c>
      <c r="AV188" s="114">
        <v>91.839437084992426</v>
      </c>
      <c r="AW188" s="114">
        <v>93.700243580581926</v>
      </c>
      <c r="AX188" s="114">
        <v>95.085162831933602</v>
      </c>
      <c r="AY188" s="114">
        <v>95.787663326950479</v>
      </c>
      <c r="AZ188" s="114">
        <v>95.881905115268637</v>
      </c>
      <c r="BA188" s="114">
        <v>94.814109722677742</v>
      </c>
      <c r="BB188" s="40">
        <v>43266</v>
      </c>
      <c r="BC188" s="111"/>
    </row>
    <row r="189" spans="1:55" s="120" customFormat="1" ht="75">
      <c r="A189" s="41" t="s">
        <v>9</v>
      </c>
      <c r="B189" s="86" t="s">
        <v>987</v>
      </c>
      <c r="C189" s="85" t="s">
        <v>10</v>
      </c>
      <c r="D189" s="85" t="s">
        <v>10</v>
      </c>
      <c r="E189" s="43" t="s">
        <v>10</v>
      </c>
      <c r="F189" s="63" t="s">
        <v>11</v>
      </c>
      <c r="G189" s="75" t="s">
        <v>232</v>
      </c>
      <c r="H189" s="54">
        <v>0.22</v>
      </c>
      <c r="I189" s="25">
        <v>208</v>
      </c>
      <c r="J189" s="26">
        <v>97</v>
      </c>
      <c r="K189" s="39" t="s">
        <v>1327</v>
      </c>
      <c r="L189" s="129" t="s">
        <v>486</v>
      </c>
      <c r="M189" s="33" t="s">
        <v>487</v>
      </c>
      <c r="N189" s="40">
        <v>43388</v>
      </c>
      <c r="O189" s="129" t="s">
        <v>486</v>
      </c>
      <c r="P189" s="63" t="s">
        <v>17</v>
      </c>
      <c r="Q189" s="63" t="s">
        <v>17</v>
      </c>
      <c r="R189" s="60"/>
      <c r="S189" s="32" t="s">
        <v>11</v>
      </c>
      <c r="T189" s="32" t="s">
        <v>10</v>
      </c>
      <c r="U189" s="35">
        <v>5.0999999999999997E-2</v>
      </c>
      <c r="V189" s="35"/>
      <c r="W189" s="35"/>
      <c r="X189" s="35">
        <v>27</v>
      </c>
      <c r="Y189" s="35">
        <v>32</v>
      </c>
      <c r="Z189" s="35">
        <v>37</v>
      </c>
      <c r="AA189" s="103">
        <v>0.02</v>
      </c>
      <c r="AB189" s="103">
        <v>0.04</v>
      </c>
      <c r="AC189" s="103">
        <v>7.0000000000000007E-2</v>
      </c>
      <c r="AD189" s="103">
        <v>0.11</v>
      </c>
      <c r="AE189" s="103">
        <v>0.17</v>
      </c>
      <c r="AF189" s="103">
        <v>0.22</v>
      </c>
      <c r="AG189" s="103">
        <v>94.9</v>
      </c>
      <c r="AH189" s="103">
        <v>96.5</v>
      </c>
      <c r="AI189" s="103">
        <v>96.4</v>
      </c>
      <c r="AJ189" s="103">
        <v>97.2</v>
      </c>
      <c r="AK189" s="103">
        <v>97.2</v>
      </c>
      <c r="AL189" s="103">
        <v>96.9</v>
      </c>
      <c r="AM189" s="103">
        <v>97</v>
      </c>
      <c r="AN189" s="103">
        <v>94.9</v>
      </c>
      <c r="AO189" s="103">
        <v>96.4</v>
      </c>
      <c r="AP189" s="103">
        <v>96.1</v>
      </c>
      <c r="AQ189" s="103">
        <v>97.1</v>
      </c>
      <c r="AR189" s="103">
        <v>97.1</v>
      </c>
      <c r="AS189" s="103">
        <v>96.8</v>
      </c>
      <c r="AT189" s="103">
        <v>96.8</v>
      </c>
      <c r="AU189" s="103">
        <v>94.8</v>
      </c>
      <c r="AV189" s="103">
        <v>96.3</v>
      </c>
      <c r="AW189" s="103">
        <v>95.8</v>
      </c>
      <c r="AX189" s="103">
        <v>96.9</v>
      </c>
      <c r="AY189" s="103">
        <v>97</v>
      </c>
      <c r="AZ189" s="103">
        <v>96.7</v>
      </c>
      <c r="BA189" s="103">
        <v>96.7</v>
      </c>
      <c r="BB189" s="40">
        <v>43024</v>
      </c>
      <c r="BC189" s="40">
        <v>43388</v>
      </c>
    </row>
    <row r="190" spans="1:55" s="120" customFormat="1" ht="45">
      <c r="A190" s="41" t="s">
        <v>9</v>
      </c>
      <c r="B190" s="86" t="s">
        <v>988</v>
      </c>
      <c r="C190" s="85" t="s">
        <v>10</v>
      </c>
      <c r="D190" s="85" t="s">
        <v>10</v>
      </c>
      <c r="E190" s="43" t="s">
        <v>10</v>
      </c>
      <c r="F190" s="63" t="s">
        <v>11</v>
      </c>
      <c r="G190" s="75" t="s">
        <v>231</v>
      </c>
      <c r="H190" s="54">
        <v>0.22</v>
      </c>
      <c r="I190" s="25">
        <v>240</v>
      </c>
      <c r="J190" s="26">
        <v>97</v>
      </c>
      <c r="K190" s="39" t="s">
        <v>1327</v>
      </c>
      <c r="L190" s="129" t="s">
        <v>486</v>
      </c>
      <c r="M190" s="33" t="s">
        <v>487</v>
      </c>
      <c r="N190" s="40">
        <v>43388</v>
      </c>
      <c r="O190" s="129" t="s">
        <v>486</v>
      </c>
      <c r="P190" s="63" t="s">
        <v>17</v>
      </c>
      <c r="Q190" s="63" t="s">
        <v>17</v>
      </c>
      <c r="R190" s="60"/>
      <c r="S190" s="32" t="s">
        <v>11</v>
      </c>
      <c r="T190" s="32" t="s">
        <v>10</v>
      </c>
      <c r="U190" s="25">
        <v>5.0999999999999997E-2</v>
      </c>
      <c r="V190" s="25"/>
      <c r="W190" s="25"/>
      <c r="X190" s="25">
        <v>27</v>
      </c>
      <c r="Y190" s="25">
        <v>32</v>
      </c>
      <c r="Z190" s="25">
        <v>37</v>
      </c>
      <c r="AA190" s="95">
        <v>0.02</v>
      </c>
      <c r="AB190" s="95">
        <v>0.04</v>
      </c>
      <c r="AC190" s="95">
        <v>7.0000000000000007E-2</v>
      </c>
      <c r="AD190" s="95">
        <v>0.11</v>
      </c>
      <c r="AE190" s="95">
        <v>0.17</v>
      </c>
      <c r="AF190" s="95">
        <v>0.22</v>
      </c>
      <c r="AG190" s="95">
        <v>95</v>
      </c>
      <c r="AH190" s="95">
        <v>96.4</v>
      </c>
      <c r="AI190" s="95">
        <v>96.2</v>
      </c>
      <c r="AJ190" s="95">
        <v>97.4</v>
      </c>
      <c r="AK190" s="95">
        <v>97.5</v>
      </c>
      <c r="AL190" s="95">
        <v>97.4</v>
      </c>
      <c r="AM190" s="95">
        <v>97.2</v>
      </c>
      <c r="AN190" s="95">
        <v>95</v>
      </c>
      <c r="AO190" s="95">
        <v>96.5</v>
      </c>
      <c r="AP190" s="95">
        <v>95.8</v>
      </c>
      <c r="AQ190" s="95">
        <v>97.2</v>
      </c>
      <c r="AR190" s="95">
        <v>97.3</v>
      </c>
      <c r="AS190" s="95">
        <v>97.2</v>
      </c>
      <c r="AT190" s="95">
        <v>97</v>
      </c>
      <c r="AU190" s="95">
        <v>94.9</v>
      </c>
      <c r="AV190" s="95">
        <v>96.4</v>
      </c>
      <c r="AW190" s="95">
        <v>95.4</v>
      </c>
      <c r="AX190" s="95">
        <v>96.9</v>
      </c>
      <c r="AY190" s="95">
        <v>97.2</v>
      </c>
      <c r="AZ190" s="95">
        <v>97.2</v>
      </c>
      <c r="BA190" s="95">
        <v>96.8</v>
      </c>
      <c r="BB190" s="40">
        <v>43024</v>
      </c>
      <c r="BC190" s="40">
        <v>43388</v>
      </c>
    </row>
    <row r="191" spans="1:55" s="120" customFormat="1" ht="45">
      <c r="A191" s="76" t="s">
        <v>9</v>
      </c>
      <c r="B191" s="76" t="s">
        <v>989</v>
      </c>
      <c r="C191" s="79" t="s">
        <v>10</v>
      </c>
      <c r="D191" s="79" t="s">
        <v>10</v>
      </c>
      <c r="E191" s="43" t="s">
        <v>10</v>
      </c>
      <c r="F191" s="63" t="s">
        <v>11</v>
      </c>
      <c r="G191" s="76" t="s">
        <v>143</v>
      </c>
      <c r="H191" s="26">
        <v>0.23</v>
      </c>
      <c r="I191" s="25">
        <v>208</v>
      </c>
      <c r="J191" s="78">
        <v>97</v>
      </c>
      <c r="K191" s="39" t="s">
        <v>1327</v>
      </c>
      <c r="L191" s="131" t="s">
        <v>586</v>
      </c>
      <c r="M191" s="79" t="s">
        <v>585</v>
      </c>
      <c r="N191" s="40">
        <v>43388</v>
      </c>
      <c r="O191" s="131" t="s">
        <v>586</v>
      </c>
      <c r="P191" s="63" t="s">
        <v>17</v>
      </c>
      <c r="Q191" s="63" t="s">
        <v>17</v>
      </c>
      <c r="R191" s="71" t="s">
        <v>27</v>
      </c>
      <c r="S191" s="32" t="s">
        <v>11</v>
      </c>
      <c r="T191" s="32" t="s">
        <v>10</v>
      </c>
      <c r="U191" s="25">
        <v>0.02</v>
      </c>
      <c r="V191" s="83"/>
      <c r="W191" s="83"/>
      <c r="X191" s="83">
        <v>27</v>
      </c>
      <c r="Y191" s="83">
        <v>32</v>
      </c>
      <c r="Z191" s="83">
        <v>37</v>
      </c>
      <c r="AA191" s="100">
        <v>2.3E-2</v>
      </c>
      <c r="AB191" s="100">
        <v>4.5999999999999999E-2</v>
      </c>
      <c r="AC191" s="100">
        <v>6.9000000000000006E-2</v>
      </c>
      <c r="AD191" s="100">
        <v>0.115</v>
      </c>
      <c r="AE191" s="100">
        <v>0.17249999999999999</v>
      </c>
      <c r="AF191" s="100">
        <v>0.23</v>
      </c>
      <c r="AG191" s="100">
        <v>94.197490000000002</v>
      </c>
      <c r="AH191" s="100">
        <v>95.712479999999999</v>
      </c>
      <c r="AI191" s="100">
        <v>96.348519999999994</v>
      </c>
      <c r="AJ191" s="100">
        <v>97.262550000000005</v>
      </c>
      <c r="AK191" s="100">
        <v>97.260339999999999</v>
      </c>
      <c r="AL191" s="100">
        <v>96.917450000000002</v>
      </c>
      <c r="AM191" s="100">
        <v>96.934330000000003</v>
      </c>
      <c r="AN191" s="100">
        <v>94.452510000000004</v>
      </c>
      <c r="AO191" s="100">
        <v>95.864980000000003</v>
      </c>
      <c r="AP191" s="100">
        <v>96.241010000000003</v>
      </c>
      <c r="AQ191" s="100">
        <v>97.119309999999999</v>
      </c>
      <c r="AR191" s="100">
        <v>97.198210000000003</v>
      </c>
      <c r="AS191" s="100">
        <v>96.97448</v>
      </c>
      <c r="AT191" s="100">
        <v>96.879099999999994</v>
      </c>
      <c r="AU191" s="100">
        <v>94.1798</v>
      </c>
      <c r="AV191" s="100">
        <v>95.690380000000005</v>
      </c>
      <c r="AW191" s="100">
        <v>96.083370000000002</v>
      </c>
      <c r="AX191" s="100">
        <v>96.967740000000006</v>
      </c>
      <c r="AY191" s="100">
        <v>97.087569999999999</v>
      </c>
      <c r="AZ191" s="100">
        <v>96.917450000000002</v>
      </c>
      <c r="BA191" s="100">
        <v>96.747230000000002</v>
      </c>
      <c r="BB191" s="40">
        <v>42948</v>
      </c>
      <c r="BC191" s="40">
        <v>43388</v>
      </c>
    </row>
    <row r="192" spans="1:55" s="120" customFormat="1" ht="45">
      <c r="A192" s="76" t="s">
        <v>9</v>
      </c>
      <c r="B192" s="76" t="s">
        <v>990</v>
      </c>
      <c r="C192" s="79" t="s">
        <v>10</v>
      </c>
      <c r="D192" s="79" t="s">
        <v>10</v>
      </c>
      <c r="E192" s="43" t="s">
        <v>10</v>
      </c>
      <c r="F192" s="63" t="s">
        <v>11</v>
      </c>
      <c r="G192" s="76" t="s">
        <v>587</v>
      </c>
      <c r="H192" s="90">
        <v>0.23</v>
      </c>
      <c r="I192" s="77">
        <v>240</v>
      </c>
      <c r="J192" s="78">
        <v>97</v>
      </c>
      <c r="K192" s="39" t="s">
        <v>1327</v>
      </c>
      <c r="L192" s="131" t="s">
        <v>586</v>
      </c>
      <c r="M192" s="79" t="s">
        <v>585</v>
      </c>
      <c r="N192" s="40">
        <v>43388</v>
      </c>
      <c r="O192" s="131" t="s">
        <v>586</v>
      </c>
      <c r="P192" s="63" t="s">
        <v>17</v>
      </c>
      <c r="Q192" s="63" t="s">
        <v>17</v>
      </c>
      <c r="R192" s="71" t="s">
        <v>27</v>
      </c>
      <c r="S192" s="80" t="s">
        <v>11</v>
      </c>
      <c r="T192" s="80" t="s">
        <v>10</v>
      </c>
      <c r="U192" s="82">
        <v>0.03</v>
      </c>
      <c r="V192" s="83"/>
      <c r="W192" s="83"/>
      <c r="X192" s="83">
        <v>27</v>
      </c>
      <c r="Y192" s="83">
        <v>32</v>
      </c>
      <c r="Z192" s="83">
        <v>37</v>
      </c>
      <c r="AA192" s="100">
        <v>2.3E-2</v>
      </c>
      <c r="AB192" s="100">
        <v>4.5999999999999999E-2</v>
      </c>
      <c r="AC192" s="100">
        <v>6.9000000000000006E-2</v>
      </c>
      <c r="AD192" s="100">
        <v>0.115</v>
      </c>
      <c r="AE192" s="100">
        <v>0.17249999999999999</v>
      </c>
      <c r="AF192" s="100">
        <v>0.23</v>
      </c>
      <c r="AG192" s="100">
        <v>94.655230000000003</v>
      </c>
      <c r="AH192" s="100">
        <v>96.037739999999999</v>
      </c>
      <c r="AI192" s="100">
        <v>96.665639999999996</v>
      </c>
      <c r="AJ192" s="100">
        <v>97.423699999999997</v>
      </c>
      <c r="AK192" s="100">
        <v>97.484939999999995</v>
      </c>
      <c r="AL192" s="100">
        <v>97.25591</v>
      </c>
      <c r="AM192" s="100">
        <v>97.176760000000002</v>
      </c>
      <c r="AN192" s="100">
        <v>95.060559999999995</v>
      </c>
      <c r="AO192" s="100">
        <v>96.356809999999996</v>
      </c>
      <c r="AP192" s="100">
        <v>96.706540000000004</v>
      </c>
      <c r="AQ192" s="100">
        <v>97.392669999999995</v>
      </c>
      <c r="AR192" s="100">
        <v>97.586340000000007</v>
      </c>
      <c r="AS192" s="100">
        <v>97.529629999999997</v>
      </c>
      <c r="AT192" s="100">
        <v>97.274749999999997</v>
      </c>
      <c r="AU192" s="100">
        <v>94.744969999999995</v>
      </c>
      <c r="AV192" s="100">
        <v>96.105410000000006</v>
      </c>
      <c r="AW192" s="100">
        <v>96.43141</v>
      </c>
      <c r="AX192" s="100">
        <v>97.196730000000002</v>
      </c>
      <c r="AY192" s="100">
        <v>97.469279999999998</v>
      </c>
      <c r="AZ192" s="100">
        <v>97.483500000000006</v>
      </c>
      <c r="BA192" s="100">
        <v>97.111050000000006</v>
      </c>
      <c r="BB192" s="40">
        <v>42948</v>
      </c>
      <c r="BC192" s="40">
        <v>43388</v>
      </c>
    </row>
    <row r="193" spans="1:55" s="120" customFormat="1" ht="45">
      <c r="A193" s="76" t="s">
        <v>9</v>
      </c>
      <c r="B193" s="76" t="s">
        <v>991</v>
      </c>
      <c r="C193" s="79" t="s">
        <v>10</v>
      </c>
      <c r="D193" s="79" t="s">
        <v>10</v>
      </c>
      <c r="E193" s="43" t="s">
        <v>10</v>
      </c>
      <c r="F193" s="63" t="s">
        <v>11</v>
      </c>
      <c r="G193" s="76" t="s">
        <v>144</v>
      </c>
      <c r="H193" s="90">
        <v>0.23</v>
      </c>
      <c r="I193" s="77">
        <v>208</v>
      </c>
      <c r="J193" s="78">
        <v>97</v>
      </c>
      <c r="K193" s="39" t="s">
        <v>1327</v>
      </c>
      <c r="L193" s="131" t="s">
        <v>584</v>
      </c>
      <c r="M193" s="79" t="s">
        <v>585</v>
      </c>
      <c r="N193" s="40">
        <v>43388</v>
      </c>
      <c r="O193" s="131" t="s">
        <v>586</v>
      </c>
      <c r="P193" s="63" t="s">
        <v>17</v>
      </c>
      <c r="Q193" s="63" t="s">
        <v>17</v>
      </c>
      <c r="R193" s="81"/>
      <c r="S193" s="80" t="s">
        <v>11</v>
      </c>
      <c r="T193" s="80" t="s">
        <v>10</v>
      </c>
      <c r="U193" s="82">
        <v>0.02</v>
      </c>
      <c r="V193" s="83"/>
      <c r="W193" s="83"/>
      <c r="X193" s="83">
        <v>27</v>
      </c>
      <c r="Y193" s="83">
        <v>32</v>
      </c>
      <c r="Z193" s="83">
        <v>37</v>
      </c>
      <c r="AA193" s="100">
        <v>23</v>
      </c>
      <c r="AB193" s="100">
        <v>46</v>
      </c>
      <c r="AC193" s="100">
        <v>69</v>
      </c>
      <c r="AD193" s="100">
        <v>115</v>
      </c>
      <c r="AE193" s="100">
        <v>172.5</v>
      </c>
      <c r="AF193" s="100">
        <v>230</v>
      </c>
      <c r="AG193" s="100">
        <v>94.197490000000002</v>
      </c>
      <c r="AH193" s="100">
        <v>95.712479999999999</v>
      </c>
      <c r="AI193" s="100">
        <v>96.348519999999994</v>
      </c>
      <c r="AJ193" s="100">
        <v>97.262550000000005</v>
      </c>
      <c r="AK193" s="100">
        <v>97.260339999999999</v>
      </c>
      <c r="AL193" s="100">
        <v>96.917450000000002</v>
      </c>
      <c r="AM193" s="100">
        <v>96.934334199999995</v>
      </c>
      <c r="AN193" s="100">
        <v>94.452510000000004</v>
      </c>
      <c r="AO193" s="100">
        <v>95.864980000000003</v>
      </c>
      <c r="AP193" s="100">
        <v>96.241010000000003</v>
      </c>
      <c r="AQ193" s="100">
        <v>97.119309999999999</v>
      </c>
      <c r="AR193" s="100">
        <v>97.198210000000003</v>
      </c>
      <c r="AS193" s="100">
        <v>96.97448</v>
      </c>
      <c r="AT193" s="100">
        <v>96.879101000000006</v>
      </c>
      <c r="AU193" s="100">
        <v>94.1798</v>
      </c>
      <c r="AV193" s="100">
        <v>95.690380000000005</v>
      </c>
      <c r="AW193" s="100">
        <v>96.083370000000002</v>
      </c>
      <c r="AX193" s="100">
        <v>96.967740000000006</v>
      </c>
      <c r="AY193" s="100">
        <v>97.087569999999999</v>
      </c>
      <c r="AZ193" s="100">
        <v>96.917450000000002</v>
      </c>
      <c r="BA193" s="100">
        <v>96.747225400000005</v>
      </c>
      <c r="BB193" s="40">
        <v>42948</v>
      </c>
      <c r="BC193" s="40">
        <v>43388</v>
      </c>
    </row>
    <row r="194" spans="1:55" s="120" customFormat="1" ht="45">
      <c r="A194" s="76" t="s">
        <v>9</v>
      </c>
      <c r="B194" s="76" t="s">
        <v>992</v>
      </c>
      <c r="C194" s="79" t="s">
        <v>10</v>
      </c>
      <c r="D194" s="79" t="s">
        <v>10</v>
      </c>
      <c r="E194" s="43" t="s">
        <v>10</v>
      </c>
      <c r="F194" s="63" t="s">
        <v>11</v>
      </c>
      <c r="G194" s="76" t="s">
        <v>145</v>
      </c>
      <c r="H194" s="90">
        <v>0.23</v>
      </c>
      <c r="I194" s="77">
        <v>240</v>
      </c>
      <c r="J194" s="78">
        <v>97</v>
      </c>
      <c r="K194" s="39" t="s">
        <v>1327</v>
      </c>
      <c r="L194" s="131" t="s">
        <v>584</v>
      </c>
      <c r="M194" s="79" t="s">
        <v>585</v>
      </c>
      <c r="N194" s="40">
        <v>43388</v>
      </c>
      <c r="O194" s="131" t="s">
        <v>586</v>
      </c>
      <c r="P194" s="63" t="s">
        <v>17</v>
      </c>
      <c r="Q194" s="63" t="s">
        <v>17</v>
      </c>
      <c r="R194" s="81"/>
      <c r="S194" s="80" t="s">
        <v>11</v>
      </c>
      <c r="T194" s="80" t="s">
        <v>10</v>
      </c>
      <c r="U194" s="82">
        <v>0.03</v>
      </c>
      <c r="V194" s="83"/>
      <c r="W194" s="83"/>
      <c r="X194" s="83">
        <v>27</v>
      </c>
      <c r="Y194" s="83">
        <v>32</v>
      </c>
      <c r="Z194" s="83">
        <v>37</v>
      </c>
      <c r="AA194" s="100">
        <v>2.3E-2</v>
      </c>
      <c r="AB194" s="100">
        <v>4.5999999999999999E-2</v>
      </c>
      <c r="AC194" s="100">
        <v>6.9000000000000006E-2</v>
      </c>
      <c r="AD194" s="100">
        <v>0.115</v>
      </c>
      <c r="AE194" s="100">
        <v>0.17250000000000001</v>
      </c>
      <c r="AF194" s="100">
        <v>0.23</v>
      </c>
      <c r="AG194" s="100">
        <v>94.655230000000003</v>
      </c>
      <c r="AH194" s="100">
        <v>96.037739999999999</v>
      </c>
      <c r="AI194" s="100">
        <v>96.665639999999996</v>
      </c>
      <c r="AJ194" s="100">
        <v>97.423699999999997</v>
      </c>
      <c r="AK194" s="100">
        <v>97.484939999999995</v>
      </c>
      <c r="AL194" s="100">
        <v>97.25591</v>
      </c>
      <c r="AM194" s="100">
        <v>97.176763699999995</v>
      </c>
      <c r="AN194" s="100">
        <v>95.060559999999995</v>
      </c>
      <c r="AO194" s="100">
        <v>96.356809999999996</v>
      </c>
      <c r="AP194" s="100">
        <v>96.706540000000004</v>
      </c>
      <c r="AQ194" s="100">
        <v>97.392669999999995</v>
      </c>
      <c r="AR194" s="100">
        <v>97.586340000000007</v>
      </c>
      <c r="AS194" s="100">
        <v>97.529629999999997</v>
      </c>
      <c r="AT194" s="100">
        <v>97.274750100000006</v>
      </c>
      <c r="AU194" s="100">
        <v>94.744969999999995</v>
      </c>
      <c r="AV194" s="100">
        <v>96.105410000000006</v>
      </c>
      <c r="AW194" s="100">
        <v>96.43141</v>
      </c>
      <c r="AX194" s="100">
        <v>97.196730000000002</v>
      </c>
      <c r="AY194" s="100">
        <v>97.469279999999998</v>
      </c>
      <c r="AZ194" s="100">
        <v>97.483500000000006</v>
      </c>
      <c r="BA194" s="100">
        <v>97.111045200000007</v>
      </c>
      <c r="BB194" s="40">
        <v>42948</v>
      </c>
      <c r="BC194" s="40">
        <v>43388</v>
      </c>
    </row>
    <row r="195" spans="1:55" s="120" customFormat="1" ht="60">
      <c r="A195" s="76" t="s">
        <v>9</v>
      </c>
      <c r="B195" s="76" t="s">
        <v>993</v>
      </c>
      <c r="C195" s="79" t="s">
        <v>10</v>
      </c>
      <c r="D195" s="79" t="s">
        <v>10</v>
      </c>
      <c r="E195" s="43" t="s">
        <v>10</v>
      </c>
      <c r="F195" s="63" t="s">
        <v>11</v>
      </c>
      <c r="G195" s="76" t="s">
        <v>835</v>
      </c>
      <c r="H195" s="90">
        <v>0.24</v>
      </c>
      <c r="I195" s="77">
        <v>208</v>
      </c>
      <c r="J195" s="78">
        <v>97</v>
      </c>
      <c r="K195" s="39" t="s">
        <v>1327</v>
      </c>
      <c r="L195" s="131" t="s">
        <v>834</v>
      </c>
      <c r="M195" s="79" t="s">
        <v>851</v>
      </c>
      <c r="N195" s="40">
        <v>43388</v>
      </c>
      <c r="O195" s="131" t="s">
        <v>834</v>
      </c>
      <c r="P195" s="63" t="s">
        <v>17</v>
      </c>
      <c r="Q195" s="63" t="s">
        <v>17</v>
      </c>
      <c r="R195" s="81" t="s">
        <v>27</v>
      </c>
      <c r="S195" s="80" t="s">
        <v>11</v>
      </c>
      <c r="T195" s="80" t="s">
        <v>10</v>
      </c>
      <c r="U195" s="82">
        <v>2.5000000000000001E-2</v>
      </c>
      <c r="V195" s="83"/>
      <c r="W195" s="83"/>
      <c r="X195" s="83">
        <v>27</v>
      </c>
      <c r="Y195" s="83">
        <v>32</v>
      </c>
      <c r="Z195" s="83">
        <v>37</v>
      </c>
      <c r="AA195" s="100">
        <v>2.4E-2</v>
      </c>
      <c r="AB195" s="100">
        <v>4.8000000000000001E-2</v>
      </c>
      <c r="AC195" s="100">
        <v>7.1999999999999995E-2</v>
      </c>
      <c r="AD195" s="100">
        <v>0.12</v>
      </c>
      <c r="AE195" s="100">
        <v>0.18</v>
      </c>
      <c r="AF195" s="100">
        <v>0.24</v>
      </c>
      <c r="AG195" s="100">
        <v>94.204329999999999</v>
      </c>
      <c r="AH195" s="100">
        <v>96.226399999999984</v>
      </c>
      <c r="AI195" s="100">
        <v>97.02145999999999</v>
      </c>
      <c r="AJ195" s="100">
        <v>97.553879999999992</v>
      </c>
      <c r="AK195" s="100">
        <v>97.414230000000003</v>
      </c>
      <c r="AL195" s="100">
        <v>96.959759999999989</v>
      </c>
      <c r="AM195" s="100">
        <v>97.185913100000008</v>
      </c>
      <c r="AN195" s="100">
        <v>93.324760000000012</v>
      </c>
      <c r="AO195" s="100">
        <v>95.734390000000005</v>
      </c>
      <c r="AP195" s="100">
        <v>96.756340000000009</v>
      </c>
      <c r="AQ195" s="100">
        <v>97.463930000000005</v>
      </c>
      <c r="AR195" s="100">
        <v>97.41528000000001</v>
      </c>
      <c r="AS195" s="100">
        <v>97.056359999999998</v>
      </c>
      <c r="AT195" s="100">
        <v>97.080812400000013</v>
      </c>
      <c r="AU195" s="100">
        <v>92.419209999999993</v>
      </c>
      <c r="AV195" s="100">
        <v>95.095890000000026</v>
      </c>
      <c r="AW195" s="100">
        <v>96.538389999999993</v>
      </c>
      <c r="AX195" s="100">
        <v>97.353760000000008</v>
      </c>
      <c r="AY195" s="100">
        <v>97.337369999999993</v>
      </c>
      <c r="AZ195" s="100">
        <v>97.025310000000019</v>
      </c>
      <c r="BA195" s="100">
        <v>96.920530900000003</v>
      </c>
      <c r="BB195" s="40">
        <v>43084</v>
      </c>
      <c r="BC195" s="40">
        <v>43388</v>
      </c>
    </row>
    <row r="196" spans="1:55" s="120" customFormat="1" ht="60">
      <c r="A196" s="76" t="s">
        <v>9</v>
      </c>
      <c r="B196" s="76" t="s">
        <v>994</v>
      </c>
      <c r="C196" s="79" t="s">
        <v>10</v>
      </c>
      <c r="D196" s="79" t="s">
        <v>10</v>
      </c>
      <c r="E196" s="43" t="s">
        <v>10</v>
      </c>
      <c r="F196" s="63" t="s">
        <v>11</v>
      </c>
      <c r="G196" s="76" t="s">
        <v>836</v>
      </c>
      <c r="H196" s="90">
        <v>0.24</v>
      </c>
      <c r="I196" s="77">
        <v>240</v>
      </c>
      <c r="J196" s="78">
        <v>97</v>
      </c>
      <c r="K196" s="39" t="s">
        <v>1327</v>
      </c>
      <c r="L196" s="131" t="s">
        <v>834</v>
      </c>
      <c r="M196" s="79" t="s">
        <v>849</v>
      </c>
      <c r="N196" s="40">
        <v>43388</v>
      </c>
      <c r="O196" s="131" t="s">
        <v>834</v>
      </c>
      <c r="P196" s="63" t="s">
        <v>17</v>
      </c>
      <c r="Q196" s="63" t="s">
        <v>17</v>
      </c>
      <c r="R196" s="81" t="s">
        <v>27</v>
      </c>
      <c r="S196" s="80" t="s">
        <v>11</v>
      </c>
      <c r="T196" s="80" t="s">
        <v>10</v>
      </c>
      <c r="U196" s="82">
        <v>2.5000000000000001E-2</v>
      </c>
      <c r="V196" s="83"/>
      <c r="W196" s="83"/>
      <c r="X196" s="83">
        <v>27</v>
      </c>
      <c r="Y196" s="83">
        <v>32</v>
      </c>
      <c r="Z196" s="83">
        <v>37</v>
      </c>
      <c r="AA196" s="100">
        <v>2.4E-2</v>
      </c>
      <c r="AB196" s="100">
        <v>4.8000000000000001E-2</v>
      </c>
      <c r="AC196" s="100">
        <v>7.1999999999999995E-2</v>
      </c>
      <c r="AD196" s="100">
        <v>0.12</v>
      </c>
      <c r="AE196" s="100">
        <v>0.18</v>
      </c>
      <c r="AF196" s="100">
        <v>0.24</v>
      </c>
      <c r="AG196" s="100">
        <v>93.945300000000003</v>
      </c>
      <c r="AH196" s="100">
        <v>96.08005</v>
      </c>
      <c r="AI196" s="100">
        <v>96.814459999999983</v>
      </c>
      <c r="AJ196" s="100">
        <v>97.474629999999991</v>
      </c>
      <c r="AK196" s="100">
        <v>97.419160000000005</v>
      </c>
      <c r="AL196" s="100">
        <v>97.02876999999998</v>
      </c>
      <c r="AM196" s="100">
        <v>97.132815300000004</v>
      </c>
      <c r="AN196" s="100">
        <v>92.990709999999993</v>
      </c>
      <c r="AO196" s="100">
        <v>95.658750000000012</v>
      </c>
      <c r="AP196" s="100">
        <v>96.504930000000002</v>
      </c>
      <c r="AQ196" s="100">
        <v>97.55228000000001</v>
      </c>
      <c r="AR196" s="100">
        <v>97.614990000000006</v>
      </c>
      <c r="AS196" s="100">
        <v>97.408739999999995</v>
      </c>
      <c r="AT196" s="100">
        <v>97.175517999999997</v>
      </c>
      <c r="AU196" s="100">
        <v>92.006249999999994</v>
      </c>
      <c r="AV196" s="100">
        <v>95.026440000000008</v>
      </c>
      <c r="AW196" s="100">
        <v>96.230880000000013</v>
      </c>
      <c r="AX196" s="100">
        <v>97.381270000000001</v>
      </c>
      <c r="AY196" s="100">
        <v>97.543800000000005</v>
      </c>
      <c r="AZ196" s="100">
        <v>97.410729999999987</v>
      </c>
      <c r="BA196" s="100">
        <v>96.998094800000004</v>
      </c>
      <c r="BB196" s="40">
        <v>43084</v>
      </c>
      <c r="BC196" s="40">
        <v>43388</v>
      </c>
    </row>
    <row r="197" spans="1:55" s="120" customFormat="1" ht="45">
      <c r="A197" s="76" t="s">
        <v>9</v>
      </c>
      <c r="B197" s="76" t="s">
        <v>995</v>
      </c>
      <c r="C197" s="79" t="s">
        <v>10</v>
      </c>
      <c r="D197" s="79" t="s">
        <v>10</v>
      </c>
      <c r="E197" s="43" t="s">
        <v>10</v>
      </c>
      <c r="F197" s="63" t="s">
        <v>11</v>
      </c>
      <c r="G197" s="76" t="s">
        <v>781</v>
      </c>
      <c r="H197" s="90">
        <v>0.24</v>
      </c>
      <c r="I197" s="77">
        <v>208</v>
      </c>
      <c r="J197" s="78">
        <v>97</v>
      </c>
      <c r="K197" s="39" t="s">
        <v>1327</v>
      </c>
      <c r="L197" s="131" t="s">
        <v>834</v>
      </c>
      <c r="M197" s="79" t="s">
        <v>851</v>
      </c>
      <c r="N197" s="40">
        <v>43388</v>
      </c>
      <c r="O197" s="131" t="s">
        <v>834</v>
      </c>
      <c r="P197" s="63" t="s">
        <v>17</v>
      </c>
      <c r="Q197" s="63" t="s">
        <v>17</v>
      </c>
      <c r="R197" s="81"/>
      <c r="S197" s="80" t="s">
        <v>11</v>
      </c>
      <c r="T197" s="80" t="s">
        <v>10</v>
      </c>
      <c r="U197" s="82">
        <v>2.5000000000000001E-2</v>
      </c>
      <c r="V197" s="83"/>
      <c r="W197" s="83"/>
      <c r="X197" s="83">
        <v>27</v>
      </c>
      <c r="Y197" s="83">
        <v>32</v>
      </c>
      <c r="Z197" s="83">
        <v>37</v>
      </c>
      <c r="AA197" s="100">
        <v>2.4E-2</v>
      </c>
      <c r="AB197" s="100">
        <v>4.8000000000000001E-2</v>
      </c>
      <c r="AC197" s="100">
        <v>7.1999999999999995E-2</v>
      </c>
      <c r="AD197" s="100">
        <v>0.12</v>
      </c>
      <c r="AE197" s="100">
        <v>0.18</v>
      </c>
      <c r="AF197" s="100">
        <v>0.24</v>
      </c>
      <c r="AG197" s="100">
        <v>94.204329999999999</v>
      </c>
      <c r="AH197" s="100">
        <v>96.226399999999984</v>
      </c>
      <c r="AI197" s="100">
        <v>97.02145999999999</v>
      </c>
      <c r="AJ197" s="100">
        <v>97.553879999999992</v>
      </c>
      <c r="AK197" s="100">
        <v>97.414230000000003</v>
      </c>
      <c r="AL197" s="100">
        <v>96.959759999999989</v>
      </c>
      <c r="AM197" s="100">
        <v>97.185913100000008</v>
      </c>
      <c r="AN197" s="100">
        <v>93.324760000000012</v>
      </c>
      <c r="AO197" s="100">
        <v>95.734390000000005</v>
      </c>
      <c r="AP197" s="100">
        <v>96.756340000000009</v>
      </c>
      <c r="AQ197" s="100">
        <v>97.463930000000005</v>
      </c>
      <c r="AR197" s="100">
        <v>97.41528000000001</v>
      </c>
      <c r="AS197" s="100">
        <v>97.056359999999998</v>
      </c>
      <c r="AT197" s="100">
        <v>97.080812400000013</v>
      </c>
      <c r="AU197" s="100">
        <v>92.419209999999993</v>
      </c>
      <c r="AV197" s="100">
        <v>95.095890000000026</v>
      </c>
      <c r="AW197" s="100">
        <v>96.538389999999993</v>
      </c>
      <c r="AX197" s="100">
        <v>97.353760000000008</v>
      </c>
      <c r="AY197" s="100">
        <v>97.337369999999993</v>
      </c>
      <c r="AZ197" s="100">
        <v>97.025310000000019</v>
      </c>
      <c r="BA197" s="100">
        <v>96.920530900000003</v>
      </c>
      <c r="BB197" s="40">
        <v>43084</v>
      </c>
      <c r="BC197" s="40">
        <v>43388</v>
      </c>
    </row>
    <row r="198" spans="1:55" s="120" customFormat="1" ht="45">
      <c r="A198" s="76" t="s">
        <v>9</v>
      </c>
      <c r="B198" s="76" t="s">
        <v>996</v>
      </c>
      <c r="C198" s="79" t="s">
        <v>10</v>
      </c>
      <c r="D198" s="79" t="s">
        <v>10</v>
      </c>
      <c r="E198" s="43" t="s">
        <v>10</v>
      </c>
      <c r="F198" s="63" t="s">
        <v>11</v>
      </c>
      <c r="G198" s="76" t="s">
        <v>782</v>
      </c>
      <c r="H198" s="90">
        <v>0.24</v>
      </c>
      <c r="I198" s="77">
        <v>240</v>
      </c>
      <c r="J198" s="78">
        <v>97</v>
      </c>
      <c r="K198" s="39" t="s">
        <v>1327</v>
      </c>
      <c r="L198" s="131" t="s">
        <v>834</v>
      </c>
      <c r="M198" s="79" t="s">
        <v>849</v>
      </c>
      <c r="N198" s="40">
        <v>43388</v>
      </c>
      <c r="O198" s="131" t="s">
        <v>834</v>
      </c>
      <c r="P198" s="63" t="s">
        <v>17</v>
      </c>
      <c r="Q198" s="63" t="s">
        <v>17</v>
      </c>
      <c r="R198" s="81"/>
      <c r="S198" s="80" t="s">
        <v>11</v>
      </c>
      <c r="T198" s="80" t="s">
        <v>10</v>
      </c>
      <c r="U198" s="82">
        <v>2.5000000000000001E-2</v>
      </c>
      <c r="V198" s="83"/>
      <c r="W198" s="83"/>
      <c r="X198" s="83">
        <v>27</v>
      </c>
      <c r="Y198" s="83">
        <v>32</v>
      </c>
      <c r="Z198" s="83">
        <v>37</v>
      </c>
      <c r="AA198" s="100">
        <v>2.4E-2</v>
      </c>
      <c r="AB198" s="100">
        <v>4.8000000000000001E-2</v>
      </c>
      <c r="AC198" s="100">
        <v>7.1999999999999995E-2</v>
      </c>
      <c r="AD198" s="100">
        <v>0.12</v>
      </c>
      <c r="AE198" s="100">
        <v>0.18</v>
      </c>
      <c r="AF198" s="100">
        <v>0.24</v>
      </c>
      <c r="AG198" s="100">
        <v>93.945300000000003</v>
      </c>
      <c r="AH198" s="100">
        <v>96.08005</v>
      </c>
      <c r="AI198" s="100">
        <v>96.814459999999983</v>
      </c>
      <c r="AJ198" s="100">
        <v>97.474629999999991</v>
      </c>
      <c r="AK198" s="100">
        <v>97.419160000000005</v>
      </c>
      <c r="AL198" s="100">
        <v>97.02876999999998</v>
      </c>
      <c r="AM198" s="100">
        <v>97.132815300000004</v>
      </c>
      <c r="AN198" s="100">
        <v>92.990709999999993</v>
      </c>
      <c r="AO198" s="100">
        <v>95.658750000000012</v>
      </c>
      <c r="AP198" s="100">
        <v>96.504930000000002</v>
      </c>
      <c r="AQ198" s="100">
        <v>97.55228000000001</v>
      </c>
      <c r="AR198" s="100">
        <v>97.614990000000006</v>
      </c>
      <c r="AS198" s="100">
        <v>97.408739999999995</v>
      </c>
      <c r="AT198" s="100">
        <v>97.175517999999997</v>
      </c>
      <c r="AU198" s="100">
        <v>92.006249999999994</v>
      </c>
      <c r="AV198" s="100">
        <v>95.026440000000008</v>
      </c>
      <c r="AW198" s="100">
        <v>96.230880000000013</v>
      </c>
      <c r="AX198" s="100">
        <v>97.381270000000001</v>
      </c>
      <c r="AY198" s="100">
        <v>97.543800000000005</v>
      </c>
      <c r="AZ198" s="100">
        <v>97.410729999999987</v>
      </c>
      <c r="BA198" s="100">
        <v>96.998094800000004</v>
      </c>
      <c r="BB198" s="40">
        <v>43084</v>
      </c>
      <c r="BC198" s="40">
        <v>43388</v>
      </c>
    </row>
    <row r="199" spans="1:55" s="120" customFormat="1" ht="45">
      <c r="A199" s="41" t="s">
        <v>9</v>
      </c>
      <c r="B199" s="41" t="s">
        <v>997</v>
      </c>
      <c r="C199" s="43" t="s">
        <v>10</v>
      </c>
      <c r="D199" s="43" t="s">
        <v>10</v>
      </c>
      <c r="E199" s="43" t="s">
        <v>10</v>
      </c>
      <c r="F199" s="63" t="s">
        <v>11</v>
      </c>
      <c r="G199" s="41" t="s">
        <v>726</v>
      </c>
      <c r="H199" s="27">
        <v>0.27</v>
      </c>
      <c r="I199" s="109">
        <v>240</v>
      </c>
      <c r="J199" s="27">
        <v>95.5</v>
      </c>
      <c r="K199" s="39" t="s">
        <v>1327</v>
      </c>
      <c r="L199" s="130" t="s">
        <v>727</v>
      </c>
      <c r="M199" s="110" t="s">
        <v>728</v>
      </c>
      <c r="N199" s="40">
        <v>43388</v>
      </c>
      <c r="O199" s="130" t="s">
        <v>727</v>
      </c>
      <c r="P199" s="63" t="s">
        <v>17</v>
      </c>
      <c r="Q199" s="63" t="s">
        <v>17</v>
      </c>
      <c r="R199" s="112"/>
      <c r="S199" s="111" t="s">
        <v>11</v>
      </c>
      <c r="T199" s="111" t="s">
        <v>10</v>
      </c>
      <c r="U199" s="113">
        <v>7.0000000000000007E-2</v>
      </c>
      <c r="V199" s="113"/>
      <c r="W199" s="113"/>
      <c r="X199" s="113">
        <v>23</v>
      </c>
      <c r="Y199" s="113">
        <v>25</v>
      </c>
      <c r="Z199" s="113">
        <v>28</v>
      </c>
      <c r="AA199" s="114">
        <v>2.7E-2</v>
      </c>
      <c r="AB199" s="114">
        <v>5.3999999999999999E-2</v>
      </c>
      <c r="AC199" s="114">
        <v>8.1000000000000003E-2</v>
      </c>
      <c r="AD199" s="114">
        <v>0.13500000000000001</v>
      </c>
      <c r="AE199" s="114">
        <v>0.20250000000000001</v>
      </c>
      <c r="AF199" s="114">
        <v>0.27</v>
      </c>
      <c r="AG199" s="114">
        <v>85.890320000000003</v>
      </c>
      <c r="AH199" s="114">
        <v>93.616439999999997</v>
      </c>
      <c r="AI199" s="114">
        <v>95.462680000000006</v>
      </c>
      <c r="AJ199" s="114">
        <v>95.976870000000005</v>
      </c>
      <c r="AK199" s="114">
        <v>95.578299999999999</v>
      </c>
      <c r="AL199" s="114">
        <v>94.803150000000002</v>
      </c>
      <c r="AM199" s="114">
        <v>95.123760000000004</v>
      </c>
      <c r="AN199" s="114">
        <v>85.800269999999998</v>
      </c>
      <c r="AO199" s="114">
        <v>93.469059999999999</v>
      </c>
      <c r="AP199" s="114">
        <v>95.405839999999998</v>
      </c>
      <c r="AQ199" s="114">
        <v>96.148520000000005</v>
      </c>
      <c r="AR199" s="114">
        <v>95.876450000000006</v>
      </c>
      <c r="AS199" s="114">
        <v>95.229470000000006</v>
      </c>
      <c r="AT199" s="114">
        <v>95.321349999999995</v>
      </c>
      <c r="AU199" s="114">
        <v>85.518879999999996</v>
      </c>
      <c r="AV199" s="114">
        <v>93.118340000000003</v>
      </c>
      <c r="AW199" s="114">
        <v>95.190380000000005</v>
      </c>
      <c r="AX199" s="114">
        <v>96.192750000000004</v>
      </c>
      <c r="AY199" s="114">
        <v>96.066869999999994</v>
      </c>
      <c r="AZ199" s="114">
        <v>95.595110000000005</v>
      </c>
      <c r="BA199" s="114">
        <v>95.395189999999999</v>
      </c>
      <c r="BB199" s="40">
        <v>43235</v>
      </c>
      <c r="BC199" s="40">
        <v>43388</v>
      </c>
    </row>
    <row r="200" spans="1:55" s="120" customFormat="1" ht="45">
      <c r="A200" s="41" t="s">
        <v>9</v>
      </c>
      <c r="B200" s="86" t="s">
        <v>998</v>
      </c>
      <c r="C200" s="85" t="s">
        <v>10</v>
      </c>
      <c r="D200" s="85" t="s">
        <v>10</v>
      </c>
      <c r="E200" s="43" t="s">
        <v>10</v>
      </c>
      <c r="F200" s="63" t="s">
        <v>11</v>
      </c>
      <c r="G200" s="75" t="s">
        <v>234</v>
      </c>
      <c r="H200" s="54">
        <v>0.27</v>
      </c>
      <c r="I200" s="25">
        <v>208</v>
      </c>
      <c r="J200" s="26">
        <v>96.5</v>
      </c>
      <c r="K200" s="39" t="s">
        <v>1327</v>
      </c>
      <c r="L200" s="129" t="s">
        <v>486</v>
      </c>
      <c r="M200" s="33" t="s">
        <v>487</v>
      </c>
      <c r="N200" s="40">
        <v>43388</v>
      </c>
      <c r="O200" s="129" t="s">
        <v>486</v>
      </c>
      <c r="P200" s="63" t="s">
        <v>17</v>
      </c>
      <c r="Q200" s="63" t="s">
        <v>17</v>
      </c>
      <c r="R200" s="60"/>
      <c r="S200" s="32" t="s">
        <v>11</v>
      </c>
      <c r="T200" s="32" t="s">
        <v>10</v>
      </c>
      <c r="U200" s="25">
        <v>5.0999999999999997E-2</v>
      </c>
      <c r="V200" s="25"/>
      <c r="W200" s="25"/>
      <c r="X200" s="25">
        <v>27</v>
      </c>
      <c r="Y200" s="25">
        <v>32</v>
      </c>
      <c r="Z200" s="25">
        <v>37</v>
      </c>
      <c r="AA200" s="95">
        <v>0.03</v>
      </c>
      <c r="AB200" s="95">
        <v>0.05</v>
      </c>
      <c r="AC200" s="95">
        <v>0.08</v>
      </c>
      <c r="AD200" s="95">
        <v>0.14000000000000001</v>
      </c>
      <c r="AE200" s="95">
        <v>0.2</v>
      </c>
      <c r="AF200" s="95">
        <v>0.27</v>
      </c>
      <c r="AG200" s="95">
        <v>95</v>
      </c>
      <c r="AH200" s="95">
        <v>96.1</v>
      </c>
      <c r="AI200" s="95">
        <v>96.5</v>
      </c>
      <c r="AJ200" s="95">
        <v>96.9</v>
      </c>
      <c r="AK200" s="95">
        <v>96.7</v>
      </c>
      <c r="AL200" s="95">
        <v>96.2</v>
      </c>
      <c r="AM200" s="95">
        <v>96.6</v>
      </c>
      <c r="AN200" s="95">
        <v>95</v>
      </c>
      <c r="AO200" s="95">
        <v>96.1</v>
      </c>
      <c r="AP200" s="95">
        <v>96.1</v>
      </c>
      <c r="AQ200" s="95">
        <v>96.7</v>
      </c>
      <c r="AR200" s="95">
        <v>96.6</v>
      </c>
      <c r="AS200" s="95">
        <v>96.2</v>
      </c>
      <c r="AT200" s="95">
        <v>96.5</v>
      </c>
      <c r="AU200" s="95">
        <v>94.9</v>
      </c>
      <c r="AV200" s="95">
        <v>95.7</v>
      </c>
      <c r="AW200" s="95">
        <v>95.8</v>
      </c>
      <c r="AX200" s="95">
        <v>96.6</v>
      </c>
      <c r="AY200" s="95">
        <v>96.5</v>
      </c>
      <c r="AZ200" s="95">
        <v>96.1</v>
      </c>
      <c r="BA200" s="95">
        <v>96.3</v>
      </c>
      <c r="BB200" s="40">
        <v>43024</v>
      </c>
      <c r="BC200" s="40">
        <v>43388</v>
      </c>
    </row>
    <row r="201" spans="1:55" s="120" customFormat="1" ht="75">
      <c r="A201" s="41" t="s">
        <v>9</v>
      </c>
      <c r="B201" s="86" t="s">
        <v>999</v>
      </c>
      <c r="C201" s="85" t="s">
        <v>10</v>
      </c>
      <c r="D201" s="85" t="s">
        <v>10</v>
      </c>
      <c r="E201" s="43" t="s">
        <v>10</v>
      </c>
      <c r="F201" s="63" t="s">
        <v>11</v>
      </c>
      <c r="G201" s="75" t="s">
        <v>233</v>
      </c>
      <c r="H201" s="54">
        <v>0.27</v>
      </c>
      <c r="I201" s="25">
        <v>240</v>
      </c>
      <c r="J201" s="26">
        <v>97</v>
      </c>
      <c r="K201" s="39" t="s">
        <v>1327</v>
      </c>
      <c r="L201" s="129" t="s">
        <v>486</v>
      </c>
      <c r="M201" s="33" t="s">
        <v>487</v>
      </c>
      <c r="N201" s="40">
        <v>43388</v>
      </c>
      <c r="O201" s="129" t="s">
        <v>486</v>
      </c>
      <c r="P201" s="63" t="s">
        <v>17</v>
      </c>
      <c r="Q201" s="63" t="s">
        <v>17</v>
      </c>
      <c r="R201" s="60"/>
      <c r="S201" s="32" t="s">
        <v>11</v>
      </c>
      <c r="T201" s="32" t="s">
        <v>10</v>
      </c>
      <c r="U201" s="25">
        <v>6.2E-2</v>
      </c>
      <c r="V201" s="25"/>
      <c r="W201" s="25"/>
      <c r="X201" s="25">
        <v>27</v>
      </c>
      <c r="Y201" s="25">
        <v>32</v>
      </c>
      <c r="Z201" s="25">
        <v>37</v>
      </c>
      <c r="AA201" s="95">
        <v>0.03</v>
      </c>
      <c r="AB201" s="95">
        <v>0.05</v>
      </c>
      <c r="AC201" s="95">
        <v>0.08</v>
      </c>
      <c r="AD201" s="95">
        <v>0.14000000000000001</v>
      </c>
      <c r="AE201" s="95">
        <v>0.2</v>
      </c>
      <c r="AF201" s="95">
        <v>0.27</v>
      </c>
      <c r="AG201" s="95">
        <v>95.2</v>
      </c>
      <c r="AH201" s="95">
        <v>96.5</v>
      </c>
      <c r="AI201" s="95">
        <v>96.9</v>
      </c>
      <c r="AJ201" s="95">
        <v>97.3</v>
      </c>
      <c r="AK201" s="95">
        <v>97.3</v>
      </c>
      <c r="AL201" s="95">
        <v>97</v>
      </c>
      <c r="AM201" s="95">
        <v>97.1</v>
      </c>
      <c r="AN201" s="95">
        <v>95.3</v>
      </c>
      <c r="AO201" s="95">
        <v>96.5</v>
      </c>
      <c r="AP201" s="95">
        <v>96.7</v>
      </c>
      <c r="AQ201" s="95">
        <v>97.1</v>
      </c>
      <c r="AR201" s="95">
        <v>97.2</v>
      </c>
      <c r="AS201" s="95">
        <v>96.9</v>
      </c>
      <c r="AT201" s="95">
        <v>97</v>
      </c>
      <c r="AU201" s="95">
        <v>95.1</v>
      </c>
      <c r="AV201" s="95">
        <v>96.1</v>
      </c>
      <c r="AW201" s="95">
        <v>96</v>
      </c>
      <c r="AX201" s="95">
        <v>96.9</v>
      </c>
      <c r="AY201" s="95">
        <v>97.1</v>
      </c>
      <c r="AZ201" s="95">
        <v>96.9</v>
      </c>
      <c r="BA201" s="95">
        <v>96.8</v>
      </c>
      <c r="BB201" s="40">
        <v>43024</v>
      </c>
      <c r="BC201" s="40">
        <v>43388</v>
      </c>
    </row>
    <row r="202" spans="1:55" s="120" customFormat="1" ht="75">
      <c r="A202" s="76" t="s">
        <v>9</v>
      </c>
      <c r="B202" s="76" t="s">
        <v>1000</v>
      </c>
      <c r="C202" s="79" t="s">
        <v>10</v>
      </c>
      <c r="D202" s="79" t="s">
        <v>10</v>
      </c>
      <c r="E202" s="43" t="s">
        <v>10</v>
      </c>
      <c r="F202" s="63" t="s">
        <v>11</v>
      </c>
      <c r="G202" s="76" t="s">
        <v>146</v>
      </c>
      <c r="H202" s="27">
        <v>0.28000000000000003</v>
      </c>
      <c r="I202" s="29">
        <v>208</v>
      </c>
      <c r="J202" s="78">
        <v>97</v>
      </c>
      <c r="K202" s="39" t="s">
        <v>1327</v>
      </c>
      <c r="L202" s="131" t="s">
        <v>586</v>
      </c>
      <c r="M202" s="79" t="s">
        <v>585</v>
      </c>
      <c r="N202" s="40">
        <v>43388</v>
      </c>
      <c r="O202" s="131" t="s">
        <v>586</v>
      </c>
      <c r="P202" s="63" t="s">
        <v>17</v>
      </c>
      <c r="Q202" s="63" t="s">
        <v>17</v>
      </c>
      <c r="R202" s="30" t="s">
        <v>184</v>
      </c>
      <c r="S202" s="31" t="s">
        <v>11</v>
      </c>
      <c r="T202" s="31" t="s">
        <v>10</v>
      </c>
      <c r="U202" s="35">
        <v>0.02</v>
      </c>
      <c r="V202" s="83"/>
      <c r="W202" s="83"/>
      <c r="X202" s="35">
        <v>27</v>
      </c>
      <c r="Y202" s="35">
        <v>36</v>
      </c>
      <c r="Z202" s="35">
        <v>45</v>
      </c>
      <c r="AA202" s="100">
        <v>2.8000000000000001E-2</v>
      </c>
      <c r="AB202" s="100">
        <v>5.6000000000000001E-2</v>
      </c>
      <c r="AC202" s="100">
        <v>8.4000000000000005E-2</v>
      </c>
      <c r="AD202" s="100">
        <v>0.14000000000000001</v>
      </c>
      <c r="AE202" s="100">
        <v>0.21</v>
      </c>
      <c r="AF202" s="100">
        <v>0.28000000000000003</v>
      </c>
      <c r="AG202" s="100">
        <v>94.636139999999997</v>
      </c>
      <c r="AH202" s="100">
        <v>96.340069999999997</v>
      </c>
      <c r="AI202" s="100">
        <v>96.930220000000006</v>
      </c>
      <c r="AJ202" s="100">
        <v>97.37612</v>
      </c>
      <c r="AK202" s="100">
        <v>97.14246</v>
      </c>
      <c r="AL202" s="100">
        <v>96.578599999999994</v>
      </c>
      <c r="AM202" s="100">
        <v>96.997494500000002</v>
      </c>
      <c r="AN202" s="100">
        <v>94.562870000000004</v>
      </c>
      <c r="AO202" s="100">
        <v>95.684449999999998</v>
      </c>
      <c r="AP202" s="100">
        <v>96.451030000000003</v>
      </c>
      <c r="AQ202" s="100">
        <v>97.149680000000004</v>
      </c>
      <c r="AR202" s="100">
        <v>97.092020000000005</v>
      </c>
      <c r="AS202" s="100">
        <v>96.683809999999994</v>
      </c>
      <c r="AT202" s="100">
        <v>96.835254800000001</v>
      </c>
      <c r="AU202" s="100">
        <v>93.928889999999996</v>
      </c>
      <c r="AV202" s="100">
        <v>95.027100000000004</v>
      </c>
      <c r="AW202" s="100">
        <v>95.970730000000003</v>
      </c>
      <c r="AX202" s="100">
        <v>96.918509999999998</v>
      </c>
      <c r="AY202" s="100">
        <v>96.913079999999994</v>
      </c>
      <c r="AZ202" s="100">
        <v>96.59496</v>
      </c>
      <c r="BA202" s="100">
        <v>96.571565699999994</v>
      </c>
      <c r="BB202" s="40">
        <v>42962</v>
      </c>
      <c r="BC202" s="40">
        <v>43388</v>
      </c>
    </row>
    <row r="203" spans="1:55" s="120" customFormat="1" ht="75">
      <c r="A203" s="76" t="s">
        <v>9</v>
      </c>
      <c r="B203" s="76" t="s">
        <v>1001</v>
      </c>
      <c r="C203" s="79" t="s">
        <v>10</v>
      </c>
      <c r="D203" s="79" t="s">
        <v>10</v>
      </c>
      <c r="E203" s="43" t="s">
        <v>10</v>
      </c>
      <c r="F203" s="63" t="s">
        <v>11</v>
      </c>
      <c r="G203" s="76" t="s">
        <v>147</v>
      </c>
      <c r="H203" s="90">
        <v>0.28000000000000003</v>
      </c>
      <c r="I203" s="77">
        <v>240</v>
      </c>
      <c r="J203" s="78">
        <v>97</v>
      </c>
      <c r="K203" s="39" t="s">
        <v>1327</v>
      </c>
      <c r="L203" s="131" t="s">
        <v>586</v>
      </c>
      <c r="M203" s="79" t="s">
        <v>585</v>
      </c>
      <c r="N203" s="40">
        <v>43388</v>
      </c>
      <c r="O203" s="131" t="s">
        <v>586</v>
      </c>
      <c r="P203" s="63" t="s">
        <v>17</v>
      </c>
      <c r="Q203" s="63" t="s">
        <v>17</v>
      </c>
      <c r="R203" s="30" t="s">
        <v>184</v>
      </c>
      <c r="S203" s="80" t="s">
        <v>11</v>
      </c>
      <c r="T203" s="80" t="s">
        <v>10</v>
      </c>
      <c r="U203" s="82">
        <v>0.02</v>
      </c>
      <c r="V203" s="83"/>
      <c r="W203" s="83"/>
      <c r="X203" s="35">
        <v>27</v>
      </c>
      <c r="Y203" s="35">
        <v>36</v>
      </c>
      <c r="Z203" s="35">
        <v>45</v>
      </c>
      <c r="AA203" s="100">
        <v>2.8000000000000001E-2</v>
      </c>
      <c r="AB203" s="100">
        <v>5.6000000000000001E-2</v>
      </c>
      <c r="AC203" s="100">
        <v>8.4000000000000005E-2</v>
      </c>
      <c r="AD203" s="100">
        <v>0.14000000000000001</v>
      </c>
      <c r="AE203" s="100">
        <v>0.21</v>
      </c>
      <c r="AF203" s="100">
        <v>0.28000000000000003</v>
      </c>
      <c r="AG203" s="100">
        <v>94.253060000000005</v>
      </c>
      <c r="AH203" s="100">
        <v>96.163120000000006</v>
      </c>
      <c r="AI203" s="100">
        <v>96.81711</v>
      </c>
      <c r="AJ203" s="100">
        <v>97.302610000000001</v>
      </c>
      <c r="AK203" s="100">
        <v>97.145589999999999</v>
      </c>
      <c r="AL203" s="100">
        <v>96.716480000000004</v>
      </c>
      <c r="AM203" s="100">
        <v>96.952866400000005</v>
      </c>
      <c r="AN203" s="100">
        <v>94.554839999999999</v>
      </c>
      <c r="AO203" s="100">
        <v>95.744399999999999</v>
      </c>
      <c r="AP203" s="100">
        <v>96.281419999999997</v>
      </c>
      <c r="AQ203" s="100">
        <v>97.254900000000006</v>
      </c>
      <c r="AR203" s="100">
        <v>97.333410000000001</v>
      </c>
      <c r="AS203" s="100">
        <v>97.170069999999996</v>
      </c>
      <c r="AT203" s="100">
        <v>96.991923799999995</v>
      </c>
      <c r="AU203" s="100">
        <v>93.905879999999996</v>
      </c>
      <c r="AV203" s="100">
        <v>95.090100000000007</v>
      </c>
      <c r="AW203" s="100">
        <v>95.744929999999997</v>
      </c>
      <c r="AX203" s="100">
        <v>96.971980000000002</v>
      </c>
      <c r="AY203" s="100">
        <v>97.148679999999999</v>
      </c>
      <c r="AZ203" s="100">
        <v>97.038430000000005</v>
      </c>
      <c r="BA203" s="100">
        <v>96.704969500000004</v>
      </c>
      <c r="BB203" s="40">
        <v>42962</v>
      </c>
      <c r="BC203" s="40">
        <v>43388</v>
      </c>
    </row>
    <row r="204" spans="1:55" s="120" customFormat="1" ht="45">
      <c r="A204" s="76" t="s">
        <v>9</v>
      </c>
      <c r="B204" s="76" t="s">
        <v>1002</v>
      </c>
      <c r="C204" s="79" t="s">
        <v>10</v>
      </c>
      <c r="D204" s="79" t="s">
        <v>10</v>
      </c>
      <c r="E204" s="43" t="s">
        <v>10</v>
      </c>
      <c r="F204" s="63" t="s">
        <v>11</v>
      </c>
      <c r="G204" s="76" t="s">
        <v>141</v>
      </c>
      <c r="H204" s="90">
        <v>0.28000000000000003</v>
      </c>
      <c r="I204" s="77">
        <v>208</v>
      </c>
      <c r="J204" s="78">
        <v>97</v>
      </c>
      <c r="K204" s="39" t="s">
        <v>1327</v>
      </c>
      <c r="L204" s="131" t="s">
        <v>586</v>
      </c>
      <c r="M204" s="79" t="s">
        <v>585</v>
      </c>
      <c r="N204" s="40">
        <v>43388</v>
      </c>
      <c r="O204" s="131" t="s">
        <v>586</v>
      </c>
      <c r="P204" s="63" t="s">
        <v>17</v>
      </c>
      <c r="Q204" s="63" t="s">
        <v>17</v>
      </c>
      <c r="R204" s="81"/>
      <c r="S204" s="80" t="s">
        <v>11</v>
      </c>
      <c r="T204" s="80" t="s">
        <v>10</v>
      </c>
      <c r="U204" s="82">
        <v>0.02</v>
      </c>
      <c r="V204" s="83"/>
      <c r="W204" s="83"/>
      <c r="X204" s="83">
        <v>27</v>
      </c>
      <c r="Y204" s="83">
        <v>36</v>
      </c>
      <c r="Z204" s="35">
        <v>45</v>
      </c>
      <c r="AA204" s="100">
        <v>2.8000000000000001E-2</v>
      </c>
      <c r="AB204" s="100">
        <v>5.6000000000000001E-2</v>
      </c>
      <c r="AC204" s="100">
        <v>8.4000000000000005E-2</v>
      </c>
      <c r="AD204" s="100">
        <v>0.14000000000000001</v>
      </c>
      <c r="AE204" s="100">
        <v>0.21</v>
      </c>
      <c r="AF204" s="100">
        <v>0.28000000000000003</v>
      </c>
      <c r="AG204" s="100">
        <v>94.636139999999997</v>
      </c>
      <c r="AH204" s="100">
        <v>96.340069999999997</v>
      </c>
      <c r="AI204" s="100">
        <v>96.930220000000006</v>
      </c>
      <c r="AJ204" s="100">
        <v>97.37612</v>
      </c>
      <c r="AK204" s="100">
        <v>97.14246</v>
      </c>
      <c r="AL204" s="100">
        <v>96.578599999999994</v>
      </c>
      <c r="AM204" s="100">
        <v>96.997494500000002</v>
      </c>
      <c r="AN204" s="100">
        <v>94.562870000000004</v>
      </c>
      <c r="AO204" s="100">
        <v>95.684449999999998</v>
      </c>
      <c r="AP204" s="100">
        <v>96.451030000000003</v>
      </c>
      <c r="AQ204" s="100">
        <v>97.149680000000004</v>
      </c>
      <c r="AR204" s="100">
        <v>97.092020000000005</v>
      </c>
      <c r="AS204" s="100">
        <v>96.683809999999994</v>
      </c>
      <c r="AT204" s="100">
        <v>96.835254800000001</v>
      </c>
      <c r="AU204" s="100">
        <v>93.928889999999996</v>
      </c>
      <c r="AV204" s="100">
        <v>95.027100000000004</v>
      </c>
      <c r="AW204" s="100">
        <v>95.970730000000003</v>
      </c>
      <c r="AX204" s="100">
        <v>96.918509999999998</v>
      </c>
      <c r="AY204" s="100">
        <v>96.913079999999994</v>
      </c>
      <c r="AZ204" s="100">
        <v>96.59496</v>
      </c>
      <c r="BA204" s="100">
        <v>96.571565699999994</v>
      </c>
      <c r="BB204" s="40">
        <v>42948</v>
      </c>
      <c r="BC204" s="40">
        <v>43388</v>
      </c>
    </row>
    <row r="205" spans="1:55" s="120" customFormat="1" ht="45">
      <c r="A205" s="76" t="s">
        <v>9</v>
      </c>
      <c r="B205" s="76" t="s">
        <v>1003</v>
      </c>
      <c r="C205" s="79" t="s">
        <v>10</v>
      </c>
      <c r="D205" s="79" t="s">
        <v>10</v>
      </c>
      <c r="E205" s="43" t="s">
        <v>10</v>
      </c>
      <c r="F205" s="63" t="s">
        <v>11</v>
      </c>
      <c r="G205" s="76" t="s">
        <v>142</v>
      </c>
      <c r="H205" s="90">
        <v>0.28000000000000003</v>
      </c>
      <c r="I205" s="77">
        <v>240</v>
      </c>
      <c r="J205" s="78">
        <v>97</v>
      </c>
      <c r="K205" s="39" t="s">
        <v>1327</v>
      </c>
      <c r="L205" s="131" t="s">
        <v>586</v>
      </c>
      <c r="M205" s="79" t="s">
        <v>585</v>
      </c>
      <c r="N205" s="40">
        <v>43388</v>
      </c>
      <c r="O205" s="131" t="s">
        <v>586</v>
      </c>
      <c r="P205" s="63" t="s">
        <v>17</v>
      </c>
      <c r="Q205" s="63" t="s">
        <v>17</v>
      </c>
      <c r="R205" s="81"/>
      <c r="S205" s="80" t="s">
        <v>11</v>
      </c>
      <c r="T205" s="80" t="s">
        <v>10</v>
      </c>
      <c r="U205" s="82">
        <v>0.02</v>
      </c>
      <c r="V205" s="83"/>
      <c r="W205" s="83"/>
      <c r="X205" s="83">
        <v>27</v>
      </c>
      <c r="Y205" s="83">
        <v>36</v>
      </c>
      <c r="Z205" s="35">
        <v>45</v>
      </c>
      <c r="AA205" s="100">
        <v>2.8000000000000001E-2</v>
      </c>
      <c r="AB205" s="100">
        <v>5.6000000000000001E-2</v>
      </c>
      <c r="AC205" s="100">
        <v>8.4000000000000005E-2</v>
      </c>
      <c r="AD205" s="100">
        <v>0.14000000000000001</v>
      </c>
      <c r="AE205" s="100">
        <v>0.21</v>
      </c>
      <c r="AF205" s="100">
        <v>0.28000000000000003</v>
      </c>
      <c r="AG205" s="100">
        <v>94.253060000000005</v>
      </c>
      <c r="AH205" s="100">
        <v>96.163120000000006</v>
      </c>
      <c r="AI205" s="100">
        <v>96.81711</v>
      </c>
      <c r="AJ205" s="100">
        <v>97.302610000000001</v>
      </c>
      <c r="AK205" s="100">
        <v>97.145589999999999</v>
      </c>
      <c r="AL205" s="100">
        <v>96.716480000000004</v>
      </c>
      <c r="AM205" s="100">
        <v>96.952866400000005</v>
      </c>
      <c r="AN205" s="100">
        <v>94.554839999999999</v>
      </c>
      <c r="AO205" s="100">
        <v>95.744399999999999</v>
      </c>
      <c r="AP205" s="100">
        <v>96.281419999999997</v>
      </c>
      <c r="AQ205" s="100">
        <v>97.254900000000006</v>
      </c>
      <c r="AR205" s="100">
        <v>97.333410000000001</v>
      </c>
      <c r="AS205" s="100">
        <v>97.170069999999996</v>
      </c>
      <c r="AT205" s="100">
        <v>96.991923799999995</v>
      </c>
      <c r="AU205" s="100">
        <v>93.905879999999996</v>
      </c>
      <c r="AV205" s="100">
        <v>95.090100000000007</v>
      </c>
      <c r="AW205" s="100">
        <v>95.744929999999997</v>
      </c>
      <c r="AX205" s="100">
        <v>96.971980000000002</v>
      </c>
      <c r="AY205" s="100">
        <v>97.148679999999999</v>
      </c>
      <c r="AZ205" s="100">
        <v>97.038430000000005</v>
      </c>
      <c r="BA205" s="100">
        <v>96.704969500000004</v>
      </c>
      <c r="BB205" s="40">
        <v>42948</v>
      </c>
      <c r="BC205" s="40">
        <v>43388</v>
      </c>
    </row>
    <row r="206" spans="1:55" s="120" customFormat="1" ht="60">
      <c r="A206" s="76" t="s">
        <v>9</v>
      </c>
      <c r="B206" s="76" t="s">
        <v>1004</v>
      </c>
      <c r="C206" s="79" t="s">
        <v>10</v>
      </c>
      <c r="D206" s="79" t="s">
        <v>10</v>
      </c>
      <c r="E206" s="43" t="s">
        <v>10</v>
      </c>
      <c r="F206" s="63" t="s">
        <v>11</v>
      </c>
      <c r="G206" s="76" t="s">
        <v>837</v>
      </c>
      <c r="H206" s="90">
        <v>0.28999999999999998</v>
      </c>
      <c r="I206" s="77">
        <v>208</v>
      </c>
      <c r="J206" s="78">
        <v>96.5</v>
      </c>
      <c r="K206" s="39" t="s">
        <v>1327</v>
      </c>
      <c r="L206" s="131" t="s">
        <v>834</v>
      </c>
      <c r="M206" s="79" t="s">
        <v>850</v>
      </c>
      <c r="N206" s="40">
        <v>43388</v>
      </c>
      <c r="O206" s="131" t="s">
        <v>834</v>
      </c>
      <c r="P206" s="63" t="s">
        <v>17</v>
      </c>
      <c r="Q206" s="63" t="s">
        <v>17</v>
      </c>
      <c r="R206" s="81" t="s">
        <v>27</v>
      </c>
      <c r="S206" s="80" t="s">
        <v>11</v>
      </c>
      <c r="T206" s="80" t="s">
        <v>10</v>
      </c>
      <c r="U206" s="82">
        <v>2.5000000000000001E-2</v>
      </c>
      <c r="V206" s="83"/>
      <c r="W206" s="83"/>
      <c r="X206" s="59">
        <v>27</v>
      </c>
      <c r="Y206" s="59">
        <v>36</v>
      </c>
      <c r="Z206" s="59">
        <v>45</v>
      </c>
      <c r="AA206" s="99">
        <v>2.8999999999999998E-2</v>
      </c>
      <c r="AB206" s="99">
        <v>5.7999999999999996E-2</v>
      </c>
      <c r="AC206" s="99">
        <v>8.6999999999999994E-2</v>
      </c>
      <c r="AD206" s="99">
        <v>0.14499999999999999</v>
      </c>
      <c r="AE206" s="99">
        <v>0.21749999999999997</v>
      </c>
      <c r="AF206" s="99">
        <v>0.28999999999999998</v>
      </c>
      <c r="AG206" s="99">
        <v>94.911249999999995</v>
      </c>
      <c r="AH206" s="99">
        <v>96.246709999999979</v>
      </c>
      <c r="AI206" s="99">
        <v>97.108059999999995</v>
      </c>
      <c r="AJ206" s="99">
        <v>97.251649999999998</v>
      </c>
      <c r="AK206" s="99">
        <v>96.925660000000022</v>
      </c>
      <c r="AL206" s="99">
        <v>96.294169999999994</v>
      </c>
      <c r="AM206" s="99">
        <v>96.869907500000011</v>
      </c>
      <c r="AN206" s="99">
        <v>93.956320000000005</v>
      </c>
      <c r="AO206" s="99">
        <v>95.314499999999995</v>
      </c>
      <c r="AP206" s="99">
        <v>96.728169999999977</v>
      </c>
      <c r="AQ206" s="99">
        <v>97.158670000000001</v>
      </c>
      <c r="AR206" s="99">
        <v>96.957820000000012</v>
      </c>
      <c r="AS206" s="99">
        <v>96.445009999999996</v>
      </c>
      <c r="AT206" s="99">
        <v>96.744574</v>
      </c>
      <c r="AU206" s="99">
        <v>93.147899999999993</v>
      </c>
      <c r="AV206" s="99">
        <v>94.589959999999991</v>
      </c>
      <c r="AW206" s="99">
        <v>96.389939999999996</v>
      </c>
      <c r="AX206" s="99">
        <v>96.979819999999989</v>
      </c>
      <c r="AY206" s="99">
        <v>96.859210000000004</v>
      </c>
      <c r="AZ206" s="99">
        <v>96.373390000000001</v>
      </c>
      <c r="BA206" s="99">
        <v>96.542019799999991</v>
      </c>
      <c r="BB206" s="40">
        <v>43084</v>
      </c>
      <c r="BC206" s="40">
        <v>43388</v>
      </c>
    </row>
    <row r="207" spans="1:55" s="120" customFormat="1" ht="60">
      <c r="A207" s="76" t="s">
        <v>9</v>
      </c>
      <c r="B207" s="76" t="s">
        <v>1005</v>
      </c>
      <c r="C207" s="79" t="s">
        <v>10</v>
      </c>
      <c r="D207" s="79" t="s">
        <v>10</v>
      </c>
      <c r="E207" s="43" t="s">
        <v>10</v>
      </c>
      <c r="F207" s="63" t="s">
        <v>11</v>
      </c>
      <c r="G207" s="76" t="s">
        <v>838</v>
      </c>
      <c r="H207" s="90">
        <v>0.28999999999999998</v>
      </c>
      <c r="I207" s="77">
        <v>240</v>
      </c>
      <c r="J207" s="78">
        <v>97</v>
      </c>
      <c r="K207" s="39" t="s">
        <v>1327</v>
      </c>
      <c r="L207" s="131" t="s">
        <v>834</v>
      </c>
      <c r="M207" s="79" t="s">
        <v>846</v>
      </c>
      <c r="N207" s="40">
        <v>43388</v>
      </c>
      <c r="O207" s="131" t="s">
        <v>834</v>
      </c>
      <c r="P207" s="63" t="s">
        <v>17</v>
      </c>
      <c r="Q207" s="63" t="s">
        <v>17</v>
      </c>
      <c r="R207" s="81" t="s">
        <v>27</v>
      </c>
      <c r="S207" s="80" t="s">
        <v>11</v>
      </c>
      <c r="T207" s="80" t="s">
        <v>10</v>
      </c>
      <c r="U207" s="82">
        <v>2.5000000000000001E-2</v>
      </c>
      <c r="V207" s="83"/>
      <c r="W207" s="83"/>
      <c r="X207" s="83">
        <v>27</v>
      </c>
      <c r="Y207" s="83">
        <v>36</v>
      </c>
      <c r="Z207" s="83">
        <v>45</v>
      </c>
      <c r="AA207" s="100">
        <v>2.8999999999999998E-2</v>
      </c>
      <c r="AB207" s="100">
        <v>5.7999999999999996E-2</v>
      </c>
      <c r="AC207" s="100">
        <v>8.6999999999999994E-2</v>
      </c>
      <c r="AD207" s="100">
        <v>0.14499999999999999</v>
      </c>
      <c r="AE207" s="100">
        <v>0.21749999999999997</v>
      </c>
      <c r="AF207" s="100">
        <v>0.28999999999999998</v>
      </c>
      <c r="AG207" s="100">
        <v>95.003640000000004</v>
      </c>
      <c r="AH207" s="100">
        <v>96.245670000000004</v>
      </c>
      <c r="AI207" s="100">
        <v>97.147700000000015</v>
      </c>
      <c r="AJ207" s="100">
        <v>97.42907000000001</v>
      </c>
      <c r="AK207" s="100">
        <v>97.164060000000006</v>
      </c>
      <c r="AL207" s="100">
        <v>96.603870000000001</v>
      </c>
      <c r="AM207" s="100">
        <v>97.057403100000016</v>
      </c>
      <c r="AN207" s="100">
        <v>94.161959999999993</v>
      </c>
      <c r="AO207" s="100">
        <v>95.57517</v>
      </c>
      <c r="AP207" s="100">
        <v>96.780239999999992</v>
      </c>
      <c r="AQ207" s="100">
        <v>97.495289999999983</v>
      </c>
      <c r="AR207" s="100">
        <v>97.442819999999998</v>
      </c>
      <c r="AS207" s="100">
        <v>97.156899999999993</v>
      </c>
      <c r="AT207" s="100">
        <v>97.135416199999995</v>
      </c>
      <c r="AU207" s="100">
        <v>93.321410000000014</v>
      </c>
      <c r="AV207" s="100">
        <v>94.805890000000005</v>
      </c>
      <c r="AW207" s="100">
        <v>96.394019999999983</v>
      </c>
      <c r="AX207" s="100">
        <v>97.27315999999999</v>
      </c>
      <c r="AY207" s="100">
        <v>97.309510000000003</v>
      </c>
      <c r="AZ207" s="100">
        <v>97.07574000000001</v>
      </c>
      <c r="BA207" s="100">
        <v>96.8956242</v>
      </c>
      <c r="BB207" s="40">
        <v>43084</v>
      </c>
      <c r="BC207" s="40">
        <v>43388</v>
      </c>
    </row>
    <row r="208" spans="1:55" s="120" customFormat="1" ht="45">
      <c r="A208" s="76" t="s">
        <v>9</v>
      </c>
      <c r="B208" s="76" t="s">
        <v>1006</v>
      </c>
      <c r="C208" s="79" t="s">
        <v>10</v>
      </c>
      <c r="D208" s="79" t="s">
        <v>10</v>
      </c>
      <c r="E208" s="43" t="s">
        <v>10</v>
      </c>
      <c r="F208" s="63" t="s">
        <v>11</v>
      </c>
      <c r="G208" s="76" t="s">
        <v>783</v>
      </c>
      <c r="H208" s="90">
        <v>0.28999999999999998</v>
      </c>
      <c r="I208" s="77">
        <v>208</v>
      </c>
      <c r="J208" s="78">
        <v>96.5</v>
      </c>
      <c r="K208" s="39" t="s">
        <v>1327</v>
      </c>
      <c r="L208" s="131" t="s">
        <v>834</v>
      </c>
      <c r="M208" s="79" t="s">
        <v>850</v>
      </c>
      <c r="N208" s="40">
        <v>43388</v>
      </c>
      <c r="O208" s="131" t="s">
        <v>834</v>
      </c>
      <c r="P208" s="63" t="s">
        <v>17</v>
      </c>
      <c r="Q208" s="63" t="s">
        <v>17</v>
      </c>
      <c r="R208" s="81"/>
      <c r="S208" s="80" t="s">
        <v>11</v>
      </c>
      <c r="T208" s="80" t="s">
        <v>10</v>
      </c>
      <c r="U208" s="82">
        <v>2.5000000000000001E-2</v>
      </c>
      <c r="V208" s="83"/>
      <c r="W208" s="83"/>
      <c r="X208" s="83">
        <v>27</v>
      </c>
      <c r="Y208" s="83">
        <v>36</v>
      </c>
      <c r="Z208" s="83">
        <v>45</v>
      </c>
      <c r="AA208" s="100">
        <v>2.8999999999999998E-2</v>
      </c>
      <c r="AB208" s="100">
        <v>5.7999999999999996E-2</v>
      </c>
      <c r="AC208" s="100">
        <v>8.6999999999999994E-2</v>
      </c>
      <c r="AD208" s="100">
        <v>0.14499999999999999</v>
      </c>
      <c r="AE208" s="100">
        <v>0.21749999999999997</v>
      </c>
      <c r="AF208" s="100">
        <v>0.28999999999999998</v>
      </c>
      <c r="AG208" s="100">
        <v>94.911249999999995</v>
      </c>
      <c r="AH208" s="100">
        <v>96.246709999999979</v>
      </c>
      <c r="AI208" s="100">
        <v>97.108059999999995</v>
      </c>
      <c r="AJ208" s="100">
        <v>97.251649999999998</v>
      </c>
      <c r="AK208" s="100">
        <v>96.925660000000022</v>
      </c>
      <c r="AL208" s="100">
        <v>96.294169999999994</v>
      </c>
      <c r="AM208" s="100">
        <v>96.869907500000011</v>
      </c>
      <c r="AN208" s="100">
        <v>93.956320000000005</v>
      </c>
      <c r="AO208" s="100">
        <v>95.314499999999995</v>
      </c>
      <c r="AP208" s="100">
        <v>96.728169999999977</v>
      </c>
      <c r="AQ208" s="100">
        <v>97.158670000000001</v>
      </c>
      <c r="AR208" s="100">
        <v>96.957820000000012</v>
      </c>
      <c r="AS208" s="100">
        <v>96.445009999999996</v>
      </c>
      <c r="AT208" s="100">
        <v>96.744574</v>
      </c>
      <c r="AU208" s="100">
        <v>93.147899999999993</v>
      </c>
      <c r="AV208" s="100">
        <v>94.589959999999991</v>
      </c>
      <c r="AW208" s="100">
        <v>96.389939999999996</v>
      </c>
      <c r="AX208" s="100">
        <v>96.979819999999989</v>
      </c>
      <c r="AY208" s="100">
        <v>96.859210000000004</v>
      </c>
      <c r="AZ208" s="100">
        <v>96.373390000000001</v>
      </c>
      <c r="BA208" s="100">
        <v>96.542019799999991</v>
      </c>
      <c r="BB208" s="40">
        <v>43084</v>
      </c>
      <c r="BC208" s="40">
        <v>43388</v>
      </c>
    </row>
    <row r="209" spans="1:55" s="120" customFormat="1" ht="45">
      <c r="A209" s="76" t="s">
        <v>9</v>
      </c>
      <c r="B209" s="76" t="s">
        <v>1007</v>
      </c>
      <c r="C209" s="79" t="s">
        <v>10</v>
      </c>
      <c r="D209" s="79" t="s">
        <v>10</v>
      </c>
      <c r="E209" s="43" t="s">
        <v>10</v>
      </c>
      <c r="F209" s="63" t="s">
        <v>11</v>
      </c>
      <c r="G209" s="76" t="s">
        <v>784</v>
      </c>
      <c r="H209" s="90">
        <v>0.28999999999999998</v>
      </c>
      <c r="I209" s="77">
        <v>240</v>
      </c>
      <c r="J209" s="78">
        <v>97</v>
      </c>
      <c r="K209" s="39" t="s">
        <v>1327</v>
      </c>
      <c r="L209" s="131" t="s">
        <v>834</v>
      </c>
      <c r="M209" s="79" t="s">
        <v>846</v>
      </c>
      <c r="N209" s="40">
        <v>43388</v>
      </c>
      <c r="O209" s="131" t="s">
        <v>834</v>
      </c>
      <c r="P209" s="63" t="s">
        <v>17</v>
      </c>
      <c r="Q209" s="63" t="s">
        <v>17</v>
      </c>
      <c r="R209" s="81"/>
      <c r="S209" s="80" t="s">
        <v>11</v>
      </c>
      <c r="T209" s="80" t="s">
        <v>10</v>
      </c>
      <c r="U209" s="82">
        <v>2.5000000000000001E-2</v>
      </c>
      <c r="V209" s="83"/>
      <c r="W209" s="83"/>
      <c r="X209" s="83">
        <v>27</v>
      </c>
      <c r="Y209" s="83">
        <v>36</v>
      </c>
      <c r="Z209" s="83">
        <v>45</v>
      </c>
      <c r="AA209" s="100">
        <v>2.8999999999999998E-2</v>
      </c>
      <c r="AB209" s="100">
        <v>5.7999999999999996E-2</v>
      </c>
      <c r="AC209" s="100">
        <v>8.6999999999999994E-2</v>
      </c>
      <c r="AD209" s="100">
        <v>0.14499999999999999</v>
      </c>
      <c r="AE209" s="100">
        <v>0.21749999999999997</v>
      </c>
      <c r="AF209" s="100">
        <v>0.28999999999999998</v>
      </c>
      <c r="AG209" s="100">
        <v>95.003640000000004</v>
      </c>
      <c r="AH209" s="100">
        <v>96.245670000000004</v>
      </c>
      <c r="AI209" s="100">
        <v>97.147700000000015</v>
      </c>
      <c r="AJ209" s="100">
        <v>97.42907000000001</v>
      </c>
      <c r="AK209" s="100">
        <v>97.164060000000006</v>
      </c>
      <c r="AL209" s="100">
        <v>96.603870000000001</v>
      </c>
      <c r="AM209" s="100">
        <v>97.057403100000016</v>
      </c>
      <c r="AN209" s="100">
        <v>94.161959999999993</v>
      </c>
      <c r="AO209" s="100">
        <v>95.57517</v>
      </c>
      <c r="AP209" s="100">
        <v>96.780239999999992</v>
      </c>
      <c r="AQ209" s="100">
        <v>97.495289999999983</v>
      </c>
      <c r="AR209" s="100">
        <v>97.442819999999998</v>
      </c>
      <c r="AS209" s="100">
        <v>97.156899999999993</v>
      </c>
      <c r="AT209" s="100">
        <v>97.135416199999995</v>
      </c>
      <c r="AU209" s="100">
        <v>93.321410000000014</v>
      </c>
      <c r="AV209" s="100">
        <v>94.805890000000005</v>
      </c>
      <c r="AW209" s="100">
        <v>96.394019999999983</v>
      </c>
      <c r="AX209" s="100">
        <v>97.27315999999999</v>
      </c>
      <c r="AY209" s="100">
        <v>97.309510000000003</v>
      </c>
      <c r="AZ209" s="100">
        <v>97.07574000000001</v>
      </c>
      <c r="BA209" s="100">
        <v>96.8956242</v>
      </c>
      <c r="BB209" s="40">
        <v>43084</v>
      </c>
      <c r="BC209" s="40">
        <v>43388</v>
      </c>
    </row>
    <row r="210" spans="1:55" s="120" customFormat="1" ht="60">
      <c r="A210" s="41" t="s">
        <v>9</v>
      </c>
      <c r="B210" s="41" t="s">
        <v>1008</v>
      </c>
      <c r="C210" s="43" t="s">
        <v>10</v>
      </c>
      <c r="D210" s="43" t="s">
        <v>10</v>
      </c>
      <c r="E210" s="43" t="s">
        <v>10</v>
      </c>
      <c r="F210" s="63" t="s">
        <v>11</v>
      </c>
      <c r="G210" s="41" t="s">
        <v>839</v>
      </c>
      <c r="H210" s="27">
        <v>0.315</v>
      </c>
      <c r="I210" s="109">
        <v>208</v>
      </c>
      <c r="J210" s="27">
        <v>97</v>
      </c>
      <c r="K210" s="39" t="s">
        <v>1327</v>
      </c>
      <c r="L210" s="130" t="s">
        <v>834</v>
      </c>
      <c r="M210" s="110" t="s">
        <v>847</v>
      </c>
      <c r="N210" s="40">
        <v>43388</v>
      </c>
      <c r="O210" s="131" t="s">
        <v>834</v>
      </c>
      <c r="P210" s="63" t="s">
        <v>17</v>
      </c>
      <c r="Q210" s="63" t="s">
        <v>17</v>
      </c>
      <c r="R210" s="112" t="s">
        <v>27</v>
      </c>
      <c r="S210" s="111" t="s">
        <v>11</v>
      </c>
      <c r="T210" s="111" t="s">
        <v>10</v>
      </c>
      <c r="U210" s="113">
        <v>2.1000000000000001E-2</v>
      </c>
      <c r="V210" s="113"/>
      <c r="W210" s="113"/>
      <c r="X210" s="113">
        <v>53</v>
      </c>
      <c r="Y210" s="113">
        <v>60</v>
      </c>
      <c r="Z210" s="113">
        <v>64</v>
      </c>
      <c r="AA210" s="114">
        <v>3.15E-2</v>
      </c>
      <c r="AB210" s="114">
        <v>6.3E-2</v>
      </c>
      <c r="AC210" s="114">
        <v>9.4500000000000001E-2</v>
      </c>
      <c r="AD210" s="114">
        <v>0.1575</v>
      </c>
      <c r="AE210" s="114">
        <v>0.23625000000000002</v>
      </c>
      <c r="AF210" s="114">
        <v>0.315</v>
      </c>
      <c r="AG210" s="114">
        <v>90.483609999999999</v>
      </c>
      <c r="AH210" s="114">
        <v>96.662759999999992</v>
      </c>
      <c r="AI210" s="114">
        <v>97.099880000000013</v>
      </c>
      <c r="AJ210" s="114">
        <v>97.635729999999995</v>
      </c>
      <c r="AK210" s="114">
        <v>97.524219999999985</v>
      </c>
      <c r="AL210" s="114">
        <v>97.103530000000006</v>
      </c>
      <c r="AM210" s="114">
        <v>97.150984399999999</v>
      </c>
      <c r="AN210" s="114">
        <v>95.414170000000013</v>
      </c>
      <c r="AO210" s="114">
        <v>96.465389999999999</v>
      </c>
      <c r="AP210" s="114">
        <v>96.900779999999997</v>
      </c>
      <c r="AQ210" s="114">
        <v>97.542020000000008</v>
      </c>
      <c r="AR210" s="114">
        <v>97.461279999999988</v>
      </c>
      <c r="AS210" s="114">
        <v>97.049990000000008</v>
      </c>
      <c r="AT210" s="114">
        <v>97.258731999999981</v>
      </c>
      <c r="AU210" s="114">
        <v>95.270490000000009</v>
      </c>
      <c r="AV210" s="114">
        <v>96.333490000000012</v>
      </c>
      <c r="AW210" s="114">
        <v>96.813520000000011</v>
      </c>
      <c r="AX210" s="114">
        <v>97.502470000000002</v>
      </c>
      <c r="AY210" s="114">
        <v>97.42989</v>
      </c>
      <c r="AZ210" s="114">
        <v>97.019700000000014</v>
      </c>
      <c r="BA210" s="114">
        <v>97.209461900000008</v>
      </c>
      <c r="BB210" s="40">
        <v>43252</v>
      </c>
      <c r="BC210" s="40">
        <v>43388</v>
      </c>
    </row>
    <row r="211" spans="1:55" s="120" customFormat="1" ht="60">
      <c r="A211" s="41" t="s">
        <v>9</v>
      </c>
      <c r="B211" s="41" t="s">
        <v>1009</v>
      </c>
      <c r="C211" s="43" t="s">
        <v>10</v>
      </c>
      <c r="D211" s="43" t="s">
        <v>10</v>
      </c>
      <c r="E211" s="43" t="s">
        <v>10</v>
      </c>
      <c r="F211" s="63" t="s">
        <v>11</v>
      </c>
      <c r="G211" s="41" t="s">
        <v>840</v>
      </c>
      <c r="H211" s="27">
        <v>0.315</v>
      </c>
      <c r="I211" s="109">
        <v>240</v>
      </c>
      <c r="J211" s="27">
        <v>97.5</v>
      </c>
      <c r="K211" s="39" t="s">
        <v>1327</v>
      </c>
      <c r="L211" s="130" t="s">
        <v>834</v>
      </c>
      <c r="M211" s="110" t="s">
        <v>848</v>
      </c>
      <c r="N211" s="40">
        <v>43388</v>
      </c>
      <c r="O211" s="131" t="s">
        <v>834</v>
      </c>
      <c r="P211" s="63" t="s">
        <v>17</v>
      </c>
      <c r="Q211" s="63" t="s">
        <v>17</v>
      </c>
      <c r="R211" s="112" t="s">
        <v>27</v>
      </c>
      <c r="S211" s="111" t="s">
        <v>11</v>
      </c>
      <c r="T211" s="111" t="s">
        <v>10</v>
      </c>
      <c r="U211" s="113">
        <v>2.1000000000000001E-2</v>
      </c>
      <c r="V211" s="113"/>
      <c r="W211" s="113"/>
      <c r="X211" s="113">
        <v>53</v>
      </c>
      <c r="Y211" s="113">
        <v>60</v>
      </c>
      <c r="Z211" s="113">
        <v>64</v>
      </c>
      <c r="AA211" s="114">
        <v>3.15E-2</v>
      </c>
      <c r="AB211" s="114">
        <v>6.3E-2</v>
      </c>
      <c r="AC211" s="114">
        <v>9.4500000000000001E-2</v>
      </c>
      <c r="AD211" s="114">
        <v>0.1575</v>
      </c>
      <c r="AE211" s="114">
        <v>0.23625000000000002</v>
      </c>
      <c r="AF211" s="114">
        <v>0.315</v>
      </c>
      <c r="AG211" s="114">
        <v>95.734780000000015</v>
      </c>
      <c r="AH211" s="114">
        <v>96.840240000000009</v>
      </c>
      <c r="AI211" s="114">
        <v>96.996160000000003</v>
      </c>
      <c r="AJ211" s="114">
        <v>97.762709999999998</v>
      </c>
      <c r="AK211" s="114">
        <v>97.755849999999981</v>
      </c>
      <c r="AL211" s="114">
        <v>97.46862999999999</v>
      </c>
      <c r="AM211" s="114">
        <v>97.525143499999984</v>
      </c>
      <c r="AN211" s="114">
        <v>95.610320000000002</v>
      </c>
      <c r="AO211" s="114">
        <v>96.678239999999988</v>
      </c>
      <c r="AP211" s="114">
        <v>96.754879999999986</v>
      </c>
      <c r="AQ211" s="114">
        <v>97.666660000000007</v>
      </c>
      <c r="AR211" s="114">
        <v>97.739180000000005</v>
      </c>
      <c r="AS211" s="114">
        <v>97.513729999999981</v>
      </c>
      <c r="AT211" s="114">
        <v>97.456360900000007</v>
      </c>
      <c r="AU211" s="114">
        <v>95.436540000000008</v>
      </c>
      <c r="AV211" s="114">
        <v>96.497949999999989</v>
      </c>
      <c r="AW211" s="114">
        <v>96.657110000000017</v>
      </c>
      <c r="AX211" s="114">
        <v>97.603840000000019</v>
      </c>
      <c r="AY211" s="114">
        <v>97.700140000000005</v>
      </c>
      <c r="AZ211" s="114">
        <v>97.48254</v>
      </c>
      <c r="BA211" s="114">
        <v>97.393219900000005</v>
      </c>
      <c r="BB211" s="40">
        <v>43252</v>
      </c>
      <c r="BC211" s="40">
        <v>43388</v>
      </c>
    </row>
    <row r="212" spans="1:55" s="120" customFormat="1" ht="45">
      <c r="A212" s="41" t="s">
        <v>9</v>
      </c>
      <c r="B212" s="41" t="s">
        <v>1010</v>
      </c>
      <c r="C212" s="43" t="s">
        <v>10</v>
      </c>
      <c r="D212" s="43" t="s">
        <v>10</v>
      </c>
      <c r="E212" s="43" t="s">
        <v>10</v>
      </c>
      <c r="F212" s="63" t="s">
        <v>11</v>
      </c>
      <c r="G212" s="41" t="s">
        <v>785</v>
      </c>
      <c r="H212" s="27">
        <v>0.315</v>
      </c>
      <c r="I212" s="109">
        <v>208</v>
      </c>
      <c r="J212" s="27">
        <v>97</v>
      </c>
      <c r="K212" s="39" t="s">
        <v>1327</v>
      </c>
      <c r="L212" s="130" t="s">
        <v>834</v>
      </c>
      <c r="M212" s="110" t="s">
        <v>847</v>
      </c>
      <c r="N212" s="40">
        <v>43388</v>
      </c>
      <c r="O212" s="131" t="s">
        <v>834</v>
      </c>
      <c r="P212" s="63" t="s">
        <v>17</v>
      </c>
      <c r="Q212" s="63" t="s">
        <v>17</v>
      </c>
      <c r="R212" s="112"/>
      <c r="S212" s="111" t="s">
        <v>11</v>
      </c>
      <c r="T212" s="111" t="s">
        <v>10</v>
      </c>
      <c r="U212" s="113">
        <v>2.1000000000000001E-2</v>
      </c>
      <c r="V212" s="113"/>
      <c r="W212" s="113"/>
      <c r="X212" s="113">
        <v>53</v>
      </c>
      <c r="Y212" s="113">
        <v>60</v>
      </c>
      <c r="Z212" s="113">
        <v>64</v>
      </c>
      <c r="AA212" s="114">
        <v>3.15E-2</v>
      </c>
      <c r="AB212" s="114">
        <v>6.3E-2</v>
      </c>
      <c r="AC212" s="114">
        <v>9.4500000000000001E-2</v>
      </c>
      <c r="AD212" s="114">
        <v>0.1575</v>
      </c>
      <c r="AE212" s="114">
        <v>0.23625000000000002</v>
      </c>
      <c r="AF212" s="114">
        <v>0.315</v>
      </c>
      <c r="AG212" s="114">
        <v>90.483609999999999</v>
      </c>
      <c r="AH212" s="114">
        <v>96.662759999999992</v>
      </c>
      <c r="AI212" s="114">
        <v>97.099880000000013</v>
      </c>
      <c r="AJ212" s="114">
        <v>97.635729999999995</v>
      </c>
      <c r="AK212" s="114">
        <v>97.524219999999985</v>
      </c>
      <c r="AL212" s="114">
        <v>97.103530000000006</v>
      </c>
      <c r="AM212" s="114">
        <v>97.150984399999999</v>
      </c>
      <c r="AN212" s="114">
        <v>95.414170000000013</v>
      </c>
      <c r="AO212" s="114">
        <v>96.465389999999999</v>
      </c>
      <c r="AP212" s="114">
        <v>96.900779999999997</v>
      </c>
      <c r="AQ212" s="114">
        <v>97.542020000000008</v>
      </c>
      <c r="AR212" s="114">
        <v>97.461279999999988</v>
      </c>
      <c r="AS212" s="114">
        <v>97.049990000000008</v>
      </c>
      <c r="AT212" s="114">
        <v>97.258731999999981</v>
      </c>
      <c r="AU212" s="114">
        <v>95.270490000000009</v>
      </c>
      <c r="AV212" s="114">
        <v>96.333490000000012</v>
      </c>
      <c r="AW212" s="114">
        <v>96.813520000000011</v>
      </c>
      <c r="AX212" s="114">
        <v>97.502470000000002</v>
      </c>
      <c r="AY212" s="114">
        <v>97.42989</v>
      </c>
      <c r="AZ212" s="114">
        <v>97.019700000000014</v>
      </c>
      <c r="BA212" s="114">
        <v>97.209461900000008</v>
      </c>
      <c r="BB212" s="40">
        <v>43252</v>
      </c>
      <c r="BC212" s="40">
        <v>43388</v>
      </c>
    </row>
    <row r="213" spans="1:55" s="120" customFormat="1" ht="45">
      <c r="A213" s="41" t="s">
        <v>9</v>
      </c>
      <c r="B213" s="41" t="s">
        <v>1011</v>
      </c>
      <c r="C213" s="43" t="s">
        <v>10</v>
      </c>
      <c r="D213" s="43" t="s">
        <v>10</v>
      </c>
      <c r="E213" s="43" t="s">
        <v>10</v>
      </c>
      <c r="F213" s="63" t="s">
        <v>11</v>
      </c>
      <c r="G213" s="41" t="s">
        <v>786</v>
      </c>
      <c r="H213" s="27">
        <v>0.315</v>
      </c>
      <c r="I213" s="109">
        <v>240</v>
      </c>
      <c r="J213" s="27">
        <v>97.5</v>
      </c>
      <c r="K213" s="39" t="s">
        <v>1327</v>
      </c>
      <c r="L213" s="130" t="s">
        <v>834</v>
      </c>
      <c r="M213" s="110" t="s">
        <v>848</v>
      </c>
      <c r="N213" s="40">
        <v>43388</v>
      </c>
      <c r="O213" s="131" t="s">
        <v>834</v>
      </c>
      <c r="P213" s="63" t="s">
        <v>17</v>
      </c>
      <c r="Q213" s="63" t="s">
        <v>17</v>
      </c>
      <c r="R213" s="112"/>
      <c r="S213" s="111" t="s">
        <v>11</v>
      </c>
      <c r="T213" s="111" t="s">
        <v>10</v>
      </c>
      <c r="U213" s="113">
        <v>2.1000000000000001E-2</v>
      </c>
      <c r="V213" s="113"/>
      <c r="W213" s="113"/>
      <c r="X213" s="113">
        <v>53</v>
      </c>
      <c r="Y213" s="113">
        <v>60</v>
      </c>
      <c r="Z213" s="113">
        <v>64</v>
      </c>
      <c r="AA213" s="114">
        <v>3.15E-2</v>
      </c>
      <c r="AB213" s="114">
        <v>6.3E-2</v>
      </c>
      <c r="AC213" s="114">
        <v>9.4500000000000001E-2</v>
      </c>
      <c r="AD213" s="114">
        <v>0.1575</v>
      </c>
      <c r="AE213" s="114">
        <v>0.23625000000000002</v>
      </c>
      <c r="AF213" s="114">
        <v>0.315</v>
      </c>
      <c r="AG213" s="114">
        <v>95.734780000000015</v>
      </c>
      <c r="AH213" s="114">
        <v>96.840240000000009</v>
      </c>
      <c r="AI213" s="114">
        <v>96.996160000000003</v>
      </c>
      <c r="AJ213" s="114">
        <v>97.762709999999998</v>
      </c>
      <c r="AK213" s="114">
        <v>97.755849999999981</v>
      </c>
      <c r="AL213" s="114">
        <v>97.46862999999999</v>
      </c>
      <c r="AM213" s="114">
        <v>97.525143499999984</v>
      </c>
      <c r="AN213" s="114">
        <v>95.610320000000002</v>
      </c>
      <c r="AO213" s="114">
        <v>96.678239999999988</v>
      </c>
      <c r="AP213" s="114">
        <v>96.754879999999986</v>
      </c>
      <c r="AQ213" s="114">
        <v>97.666660000000007</v>
      </c>
      <c r="AR213" s="114">
        <v>97.739180000000005</v>
      </c>
      <c r="AS213" s="114">
        <v>97.513729999999981</v>
      </c>
      <c r="AT213" s="114">
        <v>97.456360900000007</v>
      </c>
      <c r="AU213" s="114">
        <v>95.436540000000008</v>
      </c>
      <c r="AV213" s="114">
        <v>96.497949999999989</v>
      </c>
      <c r="AW213" s="114">
        <v>96.657110000000017</v>
      </c>
      <c r="AX213" s="114">
        <v>97.603840000000019</v>
      </c>
      <c r="AY213" s="114">
        <v>97.700140000000005</v>
      </c>
      <c r="AZ213" s="114">
        <v>97.48254</v>
      </c>
      <c r="BA213" s="114">
        <v>97.393219900000005</v>
      </c>
      <c r="BB213" s="40">
        <v>43252</v>
      </c>
      <c r="BC213" s="40">
        <v>43388</v>
      </c>
    </row>
    <row r="214" spans="1:55" s="120" customFormat="1" ht="60">
      <c r="A214" s="41" t="s">
        <v>9</v>
      </c>
      <c r="B214" s="41" t="s">
        <v>1012</v>
      </c>
      <c r="C214" s="43" t="s">
        <v>10</v>
      </c>
      <c r="D214" s="43" t="s">
        <v>10</v>
      </c>
      <c r="E214" s="43" t="s">
        <v>10</v>
      </c>
      <c r="F214" s="63" t="s">
        <v>11</v>
      </c>
      <c r="G214" s="41" t="s">
        <v>858</v>
      </c>
      <c r="H214" s="27">
        <v>0.315</v>
      </c>
      <c r="I214" s="109">
        <v>208</v>
      </c>
      <c r="J214" s="27">
        <v>97</v>
      </c>
      <c r="K214" s="39" t="s">
        <v>1327</v>
      </c>
      <c r="L214" s="130" t="s">
        <v>859</v>
      </c>
      <c r="M214" s="110" t="s">
        <v>860</v>
      </c>
      <c r="N214" s="40">
        <v>43388</v>
      </c>
      <c r="O214" s="130" t="s">
        <v>859</v>
      </c>
      <c r="P214" s="63" t="s">
        <v>17</v>
      </c>
      <c r="Q214" s="63" t="s">
        <v>17</v>
      </c>
      <c r="R214" s="112" t="s">
        <v>861</v>
      </c>
      <c r="S214" s="111" t="s">
        <v>11</v>
      </c>
      <c r="T214" s="111" t="s">
        <v>10</v>
      </c>
      <c r="U214" s="113">
        <v>2.1000000000000001E-2</v>
      </c>
      <c r="V214" s="113"/>
      <c r="W214" s="113"/>
      <c r="X214" s="113">
        <v>53</v>
      </c>
      <c r="Y214" s="113">
        <v>60</v>
      </c>
      <c r="Z214" s="113">
        <v>64</v>
      </c>
      <c r="AA214" s="114">
        <v>3.15E-2</v>
      </c>
      <c r="AB214" s="114">
        <v>6.3E-2</v>
      </c>
      <c r="AC214" s="114">
        <v>9.4500000000000001E-2</v>
      </c>
      <c r="AD214" s="114">
        <v>0.1575</v>
      </c>
      <c r="AE214" s="114">
        <v>0.23625000000000002</v>
      </c>
      <c r="AF214" s="114">
        <v>0.315</v>
      </c>
      <c r="AG214" s="114">
        <v>90.483609999999999</v>
      </c>
      <c r="AH214" s="114">
        <v>96.662759999999992</v>
      </c>
      <c r="AI214" s="114">
        <v>97.099880000000013</v>
      </c>
      <c r="AJ214" s="114">
        <v>97.635729999999995</v>
      </c>
      <c r="AK214" s="114">
        <v>97.524219999999985</v>
      </c>
      <c r="AL214" s="114">
        <v>97.103530000000006</v>
      </c>
      <c r="AM214" s="114">
        <v>97.150984399999999</v>
      </c>
      <c r="AN214" s="114">
        <v>95.414170000000013</v>
      </c>
      <c r="AO214" s="114">
        <v>96.465389999999999</v>
      </c>
      <c r="AP214" s="114">
        <v>96.900779999999997</v>
      </c>
      <c r="AQ214" s="114">
        <v>97.542020000000008</v>
      </c>
      <c r="AR214" s="114">
        <v>97.461279999999988</v>
      </c>
      <c r="AS214" s="114">
        <v>97.049990000000008</v>
      </c>
      <c r="AT214" s="114">
        <v>97.258731999999981</v>
      </c>
      <c r="AU214" s="114">
        <v>95.270490000000009</v>
      </c>
      <c r="AV214" s="114">
        <v>96.333490000000012</v>
      </c>
      <c r="AW214" s="114">
        <v>96.813520000000011</v>
      </c>
      <c r="AX214" s="114">
        <v>97.502470000000002</v>
      </c>
      <c r="AY214" s="114">
        <v>97.42989</v>
      </c>
      <c r="AZ214" s="114">
        <v>97.019700000000014</v>
      </c>
      <c r="BA214" s="114">
        <v>97.209461900000008</v>
      </c>
      <c r="BB214" s="40">
        <v>43374</v>
      </c>
      <c r="BC214" s="40">
        <v>43388</v>
      </c>
    </row>
    <row r="215" spans="1:55" s="120" customFormat="1" ht="60">
      <c r="A215" s="41" t="s">
        <v>9</v>
      </c>
      <c r="B215" s="41" t="s">
        <v>1013</v>
      </c>
      <c r="C215" s="43" t="s">
        <v>10</v>
      </c>
      <c r="D215" s="43" t="s">
        <v>10</v>
      </c>
      <c r="E215" s="43" t="s">
        <v>10</v>
      </c>
      <c r="F215" s="63" t="s">
        <v>11</v>
      </c>
      <c r="G215" s="41" t="s">
        <v>862</v>
      </c>
      <c r="H215" s="27">
        <v>0.315</v>
      </c>
      <c r="I215" s="109">
        <v>240</v>
      </c>
      <c r="J215" s="27">
        <v>97.5</v>
      </c>
      <c r="K215" s="39" t="s">
        <v>1327</v>
      </c>
      <c r="L215" s="130" t="s">
        <v>859</v>
      </c>
      <c r="M215" s="110" t="s">
        <v>860</v>
      </c>
      <c r="N215" s="40">
        <v>43388</v>
      </c>
      <c r="O215" s="130" t="s">
        <v>859</v>
      </c>
      <c r="P215" s="63" t="s">
        <v>17</v>
      </c>
      <c r="Q215" s="63" t="s">
        <v>17</v>
      </c>
      <c r="R215" s="112" t="s">
        <v>861</v>
      </c>
      <c r="S215" s="111" t="s">
        <v>11</v>
      </c>
      <c r="T215" s="111" t="s">
        <v>10</v>
      </c>
      <c r="U215" s="113">
        <v>2.1000000000000001E-2</v>
      </c>
      <c r="V215" s="113"/>
      <c r="W215" s="113"/>
      <c r="X215" s="113">
        <v>53</v>
      </c>
      <c r="Y215" s="113">
        <v>60</v>
      </c>
      <c r="Z215" s="113">
        <v>64</v>
      </c>
      <c r="AA215" s="114">
        <v>3.15E-2</v>
      </c>
      <c r="AB215" s="114">
        <v>6.3E-2</v>
      </c>
      <c r="AC215" s="114">
        <v>9.4500000000000001E-2</v>
      </c>
      <c r="AD215" s="114">
        <v>0.1575</v>
      </c>
      <c r="AE215" s="114">
        <v>0.23625000000000002</v>
      </c>
      <c r="AF215" s="114">
        <v>0.315</v>
      </c>
      <c r="AG215" s="114">
        <v>95.734780000000015</v>
      </c>
      <c r="AH215" s="114">
        <v>96.840240000000009</v>
      </c>
      <c r="AI215" s="114">
        <v>96.996160000000003</v>
      </c>
      <c r="AJ215" s="114">
        <v>97.762709999999998</v>
      </c>
      <c r="AK215" s="114">
        <v>97.755849999999981</v>
      </c>
      <c r="AL215" s="114">
        <v>97.46862999999999</v>
      </c>
      <c r="AM215" s="114">
        <v>97.525143499999984</v>
      </c>
      <c r="AN215" s="114">
        <v>95.610320000000002</v>
      </c>
      <c r="AO215" s="114">
        <v>96.678239999999988</v>
      </c>
      <c r="AP215" s="114">
        <v>96.754879999999986</v>
      </c>
      <c r="AQ215" s="114">
        <v>97.666660000000007</v>
      </c>
      <c r="AR215" s="114">
        <v>97.739180000000005</v>
      </c>
      <c r="AS215" s="114">
        <v>97.513729999999981</v>
      </c>
      <c r="AT215" s="114">
        <v>97.456360900000007</v>
      </c>
      <c r="AU215" s="114">
        <v>95.436540000000008</v>
      </c>
      <c r="AV215" s="114">
        <v>96.497949999999989</v>
      </c>
      <c r="AW215" s="114">
        <v>96.657110000000017</v>
      </c>
      <c r="AX215" s="114">
        <v>97.603840000000019</v>
      </c>
      <c r="AY215" s="114">
        <v>97.700140000000005</v>
      </c>
      <c r="AZ215" s="114">
        <v>97.48254</v>
      </c>
      <c r="BA215" s="114">
        <v>97.393219900000005</v>
      </c>
      <c r="BB215" s="40">
        <v>43374</v>
      </c>
      <c r="BC215" s="40">
        <v>43388</v>
      </c>
    </row>
    <row r="216" spans="1:55" s="120" customFormat="1" ht="52.5" customHeight="1">
      <c r="A216" s="41" t="s">
        <v>1365</v>
      </c>
      <c r="B216" s="41" t="s">
        <v>1366</v>
      </c>
      <c r="C216" s="43" t="s">
        <v>10</v>
      </c>
      <c r="D216" s="43" t="s">
        <v>10</v>
      </c>
      <c r="E216" s="43" t="s">
        <v>10</v>
      </c>
      <c r="F216" s="63" t="s">
        <v>11</v>
      </c>
      <c r="G216" s="76" t="s">
        <v>1369</v>
      </c>
      <c r="H216" s="27">
        <v>220.03299999999999</v>
      </c>
      <c r="I216" s="109">
        <v>480</v>
      </c>
      <c r="J216" s="27">
        <v>96</v>
      </c>
      <c r="K216" s="39" t="s">
        <v>1323</v>
      </c>
      <c r="L216" s="130" t="s">
        <v>1367</v>
      </c>
      <c r="M216" s="110" t="s">
        <v>1368</v>
      </c>
      <c r="N216" s="40">
        <v>43480</v>
      </c>
      <c r="O216" s="130" t="s">
        <v>1367</v>
      </c>
      <c r="P216" s="63" t="s">
        <v>17</v>
      </c>
      <c r="Q216" s="63" t="s">
        <v>17</v>
      </c>
      <c r="R216" s="112"/>
      <c r="S216" s="111" t="s">
        <v>11</v>
      </c>
      <c r="T216" s="111" t="s">
        <v>11</v>
      </c>
      <c r="U216" s="113">
        <v>19.2</v>
      </c>
      <c r="V216" s="113"/>
      <c r="W216" s="113"/>
      <c r="X216" s="113">
        <v>455</v>
      </c>
      <c r="Y216" s="113">
        <v>475</v>
      </c>
      <c r="Z216" s="113">
        <v>600</v>
      </c>
      <c r="AA216" s="114">
        <v>22.003332999999998</v>
      </c>
      <c r="AB216" s="114">
        <v>44.006665999999996</v>
      </c>
      <c r="AC216" s="114">
        <v>66.009998999999993</v>
      </c>
      <c r="AD216" s="114">
        <v>110.01666499999999</v>
      </c>
      <c r="AE216" s="114">
        <v>165.02499749999998</v>
      </c>
      <c r="AF216" s="114">
        <v>220.03332999999998</v>
      </c>
      <c r="AG216" s="114">
        <v>95.015714285714282</v>
      </c>
      <c r="AH216" s="114">
        <v>96.159999999999982</v>
      </c>
      <c r="AI216" s="114">
        <v>96.411428571428573</v>
      </c>
      <c r="AJ216" s="114">
        <v>96.357142857142861</v>
      </c>
      <c r="AK216" s="114">
        <v>96.094285714285732</v>
      </c>
      <c r="AL216" s="114">
        <v>95.765714285714282</v>
      </c>
      <c r="AM216" s="114">
        <v>96.131257142857166</v>
      </c>
      <c r="AN216" s="114">
        <v>93.96142857142857</v>
      </c>
      <c r="AO216" s="114">
        <v>95.395714285714263</v>
      </c>
      <c r="AP216" s="114">
        <v>95.672857142857154</v>
      </c>
      <c r="AQ216" s="114">
        <v>95.734285714285718</v>
      </c>
      <c r="AR216" s="114">
        <v>95.52428571428571</v>
      </c>
      <c r="AS216" s="114">
        <v>95.179999999999993</v>
      </c>
      <c r="AT216" s="114">
        <v>95.500057142857145</v>
      </c>
      <c r="AU216" s="114">
        <v>94.338571428571427</v>
      </c>
      <c r="AV216" s="114">
        <v>95.8</v>
      </c>
      <c r="AW216" s="114">
        <v>96.09714285714287</v>
      </c>
      <c r="AX216" s="114">
        <v>96.165714285714259</v>
      </c>
      <c r="AY216" s="114">
        <v>96.01428571428572</v>
      </c>
      <c r="AZ216" s="114">
        <v>95.718571428571437</v>
      </c>
      <c r="BA216" s="114">
        <v>95.963499999999996</v>
      </c>
      <c r="BB216" s="40">
        <v>43480</v>
      </c>
      <c r="BC216" s="40"/>
    </row>
    <row r="217" spans="1:55" s="120" customFormat="1" ht="45">
      <c r="A217" s="28" t="s">
        <v>130</v>
      </c>
      <c r="B217" s="41" t="s">
        <v>401</v>
      </c>
      <c r="C217" s="43" t="s">
        <v>10</v>
      </c>
      <c r="D217" s="43" t="s">
        <v>10</v>
      </c>
      <c r="E217" s="43" t="s">
        <v>10</v>
      </c>
      <c r="F217" s="63" t="s">
        <v>11</v>
      </c>
      <c r="G217" s="37" t="s">
        <v>131</v>
      </c>
      <c r="H217" s="27">
        <v>3.8</v>
      </c>
      <c r="I217" s="29">
        <v>208</v>
      </c>
      <c r="J217" s="27">
        <v>96</v>
      </c>
      <c r="K217" s="39" t="s">
        <v>1324</v>
      </c>
      <c r="L217" s="130" t="s">
        <v>490</v>
      </c>
      <c r="M217" s="38" t="s">
        <v>491</v>
      </c>
      <c r="N217" s="40">
        <v>43388</v>
      </c>
      <c r="O217" s="130" t="s">
        <v>490</v>
      </c>
      <c r="P217" s="63" t="s">
        <v>17</v>
      </c>
      <c r="Q217" s="63" t="s">
        <v>17</v>
      </c>
      <c r="R217" s="30"/>
      <c r="S217" s="31" t="s">
        <v>10</v>
      </c>
      <c r="T217" s="31" t="s">
        <v>11</v>
      </c>
      <c r="U217" s="35">
        <v>0.41</v>
      </c>
      <c r="V217" s="35"/>
      <c r="W217" s="35"/>
      <c r="X217" s="35">
        <v>100</v>
      </c>
      <c r="Y217" s="35">
        <v>650</v>
      </c>
      <c r="Z217" s="35">
        <v>800</v>
      </c>
      <c r="AA217" s="103">
        <v>0.38</v>
      </c>
      <c r="AB217" s="103">
        <v>0.76</v>
      </c>
      <c r="AC217" s="103">
        <v>1.1399999999999999</v>
      </c>
      <c r="AD217" s="103">
        <v>1.9</v>
      </c>
      <c r="AE217" s="103">
        <v>2.85</v>
      </c>
      <c r="AF217" s="103">
        <v>3.8</v>
      </c>
      <c r="AG217" s="103">
        <v>87.3</v>
      </c>
      <c r="AH217" s="103">
        <v>92.4</v>
      </c>
      <c r="AI217" s="103">
        <v>93.9</v>
      </c>
      <c r="AJ217" s="103">
        <v>95.2</v>
      </c>
      <c r="AK217" s="103">
        <v>95.6</v>
      </c>
      <c r="AL217" s="103">
        <v>95.7</v>
      </c>
      <c r="AM217" s="103">
        <v>94.8</v>
      </c>
      <c r="AN217" s="103">
        <v>90.7</v>
      </c>
      <c r="AO217" s="103">
        <v>95.2</v>
      </c>
      <c r="AP217" s="103">
        <v>96.4</v>
      </c>
      <c r="AQ217" s="103">
        <v>97.2</v>
      </c>
      <c r="AR217" s="103">
        <v>97.5</v>
      </c>
      <c r="AS217" s="103">
        <v>97.6</v>
      </c>
      <c r="AT217" s="103">
        <v>96.9</v>
      </c>
      <c r="AU217" s="103">
        <v>85.7</v>
      </c>
      <c r="AV217" s="103">
        <v>93.4</v>
      </c>
      <c r="AW217" s="103">
        <v>95.2</v>
      </c>
      <c r="AX217" s="103">
        <v>96.6</v>
      </c>
      <c r="AY217" s="103">
        <v>97.1</v>
      </c>
      <c r="AZ217" s="103">
        <v>97.3</v>
      </c>
      <c r="BA217" s="103">
        <v>96.1</v>
      </c>
      <c r="BB217" s="40">
        <v>42948</v>
      </c>
      <c r="BC217" s="40">
        <v>43388</v>
      </c>
    </row>
    <row r="218" spans="1:55" s="120" customFormat="1" ht="45">
      <c r="A218" s="28" t="s">
        <v>130</v>
      </c>
      <c r="B218" s="41" t="s">
        <v>402</v>
      </c>
      <c r="C218" s="43" t="s">
        <v>10</v>
      </c>
      <c r="D218" s="43" t="s">
        <v>10</v>
      </c>
      <c r="E218" s="43" t="s">
        <v>10</v>
      </c>
      <c r="F218" s="63" t="s">
        <v>11</v>
      </c>
      <c r="G218" s="37" t="s">
        <v>132</v>
      </c>
      <c r="H218" s="27">
        <v>3.8</v>
      </c>
      <c r="I218" s="29">
        <v>240</v>
      </c>
      <c r="J218" s="27">
        <v>95.5</v>
      </c>
      <c r="K218" s="39" t="s">
        <v>1324</v>
      </c>
      <c r="L218" s="130" t="s">
        <v>490</v>
      </c>
      <c r="M218" s="38" t="s">
        <v>491</v>
      </c>
      <c r="N218" s="40">
        <v>43388</v>
      </c>
      <c r="O218" s="130" t="s">
        <v>490</v>
      </c>
      <c r="P218" s="63" t="s">
        <v>17</v>
      </c>
      <c r="Q218" s="63" t="s">
        <v>17</v>
      </c>
      <c r="R218" s="30"/>
      <c r="S218" s="31" t="s">
        <v>10</v>
      </c>
      <c r="T218" s="31" t="s">
        <v>11</v>
      </c>
      <c r="U218" s="35">
        <v>0.55000000000000004</v>
      </c>
      <c r="V218" s="35"/>
      <c r="W218" s="35"/>
      <c r="X218" s="35">
        <v>100</v>
      </c>
      <c r="Y218" s="35">
        <v>650</v>
      </c>
      <c r="Z218" s="35">
        <v>800</v>
      </c>
      <c r="AA218" s="103">
        <v>0.38</v>
      </c>
      <c r="AB218" s="103">
        <v>0.76</v>
      </c>
      <c r="AC218" s="103">
        <v>1.1399999999999999</v>
      </c>
      <c r="AD218" s="103">
        <v>1.9</v>
      </c>
      <c r="AE218" s="103">
        <v>2.85</v>
      </c>
      <c r="AF218" s="103">
        <v>3.8</v>
      </c>
      <c r="AG218" s="103">
        <v>85.5</v>
      </c>
      <c r="AH218" s="103">
        <v>91.5</v>
      </c>
      <c r="AI218" s="103">
        <v>93.3</v>
      </c>
      <c r="AJ218" s="103">
        <v>94.8</v>
      </c>
      <c r="AK218" s="103">
        <v>95.4</v>
      </c>
      <c r="AL218" s="103">
        <v>95.6</v>
      </c>
      <c r="AM218" s="103">
        <v>94.4</v>
      </c>
      <c r="AN218" s="103">
        <v>87.2</v>
      </c>
      <c r="AO218" s="103">
        <v>93.4</v>
      </c>
      <c r="AP218" s="103">
        <v>95</v>
      </c>
      <c r="AQ218" s="103">
        <v>96.4</v>
      </c>
      <c r="AR218" s="103">
        <v>96.9</v>
      </c>
      <c r="AS218" s="103">
        <v>97.2</v>
      </c>
      <c r="AT218" s="103">
        <v>96</v>
      </c>
      <c r="AU218" s="103">
        <v>87</v>
      </c>
      <c r="AV218" s="103">
        <v>93.7</v>
      </c>
      <c r="AW218" s="103">
        <v>95.5</v>
      </c>
      <c r="AX218" s="103">
        <v>96.9</v>
      </c>
      <c r="AY218" s="103">
        <v>97.4</v>
      </c>
      <c r="AZ218" s="103">
        <v>97.6</v>
      </c>
      <c r="BA218" s="103">
        <v>96.5</v>
      </c>
      <c r="BB218" s="40">
        <v>42948</v>
      </c>
      <c r="BC218" s="40">
        <v>43388</v>
      </c>
    </row>
    <row r="219" spans="1:55" s="120" customFormat="1" ht="45">
      <c r="A219" s="28" t="s">
        <v>130</v>
      </c>
      <c r="B219" s="41" t="s">
        <v>403</v>
      </c>
      <c r="C219" s="43" t="s">
        <v>10</v>
      </c>
      <c r="D219" s="43" t="s">
        <v>10</v>
      </c>
      <c r="E219" s="43" t="s">
        <v>10</v>
      </c>
      <c r="F219" s="63" t="s">
        <v>11</v>
      </c>
      <c r="G219" s="37" t="s">
        <v>133</v>
      </c>
      <c r="H219" s="27">
        <v>5</v>
      </c>
      <c r="I219" s="29">
        <v>208</v>
      </c>
      <c r="J219" s="27">
        <v>96.5</v>
      </c>
      <c r="K219" s="39" t="s">
        <v>1324</v>
      </c>
      <c r="L219" s="130" t="s">
        <v>490</v>
      </c>
      <c r="M219" s="38" t="s">
        <v>491</v>
      </c>
      <c r="N219" s="40">
        <v>43388</v>
      </c>
      <c r="O219" s="130" t="s">
        <v>490</v>
      </c>
      <c r="P219" s="63" t="s">
        <v>17</v>
      </c>
      <c r="Q219" s="63" t="s">
        <v>17</v>
      </c>
      <c r="R219" s="30"/>
      <c r="S219" s="31" t="s">
        <v>10</v>
      </c>
      <c r="T219" s="31" t="s">
        <v>11</v>
      </c>
      <c r="U219" s="35">
        <v>0.41</v>
      </c>
      <c r="V219" s="35"/>
      <c r="W219" s="35"/>
      <c r="X219" s="35">
        <v>100</v>
      </c>
      <c r="Y219" s="35">
        <v>650</v>
      </c>
      <c r="Z219" s="35">
        <v>800</v>
      </c>
      <c r="AA219" s="103">
        <v>0.5</v>
      </c>
      <c r="AB219" s="103">
        <v>1</v>
      </c>
      <c r="AC219" s="103">
        <v>1.5</v>
      </c>
      <c r="AD219" s="103">
        <v>2.5</v>
      </c>
      <c r="AE219" s="103">
        <v>3.75</v>
      </c>
      <c r="AF219" s="103">
        <v>5</v>
      </c>
      <c r="AG219" s="103">
        <v>89.4</v>
      </c>
      <c r="AH219" s="103">
        <v>93.8</v>
      </c>
      <c r="AI219" s="103">
        <v>94.8</v>
      </c>
      <c r="AJ219" s="103">
        <v>95.8</v>
      </c>
      <c r="AK219" s="103">
        <v>96</v>
      </c>
      <c r="AL219" s="103">
        <v>96</v>
      </c>
      <c r="AM219" s="103">
        <v>95.4</v>
      </c>
      <c r="AN219" s="103">
        <v>92.5</v>
      </c>
      <c r="AO219" s="103">
        <v>96</v>
      </c>
      <c r="AP219" s="103">
        <v>96.8</v>
      </c>
      <c r="AQ219" s="103">
        <v>97.5</v>
      </c>
      <c r="AR219" s="103">
        <v>97.6</v>
      </c>
      <c r="AS219" s="103">
        <v>97.6</v>
      </c>
      <c r="AT219" s="103">
        <v>97.2</v>
      </c>
      <c r="AU219" s="103">
        <v>89.3</v>
      </c>
      <c r="AV219" s="103">
        <v>94.6</v>
      </c>
      <c r="AW219" s="103">
        <v>96</v>
      </c>
      <c r="AX219" s="103">
        <v>97</v>
      </c>
      <c r="AY219" s="103">
        <v>97.3</v>
      </c>
      <c r="AZ219" s="103">
        <v>97.4</v>
      </c>
      <c r="BA219" s="103">
        <v>96.6</v>
      </c>
      <c r="BB219" s="40">
        <v>42948</v>
      </c>
      <c r="BC219" s="40">
        <v>43388</v>
      </c>
    </row>
    <row r="220" spans="1:55" s="120" customFormat="1" ht="45">
      <c r="A220" s="28" t="s">
        <v>130</v>
      </c>
      <c r="B220" s="41" t="s">
        <v>404</v>
      </c>
      <c r="C220" s="43" t="s">
        <v>10</v>
      </c>
      <c r="D220" s="43" t="s">
        <v>10</v>
      </c>
      <c r="E220" s="43" t="s">
        <v>10</v>
      </c>
      <c r="F220" s="63" t="s">
        <v>11</v>
      </c>
      <c r="G220" s="37" t="s">
        <v>134</v>
      </c>
      <c r="H220" s="27">
        <v>5</v>
      </c>
      <c r="I220" s="29">
        <v>240</v>
      </c>
      <c r="J220" s="27">
        <v>96.5</v>
      </c>
      <c r="K220" s="39" t="s">
        <v>1324</v>
      </c>
      <c r="L220" s="130" t="s">
        <v>490</v>
      </c>
      <c r="M220" s="38" t="s">
        <v>491</v>
      </c>
      <c r="N220" s="40">
        <v>43388</v>
      </c>
      <c r="O220" s="130" t="s">
        <v>490</v>
      </c>
      <c r="P220" s="63" t="s">
        <v>17</v>
      </c>
      <c r="Q220" s="63" t="s">
        <v>17</v>
      </c>
      <c r="R220" s="30"/>
      <c r="S220" s="31" t="s">
        <v>10</v>
      </c>
      <c r="T220" s="31" t="s">
        <v>11</v>
      </c>
      <c r="U220" s="35">
        <v>0.55000000000000004</v>
      </c>
      <c r="V220" s="35"/>
      <c r="W220" s="35"/>
      <c r="X220" s="35">
        <v>100</v>
      </c>
      <c r="Y220" s="35">
        <v>660</v>
      </c>
      <c r="Z220" s="35">
        <v>800</v>
      </c>
      <c r="AA220" s="103">
        <v>0.5</v>
      </c>
      <c r="AB220" s="103">
        <v>1</v>
      </c>
      <c r="AC220" s="103">
        <v>1.5</v>
      </c>
      <c r="AD220" s="103">
        <v>2.5</v>
      </c>
      <c r="AE220" s="103">
        <v>3.75</v>
      </c>
      <c r="AF220" s="103">
        <v>5</v>
      </c>
      <c r="AG220" s="103">
        <v>89</v>
      </c>
      <c r="AH220" s="103">
        <v>93.2</v>
      </c>
      <c r="AI220" s="103">
        <v>94.6</v>
      </c>
      <c r="AJ220" s="103">
        <v>95.6</v>
      </c>
      <c r="AK220" s="103">
        <v>95.9</v>
      </c>
      <c r="AL220" s="103">
        <v>96</v>
      </c>
      <c r="AM220" s="103">
        <v>95.3</v>
      </c>
      <c r="AN220" s="103">
        <v>91.6</v>
      </c>
      <c r="AO220" s="103">
        <v>95.4</v>
      </c>
      <c r="AP220" s="103">
        <v>96.4</v>
      </c>
      <c r="AQ220" s="103">
        <v>97.1</v>
      </c>
      <c r="AR220" s="103">
        <v>97.4</v>
      </c>
      <c r="AS220" s="103">
        <v>97.4</v>
      </c>
      <c r="AT220" s="103">
        <v>96.9</v>
      </c>
      <c r="AU220" s="103">
        <v>92.3</v>
      </c>
      <c r="AV220" s="103">
        <v>96</v>
      </c>
      <c r="AW220" s="103">
        <v>97</v>
      </c>
      <c r="AX220" s="103">
        <v>97.7</v>
      </c>
      <c r="AY220" s="103">
        <v>97.9</v>
      </c>
      <c r="AZ220" s="103">
        <v>97.9</v>
      </c>
      <c r="BA220" s="103">
        <v>97.4</v>
      </c>
      <c r="BB220" s="40">
        <v>42948</v>
      </c>
      <c r="BC220" s="40">
        <v>43388</v>
      </c>
    </row>
    <row r="221" spans="1:55" s="120" customFormat="1" ht="45">
      <c r="A221" s="28" t="s">
        <v>130</v>
      </c>
      <c r="B221" s="41" t="s">
        <v>405</v>
      </c>
      <c r="C221" s="43" t="s">
        <v>10</v>
      </c>
      <c r="D221" s="43" t="s">
        <v>10</v>
      </c>
      <c r="E221" s="43" t="s">
        <v>10</v>
      </c>
      <c r="F221" s="63" t="s">
        <v>11</v>
      </c>
      <c r="G221" s="37" t="s">
        <v>135</v>
      </c>
      <c r="H221" s="27">
        <v>6</v>
      </c>
      <c r="I221" s="29">
        <v>208</v>
      </c>
      <c r="J221" s="27">
        <v>96.5</v>
      </c>
      <c r="K221" s="39" t="s">
        <v>1324</v>
      </c>
      <c r="L221" s="130" t="s">
        <v>490</v>
      </c>
      <c r="M221" s="38" t="s">
        <v>491</v>
      </c>
      <c r="N221" s="40">
        <v>43388</v>
      </c>
      <c r="O221" s="130" t="s">
        <v>490</v>
      </c>
      <c r="P221" s="63" t="s">
        <v>17</v>
      </c>
      <c r="Q221" s="63" t="s">
        <v>17</v>
      </c>
      <c r="R221" s="30"/>
      <c r="S221" s="31" t="s">
        <v>10</v>
      </c>
      <c r="T221" s="31" t="s">
        <v>11</v>
      </c>
      <c r="U221" s="35">
        <v>0.41</v>
      </c>
      <c r="V221" s="35"/>
      <c r="W221" s="35"/>
      <c r="X221" s="35">
        <v>100</v>
      </c>
      <c r="Y221" s="35">
        <v>660</v>
      </c>
      <c r="Z221" s="35">
        <v>800</v>
      </c>
      <c r="AA221" s="103">
        <v>0.6</v>
      </c>
      <c r="AB221" s="103">
        <v>1.2</v>
      </c>
      <c r="AC221" s="103">
        <v>1.8</v>
      </c>
      <c r="AD221" s="103">
        <v>3</v>
      </c>
      <c r="AE221" s="103">
        <v>4.5</v>
      </c>
      <c r="AF221" s="103">
        <v>6</v>
      </c>
      <c r="AG221" s="103">
        <v>90.7</v>
      </c>
      <c r="AH221" s="103">
        <v>94.4</v>
      </c>
      <c r="AI221" s="103">
        <v>95.2</v>
      </c>
      <c r="AJ221" s="103">
        <v>95.9</v>
      </c>
      <c r="AK221" s="103">
        <v>96</v>
      </c>
      <c r="AL221" s="103">
        <v>95.9</v>
      </c>
      <c r="AM221" s="103">
        <v>95.6</v>
      </c>
      <c r="AN221" s="103">
        <v>93.5</v>
      </c>
      <c r="AO221" s="103">
        <v>96.5</v>
      </c>
      <c r="AP221" s="103">
        <v>97.1</v>
      </c>
      <c r="AQ221" s="103">
        <v>97.6</v>
      </c>
      <c r="AR221" s="103">
        <v>97.6</v>
      </c>
      <c r="AS221" s="103">
        <v>97.6</v>
      </c>
      <c r="AT221" s="103">
        <v>97.3</v>
      </c>
      <c r="AU221" s="103">
        <v>91</v>
      </c>
      <c r="AV221" s="103">
        <v>95.4</v>
      </c>
      <c r="AW221" s="103">
        <v>96.4</v>
      </c>
      <c r="AX221" s="103">
        <v>97.2</v>
      </c>
      <c r="AY221" s="103">
        <v>97.3</v>
      </c>
      <c r="AZ221" s="103">
        <v>97.4</v>
      </c>
      <c r="BA221" s="103">
        <v>96.8</v>
      </c>
      <c r="BB221" s="40">
        <v>42948</v>
      </c>
      <c r="BC221" s="40">
        <v>43388</v>
      </c>
    </row>
    <row r="222" spans="1:55" s="120" customFormat="1" ht="45">
      <c r="A222" s="28" t="s">
        <v>130</v>
      </c>
      <c r="B222" s="41" t="s">
        <v>406</v>
      </c>
      <c r="C222" s="43" t="s">
        <v>10</v>
      </c>
      <c r="D222" s="43" t="s">
        <v>10</v>
      </c>
      <c r="E222" s="43" t="s">
        <v>10</v>
      </c>
      <c r="F222" s="63" t="s">
        <v>11</v>
      </c>
      <c r="G222" s="37" t="s">
        <v>136</v>
      </c>
      <c r="H222" s="27">
        <v>6</v>
      </c>
      <c r="I222" s="29">
        <v>240</v>
      </c>
      <c r="J222" s="27">
        <v>96.5</v>
      </c>
      <c r="K222" s="39" t="s">
        <v>1324</v>
      </c>
      <c r="L222" s="130" t="s">
        <v>490</v>
      </c>
      <c r="M222" s="38" t="s">
        <v>491</v>
      </c>
      <c r="N222" s="40">
        <v>43388</v>
      </c>
      <c r="O222" s="130" t="s">
        <v>490</v>
      </c>
      <c r="P222" s="63" t="s">
        <v>17</v>
      </c>
      <c r="Q222" s="63" t="s">
        <v>17</v>
      </c>
      <c r="R222" s="30"/>
      <c r="S222" s="31" t="s">
        <v>10</v>
      </c>
      <c r="T222" s="31" t="s">
        <v>11</v>
      </c>
      <c r="U222" s="35">
        <v>0.55000000000000004</v>
      </c>
      <c r="V222" s="35"/>
      <c r="W222" s="35"/>
      <c r="X222" s="35">
        <v>100</v>
      </c>
      <c r="Y222" s="35">
        <v>660</v>
      </c>
      <c r="Z222" s="35">
        <v>800</v>
      </c>
      <c r="AA222" s="103">
        <v>0.6</v>
      </c>
      <c r="AB222" s="103">
        <v>1.2</v>
      </c>
      <c r="AC222" s="103">
        <v>1.8</v>
      </c>
      <c r="AD222" s="103">
        <v>3</v>
      </c>
      <c r="AE222" s="103">
        <v>4.5</v>
      </c>
      <c r="AF222" s="103">
        <v>6</v>
      </c>
      <c r="AG222" s="103">
        <v>89.8</v>
      </c>
      <c r="AH222" s="103">
        <v>93.6</v>
      </c>
      <c r="AI222" s="103">
        <v>94.9</v>
      </c>
      <c r="AJ222" s="103">
        <v>95.8</v>
      </c>
      <c r="AK222" s="103">
        <v>96</v>
      </c>
      <c r="AL222" s="103">
        <v>96</v>
      </c>
      <c r="AM222" s="103">
        <v>95.4</v>
      </c>
      <c r="AN222" s="103">
        <v>91.4</v>
      </c>
      <c r="AO222" s="103">
        <v>95.3</v>
      </c>
      <c r="AP222" s="103">
        <v>96.3</v>
      </c>
      <c r="AQ222" s="103">
        <v>97</v>
      </c>
      <c r="AR222" s="103">
        <v>97.3</v>
      </c>
      <c r="AS222" s="103">
        <v>97.3</v>
      </c>
      <c r="AT222" s="103">
        <v>96.8</v>
      </c>
      <c r="AU222" s="103">
        <v>91.7</v>
      </c>
      <c r="AV222" s="103">
        <v>95.7</v>
      </c>
      <c r="AW222" s="103">
        <v>96.7</v>
      </c>
      <c r="AX222" s="103">
        <v>97.5</v>
      </c>
      <c r="AY222" s="103">
        <v>97.7</v>
      </c>
      <c r="AZ222" s="103">
        <v>97.7</v>
      </c>
      <c r="BA222" s="103">
        <v>97.2</v>
      </c>
      <c r="BB222" s="40">
        <v>42948</v>
      </c>
      <c r="BC222" s="40">
        <v>43388</v>
      </c>
    </row>
    <row r="223" spans="1:55" s="120" customFormat="1" ht="45">
      <c r="A223" s="28" t="s">
        <v>130</v>
      </c>
      <c r="B223" s="41" t="s">
        <v>407</v>
      </c>
      <c r="C223" s="43" t="s">
        <v>10</v>
      </c>
      <c r="D223" s="43" t="s">
        <v>10</v>
      </c>
      <c r="E223" s="43" t="s">
        <v>10</v>
      </c>
      <c r="F223" s="63" t="s">
        <v>11</v>
      </c>
      <c r="G223" s="37" t="s">
        <v>137</v>
      </c>
      <c r="H223" s="27">
        <v>7.6</v>
      </c>
      <c r="I223" s="29">
        <v>208</v>
      </c>
      <c r="J223" s="27">
        <v>97</v>
      </c>
      <c r="K223" s="39" t="s">
        <v>1324</v>
      </c>
      <c r="L223" s="130" t="s">
        <v>490</v>
      </c>
      <c r="M223" s="38" t="s">
        <v>491</v>
      </c>
      <c r="N223" s="40">
        <v>43388</v>
      </c>
      <c r="O223" s="130" t="s">
        <v>490</v>
      </c>
      <c r="P223" s="63" t="s">
        <v>17</v>
      </c>
      <c r="Q223" s="63" t="s">
        <v>17</v>
      </c>
      <c r="R223" s="30"/>
      <c r="S223" s="31" t="s">
        <v>10</v>
      </c>
      <c r="T223" s="31" t="s">
        <v>11</v>
      </c>
      <c r="U223" s="35">
        <v>0.41</v>
      </c>
      <c r="V223" s="35"/>
      <c r="W223" s="35"/>
      <c r="X223" s="35">
        <v>100</v>
      </c>
      <c r="Y223" s="35">
        <v>660</v>
      </c>
      <c r="Z223" s="35">
        <v>800</v>
      </c>
      <c r="AA223" s="103">
        <v>0.76</v>
      </c>
      <c r="AB223" s="103">
        <v>1.52</v>
      </c>
      <c r="AC223" s="103">
        <v>2.2799999999999998</v>
      </c>
      <c r="AD223" s="103">
        <v>3.8</v>
      </c>
      <c r="AE223" s="103">
        <v>5.7</v>
      </c>
      <c r="AF223" s="103">
        <v>7.6</v>
      </c>
      <c r="AG223" s="103">
        <v>92.7</v>
      </c>
      <c r="AH223" s="103">
        <v>95.1</v>
      </c>
      <c r="AI223" s="103">
        <v>95.8</v>
      </c>
      <c r="AJ223" s="103">
        <v>96.1</v>
      </c>
      <c r="AK223" s="103">
        <v>96.1</v>
      </c>
      <c r="AL223" s="103">
        <v>95.8</v>
      </c>
      <c r="AM223" s="103">
        <v>95.8</v>
      </c>
      <c r="AN223" s="103">
        <v>96</v>
      </c>
      <c r="AO223" s="103">
        <v>97.4</v>
      </c>
      <c r="AP223" s="103">
        <v>97.7</v>
      </c>
      <c r="AQ223" s="103">
        <v>97.8</v>
      </c>
      <c r="AR223" s="103">
        <v>97.7</v>
      </c>
      <c r="AS223" s="103">
        <v>97.6</v>
      </c>
      <c r="AT223" s="103">
        <v>97.7</v>
      </c>
      <c r="AU223" s="103">
        <v>94.1</v>
      </c>
      <c r="AV223" s="103">
        <v>96.7</v>
      </c>
      <c r="AW223" s="103">
        <v>97.3</v>
      </c>
      <c r="AX223" s="103">
        <v>97.6</v>
      </c>
      <c r="AY223" s="103">
        <v>97.5</v>
      </c>
      <c r="AZ223" s="103">
        <v>97.4</v>
      </c>
      <c r="BA223" s="103">
        <v>97.3</v>
      </c>
      <c r="BB223" s="40">
        <v>42948</v>
      </c>
      <c r="BC223" s="40">
        <v>43388</v>
      </c>
    </row>
    <row r="224" spans="1:55" s="120" customFormat="1" ht="45">
      <c r="A224" s="28" t="s">
        <v>130</v>
      </c>
      <c r="B224" s="41" t="s">
        <v>408</v>
      </c>
      <c r="C224" s="43" t="s">
        <v>10</v>
      </c>
      <c r="D224" s="43" t="s">
        <v>10</v>
      </c>
      <c r="E224" s="43" t="s">
        <v>10</v>
      </c>
      <c r="F224" s="63" t="s">
        <v>11</v>
      </c>
      <c r="G224" s="37" t="s">
        <v>138</v>
      </c>
      <c r="H224" s="27">
        <v>7.6</v>
      </c>
      <c r="I224" s="29">
        <v>240</v>
      </c>
      <c r="J224" s="27">
        <v>97</v>
      </c>
      <c r="K224" s="39" t="s">
        <v>1324</v>
      </c>
      <c r="L224" s="130" t="s">
        <v>490</v>
      </c>
      <c r="M224" s="38" t="s">
        <v>491</v>
      </c>
      <c r="N224" s="40">
        <v>43388</v>
      </c>
      <c r="O224" s="130" t="s">
        <v>490</v>
      </c>
      <c r="P224" s="63" t="s">
        <v>17</v>
      </c>
      <c r="Q224" s="63" t="s">
        <v>17</v>
      </c>
      <c r="R224" s="30"/>
      <c r="S224" s="31" t="s">
        <v>10</v>
      </c>
      <c r="T224" s="31" t="s">
        <v>11</v>
      </c>
      <c r="U224" s="35">
        <v>0.55000000000000004</v>
      </c>
      <c r="V224" s="35"/>
      <c r="W224" s="35"/>
      <c r="X224" s="35">
        <v>100</v>
      </c>
      <c r="Y224" s="35">
        <v>660</v>
      </c>
      <c r="Z224" s="35">
        <v>800</v>
      </c>
      <c r="AA224" s="103">
        <v>0.76</v>
      </c>
      <c r="AB224" s="103">
        <v>1.52</v>
      </c>
      <c r="AC224" s="103">
        <v>2.2799999999999998</v>
      </c>
      <c r="AD224" s="103">
        <v>3.8</v>
      </c>
      <c r="AE224" s="103">
        <v>5.7</v>
      </c>
      <c r="AF224" s="103">
        <v>7.6</v>
      </c>
      <c r="AG224" s="103">
        <v>91.6</v>
      </c>
      <c r="AH224" s="103">
        <v>94.8</v>
      </c>
      <c r="AI224" s="103">
        <v>95.5</v>
      </c>
      <c r="AJ224" s="103">
        <v>96</v>
      </c>
      <c r="AK224" s="103">
        <v>96.1</v>
      </c>
      <c r="AL224" s="103">
        <v>95.9</v>
      </c>
      <c r="AM224" s="103">
        <v>95.7</v>
      </c>
      <c r="AN224" s="103">
        <v>94</v>
      </c>
      <c r="AO224" s="103">
        <v>96.4</v>
      </c>
      <c r="AP224" s="103">
        <v>97</v>
      </c>
      <c r="AQ224" s="103">
        <v>97.4</v>
      </c>
      <c r="AR224" s="103">
        <v>97.5</v>
      </c>
      <c r="AS224" s="103">
        <v>97.4</v>
      </c>
      <c r="AT224" s="103">
        <v>97.2</v>
      </c>
      <c r="AU224" s="103">
        <v>94.6</v>
      </c>
      <c r="AV224" s="103">
        <v>97</v>
      </c>
      <c r="AW224" s="103">
        <v>97.6</v>
      </c>
      <c r="AX224" s="103">
        <v>97.9</v>
      </c>
      <c r="AY224" s="103">
        <v>97.9</v>
      </c>
      <c r="AZ224" s="103">
        <v>97.8</v>
      </c>
      <c r="BA224" s="103">
        <v>97.7</v>
      </c>
      <c r="BB224" s="40">
        <v>42948</v>
      </c>
      <c r="BC224" s="40">
        <v>43388</v>
      </c>
    </row>
    <row r="225" spans="1:55" s="120" customFormat="1" ht="45">
      <c r="A225" s="28" t="s">
        <v>130</v>
      </c>
      <c r="B225" s="41" t="s">
        <v>409</v>
      </c>
      <c r="C225" s="43" t="s">
        <v>10</v>
      </c>
      <c r="D225" s="43" t="s">
        <v>10</v>
      </c>
      <c r="E225" s="43" t="s">
        <v>10</v>
      </c>
      <c r="F225" s="63" t="s">
        <v>11</v>
      </c>
      <c r="G225" s="37" t="s">
        <v>139</v>
      </c>
      <c r="H225" s="27">
        <v>7.9</v>
      </c>
      <c r="I225" s="29">
        <v>208</v>
      </c>
      <c r="J225" s="27">
        <v>97</v>
      </c>
      <c r="K225" s="39" t="s">
        <v>1324</v>
      </c>
      <c r="L225" s="130" t="s">
        <v>490</v>
      </c>
      <c r="M225" s="38" t="s">
        <v>491</v>
      </c>
      <c r="N225" s="40">
        <v>43388</v>
      </c>
      <c r="O225" s="130" t="s">
        <v>490</v>
      </c>
      <c r="P225" s="63" t="s">
        <v>17</v>
      </c>
      <c r="Q225" s="63" t="s">
        <v>17</v>
      </c>
      <c r="R225" s="30"/>
      <c r="S225" s="31" t="s">
        <v>10</v>
      </c>
      <c r="T225" s="31" t="s">
        <v>11</v>
      </c>
      <c r="U225" s="35">
        <v>0.41</v>
      </c>
      <c r="V225" s="35"/>
      <c r="W225" s="35"/>
      <c r="X225" s="35">
        <v>100</v>
      </c>
      <c r="Y225" s="35">
        <v>660</v>
      </c>
      <c r="Z225" s="35">
        <v>800</v>
      </c>
      <c r="AA225" s="103">
        <v>0.79</v>
      </c>
      <c r="AB225" s="103">
        <v>1.58</v>
      </c>
      <c r="AC225" s="103">
        <v>2.37</v>
      </c>
      <c r="AD225" s="103">
        <v>3.95</v>
      </c>
      <c r="AE225" s="103">
        <v>5.93</v>
      </c>
      <c r="AF225" s="103">
        <v>7.9</v>
      </c>
      <c r="AG225" s="103">
        <v>93</v>
      </c>
      <c r="AH225" s="103">
        <v>95.3</v>
      </c>
      <c r="AI225" s="103">
        <v>95.9</v>
      </c>
      <c r="AJ225" s="103">
        <v>96.2</v>
      </c>
      <c r="AK225" s="103">
        <v>96.2</v>
      </c>
      <c r="AL225" s="103">
        <v>95.9</v>
      </c>
      <c r="AM225" s="103">
        <v>96</v>
      </c>
      <c r="AN225" s="103">
        <v>95.8</v>
      </c>
      <c r="AO225" s="103">
        <v>97.3</v>
      </c>
      <c r="AP225" s="103">
        <v>97.7</v>
      </c>
      <c r="AQ225" s="103">
        <v>97.8</v>
      </c>
      <c r="AR225" s="103">
        <v>97.8</v>
      </c>
      <c r="AS225" s="103">
        <v>97.5</v>
      </c>
      <c r="AT225" s="103">
        <v>97.7</v>
      </c>
      <c r="AU225" s="103">
        <v>94</v>
      </c>
      <c r="AV225" s="103">
        <v>96.7</v>
      </c>
      <c r="AW225" s="103">
        <v>97.3</v>
      </c>
      <c r="AX225" s="103">
        <v>97.6</v>
      </c>
      <c r="AY225" s="103">
        <v>97.6</v>
      </c>
      <c r="AZ225" s="103">
        <v>97.4</v>
      </c>
      <c r="BA225" s="103">
        <v>97.3</v>
      </c>
      <c r="BB225" s="40">
        <v>42948</v>
      </c>
      <c r="BC225" s="40">
        <v>43388</v>
      </c>
    </row>
    <row r="226" spans="1:55" s="120" customFormat="1" ht="45">
      <c r="A226" s="28" t="s">
        <v>130</v>
      </c>
      <c r="B226" s="41" t="s">
        <v>410</v>
      </c>
      <c r="C226" s="43" t="s">
        <v>10</v>
      </c>
      <c r="D226" s="43" t="s">
        <v>10</v>
      </c>
      <c r="E226" s="43" t="s">
        <v>10</v>
      </c>
      <c r="F226" s="63" t="s">
        <v>11</v>
      </c>
      <c r="G226" s="37" t="s">
        <v>140</v>
      </c>
      <c r="H226" s="27">
        <v>8.1999999999999993</v>
      </c>
      <c r="I226" s="29">
        <v>240</v>
      </c>
      <c r="J226" s="27">
        <v>97</v>
      </c>
      <c r="K226" s="39" t="s">
        <v>1324</v>
      </c>
      <c r="L226" s="130" t="s">
        <v>490</v>
      </c>
      <c r="M226" s="38" t="s">
        <v>491</v>
      </c>
      <c r="N226" s="40">
        <v>43388</v>
      </c>
      <c r="O226" s="130" t="s">
        <v>490</v>
      </c>
      <c r="P226" s="63" t="s">
        <v>17</v>
      </c>
      <c r="Q226" s="63" t="s">
        <v>17</v>
      </c>
      <c r="R226" s="30"/>
      <c r="S226" s="31" t="s">
        <v>10</v>
      </c>
      <c r="T226" s="31" t="s">
        <v>11</v>
      </c>
      <c r="U226" s="35">
        <v>0.55000000000000004</v>
      </c>
      <c r="V226" s="35"/>
      <c r="W226" s="35"/>
      <c r="X226" s="35">
        <v>100</v>
      </c>
      <c r="Y226" s="35">
        <v>660</v>
      </c>
      <c r="Z226" s="35">
        <v>800</v>
      </c>
      <c r="AA226" s="103">
        <v>0.82</v>
      </c>
      <c r="AB226" s="103">
        <v>1.64</v>
      </c>
      <c r="AC226" s="103">
        <v>2.46</v>
      </c>
      <c r="AD226" s="103">
        <v>4.0999999999999996</v>
      </c>
      <c r="AE226" s="103">
        <v>6.15</v>
      </c>
      <c r="AF226" s="103">
        <v>8.1999999999999993</v>
      </c>
      <c r="AG226" s="103">
        <v>92.1</v>
      </c>
      <c r="AH226" s="103">
        <v>94.9</v>
      </c>
      <c r="AI226" s="103">
        <v>95.7</v>
      </c>
      <c r="AJ226" s="103">
        <v>96.2</v>
      </c>
      <c r="AK226" s="103">
        <v>96.2</v>
      </c>
      <c r="AL226" s="103">
        <v>96.1</v>
      </c>
      <c r="AM226" s="103">
        <v>95.9</v>
      </c>
      <c r="AN226" s="103">
        <v>94.2</v>
      </c>
      <c r="AO226" s="103">
        <v>96.6</v>
      </c>
      <c r="AP226" s="103">
        <v>97.1</v>
      </c>
      <c r="AQ226" s="103">
        <v>97.4</v>
      </c>
      <c r="AR226" s="103">
        <v>97.4</v>
      </c>
      <c r="AS226" s="103">
        <v>97.4</v>
      </c>
      <c r="AT226" s="103">
        <v>97.2</v>
      </c>
      <c r="AU226" s="103">
        <v>94.7</v>
      </c>
      <c r="AV226" s="103">
        <v>97.1</v>
      </c>
      <c r="AW226" s="103">
        <v>97.6</v>
      </c>
      <c r="AX226" s="103">
        <v>97.9</v>
      </c>
      <c r="AY226" s="103">
        <v>97.9</v>
      </c>
      <c r="AZ226" s="103">
        <v>97.8</v>
      </c>
      <c r="BA226" s="103">
        <v>97.7</v>
      </c>
      <c r="BB226" s="40">
        <v>42948</v>
      </c>
      <c r="BC226" s="40">
        <v>43388</v>
      </c>
    </row>
    <row r="227" spans="1:55" s="120" customFormat="1" ht="45">
      <c r="A227" s="74" t="s">
        <v>130</v>
      </c>
      <c r="B227" s="67" t="s">
        <v>411</v>
      </c>
      <c r="C227" s="69" t="s">
        <v>10</v>
      </c>
      <c r="D227" s="69" t="s">
        <v>10</v>
      </c>
      <c r="E227" s="43" t="s">
        <v>10</v>
      </c>
      <c r="F227" s="63" t="s">
        <v>11</v>
      </c>
      <c r="G227" s="74" t="s">
        <v>299</v>
      </c>
      <c r="H227" s="60">
        <v>9.9949999999999992</v>
      </c>
      <c r="I227" s="62">
        <v>208</v>
      </c>
      <c r="J227" s="53">
        <v>96.5</v>
      </c>
      <c r="K227" s="39" t="s">
        <v>1324</v>
      </c>
      <c r="L227" s="129" t="s">
        <v>492</v>
      </c>
      <c r="M227" s="50" t="s">
        <v>493</v>
      </c>
      <c r="N227" s="40">
        <v>43388</v>
      </c>
      <c r="O227" s="129" t="s">
        <v>492</v>
      </c>
      <c r="P227" s="63" t="s">
        <v>17</v>
      </c>
      <c r="Q227" s="63" t="s">
        <v>17</v>
      </c>
      <c r="R227" s="71"/>
      <c r="S227" s="57" t="s">
        <v>10</v>
      </c>
      <c r="T227" s="57" t="s">
        <v>11</v>
      </c>
      <c r="U227" s="54">
        <v>0.24</v>
      </c>
      <c r="V227" s="67"/>
      <c r="W227" s="67"/>
      <c r="X227" s="67">
        <v>100</v>
      </c>
      <c r="Y227" s="67">
        <v>660</v>
      </c>
      <c r="Z227" s="67">
        <v>800</v>
      </c>
      <c r="AA227" s="102">
        <v>1</v>
      </c>
      <c r="AB227" s="102">
        <v>2</v>
      </c>
      <c r="AC227" s="101">
        <v>3</v>
      </c>
      <c r="AD227" s="101">
        <v>5</v>
      </c>
      <c r="AE227" s="101">
        <v>7.5</v>
      </c>
      <c r="AF227" s="101">
        <v>10</v>
      </c>
      <c r="AG227" s="101">
        <v>92</v>
      </c>
      <c r="AH227" s="101">
        <v>94.7</v>
      </c>
      <c r="AI227" s="102">
        <v>95.1</v>
      </c>
      <c r="AJ227" s="102">
        <v>95.6</v>
      </c>
      <c r="AK227" s="102">
        <v>95.6</v>
      </c>
      <c r="AL227" s="102">
        <v>95.5</v>
      </c>
      <c r="AM227" s="102">
        <v>95.3</v>
      </c>
      <c r="AN227" s="102">
        <v>94.5</v>
      </c>
      <c r="AO227" s="102">
        <v>97.4</v>
      </c>
      <c r="AP227" s="102">
        <v>96.8</v>
      </c>
      <c r="AQ227" s="102">
        <v>97.3</v>
      </c>
      <c r="AR227" s="102">
        <v>97.3</v>
      </c>
      <c r="AS227" s="102">
        <v>97.4</v>
      </c>
      <c r="AT227" s="102">
        <v>97.1</v>
      </c>
      <c r="AU227" s="102">
        <v>93.3</v>
      </c>
      <c r="AV227" s="102">
        <v>97.1</v>
      </c>
      <c r="AW227" s="102">
        <v>96.5</v>
      </c>
      <c r="AX227" s="102">
        <v>97</v>
      </c>
      <c r="AY227" s="102">
        <v>97.3</v>
      </c>
      <c r="AZ227" s="102">
        <v>97.3</v>
      </c>
      <c r="BA227" s="102">
        <v>97</v>
      </c>
      <c r="BB227" s="40">
        <v>43040</v>
      </c>
      <c r="BC227" s="40">
        <v>43388</v>
      </c>
    </row>
    <row r="228" spans="1:55" s="120" customFormat="1" ht="45">
      <c r="A228" s="74" t="s">
        <v>130</v>
      </c>
      <c r="B228" s="67" t="s">
        <v>412</v>
      </c>
      <c r="C228" s="69" t="s">
        <v>10</v>
      </c>
      <c r="D228" s="69" t="s">
        <v>10</v>
      </c>
      <c r="E228" s="43" t="s">
        <v>10</v>
      </c>
      <c r="F228" s="63" t="s">
        <v>11</v>
      </c>
      <c r="G228" s="74" t="s">
        <v>300</v>
      </c>
      <c r="H228" s="60">
        <v>9.9949999999999992</v>
      </c>
      <c r="I228" s="62">
        <v>240</v>
      </c>
      <c r="J228" s="53">
        <v>96.5</v>
      </c>
      <c r="K228" s="39" t="s">
        <v>1324</v>
      </c>
      <c r="L228" s="129" t="s">
        <v>492</v>
      </c>
      <c r="M228" s="50" t="s">
        <v>493</v>
      </c>
      <c r="N228" s="40">
        <v>43388</v>
      </c>
      <c r="O228" s="129" t="s">
        <v>492</v>
      </c>
      <c r="P228" s="63" t="s">
        <v>17</v>
      </c>
      <c r="Q228" s="63" t="s">
        <v>17</v>
      </c>
      <c r="R228" s="71"/>
      <c r="S228" s="57" t="s">
        <v>10</v>
      </c>
      <c r="T228" s="57" t="s">
        <v>11</v>
      </c>
      <c r="U228" s="54">
        <v>0.32</v>
      </c>
      <c r="V228" s="67"/>
      <c r="W228" s="67"/>
      <c r="X228" s="67">
        <v>100</v>
      </c>
      <c r="Y228" s="67">
        <v>655</v>
      </c>
      <c r="Z228" s="67">
        <v>800</v>
      </c>
      <c r="AA228" s="102">
        <v>1</v>
      </c>
      <c r="AB228" s="102">
        <v>2</v>
      </c>
      <c r="AC228" s="101">
        <v>3</v>
      </c>
      <c r="AD228" s="101">
        <v>5</v>
      </c>
      <c r="AE228" s="101">
        <v>7.5</v>
      </c>
      <c r="AF228" s="101">
        <v>10</v>
      </c>
      <c r="AG228" s="101">
        <v>91.4</v>
      </c>
      <c r="AH228" s="101">
        <v>94.3</v>
      </c>
      <c r="AI228" s="102">
        <v>94.8</v>
      </c>
      <c r="AJ228" s="102">
        <v>95.4</v>
      </c>
      <c r="AK228" s="102">
        <v>95.6</v>
      </c>
      <c r="AL228" s="102">
        <v>95.6</v>
      </c>
      <c r="AM228" s="102">
        <v>95.2</v>
      </c>
      <c r="AN228" s="102">
        <v>93.5</v>
      </c>
      <c r="AO228" s="102">
        <v>95.8</v>
      </c>
      <c r="AP228" s="102">
        <v>96.3</v>
      </c>
      <c r="AQ228" s="102">
        <v>96.9</v>
      </c>
      <c r="AR228" s="102">
        <v>97.1</v>
      </c>
      <c r="AS228" s="102">
        <v>97</v>
      </c>
      <c r="AT228" s="102">
        <v>96.7</v>
      </c>
      <c r="AU228" s="102">
        <v>95.6</v>
      </c>
      <c r="AV228" s="102">
        <v>97</v>
      </c>
      <c r="AW228" s="102">
        <v>97.2</v>
      </c>
      <c r="AX228" s="102">
        <v>97.6</v>
      </c>
      <c r="AY228" s="102">
        <v>97.7</v>
      </c>
      <c r="AZ228" s="102">
        <v>97.5</v>
      </c>
      <c r="BA228" s="102">
        <v>97.5</v>
      </c>
      <c r="BB228" s="40">
        <v>43040</v>
      </c>
      <c r="BC228" s="40">
        <v>43388</v>
      </c>
    </row>
    <row r="229" spans="1:55" s="120" customFormat="1" ht="45">
      <c r="A229" s="74" t="s">
        <v>130</v>
      </c>
      <c r="B229" s="75" t="s">
        <v>413</v>
      </c>
      <c r="C229" s="57" t="s">
        <v>10</v>
      </c>
      <c r="D229" s="57" t="s">
        <v>10</v>
      </c>
      <c r="E229" s="43" t="s">
        <v>10</v>
      </c>
      <c r="F229" s="63" t="s">
        <v>11</v>
      </c>
      <c r="G229" s="58" t="s">
        <v>318</v>
      </c>
      <c r="H229" s="35">
        <v>9.9949999999999992</v>
      </c>
      <c r="I229" s="35">
        <v>208</v>
      </c>
      <c r="J229" s="35">
        <v>96.5</v>
      </c>
      <c r="K229" s="39" t="s">
        <v>1324</v>
      </c>
      <c r="L229" s="129" t="s">
        <v>494</v>
      </c>
      <c r="M229" s="63" t="s">
        <v>495</v>
      </c>
      <c r="N229" s="40">
        <v>43388</v>
      </c>
      <c r="O229" s="129" t="s">
        <v>494</v>
      </c>
      <c r="P229" s="63" t="s">
        <v>17</v>
      </c>
      <c r="Q229" s="63" t="s">
        <v>17</v>
      </c>
      <c r="R229" s="71"/>
      <c r="S229" s="57" t="s">
        <v>10</v>
      </c>
      <c r="T229" s="57" t="s">
        <v>11</v>
      </c>
      <c r="U229" s="61">
        <v>0.81</v>
      </c>
      <c r="V229" s="59"/>
      <c r="W229" s="59"/>
      <c r="X229" s="59">
        <v>100</v>
      </c>
      <c r="Y229" s="59">
        <v>370</v>
      </c>
      <c r="Z229" s="59">
        <v>480</v>
      </c>
      <c r="AA229" s="99">
        <v>1</v>
      </c>
      <c r="AB229" s="99">
        <v>2</v>
      </c>
      <c r="AC229" s="99">
        <v>3</v>
      </c>
      <c r="AD229" s="99">
        <v>5</v>
      </c>
      <c r="AE229" s="99">
        <v>7.5</v>
      </c>
      <c r="AF229" s="99">
        <v>10</v>
      </c>
      <c r="AG229" s="99">
        <v>94</v>
      </c>
      <c r="AH229" s="99">
        <v>95.6</v>
      </c>
      <c r="AI229" s="99">
        <v>96.1</v>
      </c>
      <c r="AJ229" s="99">
        <v>96.2</v>
      </c>
      <c r="AK229" s="99">
        <v>96.2</v>
      </c>
      <c r="AL229" s="99">
        <v>96</v>
      </c>
      <c r="AM229" s="99">
        <v>96.1</v>
      </c>
      <c r="AN229" s="99">
        <v>95.4</v>
      </c>
      <c r="AO229" s="99">
        <v>96.8</v>
      </c>
      <c r="AP229" s="99">
        <v>97</v>
      </c>
      <c r="AQ229" s="99">
        <v>97.1</v>
      </c>
      <c r="AR229" s="99">
        <v>97.1</v>
      </c>
      <c r="AS229" s="99">
        <v>96.9</v>
      </c>
      <c r="AT229" s="99">
        <v>97</v>
      </c>
      <c r="AU229" s="99">
        <v>94.8</v>
      </c>
      <c r="AV229" s="99">
        <v>96.4</v>
      </c>
      <c r="AW229" s="99">
        <v>96.7</v>
      </c>
      <c r="AX229" s="99">
        <v>96.9</v>
      </c>
      <c r="AY229" s="99">
        <v>96.9</v>
      </c>
      <c r="AZ229" s="99">
        <v>96.7</v>
      </c>
      <c r="BA229" s="99">
        <v>96.7</v>
      </c>
      <c r="BB229" s="40">
        <v>43070</v>
      </c>
      <c r="BC229" s="40">
        <v>43388</v>
      </c>
    </row>
    <row r="230" spans="1:55" s="120" customFormat="1" ht="45">
      <c r="A230" s="74" t="s">
        <v>130</v>
      </c>
      <c r="B230" s="75" t="s">
        <v>414</v>
      </c>
      <c r="C230" s="57" t="s">
        <v>10</v>
      </c>
      <c r="D230" s="57" t="s">
        <v>10</v>
      </c>
      <c r="E230" s="43" t="s">
        <v>10</v>
      </c>
      <c r="F230" s="63" t="s">
        <v>11</v>
      </c>
      <c r="G230" s="58" t="s">
        <v>318</v>
      </c>
      <c r="H230" s="35">
        <v>9.9949999999999992</v>
      </c>
      <c r="I230" s="35">
        <v>240</v>
      </c>
      <c r="J230" s="35">
        <v>96.5</v>
      </c>
      <c r="K230" s="39" t="s">
        <v>1324</v>
      </c>
      <c r="L230" s="129" t="s">
        <v>494</v>
      </c>
      <c r="M230" s="63" t="s">
        <v>495</v>
      </c>
      <c r="N230" s="40">
        <v>43388</v>
      </c>
      <c r="O230" s="129" t="s">
        <v>494</v>
      </c>
      <c r="P230" s="63" t="s">
        <v>17</v>
      </c>
      <c r="Q230" s="63" t="s">
        <v>17</v>
      </c>
      <c r="R230" s="71"/>
      <c r="S230" s="57" t="s">
        <v>10</v>
      </c>
      <c r="T230" s="57" t="s">
        <v>11</v>
      </c>
      <c r="U230" s="61">
        <v>0.8</v>
      </c>
      <c r="V230" s="59"/>
      <c r="W230" s="59"/>
      <c r="X230" s="59">
        <v>100</v>
      </c>
      <c r="Y230" s="59">
        <v>370</v>
      </c>
      <c r="Z230" s="59">
        <v>480</v>
      </c>
      <c r="AA230" s="99">
        <v>1</v>
      </c>
      <c r="AB230" s="99">
        <v>2</v>
      </c>
      <c r="AC230" s="99">
        <v>3</v>
      </c>
      <c r="AD230" s="99">
        <v>5</v>
      </c>
      <c r="AE230" s="99">
        <v>7.5</v>
      </c>
      <c r="AF230" s="99">
        <v>10</v>
      </c>
      <c r="AG230" s="99">
        <v>94</v>
      </c>
      <c r="AH230" s="99">
        <v>95.6</v>
      </c>
      <c r="AI230" s="99">
        <v>96.1</v>
      </c>
      <c r="AJ230" s="99">
        <v>96.2</v>
      </c>
      <c r="AK230" s="99">
        <v>96.2</v>
      </c>
      <c r="AL230" s="99">
        <v>96</v>
      </c>
      <c r="AM230" s="99">
        <v>96.1</v>
      </c>
      <c r="AN230" s="99">
        <v>95.4</v>
      </c>
      <c r="AO230" s="99">
        <v>96.8</v>
      </c>
      <c r="AP230" s="99">
        <v>97</v>
      </c>
      <c r="AQ230" s="99">
        <v>97.1</v>
      </c>
      <c r="AR230" s="99">
        <v>97.1</v>
      </c>
      <c r="AS230" s="99">
        <v>96.9</v>
      </c>
      <c r="AT230" s="99">
        <v>97</v>
      </c>
      <c r="AU230" s="99">
        <v>94.8</v>
      </c>
      <c r="AV230" s="99">
        <v>96.4</v>
      </c>
      <c r="AW230" s="99">
        <v>96.7</v>
      </c>
      <c r="AX230" s="99">
        <v>96.9</v>
      </c>
      <c r="AY230" s="99">
        <v>96.9</v>
      </c>
      <c r="AZ230" s="99">
        <v>96.7</v>
      </c>
      <c r="BA230" s="99">
        <v>96.7</v>
      </c>
      <c r="BB230" s="40">
        <v>43070</v>
      </c>
      <c r="BC230" s="40">
        <v>43388</v>
      </c>
    </row>
    <row r="231" spans="1:55" s="120" customFormat="1" ht="45">
      <c r="A231" s="41" t="s">
        <v>130</v>
      </c>
      <c r="B231" s="41" t="s">
        <v>415</v>
      </c>
      <c r="C231" s="43" t="s">
        <v>10</v>
      </c>
      <c r="D231" s="43" t="s">
        <v>10</v>
      </c>
      <c r="E231" s="43" t="s">
        <v>10</v>
      </c>
      <c r="F231" s="63" t="s">
        <v>11</v>
      </c>
      <c r="G231" s="41" t="s">
        <v>170</v>
      </c>
      <c r="H231" s="27">
        <v>9.9949999999999992</v>
      </c>
      <c r="I231" s="29">
        <v>480</v>
      </c>
      <c r="J231" s="27">
        <v>96.5</v>
      </c>
      <c r="K231" s="39" t="s">
        <v>1324</v>
      </c>
      <c r="L231" s="130" t="s">
        <v>496</v>
      </c>
      <c r="M231" s="38" t="s">
        <v>497</v>
      </c>
      <c r="N231" s="40">
        <v>43388</v>
      </c>
      <c r="O231" s="130" t="s">
        <v>496</v>
      </c>
      <c r="P231" s="63" t="s">
        <v>17</v>
      </c>
      <c r="Q231" s="63" t="s">
        <v>17</v>
      </c>
      <c r="R231" s="30"/>
      <c r="S231" s="31" t="s">
        <v>10</v>
      </c>
      <c r="T231" s="31" t="s">
        <v>11</v>
      </c>
      <c r="U231" s="35">
        <v>0.86</v>
      </c>
      <c r="V231" s="35"/>
      <c r="W231" s="35"/>
      <c r="X231" s="35">
        <v>100</v>
      </c>
      <c r="Y231" s="35">
        <v>670</v>
      </c>
      <c r="Z231" s="35">
        <v>800</v>
      </c>
      <c r="AA231" s="103">
        <v>1</v>
      </c>
      <c r="AB231" s="103">
        <v>2</v>
      </c>
      <c r="AC231" s="103">
        <v>3</v>
      </c>
      <c r="AD231" s="103">
        <v>5</v>
      </c>
      <c r="AE231" s="103">
        <v>7.5</v>
      </c>
      <c r="AF231" s="103">
        <v>10</v>
      </c>
      <c r="AG231" s="103">
        <v>89.6</v>
      </c>
      <c r="AH231" s="103">
        <v>93.7</v>
      </c>
      <c r="AI231" s="103">
        <v>94.8</v>
      </c>
      <c r="AJ231" s="103">
        <v>95.3</v>
      </c>
      <c r="AK231" s="103">
        <v>96</v>
      </c>
      <c r="AL231" s="103">
        <v>96.2</v>
      </c>
      <c r="AM231" s="103">
        <v>95.3</v>
      </c>
      <c r="AN231" s="103">
        <v>91.8</v>
      </c>
      <c r="AO231" s="103">
        <v>95.2</v>
      </c>
      <c r="AP231" s="103">
        <v>96.1</v>
      </c>
      <c r="AQ231" s="103">
        <v>96.7</v>
      </c>
      <c r="AR231" s="103">
        <v>97.2</v>
      </c>
      <c r="AS231" s="103">
        <v>97.3</v>
      </c>
      <c r="AT231" s="103">
        <v>96.6</v>
      </c>
      <c r="AU231" s="103">
        <v>92.9</v>
      </c>
      <c r="AV231" s="103">
        <v>96.1</v>
      </c>
      <c r="AW231" s="103">
        <v>96.9</v>
      </c>
      <c r="AX231" s="103">
        <v>97.3</v>
      </c>
      <c r="AY231" s="103">
        <v>97.7</v>
      </c>
      <c r="AZ231" s="103">
        <v>97.8</v>
      </c>
      <c r="BA231" s="103">
        <v>97.2</v>
      </c>
      <c r="BB231" s="40">
        <v>42948</v>
      </c>
      <c r="BC231" s="40">
        <v>43388</v>
      </c>
    </row>
    <row r="232" spans="1:55" s="120" customFormat="1" ht="45">
      <c r="A232" s="74" t="s">
        <v>130</v>
      </c>
      <c r="B232" s="67" t="s">
        <v>416</v>
      </c>
      <c r="C232" s="69" t="s">
        <v>10</v>
      </c>
      <c r="D232" s="69" t="s">
        <v>10</v>
      </c>
      <c r="E232" s="43" t="s">
        <v>10</v>
      </c>
      <c r="F232" s="63" t="s">
        <v>11</v>
      </c>
      <c r="G232" s="74" t="s">
        <v>301</v>
      </c>
      <c r="H232" s="60">
        <v>11.4</v>
      </c>
      <c r="I232" s="62">
        <v>208</v>
      </c>
      <c r="J232" s="53">
        <v>96.5</v>
      </c>
      <c r="K232" s="39" t="s">
        <v>1324</v>
      </c>
      <c r="L232" s="129" t="s">
        <v>492</v>
      </c>
      <c r="M232" s="50" t="s">
        <v>493</v>
      </c>
      <c r="N232" s="40">
        <v>43388</v>
      </c>
      <c r="O232" s="129" t="s">
        <v>492</v>
      </c>
      <c r="P232" s="63" t="s">
        <v>17</v>
      </c>
      <c r="Q232" s="63" t="s">
        <v>17</v>
      </c>
      <c r="R232" s="71"/>
      <c r="S232" s="57" t="s">
        <v>10</v>
      </c>
      <c r="T232" s="57" t="s">
        <v>11</v>
      </c>
      <c r="U232" s="54">
        <v>0.24</v>
      </c>
      <c r="V232" s="67"/>
      <c r="W232" s="67"/>
      <c r="X232" s="67">
        <v>240</v>
      </c>
      <c r="Y232" s="67">
        <v>660</v>
      </c>
      <c r="Z232" s="67">
        <v>800</v>
      </c>
      <c r="AA232" s="102">
        <v>1.1399999999999999</v>
      </c>
      <c r="AB232" s="102">
        <v>2.2799999999999998</v>
      </c>
      <c r="AC232" s="101">
        <v>3.42</v>
      </c>
      <c r="AD232" s="101">
        <v>5.7</v>
      </c>
      <c r="AE232" s="101">
        <v>8.5500000000000007</v>
      </c>
      <c r="AF232" s="101">
        <v>11.4</v>
      </c>
      <c r="AG232" s="101">
        <v>93</v>
      </c>
      <c r="AH232" s="101">
        <v>94.9</v>
      </c>
      <c r="AI232" s="102">
        <v>95.4</v>
      </c>
      <c r="AJ232" s="102">
        <v>95.8</v>
      </c>
      <c r="AK232" s="102">
        <v>95.8</v>
      </c>
      <c r="AL232" s="102">
        <v>95.7</v>
      </c>
      <c r="AM232" s="102">
        <v>95.6</v>
      </c>
      <c r="AN232" s="102">
        <v>95.4</v>
      </c>
      <c r="AO232" s="102">
        <v>97</v>
      </c>
      <c r="AP232" s="102">
        <v>97.3</v>
      </c>
      <c r="AQ232" s="102">
        <v>97.4</v>
      </c>
      <c r="AR232" s="102">
        <v>97.4</v>
      </c>
      <c r="AS232" s="102">
        <v>97.4</v>
      </c>
      <c r="AT232" s="102">
        <v>97.3</v>
      </c>
      <c r="AU232" s="102">
        <v>94.5</v>
      </c>
      <c r="AV232" s="102">
        <v>96.4</v>
      </c>
      <c r="AW232" s="102">
        <v>96.9</v>
      </c>
      <c r="AX232" s="102">
        <v>97.2</v>
      </c>
      <c r="AY232" s="102">
        <v>97.2</v>
      </c>
      <c r="AZ232" s="102">
        <v>97.3</v>
      </c>
      <c r="BA232" s="102">
        <v>97.1</v>
      </c>
      <c r="BB232" s="40">
        <v>43040</v>
      </c>
      <c r="BC232" s="40">
        <v>43388</v>
      </c>
    </row>
    <row r="233" spans="1:55" s="120" customFormat="1" ht="45">
      <c r="A233" s="74" t="s">
        <v>130</v>
      </c>
      <c r="B233" s="67" t="s">
        <v>417</v>
      </c>
      <c r="C233" s="69" t="s">
        <v>10</v>
      </c>
      <c r="D233" s="69" t="s">
        <v>10</v>
      </c>
      <c r="E233" s="43" t="s">
        <v>10</v>
      </c>
      <c r="F233" s="63" t="s">
        <v>11</v>
      </c>
      <c r="G233" s="74" t="s">
        <v>302</v>
      </c>
      <c r="H233" s="60">
        <v>11.4</v>
      </c>
      <c r="I233" s="62">
        <v>240</v>
      </c>
      <c r="J233" s="53">
        <v>96.5</v>
      </c>
      <c r="K233" s="39" t="s">
        <v>1324</v>
      </c>
      <c r="L233" s="129" t="s">
        <v>492</v>
      </c>
      <c r="M233" s="50" t="s">
        <v>493</v>
      </c>
      <c r="N233" s="40">
        <v>43388</v>
      </c>
      <c r="O233" s="129" t="s">
        <v>492</v>
      </c>
      <c r="P233" s="63" t="s">
        <v>17</v>
      </c>
      <c r="Q233" s="63" t="s">
        <v>17</v>
      </c>
      <c r="R233" s="71"/>
      <c r="S233" s="57" t="s">
        <v>10</v>
      </c>
      <c r="T233" s="57" t="s">
        <v>11</v>
      </c>
      <c r="U233" s="54">
        <v>0.32</v>
      </c>
      <c r="V233" s="67"/>
      <c r="W233" s="67"/>
      <c r="X233" s="67">
        <v>240</v>
      </c>
      <c r="Y233" s="67">
        <v>660</v>
      </c>
      <c r="Z233" s="67">
        <v>800</v>
      </c>
      <c r="AA233" s="102">
        <v>1.1399999999999999</v>
      </c>
      <c r="AB233" s="102">
        <v>2.2799999999999998</v>
      </c>
      <c r="AC233" s="101">
        <v>3.42</v>
      </c>
      <c r="AD233" s="101">
        <v>5.7</v>
      </c>
      <c r="AE233" s="101">
        <v>8.5500000000000007</v>
      </c>
      <c r="AF233" s="101">
        <v>11.4</v>
      </c>
      <c r="AG233" s="101">
        <v>92.1</v>
      </c>
      <c r="AH233" s="101">
        <v>94.8</v>
      </c>
      <c r="AI233" s="102">
        <v>95.3</v>
      </c>
      <c r="AJ233" s="102">
        <v>95.8</v>
      </c>
      <c r="AK233" s="102">
        <v>95.9</v>
      </c>
      <c r="AL233" s="102">
        <v>95.8</v>
      </c>
      <c r="AM233" s="102">
        <v>95.6</v>
      </c>
      <c r="AN233" s="102">
        <v>93.7</v>
      </c>
      <c r="AO233" s="102">
        <v>96.1</v>
      </c>
      <c r="AP233" s="102">
        <v>96.6</v>
      </c>
      <c r="AQ233" s="102">
        <v>97</v>
      </c>
      <c r="AR233" s="102">
        <v>97.1</v>
      </c>
      <c r="AS233" s="102">
        <v>97.1</v>
      </c>
      <c r="AT233" s="102">
        <v>96.9</v>
      </c>
      <c r="AU233" s="102">
        <v>94.8</v>
      </c>
      <c r="AV233" s="102">
        <v>96.9</v>
      </c>
      <c r="AW233" s="102">
        <v>97.4</v>
      </c>
      <c r="AX233" s="102">
        <v>97.6</v>
      </c>
      <c r="AY233" s="102">
        <v>97.6</v>
      </c>
      <c r="AZ233" s="102">
        <v>97.6</v>
      </c>
      <c r="BA233" s="102">
        <v>97.4</v>
      </c>
      <c r="BB233" s="40">
        <v>43040</v>
      </c>
      <c r="BC233" s="40">
        <v>43388</v>
      </c>
    </row>
    <row r="234" spans="1:55" s="120" customFormat="1" ht="45">
      <c r="A234" s="74" t="s">
        <v>130</v>
      </c>
      <c r="B234" s="75" t="s">
        <v>418</v>
      </c>
      <c r="C234" s="57" t="s">
        <v>10</v>
      </c>
      <c r="D234" s="57" t="s">
        <v>10</v>
      </c>
      <c r="E234" s="43" t="s">
        <v>10</v>
      </c>
      <c r="F234" s="63" t="s">
        <v>11</v>
      </c>
      <c r="G234" s="58" t="s">
        <v>318</v>
      </c>
      <c r="H234" s="35">
        <v>12</v>
      </c>
      <c r="I234" s="35">
        <v>208</v>
      </c>
      <c r="J234" s="35">
        <v>96.5</v>
      </c>
      <c r="K234" s="39" t="s">
        <v>1324</v>
      </c>
      <c r="L234" s="129" t="s">
        <v>494</v>
      </c>
      <c r="M234" s="63" t="s">
        <v>495</v>
      </c>
      <c r="N234" s="40">
        <v>43388</v>
      </c>
      <c r="O234" s="129" t="s">
        <v>494</v>
      </c>
      <c r="P234" s="63" t="s">
        <v>17</v>
      </c>
      <c r="Q234" s="63" t="s">
        <v>17</v>
      </c>
      <c r="R234" s="71"/>
      <c r="S234" s="57" t="s">
        <v>10</v>
      </c>
      <c r="T234" s="57" t="s">
        <v>11</v>
      </c>
      <c r="U234" s="61">
        <v>0.61</v>
      </c>
      <c r="V234" s="59"/>
      <c r="W234" s="59"/>
      <c r="X234" s="59">
        <v>300</v>
      </c>
      <c r="Y234" s="59">
        <v>350</v>
      </c>
      <c r="Z234" s="59">
        <v>480</v>
      </c>
      <c r="AA234" s="99">
        <v>1.2</v>
      </c>
      <c r="AB234" s="99">
        <v>2.4</v>
      </c>
      <c r="AC234" s="99">
        <v>3.6</v>
      </c>
      <c r="AD234" s="99">
        <v>6</v>
      </c>
      <c r="AE234" s="99">
        <v>9</v>
      </c>
      <c r="AF234" s="99">
        <v>12</v>
      </c>
      <c r="AG234" s="99">
        <v>95.4</v>
      </c>
      <c r="AH234" s="99">
        <v>96.2</v>
      </c>
      <c r="AI234" s="99">
        <v>96.3</v>
      </c>
      <c r="AJ234" s="99">
        <v>96.2</v>
      </c>
      <c r="AK234" s="99">
        <v>95.9</v>
      </c>
      <c r="AL234" s="99">
        <v>95.4</v>
      </c>
      <c r="AM234" s="99">
        <v>95.9</v>
      </c>
      <c r="AN234" s="99">
        <v>96.3</v>
      </c>
      <c r="AO234" s="99">
        <v>96.9</v>
      </c>
      <c r="AP234" s="99">
        <v>96.9</v>
      </c>
      <c r="AQ234" s="99">
        <v>96.8</v>
      </c>
      <c r="AR234" s="99">
        <v>96.5</v>
      </c>
      <c r="AS234" s="99">
        <v>96.2</v>
      </c>
      <c r="AT234" s="99">
        <v>96.6</v>
      </c>
      <c r="AU234" s="99">
        <v>94.7</v>
      </c>
      <c r="AV234" s="99">
        <v>96.1</v>
      </c>
      <c r="AW234" s="99">
        <v>96.4</v>
      </c>
      <c r="AX234" s="99">
        <v>96.4</v>
      </c>
      <c r="AY234" s="99">
        <v>96.3</v>
      </c>
      <c r="AZ234" s="99">
        <v>96</v>
      </c>
      <c r="BA234" s="99">
        <v>96.2</v>
      </c>
      <c r="BB234" s="40">
        <v>43070</v>
      </c>
      <c r="BC234" s="40">
        <v>43388</v>
      </c>
    </row>
    <row r="235" spans="1:55" s="120" customFormat="1" ht="45">
      <c r="A235" s="74" t="s">
        <v>130</v>
      </c>
      <c r="B235" s="75" t="s">
        <v>419</v>
      </c>
      <c r="C235" s="57" t="s">
        <v>10</v>
      </c>
      <c r="D235" s="57" t="s">
        <v>10</v>
      </c>
      <c r="E235" s="43" t="s">
        <v>10</v>
      </c>
      <c r="F235" s="63" t="s">
        <v>11</v>
      </c>
      <c r="G235" s="58" t="s">
        <v>318</v>
      </c>
      <c r="H235" s="35">
        <v>12</v>
      </c>
      <c r="I235" s="35">
        <v>240</v>
      </c>
      <c r="J235" s="35">
        <v>96.5</v>
      </c>
      <c r="K235" s="39" t="s">
        <v>1324</v>
      </c>
      <c r="L235" s="129" t="s">
        <v>494</v>
      </c>
      <c r="M235" s="63" t="s">
        <v>495</v>
      </c>
      <c r="N235" s="40">
        <v>43388</v>
      </c>
      <c r="O235" s="129" t="s">
        <v>494</v>
      </c>
      <c r="P235" s="63" t="s">
        <v>17</v>
      </c>
      <c r="Q235" s="63" t="s">
        <v>17</v>
      </c>
      <c r="R235" s="71"/>
      <c r="S235" s="57" t="s">
        <v>10</v>
      </c>
      <c r="T235" s="57" t="s">
        <v>11</v>
      </c>
      <c r="U235" s="61">
        <v>0.81</v>
      </c>
      <c r="V235" s="59"/>
      <c r="W235" s="59"/>
      <c r="X235" s="59">
        <v>300</v>
      </c>
      <c r="Y235" s="59">
        <v>370</v>
      </c>
      <c r="Z235" s="59">
        <v>480</v>
      </c>
      <c r="AA235" s="99">
        <v>1.2</v>
      </c>
      <c r="AB235" s="99">
        <v>2.4</v>
      </c>
      <c r="AC235" s="99">
        <v>3.6</v>
      </c>
      <c r="AD235" s="99">
        <v>6</v>
      </c>
      <c r="AE235" s="99">
        <v>9</v>
      </c>
      <c r="AF235" s="99">
        <v>12</v>
      </c>
      <c r="AG235" s="99">
        <v>94.4</v>
      </c>
      <c r="AH235" s="99">
        <v>95.9</v>
      </c>
      <c r="AI235" s="99">
        <v>96.2</v>
      </c>
      <c r="AJ235" s="99">
        <v>96.3</v>
      </c>
      <c r="AK235" s="99">
        <v>96.1</v>
      </c>
      <c r="AL235" s="99">
        <v>95.8</v>
      </c>
      <c r="AM235" s="99">
        <v>96.1</v>
      </c>
      <c r="AN235" s="99">
        <v>96</v>
      </c>
      <c r="AO235" s="99">
        <v>96.9</v>
      </c>
      <c r="AP235" s="99">
        <v>97.1</v>
      </c>
      <c r="AQ235" s="99">
        <v>97.1</v>
      </c>
      <c r="AR235" s="99">
        <v>97</v>
      </c>
      <c r="AS235" s="99">
        <v>96.8</v>
      </c>
      <c r="AT235" s="99">
        <v>97</v>
      </c>
      <c r="AU235" s="99">
        <v>95.2</v>
      </c>
      <c r="AV235" s="99">
        <v>96.6</v>
      </c>
      <c r="AW235" s="99">
        <v>96.8</v>
      </c>
      <c r="AX235" s="99">
        <v>96.9</v>
      </c>
      <c r="AY235" s="99">
        <v>96.8</v>
      </c>
      <c r="AZ235" s="99">
        <v>96.6</v>
      </c>
      <c r="BA235" s="99">
        <v>96.7</v>
      </c>
      <c r="BB235" s="40">
        <v>43070</v>
      </c>
      <c r="BC235" s="40">
        <v>43388</v>
      </c>
    </row>
    <row r="236" spans="1:55" s="120" customFormat="1" ht="45">
      <c r="A236" s="74" t="s">
        <v>130</v>
      </c>
      <c r="B236" s="67" t="s">
        <v>420</v>
      </c>
      <c r="C236" s="69" t="s">
        <v>10</v>
      </c>
      <c r="D236" s="69" t="s">
        <v>10</v>
      </c>
      <c r="E236" s="43" t="s">
        <v>10</v>
      </c>
      <c r="F236" s="63" t="s">
        <v>11</v>
      </c>
      <c r="G236" s="74" t="s">
        <v>303</v>
      </c>
      <c r="H236" s="60">
        <v>12.5</v>
      </c>
      <c r="I236" s="62">
        <v>208</v>
      </c>
      <c r="J236" s="53">
        <v>96.5</v>
      </c>
      <c r="K236" s="39" t="s">
        <v>1324</v>
      </c>
      <c r="L236" s="129" t="s">
        <v>492</v>
      </c>
      <c r="M236" s="50" t="s">
        <v>493</v>
      </c>
      <c r="N236" s="40">
        <v>43388</v>
      </c>
      <c r="O236" s="129" t="s">
        <v>492</v>
      </c>
      <c r="P236" s="63" t="s">
        <v>17</v>
      </c>
      <c r="Q236" s="63" t="s">
        <v>17</v>
      </c>
      <c r="R236" s="71"/>
      <c r="S236" s="57" t="s">
        <v>10</v>
      </c>
      <c r="T236" s="57" t="s">
        <v>11</v>
      </c>
      <c r="U236" s="54">
        <v>0.24</v>
      </c>
      <c r="V236" s="67"/>
      <c r="W236" s="67"/>
      <c r="X236" s="67">
        <v>260</v>
      </c>
      <c r="Y236" s="67">
        <v>665</v>
      </c>
      <c r="Z236" s="67">
        <v>800</v>
      </c>
      <c r="AA236" s="102">
        <v>1.25</v>
      </c>
      <c r="AB236" s="102">
        <v>2.5</v>
      </c>
      <c r="AC236" s="101">
        <v>3.75</v>
      </c>
      <c r="AD236" s="101">
        <v>6.25</v>
      </c>
      <c r="AE236" s="101">
        <v>9.3800000000000008</v>
      </c>
      <c r="AF236" s="101">
        <v>12.5</v>
      </c>
      <c r="AG236" s="101">
        <v>92.5</v>
      </c>
      <c r="AH236" s="101">
        <v>95.1</v>
      </c>
      <c r="AI236" s="102">
        <v>95.5</v>
      </c>
      <c r="AJ236" s="102">
        <v>95.9</v>
      </c>
      <c r="AK236" s="102">
        <v>95.9</v>
      </c>
      <c r="AL236" s="102">
        <v>95.6</v>
      </c>
      <c r="AM236" s="102">
        <v>95.6</v>
      </c>
      <c r="AN236" s="102">
        <v>95.3</v>
      </c>
      <c r="AO236" s="102">
        <v>96.9</v>
      </c>
      <c r="AP236" s="102">
        <v>97.3</v>
      </c>
      <c r="AQ236" s="102">
        <v>97.5</v>
      </c>
      <c r="AR236" s="102">
        <v>97.3</v>
      </c>
      <c r="AS236" s="102">
        <v>97.3</v>
      </c>
      <c r="AT236" s="102">
        <v>97.2</v>
      </c>
      <c r="AU236" s="102">
        <v>94.5</v>
      </c>
      <c r="AV236" s="102">
        <v>96.6</v>
      </c>
      <c r="AW236" s="102">
        <v>97</v>
      </c>
      <c r="AX236" s="102">
        <v>97.2</v>
      </c>
      <c r="AY236" s="102">
        <v>97.1</v>
      </c>
      <c r="AZ236" s="102">
        <v>97.2</v>
      </c>
      <c r="BA236" s="102">
        <v>97</v>
      </c>
      <c r="BB236" s="40">
        <v>43040</v>
      </c>
      <c r="BC236" s="40">
        <v>43388</v>
      </c>
    </row>
    <row r="237" spans="1:55" s="120" customFormat="1" ht="45">
      <c r="A237" s="74" t="s">
        <v>130</v>
      </c>
      <c r="B237" s="67" t="s">
        <v>421</v>
      </c>
      <c r="C237" s="69" t="s">
        <v>10</v>
      </c>
      <c r="D237" s="69" t="s">
        <v>10</v>
      </c>
      <c r="E237" s="43" t="s">
        <v>10</v>
      </c>
      <c r="F237" s="63" t="s">
        <v>11</v>
      </c>
      <c r="G237" s="74" t="s">
        <v>304</v>
      </c>
      <c r="H237" s="60">
        <v>12.5</v>
      </c>
      <c r="I237" s="62">
        <v>240</v>
      </c>
      <c r="J237" s="53">
        <v>96.5</v>
      </c>
      <c r="K237" s="39" t="s">
        <v>1324</v>
      </c>
      <c r="L237" s="129" t="s">
        <v>492</v>
      </c>
      <c r="M237" s="50" t="s">
        <v>493</v>
      </c>
      <c r="N237" s="40">
        <v>43388</v>
      </c>
      <c r="O237" s="129" t="s">
        <v>492</v>
      </c>
      <c r="P237" s="63" t="s">
        <v>17</v>
      </c>
      <c r="Q237" s="63" t="s">
        <v>17</v>
      </c>
      <c r="R237" s="71"/>
      <c r="S237" s="57" t="s">
        <v>10</v>
      </c>
      <c r="T237" s="57" t="s">
        <v>11</v>
      </c>
      <c r="U237" s="54">
        <v>0.32</v>
      </c>
      <c r="V237" s="67"/>
      <c r="W237" s="67"/>
      <c r="X237" s="67">
        <v>260</v>
      </c>
      <c r="Y237" s="67">
        <v>660</v>
      </c>
      <c r="Z237" s="67">
        <v>800</v>
      </c>
      <c r="AA237" s="102">
        <v>1.25</v>
      </c>
      <c r="AB237" s="102">
        <v>2.5</v>
      </c>
      <c r="AC237" s="101">
        <v>3.75</v>
      </c>
      <c r="AD237" s="101">
        <v>6.25</v>
      </c>
      <c r="AE237" s="101">
        <v>9.3800000000000008</v>
      </c>
      <c r="AF237" s="101">
        <v>12.5</v>
      </c>
      <c r="AG237" s="101">
        <v>92.1</v>
      </c>
      <c r="AH237" s="101">
        <v>95</v>
      </c>
      <c r="AI237" s="102">
        <v>95.4</v>
      </c>
      <c r="AJ237" s="102">
        <v>95.9</v>
      </c>
      <c r="AK237" s="102">
        <v>95.9</v>
      </c>
      <c r="AL237" s="102">
        <v>95.8</v>
      </c>
      <c r="AM237" s="102">
        <v>95.6</v>
      </c>
      <c r="AN237" s="102">
        <v>93.7</v>
      </c>
      <c r="AO237" s="102">
        <v>96.2</v>
      </c>
      <c r="AP237" s="102">
        <v>96.6</v>
      </c>
      <c r="AQ237" s="102">
        <v>97</v>
      </c>
      <c r="AR237" s="102">
        <v>97.1</v>
      </c>
      <c r="AS237" s="102">
        <v>97.1</v>
      </c>
      <c r="AT237" s="102">
        <v>96.8</v>
      </c>
      <c r="AU237" s="102">
        <v>95.4</v>
      </c>
      <c r="AV237" s="102">
        <v>97.2</v>
      </c>
      <c r="AW237" s="102">
        <v>97.3</v>
      </c>
      <c r="AX237" s="102">
        <v>97.5</v>
      </c>
      <c r="AY237" s="102">
        <v>97.6</v>
      </c>
      <c r="AZ237" s="102">
        <v>97.7</v>
      </c>
      <c r="BA237" s="102">
        <v>97.5</v>
      </c>
      <c r="BB237" s="40">
        <v>43040</v>
      </c>
      <c r="BC237" s="40">
        <v>43388</v>
      </c>
    </row>
    <row r="238" spans="1:55" s="120" customFormat="1" ht="45">
      <c r="A238" s="41" t="s">
        <v>130</v>
      </c>
      <c r="B238" s="41" t="s">
        <v>422</v>
      </c>
      <c r="C238" s="43" t="s">
        <v>10</v>
      </c>
      <c r="D238" s="43" t="s">
        <v>10</v>
      </c>
      <c r="E238" s="43" t="s">
        <v>10</v>
      </c>
      <c r="F238" s="63" t="s">
        <v>11</v>
      </c>
      <c r="G238" s="41" t="s">
        <v>171</v>
      </c>
      <c r="H238" s="27">
        <v>12.5</v>
      </c>
      <c r="I238" s="29">
        <v>480</v>
      </c>
      <c r="J238" s="27">
        <v>97</v>
      </c>
      <c r="K238" s="39" t="s">
        <v>1324</v>
      </c>
      <c r="L238" s="130" t="s">
        <v>496</v>
      </c>
      <c r="M238" s="38" t="s">
        <v>497</v>
      </c>
      <c r="N238" s="40">
        <v>43388</v>
      </c>
      <c r="O238" s="130" t="s">
        <v>496</v>
      </c>
      <c r="P238" s="63" t="s">
        <v>17</v>
      </c>
      <c r="Q238" s="63" t="s">
        <v>17</v>
      </c>
      <c r="R238" s="30"/>
      <c r="S238" s="31" t="s">
        <v>10</v>
      </c>
      <c r="T238" s="31" t="s">
        <v>11</v>
      </c>
      <c r="U238" s="35">
        <v>0.94</v>
      </c>
      <c r="V238" s="35"/>
      <c r="W238" s="35"/>
      <c r="X238" s="35">
        <v>350</v>
      </c>
      <c r="Y238" s="35">
        <v>685</v>
      </c>
      <c r="Z238" s="35">
        <v>800</v>
      </c>
      <c r="AA238" s="103">
        <v>1.25</v>
      </c>
      <c r="AB238" s="103">
        <v>2.5</v>
      </c>
      <c r="AC238" s="103">
        <v>3.75</v>
      </c>
      <c r="AD238" s="103">
        <v>6.25</v>
      </c>
      <c r="AE238" s="103">
        <v>9.3699999999999992</v>
      </c>
      <c r="AF238" s="103">
        <v>12.5</v>
      </c>
      <c r="AG238" s="103">
        <v>92.5</v>
      </c>
      <c r="AH238" s="103">
        <v>94.9</v>
      </c>
      <c r="AI238" s="103">
        <v>95.6</v>
      </c>
      <c r="AJ238" s="103">
        <v>96</v>
      </c>
      <c r="AK238" s="103">
        <v>96.4</v>
      </c>
      <c r="AL238" s="103">
        <v>96.5</v>
      </c>
      <c r="AM238" s="103">
        <v>96</v>
      </c>
      <c r="AN238" s="103">
        <v>94.4</v>
      </c>
      <c r="AO238" s="103">
        <v>96.5</v>
      </c>
      <c r="AP238" s="103">
        <v>97</v>
      </c>
      <c r="AQ238" s="103">
        <v>97.3</v>
      </c>
      <c r="AR238" s="103">
        <v>97.5</v>
      </c>
      <c r="AS238" s="103">
        <v>97.5</v>
      </c>
      <c r="AT238" s="103">
        <v>97.2</v>
      </c>
      <c r="AU238" s="103">
        <v>95.6</v>
      </c>
      <c r="AV238" s="103">
        <v>97.3</v>
      </c>
      <c r="AW238" s="103">
        <v>97.7</v>
      </c>
      <c r="AX238" s="103">
        <v>97.9</v>
      </c>
      <c r="AY238" s="103">
        <v>98</v>
      </c>
      <c r="AZ238" s="103">
        <v>98</v>
      </c>
      <c r="BA238" s="103">
        <v>97.8</v>
      </c>
      <c r="BB238" s="40">
        <v>42948</v>
      </c>
      <c r="BC238" s="40">
        <v>43388</v>
      </c>
    </row>
    <row r="239" spans="1:55" s="120" customFormat="1" ht="45">
      <c r="A239" s="74" t="s">
        <v>130</v>
      </c>
      <c r="B239" s="67" t="s">
        <v>423</v>
      </c>
      <c r="C239" s="69" t="s">
        <v>10</v>
      </c>
      <c r="D239" s="69" t="s">
        <v>10</v>
      </c>
      <c r="E239" s="43" t="s">
        <v>10</v>
      </c>
      <c r="F239" s="63" t="s">
        <v>11</v>
      </c>
      <c r="G239" s="74" t="s">
        <v>305</v>
      </c>
      <c r="H239" s="60">
        <v>13.75</v>
      </c>
      <c r="I239" s="62">
        <v>208</v>
      </c>
      <c r="J239" s="53">
        <v>97</v>
      </c>
      <c r="K239" s="39" t="s">
        <v>1324</v>
      </c>
      <c r="L239" s="129" t="s">
        <v>492</v>
      </c>
      <c r="M239" s="50" t="s">
        <v>493</v>
      </c>
      <c r="N239" s="40">
        <v>43388</v>
      </c>
      <c r="O239" s="129" t="s">
        <v>492</v>
      </c>
      <c r="P239" s="63" t="s">
        <v>17</v>
      </c>
      <c r="Q239" s="63" t="s">
        <v>17</v>
      </c>
      <c r="R239" s="71"/>
      <c r="S239" s="57" t="s">
        <v>10</v>
      </c>
      <c r="T239" s="57" t="s">
        <v>11</v>
      </c>
      <c r="U239" s="54">
        <v>0.24</v>
      </c>
      <c r="V239" s="67"/>
      <c r="W239" s="67"/>
      <c r="X239" s="67">
        <v>320</v>
      </c>
      <c r="Y239" s="67">
        <v>680</v>
      </c>
      <c r="Z239" s="67">
        <v>800</v>
      </c>
      <c r="AA239" s="102">
        <v>1.38</v>
      </c>
      <c r="AB239" s="102">
        <v>2.75</v>
      </c>
      <c r="AC239" s="101">
        <v>4.13</v>
      </c>
      <c r="AD239" s="101">
        <v>6.88</v>
      </c>
      <c r="AE239" s="101">
        <v>10.31</v>
      </c>
      <c r="AF239" s="101">
        <v>13.75</v>
      </c>
      <c r="AG239" s="101">
        <v>93.3</v>
      </c>
      <c r="AH239" s="101">
        <v>95.7</v>
      </c>
      <c r="AI239" s="102">
        <v>96</v>
      </c>
      <c r="AJ239" s="102">
        <v>96.3</v>
      </c>
      <c r="AK239" s="102">
        <v>96.2</v>
      </c>
      <c r="AL239" s="102">
        <v>96</v>
      </c>
      <c r="AM239" s="102">
        <v>96</v>
      </c>
      <c r="AN239" s="102">
        <v>95.9</v>
      </c>
      <c r="AO239" s="102">
        <v>97.1</v>
      </c>
      <c r="AP239" s="102">
        <v>97.4</v>
      </c>
      <c r="AQ239" s="102">
        <v>97.4</v>
      </c>
      <c r="AR239" s="102">
        <v>97.4</v>
      </c>
      <c r="AS239" s="102">
        <v>97.2</v>
      </c>
      <c r="AT239" s="102">
        <v>97.3</v>
      </c>
      <c r="AU239" s="102">
        <v>95.1</v>
      </c>
      <c r="AV239" s="102">
        <v>96.8</v>
      </c>
      <c r="AW239" s="102">
        <v>97.1</v>
      </c>
      <c r="AX239" s="102">
        <v>97.2</v>
      </c>
      <c r="AY239" s="102">
        <v>97.2</v>
      </c>
      <c r="AZ239" s="102">
        <v>97.1</v>
      </c>
      <c r="BA239" s="102">
        <v>97.1</v>
      </c>
      <c r="BB239" s="40">
        <v>43040</v>
      </c>
      <c r="BC239" s="40">
        <v>43388</v>
      </c>
    </row>
    <row r="240" spans="1:55" s="120" customFormat="1" ht="45">
      <c r="A240" s="74" t="s">
        <v>130</v>
      </c>
      <c r="B240" s="67" t="s">
        <v>424</v>
      </c>
      <c r="C240" s="69" t="s">
        <v>10</v>
      </c>
      <c r="D240" s="69" t="s">
        <v>10</v>
      </c>
      <c r="E240" s="43" t="s">
        <v>10</v>
      </c>
      <c r="F240" s="63" t="s">
        <v>11</v>
      </c>
      <c r="G240" s="74" t="s">
        <v>306</v>
      </c>
      <c r="H240" s="60">
        <v>15</v>
      </c>
      <c r="I240" s="62">
        <v>240</v>
      </c>
      <c r="J240" s="53">
        <v>97</v>
      </c>
      <c r="K240" s="39" t="s">
        <v>1324</v>
      </c>
      <c r="L240" s="129" t="s">
        <v>492</v>
      </c>
      <c r="M240" s="50" t="s">
        <v>493</v>
      </c>
      <c r="N240" s="40">
        <v>43388</v>
      </c>
      <c r="O240" s="129" t="s">
        <v>492</v>
      </c>
      <c r="P240" s="63" t="s">
        <v>17</v>
      </c>
      <c r="Q240" s="63" t="s">
        <v>17</v>
      </c>
      <c r="R240" s="71"/>
      <c r="S240" s="57" t="s">
        <v>10</v>
      </c>
      <c r="T240" s="57" t="s">
        <v>11</v>
      </c>
      <c r="U240" s="54">
        <v>0.32</v>
      </c>
      <c r="V240" s="67"/>
      <c r="W240" s="67"/>
      <c r="X240" s="67">
        <v>320</v>
      </c>
      <c r="Y240" s="67">
        <v>680</v>
      </c>
      <c r="Z240" s="67">
        <v>800</v>
      </c>
      <c r="AA240" s="102">
        <v>1.5</v>
      </c>
      <c r="AB240" s="102">
        <v>3</v>
      </c>
      <c r="AC240" s="101">
        <v>4.5</v>
      </c>
      <c r="AD240" s="101">
        <v>7.5</v>
      </c>
      <c r="AE240" s="101">
        <v>11.25</v>
      </c>
      <c r="AF240" s="101">
        <v>15</v>
      </c>
      <c r="AG240" s="101">
        <v>93.5</v>
      </c>
      <c r="AH240" s="101">
        <v>95.5</v>
      </c>
      <c r="AI240" s="102">
        <v>96</v>
      </c>
      <c r="AJ240" s="102">
        <v>96.3</v>
      </c>
      <c r="AK240" s="102">
        <v>96.3</v>
      </c>
      <c r="AL240" s="102">
        <v>96.1</v>
      </c>
      <c r="AM240" s="102">
        <v>96.1</v>
      </c>
      <c r="AN240" s="102">
        <v>94.5</v>
      </c>
      <c r="AO240" s="102">
        <v>96.5</v>
      </c>
      <c r="AP240" s="102">
        <v>96.9</v>
      </c>
      <c r="AQ240" s="102">
        <v>97.2</v>
      </c>
      <c r="AR240" s="102">
        <v>97.2</v>
      </c>
      <c r="AS240" s="102">
        <v>97</v>
      </c>
      <c r="AT240" s="102">
        <v>97</v>
      </c>
      <c r="AU240" s="102">
        <v>95.7</v>
      </c>
      <c r="AV240" s="102">
        <v>97.2</v>
      </c>
      <c r="AW240" s="102">
        <v>97.5</v>
      </c>
      <c r="AX240" s="102">
        <v>97.6</v>
      </c>
      <c r="AY240" s="102">
        <v>97.6</v>
      </c>
      <c r="AZ240" s="102">
        <v>97.4</v>
      </c>
      <c r="BA240" s="102">
        <v>97.5</v>
      </c>
      <c r="BB240" s="40">
        <v>43040</v>
      </c>
      <c r="BC240" s="40">
        <v>43388</v>
      </c>
    </row>
    <row r="241" spans="1:55" s="120" customFormat="1" ht="45">
      <c r="A241" s="74" t="s">
        <v>130</v>
      </c>
      <c r="B241" s="67" t="s">
        <v>425</v>
      </c>
      <c r="C241" s="69" t="s">
        <v>10</v>
      </c>
      <c r="D241" s="69" t="s">
        <v>10</v>
      </c>
      <c r="E241" s="43" t="s">
        <v>10</v>
      </c>
      <c r="F241" s="63" t="s">
        <v>11</v>
      </c>
      <c r="G241" s="74" t="s">
        <v>307</v>
      </c>
      <c r="H241" s="35">
        <v>15</v>
      </c>
      <c r="I241" s="35">
        <v>208</v>
      </c>
      <c r="J241" s="35">
        <v>96.5</v>
      </c>
      <c r="K241" s="39" t="s">
        <v>1324</v>
      </c>
      <c r="L241" s="128" t="s">
        <v>498</v>
      </c>
      <c r="M241" s="39" t="s">
        <v>499</v>
      </c>
      <c r="N241" s="40">
        <v>43388</v>
      </c>
      <c r="O241" s="129" t="s">
        <v>492</v>
      </c>
      <c r="P241" s="63" t="s">
        <v>17</v>
      </c>
      <c r="Q241" s="63" t="s">
        <v>17</v>
      </c>
      <c r="R241" s="54"/>
      <c r="S241" s="34" t="s">
        <v>10</v>
      </c>
      <c r="T241" s="34" t="s">
        <v>11</v>
      </c>
      <c r="U241" s="35">
        <v>0.43</v>
      </c>
      <c r="V241" s="67"/>
      <c r="W241" s="67"/>
      <c r="X241" s="67">
        <v>325</v>
      </c>
      <c r="Y241" s="67">
        <v>445</v>
      </c>
      <c r="Z241" s="67">
        <v>800</v>
      </c>
      <c r="AA241" s="101">
        <v>1.5</v>
      </c>
      <c r="AB241" s="101">
        <v>3</v>
      </c>
      <c r="AC241" s="101">
        <v>4.5</v>
      </c>
      <c r="AD241" s="101">
        <v>7.5</v>
      </c>
      <c r="AE241" s="101">
        <v>11.25</v>
      </c>
      <c r="AF241" s="101">
        <v>15</v>
      </c>
      <c r="AG241" s="102">
        <v>96.1</v>
      </c>
      <c r="AH241" s="102">
        <v>97</v>
      </c>
      <c r="AI241" s="102">
        <v>97.1</v>
      </c>
      <c r="AJ241" s="102">
        <v>97.1</v>
      </c>
      <c r="AK241" s="102">
        <v>96.9</v>
      </c>
      <c r="AL241" s="102">
        <v>96.7</v>
      </c>
      <c r="AM241" s="102">
        <v>96.9</v>
      </c>
      <c r="AN241" s="102">
        <v>95.3</v>
      </c>
      <c r="AO241" s="102">
        <v>96.4</v>
      </c>
      <c r="AP241" s="102">
        <v>96.6</v>
      </c>
      <c r="AQ241" s="102">
        <v>96.7</v>
      </c>
      <c r="AR241" s="102">
        <v>96.5</v>
      </c>
      <c r="AS241" s="102">
        <v>96.2</v>
      </c>
      <c r="AT241" s="102">
        <v>96.5</v>
      </c>
      <c r="AU241" s="102">
        <v>92.7</v>
      </c>
      <c r="AV241" s="102">
        <v>94.9</v>
      </c>
      <c r="AW241" s="102">
        <v>95.4</v>
      </c>
      <c r="AX241" s="102">
        <v>95.6</v>
      </c>
      <c r="AY241" s="102">
        <v>95.5</v>
      </c>
      <c r="AZ241" s="102">
        <v>95.3</v>
      </c>
      <c r="BA241" s="103">
        <v>95.4</v>
      </c>
      <c r="BB241" s="40">
        <v>43040</v>
      </c>
      <c r="BC241" s="40">
        <v>43388</v>
      </c>
    </row>
    <row r="242" spans="1:55" s="120" customFormat="1" ht="45">
      <c r="A242" s="41" t="s">
        <v>130</v>
      </c>
      <c r="B242" s="41" t="s">
        <v>426</v>
      </c>
      <c r="C242" s="43" t="s">
        <v>10</v>
      </c>
      <c r="D242" s="43" t="s">
        <v>10</v>
      </c>
      <c r="E242" s="43" t="s">
        <v>10</v>
      </c>
      <c r="F242" s="63" t="s">
        <v>11</v>
      </c>
      <c r="G242" s="41" t="s">
        <v>172</v>
      </c>
      <c r="H242" s="27">
        <v>15</v>
      </c>
      <c r="I242" s="29">
        <v>480</v>
      </c>
      <c r="J242" s="27">
        <v>97</v>
      </c>
      <c r="K242" s="39" t="s">
        <v>1324</v>
      </c>
      <c r="L242" s="130" t="s">
        <v>496</v>
      </c>
      <c r="M242" s="38" t="s">
        <v>497</v>
      </c>
      <c r="N242" s="40">
        <v>43388</v>
      </c>
      <c r="O242" s="130" t="s">
        <v>496</v>
      </c>
      <c r="P242" s="63" t="s">
        <v>17</v>
      </c>
      <c r="Q242" s="63" t="s">
        <v>17</v>
      </c>
      <c r="R242" s="30"/>
      <c r="S242" s="31" t="s">
        <v>10</v>
      </c>
      <c r="T242" s="31" t="s">
        <v>11</v>
      </c>
      <c r="U242" s="35">
        <v>1.03</v>
      </c>
      <c r="V242" s="35"/>
      <c r="W242" s="35"/>
      <c r="X242" s="35">
        <v>350</v>
      </c>
      <c r="Y242" s="35">
        <v>685</v>
      </c>
      <c r="Z242" s="35">
        <v>800</v>
      </c>
      <c r="AA242" s="103">
        <v>1.5</v>
      </c>
      <c r="AB242" s="103">
        <v>3</v>
      </c>
      <c r="AC242" s="103">
        <v>4.5</v>
      </c>
      <c r="AD242" s="103">
        <v>7.5</v>
      </c>
      <c r="AE242" s="103">
        <v>11.25</v>
      </c>
      <c r="AF242" s="103">
        <v>15</v>
      </c>
      <c r="AG242" s="103">
        <v>92</v>
      </c>
      <c r="AH242" s="103">
        <v>94.9</v>
      </c>
      <c r="AI242" s="103">
        <v>95.6</v>
      </c>
      <c r="AJ242" s="103">
        <v>96.2</v>
      </c>
      <c r="AK242" s="103">
        <v>96.5</v>
      </c>
      <c r="AL242" s="103">
        <v>96.4</v>
      </c>
      <c r="AM242" s="103">
        <v>96.1</v>
      </c>
      <c r="AN242" s="103">
        <v>93.5</v>
      </c>
      <c r="AO242" s="103">
        <v>96</v>
      </c>
      <c r="AP242" s="103">
        <v>96.7</v>
      </c>
      <c r="AQ242" s="103">
        <v>97.2</v>
      </c>
      <c r="AR242" s="103">
        <v>97.4</v>
      </c>
      <c r="AS242" s="103">
        <v>97.4</v>
      </c>
      <c r="AT242" s="103">
        <v>97.1</v>
      </c>
      <c r="AU242" s="103">
        <v>94.6</v>
      </c>
      <c r="AV242" s="103">
        <v>96.8</v>
      </c>
      <c r="AW242" s="103">
        <v>97.4</v>
      </c>
      <c r="AX242" s="103">
        <v>97.8</v>
      </c>
      <c r="AY242" s="103">
        <v>97.9</v>
      </c>
      <c r="AZ242" s="103">
        <v>97.9</v>
      </c>
      <c r="BA242" s="103">
        <v>97.6</v>
      </c>
      <c r="BB242" s="40">
        <v>42948</v>
      </c>
      <c r="BC242" s="40">
        <v>43388</v>
      </c>
    </row>
    <row r="243" spans="1:55" s="120" customFormat="1" ht="45">
      <c r="A243" s="41" t="s">
        <v>130</v>
      </c>
      <c r="B243" s="41" t="s">
        <v>427</v>
      </c>
      <c r="C243" s="43" t="s">
        <v>10</v>
      </c>
      <c r="D243" s="43" t="s">
        <v>10</v>
      </c>
      <c r="E243" s="43" t="s">
        <v>10</v>
      </c>
      <c r="F243" s="63" t="s">
        <v>11</v>
      </c>
      <c r="G243" s="41" t="s">
        <v>173</v>
      </c>
      <c r="H243" s="27">
        <v>17.5</v>
      </c>
      <c r="I243" s="29">
        <v>480</v>
      </c>
      <c r="J243" s="27">
        <v>97.5</v>
      </c>
      <c r="K243" s="39" t="s">
        <v>1324</v>
      </c>
      <c r="L243" s="130" t="s">
        <v>496</v>
      </c>
      <c r="M243" s="38" t="s">
        <v>497</v>
      </c>
      <c r="N243" s="40">
        <v>43388</v>
      </c>
      <c r="O243" s="130" t="s">
        <v>496</v>
      </c>
      <c r="P243" s="63" t="s">
        <v>17</v>
      </c>
      <c r="Q243" s="63" t="s">
        <v>17</v>
      </c>
      <c r="R243" s="30"/>
      <c r="S243" s="31" t="s">
        <v>10</v>
      </c>
      <c r="T243" s="31" t="s">
        <v>11</v>
      </c>
      <c r="U243" s="35">
        <v>1.03</v>
      </c>
      <c r="V243" s="35"/>
      <c r="W243" s="35"/>
      <c r="X243" s="35">
        <v>400</v>
      </c>
      <c r="Y243" s="35">
        <v>700</v>
      </c>
      <c r="Z243" s="35">
        <v>800</v>
      </c>
      <c r="AA243" s="103">
        <v>1.75</v>
      </c>
      <c r="AB243" s="103">
        <v>3.5</v>
      </c>
      <c r="AC243" s="103">
        <v>5.25</v>
      </c>
      <c r="AD243" s="103">
        <v>8.75</v>
      </c>
      <c r="AE243" s="103">
        <v>13.12</v>
      </c>
      <c r="AF243" s="103">
        <v>17.5</v>
      </c>
      <c r="AG243" s="103">
        <v>92.7</v>
      </c>
      <c r="AH243" s="103">
        <v>95.3</v>
      </c>
      <c r="AI243" s="103">
        <v>95.8</v>
      </c>
      <c r="AJ243" s="103">
        <v>96.5</v>
      </c>
      <c r="AK243" s="103">
        <v>96.6</v>
      </c>
      <c r="AL243" s="103">
        <v>96.7</v>
      </c>
      <c r="AM243" s="103">
        <v>96.3</v>
      </c>
      <c r="AN243" s="103">
        <v>95.7</v>
      </c>
      <c r="AO243" s="103">
        <v>97.4</v>
      </c>
      <c r="AP243" s="103">
        <v>97.8</v>
      </c>
      <c r="AQ243" s="103">
        <v>98.1</v>
      </c>
      <c r="AR243" s="103">
        <v>98.1</v>
      </c>
      <c r="AS243" s="103">
        <v>98.2</v>
      </c>
      <c r="AT243" s="103">
        <v>98</v>
      </c>
      <c r="AU243" s="103">
        <v>94.8</v>
      </c>
      <c r="AV243" s="103">
        <v>96.9</v>
      </c>
      <c r="AW243" s="103">
        <v>97.4</v>
      </c>
      <c r="AX243" s="103">
        <v>97.7</v>
      </c>
      <c r="AY243" s="103">
        <v>97.8</v>
      </c>
      <c r="AZ243" s="103">
        <v>97.8</v>
      </c>
      <c r="BA243" s="103">
        <v>97.6</v>
      </c>
      <c r="BB243" s="40">
        <v>42948</v>
      </c>
      <c r="BC243" s="40">
        <v>43388</v>
      </c>
    </row>
    <row r="244" spans="1:55" s="120" customFormat="1" ht="45">
      <c r="A244" s="41" t="s">
        <v>130</v>
      </c>
      <c r="B244" s="41" t="s">
        <v>428</v>
      </c>
      <c r="C244" s="43" t="s">
        <v>10</v>
      </c>
      <c r="D244" s="43" t="s">
        <v>10</v>
      </c>
      <c r="E244" s="43" t="s">
        <v>10</v>
      </c>
      <c r="F244" s="63" t="s">
        <v>11</v>
      </c>
      <c r="G244" s="41" t="s">
        <v>174</v>
      </c>
      <c r="H244" s="27">
        <v>20</v>
      </c>
      <c r="I244" s="29">
        <v>480</v>
      </c>
      <c r="J244" s="27">
        <v>97.5</v>
      </c>
      <c r="K244" s="39" t="s">
        <v>1324</v>
      </c>
      <c r="L244" s="130" t="s">
        <v>496</v>
      </c>
      <c r="M244" s="38" t="s">
        <v>497</v>
      </c>
      <c r="N244" s="40">
        <v>43388</v>
      </c>
      <c r="O244" s="130" t="s">
        <v>496</v>
      </c>
      <c r="P244" s="63" t="s">
        <v>17</v>
      </c>
      <c r="Q244" s="63" t="s">
        <v>17</v>
      </c>
      <c r="R244" s="27"/>
      <c r="S244" s="31" t="s">
        <v>10</v>
      </c>
      <c r="T244" s="31" t="s">
        <v>11</v>
      </c>
      <c r="U244" s="35">
        <v>1.04</v>
      </c>
      <c r="V244" s="35"/>
      <c r="W244" s="35"/>
      <c r="X244" s="35">
        <v>450</v>
      </c>
      <c r="Y244" s="35">
        <v>712</v>
      </c>
      <c r="Z244" s="35">
        <v>800</v>
      </c>
      <c r="AA244" s="103">
        <v>2</v>
      </c>
      <c r="AB244" s="103">
        <v>4</v>
      </c>
      <c r="AC244" s="103">
        <v>6</v>
      </c>
      <c r="AD244" s="103">
        <v>10</v>
      </c>
      <c r="AE244" s="103">
        <v>15</v>
      </c>
      <c r="AF244" s="103">
        <v>20</v>
      </c>
      <c r="AG244" s="103">
        <v>93.7</v>
      </c>
      <c r="AH244" s="103">
        <v>95.6</v>
      </c>
      <c r="AI244" s="103">
        <v>96.3</v>
      </c>
      <c r="AJ244" s="103">
        <v>96.7</v>
      </c>
      <c r="AK244" s="103">
        <v>96.8</v>
      </c>
      <c r="AL244" s="103">
        <v>96.8</v>
      </c>
      <c r="AM244" s="103">
        <v>96.5</v>
      </c>
      <c r="AN244" s="103">
        <v>96</v>
      </c>
      <c r="AO244" s="103">
        <v>97.2</v>
      </c>
      <c r="AP244" s="103">
        <v>97.7</v>
      </c>
      <c r="AQ244" s="103">
        <v>98</v>
      </c>
      <c r="AR244" s="103">
        <v>98</v>
      </c>
      <c r="AS244" s="103">
        <v>98</v>
      </c>
      <c r="AT244" s="103">
        <v>97.9</v>
      </c>
      <c r="AU244" s="103">
        <v>95.7</v>
      </c>
      <c r="AV244" s="103">
        <v>97</v>
      </c>
      <c r="AW244" s="103">
        <v>97.5</v>
      </c>
      <c r="AX244" s="103">
        <v>97.7</v>
      </c>
      <c r="AY244" s="103">
        <v>97.8</v>
      </c>
      <c r="AZ244" s="103">
        <v>97.8</v>
      </c>
      <c r="BA244" s="103">
        <v>97.6</v>
      </c>
      <c r="BB244" s="40"/>
      <c r="BC244" s="40">
        <v>43388</v>
      </c>
    </row>
    <row r="245" spans="1:55" s="120" customFormat="1" ht="45">
      <c r="A245" s="41" t="s">
        <v>130</v>
      </c>
      <c r="B245" s="41" t="s">
        <v>429</v>
      </c>
      <c r="C245" s="43" t="s">
        <v>10</v>
      </c>
      <c r="D245" s="43" t="s">
        <v>10</v>
      </c>
      <c r="E245" s="43" t="s">
        <v>10</v>
      </c>
      <c r="F245" s="63" t="s">
        <v>11</v>
      </c>
      <c r="G245" s="41" t="s">
        <v>175</v>
      </c>
      <c r="H245" s="27">
        <v>22.73</v>
      </c>
      <c r="I245" s="29">
        <v>480</v>
      </c>
      <c r="J245" s="27">
        <v>97.5</v>
      </c>
      <c r="K245" s="39" t="s">
        <v>1324</v>
      </c>
      <c r="L245" s="130" t="s">
        <v>496</v>
      </c>
      <c r="M245" s="38" t="s">
        <v>497</v>
      </c>
      <c r="N245" s="40">
        <v>43388</v>
      </c>
      <c r="O245" s="130" t="s">
        <v>496</v>
      </c>
      <c r="P245" s="63" t="s">
        <v>17</v>
      </c>
      <c r="Q245" s="63" t="s">
        <v>17</v>
      </c>
      <c r="R245" s="30"/>
      <c r="S245" s="31" t="s">
        <v>10</v>
      </c>
      <c r="T245" s="31" t="s">
        <v>11</v>
      </c>
      <c r="U245" s="35">
        <v>1.03</v>
      </c>
      <c r="V245" s="35"/>
      <c r="W245" s="35"/>
      <c r="X245" s="35">
        <v>500</v>
      </c>
      <c r="Y245" s="35">
        <v>720</v>
      </c>
      <c r="Z245" s="35">
        <v>800</v>
      </c>
      <c r="AA245" s="103">
        <v>2.27</v>
      </c>
      <c r="AB245" s="103">
        <v>4.55</v>
      </c>
      <c r="AC245" s="103">
        <v>6.82</v>
      </c>
      <c r="AD245" s="103">
        <v>11.36</v>
      </c>
      <c r="AE245" s="103">
        <v>17.05</v>
      </c>
      <c r="AF245" s="103">
        <v>22.73</v>
      </c>
      <c r="AG245" s="103">
        <v>94.3</v>
      </c>
      <c r="AH245" s="103">
        <v>96.2</v>
      </c>
      <c r="AI245" s="103">
        <v>96.7</v>
      </c>
      <c r="AJ245" s="103">
        <v>97</v>
      </c>
      <c r="AK245" s="103">
        <v>97</v>
      </c>
      <c r="AL245" s="103">
        <v>96.9</v>
      </c>
      <c r="AM245" s="103">
        <v>96.8</v>
      </c>
      <c r="AN245" s="103">
        <v>96.4</v>
      </c>
      <c r="AO245" s="103">
        <v>97.6</v>
      </c>
      <c r="AP245" s="103">
        <v>97.8</v>
      </c>
      <c r="AQ245" s="103">
        <v>98</v>
      </c>
      <c r="AR245" s="103">
        <v>98</v>
      </c>
      <c r="AS245" s="103">
        <v>98</v>
      </c>
      <c r="AT245" s="103">
        <v>97.9</v>
      </c>
      <c r="AU245" s="103">
        <v>95.9</v>
      </c>
      <c r="AV245" s="103">
        <v>97.3</v>
      </c>
      <c r="AW245" s="103">
        <v>97.7</v>
      </c>
      <c r="AX245" s="103">
        <v>97.8</v>
      </c>
      <c r="AY245" s="103">
        <v>97.9</v>
      </c>
      <c r="AZ245" s="103">
        <v>97.8</v>
      </c>
      <c r="BA245" s="103">
        <v>97.7</v>
      </c>
      <c r="BB245" s="40">
        <v>42948</v>
      </c>
      <c r="BC245" s="40">
        <v>43388</v>
      </c>
    </row>
    <row r="246" spans="1:55" s="120" customFormat="1" ht="45">
      <c r="A246" s="41" t="s">
        <v>130</v>
      </c>
      <c r="B246" s="41" t="s">
        <v>430</v>
      </c>
      <c r="C246" s="43" t="s">
        <v>10</v>
      </c>
      <c r="D246" s="43" t="s">
        <v>10</v>
      </c>
      <c r="E246" s="43" t="s">
        <v>10</v>
      </c>
      <c r="F246" s="63" t="s">
        <v>11</v>
      </c>
      <c r="G246" s="41" t="s">
        <v>176</v>
      </c>
      <c r="H246" s="27">
        <v>24</v>
      </c>
      <c r="I246" s="29">
        <v>480</v>
      </c>
      <c r="J246" s="27">
        <v>97.5</v>
      </c>
      <c r="K246" s="39" t="s">
        <v>1324</v>
      </c>
      <c r="L246" s="130" t="s">
        <v>496</v>
      </c>
      <c r="M246" s="38" t="s">
        <v>497</v>
      </c>
      <c r="N246" s="40">
        <v>43388</v>
      </c>
      <c r="O246" s="130" t="s">
        <v>496</v>
      </c>
      <c r="P246" s="63" t="s">
        <v>17</v>
      </c>
      <c r="Q246" s="63" t="s">
        <v>17</v>
      </c>
      <c r="R246" s="30"/>
      <c r="S246" s="31" t="s">
        <v>10</v>
      </c>
      <c r="T246" s="31" t="s">
        <v>11</v>
      </c>
      <c r="U246" s="35">
        <v>1.03</v>
      </c>
      <c r="V246" s="35"/>
      <c r="W246" s="35"/>
      <c r="X246" s="35">
        <v>500</v>
      </c>
      <c r="Y246" s="35">
        <v>725</v>
      </c>
      <c r="Z246" s="35">
        <v>800</v>
      </c>
      <c r="AA246" s="103">
        <v>2.4</v>
      </c>
      <c r="AB246" s="103">
        <v>4.8</v>
      </c>
      <c r="AC246" s="103">
        <v>7.2</v>
      </c>
      <c r="AD246" s="103">
        <v>12</v>
      </c>
      <c r="AE246" s="103">
        <v>18</v>
      </c>
      <c r="AF246" s="103">
        <v>24</v>
      </c>
      <c r="AG246" s="103">
        <v>94.3</v>
      </c>
      <c r="AH246" s="103">
        <v>96.1</v>
      </c>
      <c r="AI246" s="103">
        <v>96.6</v>
      </c>
      <c r="AJ246" s="103">
        <v>97</v>
      </c>
      <c r="AK246" s="103">
        <v>97</v>
      </c>
      <c r="AL246" s="103">
        <v>97</v>
      </c>
      <c r="AM246" s="103">
        <v>96.8</v>
      </c>
      <c r="AN246" s="103">
        <v>96.2</v>
      </c>
      <c r="AO246" s="103">
        <v>97.5</v>
      </c>
      <c r="AP246" s="103">
        <v>97.8</v>
      </c>
      <c r="AQ246" s="103">
        <v>98</v>
      </c>
      <c r="AR246" s="103">
        <v>98</v>
      </c>
      <c r="AS246" s="103">
        <v>97.9</v>
      </c>
      <c r="AT246" s="103">
        <v>97.9</v>
      </c>
      <c r="AU246" s="103">
        <v>95.8</v>
      </c>
      <c r="AV246" s="103">
        <v>97.2</v>
      </c>
      <c r="AW246" s="103">
        <v>97.6</v>
      </c>
      <c r="AX246" s="103">
        <v>97.8</v>
      </c>
      <c r="AY246" s="103">
        <v>97.8</v>
      </c>
      <c r="AZ246" s="103">
        <v>97.7</v>
      </c>
      <c r="BA246" s="103">
        <v>97.7</v>
      </c>
      <c r="BB246" s="40">
        <v>42948</v>
      </c>
      <c r="BC246" s="40">
        <v>43388</v>
      </c>
    </row>
    <row r="247" spans="1:55" s="120" customFormat="1" ht="45">
      <c r="A247" s="76" t="s">
        <v>3</v>
      </c>
      <c r="B247" s="148" t="s">
        <v>1236</v>
      </c>
      <c r="C247" s="79" t="s">
        <v>10</v>
      </c>
      <c r="D247" s="79" t="s">
        <v>11</v>
      </c>
      <c r="E247" s="43" t="s">
        <v>10</v>
      </c>
      <c r="F247" s="63" t="s">
        <v>11</v>
      </c>
      <c r="G247" s="76" t="s">
        <v>1254</v>
      </c>
      <c r="H247" s="144">
        <v>9.9749999999999996</v>
      </c>
      <c r="I247" s="77">
        <v>480</v>
      </c>
      <c r="J247" s="78">
        <v>97.5</v>
      </c>
      <c r="K247" s="39" t="s">
        <v>1327</v>
      </c>
      <c r="L247" s="145" t="s">
        <v>1237</v>
      </c>
      <c r="M247" s="79" t="s">
        <v>1238</v>
      </c>
      <c r="N247" s="63" t="s">
        <v>17</v>
      </c>
      <c r="O247" s="145" t="s">
        <v>1237</v>
      </c>
      <c r="P247" s="63" t="s">
        <v>17</v>
      </c>
      <c r="Q247" s="63" t="s">
        <v>17</v>
      </c>
      <c r="R247" s="81" t="s">
        <v>1255</v>
      </c>
      <c r="S247" s="80" t="s">
        <v>11</v>
      </c>
      <c r="T247" s="80" t="s">
        <v>11</v>
      </c>
      <c r="U247" s="82">
        <v>8.3000000000000007</v>
      </c>
      <c r="V247" s="83"/>
      <c r="W247" s="83"/>
      <c r="X247" s="83">
        <v>450</v>
      </c>
      <c r="Y247" s="83">
        <v>750</v>
      </c>
      <c r="Z247" s="83">
        <v>850</v>
      </c>
      <c r="AA247" s="82">
        <v>0.99750000000000005</v>
      </c>
      <c r="AB247" s="82">
        <v>1.9950000000000001</v>
      </c>
      <c r="AC247" s="82">
        <v>2.9924999999999997</v>
      </c>
      <c r="AD247" s="82">
        <v>4.9874999999999998</v>
      </c>
      <c r="AE247" s="82">
        <v>7.4812499999999993</v>
      </c>
      <c r="AF247" s="82">
        <v>9.9749999999999996</v>
      </c>
      <c r="AG247" s="146">
        <v>94.115714285714276</v>
      </c>
      <c r="AH247" s="146">
        <v>96.777142857142849</v>
      </c>
      <c r="AI247" s="146">
        <v>97.342857142857142</v>
      </c>
      <c r="AJ247" s="146">
        <v>97.727142857142866</v>
      </c>
      <c r="AK247" s="146">
        <v>97.695714285714303</v>
      </c>
      <c r="AL247" s="146">
        <v>97.517142857142858</v>
      </c>
      <c r="AM247" s="146">
        <v>97.4619142857143</v>
      </c>
      <c r="AN247" s="146">
        <v>94.11</v>
      </c>
      <c r="AO247" s="146">
        <v>96.84571428571428</v>
      </c>
      <c r="AP247" s="146">
        <v>97.644285714285701</v>
      </c>
      <c r="AQ247" s="146">
        <v>98.161428571428573</v>
      </c>
      <c r="AR247" s="146">
        <v>98.220000000000013</v>
      </c>
      <c r="AS247" s="146">
        <v>98.139999999999986</v>
      </c>
      <c r="AT247" s="146">
        <v>97.901500000000013</v>
      </c>
      <c r="AU247" s="146">
        <v>93.187142857142859</v>
      </c>
      <c r="AV247" s="146">
        <v>96.460000000000008</v>
      </c>
      <c r="AW247" s="146">
        <v>97.455714285714294</v>
      </c>
      <c r="AX247" s="146">
        <v>98.102857142857147</v>
      </c>
      <c r="AY247" s="146">
        <v>98.238571428571433</v>
      </c>
      <c r="AZ247" s="146">
        <v>98.200000000000017</v>
      </c>
      <c r="BA247" s="146">
        <v>97.823214285714286</v>
      </c>
      <c r="BB247" s="84">
        <v>43405</v>
      </c>
      <c r="BC247" s="84">
        <v>43419</v>
      </c>
    </row>
    <row r="248" spans="1:55" s="120" customFormat="1" ht="45">
      <c r="A248" s="41" t="s">
        <v>665</v>
      </c>
      <c r="B248" s="41" t="s">
        <v>1014</v>
      </c>
      <c r="C248" s="43" t="s">
        <v>10</v>
      </c>
      <c r="D248" s="43" t="s">
        <v>10</v>
      </c>
      <c r="E248" s="43" t="s">
        <v>10</v>
      </c>
      <c r="F248" s="63" t="s">
        <v>11</v>
      </c>
      <c r="G248" s="41" t="s">
        <v>761</v>
      </c>
      <c r="H248" s="27">
        <v>3.8</v>
      </c>
      <c r="I248" s="109">
        <v>240</v>
      </c>
      <c r="J248" s="27">
        <v>99</v>
      </c>
      <c r="K248" s="39" t="s">
        <v>1327</v>
      </c>
      <c r="L248" s="130" t="s">
        <v>762</v>
      </c>
      <c r="M248" s="110" t="s">
        <v>763</v>
      </c>
      <c r="N248" s="40">
        <v>43480</v>
      </c>
      <c r="O248" s="130" t="s">
        <v>762</v>
      </c>
      <c r="P248" s="63" t="s">
        <v>17</v>
      </c>
      <c r="Q248" s="63" t="s">
        <v>17</v>
      </c>
      <c r="R248" s="112"/>
      <c r="S248" s="111" t="s">
        <v>10</v>
      </c>
      <c r="T248" s="111" t="s">
        <v>11</v>
      </c>
      <c r="U248" s="113">
        <v>2.1800000000000002</v>
      </c>
      <c r="V248" s="113"/>
      <c r="W248" s="113"/>
      <c r="X248" s="113">
        <v>370</v>
      </c>
      <c r="Y248" s="113">
        <v>395</v>
      </c>
      <c r="Z248" s="113">
        <v>420</v>
      </c>
      <c r="AA248" s="114">
        <v>0.38</v>
      </c>
      <c r="AB248" s="114">
        <v>0.76</v>
      </c>
      <c r="AC248" s="114">
        <v>1.1399999999999999</v>
      </c>
      <c r="AD248" s="114">
        <v>1.9</v>
      </c>
      <c r="AE248" s="114">
        <v>2.8499999999999996</v>
      </c>
      <c r="AF248" s="114">
        <v>3.8</v>
      </c>
      <c r="AG248" s="114">
        <v>96.375031617998374</v>
      </c>
      <c r="AH248" s="114">
        <v>98.233215547703168</v>
      </c>
      <c r="AI248" s="114">
        <v>98.664083176913977</v>
      </c>
      <c r="AJ248" s="114">
        <v>99.00284900284899</v>
      </c>
      <c r="AK248" s="114">
        <v>99.057221096739127</v>
      </c>
      <c r="AL248" s="114">
        <v>99.077590884427551</v>
      </c>
      <c r="AM248" s="114">
        <v>98.851157039426184</v>
      </c>
      <c r="AN248" s="114">
        <v>96.163682864450138</v>
      </c>
      <c r="AO248" s="114">
        <v>98.117647058823522</v>
      </c>
      <c r="AP248" s="114">
        <v>98.478783026421155</v>
      </c>
      <c r="AQ248" s="114">
        <v>98.94691988895012</v>
      </c>
      <c r="AR248" s="114">
        <v>99.023064856235919</v>
      </c>
      <c r="AS248" s="114">
        <v>99.036499547460252</v>
      </c>
      <c r="AT248" s="114">
        <v>98.782786158547296</v>
      </c>
      <c r="AU248" s="114">
        <v>96.070229333969607</v>
      </c>
      <c r="AV248" s="114">
        <v>97.994516255385832</v>
      </c>
      <c r="AW248" s="114">
        <v>98.45627359030081</v>
      </c>
      <c r="AX248" s="114">
        <v>98.864074301006298</v>
      </c>
      <c r="AY248" s="114">
        <v>98.992315168426373</v>
      </c>
      <c r="AZ248" s="114">
        <v>98.996704465070792</v>
      </c>
      <c r="BA248" s="114">
        <v>98.734505682695016</v>
      </c>
      <c r="BB248" s="40">
        <v>43297</v>
      </c>
      <c r="BC248" s="208">
        <v>43480</v>
      </c>
    </row>
    <row r="249" spans="1:55" s="120" customFormat="1" ht="45">
      <c r="A249" s="41" t="s">
        <v>665</v>
      </c>
      <c r="B249" s="41" t="s">
        <v>1015</v>
      </c>
      <c r="C249" s="43" t="s">
        <v>10</v>
      </c>
      <c r="D249" s="43" t="s">
        <v>10</v>
      </c>
      <c r="E249" s="43" t="s">
        <v>10</v>
      </c>
      <c r="F249" s="63" t="s">
        <v>11</v>
      </c>
      <c r="G249" s="41" t="s">
        <v>764</v>
      </c>
      <c r="H249" s="27">
        <v>5</v>
      </c>
      <c r="I249" s="109">
        <v>240</v>
      </c>
      <c r="J249" s="27">
        <v>99</v>
      </c>
      <c r="K249" s="39" t="s">
        <v>1327</v>
      </c>
      <c r="L249" s="130" t="s">
        <v>762</v>
      </c>
      <c r="M249" s="110" t="s">
        <v>763</v>
      </c>
      <c r="N249" s="40">
        <v>43480</v>
      </c>
      <c r="O249" s="130" t="s">
        <v>762</v>
      </c>
      <c r="P249" s="63" t="s">
        <v>17</v>
      </c>
      <c r="Q249" s="63" t="s">
        <v>17</v>
      </c>
      <c r="R249" s="112"/>
      <c r="S249" s="111" t="s">
        <v>10</v>
      </c>
      <c r="T249" s="111" t="s">
        <v>11</v>
      </c>
      <c r="U249" s="113">
        <v>2.0699999999999998</v>
      </c>
      <c r="V249" s="113"/>
      <c r="W249" s="113"/>
      <c r="X249" s="113">
        <v>370</v>
      </c>
      <c r="Y249" s="113">
        <v>395</v>
      </c>
      <c r="Z249" s="113">
        <v>420</v>
      </c>
      <c r="AA249" s="114">
        <v>0.5</v>
      </c>
      <c r="AB249" s="114">
        <v>1</v>
      </c>
      <c r="AC249" s="114">
        <v>1.5</v>
      </c>
      <c r="AD249" s="114">
        <v>2.5</v>
      </c>
      <c r="AE249" s="114">
        <v>3.75</v>
      </c>
      <c r="AF249" s="114">
        <v>5</v>
      </c>
      <c r="AG249" s="114">
        <v>97.0703125</v>
      </c>
      <c r="AH249" s="114">
        <v>98.385577252483728</v>
      </c>
      <c r="AI249" s="114">
        <v>98.721071863580988</v>
      </c>
      <c r="AJ249" s="114">
        <v>99.023904040143663</v>
      </c>
      <c r="AK249" s="114">
        <v>99.019874761775114</v>
      </c>
      <c r="AL249" s="114">
        <v>98.870253237065455</v>
      </c>
      <c r="AM249" s="114">
        <v>98.867686120278165</v>
      </c>
      <c r="AN249" s="114">
        <v>96.881091617933734</v>
      </c>
      <c r="AO249" s="114">
        <v>98.381364219367683</v>
      </c>
      <c r="AP249" s="114">
        <v>98.660986001217296</v>
      </c>
      <c r="AQ249" s="114">
        <v>98.931877114350954</v>
      </c>
      <c r="AR249" s="114">
        <v>98.965986394557831</v>
      </c>
      <c r="AS249" s="114">
        <v>98.820257904100984</v>
      </c>
      <c r="AT249" s="114">
        <v>98.802310074166215</v>
      </c>
      <c r="AU249" s="114">
        <v>96.692607003891069</v>
      </c>
      <c r="AV249" s="114">
        <v>98.29290206648696</v>
      </c>
      <c r="AW249" s="114">
        <v>98.592410407244145</v>
      </c>
      <c r="AX249" s="114">
        <v>98.882480173035319</v>
      </c>
      <c r="AY249" s="114">
        <v>98.88622708105666</v>
      </c>
      <c r="AZ249" s="114">
        <v>98.774165460528749</v>
      </c>
      <c r="BA249" s="114">
        <v>98.727168094673175</v>
      </c>
      <c r="BB249" s="40">
        <v>43297</v>
      </c>
      <c r="BC249" s="208">
        <v>43480</v>
      </c>
    </row>
    <row r="250" spans="1:55" s="120" customFormat="1" ht="45">
      <c r="A250" s="41" t="s">
        <v>665</v>
      </c>
      <c r="B250" s="41" t="s">
        <v>1016</v>
      </c>
      <c r="C250" s="43" t="s">
        <v>10</v>
      </c>
      <c r="D250" s="43" t="s">
        <v>10</v>
      </c>
      <c r="E250" s="43" t="s">
        <v>10</v>
      </c>
      <c r="F250" s="63" t="s">
        <v>11</v>
      </c>
      <c r="G250" s="41" t="s">
        <v>765</v>
      </c>
      <c r="H250" s="27">
        <v>7.6</v>
      </c>
      <c r="I250" s="109">
        <v>240</v>
      </c>
      <c r="J250" s="27">
        <v>99</v>
      </c>
      <c r="K250" s="39" t="s">
        <v>1327</v>
      </c>
      <c r="L250" s="130" t="s">
        <v>762</v>
      </c>
      <c r="M250" s="110" t="s">
        <v>763</v>
      </c>
      <c r="N250" s="40">
        <v>43480</v>
      </c>
      <c r="O250" s="130" t="s">
        <v>762</v>
      </c>
      <c r="P250" s="63" t="s">
        <v>17</v>
      </c>
      <c r="Q250" s="63" t="s">
        <v>17</v>
      </c>
      <c r="R250" s="112"/>
      <c r="S250" s="111" t="s">
        <v>10</v>
      </c>
      <c r="T250" s="111" t="s">
        <v>11</v>
      </c>
      <c r="U250" s="113">
        <v>2.06</v>
      </c>
      <c r="V250" s="113"/>
      <c r="W250" s="113"/>
      <c r="X250" s="113">
        <v>370</v>
      </c>
      <c r="Y250" s="113">
        <v>395</v>
      </c>
      <c r="Z250" s="113">
        <v>420</v>
      </c>
      <c r="AA250" s="114">
        <v>0.76</v>
      </c>
      <c r="AB250" s="114">
        <v>1.52</v>
      </c>
      <c r="AC250" s="114">
        <v>2.2799999999999998</v>
      </c>
      <c r="AD250" s="114">
        <v>3.8</v>
      </c>
      <c r="AE250" s="114">
        <v>5.6999999999999993</v>
      </c>
      <c r="AF250" s="114">
        <v>7.6</v>
      </c>
      <c r="AG250" s="114">
        <v>98.024645488884758</v>
      </c>
      <c r="AH250" s="114">
        <v>98.810939357907259</v>
      </c>
      <c r="AI250" s="114">
        <v>98.958553015114916</v>
      </c>
      <c r="AJ250" s="114">
        <v>98.997288918291375</v>
      </c>
      <c r="AK250" s="114">
        <v>98.918168971428102</v>
      </c>
      <c r="AL250" s="114">
        <v>98.748951404805581</v>
      </c>
      <c r="AM250" s="114">
        <v>98.890066947202897</v>
      </c>
      <c r="AN250" s="114">
        <v>97.825310999296548</v>
      </c>
      <c r="AO250" s="114">
        <v>98.718718755046822</v>
      </c>
      <c r="AP250" s="114">
        <v>98.916988187844737</v>
      </c>
      <c r="AQ250" s="114">
        <v>98.938211420706281</v>
      </c>
      <c r="AR250" s="114">
        <v>98.867424073203637</v>
      </c>
      <c r="AS250" s="114">
        <v>98.716381417007497</v>
      </c>
      <c r="AT250" s="114">
        <v>98.831565188262189</v>
      </c>
      <c r="AU250" s="114">
        <v>97.692522840201306</v>
      </c>
      <c r="AV250" s="114">
        <v>98.626617125196802</v>
      </c>
      <c r="AW250" s="114">
        <v>98.879194198791538</v>
      </c>
      <c r="AX250" s="114">
        <v>98.911282479655938</v>
      </c>
      <c r="AY250" s="114">
        <v>98.847323368473226</v>
      </c>
      <c r="AZ250" s="114">
        <v>98.676581636712726</v>
      </c>
      <c r="BA250" s="114">
        <v>98.798814861577071</v>
      </c>
      <c r="BB250" s="40">
        <v>43297</v>
      </c>
      <c r="BC250" s="208">
        <v>43480</v>
      </c>
    </row>
    <row r="251" spans="1:55" s="120" customFormat="1" ht="45">
      <c r="A251" s="41" t="s">
        <v>665</v>
      </c>
      <c r="B251" s="41" t="s">
        <v>1017</v>
      </c>
      <c r="C251" s="43" t="s">
        <v>10</v>
      </c>
      <c r="D251" s="43" t="s">
        <v>10</v>
      </c>
      <c r="E251" s="43" t="s">
        <v>10</v>
      </c>
      <c r="F251" s="63" t="s">
        <v>11</v>
      </c>
      <c r="G251" s="41" t="s">
        <v>766</v>
      </c>
      <c r="H251" s="27">
        <v>9</v>
      </c>
      <c r="I251" s="109">
        <v>240</v>
      </c>
      <c r="J251" s="27">
        <v>99</v>
      </c>
      <c r="K251" s="39" t="s">
        <v>1327</v>
      </c>
      <c r="L251" s="130" t="s">
        <v>762</v>
      </c>
      <c r="M251" s="110" t="s">
        <v>763</v>
      </c>
      <c r="N251" s="40">
        <v>43388</v>
      </c>
      <c r="O251" s="130" t="s">
        <v>762</v>
      </c>
      <c r="P251" s="63" t="s">
        <v>17</v>
      </c>
      <c r="Q251" s="63" t="s">
        <v>17</v>
      </c>
      <c r="R251" s="112"/>
      <c r="S251" s="111" t="s">
        <v>10</v>
      </c>
      <c r="T251" s="111" t="s">
        <v>11</v>
      </c>
      <c r="U251" s="113">
        <v>1.97</v>
      </c>
      <c r="V251" s="113"/>
      <c r="W251" s="113"/>
      <c r="X251" s="113">
        <v>370</v>
      </c>
      <c r="Y251" s="113">
        <v>395</v>
      </c>
      <c r="Z251" s="113">
        <v>420</v>
      </c>
      <c r="AA251" s="114">
        <v>0.9</v>
      </c>
      <c r="AB251" s="114">
        <v>1.8</v>
      </c>
      <c r="AC251" s="114">
        <v>2.6999999999999997</v>
      </c>
      <c r="AD251" s="114">
        <v>4.5</v>
      </c>
      <c r="AE251" s="114">
        <v>6.75</v>
      </c>
      <c r="AF251" s="114">
        <v>9</v>
      </c>
      <c r="AG251" s="114">
        <v>97.68465700573195</v>
      </c>
      <c r="AH251" s="114">
        <v>98.645469628308931</v>
      </c>
      <c r="AI251" s="114">
        <v>98.919896388250805</v>
      </c>
      <c r="AJ251" s="114">
        <v>99.061754601828056</v>
      </c>
      <c r="AK251" s="114">
        <v>99.0358612580835</v>
      </c>
      <c r="AL251" s="114">
        <v>98.973774230330648</v>
      </c>
      <c r="AM251" s="114">
        <v>98.950710972919509</v>
      </c>
      <c r="AN251" s="114">
        <v>97.533802045824686</v>
      </c>
      <c r="AO251" s="114">
        <v>98.595943837753495</v>
      </c>
      <c r="AP251" s="114">
        <v>98.905234348272316</v>
      </c>
      <c r="AQ251" s="114">
        <v>99.040534134493342</v>
      </c>
      <c r="AR251" s="114">
        <v>99.015955221976697</v>
      </c>
      <c r="AS251" s="114">
        <v>98.932032552204689</v>
      </c>
      <c r="AT251" s="114">
        <v>98.923347459014835</v>
      </c>
      <c r="AU251" s="114">
        <v>97.577316834020593</v>
      </c>
      <c r="AV251" s="114">
        <v>98.598420127281287</v>
      </c>
      <c r="AW251" s="114">
        <v>98.858271916679868</v>
      </c>
      <c r="AX251" s="114">
        <v>99.024050844816443</v>
      </c>
      <c r="AY251" s="114">
        <v>99.009115259059541</v>
      </c>
      <c r="AZ251" s="114">
        <v>98.918270032621734</v>
      </c>
      <c r="BA251" s="114">
        <v>98.911801576070559</v>
      </c>
      <c r="BB251" s="40">
        <v>43297</v>
      </c>
      <c r="BC251" s="40">
        <v>43388</v>
      </c>
    </row>
    <row r="252" spans="1:55" s="120" customFormat="1" ht="45">
      <c r="A252" s="41" t="s">
        <v>665</v>
      </c>
      <c r="B252" s="41" t="s">
        <v>1018</v>
      </c>
      <c r="C252" s="43" t="s">
        <v>10</v>
      </c>
      <c r="D252" s="43" t="s">
        <v>10</v>
      </c>
      <c r="E252" s="43" t="s">
        <v>10</v>
      </c>
      <c r="F252" s="63" t="s">
        <v>11</v>
      </c>
      <c r="G252" s="41" t="s">
        <v>767</v>
      </c>
      <c r="H252" s="27">
        <v>10</v>
      </c>
      <c r="I252" s="109">
        <v>240</v>
      </c>
      <c r="J252" s="27">
        <v>99</v>
      </c>
      <c r="K252" s="39" t="s">
        <v>1327</v>
      </c>
      <c r="L252" s="130" t="s">
        <v>762</v>
      </c>
      <c r="M252" s="110" t="s">
        <v>763</v>
      </c>
      <c r="N252" s="40">
        <v>43388</v>
      </c>
      <c r="O252" s="130" t="s">
        <v>762</v>
      </c>
      <c r="P252" s="63" t="s">
        <v>17</v>
      </c>
      <c r="Q252" s="63" t="s">
        <v>17</v>
      </c>
      <c r="R252" s="112"/>
      <c r="S252" s="111" t="s">
        <v>10</v>
      </c>
      <c r="T252" s="111" t="s">
        <v>11</v>
      </c>
      <c r="U252" s="113">
        <v>1.98</v>
      </c>
      <c r="V252" s="113"/>
      <c r="W252" s="113"/>
      <c r="X252" s="113">
        <v>370</v>
      </c>
      <c r="Y252" s="113">
        <v>395</v>
      </c>
      <c r="Z252" s="113">
        <v>420</v>
      </c>
      <c r="AA252" s="114">
        <v>1</v>
      </c>
      <c r="AB252" s="114">
        <v>2</v>
      </c>
      <c r="AC252" s="114">
        <v>3</v>
      </c>
      <c r="AD252" s="114">
        <v>5</v>
      </c>
      <c r="AE252" s="114">
        <v>7.5</v>
      </c>
      <c r="AF252" s="114">
        <v>10</v>
      </c>
      <c r="AG252" s="114">
        <v>97.640117994100279</v>
      </c>
      <c r="AH252" s="114">
        <v>98.65604000625099</v>
      </c>
      <c r="AI252" s="114">
        <v>98.936592333474479</v>
      </c>
      <c r="AJ252" s="114">
        <v>99.048316251830173</v>
      </c>
      <c r="AK252" s="114">
        <v>99.012992322810646</v>
      </c>
      <c r="AL252" s="114">
        <v>98.903321870737884</v>
      </c>
      <c r="AM252" s="114">
        <v>98.932996237604385</v>
      </c>
      <c r="AN252" s="114">
        <v>97.448478900883245</v>
      </c>
      <c r="AO252" s="114">
        <v>98.548009367681502</v>
      </c>
      <c r="AP252" s="114">
        <v>98.859432799013561</v>
      </c>
      <c r="AQ252" s="114">
        <v>99.004051757940147</v>
      </c>
      <c r="AR252" s="114">
        <v>98.977306347948414</v>
      </c>
      <c r="AS252" s="114">
        <v>98.879178720503461</v>
      </c>
      <c r="AT252" s="114">
        <v>98.881253729906291</v>
      </c>
      <c r="AU252" s="114">
        <v>97.185084705665261</v>
      </c>
      <c r="AV252" s="114">
        <v>98.420657665824891</v>
      </c>
      <c r="AW252" s="114">
        <v>98.767714109673435</v>
      </c>
      <c r="AX252" s="114">
        <v>98.933048437210559</v>
      </c>
      <c r="AY252" s="114">
        <v>98.937777723995637</v>
      </c>
      <c r="AZ252" s="114">
        <v>98.845012252136229</v>
      </c>
      <c r="BA252" s="114">
        <v>98.815774942817384</v>
      </c>
      <c r="BB252" s="40">
        <v>43297</v>
      </c>
      <c r="BC252" s="40">
        <v>43388</v>
      </c>
    </row>
    <row r="253" spans="1:55" s="120" customFormat="1" ht="45">
      <c r="A253" s="41" t="s">
        <v>665</v>
      </c>
      <c r="B253" s="41" t="s">
        <v>1019</v>
      </c>
      <c r="C253" s="43" t="s">
        <v>10</v>
      </c>
      <c r="D253" s="43" t="s">
        <v>10</v>
      </c>
      <c r="E253" s="43" t="s">
        <v>10</v>
      </c>
      <c r="F253" s="63" t="s">
        <v>11</v>
      </c>
      <c r="G253" s="41" t="s">
        <v>768</v>
      </c>
      <c r="H253" s="27">
        <v>11.4</v>
      </c>
      <c r="I253" s="109">
        <v>240</v>
      </c>
      <c r="J253" s="27">
        <v>99</v>
      </c>
      <c r="K253" s="39" t="s">
        <v>1327</v>
      </c>
      <c r="L253" s="130" t="s">
        <v>762</v>
      </c>
      <c r="M253" s="110" t="s">
        <v>763</v>
      </c>
      <c r="N253" s="40">
        <v>43388</v>
      </c>
      <c r="O253" s="130" t="s">
        <v>762</v>
      </c>
      <c r="P253" s="63" t="s">
        <v>17</v>
      </c>
      <c r="Q253" s="63" t="s">
        <v>17</v>
      </c>
      <c r="R253" s="112"/>
      <c r="S253" s="111" t="s">
        <v>10</v>
      </c>
      <c r="T253" s="111" t="s">
        <v>11</v>
      </c>
      <c r="U253" s="113">
        <v>1.97</v>
      </c>
      <c r="V253" s="113"/>
      <c r="W253" s="113"/>
      <c r="X253" s="113">
        <v>370</v>
      </c>
      <c r="Y253" s="113">
        <v>395</v>
      </c>
      <c r="Z253" s="113">
        <v>420</v>
      </c>
      <c r="AA253" s="114">
        <v>1.1400000000000001</v>
      </c>
      <c r="AB253" s="114">
        <v>2.2800000000000002</v>
      </c>
      <c r="AC253" s="114">
        <v>3.42</v>
      </c>
      <c r="AD253" s="114">
        <v>5.7</v>
      </c>
      <c r="AE253" s="114">
        <v>8.5500000000000007</v>
      </c>
      <c r="AF253" s="114">
        <v>11.4</v>
      </c>
      <c r="AG253" s="114">
        <v>97.88546255506607</v>
      </c>
      <c r="AH253" s="114">
        <v>98.785528197292905</v>
      </c>
      <c r="AI253" s="114">
        <v>98.973546739857198</v>
      </c>
      <c r="AJ253" s="114">
        <v>99.0470873767634</v>
      </c>
      <c r="AK253" s="114">
        <v>98.983558158460895</v>
      </c>
      <c r="AL253" s="114">
        <v>98.837481621322169</v>
      </c>
      <c r="AM253" s="114">
        <v>98.93456877502085</v>
      </c>
      <c r="AN253" s="114">
        <v>97.715367092422369</v>
      </c>
      <c r="AO253" s="114">
        <v>98.65386046399577</v>
      </c>
      <c r="AP253" s="114">
        <v>98.917325381817932</v>
      </c>
      <c r="AQ253" s="114">
        <v>98.988111710077632</v>
      </c>
      <c r="AR253" s="114">
        <v>98.940718004312004</v>
      </c>
      <c r="AS253" s="114">
        <v>98.801375159949785</v>
      </c>
      <c r="AT253" s="114">
        <v>98.877539512113998</v>
      </c>
      <c r="AU253" s="114">
        <v>97.539543057996497</v>
      </c>
      <c r="AV253" s="114">
        <v>98.582157096361243</v>
      </c>
      <c r="AW253" s="114">
        <v>98.83945344931621</v>
      </c>
      <c r="AX253" s="114">
        <v>98.943617483464806</v>
      </c>
      <c r="AY253" s="114">
        <v>98.912403488229415</v>
      </c>
      <c r="AZ253" s="114">
        <v>98.774883947720909</v>
      </c>
      <c r="BA253" s="114">
        <v>98.83190170873111</v>
      </c>
      <c r="BB253" s="40">
        <v>43297</v>
      </c>
      <c r="BC253" s="40">
        <v>43388</v>
      </c>
    </row>
    <row r="254" spans="1:55" s="120" customFormat="1" ht="45">
      <c r="A254" s="3" t="s">
        <v>665</v>
      </c>
      <c r="B254" s="67" t="s">
        <v>1020</v>
      </c>
      <c r="C254" s="69" t="s">
        <v>10</v>
      </c>
      <c r="D254" s="69" t="s">
        <v>10</v>
      </c>
      <c r="E254" s="43" t="s">
        <v>10</v>
      </c>
      <c r="F254" s="63" t="s">
        <v>11</v>
      </c>
      <c r="G254" s="74" t="s">
        <v>297</v>
      </c>
      <c r="H254" s="60">
        <v>33</v>
      </c>
      <c r="I254" s="62">
        <v>480</v>
      </c>
      <c r="J254" s="53">
        <v>98.5</v>
      </c>
      <c r="K254" s="39" t="s">
        <v>1324</v>
      </c>
      <c r="L254" s="129" t="s">
        <v>500</v>
      </c>
      <c r="M254" s="57" t="s">
        <v>501</v>
      </c>
      <c r="N254" s="40">
        <v>43388</v>
      </c>
      <c r="O254" s="129" t="s">
        <v>500</v>
      </c>
      <c r="P254" s="63" t="s">
        <v>17</v>
      </c>
      <c r="Q254" s="63" t="s">
        <v>17</v>
      </c>
      <c r="R254" s="74"/>
      <c r="S254" s="57" t="s">
        <v>11</v>
      </c>
      <c r="T254" s="57" t="s">
        <v>11</v>
      </c>
      <c r="U254" s="54">
        <v>1.8</v>
      </c>
      <c r="V254" s="67"/>
      <c r="W254" s="67"/>
      <c r="X254" s="67">
        <v>460</v>
      </c>
      <c r="Y254" s="67">
        <v>720</v>
      </c>
      <c r="Z254" s="67">
        <v>850</v>
      </c>
      <c r="AA254" s="102">
        <v>3.3000000000000003</v>
      </c>
      <c r="AB254" s="102">
        <v>6.6000000000000005</v>
      </c>
      <c r="AC254" s="101">
        <v>9.9</v>
      </c>
      <c r="AD254" s="101">
        <v>16.5</v>
      </c>
      <c r="AE254" s="101">
        <v>24.75</v>
      </c>
      <c r="AF254" s="101">
        <v>33</v>
      </c>
      <c r="AG254" s="101">
        <v>95.630469927276991</v>
      </c>
      <c r="AH254" s="101">
        <v>97.310036505268826</v>
      </c>
      <c r="AI254" s="102">
        <v>97.623901610438097</v>
      </c>
      <c r="AJ254" s="102">
        <v>97.83334333356153</v>
      </c>
      <c r="AK254" s="102">
        <v>97.888870456254139</v>
      </c>
      <c r="AL254" s="102">
        <v>97.788128321993113</v>
      </c>
      <c r="AM254" s="102">
        <v>97.721098673569372</v>
      </c>
      <c r="AN254" s="102">
        <v>97.516871811078531</v>
      </c>
      <c r="AO254" s="102">
        <v>98.67409277667268</v>
      </c>
      <c r="AP254" s="102">
        <v>98.8513071683726</v>
      </c>
      <c r="AQ254" s="102">
        <v>98.88408683335021</v>
      </c>
      <c r="AR254" s="102">
        <v>98.874097898809069</v>
      </c>
      <c r="AS254" s="102">
        <v>98.789398500966755</v>
      </c>
      <c r="AT254" s="102">
        <v>98.804936417902184</v>
      </c>
      <c r="AU254" s="102">
        <v>96.914454581398289</v>
      </c>
      <c r="AV254" s="102">
        <v>98.109446935368311</v>
      </c>
      <c r="AW254" s="102">
        <v>98.37996746207223</v>
      </c>
      <c r="AX254" s="102">
        <v>98.457607412231482</v>
      </c>
      <c r="AY254" s="102">
        <v>98.46224478261388</v>
      </c>
      <c r="AZ254" s="102">
        <v>98.383768023280254</v>
      </c>
      <c r="BA254" s="102">
        <v>98.367922317990988</v>
      </c>
      <c r="BB254" s="40">
        <v>43040</v>
      </c>
      <c r="BC254" s="40">
        <v>43388</v>
      </c>
    </row>
    <row r="255" spans="1:55" s="120" customFormat="1" ht="45">
      <c r="A255" s="3" t="s">
        <v>665</v>
      </c>
      <c r="B255" s="67" t="s">
        <v>1021</v>
      </c>
      <c r="C255" s="69" t="s">
        <v>10</v>
      </c>
      <c r="D255" s="69" t="s">
        <v>10</v>
      </c>
      <c r="E255" s="43" t="s">
        <v>10</v>
      </c>
      <c r="F255" s="63" t="s">
        <v>11</v>
      </c>
      <c r="G255" s="74" t="s">
        <v>298</v>
      </c>
      <c r="H255" s="60">
        <v>36</v>
      </c>
      <c r="I255" s="62">
        <v>480</v>
      </c>
      <c r="J255" s="53">
        <v>98.5</v>
      </c>
      <c r="K255" s="39" t="s">
        <v>1324</v>
      </c>
      <c r="L255" s="129" t="s">
        <v>500</v>
      </c>
      <c r="M255" s="57" t="s">
        <v>501</v>
      </c>
      <c r="N255" s="40">
        <v>43388</v>
      </c>
      <c r="O255" s="129" t="s">
        <v>500</v>
      </c>
      <c r="P255" s="63" t="s">
        <v>17</v>
      </c>
      <c r="Q255" s="63" t="s">
        <v>17</v>
      </c>
      <c r="R255" s="74"/>
      <c r="S255" s="57" t="s">
        <v>11</v>
      </c>
      <c r="T255" s="57" t="s">
        <v>11</v>
      </c>
      <c r="U255" s="54">
        <v>1.8</v>
      </c>
      <c r="V255" s="67"/>
      <c r="W255" s="67"/>
      <c r="X255" s="67">
        <v>490</v>
      </c>
      <c r="Y255" s="67">
        <v>720</v>
      </c>
      <c r="Z255" s="67">
        <v>850</v>
      </c>
      <c r="AA255" s="102">
        <v>3.6</v>
      </c>
      <c r="AB255" s="102">
        <v>7.2</v>
      </c>
      <c r="AC255" s="101">
        <v>10.799999999999999</v>
      </c>
      <c r="AD255" s="101">
        <v>18</v>
      </c>
      <c r="AE255" s="101">
        <v>27</v>
      </c>
      <c r="AF255" s="101">
        <v>36</v>
      </c>
      <c r="AG255" s="101">
        <v>96.4077311912922</v>
      </c>
      <c r="AH255" s="101">
        <v>97.545820870882707</v>
      </c>
      <c r="AI255" s="102">
        <v>97.813675383505782</v>
      </c>
      <c r="AJ255" s="102">
        <v>97.991157284213202</v>
      </c>
      <c r="AK255" s="102">
        <v>97.987845609331899</v>
      </c>
      <c r="AL255" s="102">
        <v>97.877476167255708</v>
      </c>
      <c r="AM255" s="102">
        <v>97.876816348209985</v>
      </c>
      <c r="AN255" s="102">
        <v>97.973892096751015</v>
      </c>
      <c r="AO255" s="102">
        <v>98.741338944593736</v>
      </c>
      <c r="AP255" s="102">
        <v>98.87343126218461</v>
      </c>
      <c r="AQ255" s="102">
        <v>98.895496173760151</v>
      </c>
      <c r="AR255" s="102">
        <v>98.857816097688669</v>
      </c>
      <c r="AS255" s="102">
        <v>98.762019609059948</v>
      </c>
      <c r="AT255" s="102">
        <v>98.821632091279511</v>
      </c>
      <c r="AU255" s="102">
        <v>97.110091536795707</v>
      </c>
      <c r="AV255" s="102">
        <v>98.215610614555217</v>
      </c>
      <c r="AW255" s="102">
        <v>98.41581608389275</v>
      </c>
      <c r="AX255" s="102">
        <v>98.471283525682495</v>
      </c>
      <c r="AY255" s="102">
        <v>98.444292259053896</v>
      </c>
      <c r="AZ255" s="102">
        <v>98.352426532017674</v>
      </c>
      <c r="BA255" s="102">
        <v>98.377147886559484</v>
      </c>
      <c r="BB255" s="40">
        <v>43040</v>
      </c>
      <c r="BC255" s="40">
        <v>43388</v>
      </c>
    </row>
    <row r="256" spans="1:55" s="120" customFormat="1" ht="45">
      <c r="A256" s="3" t="s">
        <v>665</v>
      </c>
      <c r="B256" s="67" t="s">
        <v>1022</v>
      </c>
      <c r="C256" s="69" t="s">
        <v>10</v>
      </c>
      <c r="D256" s="69" t="s">
        <v>10</v>
      </c>
      <c r="E256" s="43" t="s">
        <v>10</v>
      </c>
      <c r="F256" s="63" t="s">
        <v>11</v>
      </c>
      <c r="G256" s="74" t="s">
        <v>641</v>
      </c>
      <c r="H256" s="60">
        <v>40</v>
      </c>
      <c r="I256" s="62">
        <v>480</v>
      </c>
      <c r="J256" s="53">
        <v>98.5</v>
      </c>
      <c r="K256" s="39" t="s">
        <v>1324</v>
      </c>
      <c r="L256" s="129" t="s">
        <v>500</v>
      </c>
      <c r="M256" s="57" t="s">
        <v>501</v>
      </c>
      <c r="N256" s="40">
        <v>43388</v>
      </c>
      <c r="O256" s="129" t="s">
        <v>500</v>
      </c>
      <c r="P256" s="63" t="s">
        <v>17</v>
      </c>
      <c r="Q256" s="63" t="s">
        <v>17</v>
      </c>
      <c r="R256" s="74"/>
      <c r="S256" s="57" t="s">
        <v>11</v>
      </c>
      <c r="T256" s="57" t="s">
        <v>11</v>
      </c>
      <c r="U256" s="54">
        <v>1.8</v>
      </c>
      <c r="V256" s="67"/>
      <c r="W256" s="67"/>
      <c r="X256" s="67">
        <v>530</v>
      </c>
      <c r="Y256" s="67">
        <v>720</v>
      </c>
      <c r="Z256" s="67">
        <v>850</v>
      </c>
      <c r="AA256" s="102">
        <v>4</v>
      </c>
      <c r="AB256" s="102">
        <v>8</v>
      </c>
      <c r="AC256" s="101">
        <v>12</v>
      </c>
      <c r="AD256" s="101">
        <v>20</v>
      </c>
      <c r="AE256" s="101">
        <v>30</v>
      </c>
      <c r="AF256" s="101">
        <v>40</v>
      </c>
      <c r="AG256" s="101">
        <v>96.748549773647738</v>
      </c>
      <c r="AH256" s="101">
        <v>97.728864384062192</v>
      </c>
      <c r="AI256" s="102">
        <v>97.946597114044309</v>
      </c>
      <c r="AJ256" s="102">
        <v>98.102029888936798</v>
      </c>
      <c r="AK256" s="102">
        <v>98.049016661168523</v>
      </c>
      <c r="AL256" s="102">
        <v>97.908674394318737</v>
      </c>
      <c r="AM256" s="102">
        <v>97.972815690646314</v>
      </c>
      <c r="AN256" s="102">
        <v>98.053754251274981</v>
      </c>
      <c r="AO256" s="102">
        <v>98.727271037736912</v>
      </c>
      <c r="AP256" s="102">
        <v>98.778088260806854</v>
      </c>
      <c r="AQ256" s="102">
        <v>98.8628416309691</v>
      </c>
      <c r="AR256" s="102">
        <v>98.790704433083846</v>
      </c>
      <c r="AS256" s="102">
        <v>98.805253458820715</v>
      </c>
      <c r="AT256" s="102">
        <v>98.77241707821365</v>
      </c>
      <c r="AU256" s="102">
        <v>97.266210056885868</v>
      </c>
      <c r="AV256" s="102">
        <v>98.215502763671708</v>
      </c>
      <c r="AW256" s="102">
        <v>98.363828147895191</v>
      </c>
      <c r="AX256" s="102">
        <v>98.457088705010364</v>
      </c>
      <c r="AY256" s="102">
        <v>98.376392189893494</v>
      </c>
      <c r="AZ256" s="102">
        <v>98.416867734446882</v>
      </c>
      <c r="BA256" s="102">
        <v>98.341402793624511</v>
      </c>
      <c r="BB256" s="40">
        <v>43040</v>
      </c>
      <c r="BC256" s="40">
        <v>43388</v>
      </c>
    </row>
    <row r="257" spans="1:55" s="120" customFormat="1" ht="44.25" customHeight="1">
      <c r="A257" s="3" t="s">
        <v>665</v>
      </c>
      <c r="B257" s="75" t="s">
        <v>1023</v>
      </c>
      <c r="C257" s="57" t="s">
        <v>10</v>
      </c>
      <c r="D257" s="57" t="s">
        <v>10</v>
      </c>
      <c r="E257" s="43" t="s">
        <v>10</v>
      </c>
      <c r="F257" s="63" t="s">
        <v>11</v>
      </c>
      <c r="G257" s="58" t="s">
        <v>1370</v>
      </c>
      <c r="H257" s="60">
        <v>45.207000000000001</v>
      </c>
      <c r="I257" s="62">
        <v>600</v>
      </c>
      <c r="J257" s="60">
        <v>98.5</v>
      </c>
      <c r="K257" s="39" t="s">
        <v>1324</v>
      </c>
      <c r="L257" s="129" t="s">
        <v>502</v>
      </c>
      <c r="M257" s="57" t="s">
        <v>503</v>
      </c>
      <c r="N257" s="40">
        <v>43388</v>
      </c>
      <c r="O257" s="129" t="s">
        <v>502</v>
      </c>
      <c r="P257" s="63" t="s">
        <v>17</v>
      </c>
      <c r="Q257" s="63" t="s">
        <v>17</v>
      </c>
      <c r="R257" s="71"/>
      <c r="S257" s="57" t="s">
        <v>11</v>
      </c>
      <c r="T257" s="57" t="s">
        <v>11</v>
      </c>
      <c r="U257" s="61"/>
      <c r="V257" s="59"/>
      <c r="W257" s="59">
        <v>1.1100000000000001</v>
      </c>
      <c r="X257" s="59">
        <v>800</v>
      </c>
      <c r="Y257" s="59">
        <v>1000</v>
      </c>
      <c r="Z257" s="59">
        <v>1200</v>
      </c>
      <c r="AA257" s="99">
        <v>97.5</v>
      </c>
      <c r="AB257" s="99">
        <v>98.1</v>
      </c>
      <c r="AC257" s="99">
        <v>98.2</v>
      </c>
      <c r="AD257" s="99">
        <v>98.2</v>
      </c>
      <c r="AE257" s="99">
        <v>98.1</v>
      </c>
      <c r="AF257" s="99">
        <v>97.9</v>
      </c>
      <c r="AG257" s="99">
        <v>98.2</v>
      </c>
      <c r="AH257" s="99">
        <v>98.6</v>
      </c>
      <c r="AI257" s="99">
        <v>98.7</v>
      </c>
      <c r="AJ257" s="99">
        <v>98.6</v>
      </c>
      <c r="AK257" s="99">
        <v>98.5</v>
      </c>
      <c r="AL257" s="99">
        <v>98.4</v>
      </c>
      <c r="AM257" s="99">
        <v>98.5</v>
      </c>
      <c r="AN257" s="99">
        <v>98.2</v>
      </c>
      <c r="AO257" s="99">
        <v>98.6</v>
      </c>
      <c r="AP257" s="99">
        <v>98.7</v>
      </c>
      <c r="AQ257" s="99">
        <v>98.6</v>
      </c>
      <c r="AR257" s="99">
        <v>98.5</v>
      </c>
      <c r="AS257" s="99">
        <v>98.4</v>
      </c>
      <c r="AT257" s="99">
        <v>98.5</v>
      </c>
      <c r="AU257" s="99">
        <v>98.1</v>
      </c>
      <c r="AV257" s="99">
        <v>98.5</v>
      </c>
      <c r="AW257" s="99">
        <v>98.5</v>
      </c>
      <c r="AX257" s="99">
        <v>98.5</v>
      </c>
      <c r="AY257" s="99">
        <v>98.4</v>
      </c>
      <c r="AZ257" s="99">
        <v>98.2</v>
      </c>
      <c r="BA257" s="99">
        <v>98.4</v>
      </c>
      <c r="BB257" s="40">
        <v>43054</v>
      </c>
      <c r="BC257" s="40">
        <v>43388</v>
      </c>
    </row>
    <row r="258" spans="1:55" s="120" customFormat="1" ht="44.25" customHeight="1">
      <c r="A258" s="41" t="s">
        <v>665</v>
      </c>
      <c r="B258" s="41" t="s">
        <v>1360</v>
      </c>
      <c r="C258" s="57" t="s">
        <v>10</v>
      </c>
      <c r="D258" s="57" t="s">
        <v>10</v>
      </c>
      <c r="E258" s="43" t="s">
        <v>10</v>
      </c>
      <c r="F258" s="63" t="s">
        <v>11</v>
      </c>
      <c r="G258" s="58" t="s">
        <v>1361</v>
      </c>
      <c r="H258" s="60">
        <v>100</v>
      </c>
      <c r="I258" s="62">
        <v>800</v>
      </c>
      <c r="J258" s="60">
        <v>98.5</v>
      </c>
      <c r="K258" s="39" t="s">
        <v>1324</v>
      </c>
      <c r="L258" s="145" t="s">
        <v>1294</v>
      </c>
      <c r="M258" s="110" t="s">
        <v>1362</v>
      </c>
      <c r="N258" s="40">
        <v>43480</v>
      </c>
      <c r="O258" s="145" t="s">
        <v>1294</v>
      </c>
      <c r="P258" s="63" t="s">
        <v>17</v>
      </c>
      <c r="Q258" s="63" t="s">
        <v>17</v>
      </c>
      <c r="R258" s="71"/>
      <c r="S258" s="57" t="s">
        <v>11</v>
      </c>
      <c r="T258" s="57" t="s">
        <v>11</v>
      </c>
      <c r="U258" s="61">
        <v>2.61</v>
      </c>
      <c r="V258" s="59"/>
      <c r="W258" s="59"/>
      <c r="X258" s="59">
        <v>880</v>
      </c>
      <c r="Y258" s="59">
        <v>1120</v>
      </c>
      <c r="Z258" s="59">
        <v>1200</v>
      </c>
      <c r="AA258" s="99">
        <v>10</v>
      </c>
      <c r="AB258" s="99">
        <v>20</v>
      </c>
      <c r="AC258" s="99">
        <v>30</v>
      </c>
      <c r="AD258" s="99">
        <v>50</v>
      </c>
      <c r="AE258" s="99">
        <v>75</v>
      </c>
      <c r="AF258" s="99">
        <v>100</v>
      </c>
      <c r="AG258" s="99">
        <v>97.297060000000002</v>
      </c>
      <c r="AH258" s="99">
        <v>98.049090000000007</v>
      </c>
      <c r="AI258" s="99">
        <v>98.304159999999996</v>
      </c>
      <c r="AJ258" s="99">
        <v>98.447010000000006</v>
      </c>
      <c r="AK258" s="99">
        <v>98.410420000000002</v>
      </c>
      <c r="AL258" s="99">
        <v>98.31644</v>
      </c>
      <c r="AM258" s="99">
        <v>98.338049999999996</v>
      </c>
      <c r="AN258" s="99">
        <v>97.691339999999997</v>
      </c>
      <c r="AO258" s="99">
        <v>98.412009999999995</v>
      </c>
      <c r="AP258" s="99">
        <v>98.599450000000004</v>
      </c>
      <c r="AQ258" s="99">
        <v>98.692269999999994</v>
      </c>
      <c r="AR258" s="99">
        <v>98.659400000000005</v>
      </c>
      <c r="AS258" s="99">
        <v>98.573899999999995</v>
      </c>
      <c r="AT258" s="99">
        <v>98.603740000000002</v>
      </c>
      <c r="AU258" s="99">
        <v>98.224800000000002</v>
      </c>
      <c r="AV258" s="99">
        <v>98.790670000000006</v>
      </c>
      <c r="AW258" s="99">
        <v>98.936269999999993</v>
      </c>
      <c r="AX258" s="99">
        <v>98.987870000000001</v>
      </c>
      <c r="AY258" s="99">
        <v>98.981089999999995</v>
      </c>
      <c r="AZ258" s="99">
        <v>98.631020000000007</v>
      </c>
      <c r="BA258" s="99">
        <v>98.91986</v>
      </c>
      <c r="BB258" s="40">
        <v>43480</v>
      </c>
      <c r="BC258" s="40"/>
    </row>
    <row r="259" spans="1:55" s="120" customFormat="1" ht="45">
      <c r="A259" s="5" t="s">
        <v>818</v>
      </c>
      <c r="B259" s="76" t="s">
        <v>1024</v>
      </c>
      <c r="C259" s="79" t="s">
        <v>10</v>
      </c>
      <c r="D259" s="79" t="s">
        <v>10</v>
      </c>
      <c r="E259" s="63" t="s">
        <v>11</v>
      </c>
      <c r="F259" s="63" t="s">
        <v>11</v>
      </c>
      <c r="G259" s="76" t="s">
        <v>582</v>
      </c>
      <c r="H259" s="90">
        <v>29.99</v>
      </c>
      <c r="I259" s="77">
        <v>480</v>
      </c>
      <c r="J259" s="78">
        <v>95</v>
      </c>
      <c r="K259" s="39" t="s">
        <v>1327</v>
      </c>
      <c r="L259" s="145" t="s">
        <v>1363</v>
      </c>
      <c r="M259" s="110" t="s">
        <v>1364</v>
      </c>
      <c r="N259" s="40">
        <v>43388</v>
      </c>
      <c r="O259" s="63" t="s">
        <v>17</v>
      </c>
      <c r="P259" s="63" t="s">
        <v>17</v>
      </c>
      <c r="Q259" s="63" t="s">
        <v>17</v>
      </c>
      <c r="R259" s="81"/>
      <c r="S259" s="80" t="s">
        <v>11</v>
      </c>
      <c r="T259" s="80" t="s">
        <v>11</v>
      </c>
      <c r="U259" s="82">
        <v>56.8</v>
      </c>
      <c r="V259" s="83"/>
      <c r="W259" s="83"/>
      <c r="X259" s="83">
        <v>550</v>
      </c>
      <c r="Y259" s="83">
        <v>700</v>
      </c>
      <c r="Z259" s="83">
        <v>850</v>
      </c>
      <c r="AA259" s="100">
        <v>3</v>
      </c>
      <c r="AB259" s="100">
        <v>6</v>
      </c>
      <c r="AC259" s="100">
        <v>9</v>
      </c>
      <c r="AD259" s="100">
        <v>15</v>
      </c>
      <c r="AE259" s="100">
        <v>22.49</v>
      </c>
      <c r="AF259" s="100">
        <v>29.99</v>
      </c>
      <c r="AG259" s="100">
        <v>92.7</v>
      </c>
      <c r="AH259" s="100">
        <v>94.3</v>
      </c>
      <c r="AI259" s="100">
        <v>94.8</v>
      </c>
      <c r="AJ259" s="100">
        <v>95.2</v>
      </c>
      <c r="AK259" s="100">
        <v>95.1</v>
      </c>
      <c r="AL259" s="100">
        <v>94.8</v>
      </c>
      <c r="AM259" s="100">
        <v>94.9</v>
      </c>
      <c r="AN259" s="100">
        <v>92.2</v>
      </c>
      <c r="AO259" s="100">
        <v>94.2</v>
      </c>
      <c r="AP259" s="100">
        <v>94.6</v>
      </c>
      <c r="AQ259" s="100">
        <v>95.3</v>
      </c>
      <c r="AR259" s="100">
        <v>95.4</v>
      </c>
      <c r="AS259" s="100">
        <v>95.5</v>
      </c>
      <c r="AT259" s="100">
        <v>95.1</v>
      </c>
      <c r="AU259" s="100">
        <v>89.6</v>
      </c>
      <c r="AV259" s="100">
        <v>92.8</v>
      </c>
      <c r="AW259" s="100">
        <v>93.3</v>
      </c>
      <c r="AX259" s="100">
        <v>94.8</v>
      </c>
      <c r="AY259" s="100">
        <v>95.2</v>
      </c>
      <c r="AZ259" s="100">
        <v>95.4</v>
      </c>
      <c r="BA259" s="100">
        <v>94.6</v>
      </c>
      <c r="BB259" s="40">
        <v>43132</v>
      </c>
      <c r="BC259" s="40">
        <v>43480</v>
      </c>
    </row>
    <row r="260" spans="1:55" s="120" customFormat="1" ht="45">
      <c r="A260" s="5" t="s">
        <v>818</v>
      </c>
      <c r="B260" s="76" t="s">
        <v>1025</v>
      </c>
      <c r="C260" s="79" t="s">
        <v>10</v>
      </c>
      <c r="D260" s="79" t="s">
        <v>10</v>
      </c>
      <c r="E260" s="63" t="s">
        <v>11</v>
      </c>
      <c r="F260" s="63" t="s">
        <v>11</v>
      </c>
      <c r="G260" s="76" t="s">
        <v>642</v>
      </c>
      <c r="H260" s="147">
        <v>29.99</v>
      </c>
      <c r="I260" s="77">
        <v>480</v>
      </c>
      <c r="J260" s="78">
        <v>95</v>
      </c>
      <c r="K260" s="39" t="s">
        <v>1327</v>
      </c>
      <c r="L260" s="145" t="s">
        <v>1363</v>
      </c>
      <c r="M260" s="110" t="s">
        <v>1364</v>
      </c>
      <c r="N260" s="40">
        <v>43388</v>
      </c>
      <c r="O260" s="63" t="s">
        <v>17</v>
      </c>
      <c r="P260" s="63" t="s">
        <v>17</v>
      </c>
      <c r="Q260" s="63" t="s">
        <v>17</v>
      </c>
      <c r="R260" s="81"/>
      <c r="S260" s="80" t="s">
        <v>11</v>
      </c>
      <c r="T260" s="80" t="s">
        <v>11</v>
      </c>
      <c r="U260" s="82">
        <v>56.8</v>
      </c>
      <c r="V260" s="83"/>
      <c r="W260" s="83"/>
      <c r="X260" s="83">
        <v>550</v>
      </c>
      <c r="Y260" s="83">
        <v>700</v>
      </c>
      <c r="Z260" s="83">
        <v>850</v>
      </c>
      <c r="AA260" s="100">
        <v>3</v>
      </c>
      <c r="AB260" s="100">
        <v>6</v>
      </c>
      <c r="AC260" s="100">
        <v>9</v>
      </c>
      <c r="AD260" s="100">
        <v>15</v>
      </c>
      <c r="AE260" s="100">
        <v>22.49</v>
      </c>
      <c r="AF260" s="100">
        <v>29.99</v>
      </c>
      <c r="AG260" s="100">
        <v>92.7</v>
      </c>
      <c r="AH260" s="100">
        <v>94.3</v>
      </c>
      <c r="AI260" s="100">
        <v>94.8</v>
      </c>
      <c r="AJ260" s="100">
        <v>95.2</v>
      </c>
      <c r="AK260" s="100">
        <v>95.1</v>
      </c>
      <c r="AL260" s="100">
        <v>94.8</v>
      </c>
      <c r="AM260" s="100">
        <v>94.9</v>
      </c>
      <c r="AN260" s="100">
        <v>92.2</v>
      </c>
      <c r="AO260" s="100">
        <v>94.2</v>
      </c>
      <c r="AP260" s="100">
        <v>94.6</v>
      </c>
      <c r="AQ260" s="100">
        <v>95.3</v>
      </c>
      <c r="AR260" s="100">
        <v>95.4</v>
      </c>
      <c r="AS260" s="100">
        <v>95.5</v>
      </c>
      <c r="AT260" s="100">
        <v>95.1</v>
      </c>
      <c r="AU260" s="100">
        <v>89.6</v>
      </c>
      <c r="AV260" s="100">
        <v>92.8</v>
      </c>
      <c r="AW260" s="100">
        <v>93.3</v>
      </c>
      <c r="AX260" s="100">
        <v>94.8</v>
      </c>
      <c r="AY260" s="100">
        <v>95.2</v>
      </c>
      <c r="AZ260" s="100">
        <v>95.4</v>
      </c>
      <c r="BA260" s="100">
        <v>94.6</v>
      </c>
      <c r="BB260" s="40">
        <v>43132</v>
      </c>
      <c r="BC260" s="40">
        <v>43480</v>
      </c>
    </row>
    <row r="261" spans="1:55" s="120" customFormat="1" ht="45">
      <c r="A261" s="5" t="s">
        <v>818</v>
      </c>
      <c r="B261" s="76" t="s">
        <v>1026</v>
      </c>
      <c r="C261" s="79" t="s">
        <v>10</v>
      </c>
      <c r="D261" s="79" t="s">
        <v>10</v>
      </c>
      <c r="E261" s="63" t="s">
        <v>11</v>
      </c>
      <c r="F261" s="63" t="s">
        <v>11</v>
      </c>
      <c r="G261" s="76" t="s">
        <v>643</v>
      </c>
      <c r="H261" s="147">
        <v>29.99</v>
      </c>
      <c r="I261" s="77">
        <v>480</v>
      </c>
      <c r="J261" s="78">
        <v>95</v>
      </c>
      <c r="K261" s="39" t="s">
        <v>1327</v>
      </c>
      <c r="L261" s="145" t="s">
        <v>1363</v>
      </c>
      <c r="M261" s="110" t="s">
        <v>1364</v>
      </c>
      <c r="N261" s="40">
        <v>43388</v>
      </c>
      <c r="O261" s="63" t="s">
        <v>17</v>
      </c>
      <c r="P261" s="63" t="s">
        <v>17</v>
      </c>
      <c r="Q261" s="63" t="s">
        <v>17</v>
      </c>
      <c r="R261" s="81"/>
      <c r="S261" s="80" t="s">
        <v>11</v>
      </c>
      <c r="T261" s="80" t="s">
        <v>11</v>
      </c>
      <c r="U261" s="82">
        <v>51.2</v>
      </c>
      <c r="V261" s="83"/>
      <c r="W261" s="83"/>
      <c r="X261" s="83">
        <v>550</v>
      </c>
      <c r="Y261" s="83">
        <v>700</v>
      </c>
      <c r="Z261" s="83">
        <v>850</v>
      </c>
      <c r="AA261" s="100">
        <v>3</v>
      </c>
      <c r="AB261" s="100">
        <v>6</v>
      </c>
      <c r="AC261" s="100">
        <v>9</v>
      </c>
      <c r="AD261" s="100">
        <v>15</v>
      </c>
      <c r="AE261" s="100">
        <v>22.49</v>
      </c>
      <c r="AF261" s="100">
        <v>29.99</v>
      </c>
      <c r="AG261" s="100">
        <v>92.3</v>
      </c>
      <c r="AH261" s="100">
        <v>94.4</v>
      </c>
      <c r="AI261" s="100">
        <v>94.8</v>
      </c>
      <c r="AJ261" s="100">
        <v>95.2</v>
      </c>
      <c r="AK261" s="100">
        <v>95.2</v>
      </c>
      <c r="AL261" s="100">
        <v>94.8</v>
      </c>
      <c r="AM261" s="100">
        <v>95</v>
      </c>
      <c r="AN261" s="100">
        <v>91.3</v>
      </c>
      <c r="AO261" s="100">
        <v>94</v>
      </c>
      <c r="AP261" s="100">
        <v>94.6</v>
      </c>
      <c r="AQ261" s="100">
        <v>95.3</v>
      </c>
      <c r="AR261" s="100">
        <v>95.4</v>
      </c>
      <c r="AS261" s="100">
        <v>95.3</v>
      </c>
      <c r="AT261" s="100">
        <v>95</v>
      </c>
      <c r="AU261" s="100">
        <v>88.7</v>
      </c>
      <c r="AV261" s="100">
        <v>92.1</v>
      </c>
      <c r="AW261" s="100">
        <v>93.4</v>
      </c>
      <c r="AX261" s="100">
        <v>94.7</v>
      </c>
      <c r="AY261" s="100">
        <v>95.1</v>
      </c>
      <c r="AZ261" s="100">
        <v>95.5</v>
      </c>
      <c r="BA261" s="100">
        <v>94.4</v>
      </c>
      <c r="BB261" s="40">
        <v>43132</v>
      </c>
      <c r="BC261" s="40">
        <v>43480</v>
      </c>
    </row>
    <row r="262" spans="1:55" s="120" customFormat="1" ht="45">
      <c r="A262" s="5" t="s">
        <v>818</v>
      </c>
      <c r="B262" s="76" t="s">
        <v>1027</v>
      </c>
      <c r="C262" s="79" t="s">
        <v>10</v>
      </c>
      <c r="D262" s="79" t="s">
        <v>10</v>
      </c>
      <c r="E262" s="63" t="s">
        <v>11</v>
      </c>
      <c r="F262" s="63" t="s">
        <v>11</v>
      </c>
      <c r="G262" s="76" t="s">
        <v>583</v>
      </c>
      <c r="H262" s="90">
        <v>29.99</v>
      </c>
      <c r="I262" s="77">
        <v>480</v>
      </c>
      <c r="J262" s="78">
        <v>95</v>
      </c>
      <c r="K262" s="39" t="s">
        <v>1327</v>
      </c>
      <c r="L262" s="131" t="s">
        <v>581</v>
      </c>
      <c r="M262" s="79" t="s">
        <v>817</v>
      </c>
      <c r="N262" s="40">
        <v>43388</v>
      </c>
      <c r="O262" s="63" t="s">
        <v>17</v>
      </c>
      <c r="P262" s="63" t="s">
        <v>17</v>
      </c>
      <c r="Q262" s="63" t="s">
        <v>17</v>
      </c>
      <c r="R262" s="81"/>
      <c r="S262" s="80" t="s">
        <v>11</v>
      </c>
      <c r="T262" s="80" t="s">
        <v>11</v>
      </c>
      <c r="U262" s="82">
        <v>51.2</v>
      </c>
      <c r="V262" s="83"/>
      <c r="W262" s="83"/>
      <c r="X262" s="83">
        <v>550</v>
      </c>
      <c r="Y262" s="83">
        <v>700</v>
      </c>
      <c r="Z262" s="83">
        <v>850</v>
      </c>
      <c r="AA262" s="100">
        <v>3</v>
      </c>
      <c r="AB262" s="100">
        <v>6</v>
      </c>
      <c r="AC262" s="100">
        <v>9</v>
      </c>
      <c r="AD262" s="100">
        <v>15</v>
      </c>
      <c r="AE262" s="100">
        <v>22.49</v>
      </c>
      <c r="AF262" s="100">
        <v>29.99</v>
      </c>
      <c r="AG262" s="100">
        <v>92.3</v>
      </c>
      <c r="AH262" s="100">
        <v>94.4</v>
      </c>
      <c r="AI262" s="100">
        <v>94.8</v>
      </c>
      <c r="AJ262" s="100">
        <v>95.2</v>
      </c>
      <c r="AK262" s="100">
        <v>95.2</v>
      </c>
      <c r="AL262" s="100">
        <v>94.8</v>
      </c>
      <c r="AM262" s="100">
        <v>95</v>
      </c>
      <c r="AN262" s="100">
        <v>91.3</v>
      </c>
      <c r="AO262" s="100">
        <v>94</v>
      </c>
      <c r="AP262" s="100">
        <v>94.6</v>
      </c>
      <c r="AQ262" s="100">
        <v>95.3</v>
      </c>
      <c r="AR262" s="100">
        <v>95.4</v>
      </c>
      <c r="AS262" s="100">
        <v>95.3</v>
      </c>
      <c r="AT262" s="100">
        <v>95</v>
      </c>
      <c r="AU262" s="100">
        <v>88.7</v>
      </c>
      <c r="AV262" s="100">
        <v>92.1</v>
      </c>
      <c r="AW262" s="100">
        <v>93.4</v>
      </c>
      <c r="AX262" s="100">
        <v>94.7</v>
      </c>
      <c r="AY262" s="100">
        <v>95.1</v>
      </c>
      <c r="AZ262" s="100">
        <v>95.5</v>
      </c>
      <c r="BA262" s="100">
        <v>94.4</v>
      </c>
      <c r="BB262" s="40">
        <v>43132</v>
      </c>
      <c r="BC262" s="40">
        <v>43388</v>
      </c>
    </row>
    <row r="263" spans="1:55" s="120" customFormat="1" ht="45">
      <c r="A263" s="47" t="s">
        <v>308</v>
      </c>
      <c r="B263" s="55" t="s">
        <v>1028</v>
      </c>
      <c r="C263" s="57" t="s">
        <v>10</v>
      </c>
      <c r="D263" s="57" t="s">
        <v>10</v>
      </c>
      <c r="E263" s="43" t="s">
        <v>10</v>
      </c>
      <c r="F263" s="63" t="s">
        <v>11</v>
      </c>
      <c r="G263" s="47" t="s">
        <v>293</v>
      </c>
      <c r="H263" s="26">
        <v>0.23</v>
      </c>
      <c r="I263" s="25">
        <v>240</v>
      </c>
      <c r="J263" s="72">
        <v>97</v>
      </c>
      <c r="K263" s="39" t="s">
        <v>1327</v>
      </c>
      <c r="L263" s="129" t="s">
        <v>488</v>
      </c>
      <c r="M263" s="33" t="s">
        <v>489</v>
      </c>
      <c r="N263" s="40">
        <v>43388</v>
      </c>
      <c r="O263" s="129" t="s">
        <v>488</v>
      </c>
      <c r="P263" s="63" t="s">
        <v>17</v>
      </c>
      <c r="Q263" s="63" t="s">
        <v>17</v>
      </c>
      <c r="R263" s="41" t="s">
        <v>286</v>
      </c>
      <c r="S263" s="32" t="s">
        <v>11</v>
      </c>
      <c r="T263" s="32" t="s">
        <v>10</v>
      </c>
      <c r="U263" s="25">
        <v>0.03</v>
      </c>
      <c r="V263" s="25"/>
      <c r="W263" s="25"/>
      <c r="X263" s="25">
        <v>27</v>
      </c>
      <c r="Y263" s="25">
        <v>32</v>
      </c>
      <c r="Z263" s="25">
        <v>37</v>
      </c>
      <c r="AA263" s="95">
        <v>2.3E-2</v>
      </c>
      <c r="AB263" s="95">
        <v>4.5999999999999999E-2</v>
      </c>
      <c r="AC263" s="95">
        <v>6.9000000000000006E-2</v>
      </c>
      <c r="AD263" s="95">
        <v>0.115</v>
      </c>
      <c r="AE263" s="95">
        <v>0.17249999999999999</v>
      </c>
      <c r="AF263" s="95">
        <v>0.23</v>
      </c>
      <c r="AG263" s="95">
        <v>94.655230000000003</v>
      </c>
      <c r="AH263" s="95">
        <v>96.037739999999999</v>
      </c>
      <c r="AI263" s="95">
        <v>96.665639999999996</v>
      </c>
      <c r="AJ263" s="95">
        <v>97.423699999999997</v>
      </c>
      <c r="AK263" s="95">
        <v>97.484939999999995</v>
      </c>
      <c r="AL263" s="95">
        <v>97.25591</v>
      </c>
      <c r="AM263" s="95">
        <v>97.176760000000002</v>
      </c>
      <c r="AN263" s="95">
        <v>95.060559999999995</v>
      </c>
      <c r="AO263" s="95">
        <v>96.356809999999996</v>
      </c>
      <c r="AP263" s="95">
        <v>96.706540000000004</v>
      </c>
      <c r="AQ263" s="95">
        <v>97.392669999999995</v>
      </c>
      <c r="AR263" s="95">
        <v>97.586340000000007</v>
      </c>
      <c r="AS263" s="95">
        <v>97.529629999999997</v>
      </c>
      <c r="AT263" s="95">
        <v>97.274749999999997</v>
      </c>
      <c r="AU263" s="95">
        <v>94.744969999999995</v>
      </c>
      <c r="AV263" s="95">
        <v>96.105410000000006</v>
      </c>
      <c r="AW263" s="95">
        <v>96.43141</v>
      </c>
      <c r="AX263" s="95">
        <v>97.196730000000002</v>
      </c>
      <c r="AY263" s="95">
        <v>97.469279999999998</v>
      </c>
      <c r="AZ263" s="95">
        <v>97.483500000000006</v>
      </c>
      <c r="BA263" s="95">
        <v>97.111050000000006</v>
      </c>
      <c r="BB263" s="40">
        <v>43040</v>
      </c>
      <c r="BC263" s="40">
        <v>43388</v>
      </c>
    </row>
    <row r="264" spans="1:55" s="120" customFormat="1" ht="45">
      <c r="A264" s="47" t="s">
        <v>308</v>
      </c>
      <c r="B264" s="55" t="s">
        <v>1029</v>
      </c>
      <c r="C264" s="57" t="s">
        <v>10</v>
      </c>
      <c r="D264" s="57" t="s">
        <v>10</v>
      </c>
      <c r="E264" s="43" t="s">
        <v>10</v>
      </c>
      <c r="F264" s="63" t="s">
        <v>11</v>
      </c>
      <c r="G264" s="47" t="s">
        <v>292</v>
      </c>
      <c r="H264" s="26">
        <v>0.23</v>
      </c>
      <c r="I264" s="25">
        <v>240</v>
      </c>
      <c r="J264" s="72">
        <v>97</v>
      </c>
      <c r="K264" s="39" t="s">
        <v>1327</v>
      </c>
      <c r="L264" s="129" t="s">
        <v>488</v>
      </c>
      <c r="M264" s="33" t="s">
        <v>489</v>
      </c>
      <c r="N264" s="40">
        <v>43388</v>
      </c>
      <c r="O264" s="129" t="s">
        <v>488</v>
      </c>
      <c r="P264" s="63" t="s">
        <v>17</v>
      </c>
      <c r="Q264" s="63" t="s">
        <v>17</v>
      </c>
      <c r="R264" s="41" t="s">
        <v>286</v>
      </c>
      <c r="S264" s="32" t="s">
        <v>11</v>
      </c>
      <c r="T264" s="32" t="s">
        <v>10</v>
      </c>
      <c r="U264" s="25">
        <v>0.03</v>
      </c>
      <c r="V264" s="25"/>
      <c r="W264" s="25"/>
      <c r="X264" s="25">
        <v>27</v>
      </c>
      <c r="Y264" s="25">
        <v>32</v>
      </c>
      <c r="Z264" s="25">
        <v>37</v>
      </c>
      <c r="AA264" s="95">
        <v>2.3E-2</v>
      </c>
      <c r="AB264" s="95">
        <v>4.5999999999999999E-2</v>
      </c>
      <c r="AC264" s="95">
        <v>6.9000000000000006E-2</v>
      </c>
      <c r="AD264" s="95">
        <v>0.115</v>
      </c>
      <c r="AE264" s="95">
        <v>0.17249999999999999</v>
      </c>
      <c r="AF264" s="95">
        <v>0.23</v>
      </c>
      <c r="AG264" s="95">
        <v>94.655230000000003</v>
      </c>
      <c r="AH264" s="95">
        <v>96.037739999999999</v>
      </c>
      <c r="AI264" s="95">
        <v>96.665639999999996</v>
      </c>
      <c r="AJ264" s="95">
        <v>97.423699999999997</v>
      </c>
      <c r="AK264" s="95">
        <v>97.484939999999995</v>
      </c>
      <c r="AL264" s="95">
        <v>97.25591</v>
      </c>
      <c r="AM264" s="95">
        <v>97.176760000000002</v>
      </c>
      <c r="AN264" s="95">
        <v>95.060559999999995</v>
      </c>
      <c r="AO264" s="95">
        <v>96.356809999999996</v>
      </c>
      <c r="AP264" s="95">
        <v>96.706540000000004</v>
      </c>
      <c r="AQ264" s="95">
        <v>97.392669999999995</v>
      </c>
      <c r="AR264" s="95">
        <v>97.586340000000007</v>
      </c>
      <c r="AS264" s="95">
        <v>97.529629999999997</v>
      </c>
      <c r="AT264" s="95">
        <v>97.274749999999997</v>
      </c>
      <c r="AU264" s="95">
        <v>94.744969999999995</v>
      </c>
      <c r="AV264" s="95">
        <v>96.105410000000006</v>
      </c>
      <c r="AW264" s="95">
        <v>96.43141</v>
      </c>
      <c r="AX264" s="95">
        <v>97.196730000000002</v>
      </c>
      <c r="AY264" s="95">
        <v>97.469279999999998</v>
      </c>
      <c r="AZ264" s="95">
        <v>97.483500000000006</v>
      </c>
      <c r="BA264" s="95">
        <v>97.111050000000006</v>
      </c>
      <c r="BB264" s="40">
        <v>43040</v>
      </c>
      <c r="BC264" s="40">
        <v>43388</v>
      </c>
    </row>
    <row r="265" spans="1:55" s="120" customFormat="1" ht="45">
      <c r="A265" s="47" t="s">
        <v>308</v>
      </c>
      <c r="B265" s="55" t="s">
        <v>1030</v>
      </c>
      <c r="C265" s="57" t="s">
        <v>10</v>
      </c>
      <c r="D265" s="57" t="s">
        <v>10</v>
      </c>
      <c r="E265" s="43" t="s">
        <v>10</v>
      </c>
      <c r="F265" s="63" t="s">
        <v>11</v>
      </c>
      <c r="G265" s="47" t="s">
        <v>291</v>
      </c>
      <c r="H265" s="26">
        <v>0.23</v>
      </c>
      <c r="I265" s="25">
        <v>240</v>
      </c>
      <c r="J265" s="72">
        <v>97</v>
      </c>
      <c r="K265" s="39" t="s">
        <v>1327</v>
      </c>
      <c r="L265" s="129" t="s">
        <v>488</v>
      </c>
      <c r="M265" s="33" t="s">
        <v>489</v>
      </c>
      <c r="N265" s="40">
        <v>43388</v>
      </c>
      <c r="O265" s="129" t="s">
        <v>488</v>
      </c>
      <c r="P265" s="63" t="s">
        <v>17</v>
      </c>
      <c r="Q265" s="63" t="s">
        <v>17</v>
      </c>
      <c r="R265" s="41" t="s">
        <v>286</v>
      </c>
      <c r="S265" s="32" t="s">
        <v>11</v>
      </c>
      <c r="T265" s="32" t="s">
        <v>10</v>
      </c>
      <c r="U265" s="25">
        <v>0.03</v>
      </c>
      <c r="V265" s="25"/>
      <c r="W265" s="25"/>
      <c r="X265" s="25">
        <v>27</v>
      </c>
      <c r="Y265" s="25">
        <v>32</v>
      </c>
      <c r="Z265" s="25">
        <v>37</v>
      </c>
      <c r="AA265" s="95">
        <v>2.3E-2</v>
      </c>
      <c r="AB265" s="95">
        <v>4.5999999999999999E-2</v>
      </c>
      <c r="AC265" s="95">
        <v>6.9000000000000006E-2</v>
      </c>
      <c r="AD265" s="95">
        <v>0.115</v>
      </c>
      <c r="AE265" s="95">
        <v>0.17249999999999999</v>
      </c>
      <c r="AF265" s="95">
        <v>0.23</v>
      </c>
      <c r="AG265" s="95">
        <v>94.655230000000003</v>
      </c>
      <c r="AH265" s="95">
        <v>96.037739999999999</v>
      </c>
      <c r="AI265" s="95">
        <v>96.665639999999996</v>
      </c>
      <c r="AJ265" s="95">
        <v>97.423699999999997</v>
      </c>
      <c r="AK265" s="95">
        <v>97.484939999999995</v>
      </c>
      <c r="AL265" s="95">
        <v>97.25591</v>
      </c>
      <c r="AM265" s="95">
        <v>97.176760000000002</v>
      </c>
      <c r="AN265" s="95">
        <v>95.060559999999995</v>
      </c>
      <c r="AO265" s="95">
        <v>96.356809999999996</v>
      </c>
      <c r="AP265" s="95">
        <v>96.706540000000004</v>
      </c>
      <c r="AQ265" s="95">
        <v>97.392669999999995</v>
      </c>
      <c r="AR265" s="95">
        <v>97.586340000000007</v>
      </c>
      <c r="AS265" s="95">
        <v>97.529629999999997</v>
      </c>
      <c r="AT265" s="95">
        <v>97.274749999999997</v>
      </c>
      <c r="AU265" s="95">
        <v>94.744969999999995</v>
      </c>
      <c r="AV265" s="95">
        <v>96.105410000000006</v>
      </c>
      <c r="AW265" s="95">
        <v>96.43141</v>
      </c>
      <c r="AX265" s="95">
        <v>97.196730000000002</v>
      </c>
      <c r="AY265" s="95">
        <v>97.469279999999998</v>
      </c>
      <c r="AZ265" s="95">
        <v>97.483500000000006</v>
      </c>
      <c r="BA265" s="95">
        <v>97.111050000000006</v>
      </c>
      <c r="BB265" s="40">
        <v>43040</v>
      </c>
      <c r="BC265" s="40">
        <v>43388</v>
      </c>
    </row>
    <row r="266" spans="1:55" s="120" customFormat="1" ht="45">
      <c r="A266" s="47" t="s">
        <v>308</v>
      </c>
      <c r="B266" s="55" t="s">
        <v>1031</v>
      </c>
      <c r="C266" s="57" t="s">
        <v>10</v>
      </c>
      <c r="D266" s="57" t="s">
        <v>10</v>
      </c>
      <c r="E266" s="43" t="s">
        <v>10</v>
      </c>
      <c r="F266" s="63" t="s">
        <v>11</v>
      </c>
      <c r="G266" s="47" t="s">
        <v>290</v>
      </c>
      <c r="H266" s="26">
        <v>0.23</v>
      </c>
      <c r="I266" s="25">
        <v>240</v>
      </c>
      <c r="J266" s="72">
        <v>97</v>
      </c>
      <c r="K266" s="39" t="s">
        <v>1327</v>
      </c>
      <c r="L266" s="129" t="s">
        <v>488</v>
      </c>
      <c r="M266" s="33" t="s">
        <v>489</v>
      </c>
      <c r="N266" s="40">
        <v>43388</v>
      </c>
      <c r="O266" s="129" t="s">
        <v>488</v>
      </c>
      <c r="P266" s="63" t="s">
        <v>17</v>
      </c>
      <c r="Q266" s="63" t="s">
        <v>17</v>
      </c>
      <c r="R266" s="41" t="s">
        <v>286</v>
      </c>
      <c r="S266" s="32" t="s">
        <v>11</v>
      </c>
      <c r="T266" s="32" t="s">
        <v>10</v>
      </c>
      <c r="U266" s="25">
        <v>0.03</v>
      </c>
      <c r="V266" s="25"/>
      <c r="W266" s="25"/>
      <c r="X266" s="25">
        <v>27</v>
      </c>
      <c r="Y266" s="25">
        <v>32</v>
      </c>
      <c r="Z266" s="25">
        <v>37</v>
      </c>
      <c r="AA266" s="95">
        <v>2.3E-2</v>
      </c>
      <c r="AB266" s="95">
        <v>4.5999999999999999E-2</v>
      </c>
      <c r="AC266" s="95">
        <v>6.9000000000000006E-2</v>
      </c>
      <c r="AD266" s="95">
        <v>0.115</v>
      </c>
      <c r="AE266" s="95">
        <v>0.17249999999999999</v>
      </c>
      <c r="AF266" s="95">
        <v>0.23</v>
      </c>
      <c r="AG266" s="95">
        <v>94.655230000000003</v>
      </c>
      <c r="AH266" s="95">
        <v>96.037739999999999</v>
      </c>
      <c r="AI266" s="95">
        <v>96.665639999999996</v>
      </c>
      <c r="AJ266" s="95">
        <v>97.423699999999997</v>
      </c>
      <c r="AK266" s="95">
        <v>97.484939999999995</v>
      </c>
      <c r="AL266" s="95">
        <v>97.25591</v>
      </c>
      <c r="AM266" s="95">
        <v>97.176760000000002</v>
      </c>
      <c r="AN266" s="95">
        <v>95.060559999999995</v>
      </c>
      <c r="AO266" s="95">
        <v>96.356809999999996</v>
      </c>
      <c r="AP266" s="95">
        <v>96.706540000000004</v>
      </c>
      <c r="AQ266" s="95">
        <v>97.392669999999995</v>
      </c>
      <c r="AR266" s="95">
        <v>97.586340000000007</v>
      </c>
      <c r="AS266" s="95">
        <v>97.529629999999997</v>
      </c>
      <c r="AT266" s="95">
        <v>97.274749999999997</v>
      </c>
      <c r="AU266" s="95">
        <v>94.744969999999995</v>
      </c>
      <c r="AV266" s="95">
        <v>96.105410000000006</v>
      </c>
      <c r="AW266" s="95">
        <v>96.43141</v>
      </c>
      <c r="AX266" s="95">
        <v>97.196730000000002</v>
      </c>
      <c r="AY266" s="95">
        <v>97.469279999999998</v>
      </c>
      <c r="AZ266" s="95">
        <v>97.483500000000006</v>
      </c>
      <c r="BA266" s="95">
        <v>97.111050000000006</v>
      </c>
      <c r="BB266" s="40">
        <v>43040</v>
      </c>
      <c r="BC266" s="40">
        <v>43388</v>
      </c>
    </row>
    <row r="267" spans="1:55" s="120" customFormat="1" ht="45">
      <c r="A267" s="46" t="s">
        <v>308</v>
      </c>
      <c r="B267" s="46" t="s">
        <v>1032</v>
      </c>
      <c r="C267" s="140" t="s">
        <v>10</v>
      </c>
      <c r="D267" s="140" t="s">
        <v>10</v>
      </c>
      <c r="E267" s="43" t="s">
        <v>10</v>
      </c>
      <c r="F267" s="63" t="s">
        <v>11</v>
      </c>
      <c r="G267" s="47" t="s">
        <v>290</v>
      </c>
      <c r="H267" s="26">
        <v>0.23</v>
      </c>
      <c r="I267" s="25">
        <v>240</v>
      </c>
      <c r="J267" s="72">
        <v>97</v>
      </c>
      <c r="K267" s="39" t="s">
        <v>1327</v>
      </c>
      <c r="L267" s="129" t="s">
        <v>488</v>
      </c>
      <c r="M267" s="33" t="s">
        <v>489</v>
      </c>
      <c r="N267" s="40">
        <v>43388</v>
      </c>
      <c r="O267" s="129" t="s">
        <v>488</v>
      </c>
      <c r="P267" s="63" t="s">
        <v>17</v>
      </c>
      <c r="Q267" s="63" t="s">
        <v>17</v>
      </c>
      <c r="R267" s="41" t="s">
        <v>286</v>
      </c>
      <c r="S267" s="32" t="s">
        <v>11</v>
      </c>
      <c r="T267" s="32" t="s">
        <v>10</v>
      </c>
      <c r="U267" s="25">
        <v>0.03</v>
      </c>
      <c r="V267" s="25"/>
      <c r="W267" s="25"/>
      <c r="X267" s="25">
        <v>27</v>
      </c>
      <c r="Y267" s="25">
        <v>32</v>
      </c>
      <c r="Z267" s="25">
        <v>37</v>
      </c>
      <c r="AA267" s="95">
        <v>2.3E-2</v>
      </c>
      <c r="AB267" s="95">
        <v>4.5999999999999999E-2</v>
      </c>
      <c r="AC267" s="95">
        <v>6.9000000000000006E-2</v>
      </c>
      <c r="AD267" s="95">
        <v>0.115</v>
      </c>
      <c r="AE267" s="95">
        <v>0.17249999999999999</v>
      </c>
      <c r="AF267" s="95">
        <v>0.23</v>
      </c>
      <c r="AG267" s="95">
        <v>94.655230000000003</v>
      </c>
      <c r="AH267" s="95">
        <v>96.037739999999999</v>
      </c>
      <c r="AI267" s="95">
        <v>96.665639999999996</v>
      </c>
      <c r="AJ267" s="95">
        <v>97.423699999999997</v>
      </c>
      <c r="AK267" s="95">
        <v>97.484939999999995</v>
      </c>
      <c r="AL267" s="95">
        <v>97.25591</v>
      </c>
      <c r="AM267" s="95">
        <v>97.176760000000002</v>
      </c>
      <c r="AN267" s="95">
        <v>95.060559999999995</v>
      </c>
      <c r="AO267" s="95">
        <v>96.356809999999996</v>
      </c>
      <c r="AP267" s="95">
        <v>96.706540000000004</v>
      </c>
      <c r="AQ267" s="95">
        <v>97.392669999999995</v>
      </c>
      <c r="AR267" s="95">
        <v>97.586340000000007</v>
      </c>
      <c r="AS267" s="95">
        <v>97.529629999999997</v>
      </c>
      <c r="AT267" s="95">
        <v>97.274749999999997</v>
      </c>
      <c r="AU267" s="95">
        <v>94.744969999999995</v>
      </c>
      <c r="AV267" s="95">
        <v>96.105410000000006</v>
      </c>
      <c r="AW267" s="95">
        <v>96.43141</v>
      </c>
      <c r="AX267" s="95">
        <v>97.196730000000002</v>
      </c>
      <c r="AY267" s="95">
        <v>97.469279999999998</v>
      </c>
      <c r="AZ267" s="95">
        <v>97.483500000000006</v>
      </c>
      <c r="BA267" s="95">
        <v>97.111050000000006</v>
      </c>
      <c r="BB267" s="40">
        <v>43040</v>
      </c>
      <c r="BC267" s="40">
        <v>43388</v>
      </c>
    </row>
    <row r="268" spans="1:55" s="120" customFormat="1" ht="45">
      <c r="A268" s="47" t="s">
        <v>308</v>
      </c>
      <c r="B268" s="55" t="s">
        <v>1033</v>
      </c>
      <c r="C268" s="57" t="s">
        <v>10</v>
      </c>
      <c r="D268" s="57" t="s">
        <v>10</v>
      </c>
      <c r="E268" s="43" t="s">
        <v>10</v>
      </c>
      <c r="F268" s="63" t="s">
        <v>11</v>
      </c>
      <c r="G268" s="47" t="s">
        <v>289</v>
      </c>
      <c r="H268" s="26">
        <v>0.23</v>
      </c>
      <c r="I268" s="25">
        <v>240</v>
      </c>
      <c r="J268" s="72">
        <v>97</v>
      </c>
      <c r="K268" s="39" t="s">
        <v>1327</v>
      </c>
      <c r="L268" s="129" t="s">
        <v>488</v>
      </c>
      <c r="M268" s="33" t="s">
        <v>489</v>
      </c>
      <c r="N268" s="40">
        <v>43388</v>
      </c>
      <c r="O268" s="129" t="s">
        <v>488</v>
      </c>
      <c r="P268" s="63" t="s">
        <v>17</v>
      </c>
      <c r="Q268" s="63" t="s">
        <v>17</v>
      </c>
      <c r="R268" s="41" t="s">
        <v>286</v>
      </c>
      <c r="S268" s="32" t="s">
        <v>11</v>
      </c>
      <c r="T268" s="32" t="s">
        <v>10</v>
      </c>
      <c r="U268" s="25">
        <v>0.03</v>
      </c>
      <c r="V268" s="25"/>
      <c r="W268" s="25"/>
      <c r="X268" s="25">
        <v>27</v>
      </c>
      <c r="Y268" s="25">
        <v>32</v>
      </c>
      <c r="Z268" s="25">
        <v>37</v>
      </c>
      <c r="AA268" s="95">
        <v>2.3E-2</v>
      </c>
      <c r="AB268" s="95">
        <v>4.5999999999999999E-2</v>
      </c>
      <c r="AC268" s="95">
        <v>6.9000000000000006E-2</v>
      </c>
      <c r="AD268" s="95">
        <v>0.115</v>
      </c>
      <c r="AE268" s="95">
        <v>0.17249999999999999</v>
      </c>
      <c r="AF268" s="95">
        <v>0.23</v>
      </c>
      <c r="AG268" s="95">
        <v>94.655230000000003</v>
      </c>
      <c r="AH268" s="95">
        <v>96.037739999999999</v>
      </c>
      <c r="AI268" s="95">
        <v>96.665639999999996</v>
      </c>
      <c r="AJ268" s="95">
        <v>97.423699999999997</v>
      </c>
      <c r="AK268" s="95">
        <v>97.484939999999995</v>
      </c>
      <c r="AL268" s="95">
        <v>97.25591</v>
      </c>
      <c r="AM268" s="95">
        <v>97.176760000000002</v>
      </c>
      <c r="AN268" s="95">
        <v>95.060559999999995</v>
      </c>
      <c r="AO268" s="95">
        <v>96.356809999999996</v>
      </c>
      <c r="AP268" s="95">
        <v>96.706540000000004</v>
      </c>
      <c r="AQ268" s="95">
        <v>97.392669999999995</v>
      </c>
      <c r="AR268" s="95">
        <v>97.586340000000007</v>
      </c>
      <c r="AS268" s="95">
        <v>97.529629999999997</v>
      </c>
      <c r="AT268" s="95">
        <v>97.274749999999997</v>
      </c>
      <c r="AU268" s="95">
        <v>94.744969999999995</v>
      </c>
      <c r="AV268" s="95">
        <v>96.105410000000006</v>
      </c>
      <c r="AW268" s="95">
        <v>96.43141</v>
      </c>
      <c r="AX268" s="95">
        <v>97.196730000000002</v>
      </c>
      <c r="AY268" s="95">
        <v>97.469279999999998</v>
      </c>
      <c r="AZ268" s="95">
        <v>97.483500000000006</v>
      </c>
      <c r="BA268" s="95">
        <v>97.111050000000006</v>
      </c>
      <c r="BB268" s="40">
        <v>43040</v>
      </c>
      <c r="BC268" s="40">
        <v>43388</v>
      </c>
    </row>
    <row r="269" spans="1:55" s="120" customFormat="1" ht="45">
      <c r="A269" s="46" t="s">
        <v>308</v>
      </c>
      <c r="B269" s="46" t="s">
        <v>1034</v>
      </c>
      <c r="C269" s="140" t="s">
        <v>10</v>
      </c>
      <c r="D269" s="140" t="s">
        <v>10</v>
      </c>
      <c r="E269" s="43" t="s">
        <v>10</v>
      </c>
      <c r="F269" s="63" t="s">
        <v>11</v>
      </c>
      <c r="G269" s="47" t="s">
        <v>289</v>
      </c>
      <c r="H269" s="26">
        <v>0.23</v>
      </c>
      <c r="I269" s="25">
        <v>240</v>
      </c>
      <c r="J269" s="72">
        <v>97</v>
      </c>
      <c r="K269" s="39" t="s">
        <v>1327</v>
      </c>
      <c r="L269" s="129" t="s">
        <v>488</v>
      </c>
      <c r="M269" s="33" t="s">
        <v>489</v>
      </c>
      <c r="N269" s="40">
        <v>43388</v>
      </c>
      <c r="O269" s="129" t="s">
        <v>488</v>
      </c>
      <c r="P269" s="63" t="s">
        <v>17</v>
      </c>
      <c r="Q269" s="63" t="s">
        <v>17</v>
      </c>
      <c r="R269" s="41" t="s">
        <v>286</v>
      </c>
      <c r="S269" s="32" t="s">
        <v>11</v>
      </c>
      <c r="T269" s="32" t="s">
        <v>10</v>
      </c>
      <c r="U269" s="25">
        <v>0.03</v>
      </c>
      <c r="V269" s="25"/>
      <c r="W269" s="25"/>
      <c r="X269" s="25">
        <v>27</v>
      </c>
      <c r="Y269" s="25">
        <v>32</v>
      </c>
      <c r="Z269" s="25">
        <v>37</v>
      </c>
      <c r="AA269" s="95">
        <v>2.3E-2</v>
      </c>
      <c r="AB269" s="95">
        <v>4.5999999999999999E-2</v>
      </c>
      <c r="AC269" s="95">
        <v>6.9000000000000006E-2</v>
      </c>
      <c r="AD269" s="95">
        <v>0.115</v>
      </c>
      <c r="AE269" s="95">
        <v>0.17249999999999999</v>
      </c>
      <c r="AF269" s="95">
        <v>0.23</v>
      </c>
      <c r="AG269" s="95">
        <v>94.655230000000003</v>
      </c>
      <c r="AH269" s="95">
        <v>96.037739999999999</v>
      </c>
      <c r="AI269" s="95">
        <v>96.665639999999996</v>
      </c>
      <c r="AJ269" s="95">
        <v>97.423699999999997</v>
      </c>
      <c r="AK269" s="95">
        <v>97.484939999999995</v>
      </c>
      <c r="AL269" s="95">
        <v>97.25591</v>
      </c>
      <c r="AM269" s="95">
        <v>97.176760000000002</v>
      </c>
      <c r="AN269" s="95">
        <v>95.060559999999995</v>
      </c>
      <c r="AO269" s="95">
        <v>96.356809999999996</v>
      </c>
      <c r="AP269" s="95">
        <v>96.706540000000004</v>
      </c>
      <c r="AQ269" s="95">
        <v>97.392669999999995</v>
      </c>
      <c r="AR269" s="95">
        <v>97.586340000000007</v>
      </c>
      <c r="AS269" s="95">
        <v>97.529629999999997</v>
      </c>
      <c r="AT269" s="95">
        <v>97.274749999999997</v>
      </c>
      <c r="AU269" s="95">
        <v>94.744969999999995</v>
      </c>
      <c r="AV269" s="95">
        <v>96.105410000000006</v>
      </c>
      <c r="AW269" s="95">
        <v>96.43141</v>
      </c>
      <c r="AX269" s="95">
        <v>97.196730000000002</v>
      </c>
      <c r="AY269" s="95">
        <v>97.469279999999998</v>
      </c>
      <c r="AZ269" s="95">
        <v>97.483500000000006</v>
      </c>
      <c r="BA269" s="95">
        <v>97.111050000000006</v>
      </c>
      <c r="BB269" s="40">
        <v>43040</v>
      </c>
      <c r="BC269" s="40">
        <v>43388</v>
      </c>
    </row>
    <row r="270" spans="1:55" s="120" customFormat="1" ht="45">
      <c r="A270" s="47" t="s">
        <v>308</v>
      </c>
      <c r="B270" s="55" t="s">
        <v>1035</v>
      </c>
      <c r="C270" s="57" t="s">
        <v>10</v>
      </c>
      <c r="D270" s="57" t="s">
        <v>10</v>
      </c>
      <c r="E270" s="43" t="s">
        <v>10</v>
      </c>
      <c r="F270" s="63" t="s">
        <v>11</v>
      </c>
      <c r="G270" s="47" t="s">
        <v>288</v>
      </c>
      <c r="H270" s="26">
        <v>0.23</v>
      </c>
      <c r="I270" s="25">
        <v>240</v>
      </c>
      <c r="J270" s="72">
        <v>97</v>
      </c>
      <c r="K270" s="39" t="s">
        <v>1327</v>
      </c>
      <c r="L270" s="129" t="s">
        <v>488</v>
      </c>
      <c r="M270" s="33" t="s">
        <v>489</v>
      </c>
      <c r="N270" s="40">
        <v>43388</v>
      </c>
      <c r="O270" s="129" t="s">
        <v>488</v>
      </c>
      <c r="P270" s="63" t="s">
        <v>17</v>
      </c>
      <c r="Q270" s="63" t="s">
        <v>17</v>
      </c>
      <c r="R270" s="41" t="s">
        <v>286</v>
      </c>
      <c r="S270" s="32" t="s">
        <v>11</v>
      </c>
      <c r="T270" s="32" t="s">
        <v>10</v>
      </c>
      <c r="U270" s="25">
        <v>0.03</v>
      </c>
      <c r="V270" s="25"/>
      <c r="W270" s="25"/>
      <c r="X270" s="25">
        <v>27</v>
      </c>
      <c r="Y270" s="25">
        <v>32</v>
      </c>
      <c r="Z270" s="25">
        <v>37</v>
      </c>
      <c r="AA270" s="95">
        <v>2.3E-2</v>
      </c>
      <c r="AB270" s="95">
        <v>4.5999999999999999E-2</v>
      </c>
      <c r="AC270" s="95">
        <v>6.9000000000000006E-2</v>
      </c>
      <c r="AD270" s="95">
        <v>0.115</v>
      </c>
      <c r="AE270" s="95">
        <v>0.17249999999999999</v>
      </c>
      <c r="AF270" s="95">
        <v>0.23</v>
      </c>
      <c r="AG270" s="95">
        <v>94.655230000000003</v>
      </c>
      <c r="AH270" s="95">
        <v>96.037739999999999</v>
      </c>
      <c r="AI270" s="95">
        <v>96.665639999999996</v>
      </c>
      <c r="AJ270" s="95">
        <v>97.423699999999997</v>
      </c>
      <c r="AK270" s="95">
        <v>97.484939999999995</v>
      </c>
      <c r="AL270" s="95">
        <v>97.25591</v>
      </c>
      <c r="AM270" s="95">
        <v>97.176760000000002</v>
      </c>
      <c r="AN270" s="95">
        <v>95.060559999999995</v>
      </c>
      <c r="AO270" s="95">
        <v>96.356809999999996</v>
      </c>
      <c r="AP270" s="95">
        <v>96.706540000000004</v>
      </c>
      <c r="AQ270" s="95">
        <v>97.392669999999995</v>
      </c>
      <c r="AR270" s="95">
        <v>97.586340000000007</v>
      </c>
      <c r="AS270" s="95">
        <v>97.529629999999997</v>
      </c>
      <c r="AT270" s="95">
        <v>97.274749999999997</v>
      </c>
      <c r="AU270" s="95">
        <v>94.744969999999995</v>
      </c>
      <c r="AV270" s="95">
        <v>96.105410000000006</v>
      </c>
      <c r="AW270" s="95">
        <v>96.43141</v>
      </c>
      <c r="AX270" s="95">
        <v>97.196730000000002</v>
      </c>
      <c r="AY270" s="95">
        <v>97.469279999999998</v>
      </c>
      <c r="AZ270" s="95">
        <v>97.483500000000006</v>
      </c>
      <c r="BA270" s="95">
        <v>97.111050000000006</v>
      </c>
      <c r="BB270" s="40">
        <v>43040</v>
      </c>
      <c r="BC270" s="40">
        <v>43388</v>
      </c>
    </row>
    <row r="271" spans="1:55" s="120" customFormat="1" ht="45">
      <c r="A271" s="46" t="s">
        <v>308</v>
      </c>
      <c r="B271" s="46" t="s">
        <v>1036</v>
      </c>
      <c r="C271" s="140" t="s">
        <v>10</v>
      </c>
      <c r="D271" s="140" t="s">
        <v>10</v>
      </c>
      <c r="E271" s="43" t="s">
        <v>10</v>
      </c>
      <c r="F271" s="63" t="s">
        <v>11</v>
      </c>
      <c r="G271" s="47" t="s">
        <v>288</v>
      </c>
      <c r="H271" s="26">
        <v>0.23</v>
      </c>
      <c r="I271" s="25">
        <v>240</v>
      </c>
      <c r="J271" s="72">
        <v>97</v>
      </c>
      <c r="K271" s="39" t="s">
        <v>1327</v>
      </c>
      <c r="L271" s="129" t="s">
        <v>488</v>
      </c>
      <c r="M271" s="33" t="s">
        <v>489</v>
      </c>
      <c r="N271" s="40">
        <v>43388</v>
      </c>
      <c r="O271" s="129" t="s">
        <v>488</v>
      </c>
      <c r="P271" s="63" t="s">
        <v>17</v>
      </c>
      <c r="Q271" s="63" t="s">
        <v>17</v>
      </c>
      <c r="R271" s="41" t="s">
        <v>286</v>
      </c>
      <c r="S271" s="32" t="s">
        <v>11</v>
      </c>
      <c r="T271" s="32" t="s">
        <v>10</v>
      </c>
      <c r="U271" s="25">
        <v>0.03</v>
      </c>
      <c r="V271" s="25"/>
      <c r="W271" s="25"/>
      <c r="X271" s="25">
        <v>27</v>
      </c>
      <c r="Y271" s="25">
        <v>32</v>
      </c>
      <c r="Z271" s="25">
        <v>37</v>
      </c>
      <c r="AA271" s="95">
        <v>2.3E-2</v>
      </c>
      <c r="AB271" s="95">
        <v>4.5999999999999999E-2</v>
      </c>
      <c r="AC271" s="95">
        <v>6.9000000000000006E-2</v>
      </c>
      <c r="AD271" s="95">
        <v>0.115</v>
      </c>
      <c r="AE271" s="95">
        <v>0.17249999999999999</v>
      </c>
      <c r="AF271" s="95">
        <v>0.23</v>
      </c>
      <c r="AG271" s="95">
        <v>94.655230000000003</v>
      </c>
      <c r="AH271" s="95">
        <v>96.037739999999999</v>
      </c>
      <c r="AI271" s="95">
        <v>96.665639999999996</v>
      </c>
      <c r="AJ271" s="95">
        <v>97.423699999999997</v>
      </c>
      <c r="AK271" s="95">
        <v>97.484939999999995</v>
      </c>
      <c r="AL271" s="95">
        <v>97.25591</v>
      </c>
      <c r="AM271" s="95">
        <v>97.176760000000002</v>
      </c>
      <c r="AN271" s="95">
        <v>95.060559999999995</v>
      </c>
      <c r="AO271" s="95">
        <v>96.356809999999996</v>
      </c>
      <c r="AP271" s="95">
        <v>96.706540000000004</v>
      </c>
      <c r="AQ271" s="95">
        <v>97.392669999999995</v>
      </c>
      <c r="AR271" s="95">
        <v>97.586340000000007</v>
      </c>
      <c r="AS271" s="95">
        <v>97.529629999999997</v>
      </c>
      <c r="AT271" s="95">
        <v>97.274749999999997</v>
      </c>
      <c r="AU271" s="95">
        <v>94.744969999999995</v>
      </c>
      <c r="AV271" s="95">
        <v>96.105410000000006</v>
      </c>
      <c r="AW271" s="95">
        <v>96.43141</v>
      </c>
      <c r="AX271" s="95">
        <v>97.196730000000002</v>
      </c>
      <c r="AY271" s="95">
        <v>97.469279999999998</v>
      </c>
      <c r="AZ271" s="95">
        <v>97.483500000000006</v>
      </c>
      <c r="BA271" s="95">
        <v>97.111050000000006</v>
      </c>
      <c r="BB271" s="40">
        <v>43040</v>
      </c>
      <c r="BC271" s="40">
        <v>43388</v>
      </c>
    </row>
    <row r="272" spans="1:55" s="120" customFormat="1" ht="45">
      <c r="A272" s="47" t="s">
        <v>308</v>
      </c>
      <c r="B272" s="55" t="s">
        <v>1037</v>
      </c>
      <c r="C272" s="57" t="s">
        <v>10</v>
      </c>
      <c r="D272" s="57" t="s">
        <v>10</v>
      </c>
      <c r="E272" s="43" t="s">
        <v>10</v>
      </c>
      <c r="F272" s="63" t="s">
        <v>11</v>
      </c>
      <c r="G272" s="47" t="s">
        <v>287</v>
      </c>
      <c r="H272" s="26">
        <v>0.23</v>
      </c>
      <c r="I272" s="25">
        <v>240</v>
      </c>
      <c r="J272" s="72">
        <v>97</v>
      </c>
      <c r="K272" s="39" t="s">
        <v>1327</v>
      </c>
      <c r="L272" s="129" t="s">
        <v>488</v>
      </c>
      <c r="M272" s="33" t="s">
        <v>489</v>
      </c>
      <c r="N272" s="40">
        <v>43388</v>
      </c>
      <c r="O272" s="129" t="s">
        <v>488</v>
      </c>
      <c r="P272" s="63" t="s">
        <v>17</v>
      </c>
      <c r="Q272" s="63" t="s">
        <v>17</v>
      </c>
      <c r="R272" s="41" t="s">
        <v>286</v>
      </c>
      <c r="S272" s="32" t="s">
        <v>11</v>
      </c>
      <c r="T272" s="32" t="s">
        <v>10</v>
      </c>
      <c r="U272" s="25">
        <v>0.03</v>
      </c>
      <c r="V272" s="25"/>
      <c r="W272" s="25"/>
      <c r="X272" s="25">
        <v>27</v>
      </c>
      <c r="Y272" s="25">
        <v>32</v>
      </c>
      <c r="Z272" s="25">
        <v>37</v>
      </c>
      <c r="AA272" s="95">
        <v>2.3E-2</v>
      </c>
      <c r="AB272" s="95">
        <v>4.5999999999999999E-2</v>
      </c>
      <c r="AC272" s="95">
        <v>6.9000000000000006E-2</v>
      </c>
      <c r="AD272" s="95">
        <v>0.115</v>
      </c>
      <c r="AE272" s="95">
        <v>0.17249999999999999</v>
      </c>
      <c r="AF272" s="95">
        <v>0.23</v>
      </c>
      <c r="AG272" s="95">
        <v>94.655230000000003</v>
      </c>
      <c r="AH272" s="95">
        <v>96.037739999999999</v>
      </c>
      <c r="AI272" s="95">
        <v>96.665639999999996</v>
      </c>
      <c r="AJ272" s="95">
        <v>97.423699999999997</v>
      </c>
      <c r="AK272" s="95">
        <v>97.484939999999995</v>
      </c>
      <c r="AL272" s="95">
        <v>97.25591</v>
      </c>
      <c r="AM272" s="95">
        <v>97.176760000000002</v>
      </c>
      <c r="AN272" s="95">
        <v>95.060559999999995</v>
      </c>
      <c r="AO272" s="95">
        <v>96.356809999999996</v>
      </c>
      <c r="AP272" s="95">
        <v>96.706540000000004</v>
      </c>
      <c r="AQ272" s="95">
        <v>97.392669999999995</v>
      </c>
      <c r="AR272" s="95">
        <v>97.586340000000007</v>
      </c>
      <c r="AS272" s="95">
        <v>97.529629999999997</v>
      </c>
      <c r="AT272" s="95">
        <v>97.274749999999997</v>
      </c>
      <c r="AU272" s="95">
        <v>94.744969999999995</v>
      </c>
      <c r="AV272" s="95">
        <v>96.105410000000006</v>
      </c>
      <c r="AW272" s="95">
        <v>96.43141</v>
      </c>
      <c r="AX272" s="95">
        <v>97.196730000000002</v>
      </c>
      <c r="AY272" s="95">
        <v>97.469279999999998</v>
      </c>
      <c r="AZ272" s="95">
        <v>97.483500000000006</v>
      </c>
      <c r="BA272" s="95">
        <v>97.111050000000006</v>
      </c>
      <c r="BB272" s="40">
        <v>43040</v>
      </c>
      <c r="BC272" s="40">
        <v>43388</v>
      </c>
    </row>
    <row r="273" spans="1:55" s="120" customFormat="1" ht="45">
      <c r="A273" s="46" t="s">
        <v>308</v>
      </c>
      <c r="B273" s="46" t="s">
        <v>1038</v>
      </c>
      <c r="C273" s="140" t="s">
        <v>10</v>
      </c>
      <c r="D273" s="140" t="s">
        <v>10</v>
      </c>
      <c r="E273" s="43" t="s">
        <v>10</v>
      </c>
      <c r="F273" s="63" t="s">
        <v>11</v>
      </c>
      <c r="G273" s="47" t="s">
        <v>287</v>
      </c>
      <c r="H273" s="26">
        <v>0.23</v>
      </c>
      <c r="I273" s="25">
        <v>240</v>
      </c>
      <c r="J273" s="72">
        <v>97</v>
      </c>
      <c r="K273" s="39" t="s">
        <v>1327</v>
      </c>
      <c r="L273" s="129" t="s">
        <v>488</v>
      </c>
      <c r="M273" s="33" t="s">
        <v>489</v>
      </c>
      <c r="N273" s="40">
        <v>43388</v>
      </c>
      <c r="O273" s="129" t="s">
        <v>488</v>
      </c>
      <c r="P273" s="63" t="s">
        <v>17</v>
      </c>
      <c r="Q273" s="63" t="s">
        <v>17</v>
      </c>
      <c r="R273" s="41" t="s">
        <v>286</v>
      </c>
      <c r="S273" s="32" t="s">
        <v>11</v>
      </c>
      <c r="T273" s="32" t="s">
        <v>10</v>
      </c>
      <c r="U273" s="25">
        <v>0.03</v>
      </c>
      <c r="V273" s="25"/>
      <c r="W273" s="25"/>
      <c r="X273" s="25">
        <v>27</v>
      </c>
      <c r="Y273" s="25">
        <v>32</v>
      </c>
      <c r="Z273" s="25">
        <v>37</v>
      </c>
      <c r="AA273" s="95">
        <v>2.3E-2</v>
      </c>
      <c r="AB273" s="95">
        <v>4.5999999999999999E-2</v>
      </c>
      <c r="AC273" s="95">
        <v>6.9000000000000006E-2</v>
      </c>
      <c r="AD273" s="95">
        <v>0.115</v>
      </c>
      <c r="AE273" s="95">
        <v>0.17249999999999999</v>
      </c>
      <c r="AF273" s="95">
        <v>0.23</v>
      </c>
      <c r="AG273" s="95">
        <v>94.655230000000003</v>
      </c>
      <c r="AH273" s="95">
        <v>96.037739999999999</v>
      </c>
      <c r="AI273" s="95">
        <v>96.665639999999996</v>
      </c>
      <c r="AJ273" s="95">
        <v>97.423699999999997</v>
      </c>
      <c r="AK273" s="95">
        <v>97.484939999999995</v>
      </c>
      <c r="AL273" s="95">
        <v>97.25591</v>
      </c>
      <c r="AM273" s="95">
        <v>97.176760000000002</v>
      </c>
      <c r="AN273" s="95">
        <v>95.060559999999995</v>
      </c>
      <c r="AO273" s="95">
        <v>96.356809999999996</v>
      </c>
      <c r="AP273" s="95">
        <v>96.706540000000004</v>
      </c>
      <c r="AQ273" s="95">
        <v>97.392669999999995</v>
      </c>
      <c r="AR273" s="95">
        <v>97.586340000000007</v>
      </c>
      <c r="AS273" s="95">
        <v>97.529629999999997</v>
      </c>
      <c r="AT273" s="95">
        <v>97.274749999999997</v>
      </c>
      <c r="AU273" s="95">
        <v>94.744969999999995</v>
      </c>
      <c r="AV273" s="95">
        <v>96.105410000000006</v>
      </c>
      <c r="AW273" s="95">
        <v>96.43141</v>
      </c>
      <c r="AX273" s="95">
        <v>97.196730000000002</v>
      </c>
      <c r="AY273" s="95">
        <v>97.469279999999998</v>
      </c>
      <c r="AZ273" s="95">
        <v>97.483500000000006</v>
      </c>
      <c r="BA273" s="95">
        <v>97.111050000000006</v>
      </c>
      <c r="BB273" s="40">
        <v>43040</v>
      </c>
      <c r="BC273" s="40">
        <v>43388</v>
      </c>
    </row>
    <row r="274" spans="1:55" s="120" customFormat="1" ht="45">
      <c r="A274" s="47" t="s">
        <v>308</v>
      </c>
      <c r="B274" s="55" t="s">
        <v>1039</v>
      </c>
      <c r="C274" s="57" t="s">
        <v>10</v>
      </c>
      <c r="D274" s="57" t="s">
        <v>10</v>
      </c>
      <c r="E274" s="43" t="s">
        <v>10</v>
      </c>
      <c r="F274" s="63" t="s">
        <v>11</v>
      </c>
      <c r="G274" s="47" t="s">
        <v>285</v>
      </c>
      <c r="H274" s="26">
        <v>0.23</v>
      </c>
      <c r="I274" s="25">
        <v>240</v>
      </c>
      <c r="J274" s="72">
        <v>97</v>
      </c>
      <c r="K274" s="39" t="s">
        <v>1327</v>
      </c>
      <c r="L274" s="129" t="s">
        <v>488</v>
      </c>
      <c r="M274" s="33" t="s">
        <v>489</v>
      </c>
      <c r="N274" s="40">
        <v>43388</v>
      </c>
      <c r="O274" s="129" t="s">
        <v>488</v>
      </c>
      <c r="P274" s="63" t="s">
        <v>17</v>
      </c>
      <c r="Q274" s="63" t="s">
        <v>17</v>
      </c>
      <c r="R274" s="41" t="s">
        <v>286</v>
      </c>
      <c r="S274" s="32" t="s">
        <v>11</v>
      </c>
      <c r="T274" s="32" t="s">
        <v>10</v>
      </c>
      <c r="U274" s="25">
        <v>0.03</v>
      </c>
      <c r="V274" s="25"/>
      <c r="W274" s="25"/>
      <c r="X274" s="25">
        <v>27</v>
      </c>
      <c r="Y274" s="25">
        <v>32</v>
      </c>
      <c r="Z274" s="25">
        <v>37</v>
      </c>
      <c r="AA274" s="95">
        <v>2.3E-2</v>
      </c>
      <c r="AB274" s="95">
        <v>4.5999999999999999E-2</v>
      </c>
      <c r="AC274" s="95">
        <v>6.9000000000000006E-2</v>
      </c>
      <c r="AD274" s="95">
        <v>0.115</v>
      </c>
      <c r="AE274" s="95">
        <v>0.17249999999999999</v>
      </c>
      <c r="AF274" s="95">
        <v>0.23</v>
      </c>
      <c r="AG274" s="95">
        <v>94.655230000000003</v>
      </c>
      <c r="AH274" s="95">
        <v>96.037739999999999</v>
      </c>
      <c r="AI274" s="95">
        <v>96.665639999999996</v>
      </c>
      <c r="AJ274" s="95">
        <v>97.423699999999997</v>
      </c>
      <c r="AK274" s="95">
        <v>97.484939999999995</v>
      </c>
      <c r="AL274" s="95">
        <v>97.25591</v>
      </c>
      <c r="AM274" s="95">
        <v>97.176760000000002</v>
      </c>
      <c r="AN274" s="95">
        <v>95.060559999999995</v>
      </c>
      <c r="AO274" s="95">
        <v>96.356809999999996</v>
      </c>
      <c r="AP274" s="95">
        <v>96.706540000000004</v>
      </c>
      <c r="AQ274" s="95">
        <v>97.392669999999995</v>
      </c>
      <c r="AR274" s="95">
        <v>97.586340000000007</v>
      </c>
      <c r="AS274" s="95">
        <v>97.529629999999997</v>
      </c>
      <c r="AT274" s="95">
        <v>97.274749999999997</v>
      </c>
      <c r="AU274" s="95">
        <v>94.744969999999995</v>
      </c>
      <c r="AV274" s="95">
        <v>96.105410000000006</v>
      </c>
      <c r="AW274" s="95">
        <v>96.43141</v>
      </c>
      <c r="AX274" s="95">
        <v>97.196730000000002</v>
      </c>
      <c r="AY274" s="95">
        <v>97.469279999999998</v>
      </c>
      <c r="AZ274" s="95">
        <v>97.483500000000006</v>
      </c>
      <c r="BA274" s="95">
        <v>97.111050000000006</v>
      </c>
      <c r="BB274" s="40">
        <v>43040</v>
      </c>
      <c r="BC274" s="40">
        <v>43388</v>
      </c>
    </row>
    <row r="275" spans="1:55" s="120" customFormat="1" ht="45">
      <c r="A275" s="46" t="s">
        <v>308</v>
      </c>
      <c r="B275" s="46" t="s">
        <v>1040</v>
      </c>
      <c r="C275" s="140" t="s">
        <v>10</v>
      </c>
      <c r="D275" s="140" t="s">
        <v>10</v>
      </c>
      <c r="E275" s="43" t="s">
        <v>10</v>
      </c>
      <c r="F275" s="63" t="s">
        <v>11</v>
      </c>
      <c r="G275" s="47" t="s">
        <v>285</v>
      </c>
      <c r="H275" s="26">
        <v>0.23</v>
      </c>
      <c r="I275" s="25">
        <v>240</v>
      </c>
      <c r="J275" s="72">
        <v>97</v>
      </c>
      <c r="K275" s="39" t="s">
        <v>1327</v>
      </c>
      <c r="L275" s="129" t="s">
        <v>488</v>
      </c>
      <c r="M275" s="33" t="s">
        <v>489</v>
      </c>
      <c r="N275" s="40">
        <v>43388</v>
      </c>
      <c r="O275" s="129" t="s">
        <v>488</v>
      </c>
      <c r="P275" s="63" t="s">
        <v>17</v>
      </c>
      <c r="Q275" s="63" t="s">
        <v>17</v>
      </c>
      <c r="R275" s="41" t="s">
        <v>286</v>
      </c>
      <c r="S275" s="32" t="s">
        <v>11</v>
      </c>
      <c r="T275" s="32" t="s">
        <v>10</v>
      </c>
      <c r="U275" s="25">
        <v>0.03</v>
      </c>
      <c r="V275" s="25"/>
      <c r="W275" s="25"/>
      <c r="X275" s="25">
        <v>27</v>
      </c>
      <c r="Y275" s="25">
        <v>32</v>
      </c>
      <c r="Z275" s="25">
        <v>37</v>
      </c>
      <c r="AA275" s="95">
        <v>2.3E-2</v>
      </c>
      <c r="AB275" s="95">
        <v>4.5999999999999999E-2</v>
      </c>
      <c r="AC275" s="95">
        <v>6.9000000000000006E-2</v>
      </c>
      <c r="AD275" s="95">
        <v>0.115</v>
      </c>
      <c r="AE275" s="95">
        <v>0.17249999999999999</v>
      </c>
      <c r="AF275" s="95">
        <v>0.23</v>
      </c>
      <c r="AG275" s="95">
        <v>94.655230000000003</v>
      </c>
      <c r="AH275" s="95">
        <v>96.037739999999999</v>
      </c>
      <c r="AI275" s="95">
        <v>96.665639999999996</v>
      </c>
      <c r="AJ275" s="95">
        <v>97.423699999999997</v>
      </c>
      <c r="AK275" s="95">
        <v>97.484939999999995</v>
      </c>
      <c r="AL275" s="95">
        <v>97.25591</v>
      </c>
      <c r="AM275" s="95">
        <v>97.176760000000002</v>
      </c>
      <c r="AN275" s="95">
        <v>95.060559999999995</v>
      </c>
      <c r="AO275" s="95">
        <v>96.356809999999996</v>
      </c>
      <c r="AP275" s="95">
        <v>96.706540000000004</v>
      </c>
      <c r="AQ275" s="95">
        <v>97.392669999999995</v>
      </c>
      <c r="AR275" s="95">
        <v>97.586340000000007</v>
      </c>
      <c r="AS275" s="95">
        <v>97.529629999999997</v>
      </c>
      <c r="AT275" s="95">
        <v>97.274749999999997</v>
      </c>
      <c r="AU275" s="95">
        <v>94.744969999999995</v>
      </c>
      <c r="AV275" s="95">
        <v>96.105410000000006</v>
      </c>
      <c r="AW275" s="95">
        <v>96.43141</v>
      </c>
      <c r="AX275" s="95">
        <v>97.196730000000002</v>
      </c>
      <c r="AY275" s="95">
        <v>97.469279999999998</v>
      </c>
      <c r="AZ275" s="95">
        <v>97.483500000000006</v>
      </c>
      <c r="BA275" s="95">
        <v>97.111050000000006</v>
      </c>
      <c r="BB275" s="40">
        <v>43040</v>
      </c>
      <c r="BC275" s="40">
        <v>43388</v>
      </c>
    </row>
    <row r="276" spans="1:55" s="120" customFormat="1" ht="45">
      <c r="A276" s="46" t="s">
        <v>308</v>
      </c>
      <c r="B276" s="46" t="s">
        <v>1041</v>
      </c>
      <c r="C276" s="140" t="s">
        <v>10</v>
      </c>
      <c r="D276" s="140" t="s">
        <v>10</v>
      </c>
      <c r="E276" s="43" t="s">
        <v>10</v>
      </c>
      <c r="F276" s="63" t="s">
        <v>11</v>
      </c>
      <c r="G276" s="47" t="s">
        <v>294</v>
      </c>
      <c r="H276" s="26">
        <v>0.23</v>
      </c>
      <c r="I276" s="25">
        <v>240</v>
      </c>
      <c r="J276" s="72">
        <v>97</v>
      </c>
      <c r="K276" s="39" t="s">
        <v>1327</v>
      </c>
      <c r="L276" s="129" t="s">
        <v>488</v>
      </c>
      <c r="M276" s="33" t="s">
        <v>489</v>
      </c>
      <c r="N276" s="40">
        <v>43388</v>
      </c>
      <c r="O276" s="129" t="s">
        <v>488</v>
      </c>
      <c r="P276" s="63" t="s">
        <v>17</v>
      </c>
      <c r="Q276" s="63" t="s">
        <v>17</v>
      </c>
      <c r="R276" s="41" t="s">
        <v>286</v>
      </c>
      <c r="S276" s="32" t="s">
        <v>11</v>
      </c>
      <c r="T276" s="32" t="s">
        <v>10</v>
      </c>
      <c r="U276" s="25">
        <v>0.03</v>
      </c>
      <c r="V276" s="25"/>
      <c r="W276" s="25"/>
      <c r="X276" s="25">
        <v>27</v>
      </c>
      <c r="Y276" s="25">
        <v>32</v>
      </c>
      <c r="Z276" s="25">
        <v>37</v>
      </c>
      <c r="AA276" s="95">
        <v>2.3E-2</v>
      </c>
      <c r="AB276" s="95">
        <v>4.5999999999999999E-2</v>
      </c>
      <c r="AC276" s="95">
        <v>6.9000000000000006E-2</v>
      </c>
      <c r="AD276" s="95">
        <v>0.115</v>
      </c>
      <c r="AE276" s="95">
        <v>0.17249999999999999</v>
      </c>
      <c r="AF276" s="95">
        <v>0.23</v>
      </c>
      <c r="AG276" s="95">
        <v>94.655230000000003</v>
      </c>
      <c r="AH276" s="95">
        <v>96.037739999999999</v>
      </c>
      <c r="AI276" s="95">
        <v>96.665639999999996</v>
      </c>
      <c r="AJ276" s="95">
        <v>97.423699999999997</v>
      </c>
      <c r="AK276" s="95">
        <v>97.484939999999995</v>
      </c>
      <c r="AL276" s="95">
        <v>97.25591</v>
      </c>
      <c r="AM276" s="95">
        <v>97.176760000000002</v>
      </c>
      <c r="AN276" s="95">
        <v>95.060559999999995</v>
      </c>
      <c r="AO276" s="95">
        <v>96.356809999999996</v>
      </c>
      <c r="AP276" s="95">
        <v>96.706540000000004</v>
      </c>
      <c r="AQ276" s="95">
        <v>97.392669999999995</v>
      </c>
      <c r="AR276" s="95">
        <v>97.586340000000007</v>
      </c>
      <c r="AS276" s="95">
        <v>97.529629999999997</v>
      </c>
      <c r="AT276" s="95">
        <v>97.274749999999997</v>
      </c>
      <c r="AU276" s="95">
        <v>94.744969999999995</v>
      </c>
      <c r="AV276" s="95">
        <v>96.105410000000006</v>
      </c>
      <c r="AW276" s="95">
        <v>96.43141</v>
      </c>
      <c r="AX276" s="95">
        <v>97.196730000000002</v>
      </c>
      <c r="AY276" s="95">
        <v>97.469279999999998</v>
      </c>
      <c r="AZ276" s="95">
        <v>97.483500000000006</v>
      </c>
      <c r="BA276" s="95">
        <v>97.111050000000006</v>
      </c>
      <c r="BB276" s="40">
        <v>43040</v>
      </c>
      <c r="BC276" s="40">
        <v>43388</v>
      </c>
    </row>
    <row r="277" spans="1:55" s="120" customFormat="1" ht="45">
      <c r="A277" s="74" t="s">
        <v>833</v>
      </c>
      <c r="B277" s="74" t="s">
        <v>1042</v>
      </c>
      <c r="C277" s="63" t="s">
        <v>10</v>
      </c>
      <c r="D277" s="63" t="s">
        <v>10</v>
      </c>
      <c r="E277" s="63" t="s">
        <v>11</v>
      </c>
      <c r="F277" s="63" t="s">
        <v>11</v>
      </c>
      <c r="G277" s="75" t="s">
        <v>256</v>
      </c>
      <c r="H277" s="35">
        <v>0.5</v>
      </c>
      <c r="I277" s="44">
        <v>240</v>
      </c>
      <c r="J277" s="53">
        <v>95.5</v>
      </c>
      <c r="K277" s="39" t="s">
        <v>1324</v>
      </c>
      <c r="L277" s="129" t="s">
        <v>504</v>
      </c>
      <c r="M277" s="45" t="s">
        <v>505</v>
      </c>
      <c r="N277" s="40">
        <v>43388</v>
      </c>
      <c r="O277" s="63" t="s">
        <v>17</v>
      </c>
      <c r="P277" s="63" t="s">
        <v>17</v>
      </c>
      <c r="Q277" s="63" t="s">
        <v>17</v>
      </c>
      <c r="R277" s="71"/>
      <c r="S277" s="73" t="s">
        <v>11</v>
      </c>
      <c r="T277" s="73" t="s">
        <v>10</v>
      </c>
      <c r="U277" s="54">
        <v>0.09</v>
      </c>
      <c r="V277" s="67"/>
      <c r="W277" s="67"/>
      <c r="X277" s="67">
        <v>27</v>
      </c>
      <c r="Y277" s="67">
        <v>36</v>
      </c>
      <c r="Z277" s="67">
        <v>45</v>
      </c>
      <c r="AA277" s="101">
        <v>0.05</v>
      </c>
      <c r="AB277" s="101">
        <v>0.1</v>
      </c>
      <c r="AC277" s="101">
        <v>0.15</v>
      </c>
      <c r="AD277" s="101">
        <v>0.25</v>
      </c>
      <c r="AE277" s="101">
        <v>0.375</v>
      </c>
      <c r="AF277" s="101">
        <v>0.5</v>
      </c>
      <c r="AG277" s="102">
        <v>94.6</v>
      </c>
      <c r="AH277" s="102">
        <v>95.4</v>
      </c>
      <c r="AI277" s="102">
        <v>95.6</v>
      </c>
      <c r="AJ277" s="102">
        <v>95.6</v>
      </c>
      <c r="AK277" s="102">
        <v>95.4</v>
      </c>
      <c r="AL277" s="102">
        <v>94.9</v>
      </c>
      <c r="AM277" s="102">
        <v>95.4</v>
      </c>
      <c r="AN277" s="102">
        <v>94.2</v>
      </c>
      <c r="AO277" s="102">
        <v>95.6</v>
      </c>
      <c r="AP277" s="102">
        <v>95.2</v>
      </c>
      <c r="AQ277" s="102">
        <v>95.9</v>
      </c>
      <c r="AR277" s="102">
        <v>95.7</v>
      </c>
      <c r="AS277" s="102">
        <v>95.3</v>
      </c>
      <c r="AT277" s="102">
        <v>95.6</v>
      </c>
      <c r="AU277" s="102">
        <v>93.7</v>
      </c>
      <c r="AV277" s="102">
        <v>93.8</v>
      </c>
      <c r="AW277" s="102">
        <v>94.8</v>
      </c>
      <c r="AX277" s="102">
        <v>95.9</v>
      </c>
      <c r="AY277" s="102">
        <v>95.7</v>
      </c>
      <c r="AZ277" s="102">
        <v>95.5</v>
      </c>
      <c r="BA277" s="103">
        <v>95.5</v>
      </c>
      <c r="BB277" s="40">
        <v>43021</v>
      </c>
      <c r="BC277" s="40">
        <v>43388</v>
      </c>
    </row>
    <row r="278" spans="1:55" s="120" customFormat="1" ht="45">
      <c r="A278" s="74" t="s">
        <v>833</v>
      </c>
      <c r="B278" s="41" t="s">
        <v>1043</v>
      </c>
      <c r="C278" s="43" t="s">
        <v>10</v>
      </c>
      <c r="D278" s="43" t="s">
        <v>10</v>
      </c>
      <c r="E278" s="63" t="s">
        <v>11</v>
      </c>
      <c r="F278" s="63" t="s">
        <v>11</v>
      </c>
      <c r="G278" s="41" t="s">
        <v>659</v>
      </c>
      <c r="H278" s="27">
        <v>0.70799999999999996</v>
      </c>
      <c r="I278" s="109">
        <v>240</v>
      </c>
      <c r="J278" s="27">
        <v>96</v>
      </c>
      <c r="K278" s="39" t="s">
        <v>1324</v>
      </c>
      <c r="L278" s="130" t="s">
        <v>660</v>
      </c>
      <c r="M278" s="110" t="s">
        <v>661</v>
      </c>
      <c r="N278" s="40">
        <v>43388</v>
      </c>
      <c r="O278" s="63" t="s">
        <v>17</v>
      </c>
      <c r="P278" s="63" t="s">
        <v>17</v>
      </c>
      <c r="Q278" s="63" t="s">
        <v>17</v>
      </c>
      <c r="R278" s="112"/>
      <c r="S278" s="111" t="s">
        <v>11</v>
      </c>
      <c r="T278" s="111" t="s">
        <v>10</v>
      </c>
      <c r="U278" s="113">
        <v>0.16</v>
      </c>
      <c r="V278" s="113"/>
      <c r="W278" s="113"/>
      <c r="X278" s="113">
        <v>50</v>
      </c>
      <c r="Y278" s="113">
        <v>57</v>
      </c>
      <c r="Z278" s="113">
        <v>64</v>
      </c>
      <c r="AA278" s="114">
        <v>7.0800000000000002E-2</v>
      </c>
      <c r="AB278" s="114">
        <v>0.1416</v>
      </c>
      <c r="AC278" s="114">
        <v>0.21240000000000001</v>
      </c>
      <c r="AD278" s="114">
        <v>0.35399999999999998</v>
      </c>
      <c r="AE278" s="114">
        <v>0.53100000000000003</v>
      </c>
      <c r="AF278" s="114">
        <v>0.70799999999999996</v>
      </c>
      <c r="AG278" s="114">
        <v>89.386799999999994</v>
      </c>
      <c r="AH278" s="114">
        <v>93.546449999999993</v>
      </c>
      <c r="AI278" s="114">
        <v>95.133979999999994</v>
      </c>
      <c r="AJ278" s="114">
        <v>96.262680000000003</v>
      </c>
      <c r="AK278" s="114">
        <v>96.577579999999998</v>
      </c>
      <c r="AL278" s="114">
        <v>96.382440000000003</v>
      </c>
      <c r="AM278" s="114">
        <v>95.889269999999996</v>
      </c>
      <c r="AN278" s="114">
        <v>90.188069999999996</v>
      </c>
      <c r="AO278" s="114">
        <v>93.853949999999998</v>
      </c>
      <c r="AP278" s="114">
        <v>95.269369999999995</v>
      </c>
      <c r="AQ278" s="114">
        <v>96.306049999999999</v>
      </c>
      <c r="AR278" s="114">
        <v>96.594769999999997</v>
      </c>
      <c r="AS278" s="114">
        <v>96.545280000000005</v>
      </c>
      <c r="AT278" s="114">
        <v>95.979309999999998</v>
      </c>
      <c r="AU278" s="114">
        <v>87.473979999999997</v>
      </c>
      <c r="AV278" s="114">
        <v>92.894419999999997</v>
      </c>
      <c r="AW278" s="114">
        <v>95.062100000000001</v>
      </c>
      <c r="AX278" s="114">
        <v>96.067639999999997</v>
      </c>
      <c r="AY278" s="114">
        <v>96.486090000000004</v>
      </c>
      <c r="AZ278" s="114">
        <v>96.485820000000004</v>
      </c>
      <c r="BA278" s="114">
        <v>95.687250000000006</v>
      </c>
      <c r="BB278" s="40">
        <v>43206</v>
      </c>
      <c r="BC278" s="40">
        <v>43388</v>
      </c>
    </row>
    <row r="279" spans="1:55" s="120" customFormat="1" ht="45">
      <c r="A279" s="41" t="s">
        <v>177</v>
      </c>
      <c r="B279" s="41" t="s">
        <v>1044</v>
      </c>
      <c r="C279" s="43" t="s">
        <v>10</v>
      </c>
      <c r="D279" s="43" t="s">
        <v>10</v>
      </c>
      <c r="E279" s="43" t="s">
        <v>10</v>
      </c>
      <c r="F279" s="63" t="s">
        <v>11</v>
      </c>
      <c r="G279" s="41" t="s">
        <v>178</v>
      </c>
      <c r="H279" s="27">
        <v>0.28000000000000003</v>
      </c>
      <c r="I279" s="29">
        <v>208</v>
      </c>
      <c r="J279" s="27">
        <v>97</v>
      </c>
      <c r="K279" s="39" t="s">
        <v>1327</v>
      </c>
      <c r="L279" s="130" t="s">
        <v>488</v>
      </c>
      <c r="M279" s="38" t="s">
        <v>489</v>
      </c>
      <c r="N279" s="40">
        <v>43388</v>
      </c>
      <c r="O279" s="129" t="s">
        <v>488</v>
      </c>
      <c r="P279" s="63" t="s">
        <v>17</v>
      </c>
      <c r="Q279" s="63" t="s">
        <v>17</v>
      </c>
      <c r="R279" s="30" t="s">
        <v>179</v>
      </c>
      <c r="S279" s="31" t="s">
        <v>11</v>
      </c>
      <c r="T279" s="31" t="s">
        <v>10</v>
      </c>
      <c r="U279" s="35">
        <v>0.02</v>
      </c>
      <c r="V279" s="35"/>
      <c r="W279" s="35"/>
      <c r="X279" s="35">
        <v>27</v>
      </c>
      <c r="Y279" s="35">
        <v>36</v>
      </c>
      <c r="Z279" s="35">
        <v>45</v>
      </c>
      <c r="AA279" s="103">
        <v>28</v>
      </c>
      <c r="AB279" s="103">
        <v>56</v>
      </c>
      <c r="AC279" s="103">
        <v>84</v>
      </c>
      <c r="AD279" s="103">
        <v>140</v>
      </c>
      <c r="AE279" s="103">
        <v>210</v>
      </c>
      <c r="AF279" s="103">
        <v>280</v>
      </c>
      <c r="AG279" s="103">
        <v>94.636139999999997</v>
      </c>
      <c r="AH279" s="103">
        <v>96.340069999999997</v>
      </c>
      <c r="AI279" s="103">
        <v>96.930219999999991</v>
      </c>
      <c r="AJ279" s="103">
        <v>97.37612</v>
      </c>
      <c r="AK279" s="103">
        <v>97.14246</v>
      </c>
      <c r="AL279" s="103">
        <v>96.57859999999998</v>
      </c>
      <c r="AM279" s="103">
        <v>96.997494500000002</v>
      </c>
      <c r="AN279" s="103">
        <v>94.562870000000004</v>
      </c>
      <c r="AO279" s="103">
        <v>95.684449999999998</v>
      </c>
      <c r="AP279" s="103">
        <v>96.451030000000003</v>
      </c>
      <c r="AQ279" s="103">
        <v>97.149680000000018</v>
      </c>
      <c r="AR279" s="103">
        <v>97.092019999999991</v>
      </c>
      <c r="AS279" s="103">
        <v>96.683809999999994</v>
      </c>
      <c r="AT279" s="103">
        <v>96.835254800000001</v>
      </c>
      <c r="AU279" s="103">
        <v>93.928889999999996</v>
      </c>
      <c r="AV279" s="103">
        <v>95.02709999999999</v>
      </c>
      <c r="AW279" s="103">
        <v>95.970729999999989</v>
      </c>
      <c r="AX279" s="103">
        <v>96.918510000000012</v>
      </c>
      <c r="AY279" s="103">
        <v>96.913079999999994</v>
      </c>
      <c r="AZ279" s="103">
        <v>96.59496</v>
      </c>
      <c r="BA279" s="103">
        <v>96.571565699999994</v>
      </c>
      <c r="BB279" s="40">
        <v>42948</v>
      </c>
      <c r="BC279" s="40">
        <v>43388</v>
      </c>
    </row>
    <row r="280" spans="1:55" s="120" customFormat="1" ht="45">
      <c r="A280" s="41" t="s">
        <v>177</v>
      </c>
      <c r="B280" s="41" t="s">
        <v>1045</v>
      </c>
      <c r="C280" s="43" t="s">
        <v>10</v>
      </c>
      <c r="D280" s="43" t="s">
        <v>10</v>
      </c>
      <c r="E280" s="43" t="s">
        <v>10</v>
      </c>
      <c r="F280" s="63" t="s">
        <v>11</v>
      </c>
      <c r="G280" s="41" t="s">
        <v>178</v>
      </c>
      <c r="H280" s="27">
        <v>0.28000000000000003</v>
      </c>
      <c r="I280" s="29">
        <v>240</v>
      </c>
      <c r="J280" s="27">
        <v>97</v>
      </c>
      <c r="K280" s="39" t="s">
        <v>1327</v>
      </c>
      <c r="L280" s="130" t="s">
        <v>488</v>
      </c>
      <c r="M280" s="38" t="s">
        <v>489</v>
      </c>
      <c r="N280" s="40">
        <v>43388</v>
      </c>
      <c r="O280" s="129" t="s">
        <v>488</v>
      </c>
      <c r="P280" s="63" t="s">
        <v>17</v>
      </c>
      <c r="Q280" s="63" t="s">
        <v>17</v>
      </c>
      <c r="R280" s="30" t="s">
        <v>179</v>
      </c>
      <c r="S280" s="31" t="s">
        <v>11</v>
      </c>
      <c r="T280" s="31" t="s">
        <v>10</v>
      </c>
      <c r="U280" s="35">
        <v>0.02</v>
      </c>
      <c r="V280" s="35"/>
      <c r="W280" s="35"/>
      <c r="X280" s="35">
        <v>27</v>
      </c>
      <c r="Y280" s="35">
        <v>36</v>
      </c>
      <c r="Z280" s="35">
        <v>45</v>
      </c>
      <c r="AA280" s="103">
        <v>28</v>
      </c>
      <c r="AB280" s="103">
        <v>56</v>
      </c>
      <c r="AC280" s="103">
        <v>84</v>
      </c>
      <c r="AD280" s="103">
        <v>140</v>
      </c>
      <c r="AE280" s="103">
        <v>210</v>
      </c>
      <c r="AF280" s="103">
        <v>280</v>
      </c>
      <c r="AG280" s="103">
        <v>94.253059999999991</v>
      </c>
      <c r="AH280" s="103">
        <v>96.163120000000006</v>
      </c>
      <c r="AI280" s="103">
        <v>96.817109999999985</v>
      </c>
      <c r="AJ280" s="103">
        <v>97.302610000000016</v>
      </c>
      <c r="AK280" s="103">
        <v>97.145589999999984</v>
      </c>
      <c r="AL280" s="103">
        <v>96.716480000000004</v>
      </c>
      <c r="AM280" s="103">
        <v>96.952866400000005</v>
      </c>
      <c r="AN280" s="103">
        <v>94.554840000000013</v>
      </c>
      <c r="AO280" s="103">
        <v>95.744399999999999</v>
      </c>
      <c r="AP280" s="103">
        <v>96.281419999999983</v>
      </c>
      <c r="AQ280" s="103">
        <v>97.254899999999992</v>
      </c>
      <c r="AR280" s="103">
        <v>97.333410000000001</v>
      </c>
      <c r="AS280" s="103">
        <v>97.170069999999996</v>
      </c>
      <c r="AT280" s="103">
        <v>96.991923799999995</v>
      </c>
      <c r="AU280" s="103">
        <v>93.905879999999996</v>
      </c>
      <c r="AV280" s="103">
        <v>95.090100000000007</v>
      </c>
      <c r="AW280" s="103">
        <v>95.744929999999997</v>
      </c>
      <c r="AX280" s="103">
        <v>96.971979999999988</v>
      </c>
      <c r="AY280" s="103">
        <v>97.148679999999985</v>
      </c>
      <c r="AZ280" s="103">
        <v>97.038429999999991</v>
      </c>
      <c r="BA280" s="103">
        <v>96.704969500000004</v>
      </c>
      <c r="BB280" s="40">
        <v>42948</v>
      </c>
      <c r="BC280" s="40">
        <v>43388</v>
      </c>
    </row>
    <row r="281" spans="1:55" s="120" customFormat="1" ht="45">
      <c r="A281" s="41" t="s">
        <v>177</v>
      </c>
      <c r="B281" s="41" t="s">
        <v>1046</v>
      </c>
      <c r="C281" s="43" t="s">
        <v>10</v>
      </c>
      <c r="D281" s="43" t="s">
        <v>10</v>
      </c>
      <c r="E281" s="43" t="s">
        <v>10</v>
      </c>
      <c r="F281" s="63" t="s">
        <v>11</v>
      </c>
      <c r="G281" s="41" t="s">
        <v>180</v>
      </c>
      <c r="H281" s="27">
        <v>0.28000000000000003</v>
      </c>
      <c r="I281" s="29">
        <v>208</v>
      </c>
      <c r="J281" s="27">
        <v>97</v>
      </c>
      <c r="K281" s="39" t="s">
        <v>1327</v>
      </c>
      <c r="L281" s="130" t="s">
        <v>488</v>
      </c>
      <c r="M281" s="38" t="s">
        <v>489</v>
      </c>
      <c r="N281" s="40">
        <v>43388</v>
      </c>
      <c r="O281" s="129" t="s">
        <v>488</v>
      </c>
      <c r="P281" s="63" t="s">
        <v>17</v>
      </c>
      <c r="Q281" s="63" t="s">
        <v>17</v>
      </c>
      <c r="R281" s="30" t="s">
        <v>179</v>
      </c>
      <c r="S281" s="31" t="s">
        <v>11</v>
      </c>
      <c r="T281" s="31" t="s">
        <v>10</v>
      </c>
      <c r="U281" s="35">
        <v>0.02</v>
      </c>
      <c r="V281" s="35"/>
      <c r="W281" s="35"/>
      <c r="X281" s="35">
        <v>27</v>
      </c>
      <c r="Y281" s="35">
        <v>36</v>
      </c>
      <c r="Z281" s="35">
        <v>45</v>
      </c>
      <c r="AA281" s="103">
        <v>28</v>
      </c>
      <c r="AB281" s="103">
        <v>56</v>
      </c>
      <c r="AC281" s="103">
        <v>84</v>
      </c>
      <c r="AD281" s="103">
        <v>140</v>
      </c>
      <c r="AE281" s="103">
        <v>210</v>
      </c>
      <c r="AF281" s="103">
        <v>280</v>
      </c>
      <c r="AG281" s="103">
        <v>94.636139999999997</v>
      </c>
      <c r="AH281" s="103">
        <v>96.340069999999997</v>
      </c>
      <c r="AI281" s="103">
        <v>96.930219999999991</v>
      </c>
      <c r="AJ281" s="103">
        <v>97.37612</v>
      </c>
      <c r="AK281" s="103">
        <v>97.14246</v>
      </c>
      <c r="AL281" s="103">
        <v>96.57859999999998</v>
      </c>
      <c r="AM281" s="103">
        <v>96.997494500000002</v>
      </c>
      <c r="AN281" s="103">
        <v>94.562870000000004</v>
      </c>
      <c r="AO281" s="103">
        <v>95.684449999999998</v>
      </c>
      <c r="AP281" s="103">
        <v>96.451030000000003</v>
      </c>
      <c r="AQ281" s="103">
        <v>97.149680000000018</v>
      </c>
      <c r="AR281" s="103">
        <v>97.092019999999991</v>
      </c>
      <c r="AS281" s="103">
        <v>96.683809999999994</v>
      </c>
      <c r="AT281" s="103">
        <v>96.835254800000001</v>
      </c>
      <c r="AU281" s="103">
        <v>93.928889999999996</v>
      </c>
      <c r="AV281" s="103">
        <v>95.02709999999999</v>
      </c>
      <c r="AW281" s="103">
        <v>95.970729999999989</v>
      </c>
      <c r="AX281" s="103">
        <v>96.918510000000012</v>
      </c>
      <c r="AY281" s="103">
        <v>96.913079999999994</v>
      </c>
      <c r="AZ281" s="103">
        <v>96.59496</v>
      </c>
      <c r="BA281" s="103">
        <v>96.571565699999994</v>
      </c>
      <c r="BB281" s="40">
        <v>42948</v>
      </c>
      <c r="BC281" s="40">
        <v>43388</v>
      </c>
    </row>
    <row r="282" spans="1:55" s="120" customFormat="1" ht="45">
      <c r="A282" s="41" t="s">
        <v>177</v>
      </c>
      <c r="B282" s="41" t="s">
        <v>1047</v>
      </c>
      <c r="C282" s="43" t="s">
        <v>10</v>
      </c>
      <c r="D282" s="43" t="s">
        <v>10</v>
      </c>
      <c r="E282" s="43" t="s">
        <v>10</v>
      </c>
      <c r="F282" s="63" t="s">
        <v>11</v>
      </c>
      <c r="G282" s="41" t="s">
        <v>180</v>
      </c>
      <c r="H282" s="27">
        <v>0.28000000000000003</v>
      </c>
      <c r="I282" s="29">
        <v>240</v>
      </c>
      <c r="J282" s="27">
        <v>97</v>
      </c>
      <c r="K282" s="39" t="s">
        <v>1327</v>
      </c>
      <c r="L282" s="130" t="s">
        <v>488</v>
      </c>
      <c r="M282" s="38" t="s">
        <v>489</v>
      </c>
      <c r="N282" s="40">
        <v>43388</v>
      </c>
      <c r="O282" s="129" t="s">
        <v>488</v>
      </c>
      <c r="P282" s="63" t="s">
        <v>17</v>
      </c>
      <c r="Q282" s="63" t="s">
        <v>17</v>
      </c>
      <c r="R282" s="30" t="s">
        <v>179</v>
      </c>
      <c r="S282" s="31" t="s">
        <v>11</v>
      </c>
      <c r="T282" s="31" t="s">
        <v>10</v>
      </c>
      <c r="U282" s="35">
        <v>0.02</v>
      </c>
      <c r="V282" s="35"/>
      <c r="W282" s="35"/>
      <c r="X282" s="35">
        <v>27</v>
      </c>
      <c r="Y282" s="35">
        <v>36</v>
      </c>
      <c r="Z282" s="35">
        <v>45</v>
      </c>
      <c r="AA282" s="103">
        <v>28</v>
      </c>
      <c r="AB282" s="103">
        <v>56</v>
      </c>
      <c r="AC282" s="103">
        <v>84</v>
      </c>
      <c r="AD282" s="103">
        <v>140</v>
      </c>
      <c r="AE282" s="103">
        <v>210</v>
      </c>
      <c r="AF282" s="103">
        <v>280</v>
      </c>
      <c r="AG282" s="103">
        <v>94.253059999999991</v>
      </c>
      <c r="AH282" s="103">
        <v>96.163120000000006</v>
      </c>
      <c r="AI282" s="103">
        <v>96.817109999999985</v>
      </c>
      <c r="AJ282" s="103">
        <v>97.302610000000016</v>
      </c>
      <c r="AK282" s="103">
        <v>97.145589999999984</v>
      </c>
      <c r="AL282" s="103">
        <v>96.716480000000004</v>
      </c>
      <c r="AM282" s="103">
        <v>96.952866400000005</v>
      </c>
      <c r="AN282" s="103">
        <v>94.554840000000013</v>
      </c>
      <c r="AO282" s="103">
        <v>95.744399999999999</v>
      </c>
      <c r="AP282" s="103">
        <v>96.281419999999983</v>
      </c>
      <c r="AQ282" s="103">
        <v>97.254899999999992</v>
      </c>
      <c r="AR282" s="103">
        <v>97.333410000000001</v>
      </c>
      <c r="AS282" s="103">
        <v>97.170069999999996</v>
      </c>
      <c r="AT282" s="103">
        <v>96.991923799999995</v>
      </c>
      <c r="AU282" s="103">
        <v>93.905879999999996</v>
      </c>
      <c r="AV282" s="103">
        <v>95.090100000000007</v>
      </c>
      <c r="AW282" s="103">
        <v>95.744929999999997</v>
      </c>
      <c r="AX282" s="103">
        <v>96.971979999999988</v>
      </c>
      <c r="AY282" s="103">
        <v>97.148679999999985</v>
      </c>
      <c r="AZ282" s="103">
        <v>97.038429999999991</v>
      </c>
      <c r="BA282" s="103">
        <v>96.704969500000004</v>
      </c>
      <c r="BB282" s="40">
        <v>42948</v>
      </c>
      <c r="BC282" s="40">
        <v>43388</v>
      </c>
    </row>
    <row r="283" spans="1:55" s="120" customFormat="1" ht="45">
      <c r="A283" s="41" t="s">
        <v>177</v>
      </c>
      <c r="B283" s="41" t="s">
        <v>1048</v>
      </c>
      <c r="C283" s="43" t="s">
        <v>10</v>
      </c>
      <c r="D283" s="43" t="s">
        <v>10</v>
      </c>
      <c r="E283" s="43" t="s">
        <v>10</v>
      </c>
      <c r="F283" s="63" t="s">
        <v>11</v>
      </c>
      <c r="G283" s="41" t="s">
        <v>181</v>
      </c>
      <c r="H283" s="27">
        <v>0.28000000000000003</v>
      </c>
      <c r="I283" s="29">
        <v>208</v>
      </c>
      <c r="J283" s="27">
        <v>97</v>
      </c>
      <c r="K283" s="39" t="s">
        <v>1327</v>
      </c>
      <c r="L283" s="130" t="s">
        <v>488</v>
      </c>
      <c r="M283" s="38" t="s">
        <v>489</v>
      </c>
      <c r="N283" s="40">
        <v>43388</v>
      </c>
      <c r="O283" s="129" t="s">
        <v>488</v>
      </c>
      <c r="P283" s="63" t="s">
        <v>17</v>
      </c>
      <c r="Q283" s="63" t="s">
        <v>17</v>
      </c>
      <c r="R283" s="30" t="s">
        <v>179</v>
      </c>
      <c r="S283" s="31" t="s">
        <v>11</v>
      </c>
      <c r="T283" s="31" t="s">
        <v>10</v>
      </c>
      <c r="U283" s="35">
        <v>0.02</v>
      </c>
      <c r="V283" s="35"/>
      <c r="W283" s="35"/>
      <c r="X283" s="35">
        <v>27</v>
      </c>
      <c r="Y283" s="35">
        <v>36</v>
      </c>
      <c r="Z283" s="35">
        <v>45</v>
      </c>
      <c r="AA283" s="103">
        <v>28</v>
      </c>
      <c r="AB283" s="103">
        <v>56</v>
      </c>
      <c r="AC283" s="103">
        <v>84</v>
      </c>
      <c r="AD283" s="103">
        <v>140</v>
      </c>
      <c r="AE283" s="103">
        <v>210</v>
      </c>
      <c r="AF283" s="103">
        <v>280</v>
      </c>
      <c r="AG283" s="103">
        <v>94.636139999999997</v>
      </c>
      <c r="AH283" s="103">
        <v>96.340069999999997</v>
      </c>
      <c r="AI283" s="103">
        <v>96.930219999999991</v>
      </c>
      <c r="AJ283" s="103">
        <v>97.37612</v>
      </c>
      <c r="AK283" s="103">
        <v>97.14246</v>
      </c>
      <c r="AL283" s="103">
        <v>96.57859999999998</v>
      </c>
      <c r="AM283" s="103">
        <v>96.997494500000002</v>
      </c>
      <c r="AN283" s="103">
        <v>94.562870000000004</v>
      </c>
      <c r="AO283" s="103">
        <v>95.684449999999998</v>
      </c>
      <c r="AP283" s="103">
        <v>96.451030000000003</v>
      </c>
      <c r="AQ283" s="103">
        <v>97.149680000000018</v>
      </c>
      <c r="AR283" s="103">
        <v>97.092019999999991</v>
      </c>
      <c r="AS283" s="103">
        <v>96.683809999999994</v>
      </c>
      <c r="AT283" s="103">
        <v>96.835254800000001</v>
      </c>
      <c r="AU283" s="103">
        <v>93.928889999999996</v>
      </c>
      <c r="AV283" s="103">
        <v>95.02709999999999</v>
      </c>
      <c r="AW283" s="103">
        <v>95.970729999999989</v>
      </c>
      <c r="AX283" s="103">
        <v>96.918510000000012</v>
      </c>
      <c r="AY283" s="103">
        <v>96.913079999999994</v>
      </c>
      <c r="AZ283" s="103">
        <v>96.59496</v>
      </c>
      <c r="BA283" s="103">
        <v>96.571565699999994</v>
      </c>
      <c r="BB283" s="40">
        <v>42948</v>
      </c>
      <c r="BC283" s="40">
        <v>43388</v>
      </c>
    </row>
    <row r="284" spans="1:55" s="120" customFormat="1" ht="45">
      <c r="A284" s="41" t="s">
        <v>177</v>
      </c>
      <c r="B284" s="41" t="s">
        <v>1049</v>
      </c>
      <c r="C284" s="43" t="s">
        <v>10</v>
      </c>
      <c r="D284" s="43" t="s">
        <v>10</v>
      </c>
      <c r="E284" s="43" t="s">
        <v>10</v>
      </c>
      <c r="F284" s="63" t="s">
        <v>11</v>
      </c>
      <c r="G284" s="41" t="s">
        <v>181</v>
      </c>
      <c r="H284" s="27">
        <v>0.28000000000000003</v>
      </c>
      <c r="I284" s="29">
        <v>240</v>
      </c>
      <c r="J284" s="27">
        <v>97</v>
      </c>
      <c r="K284" s="39" t="s">
        <v>1327</v>
      </c>
      <c r="L284" s="130" t="s">
        <v>488</v>
      </c>
      <c r="M284" s="38" t="s">
        <v>489</v>
      </c>
      <c r="N284" s="40">
        <v>43388</v>
      </c>
      <c r="O284" s="129" t="s">
        <v>488</v>
      </c>
      <c r="P284" s="63" t="s">
        <v>17</v>
      </c>
      <c r="Q284" s="63" t="s">
        <v>17</v>
      </c>
      <c r="R284" s="30" t="s">
        <v>179</v>
      </c>
      <c r="S284" s="31" t="s">
        <v>11</v>
      </c>
      <c r="T284" s="31" t="s">
        <v>10</v>
      </c>
      <c r="U284" s="35">
        <v>0.02</v>
      </c>
      <c r="V284" s="35"/>
      <c r="W284" s="35"/>
      <c r="X284" s="35">
        <v>27</v>
      </c>
      <c r="Y284" s="35">
        <v>36</v>
      </c>
      <c r="Z284" s="35">
        <v>45</v>
      </c>
      <c r="AA284" s="103">
        <v>28</v>
      </c>
      <c r="AB284" s="103">
        <v>56</v>
      </c>
      <c r="AC284" s="103">
        <v>84</v>
      </c>
      <c r="AD284" s="103">
        <v>140</v>
      </c>
      <c r="AE284" s="103">
        <v>210</v>
      </c>
      <c r="AF284" s="103">
        <v>280</v>
      </c>
      <c r="AG284" s="103">
        <v>94.253059999999991</v>
      </c>
      <c r="AH284" s="103">
        <v>96.163120000000006</v>
      </c>
      <c r="AI284" s="103">
        <v>96.817109999999985</v>
      </c>
      <c r="AJ284" s="103">
        <v>97.302610000000016</v>
      </c>
      <c r="AK284" s="103">
        <v>97.145589999999984</v>
      </c>
      <c r="AL284" s="103">
        <v>96.716480000000004</v>
      </c>
      <c r="AM284" s="103">
        <v>96.952866400000005</v>
      </c>
      <c r="AN284" s="103">
        <v>94.554840000000013</v>
      </c>
      <c r="AO284" s="103">
        <v>95.744399999999999</v>
      </c>
      <c r="AP284" s="103">
        <v>96.281419999999983</v>
      </c>
      <c r="AQ284" s="103">
        <v>97.254899999999992</v>
      </c>
      <c r="AR284" s="103">
        <v>97.333410000000001</v>
      </c>
      <c r="AS284" s="103">
        <v>97.170069999999996</v>
      </c>
      <c r="AT284" s="103">
        <v>96.991923799999995</v>
      </c>
      <c r="AU284" s="103">
        <v>93.905879999999996</v>
      </c>
      <c r="AV284" s="103">
        <v>95.090100000000007</v>
      </c>
      <c r="AW284" s="103">
        <v>95.744929999999997</v>
      </c>
      <c r="AX284" s="103">
        <v>96.971979999999988</v>
      </c>
      <c r="AY284" s="103">
        <v>97.148679999999985</v>
      </c>
      <c r="AZ284" s="103">
        <v>97.038429999999991</v>
      </c>
      <c r="BA284" s="103">
        <v>96.704969500000004</v>
      </c>
      <c r="BB284" s="40">
        <v>42948</v>
      </c>
      <c r="BC284" s="40">
        <v>43388</v>
      </c>
    </row>
    <row r="285" spans="1:55" s="120" customFormat="1" ht="45">
      <c r="A285" s="41" t="s">
        <v>177</v>
      </c>
      <c r="B285" s="41" t="s">
        <v>1050</v>
      </c>
      <c r="C285" s="43" t="s">
        <v>10</v>
      </c>
      <c r="D285" s="43" t="s">
        <v>10</v>
      </c>
      <c r="E285" s="43" t="s">
        <v>10</v>
      </c>
      <c r="F285" s="63" t="s">
        <v>11</v>
      </c>
      <c r="G285" s="41" t="s">
        <v>181</v>
      </c>
      <c r="H285" s="27">
        <v>0.28000000000000003</v>
      </c>
      <c r="I285" s="29">
        <v>208</v>
      </c>
      <c r="J285" s="27">
        <v>97</v>
      </c>
      <c r="K285" s="39" t="s">
        <v>1327</v>
      </c>
      <c r="L285" s="130" t="s">
        <v>488</v>
      </c>
      <c r="M285" s="38" t="s">
        <v>489</v>
      </c>
      <c r="N285" s="40">
        <v>43388</v>
      </c>
      <c r="O285" s="129" t="s">
        <v>488</v>
      </c>
      <c r="P285" s="63" t="s">
        <v>17</v>
      </c>
      <c r="Q285" s="63" t="s">
        <v>17</v>
      </c>
      <c r="R285" s="30" t="s">
        <v>179</v>
      </c>
      <c r="S285" s="31" t="s">
        <v>11</v>
      </c>
      <c r="T285" s="31" t="s">
        <v>10</v>
      </c>
      <c r="U285" s="35">
        <v>0.02</v>
      </c>
      <c r="V285" s="35"/>
      <c r="W285" s="35"/>
      <c r="X285" s="35">
        <v>27</v>
      </c>
      <c r="Y285" s="35">
        <v>36</v>
      </c>
      <c r="Z285" s="35">
        <v>45</v>
      </c>
      <c r="AA285" s="103">
        <v>28</v>
      </c>
      <c r="AB285" s="103">
        <v>56</v>
      </c>
      <c r="AC285" s="103">
        <v>84</v>
      </c>
      <c r="AD285" s="103">
        <v>140</v>
      </c>
      <c r="AE285" s="103">
        <v>210</v>
      </c>
      <c r="AF285" s="103">
        <v>280</v>
      </c>
      <c r="AG285" s="103">
        <v>94.636139999999997</v>
      </c>
      <c r="AH285" s="103">
        <v>96.340069999999997</v>
      </c>
      <c r="AI285" s="103">
        <v>96.930219999999991</v>
      </c>
      <c r="AJ285" s="103">
        <v>97.37612</v>
      </c>
      <c r="AK285" s="103">
        <v>97.14246</v>
      </c>
      <c r="AL285" s="103">
        <v>96.57859999999998</v>
      </c>
      <c r="AM285" s="103">
        <v>96.997494500000002</v>
      </c>
      <c r="AN285" s="103">
        <v>94.562870000000004</v>
      </c>
      <c r="AO285" s="103">
        <v>95.684449999999998</v>
      </c>
      <c r="AP285" s="103">
        <v>96.451030000000003</v>
      </c>
      <c r="AQ285" s="103">
        <v>97.149680000000018</v>
      </c>
      <c r="AR285" s="103">
        <v>97.092019999999991</v>
      </c>
      <c r="AS285" s="103">
        <v>96.683809999999994</v>
      </c>
      <c r="AT285" s="103">
        <v>96.835254800000001</v>
      </c>
      <c r="AU285" s="103">
        <v>93.928889999999996</v>
      </c>
      <c r="AV285" s="103">
        <v>95.02709999999999</v>
      </c>
      <c r="AW285" s="103">
        <v>95.970729999999989</v>
      </c>
      <c r="AX285" s="103">
        <v>96.918510000000012</v>
      </c>
      <c r="AY285" s="103">
        <v>96.913079999999994</v>
      </c>
      <c r="AZ285" s="103">
        <v>96.59496</v>
      </c>
      <c r="BA285" s="103">
        <v>96.571565699999994</v>
      </c>
      <c r="BB285" s="40">
        <v>42948</v>
      </c>
      <c r="BC285" s="40">
        <v>43388</v>
      </c>
    </row>
    <row r="286" spans="1:55" s="120" customFormat="1" ht="45">
      <c r="A286" s="41" t="s">
        <v>177</v>
      </c>
      <c r="B286" s="41" t="s">
        <v>1051</v>
      </c>
      <c r="C286" s="43" t="s">
        <v>10</v>
      </c>
      <c r="D286" s="43" t="s">
        <v>10</v>
      </c>
      <c r="E286" s="43" t="s">
        <v>10</v>
      </c>
      <c r="F286" s="63" t="s">
        <v>11</v>
      </c>
      <c r="G286" s="41" t="s">
        <v>181</v>
      </c>
      <c r="H286" s="27">
        <v>0.28000000000000003</v>
      </c>
      <c r="I286" s="29">
        <v>240</v>
      </c>
      <c r="J286" s="27">
        <v>97</v>
      </c>
      <c r="K286" s="39" t="s">
        <v>1327</v>
      </c>
      <c r="L286" s="130" t="s">
        <v>488</v>
      </c>
      <c r="M286" s="38" t="s">
        <v>489</v>
      </c>
      <c r="N286" s="40">
        <v>43388</v>
      </c>
      <c r="O286" s="129" t="s">
        <v>488</v>
      </c>
      <c r="P286" s="63" t="s">
        <v>17</v>
      </c>
      <c r="Q286" s="63" t="s">
        <v>17</v>
      </c>
      <c r="R286" s="30" t="s">
        <v>179</v>
      </c>
      <c r="S286" s="31" t="s">
        <v>11</v>
      </c>
      <c r="T286" s="31" t="s">
        <v>10</v>
      </c>
      <c r="U286" s="35">
        <v>0.02</v>
      </c>
      <c r="V286" s="35"/>
      <c r="W286" s="35"/>
      <c r="X286" s="35">
        <v>27</v>
      </c>
      <c r="Y286" s="35">
        <v>36</v>
      </c>
      <c r="Z286" s="35">
        <v>45</v>
      </c>
      <c r="AA286" s="103">
        <v>28</v>
      </c>
      <c r="AB286" s="103">
        <v>56</v>
      </c>
      <c r="AC286" s="103">
        <v>84</v>
      </c>
      <c r="AD286" s="103">
        <v>140</v>
      </c>
      <c r="AE286" s="103">
        <v>210</v>
      </c>
      <c r="AF286" s="103">
        <v>280</v>
      </c>
      <c r="AG286" s="103">
        <v>94.253059999999991</v>
      </c>
      <c r="AH286" s="103">
        <v>96.163120000000006</v>
      </c>
      <c r="AI286" s="103">
        <v>96.817109999999985</v>
      </c>
      <c r="AJ286" s="103">
        <v>97.302610000000016</v>
      </c>
      <c r="AK286" s="103">
        <v>97.145589999999984</v>
      </c>
      <c r="AL286" s="103">
        <v>96.716480000000004</v>
      </c>
      <c r="AM286" s="103">
        <v>96.952866400000005</v>
      </c>
      <c r="AN286" s="103">
        <v>94.554840000000013</v>
      </c>
      <c r="AO286" s="103">
        <v>95.744399999999999</v>
      </c>
      <c r="AP286" s="103">
        <v>96.281419999999983</v>
      </c>
      <c r="AQ286" s="103">
        <v>97.254899999999992</v>
      </c>
      <c r="AR286" s="103">
        <v>97.333410000000001</v>
      </c>
      <c r="AS286" s="103">
        <v>97.170069999999996</v>
      </c>
      <c r="AT286" s="103">
        <v>96.991923799999995</v>
      </c>
      <c r="AU286" s="103">
        <v>93.905879999999996</v>
      </c>
      <c r="AV286" s="103">
        <v>95.090100000000007</v>
      </c>
      <c r="AW286" s="103">
        <v>95.744929999999997</v>
      </c>
      <c r="AX286" s="103">
        <v>96.971979999999988</v>
      </c>
      <c r="AY286" s="103">
        <v>97.148679999999985</v>
      </c>
      <c r="AZ286" s="103">
        <v>97.038429999999991</v>
      </c>
      <c r="BA286" s="103">
        <v>96.704969500000004</v>
      </c>
      <c r="BB286" s="40">
        <v>42948</v>
      </c>
      <c r="BC286" s="40">
        <v>43388</v>
      </c>
    </row>
    <row r="287" spans="1:55" s="120" customFormat="1" ht="45">
      <c r="A287" s="41" t="s">
        <v>177</v>
      </c>
      <c r="B287" s="41" t="s">
        <v>1052</v>
      </c>
      <c r="C287" s="43" t="s">
        <v>10</v>
      </c>
      <c r="D287" s="43" t="s">
        <v>10</v>
      </c>
      <c r="E287" s="43" t="s">
        <v>10</v>
      </c>
      <c r="F287" s="63" t="s">
        <v>11</v>
      </c>
      <c r="G287" s="41" t="s">
        <v>182</v>
      </c>
      <c r="H287" s="27">
        <v>0.28000000000000003</v>
      </c>
      <c r="I287" s="29">
        <v>208</v>
      </c>
      <c r="J287" s="27">
        <v>97</v>
      </c>
      <c r="K287" s="39" t="s">
        <v>1327</v>
      </c>
      <c r="L287" s="130" t="s">
        <v>488</v>
      </c>
      <c r="M287" s="38" t="s">
        <v>489</v>
      </c>
      <c r="N287" s="40">
        <v>43388</v>
      </c>
      <c r="O287" s="129" t="s">
        <v>488</v>
      </c>
      <c r="P287" s="63" t="s">
        <v>17</v>
      </c>
      <c r="Q287" s="63" t="s">
        <v>17</v>
      </c>
      <c r="R287" s="30" t="s">
        <v>179</v>
      </c>
      <c r="S287" s="31" t="s">
        <v>11</v>
      </c>
      <c r="T287" s="31" t="s">
        <v>10</v>
      </c>
      <c r="U287" s="35">
        <v>0.02</v>
      </c>
      <c r="V287" s="35"/>
      <c r="W287" s="35"/>
      <c r="X287" s="35">
        <v>27</v>
      </c>
      <c r="Y287" s="35">
        <v>36</v>
      </c>
      <c r="Z287" s="35">
        <v>45</v>
      </c>
      <c r="AA287" s="103">
        <v>28</v>
      </c>
      <c r="AB287" s="103">
        <v>56</v>
      </c>
      <c r="AC287" s="103">
        <v>84</v>
      </c>
      <c r="AD287" s="103">
        <v>140</v>
      </c>
      <c r="AE287" s="103">
        <v>210</v>
      </c>
      <c r="AF287" s="103">
        <v>280</v>
      </c>
      <c r="AG287" s="103">
        <v>94.636139999999997</v>
      </c>
      <c r="AH287" s="103">
        <v>96.340069999999997</v>
      </c>
      <c r="AI287" s="103">
        <v>96.930219999999991</v>
      </c>
      <c r="AJ287" s="103">
        <v>97.37612</v>
      </c>
      <c r="AK287" s="103">
        <v>97.14246</v>
      </c>
      <c r="AL287" s="103">
        <v>96.57859999999998</v>
      </c>
      <c r="AM287" s="103">
        <v>96.997494500000002</v>
      </c>
      <c r="AN287" s="103">
        <v>94.562870000000004</v>
      </c>
      <c r="AO287" s="103">
        <v>95.684449999999998</v>
      </c>
      <c r="AP287" s="103">
        <v>96.451030000000003</v>
      </c>
      <c r="AQ287" s="103">
        <v>97.149680000000018</v>
      </c>
      <c r="AR287" s="103">
        <v>97.092019999999991</v>
      </c>
      <c r="AS287" s="103">
        <v>96.683809999999994</v>
      </c>
      <c r="AT287" s="103">
        <v>96.835254800000001</v>
      </c>
      <c r="AU287" s="103">
        <v>93.928889999999996</v>
      </c>
      <c r="AV287" s="103">
        <v>95.02709999999999</v>
      </c>
      <c r="AW287" s="103">
        <v>95.970729999999989</v>
      </c>
      <c r="AX287" s="103">
        <v>96.918510000000012</v>
      </c>
      <c r="AY287" s="103">
        <v>96.913079999999994</v>
      </c>
      <c r="AZ287" s="103">
        <v>96.59496</v>
      </c>
      <c r="BA287" s="103">
        <v>96.571565699999994</v>
      </c>
      <c r="BB287" s="40">
        <v>42948</v>
      </c>
      <c r="BC287" s="40">
        <v>43388</v>
      </c>
    </row>
    <row r="288" spans="1:55" s="120" customFormat="1" ht="45">
      <c r="A288" s="41" t="s">
        <v>177</v>
      </c>
      <c r="B288" s="41" t="s">
        <v>1053</v>
      </c>
      <c r="C288" s="43" t="s">
        <v>10</v>
      </c>
      <c r="D288" s="43" t="s">
        <v>10</v>
      </c>
      <c r="E288" s="43" t="s">
        <v>10</v>
      </c>
      <c r="F288" s="63" t="s">
        <v>11</v>
      </c>
      <c r="G288" s="41" t="s">
        <v>182</v>
      </c>
      <c r="H288" s="27">
        <v>0.28000000000000003</v>
      </c>
      <c r="I288" s="29">
        <v>240</v>
      </c>
      <c r="J288" s="27">
        <v>97</v>
      </c>
      <c r="K288" s="39" t="s">
        <v>1327</v>
      </c>
      <c r="L288" s="130" t="s">
        <v>488</v>
      </c>
      <c r="M288" s="38" t="s">
        <v>489</v>
      </c>
      <c r="N288" s="40">
        <v>43388</v>
      </c>
      <c r="O288" s="129" t="s">
        <v>488</v>
      </c>
      <c r="P288" s="63" t="s">
        <v>17</v>
      </c>
      <c r="Q288" s="63" t="s">
        <v>17</v>
      </c>
      <c r="R288" s="30" t="s">
        <v>179</v>
      </c>
      <c r="S288" s="31" t="s">
        <v>11</v>
      </c>
      <c r="T288" s="31" t="s">
        <v>10</v>
      </c>
      <c r="U288" s="35">
        <v>0.02</v>
      </c>
      <c r="V288" s="35"/>
      <c r="W288" s="35"/>
      <c r="X288" s="35">
        <v>27</v>
      </c>
      <c r="Y288" s="35">
        <v>36</v>
      </c>
      <c r="Z288" s="35">
        <v>45</v>
      </c>
      <c r="AA288" s="103">
        <v>28</v>
      </c>
      <c r="AB288" s="103">
        <v>56</v>
      </c>
      <c r="AC288" s="103">
        <v>84</v>
      </c>
      <c r="AD288" s="103">
        <v>140</v>
      </c>
      <c r="AE288" s="103">
        <v>210</v>
      </c>
      <c r="AF288" s="103">
        <v>280</v>
      </c>
      <c r="AG288" s="103">
        <v>94.3</v>
      </c>
      <c r="AH288" s="103">
        <v>96.2</v>
      </c>
      <c r="AI288" s="103">
        <v>96.8</v>
      </c>
      <c r="AJ288" s="103">
        <v>97.3</v>
      </c>
      <c r="AK288" s="103">
        <v>97.1</v>
      </c>
      <c r="AL288" s="103">
        <v>96.7</v>
      </c>
      <c r="AM288" s="103">
        <v>97</v>
      </c>
      <c r="AN288" s="103">
        <v>94.6</v>
      </c>
      <c r="AO288" s="103">
        <v>95.7</v>
      </c>
      <c r="AP288" s="103">
        <v>96.3</v>
      </c>
      <c r="AQ288" s="103">
        <v>97.3</v>
      </c>
      <c r="AR288" s="103">
        <v>97.3</v>
      </c>
      <c r="AS288" s="103">
        <v>97.2</v>
      </c>
      <c r="AT288" s="103">
        <v>97</v>
      </c>
      <c r="AU288" s="103">
        <v>93.9</v>
      </c>
      <c r="AV288" s="103">
        <v>95.1</v>
      </c>
      <c r="AW288" s="103">
        <v>95.7</v>
      </c>
      <c r="AX288" s="103">
        <v>97</v>
      </c>
      <c r="AY288" s="103">
        <v>97.1</v>
      </c>
      <c r="AZ288" s="103">
        <v>97</v>
      </c>
      <c r="BA288" s="103">
        <v>96.7</v>
      </c>
      <c r="BB288" s="40">
        <v>42948</v>
      </c>
      <c r="BC288" s="40">
        <v>43388</v>
      </c>
    </row>
    <row r="289" spans="1:55" s="120" customFormat="1" ht="45">
      <c r="A289" s="41" t="s">
        <v>177</v>
      </c>
      <c r="B289" s="41" t="s">
        <v>1054</v>
      </c>
      <c r="C289" s="43" t="s">
        <v>10</v>
      </c>
      <c r="D289" s="43" t="s">
        <v>10</v>
      </c>
      <c r="E289" s="43" t="s">
        <v>10</v>
      </c>
      <c r="F289" s="63" t="s">
        <v>11</v>
      </c>
      <c r="G289" s="41" t="s">
        <v>183</v>
      </c>
      <c r="H289" s="27">
        <v>0.28000000000000003</v>
      </c>
      <c r="I289" s="29">
        <v>208</v>
      </c>
      <c r="J289" s="27">
        <v>97</v>
      </c>
      <c r="K289" s="39" t="s">
        <v>1327</v>
      </c>
      <c r="L289" s="130" t="s">
        <v>488</v>
      </c>
      <c r="M289" s="38" t="s">
        <v>489</v>
      </c>
      <c r="N289" s="40">
        <v>43388</v>
      </c>
      <c r="O289" s="129" t="s">
        <v>488</v>
      </c>
      <c r="P289" s="63" t="s">
        <v>17</v>
      </c>
      <c r="Q289" s="63" t="s">
        <v>17</v>
      </c>
      <c r="R289" s="30" t="s">
        <v>179</v>
      </c>
      <c r="S289" s="31" t="s">
        <v>11</v>
      </c>
      <c r="T289" s="31" t="s">
        <v>10</v>
      </c>
      <c r="U289" s="35">
        <v>0.02</v>
      </c>
      <c r="V289" s="35"/>
      <c r="W289" s="35"/>
      <c r="X289" s="35">
        <v>27</v>
      </c>
      <c r="Y289" s="35">
        <v>36</v>
      </c>
      <c r="Z289" s="35">
        <v>45</v>
      </c>
      <c r="AA289" s="103">
        <v>28</v>
      </c>
      <c r="AB289" s="103">
        <v>56</v>
      </c>
      <c r="AC289" s="103">
        <v>84</v>
      </c>
      <c r="AD289" s="103">
        <v>140</v>
      </c>
      <c r="AE289" s="103">
        <v>210</v>
      </c>
      <c r="AF289" s="103">
        <v>280</v>
      </c>
      <c r="AG289" s="103">
        <v>94.6</v>
      </c>
      <c r="AH289" s="103">
        <v>96.3</v>
      </c>
      <c r="AI289" s="103">
        <v>96.9</v>
      </c>
      <c r="AJ289" s="103">
        <v>97.4</v>
      </c>
      <c r="AK289" s="103">
        <v>97.1</v>
      </c>
      <c r="AL289" s="103">
        <v>96.6</v>
      </c>
      <c r="AM289" s="103">
        <v>97</v>
      </c>
      <c r="AN289" s="103">
        <v>94.6</v>
      </c>
      <c r="AO289" s="103">
        <v>95.7</v>
      </c>
      <c r="AP289" s="103">
        <v>96.5</v>
      </c>
      <c r="AQ289" s="103">
        <v>97.1</v>
      </c>
      <c r="AR289" s="103">
        <v>97.1</v>
      </c>
      <c r="AS289" s="103">
        <v>96.7</v>
      </c>
      <c r="AT289" s="103">
        <v>96.8</v>
      </c>
      <c r="AU289" s="103">
        <v>93.9</v>
      </c>
      <c r="AV289" s="103">
        <v>95</v>
      </c>
      <c r="AW289" s="103">
        <v>96</v>
      </c>
      <c r="AX289" s="103">
        <v>96.9</v>
      </c>
      <c r="AY289" s="103">
        <v>96.9</v>
      </c>
      <c r="AZ289" s="103">
        <v>96.6</v>
      </c>
      <c r="BA289" s="103">
        <v>96.6</v>
      </c>
      <c r="BB289" s="40">
        <v>42948</v>
      </c>
      <c r="BC289" s="40">
        <v>43388</v>
      </c>
    </row>
    <row r="290" spans="1:55" s="120" customFormat="1" ht="45">
      <c r="A290" s="41" t="s">
        <v>177</v>
      </c>
      <c r="B290" s="41" t="s">
        <v>1055</v>
      </c>
      <c r="C290" s="43" t="s">
        <v>10</v>
      </c>
      <c r="D290" s="43" t="s">
        <v>10</v>
      </c>
      <c r="E290" s="43" t="s">
        <v>10</v>
      </c>
      <c r="F290" s="63" t="s">
        <v>11</v>
      </c>
      <c r="G290" s="41" t="s">
        <v>183</v>
      </c>
      <c r="H290" s="27">
        <v>0.28000000000000003</v>
      </c>
      <c r="I290" s="29">
        <v>240</v>
      </c>
      <c r="J290" s="27">
        <v>97</v>
      </c>
      <c r="K290" s="39" t="s">
        <v>1327</v>
      </c>
      <c r="L290" s="130" t="s">
        <v>488</v>
      </c>
      <c r="M290" s="38" t="s">
        <v>489</v>
      </c>
      <c r="N290" s="40">
        <v>43388</v>
      </c>
      <c r="O290" s="129" t="s">
        <v>488</v>
      </c>
      <c r="P290" s="63" t="s">
        <v>17</v>
      </c>
      <c r="Q290" s="63" t="s">
        <v>17</v>
      </c>
      <c r="R290" s="30" t="s">
        <v>179</v>
      </c>
      <c r="S290" s="31" t="s">
        <v>11</v>
      </c>
      <c r="T290" s="31" t="s">
        <v>10</v>
      </c>
      <c r="U290" s="35">
        <v>0.02</v>
      </c>
      <c r="V290" s="35"/>
      <c r="W290" s="35"/>
      <c r="X290" s="35">
        <v>27</v>
      </c>
      <c r="Y290" s="35">
        <v>36</v>
      </c>
      <c r="Z290" s="35">
        <v>45</v>
      </c>
      <c r="AA290" s="103">
        <v>28</v>
      </c>
      <c r="AB290" s="103">
        <v>56</v>
      </c>
      <c r="AC290" s="103">
        <v>84</v>
      </c>
      <c r="AD290" s="103">
        <v>140</v>
      </c>
      <c r="AE290" s="103">
        <v>210</v>
      </c>
      <c r="AF290" s="103">
        <v>280</v>
      </c>
      <c r="AG290" s="103">
        <v>94.3</v>
      </c>
      <c r="AH290" s="103">
        <v>96.2</v>
      </c>
      <c r="AI290" s="103">
        <v>96.8</v>
      </c>
      <c r="AJ290" s="103">
        <v>97.3</v>
      </c>
      <c r="AK290" s="103">
        <v>97.1</v>
      </c>
      <c r="AL290" s="103">
        <v>96.7</v>
      </c>
      <c r="AM290" s="103">
        <v>97</v>
      </c>
      <c r="AN290" s="103">
        <v>94.6</v>
      </c>
      <c r="AO290" s="103">
        <v>95.7</v>
      </c>
      <c r="AP290" s="103">
        <v>96.3</v>
      </c>
      <c r="AQ290" s="103">
        <v>97.3</v>
      </c>
      <c r="AR290" s="103">
        <v>97.3</v>
      </c>
      <c r="AS290" s="103">
        <v>97.2</v>
      </c>
      <c r="AT290" s="103">
        <v>97</v>
      </c>
      <c r="AU290" s="103">
        <v>93.9</v>
      </c>
      <c r="AV290" s="103">
        <v>95.1</v>
      </c>
      <c r="AW290" s="103">
        <v>95.7</v>
      </c>
      <c r="AX290" s="103">
        <v>97</v>
      </c>
      <c r="AY290" s="103">
        <v>97.1</v>
      </c>
      <c r="AZ290" s="103">
        <v>97</v>
      </c>
      <c r="BA290" s="103">
        <v>96.7</v>
      </c>
      <c r="BB290" s="40">
        <v>42948</v>
      </c>
      <c r="BC290" s="40">
        <v>43388</v>
      </c>
    </row>
    <row r="291" spans="1:55" s="120" customFormat="1" ht="60">
      <c r="A291" s="87" t="s">
        <v>177</v>
      </c>
      <c r="B291" s="74" t="s">
        <v>1056</v>
      </c>
      <c r="C291" s="63" t="s">
        <v>10</v>
      </c>
      <c r="D291" s="63" t="s">
        <v>11</v>
      </c>
      <c r="E291" s="43" t="s">
        <v>10</v>
      </c>
      <c r="F291" s="63" t="s">
        <v>11</v>
      </c>
      <c r="G291" s="37" t="s">
        <v>599</v>
      </c>
      <c r="H291" s="35">
        <v>0.32</v>
      </c>
      <c r="I291" s="35">
        <v>208</v>
      </c>
      <c r="J291" s="35">
        <v>96</v>
      </c>
      <c r="K291" s="39" t="s">
        <v>1327</v>
      </c>
      <c r="L291" s="128" t="s">
        <v>600</v>
      </c>
      <c r="M291" s="39" t="s">
        <v>598</v>
      </c>
      <c r="N291" s="63" t="s">
        <v>17</v>
      </c>
      <c r="O291" s="128" t="s">
        <v>600</v>
      </c>
      <c r="P291" s="63" t="s">
        <v>17</v>
      </c>
      <c r="Q291" s="63" t="s">
        <v>17</v>
      </c>
      <c r="R291" s="65" t="s">
        <v>27</v>
      </c>
      <c r="S291" s="34" t="s">
        <v>11</v>
      </c>
      <c r="T291" s="34" t="s">
        <v>10</v>
      </c>
      <c r="U291" s="35">
        <v>0.85</v>
      </c>
      <c r="V291" s="35"/>
      <c r="W291" s="35"/>
      <c r="X291" s="35">
        <v>32</v>
      </c>
      <c r="Y291" s="35">
        <v>35</v>
      </c>
      <c r="Z291" s="35">
        <v>42</v>
      </c>
      <c r="AA291" s="103">
        <v>3.2000000000000001E-2</v>
      </c>
      <c r="AB291" s="103">
        <v>6.4000000000000001E-2</v>
      </c>
      <c r="AC291" s="103">
        <v>9.6000000000000002E-2</v>
      </c>
      <c r="AD291" s="103">
        <v>0.16</v>
      </c>
      <c r="AE291" s="103">
        <v>0.24</v>
      </c>
      <c r="AF291" s="103">
        <v>0.32</v>
      </c>
      <c r="AG291" s="103">
        <v>91.3</v>
      </c>
      <c r="AH291" s="103">
        <v>94.9</v>
      </c>
      <c r="AI291" s="103">
        <v>95.8</v>
      </c>
      <c r="AJ291" s="103">
        <v>96.5</v>
      </c>
      <c r="AK291" s="103">
        <v>96.4</v>
      </c>
      <c r="AL291" s="103">
        <v>95.3</v>
      </c>
      <c r="AM291" s="103">
        <v>96</v>
      </c>
      <c r="AN291" s="103">
        <v>90.8</v>
      </c>
      <c r="AO291" s="103">
        <v>94.9</v>
      </c>
      <c r="AP291" s="103">
        <v>95.4</v>
      </c>
      <c r="AQ291" s="103">
        <v>96.4</v>
      </c>
      <c r="AR291" s="103">
        <v>96.3</v>
      </c>
      <c r="AS291" s="103">
        <v>95.6</v>
      </c>
      <c r="AT291" s="103">
        <v>95.9</v>
      </c>
      <c r="AU291" s="103">
        <v>90.2</v>
      </c>
      <c r="AV291" s="103">
        <v>94.5</v>
      </c>
      <c r="AW291" s="103">
        <v>95.3</v>
      </c>
      <c r="AX291" s="103">
        <v>96.2</v>
      </c>
      <c r="AY291" s="103">
        <v>96.2</v>
      </c>
      <c r="AZ291" s="103">
        <v>95.8</v>
      </c>
      <c r="BA291" s="103">
        <v>95.7</v>
      </c>
      <c r="BB291" s="40">
        <v>43146</v>
      </c>
      <c r="BC291" s="70"/>
    </row>
    <row r="292" spans="1:55" s="120" customFormat="1" ht="60">
      <c r="A292" s="87" t="s">
        <v>177</v>
      </c>
      <c r="B292" s="74" t="s">
        <v>1057</v>
      </c>
      <c r="C292" s="63" t="s">
        <v>10</v>
      </c>
      <c r="D292" s="63" t="s">
        <v>11</v>
      </c>
      <c r="E292" s="43" t="s">
        <v>10</v>
      </c>
      <c r="F292" s="63" t="s">
        <v>11</v>
      </c>
      <c r="G292" s="37" t="s">
        <v>604</v>
      </c>
      <c r="H292" s="35">
        <v>0.32</v>
      </c>
      <c r="I292" s="35">
        <v>240</v>
      </c>
      <c r="J292" s="35">
        <v>97</v>
      </c>
      <c r="K292" s="39" t="s">
        <v>1327</v>
      </c>
      <c r="L292" s="128" t="s">
        <v>600</v>
      </c>
      <c r="M292" s="39" t="s">
        <v>598</v>
      </c>
      <c r="N292" s="63" t="s">
        <v>17</v>
      </c>
      <c r="O292" s="128" t="s">
        <v>600</v>
      </c>
      <c r="P292" s="63" t="s">
        <v>17</v>
      </c>
      <c r="Q292" s="63" t="s">
        <v>17</v>
      </c>
      <c r="R292" s="65" t="s">
        <v>27</v>
      </c>
      <c r="S292" s="34" t="s">
        <v>11</v>
      </c>
      <c r="T292" s="34" t="s">
        <v>10</v>
      </c>
      <c r="U292" s="35">
        <v>0.16</v>
      </c>
      <c r="V292" s="35"/>
      <c r="W292" s="35"/>
      <c r="X292" s="35">
        <v>32</v>
      </c>
      <c r="Y292" s="35">
        <v>35</v>
      </c>
      <c r="Z292" s="35">
        <v>42</v>
      </c>
      <c r="AA292" s="103">
        <v>3.2000000000000001E-2</v>
      </c>
      <c r="AB292" s="103">
        <v>6.4000000000000001E-2</v>
      </c>
      <c r="AC292" s="103">
        <v>9.6000000000000002E-2</v>
      </c>
      <c r="AD292" s="103">
        <v>0.16</v>
      </c>
      <c r="AE292" s="103">
        <v>0.24</v>
      </c>
      <c r="AF292" s="103">
        <v>0.32</v>
      </c>
      <c r="AG292" s="103">
        <v>92.6</v>
      </c>
      <c r="AH292" s="103">
        <v>95.9</v>
      </c>
      <c r="AI292" s="103">
        <v>96.6</v>
      </c>
      <c r="AJ292" s="103">
        <v>97.2</v>
      </c>
      <c r="AK292" s="103">
        <v>97.2</v>
      </c>
      <c r="AL292" s="103">
        <v>96.8</v>
      </c>
      <c r="AM292" s="103">
        <v>96.9</v>
      </c>
      <c r="AN292" s="103">
        <v>92.6</v>
      </c>
      <c r="AO292" s="103">
        <v>95.9</v>
      </c>
      <c r="AP292" s="103">
        <v>96.6</v>
      </c>
      <c r="AQ292" s="103">
        <v>97.1</v>
      </c>
      <c r="AR292" s="103">
        <v>97.2</v>
      </c>
      <c r="AS292" s="103">
        <v>96.8</v>
      </c>
      <c r="AT292" s="103">
        <v>96.8</v>
      </c>
      <c r="AU292" s="103">
        <v>92.1</v>
      </c>
      <c r="AV292" s="103">
        <v>95.6</v>
      </c>
      <c r="AW292" s="103">
        <v>96.4</v>
      </c>
      <c r="AX292" s="103">
        <v>96.9</v>
      </c>
      <c r="AY292" s="103">
        <v>97</v>
      </c>
      <c r="AZ292" s="103">
        <v>96.8</v>
      </c>
      <c r="BA292" s="103">
        <v>96.6</v>
      </c>
      <c r="BB292" s="40">
        <v>43146</v>
      </c>
      <c r="BC292" s="70"/>
    </row>
    <row r="293" spans="1:55" s="120" customFormat="1" ht="60">
      <c r="A293" s="87" t="s">
        <v>177</v>
      </c>
      <c r="B293" s="74" t="s">
        <v>1058</v>
      </c>
      <c r="C293" s="63" t="s">
        <v>10</v>
      </c>
      <c r="D293" s="63" t="s">
        <v>11</v>
      </c>
      <c r="E293" s="43" t="s">
        <v>10</v>
      </c>
      <c r="F293" s="63" t="s">
        <v>11</v>
      </c>
      <c r="G293" s="37" t="s">
        <v>601</v>
      </c>
      <c r="H293" s="35">
        <v>0.32</v>
      </c>
      <c r="I293" s="35">
        <v>208</v>
      </c>
      <c r="J293" s="35">
        <v>96</v>
      </c>
      <c r="K293" s="39" t="s">
        <v>1327</v>
      </c>
      <c r="L293" s="128" t="s">
        <v>600</v>
      </c>
      <c r="M293" s="39" t="s">
        <v>598</v>
      </c>
      <c r="N293" s="63" t="s">
        <v>17</v>
      </c>
      <c r="O293" s="128" t="s">
        <v>600</v>
      </c>
      <c r="P293" s="63" t="s">
        <v>17</v>
      </c>
      <c r="Q293" s="63" t="s">
        <v>17</v>
      </c>
      <c r="R293" s="65" t="s">
        <v>27</v>
      </c>
      <c r="S293" s="34" t="s">
        <v>11</v>
      </c>
      <c r="T293" s="34" t="s">
        <v>10</v>
      </c>
      <c r="U293" s="35">
        <v>0.85</v>
      </c>
      <c r="V293" s="35"/>
      <c r="W293" s="35"/>
      <c r="X293" s="35">
        <v>32</v>
      </c>
      <c r="Y293" s="35">
        <v>35</v>
      </c>
      <c r="Z293" s="35">
        <v>42</v>
      </c>
      <c r="AA293" s="103">
        <v>3.2000000000000001E-2</v>
      </c>
      <c r="AB293" s="103">
        <v>6.4000000000000001E-2</v>
      </c>
      <c r="AC293" s="103">
        <v>9.6000000000000002E-2</v>
      </c>
      <c r="AD293" s="103">
        <v>0.16</v>
      </c>
      <c r="AE293" s="103">
        <v>0.24</v>
      </c>
      <c r="AF293" s="103">
        <v>0.32</v>
      </c>
      <c r="AG293" s="103">
        <v>91.3</v>
      </c>
      <c r="AH293" s="103">
        <v>94.9</v>
      </c>
      <c r="AI293" s="103">
        <v>95.8</v>
      </c>
      <c r="AJ293" s="103">
        <v>96.5</v>
      </c>
      <c r="AK293" s="103">
        <v>96.4</v>
      </c>
      <c r="AL293" s="103">
        <v>95.3</v>
      </c>
      <c r="AM293" s="103">
        <v>96</v>
      </c>
      <c r="AN293" s="103">
        <v>90.8</v>
      </c>
      <c r="AO293" s="103">
        <v>94.9</v>
      </c>
      <c r="AP293" s="103">
        <v>95.4</v>
      </c>
      <c r="AQ293" s="103">
        <v>96.4</v>
      </c>
      <c r="AR293" s="103">
        <v>96.3</v>
      </c>
      <c r="AS293" s="103">
        <v>95.6</v>
      </c>
      <c r="AT293" s="103">
        <v>95.9</v>
      </c>
      <c r="AU293" s="103">
        <v>90.2</v>
      </c>
      <c r="AV293" s="103">
        <v>94.5</v>
      </c>
      <c r="AW293" s="103">
        <v>95.3</v>
      </c>
      <c r="AX293" s="103">
        <v>96.2</v>
      </c>
      <c r="AY293" s="103">
        <v>96.2</v>
      </c>
      <c r="AZ293" s="103">
        <v>95.8</v>
      </c>
      <c r="BA293" s="103">
        <v>95.7</v>
      </c>
      <c r="BB293" s="40">
        <v>43146</v>
      </c>
      <c r="BC293" s="70"/>
    </row>
    <row r="294" spans="1:55" s="120" customFormat="1" ht="60">
      <c r="A294" s="87" t="s">
        <v>177</v>
      </c>
      <c r="B294" s="74" t="s">
        <v>1059</v>
      </c>
      <c r="C294" s="63" t="s">
        <v>10</v>
      </c>
      <c r="D294" s="63" t="s">
        <v>11</v>
      </c>
      <c r="E294" s="43" t="s">
        <v>10</v>
      </c>
      <c r="F294" s="63" t="s">
        <v>11</v>
      </c>
      <c r="G294" s="37" t="s">
        <v>605</v>
      </c>
      <c r="H294" s="35">
        <v>0.32</v>
      </c>
      <c r="I294" s="35">
        <v>240</v>
      </c>
      <c r="J294" s="35">
        <v>97</v>
      </c>
      <c r="K294" s="39" t="s">
        <v>1327</v>
      </c>
      <c r="L294" s="128" t="s">
        <v>600</v>
      </c>
      <c r="M294" s="39" t="s">
        <v>598</v>
      </c>
      <c r="N294" s="63" t="s">
        <v>17</v>
      </c>
      <c r="O294" s="128" t="s">
        <v>600</v>
      </c>
      <c r="P294" s="63" t="s">
        <v>17</v>
      </c>
      <c r="Q294" s="63" t="s">
        <v>17</v>
      </c>
      <c r="R294" s="65" t="s">
        <v>27</v>
      </c>
      <c r="S294" s="34" t="s">
        <v>11</v>
      </c>
      <c r="T294" s="34" t="s">
        <v>10</v>
      </c>
      <c r="U294" s="35">
        <v>0.16</v>
      </c>
      <c r="V294" s="35"/>
      <c r="W294" s="35"/>
      <c r="X294" s="35">
        <v>32</v>
      </c>
      <c r="Y294" s="35">
        <v>35</v>
      </c>
      <c r="Z294" s="35">
        <v>42</v>
      </c>
      <c r="AA294" s="103">
        <v>3.2000000000000001E-2</v>
      </c>
      <c r="AB294" s="103">
        <v>6.4000000000000001E-2</v>
      </c>
      <c r="AC294" s="103">
        <v>9.6000000000000002E-2</v>
      </c>
      <c r="AD294" s="103">
        <v>0.16</v>
      </c>
      <c r="AE294" s="103">
        <v>0.24</v>
      </c>
      <c r="AF294" s="103">
        <v>0.32</v>
      </c>
      <c r="AG294" s="103">
        <v>92.6</v>
      </c>
      <c r="AH294" s="103">
        <v>95.9</v>
      </c>
      <c r="AI294" s="103">
        <v>96.6</v>
      </c>
      <c r="AJ294" s="103">
        <v>97.2</v>
      </c>
      <c r="AK294" s="103">
        <v>97.2</v>
      </c>
      <c r="AL294" s="103">
        <v>96.8</v>
      </c>
      <c r="AM294" s="103">
        <v>96.9</v>
      </c>
      <c r="AN294" s="103">
        <v>92.6</v>
      </c>
      <c r="AO294" s="103">
        <v>95.9</v>
      </c>
      <c r="AP294" s="103">
        <v>96.6</v>
      </c>
      <c r="AQ294" s="103">
        <v>97.1</v>
      </c>
      <c r="AR294" s="103">
        <v>97.2</v>
      </c>
      <c r="AS294" s="103">
        <v>96.8</v>
      </c>
      <c r="AT294" s="103">
        <v>96.8</v>
      </c>
      <c r="AU294" s="103">
        <v>92.1</v>
      </c>
      <c r="AV294" s="103">
        <v>95.6</v>
      </c>
      <c r="AW294" s="103">
        <v>96.4</v>
      </c>
      <c r="AX294" s="103">
        <v>96.9</v>
      </c>
      <c r="AY294" s="103">
        <v>97</v>
      </c>
      <c r="AZ294" s="103">
        <v>96.8</v>
      </c>
      <c r="BA294" s="103">
        <v>96.6</v>
      </c>
      <c r="BB294" s="40">
        <v>43146</v>
      </c>
      <c r="BC294" s="70"/>
    </row>
    <row r="295" spans="1:55" s="120" customFormat="1" ht="60">
      <c r="A295" s="87" t="s">
        <v>177</v>
      </c>
      <c r="B295" s="74" t="s">
        <v>1060</v>
      </c>
      <c r="C295" s="63" t="s">
        <v>10</v>
      </c>
      <c r="D295" s="63" t="s">
        <v>11</v>
      </c>
      <c r="E295" s="43" t="s">
        <v>10</v>
      </c>
      <c r="F295" s="63" t="s">
        <v>11</v>
      </c>
      <c r="G295" s="37" t="s">
        <v>602</v>
      </c>
      <c r="H295" s="35">
        <v>0.32</v>
      </c>
      <c r="I295" s="35">
        <v>208</v>
      </c>
      <c r="J295" s="35">
        <v>96</v>
      </c>
      <c r="K295" s="39" t="s">
        <v>1327</v>
      </c>
      <c r="L295" s="128" t="s">
        <v>600</v>
      </c>
      <c r="M295" s="39" t="s">
        <v>598</v>
      </c>
      <c r="N295" s="63" t="s">
        <v>17</v>
      </c>
      <c r="O295" s="128" t="s">
        <v>600</v>
      </c>
      <c r="P295" s="63" t="s">
        <v>17</v>
      </c>
      <c r="Q295" s="63" t="s">
        <v>17</v>
      </c>
      <c r="R295" s="65" t="s">
        <v>27</v>
      </c>
      <c r="S295" s="34" t="s">
        <v>11</v>
      </c>
      <c r="T295" s="34" t="s">
        <v>10</v>
      </c>
      <c r="U295" s="35">
        <v>0.85</v>
      </c>
      <c r="V295" s="35"/>
      <c r="W295" s="35"/>
      <c r="X295" s="35">
        <v>32</v>
      </c>
      <c r="Y295" s="35">
        <v>35</v>
      </c>
      <c r="Z295" s="35">
        <v>42</v>
      </c>
      <c r="AA295" s="103">
        <v>3.2000000000000001E-2</v>
      </c>
      <c r="AB295" s="103">
        <v>6.4000000000000001E-2</v>
      </c>
      <c r="AC295" s="103">
        <v>9.6000000000000002E-2</v>
      </c>
      <c r="AD295" s="103">
        <v>0.16</v>
      </c>
      <c r="AE295" s="103">
        <v>0.24</v>
      </c>
      <c r="AF295" s="103">
        <v>0.32</v>
      </c>
      <c r="AG295" s="103">
        <v>91.3</v>
      </c>
      <c r="AH295" s="103">
        <v>94.9</v>
      </c>
      <c r="AI295" s="103">
        <v>95.8</v>
      </c>
      <c r="AJ295" s="103">
        <v>96.5</v>
      </c>
      <c r="AK295" s="103">
        <v>96.4</v>
      </c>
      <c r="AL295" s="103">
        <v>95.3</v>
      </c>
      <c r="AM295" s="103">
        <v>96</v>
      </c>
      <c r="AN295" s="103">
        <v>90.8</v>
      </c>
      <c r="AO295" s="103">
        <v>94.9</v>
      </c>
      <c r="AP295" s="103">
        <v>95.4</v>
      </c>
      <c r="AQ295" s="103">
        <v>96.4</v>
      </c>
      <c r="AR295" s="103">
        <v>96.3</v>
      </c>
      <c r="AS295" s="103">
        <v>95.6</v>
      </c>
      <c r="AT295" s="103">
        <v>95.9</v>
      </c>
      <c r="AU295" s="103">
        <v>90.2</v>
      </c>
      <c r="AV295" s="103">
        <v>94.5</v>
      </c>
      <c r="AW295" s="103">
        <v>95.3</v>
      </c>
      <c r="AX295" s="103">
        <v>96.2</v>
      </c>
      <c r="AY295" s="103">
        <v>96.2</v>
      </c>
      <c r="AZ295" s="103">
        <v>95.8</v>
      </c>
      <c r="BA295" s="103">
        <v>95.7</v>
      </c>
      <c r="BB295" s="40">
        <v>43146</v>
      </c>
      <c r="BC295" s="70"/>
    </row>
    <row r="296" spans="1:55" s="120" customFormat="1" ht="60">
      <c r="A296" s="87" t="s">
        <v>177</v>
      </c>
      <c r="B296" s="74" t="s">
        <v>1061</v>
      </c>
      <c r="C296" s="63" t="s">
        <v>10</v>
      </c>
      <c r="D296" s="63" t="s">
        <v>11</v>
      </c>
      <c r="E296" s="43" t="s">
        <v>10</v>
      </c>
      <c r="F296" s="63" t="s">
        <v>11</v>
      </c>
      <c r="G296" s="37" t="s">
        <v>606</v>
      </c>
      <c r="H296" s="35">
        <v>0.32</v>
      </c>
      <c r="I296" s="35">
        <v>240</v>
      </c>
      <c r="J296" s="35">
        <v>97</v>
      </c>
      <c r="K296" s="39" t="s">
        <v>1327</v>
      </c>
      <c r="L296" s="128" t="s">
        <v>600</v>
      </c>
      <c r="M296" s="39" t="s">
        <v>598</v>
      </c>
      <c r="N296" s="63" t="s">
        <v>17</v>
      </c>
      <c r="O296" s="128" t="s">
        <v>600</v>
      </c>
      <c r="P296" s="63" t="s">
        <v>17</v>
      </c>
      <c r="Q296" s="63" t="s">
        <v>17</v>
      </c>
      <c r="R296" s="65" t="s">
        <v>27</v>
      </c>
      <c r="S296" s="34" t="s">
        <v>11</v>
      </c>
      <c r="T296" s="34" t="s">
        <v>10</v>
      </c>
      <c r="U296" s="35">
        <v>0.16</v>
      </c>
      <c r="V296" s="35"/>
      <c r="W296" s="35"/>
      <c r="X296" s="35">
        <v>32</v>
      </c>
      <c r="Y296" s="35">
        <v>35</v>
      </c>
      <c r="Z296" s="35">
        <v>42</v>
      </c>
      <c r="AA296" s="103">
        <v>3.2000000000000001E-2</v>
      </c>
      <c r="AB296" s="103">
        <v>6.4000000000000001E-2</v>
      </c>
      <c r="AC296" s="103">
        <v>9.6000000000000002E-2</v>
      </c>
      <c r="AD296" s="103">
        <v>0.16</v>
      </c>
      <c r="AE296" s="103">
        <v>0.24</v>
      </c>
      <c r="AF296" s="103">
        <v>0.32</v>
      </c>
      <c r="AG296" s="103">
        <v>92.6</v>
      </c>
      <c r="AH296" s="103">
        <v>95.9</v>
      </c>
      <c r="AI296" s="103">
        <v>96.6</v>
      </c>
      <c r="AJ296" s="103">
        <v>97.2</v>
      </c>
      <c r="AK296" s="103">
        <v>97.2</v>
      </c>
      <c r="AL296" s="103">
        <v>96.8</v>
      </c>
      <c r="AM296" s="103">
        <v>96.9</v>
      </c>
      <c r="AN296" s="103">
        <v>92.6</v>
      </c>
      <c r="AO296" s="103">
        <v>95.9</v>
      </c>
      <c r="AP296" s="103">
        <v>96.6</v>
      </c>
      <c r="AQ296" s="103">
        <v>97.1</v>
      </c>
      <c r="AR296" s="103">
        <v>97.2</v>
      </c>
      <c r="AS296" s="103">
        <v>96.8</v>
      </c>
      <c r="AT296" s="103">
        <v>96.8</v>
      </c>
      <c r="AU296" s="103">
        <v>92.1</v>
      </c>
      <c r="AV296" s="103">
        <v>95.6</v>
      </c>
      <c r="AW296" s="103">
        <v>96.4</v>
      </c>
      <c r="AX296" s="103">
        <v>96.9</v>
      </c>
      <c r="AY296" s="103">
        <v>97</v>
      </c>
      <c r="AZ296" s="103">
        <v>96.8</v>
      </c>
      <c r="BA296" s="103">
        <v>96.6</v>
      </c>
      <c r="BB296" s="40">
        <v>43146</v>
      </c>
      <c r="BC296" s="70"/>
    </row>
    <row r="297" spans="1:55" s="120" customFormat="1" ht="60">
      <c r="A297" s="87" t="s">
        <v>177</v>
      </c>
      <c r="B297" s="74" t="s">
        <v>1062</v>
      </c>
      <c r="C297" s="63" t="s">
        <v>10</v>
      </c>
      <c r="D297" s="63" t="s">
        <v>11</v>
      </c>
      <c r="E297" s="43" t="s">
        <v>10</v>
      </c>
      <c r="F297" s="63" t="s">
        <v>11</v>
      </c>
      <c r="G297" s="37" t="s">
        <v>603</v>
      </c>
      <c r="H297" s="35">
        <v>0.32</v>
      </c>
      <c r="I297" s="35">
        <v>208</v>
      </c>
      <c r="J297" s="35">
        <v>96</v>
      </c>
      <c r="K297" s="39" t="s">
        <v>1327</v>
      </c>
      <c r="L297" s="128" t="s">
        <v>600</v>
      </c>
      <c r="M297" s="39" t="s">
        <v>598</v>
      </c>
      <c r="N297" s="63" t="s">
        <v>17</v>
      </c>
      <c r="O297" s="128" t="s">
        <v>600</v>
      </c>
      <c r="P297" s="63" t="s">
        <v>17</v>
      </c>
      <c r="Q297" s="63" t="s">
        <v>17</v>
      </c>
      <c r="R297" s="65" t="s">
        <v>27</v>
      </c>
      <c r="S297" s="34" t="s">
        <v>11</v>
      </c>
      <c r="T297" s="34" t="s">
        <v>10</v>
      </c>
      <c r="U297" s="35">
        <v>0.85</v>
      </c>
      <c r="V297" s="35"/>
      <c r="W297" s="35"/>
      <c r="X297" s="35">
        <v>32</v>
      </c>
      <c r="Y297" s="35">
        <v>35</v>
      </c>
      <c r="Z297" s="35">
        <v>42</v>
      </c>
      <c r="AA297" s="103">
        <v>3.2000000000000001E-2</v>
      </c>
      <c r="AB297" s="103">
        <v>6.4000000000000001E-2</v>
      </c>
      <c r="AC297" s="103">
        <v>9.6000000000000002E-2</v>
      </c>
      <c r="AD297" s="103">
        <v>0.16</v>
      </c>
      <c r="AE297" s="103">
        <v>0.24</v>
      </c>
      <c r="AF297" s="103">
        <v>0.32</v>
      </c>
      <c r="AG297" s="103">
        <v>91.3</v>
      </c>
      <c r="AH297" s="103">
        <v>94.9</v>
      </c>
      <c r="AI297" s="103">
        <v>95.8</v>
      </c>
      <c r="AJ297" s="103">
        <v>96.5</v>
      </c>
      <c r="AK297" s="103">
        <v>96.4</v>
      </c>
      <c r="AL297" s="103">
        <v>95.3</v>
      </c>
      <c r="AM297" s="103">
        <v>96</v>
      </c>
      <c r="AN297" s="103">
        <v>90.8</v>
      </c>
      <c r="AO297" s="103">
        <v>94.9</v>
      </c>
      <c r="AP297" s="103">
        <v>95.4</v>
      </c>
      <c r="AQ297" s="103">
        <v>96.4</v>
      </c>
      <c r="AR297" s="103">
        <v>96.3</v>
      </c>
      <c r="AS297" s="103">
        <v>95.6</v>
      </c>
      <c r="AT297" s="103">
        <v>95.9</v>
      </c>
      <c r="AU297" s="103">
        <v>90.2</v>
      </c>
      <c r="AV297" s="103">
        <v>94.5</v>
      </c>
      <c r="AW297" s="103">
        <v>95.3</v>
      </c>
      <c r="AX297" s="103">
        <v>96.2</v>
      </c>
      <c r="AY297" s="103">
        <v>96.2</v>
      </c>
      <c r="AZ297" s="103">
        <v>95.8</v>
      </c>
      <c r="BA297" s="103">
        <v>95.7</v>
      </c>
      <c r="BB297" s="40">
        <v>43146</v>
      </c>
      <c r="BC297" s="70"/>
    </row>
    <row r="298" spans="1:55" s="120" customFormat="1" ht="60">
      <c r="A298" s="87" t="s">
        <v>177</v>
      </c>
      <c r="B298" s="74" t="s">
        <v>1063</v>
      </c>
      <c r="C298" s="63" t="s">
        <v>10</v>
      </c>
      <c r="D298" s="63" t="s">
        <v>11</v>
      </c>
      <c r="E298" s="43" t="s">
        <v>10</v>
      </c>
      <c r="F298" s="63" t="s">
        <v>11</v>
      </c>
      <c r="G298" s="37" t="s">
        <v>607</v>
      </c>
      <c r="H298" s="35">
        <v>0.32</v>
      </c>
      <c r="I298" s="35">
        <v>240</v>
      </c>
      <c r="J298" s="35">
        <v>97</v>
      </c>
      <c r="K298" s="39" t="s">
        <v>1327</v>
      </c>
      <c r="L298" s="128" t="s">
        <v>600</v>
      </c>
      <c r="M298" s="39" t="s">
        <v>598</v>
      </c>
      <c r="N298" s="63" t="s">
        <v>17</v>
      </c>
      <c r="O298" s="128" t="s">
        <v>600</v>
      </c>
      <c r="P298" s="63" t="s">
        <v>17</v>
      </c>
      <c r="Q298" s="63" t="s">
        <v>17</v>
      </c>
      <c r="R298" s="65" t="s">
        <v>27</v>
      </c>
      <c r="S298" s="34" t="s">
        <v>11</v>
      </c>
      <c r="T298" s="34" t="s">
        <v>10</v>
      </c>
      <c r="U298" s="35">
        <v>0.16</v>
      </c>
      <c r="V298" s="35"/>
      <c r="W298" s="35"/>
      <c r="X298" s="35">
        <v>32</v>
      </c>
      <c r="Y298" s="35">
        <v>35</v>
      </c>
      <c r="Z298" s="35">
        <v>42</v>
      </c>
      <c r="AA298" s="103">
        <v>3.2000000000000001E-2</v>
      </c>
      <c r="AB298" s="103">
        <v>6.4000000000000001E-2</v>
      </c>
      <c r="AC298" s="103">
        <v>9.6000000000000002E-2</v>
      </c>
      <c r="AD298" s="103">
        <v>0.16</v>
      </c>
      <c r="AE298" s="103">
        <v>0.24</v>
      </c>
      <c r="AF298" s="103">
        <v>0.32</v>
      </c>
      <c r="AG298" s="103">
        <v>92.6</v>
      </c>
      <c r="AH298" s="103">
        <v>95.9</v>
      </c>
      <c r="AI298" s="103">
        <v>96.6</v>
      </c>
      <c r="AJ298" s="103">
        <v>97.2</v>
      </c>
      <c r="AK298" s="103">
        <v>97.2</v>
      </c>
      <c r="AL298" s="103">
        <v>96.8</v>
      </c>
      <c r="AM298" s="103">
        <v>96.9</v>
      </c>
      <c r="AN298" s="103">
        <v>92.6</v>
      </c>
      <c r="AO298" s="103">
        <v>95.9</v>
      </c>
      <c r="AP298" s="103">
        <v>96.6</v>
      </c>
      <c r="AQ298" s="103">
        <v>97.1</v>
      </c>
      <c r="AR298" s="103">
        <v>97.2</v>
      </c>
      <c r="AS298" s="103">
        <v>96.8</v>
      </c>
      <c r="AT298" s="103">
        <v>96.8</v>
      </c>
      <c r="AU298" s="103">
        <v>92.1</v>
      </c>
      <c r="AV298" s="103">
        <v>95.6</v>
      </c>
      <c r="AW298" s="103">
        <v>96.4</v>
      </c>
      <c r="AX298" s="103">
        <v>96.9</v>
      </c>
      <c r="AY298" s="103">
        <v>97</v>
      </c>
      <c r="AZ298" s="103">
        <v>96.8</v>
      </c>
      <c r="BA298" s="103">
        <v>96.6</v>
      </c>
      <c r="BB298" s="40">
        <v>43146</v>
      </c>
      <c r="BC298" s="70"/>
    </row>
    <row r="299" spans="1:55" s="120" customFormat="1" ht="45">
      <c r="A299" s="87" t="s">
        <v>177</v>
      </c>
      <c r="B299" s="74" t="s">
        <v>1064</v>
      </c>
      <c r="C299" s="63" t="s">
        <v>10</v>
      </c>
      <c r="D299" s="63" t="s">
        <v>11</v>
      </c>
      <c r="E299" s="43" t="s">
        <v>10</v>
      </c>
      <c r="F299" s="63" t="s">
        <v>11</v>
      </c>
      <c r="G299" s="37" t="s">
        <v>214</v>
      </c>
      <c r="H299" s="35">
        <v>0.32</v>
      </c>
      <c r="I299" s="35">
        <v>208</v>
      </c>
      <c r="J299" s="35">
        <v>96</v>
      </c>
      <c r="K299" s="39" t="s">
        <v>1327</v>
      </c>
      <c r="L299" s="128" t="s">
        <v>597</v>
      </c>
      <c r="M299" s="39" t="s">
        <v>598</v>
      </c>
      <c r="N299" s="63" t="s">
        <v>17</v>
      </c>
      <c r="O299" s="128" t="s">
        <v>597</v>
      </c>
      <c r="P299" s="63" t="s">
        <v>17</v>
      </c>
      <c r="Q299" s="63" t="s">
        <v>17</v>
      </c>
      <c r="R299" s="65"/>
      <c r="S299" s="34" t="s">
        <v>11</v>
      </c>
      <c r="T299" s="34" t="s">
        <v>10</v>
      </c>
      <c r="U299" s="35">
        <v>0.85</v>
      </c>
      <c r="V299" s="35"/>
      <c r="W299" s="35"/>
      <c r="X299" s="35">
        <v>32</v>
      </c>
      <c r="Y299" s="35">
        <v>35</v>
      </c>
      <c r="Z299" s="35">
        <v>42</v>
      </c>
      <c r="AA299" s="103">
        <v>3.2000000000000001E-2</v>
      </c>
      <c r="AB299" s="103">
        <v>6.4000000000000001E-2</v>
      </c>
      <c r="AC299" s="103">
        <v>9.6000000000000002E-2</v>
      </c>
      <c r="AD299" s="103">
        <v>0.16</v>
      </c>
      <c r="AE299" s="103">
        <v>0.24</v>
      </c>
      <c r="AF299" s="103">
        <v>0.32</v>
      </c>
      <c r="AG299" s="103">
        <v>91.3</v>
      </c>
      <c r="AH299" s="103">
        <v>94.9</v>
      </c>
      <c r="AI299" s="103">
        <v>95.8</v>
      </c>
      <c r="AJ299" s="103">
        <v>96.5</v>
      </c>
      <c r="AK299" s="103">
        <v>96.4</v>
      </c>
      <c r="AL299" s="103">
        <v>95.3</v>
      </c>
      <c r="AM299" s="103">
        <v>96</v>
      </c>
      <c r="AN299" s="103">
        <v>90.8</v>
      </c>
      <c r="AO299" s="103">
        <v>94.9</v>
      </c>
      <c r="AP299" s="103">
        <v>95.4</v>
      </c>
      <c r="AQ299" s="103">
        <v>96.4</v>
      </c>
      <c r="AR299" s="103">
        <v>96.3</v>
      </c>
      <c r="AS299" s="103">
        <v>95.6</v>
      </c>
      <c r="AT299" s="103">
        <v>95.9</v>
      </c>
      <c r="AU299" s="103">
        <v>90.2</v>
      </c>
      <c r="AV299" s="103">
        <v>94.5</v>
      </c>
      <c r="AW299" s="103">
        <v>95.3</v>
      </c>
      <c r="AX299" s="103">
        <v>96.2</v>
      </c>
      <c r="AY299" s="103">
        <v>96.2</v>
      </c>
      <c r="AZ299" s="103">
        <v>95.8</v>
      </c>
      <c r="BA299" s="103">
        <v>95.7</v>
      </c>
      <c r="BB299" s="40">
        <v>43146</v>
      </c>
      <c r="BC299" s="70"/>
    </row>
    <row r="300" spans="1:55" s="120" customFormat="1" ht="45">
      <c r="A300" s="87" t="s">
        <v>177</v>
      </c>
      <c r="B300" s="74" t="s">
        <v>1065</v>
      </c>
      <c r="C300" s="63" t="s">
        <v>10</v>
      </c>
      <c r="D300" s="63" t="s">
        <v>11</v>
      </c>
      <c r="E300" s="43" t="s">
        <v>10</v>
      </c>
      <c r="F300" s="63" t="s">
        <v>11</v>
      </c>
      <c r="G300" s="37" t="s">
        <v>215</v>
      </c>
      <c r="H300" s="35">
        <v>0.32</v>
      </c>
      <c r="I300" s="35">
        <v>240</v>
      </c>
      <c r="J300" s="35">
        <v>97</v>
      </c>
      <c r="K300" s="39" t="s">
        <v>1327</v>
      </c>
      <c r="L300" s="128" t="s">
        <v>597</v>
      </c>
      <c r="M300" s="39" t="s">
        <v>598</v>
      </c>
      <c r="N300" s="63" t="s">
        <v>17</v>
      </c>
      <c r="O300" s="128" t="s">
        <v>597</v>
      </c>
      <c r="P300" s="63" t="s">
        <v>17</v>
      </c>
      <c r="Q300" s="63" t="s">
        <v>17</v>
      </c>
      <c r="R300" s="65"/>
      <c r="S300" s="34" t="s">
        <v>11</v>
      </c>
      <c r="T300" s="34" t="s">
        <v>10</v>
      </c>
      <c r="U300" s="35">
        <v>0.16</v>
      </c>
      <c r="V300" s="35"/>
      <c r="W300" s="35"/>
      <c r="X300" s="35">
        <v>32</v>
      </c>
      <c r="Y300" s="35">
        <v>35</v>
      </c>
      <c r="Z300" s="35">
        <v>42</v>
      </c>
      <c r="AA300" s="103">
        <v>3.2000000000000001E-2</v>
      </c>
      <c r="AB300" s="103">
        <v>6.4000000000000001E-2</v>
      </c>
      <c r="AC300" s="103">
        <v>9.6000000000000002E-2</v>
      </c>
      <c r="AD300" s="103">
        <v>0.16</v>
      </c>
      <c r="AE300" s="103">
        <v>0.24</v>
      </c>
      <c r="AF300" s="103">
        <v>0.32</v>
      </c>
      <c r="AG300" s="103">
        <v>92.6</v>
      </c>
      <c r="AH300" s="103">
        <v>95.9</v>
      </c>
      <c r="AI300" s="103">
        <v>96.6</v>
      </c>
      <c r="AJ300" s="103">
        <v>97.2</v>
      </c>
      <c r="AK300" s="103">
        <v>97.2</v>
      </c>
      <c r="AL300" s="103">
        <v>96.8</v>
      </c>
      <c r="AM300" s="103">
        <v>96.9</v>
      </c>
      <c r="AN300" s="103">
        <v>92.6</v>
      </c>
      <c r="AO300" s="103">
        <v>95.9</v>
      </c>
      <c r="AP300" s="103">
        <v>96.6</v>
      </c>
      <c r="AQ300" s="103">
        <v>97.1</v>
      </c>
      <c r="AR300" s="103">
        <v>97.2</v>
      </c>
      <c r="AS300" s="103">
        <v>96.8</v>
      </c>
      <c r="AT300" s="103">
        <v>96.8</v>
      </c>
      <c r="AU300" s="103">
        <v>92.1</v>
      </c>
      <c r="AV300" s="103">
        <v>95.6</v>
      </c>
      <c r="AW300" s="103">
        <v>96.4</v>
      </c>
      <c r="AX300" s="103">
        <v>96.9</v>
      </c>
      <c r="AY300" s="103">
        <v>97</v>
      </c>
      <c r="AZ300" s="103">
        <v>96.8</v>
      </c>
      <c r="BA300" s="103">
        <v>96.6</v>
      </c>
      <c r="BB300" s="40">
        <v>43146</v>
      </c>
      <c r="BC300" s="70"/>
    </row>
    <row r="301" spans="1:55" s="120" customFormat="1" ht="45">
      <c r="A301" s="41" t="s">
        <v>177</v>
      </c>
      <c r="B301" s="41" t="s">
        <v>1066</v>
      </c>
      <c r="C301" s="43" t="s">
        <v>10</v>
      </c>
      <c r="D301" s="43" t="s">
        <v>10</v>
      </c>
      <c r="E301" s="43" t="s">
        <v>10</v>
      </c>
      <c r="F301" s="63" t="s">
        <v>11</v>
      </c>
      <c r="G301" s="41" t="s">
        <v>777</v>
      </c>
      <c r="H301" s="27">
        <v>5</v>
      </c>
      <c r="I301" s="109">
        <v>208</v>
      </c>
      <c r="J301" s="27">
        <v>98</v>
      </c>
      <c r="K301" s="39" t="s">
        <v>1324</v>
      </c>
      <c r="L301" s="130" t="s">
        <v>856</v>
      </c>
      <c r="M301" s="110" t="s">
        <v>629</v>
      </c>
      <c r="N301" s="40">
        <v>43388</v>
      </c>
      <c r="O301" s="130" t="s">
        <v>856</v>
      </c>
      <c r="P301" s="63" t="s">
        <v>17</v>
      </c>
      <c r="Q301" s="63" t="s">
        <v>17</v>
      </c>
      <c r="R301" s="112"/>
      <c r="S301" s="111" t="s">
        <v>11</v>
      </c>
      <c r="T301" s="111" t="s">
        <v>11</v>
      </c>
      <c r="U301" s="113">
        <v>1.85</v>
      </c>
      <c r="V301" s="113"/>
      <c r="W301" s="113"/>
      <c r="X301" s="113">
        <v>350</v>
      </c>
      <c r="Y301" s="113">
        <v>400</v>
      </c>
      <c r="Z301" s="113">
        <v>450</v>
      </c>
      <c r="AA301" s="114">
        <v>0.5</v>
      </c>
      <c r="AB301" s="114">
        <v>1</v>
      </c>
      <c r="AC301" s="114">
        <v>1.5</v>
      </c>
      <c r="AD301" s="114">
        <v>2.5</v>
      </c>
      <c r="AE301" s="114">
        <v>3.75</v>
      </c>
      <c r="AF301" s="114">
        <v>5</v>
      </c>
      <c r="AG301" s="114">
        <v>96.357619047619053</v>
      </c>
      <c r="AH301" s="114">
        <v>97.710380952380973</v>
      </c>
      <c r="AI301" s="114">
        <v>98.120142857142852</v>
      </c>
      <c r="AJ301" s="114">
        <v>98.208238095238102</v>
      </c>
      <c r="AK301" s="114">
        <v>98.033666666666676</v>
      </c>
      <c r="AL301" s="114">
        <v>97.687619047619037</v>
      </c>
      <c r="AM301" s="114">
        <v>97.980195238095249</v>
      </c>
      <c r="AN301" s="114">
        <v>95.697428571428574</v>
      </c>
      <c r="AO301" s="114">
        <v>97.377047619047616</v>
      </c>
      <c r="AP301" s="114">
        <v>97.868190476190492</v>
      </c>
      <c r="AQ301" s="114">
        <v>98.05714285714285</v>
      </c>
      <c r="AR301" s="114">
        <v>97.920047619047622</v>
      </c>
      <c r="AS301" s="114">
        <v>97.611000000000004</v>
      </c>
      <c r="AT301" s="114">
        <v>97.811107619047618</v>
      </c>
      <c r="AU301" s="114">
        <v>95.111952380952388</v>
      </c>
      <c r="AV301" s="114">
        <v>97.007428571428576</v>
      </c>
      <c r="AW301" s="114">
        <v>97.61</v>
      </c>
      <c r="AX301" s="114">
        <v>97.870047619047611</v>
      </c>
      <c r="AY301" s="114">
        <v>97.801380952380967</v>
      </c>
      <c r="AZ301" s="114">
        <v>97.505333333333326</v>
      </c>
      <c r="BA301" s="114">
        <v>97.630758095238107</v>
      </c>
      <c r="BB301" s="40">
        <v>43374</v>
      </c>
      <c r="BC301" s="40">
        <v>43388</v>
      </c>
    </row>
    <row r="302" spans="1:55" s="120" customFormat="1" ht="45">
      <c r="A302" s="41" t="s">
        <v>177</v>
      </c>
      <c r="B302" s="41" t="s">
        <v>1067</v>
      </c>
      <c r="C302" s="43" t="s">
        <v>10</v>
      </c>
      <c r="D302" s="43" t="s">
        <v>10</v>
      </c>
      <c r="E302" s="43" t="s">
        <v>10</v>
      </c>
      <c r="F302" s="63" t="s">
        <v>11</v>
      </c>
      <c r="G302" s="41" t="s">
        <v>857</v>
      </c>
      <c r="H302" s="27">
        <v>5</v>
      </c>
      <c r="I302" s="109">
        <v>240</v>
      </c>
      <c r="J302" s="27">
        <v>98</v>
      </c>
      <c r="K302" s="39" t="s">
        <v>1324</v>
      </c>
      <c r="L302" s="130" t="s">
        <v>856</v>
      </c>
      <c r="M302" s="110" t="s">
        <v>629</v>
      </c>
      <c r="N302" s="40">
        <v>43388</v>
      </c>
      <c r="O302" s="130" t="s">
        <v>856</v>
      </c>
      <c r="P302" s="63" t="s">
        <v>17</v>
      </c>
      <c r="Q302" s="63" t="s">
        <v>17</v>
      </c>
      <c r="R302" s="112"/>
      <c r="S302" s="111" t="s">
        <v>11</v>
      </c>
      <c r="T302" s="111" t="s">
        <v>11</v>
      </c>
      <c r="U302" s="113">
        <v>2.0499999999999998</v>
      </c>
      <c r="V302" s="113"/>
      <c r="W302" s="113"/>
      <c r="X302" s="113">
        <v>350</v>
      </c>
      <c r="Y302" s="113">
        <v>400</v>
      </c>
      <c r="Z302" s="113">
        <v>450</v>
      </c>
      <c r="AA302" s="114">
        <v>0.5</v>
      </c>
      <c r="AB302" s="114">
        <v>1</v>
      </c>
      <c r="AC302" s="114">
        <v>1.5</v>
      </c>
      <c r="AD302" s="114">
        <v>2.5</v>
      </c>
      <c r="AE302" s="114">
        <v>3.75</v>
      </c>
      <c r="AF302" s="114">
        <v>5</v>
      </c>
      <c r="AG302" s="114">
        <v>96.480904761904767</v>
      </c>
      <c r="AH302" s="114">
        <v>97.584571428571422</v>
      </c>
      <c r="AI302" s="114">
        <v>98.116714285714281</v>
      </c>
      <c r="AJ302" s="114">
        <v>98.473571428571418</v>
      </c>
      <c r="AK302" s="114">
        <v>98.323761904761909</v>
      </c>
      <c r="AL302" s="114">
        <v>97.935095238095229</v>
      </c>
      <c r="AM302" s="114">
        <v>98.200269047619059</v>
      </c>
      <c r="AN302" s="114">
        <v>95.893809523809523</v>
      </c>
      <c r="AO302" s="114">
        <v>97.550809523809534</v>
      </c>
      <c r="AP302" s="114">
        <v>98.008380952380961</v>
      </c>
      <c r="AQ302" s="114">
        <v>98.450666666666663</v>
      </c>
      <c r="AR302" s="114">
        <v>98.350333333333339</v>
      </c>
      <c r="AS302" s="114">
        <v>98.123761904761906</v>
      </c>
      <c r="AT302" s="114">
        <v>98.18080333333333</v>
      </c>
      <c r="AU302" s="114">
        <v>95.24404761904762</v>
      </c>
      <c r="AV302" s="114">
        <v>97.157571428571444</v>
      </c>
      <c r="AW302" s="114">
        <v>97.753095238095213</v>
      </c>
      <c r="AX302" s="114">
        <v>98.295190476190484</v>
      </c>
      <c r="AY302" s="114">
        <v>98.245285714285714</v>
      </c>
      <c r="AZ302" s="114">
        <v>98.033333333333331</v>
      </c>
      <c r="BA302" s="114">
        <v>98.011670000000009</v>
      </c>
      <c r="BB302" s="40">
        <v>43374</v>
      </c>
      <c r="BC302" s="40">
        <v>43388</v>
      </c>
    </row>
    <row r="303" spans="1:55" s="120" customFormat="1" ht="60">
      <c r="A303" s="41" t="s">
        <v>177</v>
      </c>
      <c r="B303" s="41" t="s">
        <v>1068</v>
      </c>
      <c r="C303" s="43" t="s">
        <v>10</v>
      </c>
      <c r="D303" s="43" t="s">
        <v>10</v>
      </c>
      <c r="E303" s="43" t="s">
        <v>10</v>
      </c>
      <c r="F303" s="63" t="s">
        <v>11</v>
      </c>
      <c r="G303" s="41" t="s">
        <v>775</v>
      </c>
      <c r="H303" s="27">
        <v>6.6559999999999997</v>
      </c>
      <c r="I303" s="109">
        <v>208</v>
      </c>
      <c r="J303" s="27">
        <v>97.5</v>
      </c>
      <c r="K303" s="39" t="s">
        <v>1324</v>
      </c>
      <c r="L303" s="130" t="s">
        <v>856</v>
      </c>
      <c r="M303" s="110" t="s">
        <v>629</v>
      </c>
      <c r="N303" s="40">
        <v>43388</v>
      </c>
      <c r="O303" s="130" t="s">
        <v>856</v>
      </c>
      <c r="P303" s="63" t="s">
        <v>17</v>
      </c>
      <c r="Q303" s="63" t="s">
        <v>17</v>
      </c>
      <c r="R303" s="112"/>
      <c r="S303" s="111" t="s">
        <v>11</v>
      </c>
      <c r="T303" s="111" t="s">
        <v>11</v>
      </c>
      <c r="U303" s="113">
        <v>1.1499999999999999</v>
      </c>
      <c r="V303" s="113"/>
      <c r="W303" s="113"/>
      <c r="X303" s="113">
        <v>270</v>
      </c>
      <c r="Y303" s="113">
        <v>380</v>
      </c>
      <c r="Z303" s="113">
        <v>450</v>
      </c>
      <c r="AA303" s="114">
        <v>0.66559999999999997</v>
      </c>
      <c r="AB303" s="114">
        <v>1.3311999999999999</v>
      </c>
      <c r="AC303" s="114">
        <v>1.9967999999999999</v>
      </c>
      <c r="AD303" s="114">
        <v>3.3279999999999998</v>
      </c>
      <c r="AE303" s="114">
        <v>4.992</v>
      </c>
      <c r="AF303" s="114">
        <v>6.6559999999999997</v>
      </c>
      <c r="AG303" s="114">
        <v>94.577142857142846</v>
      </c>
      <c r="AH303" s="114">
        <v>96.30147619047618</v>
      </c>
      <c r="AI303" s="114">
        <v>96.99633333333334</v>
      </c>
      <c r="AJ303" s="114">
        <v>97.387761904761902</v>
      </c>
      <c r="AK303" s="114">
        <v>97.294809523809505</v>
      </c>
      <c r="AL303" s="114">
        <v>96.929047619047623</v>
      </c>
      <c r="AM303" s="114">
        <v>97.101850952380943</v>
      </c>
      <c r="AN303" s="114">
        <v>95.905285714285696</v>
      </c>
      <c r="AO303" s="114">
        <v>97.331380952380954</v>
      </c>
      <c r="AP303" s="114">
        <v>97.763285714285729</v>
      </c>
      <c r="AQ303" s="114">
        <v>97.861904761904768</v>
      </c>
      <c r="AR303" s="114">
        <v>97.586190476190467</v>
      </c>
      <c r="AS303" s="114">
        <v>97.213761904761895</v>
      </c>
      <c r="AT303" s="114">
        <v>97.566743809523814</v>
      </c>
      <c r="AU303" s="114">
        <v>95.039238095238076</v>
      </c>
      <c r="AV303" s="114">
        <v>96.954095238095235</v>
      </c>
      <c r="AW303" s="114">
        <v>97.465952380952373</v>
      </c>
      <c r="AX303" s="114">
        <v>97.73076190476192</v>
      </c>
      <c r="AY303" s="114">
        <v>97.510285714285715</v>
      </c>
      <c r="AZ303" s="114">
        <v>97.146190476190469</v>
      </c>
      <c r="BA303" s="114">
        <v>97.406409523809529</v>
      </c>
      <c r="BB303" s="40">
        <v>43374</v>
      </c>
      <c r="BC303" s="40">
        <v>43388</v>
      </c>
    </row>
    <row r="304" spans="1:55" s="120" customFormat="1" ht="45">
      <c r="A304" s="41" t="s">
        <v>177</v>
      </c>
      <c r="B304" s="41" t="s">
        <v>1069</v>
      </c>
      <c r="C304" s="43" t="s">
        <v>10</v>
      </c>
      <c r="D304" s="43" t="s">
        <v>10</v>
      </c>
      <c r="E304" s="43" t="s">
        <v>10</v>
      </c>
      <c r="F304" s="63" t="s">
        <v>11</v>
      </c>
      <c r="G304" s="41" t="s">
        <v>776</v>
      </c>
      <c r="H304" s="27">
        <v>7.68</v>
      </c>
      <c r="I304" s="109">
        <v>240</v>
      </c>
      <c r="J304" s="27">
        <v>97.5</v>
      </c>
      <c r="K304" s="39" t="s">
        <v>1324</v>
      </c>
      <c r="L304" s="130" t="s">
        <v>856</v>
      </c>
      <c r="M304" s="110" t="s">
        <v>629</v>
      </c>
      <c r="N304" s="40">
        <v>43388</v>
      </c>
      <c r="O304" s="130" t="s">
        <v>856</v>
      </c>
      <c r="P304" s="63" t="s">
        <v>17</v>
      </c>
      <c r="Q304" s="63" t="s">
        <v>17</v>
      </c>
      <c r="R304" s="112"/>
      <c r="S304" s="111" t="s">
        <v>11</v>
      </c>
      <c r="T304" s="111" t="s">
        <v>11</v>
      </c>
      <c r="U304" s="113">
        <v>1.19</v>
      </c>
      <c r="V304" s="113"/>
      <c r="W304" s="113"/>
      <c r="X304" s="113">
        <v>270</v>
      </c>
      <c r="Y304" s="113">
        <v>380</v>
      </c>
      <c r="Z304" s="113">
        <v>450</v>
      </c>
      <c r="AA304" s="114">
        <v>0.76800000000000002</v>
      </c>
      <c r="AB304" s="114">
        <v>1.536</v>
      </c>
      <c r="AC304" s="114">
        <v>2.3039999999999998</v>
      </c>
      <c r="AD304" s="114">
        <v>3.84</v>
      </c>
      <c r="AE304" s="114">
        <v>5.76</v>
      </c>
      <c r="AF304" s="114">
        <v>7.68</v>
      </c>
      <c r="AG304" s="114">
        <v>95.141761904761907</v>
      </c>
      <c r="AH304" s="114">
        <v>96.556571428571417</v>
      </c>
      <c r="AI304" s="114">
        <v>97.332523809523806</v>
      </c>
      <c r="AJ304" s="114">
        <v>97.597190476190477</v>
      </c>
      <c r="AK304" s="114">
        <v>97.510428571428591</v>
      </c>
      <c r="AL304" s="114">
        <v>97.13038095238096</v>
      </c>
      <c r="AM304" s="114">
        <v>97.345858095238114</v>
      </c>
      <c r="AN304" s="114">
        <v>96.495714285714271</v>
      </c>
      <c r="AO304" s="114">
        <v>97.678238095238086</v>
      </c>
      <c r="AP304" s="114">
        <v>98.032761904761898</v>
      </c>
      <c r="AQ304" s="114">
        <v>98.064428571428579</v>
      </c>
      <c r="AR304" s="114">
        <v>97.776238095238099</v>
      </c>
      <c r="AS304" s="114">
        <v>97.431095238095239</v>
      </c>
      <c r="AT304" s="114">
        <v>97.794162857142865</v>
      </c>
      <c r="AU304" s="114">
        <v>95.768333333333331</v>
      </c>
      <c r="AV304" s="114">
        <v>97.321714285714293</v>
      </c>
      <c r="AW304" s="114">
        <v>97.81547619047619</v>
      </c>
      <c r="AX304" s="114">
        <v>97.95814285714286</v>
      </c>
      <c r="AY304" s="114">
        <v>97.747952380952384</v>
      </c>
      <c r="AZ304" s="114">
        <v>97.447142857142879</v>
      </c>
      <c r="BA304" s="114">
        <v>97.684658095238092</v>
      </c>
      <c r="BB304" s="40">
        <v>43374</v>
      </c>
      <c r="BC304" s="40">
        <v>43388</v>
      </c>
    </row>
    <row r="305" spans="1:55" s="120" customFormat="1" ht="45">
      <c r="A305" s="87" t="s">
        <v>257</v>
      </c>
      <c r="B305" s="74" t="s">
        <v>1070</v>
      </c>
      <c r="C305" s="63" t="s">
        <v>10</v>
      </c>
      <c r="D305" s="63" t="s">
        <v>10</v>
      </c>
      <c r="E305" s="43" t="s">
        <v>10</v>
      </c>
      <c r="F305" s="63" t="s">
        <v>11</v>
      </c>
      <c r="G305" s="74" t="s">
        <v>258</v>
      </c>
      <c r="H305" s="35">
        <v>2.5</v>
      </c>
      <c r="I305" s="44">
        <v>240</v>
      </c>
      <c r="J305" s="53">
        <v>97</v>
      </c>
      <c r="K305" s="39" t="s">
        <v>1325</v>
      </c>
      <c r="L305" s="129" t="s">
        <v>486</v>
      </c>
      <c r="M305" s="45" t="s">
        <v>506</v>
      </c>
      <c r="N305" s="40">
        <v>43388</v>
      </c>
      <c r="O305" s="129" t="s">
        <v>486</v>
      </c>
      <c r="P305" s="63" t="s">
        <v>17</v>
      </c>
      <c r="Q305" s="63" t="s">
        <v>17</v>
      </c>
      <c r="R305" s="71"/>
      <c r="S305" s="73" t="s">
        <v>11</v>
      </c>
      <c r="T305" s="73" t="s">
        <v>11</v>
      </c>
      <c r="U305" s="54">
        <v>3.2</v>
      </c>
      <c r="V305" s="67"/>
      <c r="W305" s="67"/>
      <c r="X305" s="67">
        <v>120</v>
      </c>
      <c r="Y305" s="67">
        <v>330</v>
      </c>
      <c r="Z305" s="67">
        <v>500</v>
      </c>
      <c r="AA305" s="101">
        <v>0.25</v>
      </c>
      <c r="AB305" s="101">
        <v>0.5</v>
      </c>
      <c r="AC305" s="101">
        <v>0.75</v>
      </c>
      <c r="AD305" s="101">
        <v>1.25</v>
      </c>
      <c r="AE305" s="101">
        <v>1.875</v>
      </c>
      <c r="AF305" s="101">
        <v>2.5</v>
      </c>
      <c r="AG305" s="102">
        <v>93.64009089369759</v>
      </c>
      <c r="AH305" s="102">
        <v>94.645664421270453</v>
      </c>
      <c r="AI305" s="102">
        <v>95.691972893334565</v>
      </c>
      <c r="AJ305" s="102">
        <v>96.836310056469273</v>
      </c>
      <c r="AK305" s="102">
        <v>96.713026788043152</v>
      </c>
      <c r="AL305" s="102">
        <v>96.48326444893533</v>
      </c>
      <c r="AM305" s="102">
        <v>96.378616135979769</v>
      </c>
      <c r="AN305" s="102">
        <v>93.91585626132742</v>
      </c>
      <c r="AO305" s="102">
        <v>95.504317848279925</v>
      </c>
      <c r="AP305" s="102">
        <v>96.592125759970912</v>
      </c>
      <c r="AQ305" s="102">
        <v>97.689552553141795</v>
      </c>
      <c r="AR305" s="102">
        <v>97.43791276303179</v>
      </c>
      <c r="AS305" s="102">
        <v>97.114041199272336</v>
      </c>
      <c r="AT305" s="102">
        <v>97.135507094593848</v>
      </c>
      <c r="AU305" s="102">
        <v>93.7984174193098</v>
      </c>
      <c r="AV305" s="102">
        <v>95.168450902035602</v>
      </c>
      <c r="AW305" s="102">
        <v>96.329719819008758</v>
      </c>
      <c r="AX305" s="102">
        <v>97.426891666506009</v>
      </c>
      <c r="AY305" s="102">
        <v>96.998939128665057</v>
      </c>
      <c r="AZ305" s="102">
        <v>96.804719815047363</v>
      </c>
      <c r="BA305" s="103">
        <v>96.77924659906634</v>
      </c>
      <c r="BB305" s="40">
        <v>43024</v>
      </c>
      <c r="BC305" s="40">
        <v>43388</v>
      </c>
    </row>
    <row r="306" spans="1:55" s="120" customFormat="1" ht="45">
      <c r="A306" s="87" t="s">
        <v>257</v>
      </c>
      <c r="B306" s="74" t="s">
        <v>1071</v>
      </c>
      <c r="C306" s="63" t="s">
        <v>10</v>
      </c>
      <c r="D306" s="63" t="s">
        <v>10</v>
      </c>
      <c r="E306" s="43" t="s">
        <v>10</v>
      </c>
      <c r="F306" s="63" t="s">
        <v>11</v>
      </c>
      <c r="G306" s="74" t="s">
        <v>259</v>
      </c>
      <c r="H306" s="35">
        <v>3</v>
      </c>
      <c r="I306" s="44">
        <v>240</v>
      </c>
      <c r="J306" s="53">
        <v>97</v>
      </c>
      <c r="K306" s="39" t="s">
        <v>1325</v>
      </c>
      <c r="L306" s="129" t="s">
        <v>486</v>
      </c>
      <c r="M306" s="45" t="s">
        <v>506</v>
      </c>
      <c r="N306" s="40">
        <v>43388</v>
      </c>
      <c r="O306" s="129" t="s">
        <v>486</v>
      </c>
      <c r="P306" s="63" t="s">
        <v>17</v>
      </c>
      <c r="Q306" s="63" t="s">
        <v>17</v>
      </c>
      <c r="R306" s="71"/>
      <c r="S306" s="73" t="s">
        <v>11</v>
      </c>
      <c r="T306" s="73" t="s">
        <v>11</v>
      </c>
      <c r="U306" s="54">
        <v>3.3</v>
      </c>
      <c r="V306" s="67"/>
      <c r="W306" s="67"/>
      <c r="X306" s="67">
        <v>140</v>
      </c>
      <c r="Y306" s="67">
        <v>330</v>
      </c>
      <c r="Z306" s="67">
        <v>500</v>
      </c>
      <c r="AA306" s="101">
        <v>0.30000000000000004</v>
      </c>
      <c r="AB306" s="101">
        <v>0.60000000000000009</v>
      </c>
      <c r="AC306" s="101">
        <v>0.89999999999999991</v>
      </c>
      <c r="AD306" s="101">
        <v>1.5</v>
      </c>
      <c r="AE306" s="101">
        <v>2.25</v>
      </c>
      <c r="AF306" s="101">
        <v>3</v>
      </c>
      <c r="AG306" s="102">
        <v>93.866362045573325</v>
      </c>
      <c r="AH306" s="102">
        <v>94.713615226317359</v>
      </c>
      <c r="AI306" s="102">
        <v>95.611436841133582</v>
      </c>
      <c r="AJ306" s="102">
        <v>97.057414007214888</v>
      </c>
      <c r="AK306" s="102">
        <v>96.812186600936343</v>
      </c>
      <c r="AL306" s="102">
        <v>96.476965657638644</v>
      </c>
      <c r="AM306" s="102">
        <v>96.480071786968153</v>
      </c>
      <c r="AN306" s="102">
        <v>94.066710820970357</v>
      </c>
      <c r="AO306" s="102">
        <v>95.669654965023668</v>
      </c>
      <c r="AP306" s="102">
        <v>96.553873307195644</v>
      </c>
      <c r="AQ306" s="102">
        <v>97.767540234850273</v>
      </c>
      <c r="AR306" s="102">
        <v>97.426406382654449</v>
      </c>
      <c r="AS306" s="102">
        <v>97.001242413635239</v>
      </c>
      <c r="AT306" s="102">
        <v>97.149856930760677</v>
      </c>
      <c r="AU306" s="102">
        <v>93.844991582308452</v>
      </c>
      <c r="AV306" s="102">
        <v>95.296862689394715</v>
      </c>
      <c r="AW306" s="102">
        <v>96.17578739336723</v>
      </c>
      <c r="AX306" s="102">
        <v>97.440775457825168</v>
      </c>
      <c r="AY306" s="102">
        <v>97.173306206173294</v>
      </c>
      <c r="AZ306" s="102">
        <v>96.696956371666118</v>
      </c>
      <c r="BA306" s="103">
        <v>96.859000238964569</v>
      </c>
      <c r="BB306" s="40">
        <v>43024</v>
      </c>
      <c r="BC306" s="40">
        <v>43388</v>
      </c>
    </row>
    <row r="307" spans="1:55" s="120" customFormat="1" ht="45">
      <c r="A307" s="87" t="s">
        <v>257</v>
      </c>
      <c r="B307" s="74" t="s">
        <v>1072</v>
      </c>
      <c r="C307" s="63" t="s">
        <v>10</v>
      </c>
      <c r="D307" s="63" t="s">
        <v>10</v>
      </c>
      <c r="E307" s="43" t="s">
        <v>10</v>
      </c>
      <c r="F307" s="63" t="s">
        <v>11</v>
      </c>
      <c r="G307" s="74" t="s">
        <v>260</v>
      </c>
      <c r="H307" s="60">
        <v>3.6</v>
      </c>
      <c r="I307" s="44">
        <v>240</v>
      </c>
      <c r="J307" s="53">
        <v>97</v>
      </c>
      <c r="K307" s="39" t="s">
        <v>1325</v>
      </c>
      <c r="L307" s="129" t="s">
        <v>486</v>
      </c>
      <c r="M307" s="45" t="s">
        <v>506</v>
      </c>
      <c r="N307" s="40">
        <v>43388</v>
      </c>
      <c r="O307" s="129" t="s">
        <v>486</v>
      </c>
      <c r="P307" s="63" t="s">
        <v>17</v>
      </c>
      <c r="Q307" s="63" t="s">
        <v>17</v>
      </c>
      <c r="R307" s="71"/>
      <c r="S307" s="73" t="s">
        <v>11</v>
      </c>
      <c r="T307" s="73" t="s">
        <v>11</v>
      </c>
      <c r="U307" s="54">
        <v>3.5</v>
      </c>
      <c r="V307" s="67"/>
      <c r="W307" s="67"/>
      <c r="X307" s="67">
        <v>180</v>
      </c>
      <c r="Y307" s="67">
        <v>330</v>
      </c>
      <c r="Z307" s="67">
        <v>500</v>
      </c>
      <c r="AA307" s="101">
        <v>0.36000000000000004</v>
      </c>
      <c r="AB307" s="101">
        <v>0.72000000000000008</v>
      </c>
      <c r="AC307" s="101">
        <v>1.08</v>
      </c>
      <c r="AD307" s="101">
        <v>1.8</v>
      </c>
      <c r="AE307" s="101">
        <v>2.7</v>
      </c>
      <c r="AF307" s="101">
        <v>3.6</v>
      </c>
      <c r="AG307" s="102">
        <v>93.880410809405305</v>
      </c>
      <c r="AH307" s="102">
        <v>94.744608833229535</v>
      </c>
      <c r="AI307" s="102">
        <v>95.630247875517895</v>
      </c>
      <c r="AJ307" s="102">
        <v>97.090449873016482</v>
      </c>
      <c r="AK307" s="102">
        <v>96.83855793667837</v>
      </c>
      <c r="AL307" s="102">
        <v>96.490700570558161</v>
      </c>
      <c r="AM307" s="102">
        <v>96.50604182740075</v>
      </c>
      <c r="AN307" s="102">
        <v>93.901739048725005</v>
      </c>
      <c r="AO307" s="102">
        <v>95.672168517006114</v>
      </c>
      <c r="AP307" s="102">
        <v>96.897284438541305</v>
      </c>
      <c r="AQ307" s="102">
        <v>97.795929191459606</v>
      </c>
      <c r="AR307" s="102">
        <v>97.421390868668482</v>
      </c>
      <c r="AS307" s="102">
        <v>97.062195260477367</v>
      </c>
      <c r="AT307" s="102">
        <v>97.190944174048951</v>
      </c>
      <c r="AU307" s="102">
        <v>93.879160915135756</v>
      </c>
      <c r="AV307" s="102">
        <v>95.494696539050523</v>
      </c>
      <c r="AW307" s="102">
        <v>96.552192472215637</v>
      </c>
      <c r="AX307" s="102">
        <v>97.483113722441473</v>
      </c>
      <c r="AY307" s="102">
        <v>97.151107276255416</v>
      </c>
      <c r="AZ307" s="102">
        <v>96.764456505784935</v>
      </c>
      <c r="BA307" s="103">
        <v>96.915927923641163</v>
      </c>
      <c r="BB307" s="40">
        <v>43024</v>
      </c>
      <c r="BC307" s="40">
        <v>43388</v>
      </c>
    </row>
    <row r="308" spans="1:55" s="120" customFormat="1" ht="45">
      <c r="A308" s="87" t="s">
        <v>257</v>
      </c>
      <c r="B308" s="74" t="s">
        <v>1073</v>
      </c>
      <c r="C308" s="63" t="s">
        <v>10</v>
      </c>
      <c r="D308" s="63" t="s">
        <v>10</v>
      </c>
      <c r="E308" s="43" t="s">
        <v>10</v>
      </c>
      <c r="F308" s="63" t="s">
        <v>11</v>
      </c>
      <c r="G308" s="74" t="s">
        <v>261</v>
      </c>
      <c r="H308" s="60">
        <v>4</v>
      </c>
      <c r="I308" s="44">
        <v>240</v>
      </c>
      <c r="J308" s="53">
        <v>97</v>
      </c>
      <c r="K308" s="39" t="s">
        <v>1325</v>
      </c>
      <c r="L308" s="129" t="s">
        <v>486</v>
      </c>
      <c r="M308" s="45" t="s">
        <v>506</v>
      </c>
      <c r="N308" s="40">
        <v>43388</v>
      </c>
      <c r="O308" s="129" t="s">
        <v>486</v>
      </c>
      <c r="P308" s="63" t="s">
        <v>17</v>
      </c>
      <c r="Q308" s="63" t="s">
        <v>17</v>
      </c>
      <c r="R308" s="71"/>
      <c r="S308" s="73" t="s">
        <v>11</v>
      </c>
      <c r="T308" s="73" t="s">
        <v>11</v>
      </c>
      <c r="U308" s="54">
        <v>3.5</v>
      </c>
      <c r="V308" s="67"/>
      <c r="W308" s="67"/>
      <c r="X308" s="67">
        <v>190</v>
      </c>
      <c r="Y308" s="67">
        <v>330</v>
      </c>
      <c r="Z308" s="67">
        <v>500</v>
      </c>
      <c r="AA308" s="101">
        <v>0.4</v>
      </c>
      <c r="AB308" s="101">
        <v>0.8</v>
      </c>
      <c r="AC308" s="101">
        <v>1.2</v>
      </c>
      <c r="AD308" s="101">
        <v>2</v>
      </c>
      <c r="AE308" s="101">
        <v>3</v>
      </c>
      <c r="AF308" s="101">
        <v>4</v>
      </c>
      <c r="AG308" s="102">
        <v>93.871501231104475</v>
      </c>
      <c r="AH308" s="102">
        <v>94.72553599271626</v>
      </c>
      <c r="AI308" s="102">
        <v>96.090842051821781</v>
      </c>
      <c r="AJ308" s="102">
        <v>97.086947612260346</v>
      </c>
      <c r="AK308" s="102">
        <v>96.821654862153054</v>
      </c>
      <c r="AL308" s="102">
        <v>96.403999272846008</v>
      </c>
      <c r="AM308" s="102">
        <v>96.545973934256693</v>
      </c>
      <c r="AN308" s="102">
        <v>94.029282316330082</v>
      </c>
      <c r="AO308" s="102">
        <v>95.720601543272863</v>
      </c>
      <c r="AP308" s="102">
        <v>96.983668557667372</v>
      </c>
      <c r="AQ308" s="102">
        <v>97.919211293239186</v>
      </c>
      <c r="AR308" s="102">
        <v>97.490918959368486</v>
      </c>
      <c r="AS308" s="102">
        <v>97.321626545023875</v>
      </c>
      <c r="AT308" s="102">
        <v>97.284544344033648</v>
      </c>
      <c r="AU308" s="102">
        <v>93.876077058123798</v>
      </c>
      <c r="AV308" s="102">
        <v>95.472535553669402</v>
      </c>
      <c r="AW308" s="102">
        <v>96.556757132693718</v>
      </c>
      <c r="AX308" s="102">
        <v>97.531072371253103</v>
      </c>
      <c r="AY308" s="102">
        <v>97.144393942024223</v>
      </c>
      <c r="AZ308" s="102">
        <v>96.779604374883647</v>
      </c>
      <c r="BA308" s="103">
        <v>96.922514921911841</v>
      </c>
      <c r="BB308" s="40">
        <v>43024</v>
      </c>
      <c r="BC308" s="40">
        <v>43388</v>
      </c>
    </row>
    <row r="309" spans="1:55" s="120" customFormat="1" ht="45">
      <c r="A309" s="87" t="s">
        <v>257</v>
      </c>
      <c r="B309" s="74" t="s">
        <v>1074</v>
      </c>
      <c r="C309" s="63" t="s">
        <v>10</v>
      </c>
      <c r="D309" s="63" t="s">
        <v>10</v>
      </c>
      <c r="E309" s="43" t="s">
        <v>10</v>
      </c>
      <c r="F309" s="63" t="s">
        <v>11</v>
      </c>
      <c r="G309" s="74" t="s">
        <v>262</v>
      </c>
      <c r="H309" s="60">
        <v>4.5999999999999996</v>
      </c>
      <c r="I309" s="44">
        <v>240</v>
      </c>
      <c r="J309" s="53">
        <v>97</v>
      </c>
      <c r="K309" s="39" t="s">
        <v>1325</v>
      </c>
      <c r="L309" s="129" t="s">
        <v>486</v>
      </c>
      <c r="M309" s="45" t="s">
        <v>506</v>
      </c>
      <c r="N309" s="40">
        <v>43388</v>
      </c>
      <c r="O309" s="129" t="s">
        <v>486</v>
      </c>
      <c r="P309" s="63" t="s">
        <v>17</v>
      </c>
      <c r="Q309" s="63" t="s">
        <v>17</v>
      </c>
      <c r="R309" s="71"/>
      <c r="S309" s="73" t="s">
        <v>11</v>
      </c>
      <c r="T309" s="73" t="s">
        <v>11</v>
      </c>
      <c r="U309" s="54">
        <v>3.6</v>
      </c>
      <c r="V309" s="67"/>
      <c r="W309" s="67"/>
      <c r="X309" s="67">
        <v>200</v>
      </c>
      <c r="Y309" s="67">
        <v>360</v>
      </c>
      <c r="Z309" s="67">
        <v>500</v>
      </c>
      <c r="AA309" s="101">
        <v>0.45999999999999996</v>
      </c>
      <c r="AB309" s="101">
        <v>0.91999999999999993</v>
      </c>
      <c r="AC309" s="101">
        <v>1.38</v>
      </c>
      <c r="AD309" s="101">
        <v>2.2999999999999998</v>
      </c>
      <c r="AE309" s="101">
        <v>3.4499999999999997</v>
      </c>
      <c r="AF309" s="101">
        <v>4.5999999999999996</v>
      </c>
      <c r="AG309" s="102">
        <v>93.028195734313769</v>
      </c>
      <c r="AH309" s="102">
        <v>94.339053526325344</v>
      </c>
      <c r="AI309" s="102">
        <v>95.735856633384714</v>
      </c>
      <c r="AJ309" s="102">
        <v>96.904337586749961</v>
      </c>
      <c r="AK309" s="102">
        <v>96.800085399999944</v>
      </c>
      <c r="AL309" s="102">
        <v>96.532524653481389</v>
      </c>
      <c r="AM309" s="102">
        <v>96.406965689586514</v>
      </c>
      <c r="AN309" s="102">
        <v>94.065488340627752</v>
      </c>
      <c r="AO309" s="102">
        <v>95.574073479004198</v>
      </c>
      <c r="AP309" s="102">
        <v>96.907410827882686</v>
      </c>
      <c r="AQ309" s="102">
        <v>97.937545089780741</v>
      </c>
      <c r="AR309" s="102">
        <v>97.542723225222645</v>
      </c>
      <c r="AS309" s="102">
        <v>97.311778641122601</v>
      </c>
      <c r="AT309" s="102">
        <v>97.300329217199334</v>
      </c>
      <c r="AU309" s="102">
        <v>93.787640256380428</v>
      </c>
      <c r="AV309" s="102">
        <v>95.100883560474969</v>
      </c>
      <c r="AW309" s="102">
        <v>96.546118688323915</v>
      </c>
      <c r="AX309" s="102">
        <v>97.43737176295663</v>
      </c>
      <c r="AY309" s="102">
        <v>97.266633540859203</v>
      </c>
      <c r="AZ309" s="102">
        <v>96.964009895307953</v>
      </c>
      <c r="BA309" s="103">
        <v>96.953448372519489</v>
      </c>
      <c r="BB309" s="40">
        <v>43024</v>
      </c>
      <c r="BC309" s="40">
        <v>43388</v>
      </c>
    </row>
    <row r="310" spans="1:55" s="120" customFormat="1" ht="45">
      <c r="A310" s="87" t="s">
        <v>257</v>
      </c>
      <c r="B310" s="74" t="s">
        <v>1075</v>
      </c>
      <c r="C310" s="63" t="s">
        <v>10</v>
      </c>
      <c r="D310" s="63" t="s">
        <v>10</v>
      </c>
      <c r="E310" s="43" t="s">
        <v>10</v>
      </c>
      <c r="F310" s="63" t="s">
        <v>11</v>
      </c>
      <c r="G310" s="74" t="s">
        <v>48</v>
      </c>
      <c r="H310" s="60">
        <v>5</v>
      </c>
      <c r="I310" s="44">
        <v>240</v>
      </c>
      <c r="J310" s="53">
        <v>97</v>
      </c>
      <c r="K310" s="39" t="s">
        <v>1325</v>
      </c>
      <c r="L310" s="129" t="s">
        <v>486</v>
      </c>
      <c r="M310" s="45" t="s">
        <v>506</v>
      </c>
      <c r="N310" s="40">
        <v>43388</v>
      </c>
      <c r="O310" s="129" t="s">
        <v>486</v>
      </c>
      <c r="P310" s="63" t="s">
        <v>17</v>
      </c>
      <c r="Q310" s="63" t="s">
        <v>17</v>
      </c>
      <c r="R310" s="71"/>
      <c r="S310" s="73" t="s">
        <v>11</v>
      </c>
      <c r="T310" s="73" t="s">
        <v>11</v>
      </c>
      <c r="U310" s="54">
        <v>3.6</v>
      </c>
      <c r="V310" s="67"/>
      <c r="W310" s="67"/>
      <c r="X310" s="67">
        <v>240</v>
      </c>
      <c r="Y310" s="67">
        <v>360</v>
      </c>
      <c r="Z310" s="67">
        <v>500</v>
      </c>
      <c r="AA310" s="101">
        <v>0.5</v>
      </c>
      <c r="AB310" s="101">
        <v>1</v>
      </c>
      <c r="AC310" s="101">
        <v>1.5</v>
      </c>
      <c r="AD310" s="101">
        <v>2.5</v>
      </c>
      <c r="AE310" s="101">
        <v>3.75</v>
      </c>
      <c r="AF310" s="101">
        <v>5</v>
      </c>
      <c r="AG310" s="102">
        <v>93.996706641031309</v>
      </c>
      <c r="AH310" s="102">
        <v>94.597949603710674</v>
      </c>
      <c r="AI310" s="102">
        <v>95.717205535843362</v>
      </c>
      <c r="AJ310" s="102">
        <v>97.316091933001459</v>
      </c>
      <c r="AK310" s="102">
        <v>97.015499351932007</v>
      </c>
      <c r="AL310" s="102">
        <v>96.516651627649978</v>
      </c>
      <c r="AM310" s="102">
        <v>96.656256953964757</v>
      </c>
      <c r="AN310" s="102">
        <v>94.541781172499185</v>
      </c>
      <c r="AO310" s="102">
        <v>95.737381698898545</v>
      </c>
      <c r="AP310" s="102">
        <v>96.595282460935181</v>
      </c>
      <c r="AQ310" s="102">
        <v>97.931932459613151</v>
      </c>
      <c r="AR310" s="102">
        <v>97.616770874423452</v>
      </c>
      <c r="AS310" s="102">
        <v>97.432986097884552</v>
      </c>
      <c r="AT310" s="102">
        <v>97.334217912014552</v>
      </c>
      <c r="AU310" s="102">
        <v>94.009381120970076</v>
      </c>
      <c r="AV310" s="102">
        <v>94.97515884697296</v>
      </c>
      <c r="AW310" s="102">
        <v>96.144960399912321</v>
      </c>
      <c r="AX310" s="102">
        <v>97.470538103970014</v>
      </c>
      <c r="AY310" s="102">
        <v>97.330846738964055</v>
      </c>
      <c r="AZ310" s="102">
        <v>96.848085910197412</v>
      </c>
      <c r="BA310" s="103">
        <v>96.943094504171441</v>
      </c>
      <c r="BB310" s="40">
        <v>43024</v>
      </c>
      <c r="BC310" s="40">
        <v>43388</v>
      </c>
    </row>
    <row r="311" spans="1:55" s="120" customFormat="1" ht="45">
      <c r="A311" s="87" t="s">
        <v>257</v>
      </c>
      <c r="B311" s="74" t="s">
        <v>1076</v>
      </c>
      <c r="C311" s="63" t="s">
        <v>10</v>
      </c>
      <c r="D311" s="63" t="s">
        <v>10</v>
      </c>
      <c r="E311" s="43" t="s">
        <v>10</v>
      </c>
      <c r="F311" s="63" t="s">
        <v>11</v>
      </c>
      <c r="G311" s="74" t="s">
        <v>263</v>
      </c>
      <c r="H311" s="60">
        <v>6</v>
      </c>
      <c r="I311" s="44">
        <v>240</v>
      </c>
      <c r="J311" s="53">
        <v>97</v>
      </c>
      <c r="K311" s="39" t="s">
        <v>1325</v>
      </c>
      <c r="L311" s="129" t="s">
        <v>486</v>
      </c>
      <c r="M311" s="45" t="s">
        <v>506</v>
      </c>
      <c r="N311" s="40">
        <v>43388</v>
      </c>
      <c r="O311" s="129" t="s">
        <v>486</v>
      </c>
      <c r="P311" s="63" t="s">
        <v>17</v>
      </c>
      <c r="Q311" s="63" t="s">
        <v>17</v>
      </c>
      <c r="R311" s="71"/>
      <c r="S311" s="73" t="s">
        <v>11</v>
      </c>
      <c r="T311" s="73" t="s">
        <v>11</v>
      </c>
      <c r="U311" s="54">
        <v>3.5</v>
      </c>
      <c r="V311" s="67"/>
      <c r="W311" s="67"/>
      <c r="X311" s="67">
        <v>300</v>
      </c>
      <c r="Y311" s="67">
        <v>360</v>
      </c>
      <c r="Z311" s="67">
        <v>500</v>
      </c>
      <c r="AA311" s="101">
        <v>0.60000000000000009</v>
      </c>
      <c r="AB311" s="101">
        <v>1.2000000000000002</v>
      </c>
      <c r="AC311" s="101">
        <v>1.7999999999999998</v>
      </c>
      <c r="AD311" s="101">
        <v>3</v>
      </c>
      <c r="AE311" s="101">
        <v>4.5</v>
      </c>
      <c r="AF311" s="101">
        <v>6</v>
      </c>
      <c r="AG311" s="102">
        <v>94.197535726830296</v>
      </c>
      <c r="AH311" s="102">
        <v>94.803353761468742</v>
      </c>
      <c r="AI311" s="102">
        <v>95.916149598193371</v>
      </c>
      <c r="AJ311" s="102">
        <v>97.43250288564505</v>
      </c>
      <c r="AK311" s="102">
        <v>97.212299328519038</v>
      </c>
      <c r="AL311" s="102">
        <v>96.712185326395939</v>
      </c>
      <c r="AM311" s="102">
        <v>96.836960585350198</v>
      </c>
      <c r="AN311" s="102">
        <v>94.433517737300264</v>
      </c>
      <c r="AO311" s="102">
        <v>95.64157274756991</v>
      </c>
      <c r="AP311" s="102">
        <v>96.52690498184333</v>
      </c>
      <c r="AQ311" s="102">
        <v>97.830342345040066</v>
      </c>
      <c r="AR311" s="102">
        <v>97.713908618607121</v>
      </c>
      <c r="AS311" s="102">
        <v>97.336335950188385</v>
      </c>
      <c r="AT311" s="102">
        <v>97.342208202521306</v>
      </c>
      <c r="AU311" s="102">
        <v>94.212599552420215</v>
      </c>
      <c r="AV311" s="102">
        <v>95.176308210388456</v>
      </c>
      <c r="AW311" s="102">
        <v>96.348919315137366</v>
      </c>
      <c r="AX311" s="102">
        <v>97.666307646143125</v>
      </c>
      <c r="AY311" s="102">
        <v>97.526579814015747</v>
      </c>
      <c r="AZ311" s="102">
        <v>97.042708604417626</v>
      </c>
      <c r="BA311" s="103">
        <v>97.140337047772007</v>
      </c>
      <c r="BB311" s="40">
        <v>43024</v>
      </c>
      <c r="BC311" s="40">
        <v>43388</v>
      </c>
    </row>
    <row r="312" spans="1:55" s="120" customFormat="1" ht="45">
      <c r="A312" s="87" t="s">
        <v>257</v>
      </c>
      <c r="B312" s="74" t="s">
        <v>1077</v>
      </c>
      <c r="C312" s="63" t="s">
        <v>10</v>
      </c>
      <c r="D312" s="63" t="s">
        <v>10</v>
      </c>
      <c r="E312" s="43" t="s">
        <v>10</v>
      </c>
      <c r="F312" s="63" t="s">
        <v>11</v>
      </c>
      <c r="G312" s="74" t="s">
        <v>264</v>
      </c>
      <c r="H312" s="30">
        <v>6</v>
      </c>
      <c r="I312" s="44">
        <v>240</v>
      </c>
      <c r="J312" s="53">
        <v>97.5</v>
      </c>
      <c r="K312" s="39" t="s">
        <v>1325</v>
      </c>
      <c r="L312" s="129" t="s">
        <v>507</v>
      </c>
      <c r="M312" s="57" t="s">
        <v>508</v>
      </c>
      <c r="N312" s="40">
        <v>43388</v>
      </c>
      <c r="O312" s="129" t="s">
        <v>507</v>
      </c>
      <c r="P312" s="63" t="s">
        <v>17</v>
      </c>
      <c r="Q312" s="63" t="s">
        <v>17</v>
      </c>
      <c r="R312" s="65" t="s">
        <v>265</v>
      </c>
      <c r="S312" s="73" t="s">
        <v>11</v>
      </c>
      <c r="T312" s="73" t="s">
        <v>11</v>
      </c>
      <c r="U312" s="54">
        <v>6</v>
      </c>
      <c r="V312" s="67"/>
      <c r="W312" s="67"/>
      <c r="X312" s="67">
        <v>200</v>
      </c>
      <c r="Y312" s="67">
        <v>380</v>
      </c>
      <c r="Z312" s="67">
        <v>500</v>
      </c>
      <c r="AA312" s="101">
        <v>0.60000000000000009</v>
      </c>
      <c r="AB312" s="101">
        <v>1.2000000000000002</v>
      </c>
      <c r="AC312" s="101">
        <v>1.7999999999999998</v>
      </c>
      <c r="AD312" s="101">
        <v>3</v>
      </c>
      <c r="AE312" s="101">
        <v>4.5</v>
      </c>
      <c r="AF312" s="101">
        <v>6</v>
      </c>
      <c r="AG312" s="102">
        <v>94.899770164528803</v>
      </c>
      <c r="AH312" s="102">
        <v>96.120754598027418</v>
      </c>
      <c r="AI312" s="102">
        <v>96.764537644534499</v>
      </c>
      <c r="AJ312" s="102">
        <v>97.304464686096452</v>
      </c>
      <c r="AK312" s="102">
        <v>97.323418673708375</v>
      </c>
      <c r="AL312" s="102">
        <v>96.476132204853485</v>
      </c>
      <c r="AM312" s="102">
        <v>97.052929145215032</v>
      </c>
      <c r="AN312" s="102">
        <v>95.548667212840428</v>
      </c>
      <c r="AO312" s="102">
        <v>96.981255211095871</v>
      </c>
      <c r="AP312" s="102">
        <v>97.396397632963414</v>
      </c>
      <c r="AQ312" s="102">
        <v>97.422751793816218</v>
      </c>
      <c r="AR312" s="102">
        <v>97.371743747168495</v>
      </c>
      <c r="AS312" s="102">
        <v>97.952511725361148</v>
      </c>
      <c r="AT312" s="102">
        <v>97.322004813992791</v>
      </c>
      <c r="AU312" s="102">
        <v>95.308252818866848</v>
      </c>
      <c r="AV312" s="102">
        <v>96.91462083439346</v>
      </c>
      <c r="AW312" s="102">
        <v>97.479407193637854</v>
      </c>
      <c r="AX312" s="102">
        <v>97.587301167885428</v>
      </c>
      <c r="AY312" s="102">
        <v>97.579454798035869</v>
      </c>
      <c r="AZ312" s="102">
        <v>97.582808566643422</v>
      </c>
      <c r="BA312" s="103">
        <v>97.445174734258018</v>
      </c>
      <c r="BB312" s="40">
        <v>43024</v>
      </c>
      <c r="BC312" s="40">
        <v>43388</v>
      </c>
    </row>
    <row r="313" spans="1:55" s="120" customFormat="1" ht="45">
      <c r="A313" s="87" t="s">
        <v>257</v>
      </c>
      <c r="B313" s="74" t="s">
        <v>1078</v>
      </c>
      <c r="C313" s="63" t="s">
        <v>10</v>
      </c>
      <c r="D313" s="63" t="s">
        <v>10</v>
      </c>
      <c r="E313" s="43" t="s">
        <v>10</v>
      </c>
      <c r="F313" s="63" t="s">
        <v>11</v>
      </c>
      <c r="G313" s="74" t="s">
        <v>266</v>
      </c>
      <c r="H313" s="60">
        <v>7</v>
      </c>
      <c r="I313" s="44">
        <v>240</v>
      </c>
      <c r="J313" s="53">
        <v>97.5</v>
      </c>
      <c r="K313" s="39" t="s">
        <v>1325</v>
      </c>
      <c r="L313" s="129" t="s">
        <v>507</v>
      </c>
      <c r="M313" s="57" t="s">
        <v>508</v>
      </c>
      <c r="N313" s="40">
        <v>43388</v>
      </c>
      <c r="O313" s="129" t="s">
        <v>507</v>
      </c>
      <c r="P313" s="63" t="s">
        <v>17</v>
      </c>
      <c r="Q313" s="63" t="s">
        <v>17</v>
      </c>
      <c r="R313" s="71" t="s">
        <v>267</v>
      </c>
      <c r="S313" s="73" t="s">
        <v>10</v>
      </c>
      <c r="T313" s="73" t="s">
        <v>11</v>
      </c>
      <c r="U313" s="54">
        <v>7</v>
      </c>
      <c r="V313" s="67"/>
      <c r="W313" s="67"/>
      <c r="X313" s="67">
        <v>250</v>
      </c>
      <c r="Y313" s="67">
        <v>380</v>
      </c>
      <c r="Z313" s="67">
        <v>500</v>
      </c>
      <c r="AA313" s="102">
        <v>0.70000000000000007</v>
      </c>
      <c r="AB313" s="102">
        <v>1.4000000000000001</v>
      </c>
      <c r="AC313" s="102">
        <v>2.1</v>
      </c>
      <c r="AD313" s="102">
        <v>3.5</v>
      </c>
      <c r="AE313" s="102">
        <v>5.25</v>
      </c>
      <c r="AF313" s="102">
        <v>7</v>
      </c>
      <c r="AG313" s="102">
        <v>94.960672962684697</v>
      </c>
      <c r="AH313" s="102">
        <v>96.155042573333731</v>
      </c>
      <c r="AI313" s="102">
        <v>96.831370621296372</v>
      </c>
      <c r="AJ313" s="102">
        <v>97.356481029596281</v>
      </c>
      <c r="AK313" s="102">
        <v>97.353815384428287</v>
      </c>
      <c r="AL313" s="102">
        <v>96.539846188084397</v>
      </c>
      <c r="AM313" s="102">
        <v>97.095319001096072</v>
      </c>
      <c r="AN313" s="102">
        <v>95.584550496798755</v>
      </c>
      <c r="AO313" s="102">
        <v>97.012296652157914</v>
      </c>
      <c r="AP313" s="102">
        <v>97.429006533355562</v>
      </c>
      <c r="AQ313" s="102">
        <v>97.5</v>
      </c>
      <c r="AR313" s="102">
        <v>97.509041106010642</v>
      </c>
      <c r="AS313" s="102">
        <v>97.043716045573291</v>
      </c>
      <c r="AT313" s="102">
        <v>97.372455224946819</v>
      </c>
      <c r="AU313" s="102">
        <v>95.320789193775596</v>
      </c>
      <c r="AV313" s="102">
        <v>96.955133599404505</v>
      </c>
      <c r="AW313" s="102">
        <v>97.520125461640987</v>
      </c>
      <c r="AX313" s="102">
        <v>97.663923408425362</v>
      </c>
      <c r="AY313" s="102">
        <v>97.598820047351609</v>
      </c>
      <c r="AZ313" s="102">
        <v>97.595908209399227</v>
      </c>
      <c r="BA313" s="103">
        <v>97.479597254453807</v>
      </c>
      <c r="BB313" s="40">
        <v>43024</v>
      </c>
      <c r="BC313" s="40">
        <v>43388</v>
      </c>
    </row>
    <row r="314" spans="1:55" s="120" customFormat="1" ht="45">
      <c r="A314" s="87" t="s">
        <v>257</v>
      </c>
      <c r="B314" s="74" t="s">
        <v>1079</v>
      </c>
      <c r="C314" s="63" t="s">
        <v>10</v>
      </c>
      <c r="D314" s="63" t="s">
        <v>10</v>
      </c>
      <c r="E314" s="43" t="s">
        <v>10</v>
      </c>
      <c r="F314" s="63" t="s">
        <v>11</v>
      </c>
      <c r="G314" s="74" t="s">
        <v>44</v>
      </c>
      <c r="H314" s="60">
        <v>7.6</v>
      </c>
      <c r="I314" s="44">
        <v>240</v>
      </c>
      <c r="J314" s="53">
        <v>97.5</v>
      </c>
      <c r="K314" s="39" t="s">
        <v>1325</v>
      </c>
      <c r="L314" s="129" t="s">
        <v>507</v>
      </c>
      <c r="M314" s="57" t="s">
        <v>508</v>
      </c>
      <c r="N314" s="40">
        <v>43388</v>
      </c>
      <c r="O314" s="129" t="s">
        <v>507</v>
      </c>
      <c r="P314" s="63" t="s">
        <v>17</v>
      </c>
      <c r="Q314" s="63" t="s">
        <v>17</v>
      </c>
      <c r="R314" s="71" t="s">
        <v>268</v>
      </c>
      <c r="S314" s="73" t="s">
        <v>11</v>
      </c>
      <c r="T314" s="73" t="s">
        <v>11</v>
      </c>
      <c r="U314" s="54">
        <v>7</v>
      </c>
      <c r="V314" s="67"/>
      <c r="W314" s="67"/>
      <c r="X314" s="67">
        <v>200</v>
      </c>
      <c r="Y314" s="67">
        <v>380</v>
      </c>
      <c r="Z314" s="67">
        <v>500</v>
      </c>
      <c r="AA314" s="101">
        <v>0.76</v>
      </c>
      <c r="AB314" s="101">
        <v>1.52</v>
      </c>
      <c r="AC314" s="101">
        <v>2.2799999999999998</v>
      </c>
      <c r="AD314" s="101">
        <v>3.8</v>
      </c>
      <c r="AE314" s="101">
        <v>5.6999999999999993</v>
      </c>
      <c r="AF314" s="101">
        <v>7.6</v>
      </c>
      <c r="AG314" s="102">
        <v>95.054544778915016</v>
      </c>
      <c r="AH314" s="102">
        <v>96.16013372200068</v>
      </c>
      <c r="AI314" s="102">
        <v>96.88851941562136</v>
      </c>
      <c r="AJ314" s="102">
        <v>97.343299079676314</v>
      </c>
      <c r="AK314" s="102">
        <v>97.146845964984067</v>
      </c>
      <c r="AL314" s="102">
        <v>96.576007736626707</v>
      </c>
      <c r="AM314" s="102">
        <v>96.995532362136117</v>
      </c>
      <c r="AN314" s="102">
        <v>95.630951815313068</v>
      </c>
      <c r="AO314" s="102">
        <v>97.183559291499847</v>
      </c>
      <c r="AP314" s="102">
        <v>97.475293348378585</v>
      </c>
      <c r="AQ314" s="102">
        <v>97.779406666709733</v>
      </c>
      <c r="AR314" s="102">
        <v>97.346973662421036</v>
      </c>
      <c r="AS314" s="102">
        <v>97.896154149605167</v>
      </c>
      <c r="AT314" s="102">
        <v>97.403830387565392</v>
      </c>
      <c r="AU314" s="102">
        <v>95.358595879365339</v>
      </c>
      <c r="AV314" s="102">
        <v>96.753366238298483</v>
      </c>
      <c r="AW314" s="102">
        <v>97.605982628900193</v>
      </c>
      <c r="AX314" s="102">
        <v>97.82415064028558</v>
      </c>
      <c r="AY314" s="102">
        <v>97.854089025575689</v>
      </c>
      <c r="AZ314" s="102">
        <v>97.709442999404004</v>
      </c>
      <c r="BA314" s="103">
        <v>97.655941030542849</v>
      </c>
      <c r="BB314" s="40">
        <v>43024</v>
      </c>
      <c r="BC314" s="40">
        <v>43388</v>
      </c>
    </row>
    <row r="315" spans="1:55" s="120" customFormat="1" ht="45">
      <c r="A315" s="87" t="s">
        <v>257</v>
      </c>
      <c r="B315" s="74" t="s">
        <v>1080</v>
      </c>
      <c r="C315" s="63" t="s">
        <v>10</v>
      </c>
      <c r="D315" s="63" t="s">
        <v>10</v>
      </c>
      <c r="E315" s="43" t="s">
        <v>10</v>
      </c>
      <c r="F315" s="63" t="s">
        <v>11</v>
      </c>
      <c r="G315" s="74" t="s">
        <v>269</v>
      </c>
      <c r="H315" s="60">
        <v>8</v>
      </c>
      <c r="I315" s="44">
        <v>240</v>
      </c>
      <c r="J315" s="53">
        <v>97.5</v>
      </c>
      <c r="K315" s="39" t="s">
        <v>1325</v>
      </c>
      <c r="L315" s="129" t="s">
        <v>507</v>
      </c>
      <c r="M315" s="57" t="s">
        <v>508</v>
      </c>
      <c r="N315" s="40">
        <v>43388</v>
      </c>
      <c r="O315" s="129" t="s">
        <v>507</v>
      </c>
      <c r="P315" s="63" t="s">
        <v>17</v>
      </c>
      <c r="Q315" s="63" t="s">
        <v>17</v>
      </c>
      <c r="R315" s="71" t="s">
        <v>270</v>
      </c>
      <c r="S315" s="73" t="s">
        <v>11</v>
      </c>
      <c r="T315" s="73" t="s">
        <v>11</v>
      </c>
      <c r="U315" s="54">
        <v>6</v>
      </c>
      <c r="V315" s="67"/>
      <c r="W315" s="67"/>
      <c r="X315" s="67">
        <v>250</v>
      </c>
      <c r="Y315" s="67">
        <v>380</v>
      </c>
      <c r="Z315" s="67">
        <v>500</v>
      </c>
      <c r="AA315" s="101">
        <v>0.8</v>
      </c>
      <c r="AB315" s="101">
        <v>1.6</v>
      </c>
      <c r="AC315" s="101">
        <v>2.4</v>
      </c>
      <c r="AD315" s="101">
        <v>4</v>
      </c>
      <c r="AE315" s="101">
        <v>6</v>
      </c>
      <c r="AF315" s="101">
        <v>8</v>
      </c>
      <c r="AG315" s="102">
        <v>95.115332913266315</v>
      </c>
      <c r="AH315" s="102">
        <v>96.175462439271996</v>
      </c>
      <c r="AI315" s="102">
        <v>96.938998105272361</v>
      </c>
      <c r="AJ315" s="102">
        <v>97.369277320040268</v>
      </c>
      <c r="AK315" s="102">
        <v>97.182721638284903</v>
      </c>
      <c r="AL315" s="102">
        <v>96.631909451106281</v>
      </c>
      <c r="AM315" s="102">
        <v>97.0320523891817</v>
      </c>
      <c r="AN315" s="102">
        <v>95.656514167277948</v>
      </c>
      <c r="AO315" s="102">
        <v>97.239896453210392</v>
      </c>
      <c r="AP315" s="102">
        <v>97.421688340363517</v>
      </c>
      <c r="AQ315" s="102">
        <v>97.547855541188852</v>
      </c>
      <c r="AR315" s="102">
        <v>97.702384479805346</v>
      </c>
      <c r="AS315" s="102">
        <v>96.955872352369511</v>
      </c>
      <c r="AT315" s="102">
        <v>97.493965045760234</v>
      </c>
      <c r="AU315" s="102">
        <v>95.375683381401501</v>
      </c>
      <c r="AV315" s="102">
        <v>96.746576974605176</v>
      </c>
      <c r="AW315" s="102">
        <v>97.610663471114009</v>
      </c>
      <c r="AX315" s="102">
        <v>97.817300881360168</v>
      </c>
      <c r="AY315" s="102">
        <v>97.852795609423126</v>
      </c>
      <c r="AZ315" s="102">
        <v>97.705330884128529</v>
      </c>
      <c r="BA315" s="103">
        <v>97.654517202806332</v>
      </c>
      <c r="BB315" s="40">
        <v>43024</v>
      </c>
      <c r="BC315" s="40">
        <v>43388</v>
      </c>
    </row>
    <row r="316" spans="1:55" s="120" customFormat="1" ht="45">
      <c r="A316" s="87" t="s">
        <v>257</v>
      </c>
      <c r="B316" s="74" t="s">
        <v>1081</v>
      </c>
      <c r="C316" s="63" t="s">
        <v>10</v>
      </c>
      <c r="D316" s="63" t="s">
        <v>10</v>
      </c>
      <c r="E316" s="43" t="s">
        <v>10</v>
      </c>
      <c r="F316" s="63" t="s">
        <v>11</v>
      </c>
      <c r="G316" s="74" t="s">
        <v>271</v>
      </c>
      <c r="H316" s="60">
        <v>9</v>
      </c>
      <c r="I316" s="44">
        <v>240</v>
      </c>
      <c r="J316" s="53">
        <v>97.5</v>
      </c>
      <c r="K316" s="39" t="s">
        <v>1325</v>
      </c>
      <c r="L316" s="129" t="s">
        <v>507</v>
      </c>
      <c r="M316" s="57" t="s">
        <v>508</v>
      </c>
      <c r="N316" s="40">
        <v>43388</v>
      </c>
      <c r="O316" s="129" t="s">
        <v>507</v>
      </c>
      <c r="P316" s="63" t="s">
        <v>17</v>
      </c>
      <c r="Q316" s="63" t="s">
        <v>17</v>
      </c>
      <c r="R316" s="71" t="s">
        <v>272</v>
      </c>
      <c r="S316" s="73" t="s">
        <v>11</v>
      </c>
      <c r="T316" s="73" t="s">
        <v>11</v>
      </c>
      <c r="U316" s="54">
        <v>7</v>
      </c>
      <c r="V316" s="67"/>
      <c r="W316" s="67"/>
      <c r="X316" s="67">
        <v>250</v>
      </c>
      <c r="Y316" s="67">
        <v>380</v>
      </c>
      <c r="Z316" s="67">
        <v>500</v>
      </c>
      <c r="AA316" s="101">
        <v>0.9</v>
      </c>
      <c r="AB316" s="101">
        <v>1.8</v>
      </c>
      <c r="AC316" s="101">
        <v>2.6999999999999997</v>
      </c>
      <c r="AD316" s="101">
        <v>4.5</v>
      </c>
      <c r="AE316" s="101">
        <v>6.75</v>
      </c>
      <c r="AF316" s="101">
        <v>9</v>
      </c>
      <c r="AG316" s="102">
        <v>95.141976475572321</v>
      </c>
      <c r="AH316" s="102">
        <v>96.753278905181432</v>
      </c>
      <c r="AI316" s="102">
        <v>96.999162712106937</v>
      </c>
      <c r="AJ316" s="102">
        <v>97.486554101075555</v>
      </c>
      <c r="AK316" s="102">
        <v>97.37298741629192</v>
      </c>
      <c r="AL316" s="102">
        <v>96.995723796850655</v>
      </c>
      <c r="AM316" s="102">
        <v>97.212888411437916</v>
      </c>
      <c r="AN316" s="102">
        <v>95.717959215198519</v>
      </c>
      <c r="AO316" s="102">
        <v>97.274406726890376</v>
      </c>
      <c r="AP316" s="102">
        <v>97.447757410264941</v>
      </c>
      <c r="AQ316" s="102">
        <v>97.608752800446155</v>
      </c>
      <c r="AR316" s="102">
        <v>97.75013123951851</v>
      </c>
      <c r="AS316" s="102">
        <v>97.106407965630538</v>
      </c>
      <c r="AT316" s="102">
        <v>97.546897637504287</v>
      </c>
      <c r="AU316" s="102">
        <v>95.577424654150192</v>
      </c>
      <c r="AV316" s="102">
        <v>96.739230404181313</v>
      </c>
      <c r="AW316" s="102">
        <v>97.661059952596048</v>
      </c>
      <c r="AX316" s="102">
        <v>97.821299906822475</v>
      </c>
      <c r="AY316" s="102">
        <v>97.821478007725091</v>
      </c>
      <c r="AZ316" s="102">
        <v>97.707574028943398</v>
      </c>
      <c r="BA316" s="103">
        <v>97.652620726660786</v>
      </c>
      <c r="BB316" s="40">
        <v>43024</v>
      </c>
      <c r="BC316" s="40">
        <v>43388</v>
      </c>
    </row>
    <row r="317" spans="1:55" s="120" customFormat="1" ht="45">
      <c r="A317" s="87" t="s">
        <v>257</v>
      </c>
      <c r="B317" s="74" t="s">
        <v>1082</v>
      </c>
      <c r="C317" s="63" t="s">
        <v>10</v>
      </c>
      <c r="D317" s="63" t="s">
        <v>10</v>
      </c>
      <c r="E317" s="43" t="s">
        <v>10</v>
      </c>
      <c r="F317" s="63" t="s">
        <v>11</v>
      </c>
      <c r="G317" s="74" t="s">
        <v>46</v>
      </c>
      <c r="H317" s="60">
        <v>10</v>
      </c>
      <c r="I317" s="44">
        <v>240</v>
      </c>
      <c r="J317" s="53">
        <v>97.5</v>
      </c>
      <c r="K317" s="39" t="s">
        <v>1325</v>
      </c>
      <c r="L317" s="129" t="s">
        <v>507</v>
      </c>
      <c r="M317" s="57" t="s">
        <v>508</v>
      </c>
      <c r="N317" s="40">
        <v>43388</v>
      </c>
      <c r="O317" s="129" t="s">
        <v>507</v>
      </c>
      <c r="P317" s="63" t="s">
        <v>17</v>
      </c>
      <c r="Q317" s="63" t="s">
        <v>17</v>
      </c>
      <c r="R317" s="71" t="s">
        <v>273</v>
      </c>
      <c r="S317" s="73" t="s">
        <v>11</v>
      </c>
      <c r="T317" s="73" t="s">
        <v>11</v>
      </c>
      <c r="U317" s="54">
        <v>7</v>
      </c>
      <c r="V317" s="67"/>
      <c r="W317" s="67"/>
      <c r="X317" s="67">
        <v>250</v>
      </c>
      <c r="Y317" s="67">
        <v>380</v>
      </c>
      <c r="Z317" s="67">
        <v>500</v>
      </c>
      <c r="AA317" s="101">
        <v>1</v>
      </c>
      <c r="AB317" s="101">
        <v>2</v>
      </c>
      <c r="AC317" s="101">
        <v>3</v>
      </c>
      <c r="AD317" s="101">
        <v>5</v>
      </c>
      <c r="AE317" s="101">
        <v>7.5</v>
      </c>
      <c r="AF317" s="101">
        <v>10</v>
      </c>
      <c r="AG317" s="102">
        <v>95.2</v>
      </c>
      <c r="AH317" s="102">
        <v>96.8</v>
      </c>
      <c r="AI317" s="102">
        <v>97.1</v>
      </c>
      <c r="AJ317" s="102">
        <v>97.5</v>
      </c>
      <c r="AK317" s="102">
        <v>97.6</v>
      </c>
      <c r="AL317" s="102">
        <v>97.1</v>
      </c>
      <c r="AM317" s="102">
        <v>97.4</v>
      </c>
      <c r="AN317" s="102">
        <v>95.3</v>
      </c>
      <c r="AO317" s="102">
        <v>96.3</v>
      </c>
      <c r="AP317" s="102">
        <v>97.6</v>
      </c>
      <c r="AQ317" s="102">
        <v>97.7</v>
      </c>
      <c r="AR317" s="102">
        <v>97.7</v>
      </c>
      <c r="AS317" s="102">
        <v>97.2</v>
      </c>
      <c r="AT317" s="102">
        <v>97.5</v>
      </c>
      <c r="AU317" s="102">
        <v>95.6</v>
      </c>
      <c r="AV317" s="102">
        <v>96.8</v>
      </c>
      <c r="AW317" s="102">
        <v>97.7</v>
      </c>
      <c r="AX317" s="102">
        <v>97.8</v>
      </c>
      <c r="AY317" s="102">
        <v>97.8</v>
      </c>
      <c r="AZ317" s="102">
        <v>97.7</v>
      </c>
      <c r="BA317" s="103">
        <v>97.6</v>
      </c>
      <c r="BB317" s="40">
        <v>43024</v>
      </c>
      <c r="BC317" s="40">
        <v>43388</v>
      </c>
    </row>
    <row r="318" spans="1:55" s="120" customFormat="1" ht="45">
      <c r="A318" s="87" t="s">
        <v>257</v>
      </c>
      <c r="B318" s="74" t="s">
        <v>1083</v>
      </c>
      <c r="C318" s="63" t="s">
        <v>10</v>
      </c>
      <c r="D318" s="63" t="s">
        <v>10</v>
      </c>
      <c r="E318" s="43" t="s">
        <v>10</v>
      </c>
      <c r="F318" s="63" t="s">
        <v>11</v>
      </c>
      <c r="G318" s="37" t="s">
        <v>608</v>
      </c>
      <c r="H318" s="35">
        <v>25.05</v>
      </c>
      <c r="I318" s="35">
        <v>480</v>
      </c>
      <c r="J318" s="35">
        <v>98</v>
      </c>
      <c r="K318" s="39" t="s">
        <v>1325</v>
      </c>
      <c r="L318" s="128" t="s">
        <v>609</v>
      </c>
      <c r="M318" s="39" t="s">
        <v>610</v>
      </c>
      <c r="N318" s="40">
        <v>43388</v>
      </c>
      <c r="O318" s="128" t="s">
        <v>609</v>
      </c>
      <c r="P318" s="63" t="s">
        <v>17</v>
      </c>
      <c r="Q318" s="63" t="s">
        <v>17</v>
      </c>
      <c r="R318" s="65"/>
      <c r="S318" s="34" t="s">
        <v>11</v>
      </c>
      <c r="T318" s="34" t="s">
        <v>11</v>
      </c>
      <c r="U318" s="35">
        <v>14</v>
      </c>
      <c r="V318" s="35"/>
      <c r="W318" s="35"/>
      <c r="X318" s="35">
        <v>580</v>
      </c>
      <c r="Y318" s="35">
        <v>650</v>
      </c>
      <c r="Z318" s="35">
        <v>780</v>
      </c>
      <c r="AA318" s="103">
        <v>2.5</v>
      </c>
      <c r="AB318" s="103">
        <v>5</v>
      </c>
      <c r="AC318" s="103">
        <v>7.5</v>
      </c>
      <c r="AD318" s="103">
        <v>12.5</v>
      </c>
      <c r="AE318" s="103">
        <v>18.75</v>
      </c>
      <c r="AF318" s="103">
        <v>25</v>
      </c>
      <c r="AG318" s="103">
        <v>97.1</v>
      </c>
      <c r="AH318" s="103">
        <v>97.4</v>
      </c>
      <c r="AI318" s="103">
        <v>97.6</v>
      </c>
      <c r="AJ318" s="103">
        <v>97.9</v>
      </c>
      <c r="AK318" s="103">
        <v>98</v>
      </c>
      <c r="AL318" s="103">
        <v>97.8</v>
      </c>
      <c r="AM318" s="103">
        <v>97.9</v>
      </c>
      <c r="AN318" s="103">
        <v>97.1</v>
      </c>
      <c r="AO318" s="103">
        <v>97.3</v>
      </c>
      <c r="AP318" s="103">
        <v>97.6</v>
      </c>
      <c r="AQ318" s="103">
        <v>97.8</v>
      </c>
      <c r="AR318" s="103">
        <v>98.3</v>
      </c>
      <c r="AS318" s="103">
        <v>97.6</v>
      </c>
      <c r="AT318" s="103">
        <v>98</v>
      </c>
      <c r="AU318" s="103">
        <v>97.2</v>
      </c>
      <c r="AV318" s="103">
        <v>97.4</v>
      </c>
      <c r="AW318" s="103">
        <v>97.7</v>
      </c>
      <c r="AX318" s="103">
        <v>97.8</v>
      </c>
      <c r="AY318" s="103">
        <v>98</v>
      </c>
      <c r="AZ318" s="103">
        <v>97.5</v>
      </c>
      <c r="BA318" s="103">
        <v>97.9</v>
      </c>
      <c r="BB318" s="40">
        <v>43146</v>
      </c>
      <c r="BC318" s="40">
        <v>43388</v>
      </c>
    </row>
    <row r="319" spans="1:55" s="120" customFormat="1" ht="45">
      <c r="A319" s="87" t="s">
        <v>257</v>
      </c>
      <c r="B319" s="74" t="s">
        <v>1084</v>
      </c>
      <c r="C319" s="63" t="s">
        <v>10</v>
      </c>
      <c r="D319" s="63" t="s">
        <v>10</v>
      </c>
      <c r="E319" s="43" t="s">
        <v>10</v>
      </c>
      <c r="F319" s="63" t="s">
        <v>11</v>
      </c>
      <c r="G319" s="37" t="s">
        <v>611</v>
      </c>
      <c r="H319" s="35">
        <v>30.05</v>
      </c>
      <c r="I319" s="35">
        <v>480</v>
      </c>
      <c r="J319" s="35">
        <v>98</v>
      </c>
      <c r="K319" s="39" t="s">
        <v>1325</v>
      </c>
      <c r="L319" s="128" t="s">
        <v>609</v>
      </c>
      <c r="M319" s="39" t="s">
        <v>610</v>
      </c>
      <c r="N319" s="40">
        <v>43388</v>
      </c>
      <c r="O319" s="128" t="s">
        <v>609</v>
      </c>
      <c r="P319" s="63" t="s">
        <v>17</v>
      </c>
      <c r="Q319" s="63" t="s">
        <v>17</v>
      </c>
      <c r="R319" s="65"/>
      <c r="S319" s="34" t="s">
        <v>11</v>
      </c>
      <c r="T319" s="34" t="s">
        <v>11</v>
      </c>
      <c r="U319" s="35">
        <v>15</v>
      </c>
      <c r="V319" s="35"/>
      <c r="W319" s="35"/>
      <c r="X319" s="35">
        <v>580</v>
      </c>
      <c r="Y319" s="35">
        <v>650</v>
      </c>
      <c r="Z319" s="35">
        <v>780</v>
      </c>
      <c r="AA319" s="103">
        <v>3</v>
      </c>
      <c r="AB319" s="103">
        <v>6</v>
      </c>
      <c r="AC319" s="103">
        <v>9</v>
      </c>
      <c r="AD319" s="103">
        <v>15</v>
      </c>
      <c r="AE319" s="103">
        <v>22.5</v>
      </c>
      <c r="AF319" s="103">
        <v>30</v>
      </c>
      <c r="AG319" s="103">
        <v>97.1</v>
      </c>
      <c r="AH319" s="103">
        <v>97.9</v>
      </c>
      <c r="AI319" s="103">
        <v>97.9</v>
      </c>
      <c r="AJ319" s="103">
        <v>98.3</v>
      </c>
      <c r="AK319" s="103">
        <v>97.5</v>
      </c>
      <c r="AL319" s="103">
        <v>97.9</v>
      </c>
      <c r="AM319" s="103">
        <v>97.8</v>
      </c>
      <c r="AN319" s="103">
        <v>97.4</v>
      </c>
      <c r="AO319" s="103">
        <v>98.1</v>
      </c>
      <c r="AP319" s="103">
        <v>98.1</v>
      </c>
      <c r="AQ319" s="103">
        <v>98.4</v>
      </c>
      <c r="AR319" s="103">
        <v>98.1</v>
      </c>
      <c r="AS319" s="103">
        <v>97.9</v>
      </c>
      <c r="AT319" s="103">
        <v>98.1</v>
      </c>
      <c r="AU319" s="103">
        <v>97.1</v>
      </c>
      <c r="AV319" s="103">
        <v>97.9</v>
      </c>
      <c r="AW319" s="103">
        <v>98</v>
      </c>
      <c r="AX319" s="103">
        <v>98.3</v>
      </c>
      <c r="AY319" s="103">
        <v>98</v>
      </c>
      <c r="AZ319" s="103">
        <v>97.8</v>
      </c>
      <c r="BA319" s="103">
        <v>98</v>
      </c>
      <c r="BB319" s="40">
        <v>43146</v>
      </c>
      <c r="BC319" s="40">
        <v>43388</v>
      </c>
    </row>
    <row r="320" spans="1:55" s="120" customFormat="1" ht="45">
      <c r="A320" s="87" t="s">
        <v>257</v>
      </c>
      <c r="B320" s="74" t="s">
        <v>1085</v>
      </c>
      <c r="C320" s="63" t="s">
        <v>10</v>
      </c>
      <c r="D320" s="63" t="s">
        <v>10</v>
      </c>
      <c r="E320" s="43" t="s">
        <v>10</v>
      </c>
      <c r="F320" s="63" t="s">
        <v>11</v>
      </c>
      <c r="G320" s="37" t="s">
        <v>612</v>
      </c>
      <c r="H320" s="35">
        <v>36.049999999999997</v>
      </c>
      <c r="I320" s="35">
        <v>480</v>
      </c>
      <c r="J320" s="35">
        <v>98</v>
      </c>
      <c r="K320" s="39" t="s">
        <v>1325</v>
      </c>
      <c r="L320" s="128" t="s">
        <v>609</v>
      </c>
      <c r="M320" s="39" t="s">
        <v>610</v>
      </c>
      <c r="N320" s="40">
        <v>43388</v>
      </c>
      <c r="O320" s="128" t="s">
        <v>609</v>
      </c>
      <c r="P320" s="63" t="s">
        <v>17</v>
      </c>
      <c r="Q320" s="63" t="s">
        <v>17</v>
      </c>
      <c r="R320" s="65"/>
      <c r="S320" s="34" t="s">
        <v>11</v>
      </c>
      <c r="T320" s="34" t="s">
        <v>11</v>
      </c>
      <c r="U320" s="35">
        <v>15</v>
      </c>
      <c r="V320" s="35"/>
      <c r="W320" s="35"/>
      <c r="X320" s="35">
        <v>580</v>
      </c>
      <c r="Y320" s="35">
        <v>650</v>
      </c>
      <c r="Z320" s="35">
        <v>780</v>
      </c>
      <c r="AA320" s="103">
        <v>3.6</v>
      </c>
      <c r="AB320" s="103">
        <v>7.2</v>
      </c>
      <c r="AC320" s="103">
        <v>10.8</v>
      </c>
      <c r="AD320" s="103">
        <v>18</v>
      </c>
      <c r="AE320" s="103">
        <v>27</v>
      </c>
      <c r="AF320" s="103">
        <v>36</v>
      </c>
      <c r="AG320" s="103">
        <v>97.3</v>
      </c>
      <c r="AH320" s="103">
        <v>98.2</v>
      </c>
      <c r="AI320" s="103">
        <v>98.1</v>
      </c>
      <c r="AJ320" s="103">
        <v>98.4</v>
      </c>
      <c r="AK320" s="103">
        <v>97.6</v>
      </c>
      <c r="AL320" s="103">
        <v>98.1</v>
      </c>
      <c r="AM320" s="103">
        <v>97.9</v>
      </c>
      <c r="AN320" s="103">
        <v>97.7</v>
      </c>
      <c r="AO320" s="103">
        <v>98.3</v>
      </c>
      <c r="AP320" s="103">
        <v>98.3</v>
      </c>
      <c r="AQ320" s="103">
        <v>98.4</v>
      </c>
      <c r="AR320" s="103">
        <v>98.3</v>
      </c>
      <c r="AS320" s="103">
        <v>98.1</v>
      </c>
      <c r="AT320" s="103">
        <v>98.3</v>
      </c>
      <c r="AU320" s="103">
        <v>97.4</v>
      </c>
      <c r="AV320" s="103">
        <v>98.1</v>
      </c>
      <c r="AW320" s="103">
        <v>98.2</v>
      </c>
      <c r="AX320" s="103">
        <v>98.3</v>
      </c>
      <c r="AY320" s="103">
        <v>98.2</v>
      </c>
      <c r="AZ320" s="103">
        <v>98.1</v>
      </c>
      <c r="BA320" s="103">
        <v>98.2</v>
      </c>
      <c r="BB320" s="40">
        <v>43146</v>
      </c>
      <c r="BC320" s="40">
        <v>43388</v>
      </c>
    </row>
    <row r="321" spans="1:55" s="120" customFormat="1" ht="45">
      <c r="A321" s="87" t="s">
        <v>257</v>
      </c>
      <c r="B321" s="74" t="s">
        <v>1086</v>
      </c>
      <c r="C321" s="63" t="s">
        <v>10</v>
      </c>
      <c r="D321" s="63" t="s">
        <v>10</v>
      </c>
      <c r="E321" s="43" t="s">
        <v>10</v>
      </c>
      <c r="F321" s="63" t="s">
        <v>11</v>
      </c>
      <c r="G321" s="37" t="s">
        <v>613</v>
      </c>
      <c r="H321" s="35">
        <v>40.049999999999997</v>
      </c>
      <c r="I321" s="35">
        <v>480</v>
      </c>
      <c r="J321" s="35">
        <v>98.5</v>
      </c>
      <c r="K321" s="39" t="s">
        <v>1325</v>
      </c>
      <c r="L321" s="128" t="s">
        <v>609</v>
      </c>
      <c r="M321" s="39" t="s">
        <v>610</v>
      </c>
      <c r="N321" s="40">
        <v>43388</v>
      </c>
      <c r="O321" s="128" t="s">
        <v>609</v>
      </c>
      <c r="P321" s="63" t="s">
        <v>17</v>
      </c>
      <c r="Q321" s="63" t="s">
        <v>17</v>
      </c>
      <c r="R321" s="65"/>
      <c r="S321" s="34" t="s">
        <v>11</v>
      </c>
      <c r="T321" s="34" t="s">
        <v>11</v>
      </c>
      <c r="U321" s="35">
        <v>1</v>
      </c>
      <c r="V321" s="35"/>
      <c r="W321" s="35"/>
      <c r="X321" s="35">
        <v>580</v>
      </c>
      <c r="Y321" s="35">
        <v>650</v>
      </c>
      <c r="Z321" s="35">
        <v>780</v>
      </c>
      <c r="AA321" s="103">
        <v>4</v>
      </c>
      <c r="AB321" s="103">
        <v>8</v>
      </c>
      <c r="AC321" s="103">
        <v>12</v>
      </c>
      <c r="AD321" s="103">
        <v>20</v>
      </c>
      <c r="AE321" s="103">
        <v>30</v>
      </c>
      <c r="AF321" s="103">
        <v>40</v>
      </c>
      <c r="AG321" s="103">
        <v>97.5</v>
      </c>
      <c r="AH321" s="103">
        <v>98</v>
      </c>
      <c r="AI321" s="103">
        <v>98.1</v>
      </c>
      <c r="AJ321" s="103">
        <v>98.2</v>
      </c>
      <c r="AK321" s="103">
        <v>98.1</v>
      </c>
      <c r="AL321" s="103">
        <v>98</v>
      </c>
      <c r="AM321" s="103">
        <v>98.1</v>
      </c>
      <c r="AN321" s="103">
        <v>97.9</v>
      </c>
      <c r="AO321" s="103">
        <v>98.3</v>
      </c>
      <c r="AP321" s="103">
        <v>98.4</v>
      </c>
      <c r="AQ321" s="103">
        <v>98.7</v>
      </c>
      <c r="AR321" s="103">
        <v>98.6</v>
      </c>
      <c r="AS321" s="103">
        <v>98.3</v>
      </c>
      <c r="AT321" s="103">
        <v>98.5</v>
      </c>
      <c r="AU321" s="103">
        <v>97.6</v>
      </c>
      <c r="AV321" s="103">
        <v>98.2</v>
      </c>
      <c r="AW321" s="103">
        <v>98.2</v>
      </c>
      <c r="AX321" s="103">
        <v>98.4</v>
      </c>
      <c r="AY321" s="103">
        <v>98.3</v>
      </c>
      <c r="AZ321" s="103">
        <v>98.2</v>
      </c>
      <c r="BA321" s="103">
        <v>98.3</v>
      </c>
      <c r="BB321" s="40">
        <v>43146</v>
      </c>
      <c r="BC321" s="40">
        <v>43388</v>
      </c>
    </row>
    <row r="322" spans="1:55" s="120" customFormat="1" ht="45">
      <c r="A322" s="87" t="s">
        <v>257</v>
      </c>
      <c r="B322" s="74" t="s">
        <v>431</v>
      </c>
      <c r="C322" s="63" t="s">
        <v>10</v>
      </c>
      <c r="D322" s="63" t="s">
        <v>10</v>
      </c>
      <c r="E322" s="43" t="s">
        <v>10</v>
      </c>
      <c r="F322" s="63" t="s">
        <v>11</v>
      </c>
      <c r="G322" s="37" t="s">
        <v>614</v>
      </c>
      <c r="H322" s="35">
        <v>40.049999999999997</v>
      </c>
      <c r="I322" s="35">
        <v>480</v>
      </c>
      <c r="J322" s="35">
        <v>98.5</v>
      </c>
      <c r="K322" s="39" t="s">
        <v>1325</v>
      </c>
      <c r="L322" s="128" t="s">
        <v>609</v>
      </c>
      <c r="M322" s="39" t="s">
        <v>610</v>
      </c>
      <c r="N322" s="40">
        <v>43388</v>
      </c>
      <c r="O322" s="128" t="s">
        <v>609</v>
      </c>
      <c r="P322" s="63" t="s">
        <v>17</v>
      </c>
      <c r="Q322" s="63" t="s">
        <v>17</v>
      </c>
      <c r="R322" s="65"/>
      <c r="S322" s="34" t="s">
        <v>11</v>
      </c>
      <c r="T322" s="34" t="s">
        <v>11</v>
      </c>
      <c r="U322" s="35">
        <v>1</v>
      </c>
      <c r="V322" s="35"/>
      <c r="W322" s="35"/>
      <c r="X322" s="35">
        <v>580</v>
      </c>
      <c r="Y322" s="35">
        <v>650</v>
      </c>
      <c r="Z322" s="35">
        <v>780</v>
      </c>
      <c r="AA322" s="103">
        <v>4</v>
      </c>
      <c r="AB322" s="103">
        <v>8</v>
      </c>
      <c r="AC322" s="103">
        <v>12</v>
      </c>
      <c r="AD322" s="103">
        <v>20</v>
      </c>
      <c r="AE322" s="103">
        <v>30</v>
      </c>
      <c r="AF322" s="103">
        <v>40</v>
      </c>
      <c r="AG322" s="103">
        <v>97.5</v>
      </c>
      <c r="AH322" s="103">
        <v>98</v>
      </c>
      <c r="AI322" s="103">
        <v>98.1</v>
      </c>
      <c r="AJ322" s="103">
        <v>98.2</v>
      </c>
      <c r="AK322" s="103">
        <v>98.1</v>
      </c>
      <c r="AL322" s="103">
        <v>97.7</v>
      </c>
      <c r="AM322" s="103">
        <v>98.1</v>
      </c>
      <c r="AN322" s="103">
        <v>97.8</v>
      </c>
      <c r="AO322" s="103">
        <v>98.3</v>
      </c>
      <c r="AP322" s="103">
        <v>98.4</v>
      </c>
      <c r="AQ322" s="103">
        <v>98.6</v>
      </c>
      <c r="AR322" s="103">
        <v>98.5</v>
      </c>
      <c r="AS322" s="103">
        <v>98.3</v>
      </c>
      <c r="AT322" s="103">
        <v>98.5</v>
      </c>
      <c r="AU322" s="103">
        <v>97.6</v>
      </c>
      <c r="AV322" s="103">
        <v>98.1</v>
      </c>
      <c r="AW322" s="103">
        <v>98.2</v>
      </c>
      <c r="AX322" s="103">
        <v>98.4</v>
      </c>
      <c r="AY322" s="103">
        <v>98.3</v>
      </c>
      <c r="AZ322" s="103">
        <v>98</v>
      </c>
      <c r="BA322" s="103">
        <v>98.3</v>
      </c>
      <c r="BB322" s="40">
        <v>43146</v>
      </c>
      <c r="BC322" s="40">
        <v>43388</v>
      </c>
    </row>
    <row r="323" spans="1:55" s="120" customFormat="1" ht="45">
      <c r="A323" s="87" t="s">
        <v>257</v>
      </c>
      <c r="B323" s="76" t="s">
        <v>433</v>
      </c>
      <c r="C323" s="79" t="s">
        <v>10</v>
      </c>
      <c r="D323" s="79" t="s">
        <v>10</v>
      </c>
      <c r="E323" s="43" t="s">
        <v>10</v>
      </c>
      <c r="F323" s="63" t="s">
        <v>11</v>
      </c>
      <c r="G323" s="76" t="s">
        <v>555</v>
      </c>
      <c r="H323" s="90">
        <v>50.082999999999998</v>
      </c>
      <c r="I323" s="77">
        <v>480</v>
      </c>
      <c r="J323" s="78">
        <v>98.5</v>
      </c>
      <c r="K323" s="39" t="s">
        <v>1325</v>
      </c>
      <c r="L323" s="131" t="s">
        <v>561</v>
      </c>
      <c r="M323" s="79" t="s">
        <v>553</v>
      </c>
      <c r="N323" s="40">
        <v>43388</v>
      </c>
      <c r="O323" s="131" t="s">
        <v>561</v>
      </c>
      <c r="P323" s="63" t="s">
        <v>17</v>
      </c>
      <c r="Q323" s="63" t="s">
        <v>17</v>
      </c>
      <c r="R323" s="81" t="s">
        <v>563</v>
      </c>
      <c r="S323" s="80" t="s">
        <v>11</v>
      </c>
      <c r="T323" s="80" t="s">
        <v>11</v>
      </c>
      <c r="U323" s="82">
        <v>1</v>
      </c>
      <c r="V323" s="83"/>
      <c r="W323" s="83"/>
      <c r="X323" s="83">
        <v>580</v>
      </c>
      <c r="Y323" s="83">
        <v>650</v>
      </c>
      <c r="Z323" s="83">
        <v>720</v>
      </c>
      <c r="AA323" s="100">
        <v>5</v>
      </c>
      <c r="AB323" s="100">
        <v>10</v>
      </c>
      <c r="AC323" s="100">
        <v>15</v>
      </c>
      <c r="AD323" s="100">
        <v>25</v>
      </c>
      <c r="AE323" s="100">
        <v>37.5</v>
      </c>
      <c r="AF323" s="100">
        <v>50</v>
      </c>
      <c r="AG323" s="102">
        <v>97.74</v>
      </c>
      <c r="AH323" s="102">
        <v>98.44</v>
      </c>
      <c r="AI323" s="102">
        <v>98.46</v>
      </c>
      <c r="AJ323" s="102">
        <v>98.58</v>
      </c>
      <c r="AK323" s="102">
        <v>98.45</v>
      </c>
      <c r="AL323" s="102">
        <v>98.35</v>
      </c>
      <c r="AM323" s="102">
        <v>98.44</v>
      </c>
      <c r="AN323" s="100">
        <v>97.8</v>
      </c>
      <c r="AO323" s="102">
        <v>98.53</v>
      </c>
      <c r="AP323" s="102">
        <v>98.55</v>
      </c>
      <c r="AQ323" s="102">
        <v>98.7</v>
      </c>
      <c r="AR323" s="102">
        <v>98.51</v>
      </c>
      <c r="AS323" s="102">
        <v>98.4</v>
      </c>
      <c r="AT323" s="102">
        <v>98.52</v>
      </c>
      <c r="AU323" s="102">
        <v>97.88</v>
      </c>
      <c r="AV323" s="102">
        <v>98.58</v>
      </c>
      <c r="AW323" s="102">
        <v>98.65</v>
      </c>
      <c r="AX323" s="102">
        <v>98.76</v>
      </c>
      <c r="AY323" s="102">
        <v>98.57</v>
      </c>
      <c r="AZ323" s="102">
        <v>98.46</v>
      </c>
      <c r="BA323" s="103">
        <v>98.59</v>
      </c>
      <c r="BB323" s="40">
        <v>43132</v>
      </c>
      <c r="BC323" s="40">
        <v>43388</v>
      </c>
    </row>
    <row r="324" spans="1:55" s="120" customFormat="1" ht="45">
      <c r="A324" s="87" t="s">
        <v>257</v>
      </c>
      <c r="B324" s="76" t="s">
        <v>1087</v>
      </c>
      <c r="C324" s="79" t="s">
        <v>10</v>
      </c>
      <c r="D324" s="79" t="s">
        <v>10</v>
      </c>
      <c r="E324" s="43" t="s">
        <v>10</v>
      </c>
      <c r="F324" s="63" t="s">
        <v>11</v>
      </c>
      <c r="G324" s="76" t="s">
        <v>555</v>
      </c>
      <c r="H324" s="90">
        <v>50.082999999999998</v>
      </c>
      <c r="I324" s="77">
        <v>480</v>
      </c>
      <c r="J324" s="78">
        <v>98.5</v>
      </c>
      <c r="K324" s="39" t="s">
        <v>1325</v>
      </c>
      <c r="L324" s="131" t="s">
        <v>552</v>
      </c>
      <c r="M324" s="79" t="s">
        <v>553</v>
      </c>
      <c r="N324" s="40">
        <v>43388</v>
      </c>
      <c r="O324" s="131" t="s">
        <v>552</v>
      </c>
      <c r="P324" s="63" t="s">
        <v>17</v>
      </c>
      <c r="Q324" s="63" t="s">
        <v>17</v>
      </c>
      <c r="R324" s="81" t="s">
        <v>556</v>
      </c>
      <c r="S324" s="80" t="s">
        <v>11</v>
      </c>
      <c r="T324" s="80" t="s">
        <v>11</v>
      </c>
      <c r="U324" s="82">
        <v>1</v>
      </c>
      <c r="V324" s="83"/>
      <c r="W324" s="83"/>
      <c r="X324" s="83">
        <v>580</v>
      </c>
      <c r="Y324" s="83">
        <v>650</v>
      </c>
      <c r="Z324" s="83">
        <v>720</v>
      </c>
      <c r="AA324" s="100">
        <v>5</v>
      </c>
      <c r="AB324" s="100">
        <v>10</v>
      </c>
      <c r="AC324" s="100">
        <v>15</v>
      </c>
      <c r="AD324" s="100">
        <v>25</v>
      </c>
      <c r="AE324" s="100">
        <v>37.5</v>
      </c>
      <c r="AF324" s="100">
        <v>50</v>
      </c>
      <c r="AG324" s="100">
        <v>97.73621</v>
      </c>
      <c r="AH324" s="100">
        <v>98.444220000000001</v>
      </c>
      <c r="AI324" s="100">
        <v>98.455920000000006</v>
      </c>
      <c r="AJ324" s="100">
        <v>98.582179999999994</v>
      </c>
      <c r="AK324" s="100">
        <v>98.449969999999993</v>
      </c>
      <c r="AL324" s="100">
        <v>98.347470000000001</v>
      </c>
      <c r="AM324" s="100">
        <v>98.444490000000002</v>
      </c>
      <c r="AN324" s="100">
        <v>97.798339999999996</v>
      </c>
      <c r="AO324" s="100">
        <v>98.53134</v>
      </c>
      <c r="AP324" s="100">
        <v>98.552109999999999</v>
      </c>
      <c r="AQ324" s="100">
        <v>98.700419999999994</v>
      </c>
      <c r="AR324" s="100">
        <v>98.512280000000004</v>
      </c>
      <c r="AS324" s="100">
        <v>98.395949999999999</v>
      </c>
      <c r="AT324" s="100">
        <v>98.523150000000001</v>
      </c>
      <c r="AU324" s="100">
        <v>97.876750000000001</v>
      </c>
      <c r="AV324" s="100">
        <v>98.578149999999994</v>
      </c>
      <c r="AW324" s="100">
        <v>98.650589999999994</v>
      </c>
      <c r="AX324" s="100">
        <v>98.759609999999995</v>
      </c>
      <c r="AY324" s="100">
        <v>98.567750000000004</v>
      </c>
      <c r="AZ324" s="100">
        <v>98.464439999999996</v>
      </c>
      <c r="BA324" s="100">
        <v>98.585700000000003</v>
      </c>
      <c r="BB324" s="40">
        <v>43132</v>
      </c>
      <c r="BC324" s="40">
        <v>43388</v>
      </c>
    </row>
    <row r="325" spans="1:55" s="120" customFormat="1" ht="45">
      <c r="A325" s="87" t="s">
        <v>257</v>
      </c>
      <c r="B325" s="76" t="s">
        <v>1088</v>
      </c>
      <c r="C325" s="79" t="s">
        <v>10</v>
      </c>
      <c r="D325" s="79" t="s">
        <v>10</v>
      </c>
      <c r="E325" s="43" t="s">
        <v>10</v>
      </c>
      <c r="F325" s="63" t="s">
        <v>11</v>
      </c>
      <c r="G325" s="76" t="s">
        <v>551</v>
      </c>
      <c r="H325" s="90">
        <v>50.082999999999998</v>
      </c>
      <c r="I325" s="77">
        <v>480</v>
      </c>
      <c r="J325" s="78">
        <v>98.5</v>
      </c>
      <c r="K325" s="39" t="s">
        <v>1325</v>
      </c>
      <c r="L325" s="131" t="s">
        <v>552</v>
      </c>
      <c r="M325" s="79" t="s">
        <v>553</v>
      </c>
      <c r="N325" s="40">
        <v>43388</v>
      </c>
      <c r="O325" s="131" t="s">
        <v>552</v>
      </c>
      <c r="P325" s="63" t="s">
        <v>17</v>
      </c>
      <c r="Q325" s="63" t="s">
        <v>17</v>
      </c>
      <c r="R325" s="81" t="s">
        <v>554</v>
      </c>
      <c r="S325" s="80" t="s">
        <v>11</v>
      </c>
      <c r="T325" s="80" t="s">
        <v>11</v>
      </c>
      <c r="U325" s="82">
        <v>1</v>
      </c>
      <c r="V325" s="83"/>
      <c r="W325" s="83"/>
      <c r="X325" s="83">
        <v>580</v>
      </c>
      <c r="Y325" s="83">
        <v>650</v>
      </c>
      <c r="Z325" s="83">
        <v>720</v>
      </c>
      <c r="AA325" s="100">
        <v>5</v>
      </c>
      <c r="AB325" s="100">
        <v>10</v>
      </c>
      <c r="AC325" s="100">
        <v>15</v>
      </c>
      <c r="AD325" s="100">
        <v>25</v>
      </c>
      <c r="AE325" s="100">
        <v>37.5</v>
      </c>
      <c r="AF325" s="100">
        <v>50</v>
      </c>
      <c r="AG325" s="100">
        <v>97.516660000000002</v>
      </c>
      <c r="AH325" s="100">
        <v>98.527910000000006</v>
      </c>
      <c r="AI325" s="100">
        <v>98.440969999999993</v>
      </c>
      <c r="AJ325" s="100">
        <v>98.556190000000001</v>
      </c>
      <c r="AK325" s="100">
        <v>98.322069999999997</v>
      </c>
      <c r="AL325" s="100">
        <v>98.44641</v>
      </c>
      <c r="AM325" s="100">
        <v>98.369799999999998</v>
      </c>
      <c r="AN325" s="100">
        <v>97.746949999999998</v>
      </c>
      <c r="AO325" s="100">
        <v>98.550470000000004</v>
      </c>
      <c r="AP325" s="100">
        <v>98.522189999999995</v>
      </c>
      <c r="AQ325" s="100">
        <v>98.653930000000003</v>
      </c>
      <c r="AR325" s="100">
        <v>98.433809999999994</v>
      </c>
      <c r="AS325" s="100">
        <v>98.488839999999996</v>
      </c>
      <c r="AT325" s="100">
        <v>98.47175</v>
      </c>
      <c r="AU325" s="100">
        <v>97.980519999999999</v>
      </c>
      <c r="AV325" s="100">
        <v>98.699969999999993</v>
      </c>
      <c r="AW325" s="100">
        <v>98.804749999999999</v>
      </c>
      <c r="AX325" s="100">
        <v>98.791889999999995</v>
      </c>
      <c r="AY325" s="100">
        <v>98.567930000000004</v>
      </c>
      <c r="AZ325" s="100">
        <v>98.500640000000004</v>
      </c>
      <c r="BA325" s="100">
        <v>98.62312</v>
      </c>
      <c r="BB325" s="40">
        <v>43132</v>
      </c>
      <c r="BC325" s="40">
        <v>43388</v>
      </c>
    </row>
    <row r="326" spans="1:55" s="120" customFormat="1" ht="45">
      <c r="A326" s="87" t="s">
        <v>257</v>
      </c>
      <c r="B326" s="76" t="s">
        <v>432</v>
      </c>
      <c r="C326" s="79" t="s">
        <v>10</v>
      </c>
      <c r="D326" s="79" t="s">
        <v>10</v>
      </c>
      <c r="E326" s="43" t="s">
        <v>10</v>
      </c>
      <c r="F326" s="63" t="s">
        <v>11</v>
      </c>
      <c r="G326" s="76" t="s">
        <v>551</v>
      </c>
      <c r="H326" s="90">
        <v>50.084000000000003</v>
      </c>
      <c r="I326" s="77">
        <v>480</v>
      </c>
      <c r="J326" s="78">
        <v>98.5</v>
      </c>
      <c r="K326" s="39" t="s">
        <v>1325</v>
      </c>
      <c r="L326" s="131" t="s">
        <v>561</v>
      </c>
      <c r="M326" s="79" t="s">
        <v>553</v>
      </c>
      <c r="N326" s="40">
        <v>43388</v>
      </c>
      <c r="O326" s="131" t="s">
        <v>561</v>
      </c>
      <c r="P326" s="63" t="s">
        <v>17</v>
      </c>
      <c r="Q326" s="63" t="s">
        <v>17</v>
      </c>
      <c r="R326" s="81" t="s">
        <v>562</v>
      </c>
      <c r="S326" s="80" t="s">
        <v>11</v>
      </c>
      <c r="T326" s="80" t="s">
        <v>11</v>
      </c>
      <c r="U326" s="82">
        <v>1</v>
      </c>
      <c r="V326" s="83"/>
      <c r="W326" s="83"/>
      <c r="X326" s="83">
        <v>580</v>
      </c>
      <c r="Y326" s="83">
        <v>650</v>
      </c>
      <c r="Z326" s="83">
        <v>720</v>
      </c>
      <c r="AA326" s="100">
        <v>5</v>
      </c>
      <c r="AB326" s="100">
        <v>10</v>
      </c>
      <c r="AC326" s="100">
        <v>15</v>
      </c>
      <c r="AD326" s="100">
        <v>25</v>
      </c>
      <c r="AE326" s="100">
        <v>37.5</v>
      </c>
      <c r="AF326" s="100">
        <v>50</v>
      </c>
      <c r="AG326" s="100">
        <v>97.5</v>
      </c>
      <c r="AH326" s="100">
        <v>98.5</v>
      </c>
      <c r="AI326" s="100">
        <v>98.4</v>
      </c>
      <c r="AJ326" s="100">
        <v>98.6</v>
      </c>
      <c r="AK326" s="100">
        <v>98.3</v>
      </c>
      <c r="AL326" s="100">
        <v>98.5</v>
      </c>
      <c r="AM326" s="100">
        <v>98.4</v>
      </c>
      <c r="AN326" s="100">
        <v>97.8</v>
      </c>
      <c r="AO326" s="100">
        <v>98.6</v>
      </c>
      <c r="AP326" s="100">
        <v>98.5</v>
      </c>
      <c r="AQ326" s="100">
        <v>98.7</v>
      </c>
      <c r="AR326" s="100">
        <v>98.4</v>
      </c>
      <c r="AS326" s="100">
        <v>98.5</v>
      </c>
      <c r="AT326" s="100">
        <v>98.5</v>
      </c>
      <c r="AU326" s="100">
        <v>98</v>
      </c>
      <c r="AV326" s="100">
        <v>98.7</v>
      </c>
      <c r="AW326" s="100">
        <v>98.8</v>
      </c>
      <c r="AX326" s="100">
        <v>98.8</v>
      </c>
      <c r="AY326" s="100">
        <v>98.6</v>
      </c>
      <c r="AZ326" s="100">
        <v>98.5</v>
      </c>
      <c r="BA326" s="100">
        <v>98.6</v>
      </c>
      <c r="BB326" s="40">
        <v>43132</v>
      </c>
      <c r="BC326" s="40">
        <v>43388</v>
      </c>
    </row>
    <row r="327" spans="1:55" s="120" customFormat="1" ht="45">
      <c r="A327" s="87" t="s">
        <v>257</v>
      </c>
      <c r="B327" s="76" t="s">
        <v>434</v>
      </c>
      <c r="C327" s="79" t="s">
        <v>10</v>
      </c>
      <c r="D327" s="79" t="s">
        <v>10</v>
      </c>
      <c r="E327" s="43" t="s">
        <v>10</v>
      </c>
      <c r="F327" s="63" t="s">
        <v>11</v>
      </c>
      <c r="G327" s="76" t="s">
        <v>557</v>
      </c>
      <c r="H327" s="90">
        <v>60.085999999999999</v>
      </c>
      <c r="I327" s="77">
        <v>480</v>
      </c>
      <c r="J327" s="78">
        <v>98.5</v>
      </c>
      <c r="K327" s="39" t="s">
        <v>1325</v>
      </c>
      <c r="L327" s="131" t="s">
        <v>561</v>
      </c>
      <c r="M327" s="79" t="s">
        <v>553</v>
      </c>
      <c r="N327" s="40">
        <v>43388</v>
      </c>
      <c r="O327" s="131" t="s">
        <v>561</v>
      </c>
      <c r="P327" s="63" t="s">
        <v>17</v>
      </c>
      <c r="Q327" s="63" t="s">
        <v>17</v>
      </c>
      <c r="R327" s="81" t="s">
        <v>564</v>
      </c>
      <c r="S327" s="80" t="s">
        <v>11</v>
      </c>
      <c r="T327" s="80" t="s">
        <v>11</v>
      </c>
      <c r="U327" s="82">
        <v>1</v>
      </c>
      <c r="V327" s="83"/>
      <c r="W327" s="83"/>
      <c r="X327" s="83">
        <v>580</v>
      </c>
      <c r="Y327" s="83">
        <v>650</v>
      </c>
      <c r="Z327" s="83">
        <v>720</v>
      </c>
      <c r="AA327" s="100">
        <v>6</v>
      </c>
      <c r="AB327" s="100">
        <v>12</v>
      </c>
      <c r="AC327" s="100">
        <v>18</v>
      </c>
      <c r="AD327" s="100">
        <v>30</v>
      </c>
      <c r="AE327" s="100">
        <v>45</v>
      </c>
      <c r="AF327" s="100">
        <v>60</v>
      </c>
      <c r="AG327" s="102">
        <v>97.73</v>
      </c>
      <c r="AH327" s="102">
        <v>98.31</v>
      </c>
      <c r="AI327" s="102">
        <v>98.42</v>
      </c>
      <c r="AJ327" s="102">
        <v>98.55</v>
      </c>
      <c r="AK327" s="102">
        <v>98.37</v>
      </c>
      <c r="AL327" s="102">
        <v>98.22</v>
      </c>
      <c r="AM327" s="102">
        <v>98.38</v>
      </c>
      <c r="AN327" s="102">
        <v>97.82</v>
      </c>
      <c r="AO327" s="102">
        <v>98.45</v>
      </c>
      <c r="AP327" s="102">
        <v>98.54</v>
      </c>
      <c r="AQ327" s="102">
        <v>98.63</v>
      </c>
      <c r="AR327" s="102">
        <v>98.5</v>
      </c>
      <c r="AS327" s="102">
        <v>98.33</v>
      </c>
      <c r="AT327" s="102">
        <v>98.49</v>
      </c>
      <c r="AU327" s="102">
        <v>97.86</v>
      </c>
      <c r="AV327" s="102">
        <v>98.53</v>
      </c>
      <c r="AW327" s="102">
        <v>98.59</v>
      </c>
      <c r="AX327" s="102">
        <v>98.7</v>
      </c>
      <c r="AY327" s="102">
        <v>98.55</v>
      </c>
      <c r="AZ327" s="102">
        <v>98.45</v>
      </c>
      <c r="BA327" s="103">
        <v>98.55</v>
      </c>
      <c r="BB327" s="40">
        <v>43132</v>
      </c>
      <c r="BC327" s="40">
        <v>43388</v>
      </c>
    </row>
    <row r="328" spans="1:55" s="120" customFormat="1" ht="45">
      <c r="A328" s="87" t="s">
        <v>257</v>
      </c>
      <c r="B328" s="76" t="s">
        <v>1089</v>
      </c>
      <c r="C328" s="79" t="s">
        <v>10</v>
      </c>
      <c r="D328" s="79" t="s">
        <v>10</v>
      </c>
      <c r="E328" s="43" t="s">
        <v>10</v>
      </c>
      <c r="F328" s="63" t="s">
        <v>11</v>
      </c>
      <c r="G328" s="76" t="s">
        <v>557</v>
      </c>
      <c r="H328" s="90">
        <v>60.085999999999999</v>
      </c>
      <c r="I328" s="77">
        <v>480</v>
      </c>
      <c r="J328" s="78">
        <v>98.5</v>
      </c>
      <c r="K328" s="39" t="s">
        <v>1325</v>
      </c>
      <c r="L328" s="131" t="s">
        <v>552</v>
      </c>
      <c r="M328" s="79" t="s">
        <v>553</v>
      </c>
      <c r="N328" s="40">
        <v>43388</v>
      </c>
      <c r="O328" s="131" t="s">
        <v>552</v>
      </c>
      <c r="P328" s="63" t="s">
        <v>17</v>
      </c>
      <c r="Q328" s="63" t="s">
        <v>17</v>
      </c>
      <c r="R328" s="81" t="s">
        <v>558</v>
      </c>
      <c r="S328" s="80" t="s">
        <v>11</v>
      </c>
      <c r="T328" s="80" t="s">
        <v>11</v>
      </c>
      <c r="U328" s="82">
        <v>1</v>
      </c>
      <c r="V328" s="83"/>
      <c r="W328" s="83"/>
      <c r="X328" s="83">
        <v>580</v>
      </c>
      <c r="Y328" s="83">
        <v>650</v>
      </c>
      <c r="Z328" s="83">
        <v>720</v>
      </c>
      <c r="AA328" s="100">
        <v>6</v>
      </c>
      <c r="AB328" s="100">
        <v>12</v>
      </c>
      <c r="AC328" s="100">
        <v>18</v>
      </c>
      <c r="AD328" s="100">
        <v>30</v>
      </c>
      <c r="AE328" s="100">
        <v>45</v>
      </c>
      <c r="AF328" s="100">
        <v>60</v>
      </c>
      <c r="AG328" s="100">
        <v>97.725110000000001</v>
      </c>
      <c r="AH328" s="100">
        <v>98.310810000000004</v>
      </c>
      <c r="AI328" s="100">
        <v>98.418899999999994</v>
      </c>
      <c r="AJ328" s="100">
        <v>98.550129999999996</v>
      </c>
      <c r="AK328" s="100">
        <v>98.371089999999995</v>
      </c>
      <c r="AL328" s="100">
        <v>98.223780000000005</v>
      </c>
      <c r="AM328" s="100">
        <v>98.378209999999996</v>
      </c>
      <c r="AN328" s="100">
        <v>97.822659999999999</v>
      </c>
      <c r="AO328" s="100">
        <v>98.449550000000002</v>
      </c>
      <c r="AP328" s="100">
        <v>98.540400000000005</v>
      </c>
      <c r="AQ328" s="100">
        <v>98.626189999999994</v>
      </c>
      <c r="AR328" s="100">
        <v>98.49897</v>
      </c>
      <c r="AS328" s="100">
        <v>98.329369999999997</v>
      </c>
      <c r="AT328" s="100">
        <v>98.492649999999998</v>
      </c>
      <c r="AU328" s="100">
        <v>97.862219999999994</v>
      </c>
      <c r="AV328" s="100">
        <v>98.525220000000004</v>
      </c>
      <c r="AW328" s="100">
        <v>98.586510000000004</v>
      </c>
      <c r="AX328" s="100">
        <v>98.699969999999993</v>
      </c>
      <c r="AY328" s="100">
        <v>98.55256</v>
      </c>
      <c r="AZ328" s="100">
        <v>98.449910000000003</v>
      </c>
      <c r="BA328" s="100">
        <v>98.553479999999993</v>
      </c>
      <c r="BB328" s="40">
        <v>43132</v>
      </c>
      <c r="BC328" s="40">
        <v>43388</v>
      </c>
    </row>
    <row r="329" spans="1:55" s="120" customFormat="1" ht="45">
      <c r="A329" s="87" t="s">
        <v>257</v>
      </c>
      <c r="B329" s="76" t="s">
        <v>435</v>
      </c>
      <c r="C329" s="79" t="s">
        <v>10</v>
      </c>
      <c r="D329" s="79" t="s">
        <v>10</v>
      </c>
      <c r="E329" s="43" t="s">
        <v>10</v>
      </c>
      <c r="F329" s="63" t="s">
        <v>11</v>
      </c>
      <c r="G329" s="76" t="s">
        <v>565</v>
      </c>
      <c r="H329" s="90">
        <v>66.069999999999993</v>
      </c>
      <c r="I329" s="77">
        <v>480</v>
      </c>
      <c r="J329" s="78">
        <v>98.5</v>
      </c>
      <c r="K329" s="39" t="s">
        <v>1325</v>
      </c>
      <c r="L329" s="131" t="s">
        <v>561</v>
      </c>
      <c r="M329" s="79" t="s">
        <v>553</v>
      </c>
      <c r="N329" s="40">
        <v>43388</v>
      </c>
      <c r="O329" s="131" t="s">
        <v>561</v>
      </c>
      <c r="P329" s="63" t="s">
        <v>17</v>
      </c>
      <c r="Q329" s="63" t="s">
        <v>17</v>
      </c>
      <c r="R329" s="81" t="s">
        <v>566</v>
      </c>
      <c r="S329" s="80" t="s">
        <v>11</v>
      </c>
      <c r="T329" s="80" t="s">
        <v>11</v>
      </c>
      <c r="U329" s="82">
        <v>1</v>
      </c>
      <c r="V329" s="83"/>
      <c r="W329" s="83"/>
      <c r="X329" s="83">
        <v>580</v>
      </c>
      <c r="Y329" s="83">
        <v>650</v>
      </c>
      <c r="Z329" s="83">
        <v>720</v>
      </c>
      <c r="AA329" s="100">
        <v>6.6</v>
      </c>
      <c r="AB329" s="100">
        <v>13.2</v>
      </c>
      <c r="AC329" s="100">
        <v>19.8</v>
      </c>
      <c r="AD329" s="100">
        <v>33</v>
      </c>
      <c r="AE329" s="100">
        <v>49.5</v>
      </c>
      <c r="AF329" s="100">
        <v>66</v>
      </c>
      <c r="AG329" s="102">
        <v>97.57</v>
      </c>
      <c r="AH329" s="102">
        <v>98.38</v>
      </c>
      <c r="AI329" s="102">
        <v>98.48</v>
      </c>
      <c r="AJ329" s="102">
        <v>98.56</v>
      </c>
      <c r="AK329" s="102">
        <v>98.42</v>
      </c>
      <c r="AL329" s="102">
        <v>98.31</v>
      </c>
      <c r="AM329" s="102">
        <v>98.42</v>
      </c>
      <c r="AN329" s="102">
        <v>97.74</v>
      </c>
      <c r="AO329" s="102">
        <v>98.5</v>
      </c>
      <c r="AP329" s="102">
        <v>98.55</v>
      </c>
      <c r="AQ329" s="102">
        <v>98.7</v>
      </c>
      <c r="AR329" s="102">
        <v>98.5</v>
      </c>
      <c r="AS329" s="102">
        <v>98.39</v>
      </c>
      <c r="AT329" s="102">
        <v>98.51</v>
      </c>
      <c r="AU329" s="102">
        <v>97.77</v>
      </c>
      <c r="AV329" s="102">
        <v>98.67</v>
      </c>
      <c r="AW329" s="102">
        <v>98.65</v>
      </c>
      <c r="AX329" s="102">
        <v>98.77</v>
      </c>
      <c r="AY329" s="102">
        <v>98.56</v>
      </c>
      <c r="AZ329" s="102">
        <v>98.49</v>
      </c>
      <c r="BA329" s="103">
        <v>98.58</v>
      </c>
      <c r="BB329" s="40">
        <v>43132</v>
      </c>
      <c r="BC329" s="40">
        <v>43388</v>
      </c>
    </row>
    <row r="330" spans="1:55" s="120" customFormat="1" ht="45">
      <c r="A330" s="87" t="s">
        <v>257</v>
      </c>
      <c r="B330" s="76" t="s">
        <v>1090</v>
      </c>
      <c r="C330" s="79" t="s">
        <v>10</v>
      </c>
      <c r="D330" s="79" t="s">
        <v>10</v>
      </c>
      <c r="E330" s="43" t="s">
        <v>10</v>
      </c>
      <c r="F330" s="63" t="s">
        <v>11</v>
      </c>
      <c r="G330" s="76" t="s">
        <v>559</v>
      </c>
      <c r="H330" s="90">
        <v>66.069999999999993</v>
      </c>
      <c r="I330" s="77">
        <v>480</v>
      </c>
      <c r="J330" s="78">
        <v>98.5</v>
      </c>
      <c r="K330" s="39" t="s">
        <v>1325</v>
      </c>
      <c r="L330" s="131" t="s">
        <v>552</v>
      </c>
      <c r="M330" s="79" t="s">
        <v>553</v>
      </c>
      <c r="N330" s="40">
        <v>43388</v>
      </c>
      <c r="O330" s="131" t="s">
        <v>552</v>
      </c>
      <c r="P330" s="63" t="s">
        <v>17</v>
      </c>
      <c r="Q330" s="63" t="s">
        <v>17</v>
      </c>
      <c r="R330" s="81" t="s">
        <v>560</v>
      </c>
      <c r="S330" s="80" t="s">
        <v>11</v>
      </c>
      <c r="T330" s="80" t="s">
        <v>11</v>
      </c>
      <c r="U330" s="82">
        <v>1</v>
      </c>
      <c r="V330" s="83"/>
      <c r="W330" s="83"/>
      <c r="X330" s="83">
        <v>580</v>
      </c>
      <c r="Y330" s="83">
        <v>650</v>
      </c>
      <c r="Z330" s="83">
        <v>720</v>
      </c>
      <c r="AA330" s="100">
        <v>6.6</v>
      </c>
      <c r="AB330" s="100">
        <v>13.2</v>
      </c>
      <c r="AC330" s="100">
        <v>19.8</v>
      </c>
      <c r="AD330" s="100">
        <v>33</v>
      </c>
      <c r="AE330" s="100">
        <v>49.5</v>
      </c>
      <c r="AF330" s="100">
        <v>66</v>
      </c>
      <c r="AG330" s="100">
        <v>97.571680000000001</v>
      </c>
      <c r="AH330" s="100">
        <v>98.376260000000002</v>
      </c>
      <c r="AI330" s="100">
        <v>98.476309999999998</v>
      </c>
      <c r="AJ330" s="100">
        <v>98.563289999999995</v>
      </c>
      <c r="AK330" s="100">
        <v>98.421390000000002</v>
      </c>
      <c r="AL330" s="100">
        <v>98.311779999999999</v>
      </c>
      <c r="AM330" s="100">
        <v>98.416049999999998</v>
      </c>
      <c r="AN330" s="100">
        <v>97.744069999999994</v>
      </c>
      <c r="AO330" s="100">
        <v>98.500609999999995</v>
      </c>
      <c r="AP330" s="100">
        <v>98.553719999999998</v>
      </c>
      <c r="AQ330" s="100">
        <v>98.7042</v>
      </c>
      <c r="AR330" s="100">
        <v>98.498869999999997</v>
      </c>
      <c r="AS330" s="100">
        <v>98.390150000000006</v>
      </c>
      <c r="AT330" s="100">
        <v>98.513030000000001</v>
      </c>
      <c r="AU330" s="100">
        <v>97.772109999999998</v>
      </c>
      <c r="AV330" s="100">
        <v>98.671279999999996</v>
      </c>
      <c r="AW330" s="100">
        <v>98.653779999999998</v>
      </c>
      <c r="AX330" s="100">
        <v>98.773750000000007</v>
      </c>
      <c r="AY330" s="100">
        <v>98.556129999999996</v>
      </c>
      <c r="AZ330" s="100">
        <v>98.491799999999998</v>
      </c>
      <c r="BA330" s="100">
        <v>98.584729999999993</v>
      </c>
      <c r="BB330" s="40">
        <v>43132</v>
      </c>
      <c r="BC330" s="40">
        <v>43388</v>
      </c>
    </row>
    <row r="331" spans="1:55" s="120" customFormat="1" ht="45">
      <c r="A331" s="76" t="s">
        <v>1289</v>
      </c>
      <c r="B331" s="76" t="s">
        <v>1290</v>
      </c>
      <c r="C331" s="79" t="s">
        <v>10</v>
      </c>
      <c r="D331" s="79" t="s">
        <v>10</v>
      </c>
      <c r="E331" s="63" t="s">
        <v>10</v>
      </c>
      <c r="F331" s="63" t="s">
        <v>11</v>
      </c>
      <c r="G331" s="76" t="s">
        <v>1291</v>
      </c>
      <c r="H331" s="144">
        <v>9.9749999999999996</v>
      </c>
      <c r="I331" s="77">
        <v>480</v>
      </c>
      <c r="J331" s="78">
        <v>97.5</v>
      </c>
      <c r="K331" s="39" t="s">
        <v>1327</v>
      </c>
      <c r="L331" s="145" t="s">
        <v>1292</v>
      </c>
      <c r="M331" s="79" t="s">
        <v>1238</v>
      </c>
      <c r="N331" s="145">
        <v>43419</v>
      </c>
      <c r="O331" s="145" t="s">
        <v>1292</v>
      </c>
      <c r="P331" s="63" t="s">
        <v>17</v>
      </c>
      <c r="Q331" s="63" t="s">
        <v>17</v>
      </c>
      <c r="R331" s="81" t="s">
        <v>1293</v>
      </c>
      <c r="S331" s="80" t="s">
        <v>11</v>
      </c>
      <c r="T331" s="80" t="s">
        <v>11</v>
      </c>
      <c r="U331" s="82">
        <v>8.3000000000000007</v>
      </c>
      <c r="V331" s="83"/>
      <c r="W331" s="83"/>
      <c r="X331" s="83">
        <v>450</v>
      </c>
      <c r="Y331" s="83">
        <v>750</v>
      </c>
      <c r="Z331" s="83">
        <v>850</v>
      </c>
      <c r="AA331" s="82">
        <v>0.99750000000000005</v>
      </c>
      <c r="AB331" s="82">
        <v>1.9950000000000001</v>
      </c>
      <c r="AC331" s="82">
        <v>2.9924999999999997</v>
      </c>
      <c r="AD331" s="82">
        <v>4.9874999999999998</v>
      </c>
      <c r="AE331" s="82">
        <v>7.4812499999999993</v>
      </c>
      <c r="AF331" s="82">
        <v>9.9749999999999996</v>
      </c>
      <c r="AG331" s="146">
        <v>94.115714285714276</v>
      </c>
      <c r="AH331" s="146">
        <v>96.777142857142849</v>
      </c>
      <c r="AI331" s="146">
        <v>97.342857142857142</v>
      </c>
      <c r="AJ331" s="146">
        <v>97.727142857142866</v>
      </c>
      <c r="AK331" s="146">
        <v>97.695714285714303</v>
      </c>
      <c r="AL331" s="146">
        <v>97.517142857142858</v>
      </c>
      <c r="AM331" s="146">
        <v>97.4619142857143</v>
      </c>
      <c r="AN331" s="146">
        <v>94.11</v>
      </c>
      <c r="AO331" s="146">
        <v>96.84571428571428</v>
      </c>
      <c r="AP331" s="146">
        <v>97.644285714285701</v>
      </c>
      <c r="AQ331" s="146">
        <v>98.161428571428573</v>
      </c>
      <c r="AR331" s="146">
        <v>98.220000000000013</v>
      </c>
      <c r="AS331" s="146">
        <v>98.139999999999986</v>
      </c>
      <c r="AT331" s="146">
        <v>97.901500000000013</v>
      </c>
      <c r="AU331" s="146">
        <v>93.187142857142859</v>
      </c>
      <c r="AV331" s="146">
        <v>96.460000000000008</v>
      </c>
      <c r="AW331" s="146">
        <v>97.455714285714294</v>
      </c>
      <c r="AX331" s="146">
        <v>98.102857142857147</v>
      </c>
      <c r="AY331" s="146">
        <v>98.238571428571433</v>
      </c>
      <c r="AZ331" s="146">
        <v>98.200000000000017</v>
      </c>
      <c r="BA331" s="146">
        <v>97.823214285714286</v>
      </c>
      <c r="BB331" s="84">
        <v>43419</v>
      </c>
      <c r="BC331" s="84"/>
    </row>
    <row r="332" spans="1:55" s="120" customFormat="1" ht="45">
      <c r="A332" s="74" t="s">
        <v>325</v>
      </c>
      <c r="B332" s="74" t="s">
        <v>1091</v>
      </c>
      <c r="C332" s="63" t="s">
        <v>10</v>
      </c>
      <c r="D332" s="63" t="s">
        <v>10</v>
      </c>
      <c r="E332" s="43" t="s">
        <v>10</v>
      </c>
      <c r="F332" s="63" t="s">
        <v>11</v>
      </c>
      <c r="G332" s="74" t="s">
        <v>327</v>
      </c>
      <c r="H332" s="61">
        <v>2.56</v>
      </c>
      <c r="I332" s="62">
        <v>120</v>
      </c>
      <c r="J332" s="61">
        <v>91</v>
      </c>
      <c r="K332" s="39" t="s">
        <v>1325</v>
      </c>
      <c r="L332" s="129" t="s">
        <v>509</v>
      </c>
      <c r="M332" s="57" t="s">
        <v>510</v>
      </c>
      <c r="N332" s="40">
        <v>43388</v>
      </c>
      <c r="O332" s="129" t="s">
        <v>509</v>
      </c>
      <c r="P332" s="63" t="s">
        <v>17</v>
      </c>
      <c r="Q332" s="63" t="s">
        <v>17</v>
      </c>
      <c r="R332" s="71"/>
      <c r="S332" s="57" t="s">
        <v>10</v>
      </c>
      <c r="T332" s="57" t="s">
        <v>11</v>
      </c>
      <c r="U332" s="61">
        <v>0</v>
      </c>
      <c r="V332" s="59"/>
      <c r="W332" s="59"/>
      <c r="X332" s="35">
        <v>40</v>
      </c>
      <c r="Y332" s="35">
        <v>52</v>
      </c>
      <c r="Z332" s="35">
        <v>60</v>
      </c>
      <c r="AA332" s="103">
        <v>0.26</v>
      </c>
      <c r="AB332" s="103">
        <v>0.51</v>
      </c>
      <c r="AC332" s="103">
        <v>0.77</v>
      </c>
      <c r="AD332" s="103">
        <v>1.28</v>
      </c>
      <c r="AE332" s="103">
        <v>1.92</v>
      </c>
      <c r="AF332" s="103">
        <v>2.56</v>
      </c>
      <c r="AG332" s="103">
        <v>83.7</v>
      </c>
      <c r="AH332" s="103">
        <v>90.2</v>
      </c>
      <c r="AI332" s="103">
        <v>92.2</v>
      </c>
      <c r="AJ332" s="103">
        <v>93.3</v>
      </c>
      <c r="AK332" s="103">
        <v>92.6</v>
      </c>
      <c r="AL332" s="103">
        <v>91.6</v>
      </c>
      <c r="AM332" s="103">
        <v>92.2</v>
      </c>
      <c r="AN332" s="103">
        <v>79.8</v>
      </c>
      <c r="AO332" s="103">
        <v>87.1</v>
      </c>
      <c r="AP332" s="103">
        <v>90</v>
      </c>
      <c r="AQ332" s="103">
        <v>92</v>
      </c>
      <c r="AR332" s="103">
        <v>92</v>
      </c>
      <c r="AS332" s="103">
        <v>91.2</v>
      </c>
      <c r="AT332" s="103">
        <v>91</v>
      </c>
      <c r="AU332" s="103">
        <v>77.3</v>
      </c>
      <c r="AV332" s="103">
        <v>85.1</v>
      </c>
      <c r="AW332" s="103">
        <v>88.1</v>
      </c>
      <c r="AX332" s="103">
        <v>90.6</v>
      </c>
      <c r="AY332" s="103">
        <v>91</v>
      </c>
      <c r="AZ332" s="103">
        <v>90.7</v>
      </c>
      <c r="BA332" s="103">
        <v>89.7</v>
      </c>
      <c r="BB332" s="40">
        <v>43084</v>
      </c>
      <c r="BC332" s="40">
        <v>43388</v>
      </c>
    </row>
    <row r="333" spans="1:55" s="120" customFormat="1" ht="45">
      <c r="A333" s="74" t="s">
        <v>325</v>
      </c>
      <c r="B333" s="74" t="s">
        <v>1092</v>
      </c>
      <c r="C333" s="63" t="s">
        <v>10</v>
      </c>
      <c r="D333" s="63" t="s">
        <v>10</v>
      </c>
      <c r="E333" s="43" t="s">
        <v>10</v>
      </c>
      <c r="F333" s="63" t="s">
        <v>11</v>
      </c>
      <c r="G333" s="74" t="s">
        <v>328</v>
      </c>
      <c r="H333" s="61">
        <v>2.96</v>
      </c>
      <c r="I333" s="62">
        <v>120</v>
      </c>
      <c r="J333" s="61">
        <v>90.5</v>
      </c>
      <c r="K333" s="39" t="s">
        <v>1325</v>
      </c>
      <c r="L333" s="129" t="s">
        <v>509</v>
      </c>
      <c r="M333" s="57" t="s">
        <v>510</v>
      </c>
      <c r="N333" s="40">
        <v>43388</v>
      </c>
      <c r="O333" s="129" t="s">
        <v>509</v>
      </c>
      <c r="P333" s="63" t="s">
        <v>17</v>
      </c>
      <c r="Q333" s="63" t="s">
        <v>17</v>
      </c>
      <c r="R333" s="71"/>
      <c r="S333" s="57" t="s">
        <v>10</v>
      </c>
      <c r="T333" s="57" t="s">
        <v>11</v>
      </c>
      <c r="U333" s="61">
        <v>0</v>
      </c>
      <c r="V333" s="59"/>
      <c r="W333" s="59"/>
      <c r="X333" s="35">
        <v>22</v>
      </c>
      <c r="Y333" s="35">
        <v>24</v>
      </c>
      <c r="Z333" s="35">
        <v>28</v>
      </c>
      <c r="AA333" s="103">
        <v>0.3</v>
      </c>
      <c r="AB333" s="103">
        <v>0.59</v>
      </c>
      <c r="AC333" s="103">
        <v>0.89</v>
      </c>
      <c r="AD333" s="103">
        <v>1.48</v>
      </c>
      <c r="AE333" s="103">
        <v>2.2200000000000002</v>
      </c>
      <c r="AF333" s="103">
        <v>2.96</v>
      </c>
      <c r="AG333" s="103">
        <v>88.3</v>
      </c>
      <c r="AH333" s="103">
        <v>91.9</v>
      </c>
      <c r="AI333" s="103">
        <v>92.9</v>
      </c>
      <c r="AJ333" s="103">
        <v>93</v>
      </c>
      <c r="AK333" s="103">
        <v>91.3</v>
      </c>
      <c r="AL333" s="103">
        <v>88.7</v>
      </c>
      <c r="AM333" s="103">
        <v>91.6</v>
      </c>
      <c r="AN333" s="103">
        <v>87.2</v>
      </c>
      <c r="AO333" s="103">
        <v>90.8</v>
      </c>
      <c r="AP333" s="103">
        <v>92.1</v>
      </c>
      <c r="AQ333" s="103">
        <v>92.1</v>
      </c>
      <c r="AR333" s="103">
        <v>91</v>
      </c>
      <c r="AS333" s="103">
        <v>88.6</v>
      </c>
      <c r="AT333" s="103">
        <v>91.1</v>
      </c>
      <c r="AU333" s="103">
        <v>83.7</v>
      </c>
      <c r="AV333" s="103">
        <v>87.1</v>
      </c>
      <c r="AW333" s="103">
        <v>89.1</v>
      </c>
      <c r="AX333" s="103">
        <v>90.6</v>
      </c>
      <c r="AY333" s="103">
        <v>90</v>
      </c>
      <c r="AZ333" s="103">
        <v>87.8</v>
      </c>
      <c r="BA333" s="103">
        <v>89.5</v>
      </c>
      <c r="BB333" s="40">
        <v>43084</v>
      </c>
      <c r="BC333" s="40">
        <v>43388</v>
      </c>
    </row>
    <row r="334" spans="1:55" s="120" customFormat="1" ht="45">
      <c r="A334" s="74" t="s">
        <v>325</v>
      </c>
      <c r="B334" s="74" t="s">
        <v>1093</v>
      </c>
      <c r="C334" s="63" t="s">
        <v>10</v>
      </c>
      <c r="D334" s="63" t="s">
        <v>10</v>
      </c>
      <c r="E334" s="43" t="s">
        <v>10</v>
      </c>
      <c r="F334" s="63" t="s">
        <v>11</v>
      </c>
      <c r="G334" s="74" t="s">
        <v>326</v>
      </c>
      <c r="H334" s="61">
        <v>3.0369999999999999</v>
      </c>
      <c r="I334" s="62">
        <v>120</v>
      </c>
      <c r="J334" s="61">
        <v>91</v>
      </c>
      <c r="K334" s="39" t="s">
        <v>1325</v>
      </c>
      <c r="L334" s="129" t="s">
        <v>509</v>
      </c>
      <c r="M334" s="57" t="s">
        <v>510</v>
      </c>
      <c r="N334" s="40">
        <v>43388</v>
      </c>
      <c r="O334" s="129" t="s">
        <v>509</v>
      </c>
      <c r="P334" s="63" t="s">
        <v>17</v>
      </c>
      <c r="Q334" s="63" t="s">
        <v>17</v>
      </c>
      <c r="R334" s="71"/>
      <c r="S334" s="57" t="s">
        <v>10</v>
      </c>
      <c r="T334" s="57" t="s">
        <v>11</v>
      </c>
      <c r="U334" s="61">
        <v>0</v>
      </c>
      <c r="V334" s="59"/>
      <c r="W334" s="59"/>
      <c r="X334" s="59">
        <v>40</v>
      </c>
      <c r="Y334" s="59">
        <v>51.2</v>
      </c>
      <c r="Z334" s="59">
        <v>60</v>
      </c>
      <c r="AA334" s="99">
        <v>0.3</v>
      </c>
      <c r="AB334" s="99">
        <v>0.61</v>
      </c>
      <c r="AC334" s="99">
        <v>0.91</v>
      </c>
      <c r="AD334" s="99">
        <v>1.52</v>
      </c>
      <c r="AE334" s="99">
        <v>2.2799999999999998</v>
      </c>
      <c r="AF334" s="99">
        <v>3.04</v>
      </c>
      <c r="AG334" s="99">
        <v>88</v>
      </c>
      <c r="AH334" s="99">
        <v>92.2</v>
      </c>
      <c r="AI334" s="99">
        <v>93.5</v>
      </c>
      <c r="AJ334" s="99">
        <v>94</v>
      </c>
      <c r="AK334" s="99">
        <v>93</v>
      </c>
      <c r="AL334" s="99">
        <v>91.2</v>
      </c>
      <c r="AM334" s="99">
        <v>92.9</v>
      </c>
      <c r="AN334" s="99">
        <v>82.2</v>
      </c>
      <c r="AO334" s="99">
        <v>88.5</v>
      </c>
      <c r="AP334" s="99">
        <v>90.7</v>
      </c>
      <c r="AQ334" s="99">
        <v>91.8</v>
      </c>
      <c r="AR334" s="99">
        <v>91.6</v>
      </c>
      <c r="AS334" s="99">
        <v>89.7</v>
      </c>
      <c r="AT334" s="99">
        <v>90.9</v>
      </c>
      <c r="AU334" s="99">
        <v>80.3</v>
      </c>
      <c r="AV334" s="99">
        <v>86.1</v>
      </c>
      <c r="AW334" s="99">
        <v>87.9</v>
      </c>
      <c r="AX334" s="99">
        <v>90.3</v>
      </c>
      <c r="AY334" s="99">
        <v>90.4</v>
      </c>
      <c r="AZ334" s="99">
        <v>88.3</v>
      </c>
      <c r="BA334" s="99">
        <v>89.4</v>
      </c>
      <c r="BB334" s="40">
        <v>43084</v>
      </c>
      <c r="BC334" s="40">
        <v>43388</v>
      </c>
    </row>
    <row r="335" spans="1:55" s="120" customFormat="1" ht="60">
      <c r="A335" s="74" t="s">
        <v>325</v>
      </c>
      <c r="B335" s="74" t="s">
        <v>1094</v>
      </c>
      <c r="C335" s="63" t="s">
        <v>10</v>
      </c>
      <c r="D335" s="63" t="s">
        <v>10</v>
      </c>
      <c r="E335" s="43" t="s">
        <v>10</v>
      </c>
      <c r="F335" s="63" t="s">
        <v>11</v>
      </c>
      <c r="G335" s="74" t="s">
        <v>330</v>
      </c>
      <c r="H335" s="61">
        <v>3.6</v>
      </c>
      <c r="I335" s="62">
        <v>240</v>
      </c>
      <c r="J335" s="61">
        <v>92.5</v>
      </c>
      <c r="K335" s="39" t="s">
        <v>1325</v>
      </c>
      <c r="L335" s="129" t="s">
        <v>509</v>
      </c>
      <c r="M335" s="57" t="s">
        <v>510</v>
      </c>
      <c r="N335" s="40">
        <v>43388</v>
      </c>
      <c r="O335" s="129" t="s">
        <v>509</v>
      </c>
      <c r="P335" s="63" t="s">
        <v>17</v>
      </c>
      <c r="Q335" s="63" t="s">
        <v>17</v>
      </c>
      <c r="R335" s="71"/>
      <c r="S335" s="57" t="s">
        <v>10</v>
      </c>
      <c r="T335" s="57" t="s">
        <v>11</v>
      </c>
      <c r="U335" s="61">
        <v>0.1</v>
      </c>
      <c r="V335" s="68"/>
      <c r="W335" s="68"/>
      <c r="X335" s="59">
        <v>44</v>
      </c>
      <c r="Y335" s="59">
        <v>48</v>
      </c>
      <c r="Z335" s="59">
        <v>56</v>
      </c>
      <c r="AA335" s="99">
        <v>0.72</v>
      </c>
      <c r="AB335" s="99">
        <v>1.44</v>
      </c>
      <c r="AC335" s="99">
        <v>2.16</v>
      </c>
      <c r="AD335" s="99">
        <v>3.6</v>
      </c>
      <c r="AE335" s="99">
        <v>5.4</v>
      </c>
      <c r="AF335" s="99">
        <v>7.2</v>
      </c>
      <c r="AG335" s="99">
        <v>92.6</v>
      </c>
      <c r="AH335" s="99">
        <v>94.4</v>
      </c>
      <c r="AI335" s="99">
        <v>93.7</v>
      </c>
      <c r="AJ335" s="99">
        <v>94.4</v>
      </c>
      <c r="AK335" s="99">
        <v>93</v>
      </c>
      <c r="AL335" s="99">
        <v>90.4</v>
      </c>
      <c r="AM335" s="99">
        <v>93.3</v>
      </c>
      <c r="AN335" s="99">
        <v>91.5</v>
      </c>
      <c r="AO335" s="99">
        <v>93.4</v>
      </c>
      <c r="AP335" s="99">
        <v>93</v>
      </c>
      <c r="AQ335" s="99">
        <v>93.3</v>
      </c>
      <c r="AR335" s="99">
        <v>92.7</v>
      </c>
      <c r="AS335" s="99">
        <v>90.8</v>
      </c>
      <c r="AT335" s="99">
        <v>92.7</v>
      </c>
      <c r="AU335" s="99">
        <v>89</v>
      </c>
      <c r="AV335" s="99">
        <v>91.6</v>
      </c>
      <c r="AW335" s="99">
        <v>92.2</v>
      </c>
      <c r="AX335" s="99">
        <v>92.1</v>
      </c>
      <c r="AY335" s="99">
        <v>91.5</v>
      </c>
      <c r="AZ335" s="99">
        <v>89.9</v>
      </c>
      <c r="BA335" s="99">
        <v>91.5</v>
      </c>
      <c r="BB335" s="40">
        <v>43084</v>
      </c>
      <c r="BC335" s="40">
        <v>43388</v>
      </c>
    </row>
    <row r="336" spans="1:55" s="120" customFormat="1" ht="45">
      <c r="A336" s="41" t="s">
        <v>325</v>
      </c>
      <c r="B336" s="41" t="s">
        <v>1095</v>
      </c>
      <c r="C336" s="43" t="s">
        <v>10</v>
      </c>
      <c r="D336" s="43" t="s">
        <v>11</v>
      </c>
      <c r="E336" s="43" t="s">
        <v>10</v>
      </c>
      <c r="F336" s="63" t="s">
        <v>11</v>
      </c>
      <c r="G336" s="41" t="s">
        <v>841</v>
      </c>
      <c r="H336" s="27">
        <v>4.9850000000000003</v>
      </c>
      <c r="I336" s="109">
        <v>240</v>
      </c>
      <c r="J336" s="27">
        <v>94</v>
      </c>
      <c r="K336" s="39" t="s">
        <v>1327</v>
      </c>
      <c r="L336" s="130" t="s">
        <v>842</v>
      </c>
      <c r="M336" s="110" t="s">
        <v>843</v>
      </c>
      <c r="N336" s="63" t="s">
        <v>17</v>
      </c>
      <c r="O336" s="130" t="s">
        <v>842</v>
      </c>
      <c r="P336" s="63" t="s">
        <v>17</v>
      </c>
      <c r="Q336" s="63" t="s">
        <v>17</v>
      </c>
      <c r="R336" s="112"/>
      <c r="S336" s="111" t="s">
        <v>10</v>
      </c>
      <c r="T336" s="111" t="s">
        <v>11</v>
      </c>
      <c r="U336" s="113">
        <v>24.85</v>
      </c>
      <c r="V336" s="113"/>
      <c r="W336" s="113"/>
      <c r="X336" s="113">
        <v>250</v>
      </c>
      <c r="Y336" s="113">
        <v>420</v>
      </c>
      <c r="Z336" s="113">
        <v>550</v>
      </c>
      <c r="AA336" s="114">
        <v>0.5</v>
      </c>
      <c r="AB336" s="114">
        <v>1</v>
      </c>
      <c r="AC336" s="114">
        <v>1.5</v>
      </c>
      <c r="AD336" s="114">
        <v>2.5</v>
      </c>
      <c r="AE336" s="114">
        <v>3.75</v>
      </c>
      <c r="AF336" s="114">
        <v>5</v>
      </c>
      <c r="AG336" s="114">
        <v>85.911187999999996</v>
      </c>
      <c r="AH336" s="114">
        <v>91.878574</v>
      </c>
      <c r="AI336" s="114">
        <v>93.403974000000005</v>
      </c>
      <c r="AJ336" s="114">
        <v>94.205962</v>
      </c>
      <c r="AK336" s="114">
        <v>94.083302000000003</v>
      </c>
      <c r="AL336" s="114">
        <v>93.775123999999991</v>
      </c>
      <c r="AM336" s="114">
        <v>93.575011380000007</v>
      </c>
      <c r="AN336" s="114">
        <v>87.041831999999999</v>
      </c>
      <c r="AO336" s="114">
        <v>92.430833999999976</v>
      </c>
      <c r="AP336" s="114">
        <v>94.191839999999999</v>
      </c>
      <c r="AQ336" s="114">
        <v>94.897618000000008</v>
      </c>
      <c r="AR336" s="114">
        <v>95.095255999999992</v>
      </c>
      <c r="AS336" s="114">
        <v>94.894152000000005</v>
      </c>
      <c r="AT336" s="114">
        <v>94.479928839999985</v>
      </c>
      <c r="AU336" s="114">
        <v>85.362352000000001</v>
      </c>
      <c r="AV336" s="114">
        <v>91.925973999999997</v>
      </c>
      <c r="AW336" s="114">
        <v>93.509060000000005</v>
      </c>
      <c r="AX336" s="114">
        <v>94.477918000000003</v>
      </c>
      <c r="AY336" s="114">
        <v>94.741786000000005</v>
      </c>
      <c r="AZ336" s="114">
        <v>94.617313999999993</v>
      </c>
      <c r="BA336" s="114">
        <v>94.016255040000004</v>
      </c>
      <c r="BB336" s="40">
        <v>43360</v>
      </c>
      <c r="BC336" s="111"/>
    </row>
    <row r="337" spans="1:55" s="120" customFormat="1" ht="60">
      <c r="A337" s="74" t="s">
        <v>325</v>
      </c>
      <c r="B337" s="74" t="s">
        <v>1096</v>
      </c>
      <c r="C337" s="63" t="s">
        <v>10</v>
      </c>
      <c r="D337" s="63" t="s">
        <v>10</v>
      </c>
      <c r="E337" s="43" t="s">
        <v>10</v>
      </c>
      <c r="F337" s="63" t="s">
        <v>11</v>
      </c>
      <c r="G337" s="74" t="s">
        <v>329</v>
      </c>
      <c r="H337" s="61">
        <v>7.2</v>
      </c>
      <c r="I337" s="62">
        <v>240</v>
      </c>
      <c r="J337" s="61">
        <v>92.5</v>
      </c>
      <c r="K337" s="39" t="s">
        <v>1325</v>
      </c>
      <c r="L337" s="129" t="s">
        <v>509</v>
      </c>
      <c r="M337" s="57" t="s">
        <v>510</v>
      </c>
      <c r="N337" s="40">
        <v>43388</v>
      </c>
      <c r="O337" s="129" t="s">
        <v>509</v>
      </c>
      <c r="P337" s="63" t="s">
        <v>17</v>
      </c>
      <c r="Q337" s="63" t="s">
        <v>17</v>
      </c>
      <c r="R337" s="71"/>
      <c r="S337" s="57" t="s">
        <v>10</v>
      </c>
      <c r="T337" s="57" t="s">
        <v>11</v>
      </c>
      <c r="U337" s="61">
        <v>0.1</v>
      </c>
      <c r="V337" s="68"/>
      <c r="W337" s="68"/>
      <c r="X337" s="59">
        <v>44</v>
      </c>
      <c r="Y337" s="59">
        <v>48</v>
      </c>
      <c r="Z337" s="59">
        <v>56</v>
      </c>
      <c r="AA337" s="99">
        <v>0.36</v>
      </c>
      <c r="AB337" s="99">
        <v>0.72</v>
      </c>
      <c r="AC337" s="99">
        <v>1.08</v>
      </c>
      <c r="AD337" s="99">
        <v>1.8</v>
      </c>
      <c r="AE337" s="99">
        <v>2.7</v>
      </c>
      <c r="AF337" s="99">
        <v>3.6</v>
      </c>
      <c r="AG337" s="99">
        <v>88.3</v>
      </c>
      <c r="AH337" s="99">
        <v>92.6</v>
      </c>
      <c r="AI337" s="99">
        <v>94.1</v>
      </c>
      <c r="AJ337" s="99">
        <v>94.4</v>
      </c>
      <c r="AK337" s="99">
        <v>93.2</v>
      </c>
      <c r="AL337" s="99">
        <v>91.2</v>
      </c>
      <c r="AM337" s="99">
        <v>93.3</v>
      </c>
      <c r="AN337" s="99">
        <v>87.1</v>
      </c>
      <c r="AO337" s="99">
        <v>91.5</v>
      </c>
      <c r="AP337" s="99">
        <v>92.9</v>
      </c>
      <c r="AQ337" s="99">
        <v>93.3</v>
      </c>
      <c r="AR337" s="99">
        <v>93</v>
      </c>
      <c r="AS337" s="99">
        <v>90.8</v>
      </c>
      <c r="AT337" s="99">
        <v>92.6</v>
      </c>
      <c r="AU337" s="99">
        <v>84</v>
      </c>
      <c r="AV337" s="99">
        <v>89</v>
      </c>
      <c r="AW337" s="99">
        <v>90.9</v>
      </c>
      <c r="AX337" s="99">
        <v>92.1</v>
      </c>
      <c r="AY337" s="99">
        <v>91.9</v>
      </c>
      <c r="AZ337" s="99">
        <v>90.2</v>
      </c>
      <c r="BA337" s="99">
        <v>91.3</v>
      </c>
      <c r="BB337" s="40">
        <v>43084</v>
      </c>
      <c r="BC337" s="40">
        <v>43388</v>
      </c>
    </row>
    <row r="338" spans="1:55" s="120" customFormat="1" ht="45">
      <c r="A338" s="87" t="s">
        <v>4</v>
      </c>
      <c r="B338" s="74" t="s">
        <v>1097</v>
      </c>
      <c r="C338" s="63" t="s">
        <v>10</v>
      </c>
      <c r="D338" s="63" t="s">
        <v>10</v>
      </c>
      <c r="E338" s="43" t="s">
        <v>10</v>
      </c>
      <c r="F338" s="63" t="s">
        <v>11</v>
      </c>
      <c r="G338" s="37" t="s">
        <v>245</v>
      </c>
      <c r="H338" s="35">
        <v>7.585</v>
      </c>
      <c r="I338" s="35">
        <v>240</v>
      </c>
      <c r="J338" s="35">
        <v>96.5</v>
      </c>
      <c r="K338" s="39" t="s">
        <v>1325</v>
      </c>
      <c r="L338" s="128" t="s">
        <v>511</v>
      </c>
      <c r="M338" s="39" t="s">
        <v>512</v>
      </c>
      <c r="N338" s="40">
        <v>43388</v>
      </c>
      <c r="O338" s="128" t="s">
        <v>511</v>
      </c>
      <c r="P338" s="63" t="s">
        <v>17</v>
      </c>
      <c r="Q338" s="63" t="s">
        <v>17</v>
      </c>
      <c r="R338" s="54"/>
      <c r="S338" s="34" t="s">
        <v>11</v>
      </c>
      <c r="T338" s="34" t="s">
        <v>11</v>
      </c>
      <c r="U338" s="35">
        <v>1.29</v>
      </c>
      <c r="V338" s="35"/>
      <c r="W338" s="35"/>
      <c r="X338" s="35">
        <v>390</v>
      </c>
      <c r="Y338" s="35">
        <v>400</v>
      </c>
      <c r="Z338" s="35">
        <v>420</v>
      </c>
      <c r="AA338" s="103">
        <v>0.76</v>
      </c>
      <c r="AB338" s="103">
        <v>1.52</v>
      </c>
      <c r="AC338" s="103">
        <v>2.2799999999999998</v>
      </c>
      <c r="AD338" s="103">
        <v>3.79</v>
      </c>
      <c r="AE338" s="103">
        <v>5.69</v>
      </c>
      <c r="AF338" s="103">
        <v>7.59</v>
      </c>
      <c r="AG338" s="103">
        <v>91.7</v>
      </c>
      <c r="AH338" s="103">
        <v>95.9</v>
      </c>
      <c r="AI338" s="103">
        <v>96.6</v>
      </c>
      <c r="AJ338" s="103">
        <v>97.3</v>
      </c>
      <c r="AK338" s="103">
        <v>97.2</v>
      </c>
      <c r="AL338" s="103">
        <v>97</v>
      </c>
      <c r="AM338" s="103">
        <v>96.9</v>
      </c>
      <c r="AN338" s="103">
        <v>91</v>
      </c>
      <c r="AO338" s="103">
        <v>95.4</v>
      </c>
      <c r="AP338" s="103">
        <v>96.5</v>
      </c>
      <c r="AQ338" s="103">
        <v>97.3</v>
      </c>
      <c r="AR338" s="103">
        <v>97.1</v>
      </c>
      <c r="AS338" s="103">
        <v>97</v>
      </c>
      <c r="AT338" s="103">
        <v>96.8</v>
      </c>
      <c r="AU338" s="103">
        <v>90.5</v>
      </c>
      <c r="AV338" s="103">
        <v>95.2</v>
      </c>
      <c r="AW338" s="103">
        <v>96.3</v>
      </c>
      <c r="AX338" s="103">
        <v>96.9</v>
      </c>
      <c r="AY338" s="103">
        <v>97</v>
      </c>
      <c r="AZ338" s="103">
        <v>96.9</v>
      </c>
      <c r="BA338" s="103">
        <v>96.5</v>
      </c>
      <c r="BB338" s="40">
        <v>43192</v>
      </c>
      <c r="BC338" s="40">
        <v>43388</v>
      </c>
    </row>
    <row r="339" spans="1:55" s="120" customFormat="1" ht="45">
      <c r="A339" s="74" t="s">
        <v>4</v>
      </c>
      <c r="B339" s="74" t="s">
        <v>1098</v>
      </c>
      <c r="C339" s="63" t="s">
        <v>10</v>
      </c>
      <c r="D339" s="63" t="s">
        <v>10</v>
      </c>
      <c r="E339" s="43" t="s">
        <v>10</v>
      </c>
      <c r="F339" s="63" t="s">
        <v>11</v>
      </c>
      <c r="G339" s="74" t="s">
        <v>245</v>
      </c>
      <c r="H339" s="61">
        <v>7.5869999999999997</v>
      </c>
      <c r="I339" s="62">
        <v>240</v>
      </c>
      <c r="J339" s="61">
        <v>96.5</v>
      </c>
      <c r="K339" s="39" t="s">
        <v>1325</v>
      </c>
      <c r="L339" s="129" t="s">
        <v>511</v>
      </c>
      <c r="M339" s="57" t="s">
        <v>512</v>
      </c>
      <c r="N339" s="40">
        <v>43388</v>
      </c>
      <c r="O339" s="128" t="s">
        <v>511</v>
      </c>
      <c r="P339" s="63" t="s">
        <v>17</v>
      </c>
      <c r="Q339" s="63" t="s">
        <v>17</v>
      </c>
      <c r="R339" s="71"/>
      <c r="S339" s="57" t="s">
        <v>10</v>
      </c>
      <c r="T339" s="57" t="s">
        <v>11</v>
      </c>
      <c r="U339" s="61">
        <v>1.29</v>
      </c>
      <c r="V339" s="59"/>
      <c r="W339" s="59"/>
      <c r="X339" s="59">
        <v>390</v>
      </c>
      <c r="Y339" s="59">
        <v>400</v>
      </c>
      <c r="Z339" s="59">
        <v>420</v>
      </c>
      <c r="AA339" s="99">
        <v>0.76</v>
      </c>
      <c r="AB339" s="99">
        <v>1.52</v>
      </c>
      <c r="AC339" s="99">
        <v>2.2799999999999998</v>
      </c>
      <c r="AD339" s="99">
        <v>3.79</v>
      </c>
      <c r="AE339" s="99">
        <v>5.69</v>
      </c>
      <c r="AF339" s="99">
        <v>7.59</v>
      </c>
      <c r="AG339" s="99">
        <v>91.7</v>
      </c>
      <c r="AH339" s="99">
        <v>95.9</v>
      </c>
      <c r="AI339" s="99">
        <v>96.6</v>
      </c>
      <c r="AJ339" s="99">
        <v>97.3</v>
      </c>
      <c r="AK339" s="99">
        <v>97.2</v>
      </c>
      <c r="AL339" s="99">
        <v>97</v>
      </c>
      <c r="AM339" s="99">
        <v>96.9</v>
      </c>
      <c r="AN339" s="99">
        <v>91</v>
      </c>
      <c r="AO339" s="99">
        <v>95.4</v>
      </c>
      <c r="AP339" s="99">
        <v>96.5</v>
      </c>
      <c r="AQ339" s="99">
        <v>97.3</v>
      </c>
      <c r="AR339" s="99">
        <v>97.1</v>
      </c>
      <c r="AS339" s="99">
        <v>97</v>
      </c>
      <c r="AT339" s="99">
        <v>96.8</v>
      </c>
      <c r="AU339" s="99">
        <v>90.5</v>
      </c>
      <c r="AV339" s="99">
        <v>95.2</v>
      </c>
      <c r="AW339" s="99">
        <v>96.3</v>
      </c>
      <c r="AX339" s="99">
        <v>96.9</v>
      </c>
      <c r="AY339" s="99">
        <v>97</v>
      </c>
      <c r="AZ339" s="99">
        <v>96.9</v>
      </c>
      <c r="BA339" s="99">
        <v>96.5</v>
      </c>
      <c r="BB339" s="40">
        <v>43084</v>
      </c>
      <c r="BC339" s="40">
        <v>43388</v>
      </c>
    </row>
    <row r="340" spans="1:55" s="120" customFormat="1" ht="45">
      <c r="A340" s="74" t="s">
        <v>4</v>
      </c>
      <c r="B340" s="74" t="s">
        <v>1099</v>
      </c>
      <c r="C340" s="63" t="s">
        <v>10</v>
      </c>
      <c r="D340" s="63" t="s">
        <v>10</v>
      </c>
      <c r="E340" s="43" t="s">
        <v>10</v>
      </c>
      <c r="F340" s="63" t="s">
        <v>11</v>
      </c>
      <c r="G340" s="74" t="s">
        <v>245</v>
      </c>
      <c r="H340" s="61">
        <v>7.5869999999999997</v>
      </c>
      <c r="I340" s="62">
        <v>240</v>
      </c>
      <c r="J340" s="61">
        <v>96.5</v>
      </c>
      <c r="K340" s="39" t="s">
        <v>1325</v>
      </c>
      <c r="L340" s="129" t="s">
        <v>511</v>
      </c>
      <c r="M340" s="57" t="s">
        <v>512</v>
      </c>
      <c r="N340" s="40">
        <v>43388</v>
      </c>
      <c r="O340" s="128" t="s">
        <v>511</v>
      </c>
      <c r="P340" s="63" t="s">
        <v>17</v>
      </c>
      <c r="Q340" s="63" t="s">
        <v>17</v>
      </c>
      <c r="R340" s="71"/>
      <c r="S340" s="57" t="s">
        <v>10</v>
      </c>
      <c r="T340" s="57" t="s">
        <v>11</v>
      </c>
      <c r="U340" s="61">
        <v>1.29</v>
      </c>
      <c r="V340" s="59"/>
      <c r="W340" s="59"/>
      <c r="X340" s="59">
        <v>390</v>
      </c>
      <c r="Y340" s="59">
        <v>400</v>
      </c>
      <c r="Z340" s="59">
        <v>420</v>
      </c>
      <c r="AA340" s="99">
        <v>0.76</v>
      </c>
      <c r="AB340" s="99">
        <v>1.52</v>
      </c>
      <c r="AC340" s="99">
        <v>2.2799999999999998</v>
      </c>
      <c r="AD340" s="99">
        <v>3.79</v>
      </c>
      <c r="AE340" s="99">
        <v>5.69</v>
      </c>
      <c r="AF340" s="99">
        <v>7.59</v>
      </c>
      <c r="AG340" s="99">
        <v>91.7</v>
      </c>
      <c r="AH340" s="99">
        <v>95.9</v>
      </c>
      <c r="AI340" s="99">
        <v>96.6</v>
      </c>
      <c r="AJ340" s="99">
        <v>97.3</v>
      </c>
      <c r="AK340" s="99">
        <v>97.2</v>
      </c>
      <c r="AL340" s="99">
        <v>97</v>
      </c>
      <c r="AM340" s="99">
        <v>96.9</v>
      </c>
      <c r="AN340" s="99">
        <v>91</v>
      </c>
      <c r="AO340" s="99">
        <v>95.4</v>
      </c>
      <c r="AP340" s="99">
        <v>96.5</v>
      </c>
      <c r="AQ340" s="99">
        <v>97.3</v>
      </c>
      <c r="AR340" s="99">
        <v>97.1</v>
      </c>
      <c r="AS340" s="99">
        <v>97</v>
      </c>
      <c r="AT340" s="99">
        <v>96.8</v>
      </c>
      <c r="AU340" s="99">
        <v>90.5</v>
      </c>
      <c r="AV340" s="99">
        <v>95.2</v>
      </c>
      <c r="AW340" s="99">
        <v>96.3</v>
      </c>
      <c r="AX340" s="99">
        <v>96.9</v>
      </c>
      <c r="AY340" s="99">
        <v>97</v>
      </c>
      <c r="AZ340" s="99">
        <v>96.9</v>
      </c>
      <c r="BA340" s="99">
        <v>96.5</v>
      </c>
      <c r="BB340" s="40">
        <v>43084</v>
      </c>
      <c r="BC340" s="40">
        <v>43388</v>
      </c>
    </row>
    <row r="341" spans="1:55" s="120" customFormat="1" ht="45">
      <c r="A341" s="87" t="s">
        <v>4</v>
      </c>
      <c r="B341" s="74" t="s">
        <v>1100</v>
      </c>
      <c r="C341" s="63" t="s">
        <v>10</v>
      </c>
      <c r="D341" s="63" t="s">
        <v>10</v>
      </c>
      <c r="E341" s="43" t="s">
        <v>10</v>
      </c>
      <c r="F341" s="63" t="s">
        <v>11</v>
      </c>
      <c r="G341" s="37" t="s">
        <v>337</v>
      </c>
      <c r="H341" s="35">
        <v>11.18</v>
      </c>
      <c r="I341" s="35">
        <v>208</v>
      </c>
      <c r="J341" s="35">
        <v>97.5</v>
      </c>
      <c r="K341" s="39" t="s">
        <v>1325</v>
      </c>
      <c r="L341" s="128" t="s">
        <v>511</v>
      </c>
      <c r="M341" s="39" t="s">
        <v>512</v>
      </c>
      <c r="N341" s="40">
        <v>43388</v>
      </c>
      <c r="O341" s="128" t="s">
        <v>511</v>
      </c>
      <c r="P341" s="63" t="s">
        <v>17</v>
      </c>
      <c r="Q341" s="63" t="s">
        <v>17</v>
      </c>
      <c r="R341" s="54"/>
      <c r="S341" s="34" t="s">
        <v>11</v>
      </c>
      <c r="T341" s="34" t="s">
        <v>11</v>
      </c>
      <c r="U341" s="35">
        <v>0.13</v>
      </c>
      <c r="V341" s="35"/>
      <c r="W341" s="35"/>
      <c r="X341" s="35">
        <v>390</v>
      </c>
      <c r="Y341" s="35">
        <v>400</v>
      </c>
      <c r="Z341" s="35">
        <v>420</v>
      </c>
      <c r="AA341" s="103">
        <v>1.1200000000000001</v>
      </c>
      <c r="AB341" s="103">
        <v>2.2400000000000002</v>
      </c>
      <c r="AC341" s="103">
        <v>3.35</v>
      </c>
      <c r="AD341" s="103">
        <v>5.59</v>
      </c>
      <c r="AE341" s="103">
        <v>8.39</v>
      </c>
      <c r="AF341" s="103">
        <v>11.18</v>
      </c>
      <c r="AG341" s="103">
        <v>97.2</v>
      </c>
      <c r="AH341" s="103">
        <v>97.4</v>
      </c>
      <c r="AI341" s="103">
        <v>97.6</v>
      </c>
      <c r="AJ341" s="103">
        <v>97.6</v>
      </c>
      <c r="AK341" s="103">
        <v>97.4</v>
      </c>
      <c r="AL341" s="103">
        <v>97.1</v>
      </c>
      <c r="AM341" s="103">
        <v>97.5</v>
      </c>
      <c r="AN341" s="103">
        <v>97</v>
      </c>
      <c r="AO341" s="103">
        <v>97.3</v>
      </c>
      <c r="AP341" s="103">
        <v>97.7</v>
      </c>
      <c r="AQ341" s="103">
        <v>97.5</v>
      </c>
      <c r="AR341" s="103">
        <v>97.3</v>
      </c>
      <c r="AS341" s="103">
        <v>96.9</v>
      </c>
      <c r="AT341" s="103">
        <v>97.3</v>
      </c>
      <c r="AU341" s="103">
        <v>95.8</v>
      </c>
      <c r="AV341" s="103">
        <v>97.2</v>
      </c>
      <c r="AW341" s="103">
        <v>97.3</v>
      </c>
      <c r="AX341" s="103">
        <v>97.4</v>
      </c>
      <c r="AY341" s="103">
        <v>97.1</v>
      </c>
      <c r="AZ341" s="103">
        <v>96.9</v>
      </c>
      <c r="BA341" s="103">
        <v>97.1</v>
      </c>
      <c r="BB341" s="40">
        <v>43192</v>
      </c>
      <c r="BC341" s="40">
        <v>43388</v>
      </c>
    </row>
    <row r="342" spans="1:55" s="120" customFormat="1" ht="45">
      <c r="A342" s="74" t="s">
        <v>4</v>
      </c>
      <c r="B342" s="74" t="s">
        <v>1101</v>
      </c>
      <c r="C342" s="63" t="s">
        <v>10</v>
      </c>
      <c r="D342" s="63" t="s">
        <v>10</v>
      </c>
      <c r="E342" s="43" t="s">
        <v>10</v>
      </c>
      <c r="F342" s="63" t="s">
        <v>11</v>
      </c>
      <c r="G342" s="74" t="s">
        <v>337</v>
      </c>
      <c r="H342" s="61">
        <v>11.186999999999999</v>
      </c>
      <c r="I342" s="62">
        <v>208</v>
      </c>
      <c r="J342" s="61">
        <v>97.5</v>
      </c>
      <c r="K342" s="39" t="s">
        <v>1325</v>
      </c>
      <c r="L342" s="129" t="s">
        <v>511</v>
      </c>
      <c r="M342" s="57" t="s">
        <v>512</v>
      </c>
      <c r="N342" s="40">
        <v>43388</v>
      </c>
      <c r="O342" s="128" t="s">
        <v>511</v>
      </c>
      <c r="P342" s="63" t="s">
        <v>17</v>
      </c>
      <c r="Q342" s="63" t="s">
        <v>17</v>
      </c>
      <c r="R342" s="71"/>
      <c r="S342" s="57" t="s">
        <v>10</v>
      </c>
      <c r="T342" s="57" t="s">
        <v>11</v>
      </c>
      <c r="U342" s="61">
        <v>0.13</v>
      </c>
      <c r="V342" s="59"/>
      <c r="W342" s="59"/>
      <c r="X342" s="59">
        <v>390</v>
      </c>
      <c r="Y342" s="59">
        <v>400</v>
      </c>
      <c r="Z342" s="59">
        <v>420</v>
      </c>
      <c r="AA342" s="99">
        <v>1.1200000000000001</v>
      </c>
      <c r="AB342" s="99">
        <v>2.2400000000000002</v>
      </c>
      <c r="AC342" s="99">
        <v>3.36</v>
      </c>
      <c r="AD342" s="99">
        <v>5.59</v>
      </c>
      <c r="AE342" s="99">
        <v>8.39</v>
      </c>
      <c r="AF342" s="99">
        <v>11.19</v>
      </c>
      <c r="AG342" s="99">
        <v>97.2</v>
      </c>
      <c r="AH342" s="99">
        <v>97.4</v>
      </c>
      <c r="AI342" s="99">
        <v>97.6</v>
      </c>
      <c r="AJ342" s="99">
        <v>97.6</v>
      </c>
      <c r="AK342" s="99">
        <v>97.4</v>
      </c>
      <c r="AL342" s="99">
        <v>97.1</v>
      </c>
      <c r="AM342" s="99">
        <v>97.5</v>
      </c>
      <c r="AN342" s="99">
        <v>97</v>
      </c>
      <c r="AO342" s="99">
        <v>97.3</v>
      </c>
      <c r="AP342" s="99">
        <v>97.7</v>
      </c>
      <c r="AQ342" s="99">
        <v>97.5</v>
      </c>
      <c r="AR342" s="99">
        <v>97.3</v>
      </c>
      <c r="AS342" s="99">
        <v>96.9</v>
      </c>
      <c r="AT342" s="99">
        <v>97.3</v>
      </c>
      <c r="AU342" s="99">
        <v>95.8</v>
      </c>
      <c r="AV342" s="99">
        <v>97.2</v>
      </c>
      <c r="AW342" s="99">
        <v>97.3</v>
      </c>
      <c r="AX342" s="99">
        <v>97.4</v>
      </c>
      <c r="AY342" s="99">
        <v>97.1</v>
      </c>
      <c r="AZ342" s="99">
        <v>96.9</v>
      </c>
      <c r="BA342" s="99">
        <v>97.1</v>
      </c>
      <c r="BB342" s="40">
        <v>43084</v>
      </c>
      <c r="BC342" s="40">
        <v>43388</v>
      </c>
    </row>
    <row r="343" spans="1:55" s="120" customFormat="1" ht="60">
      <c r="A343" s="41" t="s">
        <v>5</v>
      </c>
      <c r="B343" s="41" t="s">
        <v>1102</v>
      </c>
      <c r="C343" s="43" t="s">
        <v>10</v>
      </c>
      <c r="D343" s="43" t="s">
        <v>1230</v>
      </c>
      <c r="E343" s="63" t="s">
        <v>11</v>
      </c>
      <c r="F343" s="63" t="s">
        <v>11</v>
      </c>
      <c r="G343" s="41" t="s">
        <v>709</v>
      </c>
      <c r="H343" s="27">
        <v>1163.5</v>
      </c>
      <c r="I343" s="109">
        <v>565</v>
      </c>
      <c r="J343" s="27">
        <v>97</v>
      </c>
      <c r="K343" s="39" t="s">
        <v>1328</v>
      </c>
      <c r="L343" s="130" t="s">
        <v>674</v>
      </c>
      <c r="M343" s="110" t="s">
        <v>675</v>
      </c>
      <c r="N343" s="40">
        <v>43388</v>
      </c>
      <c r="O343" s="63" t="s">
        <v>17</v>
      </c>
      <c r="P343" s="63" t="s">
        <v>17</v>
      </c>
      <c r="Q343" s="63" t="s">
        <v>17</v>
      </c>
      <c r="R343" s="112" t="s">
        <v>710</v>
      </c>
      <c r="S343" s="111" t="s">
        <v>11</v>
      </c>
      <c r="T343" s="111" t="s">
        <v>11</v>
      </c>
      <c r="U343" s="113">
        <v>338.51</v>
      </c>
      <c r="V343" s="113"/>
      <c r="W343" s="113"/>
      <c r="X343" s="113">
        <v>800</v>
      </c>
      <c r="Y343" s="113">
        <v>900</v>
      </c>
      <c r="Z343" s="113">
        <v>1200</v>
      </c>
      <c r="AA343" s="114">
        <v>116</v>
      </c>
      <c r="AB343" s="114">
        <v>233</v>
      </c>
      <c r="AC343" s="114">
        <v>349</v>
      </c>
      <c r="AD343" s="114">
        <v>582</v>
      </c>
      <c r="AE343" s="114">
        <v>873</v>
      </c>
      <c r="AF343" s="114">
        <v>1164</v>
      </c>
      <c r="AG343" s="114">
        <v>93</v>
      </c>
      <c r="AH343" s="114">
        <v>96.2</v>
      </c>
      <c r="AI343" s="114">
        <v>96.7</v>
      </c>
      <c r="AJ343" s="114">
        <v>97.5</v>
      </c>
      <c r="AK343" s="114">
        <v>97.6</v>
      </c>
      <c r="AL343" s="114">
        <v>97.5</v>
      </c>
      <c r="AM343" s="114">
        <v>97.2</v>
      </c>
      <c r="AN343" s="114">
        <v>93</v>
      </c>
      <c r="AO343" s="114">
        <v>96.1</v>
      </c>
      <c r="AP343" s="114">
        <v>96.7</v>
      </c>
      <c r="AQ343" s="114">
        <v>97.4</v>
      </c>
      <c r="AR343" s="114">
        <v>97.5</v>
      </c>
      <c r="AS343" s="114">
        <v>97.3</v>
      </c>
      <c r="AT343" s="114">
        <v>97.1</v>
      </c>
      <c r="AU343" s="114">
        <v>93.2</v>
      </c>
      <c r="AV343" s="114">
        <v>96.2</v>
      </c>
      <c r="AW343" s="114">
        <v>96.6</v>
      </c>
      <c r="AX343" s="114">
        <v>97.4</v>
      </c>
      <c r="AY343" s="114">
        <v>97.6</v>
      </c>
      <c r="AZ343" s="114">
        <v>97.3</v>
      </c>
      <c r="BA343" s="114">
        <v>97.2</v>
      </c>
      <c r="BB343" s="40">
        <v>43235</v>
      </c>
      <c r="BC343" s="40">
        <v>43388</v>
      </c>
    </row>
    <row r="344" spans="1:55" s="120" customFormat="1" ht="60">
      <c r="A344" s="41" t="s">
        <v>5</v>
      </c>
      <c r="B344" s="41" t="s">
        <v>1103</v>
      </c>
      <c r="C344" s="43" t="s">
        <v>10</v>
      </c>
      <c r="D344" s="43" t="s">
        <v>1230</v>
      </c>
      <c r="E344" s="63" t="s">
        <v>11</v>
      </c>
      <c r="F344" s="63" t="s">
        <v>11</v>
      </c>
      <c r="G344" s="41" t="s">
        <v>719</v>
      </c>
      <c r="H344" s="27">
        <v>1176.44</v>
      </c>
      <c r="I344" s="109">
        <v>600</v>
      </c>
      <c r="J344" s="27">
        <v>98</v>
      </c>
      <c r="K344" s="39" t="s">
        <v>1328</v>
      </c>
      <c r="L344" s="130" t="s">
        <v>674</v>
      </c>
      <c r="M344" s="110" t="s">
        <v>675</v>
      </c>
      <c r="N344" s="40">
        <v>43388</v>
      </c>
      <c r="O344" s="63" t="s">
        <v>17</v>
      </c>
      <c r="P344" s="63" t="s">
        <v>17</v>
      </c>
      <c r="Q344" s="63" t="s">
        <v>17</v>
      </c>
      <c r="R344" s="112" t="s">
        <v>700</v>
      </c>
      <c r="S344" s="111" t="s">
        <v>11</v>
      </c>
      <c r="T344" s="111" t="s">
        <v>11</v>
      </c>
      <c r="U344" s="113">
        <v>358.91</v>
      </c>
      <c r="V344" s="113"/>
      <c r="W344" s="113"/>
      <c r="X344" s="113">
        <v>849</v>
      </c>
      <c r="Y344" s="113">
        <v>940</v>
      </c>
      <c r="Z344" s="113">
        <v>1200</v>
      </c>
      <c r="AA344" s="114">
        <v>118</v>
      </c>
      <c r="AB344" s="114">
        <v>235</v>
      </c>
      <c r="AC344" s="114">
        <v>353</v>
      </c>
      <c r="AD344" s="114">
        <v>588</v>
      </c>
      <c r="AE344" s="114">
        <v>882</v>
      </c>
      <c r="AF344" s="114">
        <v>1176</v>
      </c>
      <c r="AG344" s="114">
        <v>95.9</v>
      </c>
      <c r="AH344" s="114">
        <v>97.5</v>
      </c>
      <c r="AI344" s="114">
        <v>97.7</v>
      </c>
      <c r="AJ344" s="114">
        <v>98</v>
      </c>
      <c r="AK344" s="114">
        <v>98</v>
      </c>
      <c r="AL344" s="114">
        <v>98</v>
      </c>
      <c r="AM344" s="114">
        <v>97.9</v>
      </c>
      <c r="AN344" s="114">
        <v>95.8</v>
      </c>
      <c r="AO344" s="114">
        <v>97.4</v>
      </c>
      <c r="AP344" s="114">
        <v>97.7</v>
      </c>
      <c r="AQ344" s="114">
        <v>98</v>
      </c>
      <c r="AR344" s="114">
        <v>97.9</v>
      </c>
      <c r="AS344" s="114">
        <v>97.9</v>
      </c>
      <c r="AT344" s="114">
        <v>97.8</v>
      </c>
      <c r="AU344" s="114">
        <v>95.8</v>
      </c>
      <c r="AV344" s="114">
        <v>97.4</v>
      </c>
      <c r="AW344" s="114">
        <v>97.7</v>
      </c>
      <c r="AX344" s="114">
        <v>98</v>
      </c>
      <c r="AY344" s="114">
        <v>97.9</v>
      </c>
      <c r="AZ344" s="114">
        <v>97.9</v>
      </c>
      <c r="BA344" s="114">
        <v>97.8</v>
      </c>
      <c r="BB344" s="40">
        <v>43235</v>
      </c>
      <c r="BC344" s="40">
        <v>43388</v>
      </c>
    </row>
    <row r="345" spans="1:55" s="120" customFormat="1" ht="60">
      <c r="A345" s="41" t="s">
        <v>5</v>
      </c>
      <c r="B345" s="41" t="s">
        <v>1104</v>
      </c>
      <c r="C345" s="43" t="s">
        <v>10</v>
      </c>
      <c r="D345" s="43" t="s">
        <v>1230</v>
      </c>
      <c r="E345" s="63" t="s">
        <v>11</v>
      </c>
      <c r="F345" s="63" t="s">
        <v>11</v>
      </c>
      <c r="G345" s="41" t="s">
        <v>699</v>
      </c>
      <c r="H345" s="27">
        <v>1209.25</v>
      </c>
      <c r="I345" s="109">
        <v>600</v>
      </c>
      <c r="J345" s="27">
        <v>97</v>
      </c>
      <c r="K345" s="39" t="s">
        <v>1328</v>
      </c>
      <c r="L345" s="130" t="s">
        <v>674</v>
      </c>
      <c r="M345" s="110" t="s">
        <v>675</v>
      </c>
      <c r="N345" s="40">
        <v>43388</v>
      </c>
      <c r="O345" s="63" t="s">
        <v>17</v>
      </c>
      <c r="P345" s="63" t="s">
        <v>17</v>
      </c>
      <c r="Q345" s="63" t="s">
        <v>17</v>
      </c>
      <c r="R345" s="112" t="s">
        <v>700</v>
      </c>
      <c r="S345" s="111" t="s">
        <v>11</v>
      </c>
      <c r="T345" s="111" t="s">
        <v>11</v>
      </c>
      <c r="U345" s="113">
        <v>347.22</v>
      </c>
      <c r="V345" s="113"/>
      <c r="W345" s="113"/>
      <c r="X345" s="113">
        <v>849</v>
      </c>
      <c r="Y345" s="113">
        <v>940</v>
      </c>
      <c r="Z345" s="113">
        <v>1200</v>
      </c>
      <c r="AA345" s="114">
        <v>121</v>
      </c>
      <c r="AB345" s="114">
        <v>242</v>
      </c>
      <c r="AC345" s="114">
        <v>363</v>
      </c>
      <c r="AD345" s="114">
        <v>605</v>
      </c>
      <c r="AE345" s="114">
        <v>907</v>
      </c>
      <c r="AF345" s="114">
        <v>1209</v>
      </c>
      <c r="AG345" s="114">
        <v>93.1</v>
      </c>
      <c r="AH345" s="114">
        <v>96.2</v>
      </c>
      <c r="AI345" s="114">
        <v>96.8</v>
      </c>
      <c r="AJ345" s="114">
        <v>97.5</v>
      </c>
      <c r="AK345" s="114">
        <v>97.8</v>
      </c>
      <c r="AL345" s="114">
        <v>97.7</v>
      </c>
      <c r="AM345" s="114">
        <v>97.3</v>
      </c>
      <c r="AN345" s="114">
        <v>93.1</v>
      </c>
      <c r="AO345" s="114">
        <v>96.1</v>
      </c>
      <c r="AP345" s="114">
        <v>96.8</v>
      </c>
      <c r="AQ345" s="114">
        <v>97.5</v>
      </c>
      <c r="AR345" s="114">
        <v>97.6</v>
      </c>
      <c r="AS345" s="114">
        <v>97.6</v>
      </c>
      <c r="AT345" s="114">
        <v>97.2</v>
      </c>
      <c r="AU345" s="114">
        <v>93.2</v>
      </c>
      <c r="AV345" s="114">
        <v>96.2</v>
      </c>
      <c r="AW345" s="114">
        <v>96.7</v>
      </c>
      <c r="AX345" s="114">
        <v>97.5</v>
      </c>
      <c r="AY345" s="114">
        <v>97.7</v>
      </c>
      <c r="AZ345" s="114">
        <v>97.5</v>
      </c>
      <c r="BA345" s="114">
        <v>97.2</v>
      </c>
      <c r="BB345" s="40">
        <v>43235</v>
      </c>
      <c r="BC345" s="40">
        <v>43388</v>
      </c>
    </row>
    <row r="346" spans="1:55" s="120" customFormat="1" ht="60">
      <c r="A346" s="41" t="s">
        <v>5</v>
      </c>
      <c r="B346" s="41" t="s">
        <v>1105</v>
      </c>
      <c r="C346" s="43" t="s">
        <v>10</v>
      </c>
      <c r="D346" s="43" t="s">
        <v>1230</v>
      </c>
      <c r="E346" s="63" t="s">
        <v>11</v>
      </c>
      <c r="F346" s="63" t="s">
        <v>11</v>
      </c>
      <c r="G346" s="41" t="s">
        <v>687</v>
      </c>
      <c r="H346" s="27">
        <v>1300.9000000000001</v>
      </c>
      <c r="I346" s="109">
        <v>645</v>
      </c>
      <c r="J346" s="27">
        <v>97.5</v>
      </c>
      <c r="K346" s="39" t="s">
        <v>1328</v>
      </c>
      <c r="L346" s="130" t="s">
        <v>674</v>
      </c>
      <c r="M346" s="110" t="s">
        <v>675</v>
      </c>
      <c r="N346" s="40">
        <v>43388</v>
      </c>
      <c r="O346" s="63" t="s">
        <v>17</v>
      </c>
      <c r="P346" s="63" t="s">
        <v>17</v>
      </c>
      <c r="Q346" s="63" t="s">
        <v>17</v>
      </c>
      <c r="R346" s="112" t="s">
        <v>688</v>
      </c>
      <c r="S346" s="111" t="s">
        <v>11</v>
      </c>
      <c r="T346" s="111" t="s">
        <v>11</v>
      </c>
      <c r="U346" s="113">
        <v>348.45</v>
      </c>
      <c r="V346" s="113"/>
      <c r="W346" s="113"/>
      <c r="X346" s="113">
        <v>913</v>
      </c>
      <c r="Y346" s="113">
        <v>980</v>
      </c>
      <c r="Z346" s="113">
        <v>1200</v>
      </c>
      <c r="AA346" s="114">
        <v>130</v>
      </c>
      <c r="AB346" s="114">
        <v>260</v>
      </c>
      <c r="AC346" s="114">
        <v>390</v>
      </c>
      <c r="AD346" s="114">
        <v>650</v>
      </c>
      <c r="AE346" s="114">
        <v>976</v>
      </c>
      <c r="AF346" s="114">
        <v>1301</v>
      </c>
      <c r="AG346" s="114">
        <v>93.5</v>
      </c>
      <c r="AH346" s="114">
        <v>96.5</v>
      </c>
      <c r="AI346" s="114">
        <v>97</v>
      </c>
      <c r="AJ346" s="114">
        <v>97.7</v>
      </c>
      <c r="AK346" s="114">
        <v>97.8</v>
      </c>
      <c r="AL346" s="114">
        <v>97.7</v>
      </c>
      <c r="AM346" s="114">
        <v>97.5</v>
      </c>
      <c r="AN346" s="114">
        <v>93.5</v>
      </c>
      <c r="AO346" s="114">
        <v>96.5</v>
      </c>
      <c r="AP346" s="114">
        <v>96.9</v>
      </c>
      <c r="AQ346" s="114">
        <v>97.6</v>
      </c>
      <c r="AR346" s="114">
        <v>97.7</v>
      </c>
      <c r="AS346" s="114">
        <v>97.6</v>
      </c>
      <c r="AT346" s="114">
        <v>97.4</v>
      </c>
      <c r="AU346" s="114">
        <v>93.5</v>
      </c>
      <c r="AV346" s="114">
        <v>96.5</v>
      </c>
      <c r="AW346" s="114">
        <v>96.9</v>
      </c>
      <c r="AX346" s="114">
        <v>97.6</v>
      </c>
      <c r="AY346" s="114">
        <v>97.8</v>
      </c>
      <c r="AZ346" s="114">
        <v>97.6</v>
      </c>
      <c r="BA346" s="114">
        <v>97.4</v>
      </c>
      <c r="BB346" s="40">
        <v>43235</v>
      </c>
      <c r="BC346" s="40">
        <v>43388</v>
      </c>
    </row>
    <row r="347" spans="1:55" s="120" customFormat="1" ht="60">
      <c r="A347" s="41" t="s">
        <v>5</v>
      </c>
      <c r="B347" s="41" t="s">
        <v>1106</v>
      </c>
      <c r="C347" s="43" t="s">
        <v>10</v>
      </c>
      <c r="D347" s="43" t="s">
        <v>1230</v>
      </c>
      <c r="E347" s="63" t="s">
        <v>11</v>
      </c>
      <c r="F347" s="63" t="s">
        <v>11</v>
      </c>
      <c r="G347" s="41" t="s">
        <v>673</v>
      </c>
      <c r="H347" s="27">
        <v>1389.08</v>
      </c>
      <c r="I347" s="109">
        <v>690</v>
      </c>
      <c r="J347" s="27">
        <v>97</v>
      </c>
      <c r="K347" s="39" t="s">
        <v>1328</v>
      </c>
      <c r="L347" s="130" t="s">
        <v>674</v>
      </c>
      <c r="M347" s="110" t="s">
        <v>675</v>
      </c>
      <c r="N347" s="40">
        <v>43388</v>
      </c>
      <c r="O347" s="63" t="s">
        <v>17</v>
      </c>
      <c r="P347" s="63" t="s">
        <v>17</v>
      </c>
      <c r="Q347" s="63" t="s">
        <v>17</v>
      </c>
      <c r="R347" s="112" t="s">
        <v>676</v>
      </c>
      <c r="S347" s="111" t="s">
        <v>11</v>
      </c>
      <c r="T347" s="111" t="s">
        <v>11</v>
      </c>
      <c r="U347" s="113">
        <v>353.05</v>
      </c>
      <c r="V347" s="113"/>
      <c r="W347" s="113"/>
      <c r="X347" s="113">
        <v>976</v>
      </c>
      <c r="Y347" s="113">
        <v>1030</v>
      </c>
      <c r="Z347" s="113">
        <v>1200</v>
      </c>
      <c r="AA347" s="114">
        <v>139</v>
      </c>
      <c r="AB347" s="114">
        <v>278</v>
      </c>
      <c r="AC347" s="114">
        <v>417</v>
      </c>
      <c r="AD347" s="114">
        <v>695</v>
      </c>
      <c r="AE347" s="114">
        <v>1042</v>
      </c>
      <c r="AF347" s="114">
        <v>1389</v>
      </c>
      <c r="AG347" s="114">
        <v>91.8</v>
      </c>
      <c r="AH347" s="114">
        <v>95.5</v>
      </c>
      <c r="AI347" s="114">
        <v>96.2</v>
      </c>
      <c r="AJ347" s="114">
        <v>97.7</v>
      </c>
      <c r="AK347" s="114">
        <v>97.9</v>
      </c>
      <c r="AL347" s="114">
        <v>97.8</v>
      </c>
      <c r="AM347" s="114">
        <v>97.3</v>
      </c>
      <c r="AN347" s="114">
        <v>91.7</v>
      </c>
      <c r="AO347" s="114">
        <v>95.5</v>
      </c>
      <c r="AP347" s="114">
        <v>96.3</v>
      </c>
      <c r="AQ347" s="114">
        <v>97.6</v>
      </c>
      <c r="AR347" s="114">
        <v>97.8</v>
      </c>
      <c r="AS347" s="114">
        <v>97.6</v>
      </c>
      <c r="AT347" s="114">
        <v>97.2</v>
      </c>
      <c r="AU347" s="114">
        <v>91.9</v>
      </c>
      <c r="AV347" s="114">
        <v>95.6</v>
      </c>
      <c r="AW347" s="114">
        <v>96.3</v>
      </c>
      <c r="AX347" s="114">
        <v>97.6</v>
      </c>
      <c r="AY347" s="114">
        <v>97.8</v>
      </c>
      <c r="AZ347" s="114">
        <v>97.6</v>
      </c>
      <c r="BA347" s="114">
        <v>97.2</v>
      </c>
      <c r="BB347" s="40">
        <v>43235</v>
      </c>
      <c r="BC347" s="40">
        <v>43388</v>
      </c>
    </row>
    <row r="348" spans="1:55" s="120" customFormat="1" ht="60">
      <c r="A348" s="41" t="s">
        <v>5</v>
      </c>
      <c r="B348" s="41" t="s">
        <v>1107</v>
      </c>
      <c r="C348" s="43" t="s">
        <v>10</v>
      </c>
      <c r="D348" s="43" t="s">
        <v>1230</v>
      </c>
      <c r="E348" s="63" t="s">
        <v>11</v>
      </c>
      <c r="F348" s="63" t="s">
        <v>11</v>
      </c>
      <c r="G348" s="41" t="s">
        <v>711</v>
      </c>
      <c r="H348" s="27">
        <v>1517.09</v>
      </c>
      <c r="I348" s="109">
        <v>565</v>
      </c>
      <c r="J348" s="27">
        <v>97.5</v>
      </c>
      <c r="K348" s="39" t="s">
        <v>1328</v>
      </c>
      <c r="L348" s="130" t="s">
        <v>674</v>
      </c>
      <c r="M348" s="110" t="s">
        <v>675</v>
      </c>
      <c r="N348" s="40">
        <v>43388</v>
      </c>
      <c r="O348" s="63" t="s">
        <v>17</v>
      </c>
      <c r="P348" s="63" t="s">
        <v>17</v>
      </c>
      <c r="Q348" s="63" t="s">
        <v>17</v>
      </c>
      <c r="R348" s="112" t="s">
        <v>712</v>
      </c>
      <c r="S348" s="111" t="s">
        <v>11</v>
      </c>
      <c r="T348" s="111" t="s">
        <v>11</v>
      </c>
      <c r="U348" s="113">
        <v>359.56</v>
      </c>
      <c r="V348" s="113"/>
      <c r="W348" s="113"/>
      <c r="X348" s="113">
        <v>800</v>
      </c>
      <c r="Y348" s="113">
        <v>900</v>
      </c>
      <c r="Z348" s="113">
        <v>1200</v>
      </c>
      <c r="AA348" s="114">
        <v>152</v>
      </c>
      <c r="AB348" s="114">
        <v>303</v>
      </c>
      <c r="AC348" s="114">
        <v>455</v>
      </c>
      <c r="AD348" s="114">
        <v>759</v>
      </c>
      <c r="AE348" s="114">
        <v>1138</v>
      </c>
      <c r="AF348" s="114">
        <v>1517</v>
      </c>
      <c r="AG348" s="114">
        <v>94.3</v>
      </c>
      <c r="AH348" s="114">
        <v>96.5</v>
      </c>
      <c r="AI348" s="114">
        <v>97.3</v>
      </c>
      <c r="AJ348" s="114">
        <v>97.7</v>
      </c>
      <c r="AK348" s="114">
        <v>97.8</v>
      </c>
      <c r="AL348" s="114">
        <v>97.6</v>
      </c>
      <c r="AM348" s="114">
        <v>97.5</v>
      </c>
      <c r="AN348" s="114">
        <v>94.3</v>
      </c>
      <c r="AO348" s="114">
        <v>96.4</v>
      </c>
      <c r="AP348" s="114">
        <v>97.2</v>
      </c>
      <c r="AQ348" s="114">
        <v>97.7</v>
      </c>
      <c r="AR348" s="114">
        <v>97.7</v>
      </c>
      <c r="AS348" s="114">
        <v>97.5</v>
      </c>
      <c r="AT348" s="114">
        <v>97.4</v>
      </c>
      <c r="AU348" s="114">
        <v>94.4</v>
      </c>
      <c r="AV348" s="114">
        <v>96.5</v>
      </c>
      <c r="AW348" s="114">
        <v>97.2</v>
      </c>
      <c r="AX348" s="114">
        <v>97.6</v>
      </c>
      <c r="AY348" s="114">
        <v>97.7</v>
      </c>
      <c r="AZ348" s="114">
        <v>97.5</v>
      </c>
      <c r="BA348" s="114">
        <v>97.5</v>
      </c>
      <c r="BB348" s="40">
        <v>43235</v>
      </c>
      <c r="BC348" s="40">
        <v>43388</v>
      </c>
    </row>
    <row r="349" spans="1:55" s="120" customFormat="1" ht="60">
      <c r="A349" s="41" t="s">
        <v>5</v>
      </c>
      <c r="B349" s="41" t="s">
        <v>1108</v>
      </c>
      <c r="C349" s="43" t="s">
        <v>10</v>
      </c>
      <c r="D349" s="43" t="s">
        <v>10</v>
      </c>
      <c r="E349" s="63" t="s">
        <v>11</v>
      </c>
      <c r="F349" s="63" t="s">
        <v>11</v>
      </c>
      <c r="G349" s="41" t="s">
        <v>720</v>
      </c>
      <c r="H349" s="27">
        <v>1594.72</v>
      </c>
      <c r="I349" s="109">
        <v>600</v>
      </c>
      <c r="J349" s="27">
        <v>98</v>
      </c>
      <c r="K349" s="39" t="s">
        <v>1328</v>
      </c>
      <c r="L349" s="130" t="s">
        <v>674</v>
      </c>
      <c r="M349" s="110" t="s">
        <v>675</v>
      </c>
      <c r="N349" s="40">
        <v>43388</v>
      </c>
      <c r="O349" s="63" t="s">
        <v>17</v>
      </c>
      <c r="P349" s="63" t="s">
        <v>17</v>
      </c>
      <c r="Q349" s="63" t="s">
        <v>17</v>
      </c>
      <c r="R349" s="112" t="s">
        <v>721</v>
      </c>
      <c r="S349" s="111" t="s">
        <v>11</v>
      </c>
      <c r="T349" s="111" t="s">
        <v>11</v>
      </c>
      <c r="U349" s="113">
        <v>379.71</v>
      </c>
      <c r="V349" s="113"/>
      <c r="W349" s="113"/>
      <c r="X349" s="113">
        <v>849</v>
      </c>
      <c r="Y349" s="113">
        <v>940</v>
      </c>
      <c r="Z349" s="113">
        <v>1200</v>
      </c>
      <c r="AA349" s="114">
        <v>159</v>
      </c>
      <c r="AB349" s="114">
        <v>319</v>
      </c>
      <c r="AC349" s="114">
        <v>478</v>
      </c>
      <c r="AD349" s="114">
        <v>797</v>
      </c>
      <c r="AE349" s="114">
        <v>1196</v>
      </c>
      <c r="AF349" s="114">
        <v>1595</v>
      </c>
      <c r="AG349" s="114">
        <v>96.9</v>
      </c>
      <c r="AH349" s="114">
        <v>97.6</v>
      </c>
      <c r="AI349" s="114">
        <v>97.9</v>
      </c>
      <c r="AJ349" s="114">
        <v>98.1</v>
      </c>
      <c r="AK349" s="114">
        <v>98</v>
      </c>
      <c r="AL349" s="114">
        <v>97.9</v>
      </c>
      <c r="AM349" s="114">
        <v>97.9</v>
      </c>
      <c r="AN349" s="114">
        <v>96.6</v>
      </c>
      <c r="AO349" s="114">
        <v>97.5</v>
      </c>
      <c r="AP349" s="114">
        <v>97.8</v>
      </c>
      <c r="AQ349" s="114">
        <v>98</v>
      </c>
      <c r="AR349" s="114">
        <v>98</v>
      </c>
      <c r="AS349" s="114">
        <v>97.8</v>
      </c>
      <c r="AT349" s="114">
        <v>97.9</v>
      </c>
      <c r="AU349" s="114">
        <v>96.7</v>
      </c>
      <c r="AV349" s="114">
        <v>97.5</v>
      </c>
      <c r="AW349" s="114">
        <v>97.8</v>
      </c>
      <c r="AX349" s="114">
        <v>98</v>
      </c>
      <c r="AY349" s="114">
        <v>98</v>
      </c>
      <c r="AZ349" s="114">
        <v>97.8</v>
      </c>
      <c r="BA349" s="114">
        <v>97.9</v>
      </c>
      <c r="BB349" s="40">
        <v>43235</v>
      </c>
      <c r="BC349" s="40">
        <v>43388</v>
      </c>
    </row>
    <row r="350" spans="1:55" s="120" customFormat="1" ht="60">
      <c r="A350" s="41" t="s">
        <v>5</v>
      </c>
      <c r="B350" s="41" t="s">
        <v>1109</v>
      </c>
      <c r="C350" s="43" t="s">
        <v>10</v>
      </c>
      <c r="D350" s="43" t="s">
        <v>10</v>
      </c>
      <c r="E350" s="63" t="s">
        <v>11</v>
      </c>
      <c r="F350" s="63" t="s">
        <v>11</v>
      </c>
      <c r="G350" s="41" t="s">
        <v>701</v>
      </c>
      <c r="H350" s="27">
        <v>1610.37</v>
      </c>
      <c r="I350" s="109">
        <v>600</v>
      </c>
      <c r="J350" s="27">
        <v>97.5</v>
      </c>
      <c r="K350" s="39" t="s">
        <v>1328</v>
      </c>
      <c r="L350" s="130" t="s">
        <v>674</v>
      </c>
      <c r="M350" s="110" t="s">
        <v>675</v>
      </c>
      <c r="N350" s="40">
        <v>43388</v>
      </c>
      <c r="O350" s="63" t="s">
        <v>17</v>
      </c>
      <c r="P350" s="63" t="s">
        <v>17</v>
      </c>
      <c r="Q350" s="63" t="s">
        <v>17</v>
      </c>
      <c r="R350" s="112" t="s">
        <v>702</v>
      </c>
      <c r="S350" s="111" t="s">
        <v>11</v>
      </c>
      <c r="T350" s="111" t="s">
        <v>11</v>
      </c>
      <c r="U350" s="113">
        <v>368.71</v>
      </c>
      <c r="V350" s="113"/>
      <c r="W350" s="113"/>
      <c r="X350" s="113">
        <v>849</v>
      </c>
      <c r="Y350" s="113">
        <v>940</v>
      </c>
      <c r="Z350" s="113">
        <v>1200</v>
      </c>
      <c r="AA350" s="114">
        <v>161</v>
      </c>
      <c r="AB350" s="114">
        <v>322</v>
      </c>
      <c r="AC350" s="114">
        <v>483</v>
      </c>
      <c r="AD350" s="114">
        <v>805</v>
      </c>
      <c r="AE350" s="114">
        <v>1208</v>
      </c>
      <c r="AF350" s="114">
        <v>1610</v>
      </c>
      <c r="AG350" s="114">
        <v>94.5</v>
      </c>
      <c r="AH350" s="114">
        <v>96.7</v>
      </c>
      <c r="AI350" s="114">
        <v>97.5</v>
      </c>
      <c r="AJ350" s="114">
        <v>97.8</v>
      </c>
      <c r="AK350" s="114">
        <v>97.9</v>
      </c>
      <c r="AL350" s="114">
        <v>97.6</v>
      </c>
      <c r="AM350" s="114">
        <v>97.6</v>
      </c>
      <c r="AN350" s="114">
        <v>94.5</v>
      </c>
      <c r="AO350" s="114">
        <v>96.6</v>
      </c>
      <c r="AP350" s="114">
        <v>97.4</v>
      </c>
      <c r="AQ350" s="114">
        <v>97.8</v>
      </c>
      <c r="AR350" s="114">
        <v>97.8</v>
      </c>
      <c r="AS350" s="114">
        <v>97.6</v>
      </c>
      <c r="AT350" s="114">
        <v>97.5</v>
      </c>
      <c r="AU350" s="114">
        <v>94.6</v>
      </c>
      <c r="AV350" s="114">
        <v>96.6</v>
      </c>
      <c r="AW350" s="114">
        <v>97.4</v>
      </c>
      <c r="AX350" s="114">
        <v>97.7</v>
      </c>
      <c r="AY350" s="114">
        <v>97.8</v>
      </c>
      <c r="AZ350" s="114">
        <v>97.5</v>
      </c>
      <c r="BA350" s="114">
        <v>97.5</v>
      </c>
      <c r="BB350" s="40">
        <v>43235</v>
      </c>
      <c r="BC350" s="40">
        <v>43388</v>
      </c>
    </row>
    <row r="351" spans="1:55" s="120" customFormat="1" ht="60">
      <c r="A351" s="41" t="s">
        <v>5</v>
      </c>
      <c r="B351" s="41" t="s">
        <v>1110</v>
      </c>
      <c r="C351" s="43" t="s">
        <v>10</v>
      </c>
      <c r="D351" s="43" t="s">
        <v>10</v>
      </c>
      <c r="E351" s="63" t="s">
        <v>11</v>
      </c>
      <c r="F351" s="63" t="s">
        <v>11</v>
      </c>
      <c r="G351" s="41" t="s">
        <v>689</v>
      </c>
      <c r="H351" s="27">
        <v>1734.81</v>
      </c>
      <c r="I351" s="109">
        <v>645</v>
      </c>
      <c r="J351" s="27">
        <v>97.5</v>
      </c>
      <c r="K351" s="39" t="s">
        <v>1328</v>
      </c>
      <c r="L351" s="130" t="s">
        <v>674</v>
      </c>
      <c r="M351" s="110" t="s">
        <v>675</v>
      </c>
      <c r="N351" s="40">
        <v>43388</v>
      </c>
      <c r="O351" s="63" t="s">
        <v>17</v>
      </c>
      <c r="P351" s="63" t="s">
        <v>17</v>
      </c>
      <c r="Q351" s="63" t="s">
        <v>17</v>
      </c>
      <c r="R351" s="112" t="s">
        <v>690</v>
      </c>
      <c r="S351" s="111" t="s">
        <v>11</v>
      </c>
      <c r="T351" s="111" t="s">
        <v>11</v>
      </c>
      <c r="U351" s="113">
        <v>373.96</v>
      </c>
      <c r="V351" s="113"/>
      <c r="W351" s="113"/>
      <c r="X351" s="113">
        <v>913</v>
      </c>
      <c r="Y351" s="113">
        <v>980</v>
      </c>
      <c r="Z351" s="113">
        <v>1200</v>
      </c>
      <c r="AA351" s="114">
        <v>173</v>
      </c>
      <c r="AB351" s="114">
        <v>347</v>
      </c>
      <c r="AC351" s="114">
        <v>520</v>
      </c>
      <c r="AD351" s="114">
        <v>867</v>
      </c>
      <c r="AE351" s="114">
        <v>1301</v>
      </c>
      <c r="AF351" s="114">
        <v>1735</v>
      </c>
      <c r="AG351" s="114">
        <v>94.7</v>
      </c>
      <c r="AH351" s="114">
        <v>96.8</v>
      </c>
      <c r="AI351" s="114">
        <v>97.5</v>
      </c>
      <c r="AJ351" s="114">
        <v>98</v>
      </c>
      <c r="AK351" s="114">
        <v>98</v>
      </c>
      <c r="AL351" s="114">
        <v>97.8</v>
      </c>
      <c r="AM351" s="114">
        <v>97.7</v>
      </c>
      <c r="AN351" s="114">
        <v>94.7</v>
      </c>
      <c r="AO351" s="114">
        <v>96.8</v>
      </c>
      <c r="AP351" s="114">
        <v>97.5</v>
      </c>
      <c r="AQ351" s="114">
        <v>97.9</v>
      </c>
      <c r="AR351" s="114">
        <v>97.9</v>
      </c>
      <c r="AS351" s="114">
        <v>97.7</v>
      </c>
      <c r="AT351" s="114">
        <v>97.6</v>
      </c>
      <c r="AU351" s="114">
        <v>94.7</v>
      </c>
      <c r="AV351" s="114">
        <v>96.8</v>
      </c>
      <c r="AW351" s="114">
        <v>97.5</v>
      </c>
      <c r="AX351" s="114">
        <v>97.8</v>
      </c>
      <c r="AY351" s="114">
        <v>97.9</v>
      </c>
      <c r="AZ351" s="114">
        <v>97.7</v>
      </c>
      <c r="BA351" s="114">
        <v>97.6</v>
      </c>
      <c r="BB351" s="40">
        <v>43235</v>
      </c>
      <c r="BC351" s="40">
        <v>43388</v>
      </c>
    </row>
    <row r="352" spans="1:55" s="120" customFormat="1" ht="60">
      <c r="A352" s="41" t="s">
        <v>5</v>
      </c>
      <c r="B352" s="41" t="s">
        <v>1111</v>
      </c>
      <c r="C352" s="43" t="s">
        <v>10</v>
      </c>
      <c r="D352" s="43" t="s">
        <v>10</v>
      </c>
      <c r="E352" s="63" t="s">
        <v>11</v>
      </c>
      <c r="F352" s="63" t="s">
        <v>11</v>
      </c>
      <c r="G352" s="41" t="s">
        <v>677</v>
      </c>
      <c r="H352" s="27">
        <v>1850.63</v>
      </c>
      <c r="I352" s="109">
        <v>690</v>
      </c>
      <c r="J352" s="27">
        <v>98</v>
      </c>
      <c r="K352" s="39" t="s">
        <v>1328</v>
      </c>
      <c r="L352" s="130" t="s">
        <v>674</v>
      </c>
      <c r="M352" s="110" t="s">
        <v>675</v>
      </c>
      <c r="N352" s="40">
        <v>43388</v>
      </c>
      <c r="O352" s="63" t="s">
        <v>17</v>
      </c>
      <c r="P352" s="63" t="s">
        <v>17</v>
      </c>
      <c r="Q352" s="63" t="s">
        <v>17</v>
      </c>
      <c r="R352" s="112" t="s">
        <v>678</v>
      </c>
      <c r="S352" s="111" t="s">
        <v>11</v>
      </c>
      <c r="T352" s="111" t="s">
        <v>11</v>
      </c>
      <c r="U352" s="113">
        <v>368.51</v>
      </c>
      <c r="V352" s="113"/>
      <c r="W352" s="113"/>
      <c r="X352" s="113">
        <v>976</v>
      </c>
      <c r="Y352" s="113">
        <v>1030</v>
      </c>
      <c r="Z352" s="113">
        <v>1200</v>
      </c>
      <c r="AA352" s="114">
        <v>185</v>
      </c>
      <c r="AB352" s="114">
        <v>370</v>
      </c>
      <c r="AC352" s="114">
        <v>555</v>
      </c>
      <c r="AD352" s="114">
        <v>925</v>
      </c>
      <c r="AE352" s="114">
        <v>1388</v>
      </c>
      <c r="AF352" s="114">
        <v>1851</v>
      </c>
      <c r="AG352" s="114">
        <v>95</v>
      </c>
      <c r="AH352" s="114">
        <v>97</v>
      </c>
      <c r="AI352" s="114">
        <v>97.7</v>
      </c>
      <c r="AJ352" s="114">
        <v>98.1</v>
      </c>
      <c r="AK352" s="114">
        <v>98.2</v>
      </c>
      <c r="AL352" s="114">
        <v>97.9</v>
      </c>
      <c r="AM352" s="114">
        <v>97.9</v>
      </c>
      <c r="AN352" s="114">
        <v>94.9</v>
      </c>
      <c r="AO352" s="114">
        <v>97</v>
      </c>
      <c r="AP352" s="114">
        <v>97.6</v>
      </c>
      <c r="AQ352" s="114">
        <v>98.1</v>
      </c>
      <c r="AR352" s="114">
        <v>98</v>
      </c>
      <c r="AS352" s="114">
        <v>97.9</v>
      </c>
      <c r="AT352" s="114">
        <v>97.8</v>
      </c>
      <c r="AU352" s="114">
        <v>94.9</v>
      </c>
      <c r="AV352" s="114">
        <v>96.9</v>
      </c>
      <c r="AW352" s="114">
        <v>97.6</v>
      </c>
      <c r="AX352" s="114">
        <v>98</v>
      </c>
      <c r="AY352" s="114">
        <v>98.1</v>
      </c>
      <c r="AZ352" s="114">
        <v>97.8</v>
      </c>
      <c r="BA352" s="114">
        <v>97.8</v>
      </c>
      <c r="BB352" s="40">
        <v>43235</v>
      </c>
      <c r="BC352" s="40">
        <v>43388</v>
      </c>
    </row>
    <row r="353" spans="1:55" s="120" customFormat="1" ht="60">
      <c r="A353" s="41" t="s">
        <v>5</v>
      </c>
      <c r="B353" s="41" t="s">
        <v>1112</v>
      </c>
      <c r="C353" s="43" t="s">
        <v>10</v>
      </c>
      <c r="D353" s="43" t="s">
        <v>10</v>
      </c>
      <c r="E353" s="63" t="s">
        <v>11</v>
      </c>
      <c r="F353" s="63" t="s">
        <v>11</v>
      </c>
      <c r="G353" s="41" t="s">
        <v>713</v>
      </c>
      <c r="H353" s="27">
        <v>1896.53</v>
      </c>
      <c r="I353" s="109">
        <v>565</v>
      </c>
      <c r="J353" s="27">
        <v>97.5</v>
      </c>
      <c r="K353" s="39" t="s">
        <v>1328</v>
      </c>
      <c r="L353" s="130" t="s">
        <v>674</v>
      </c>
      <c r="M353" s="110" t="s">
        <v>675</v>
      </c>
      <c r="N353" s="40">
        <v>43388</v>
      </c>
      <c r="O353" s="63" t="s">
        <v>17</v>
      </c>
      <c r="P353" s="63" t="s">
        <v>17</v>
      </c>
      <c r="Q353" s="63" t="s">
        <v>17</v>
      </c>
      <c r="R353" s="112" t="s">
        <v>714</v>
      </c>
      <c r="S353" s="111" t="s">
        <v>11</v>
      </c>
      <c r="T353" s="111" t="s">
        <v>11</v>
      </c>
      <c r="U353" s="113">
        <v>378.47</v>
      </c>
      <c r="V353" s="113"/>
      <c r="W353" s="113"/>
      <c r="X353" s="113">
        <v>800</v>
      </c>
      <c r="Y353" s="113">
        <v>900</v>
      </c>
      <c r="Z353" s="113">
        <v>1200</v>
      </c>
      <c r="AA353" s="114">
        <v>190</v>
      </c>
      <c r="AB353" s="114">
        <v>379</v>
      </c>
      <c r="AC353" s="114">
        <v>569</v>
      </c>
      <c r="AD353" s="114">
        <v>948</v>
      </c>
      <c r="AE353" s="114">
        <v>1422</v>
      </c>
      <c r="AF353" s="114">
        <v>1897</v>
      </c>
      <c r="AG353" s="114">
        <v>94.8</v>
      </c>
      <c r="AH353" s="114">
        <v>96.6</v>
      </c>
      <c r="AI353" s="114">
        <v>97.4</v>
      </c>
      <c r="AJ353" s="114">
        <v>98</v>
      </c>
      <c r="AK353" s="114">
        <v>97.9</v>
      </c>
      <c r="AL353" s="114">
        <v>97.7</v>
      </c>
      <c r="AM353" s="114">
        <v>97.6</v>
      </c>
      <c r="AN353" s="114">
        <v>94.8</v>
      </c>
      <c r="AO353" s="114">
        <v>96.5</v>
      </c>
      <c r="AP353" s="114">
        <v>97.3</v>
      </c>
      <c r="AQ353" s="114">
        <v>97.8</v>
      </c>
      <c r="AR353" s="114">
        <v>97.8</v>
      </c>
      <c r="AS353" s="114">
        <v>97.6</v>
      </c>
      <c r="AT353" s="114">
        <v>97.5</v>
      </c>
      <c r="AU353" s="114">
        <v>94.7</v>
      </c>
      <c r="AV353" s="114">
        <v>96.4</v>
      </c>
      <c r="AW353" s="114">
        <v>97.3</v>
      </c>
      <c r="AX353" s="114">
        <v>97.8</v>
      </c>
      <c r="AY353" s="114">
        <v>97.8</v>
      </c>
      <c r="AZ353" s="114">
        <v>97.5</v>
      </c>
      <c r="BA353" s="114">
        <v>97.5</v>
      </c>
      <c r="BB353" s="40">
        <v>43235</v>
      </c>
      <c r="BC353" s="40">
        <v>43388</v>
      </c>
    </row>
    <row r="354" spans="1:55" s="120" customFormat="1" ht="60">
      <c r="A354" s="41" t="s">
        <v>5</v>
      </c>
      <c r="B354" s="41" t="s">
        <v>1113</v>
      </c>
      <c r="C354" s="43" t="s">
        <v>10</v>
      </c>
      <c r="D354" s="43" t="s">
        <v>10</v>
      </c>
      <c r="E354" s="63" t="s">
        <v>11</v>
      </c>
      <c r="F354" s="63" t="s">
        <v>11</v>
      </c>
      <c r="G354" s="41" t="s">
        <v>722</v>
      </c>
      <c r="H354" s="27">
        <v>1974.29</v>
      </c>
      <c r="I354" s="109">
        <v>600</v>
      </c>
      <c r="J354" s="27">
        <v>98</v>
      </c>
      <c r="K354" s="39" t="s">
        <v>1328</v>
      </c>
      <c r="L354" s="130" t="s">
        <v>674</v>
      </c>
      <c r="M354" s="110" t="s">
        <v>675</v>
      </c>
      <c r="N354" s="40">
        <v>43388</v>
      </c>
      <c r="O354" s="63" t="s">
        <v>17</v>
      </c>
      <c r="P354" s="63" t="s">
        <v>17</v>
      </c>
      <c r="Q354" s="63" t="s">
        <v>17</v>
      </c>
      <c r="R354" s="112" t="s">
        <v>704</v>
      </c>
      <c r="S354" s="111" t="s">
        <v>11</v>
      </c>
      <c r="T354" s="111" t="s">
        <v>11</v>
      </c>
      <c r="U354" s="113">
        <v>397.3</v>
      </c>
      <c r="V354" s="113"/>
      <c r="W354" s="113"/>
      <c r="X354" s="113">
        <v>849</v>
      </c>
      <c r="Y354" s="113">
        <v>940</v>
      </c>
      <c r="Z354" s="113">
        <v>1200</v>
      </c>
      <c r="AA354" s="114">
        <v>197</v>
      </c>
      <c r="AB354" s="114">
        <v>395</v>
      </c>
      <c r="AC354" s="114">
        <v>592</v>
      </c>
      <c r="AD354" s="114">
        <v>987</v>
      </c>
      <c r="AE354" s="114">
        <v>1481</v>
      </c>
      <c r="AF354" s="114">
        <v>1974</v>
      </c>
      <c r="AG354" s="114">
        <v>96.9</v>
      </c>
      <c r="AH354" s="114">
        <v>97.7</v>
      </c>
      <c r="AI354" s="114">
        <v>97.9</v>
      </c>
      <c r="AJ354" s="114">
        <v>98.1</v>
      </c>
      <c r="AK354" s="114">
        <v>98.1</v>
      </c>
      <c r="AL354" s="114">
        <v>97.9</v>
      </c>
      <c r="AM354" s="114">
        <v>98</v>
      </c>
      <c r="AN354" s="114">
        <v>96.7</v>
      </c>
      <c r="AO354" s="114">
        <v>97.5</v>
      </c>
      <c r="AP354" s="114">
        <v>97.8</v>
      </c>
      <c r="AQ354" s="114">
        <v>98</v>
      </c>
      <c r="AR354" s="114">
        <v>98</v>
      </c>
      <c r="AS354" s="114">
        <v>97.8</v>
      </c>
      <c r="AT354" s="114">
        <v>97.9</v>
      </c>
      <c r="AU354" s="114">
        <v>96.8</v>
      </c>
      <c r="AV354" s="114">
        <v>97.6</v>
      </c>
      <c r="AW354" s="114">
        <v>97.9</v>
      </c>
      <c r="AX354" s="114">
        <v>98</v>
      </c>
      <c r="AY354" s="114">
        <v>98</v>
      </c>
      <c r="AZ354" s="114">
        <v>97.8</v>
      </c>
      <c r="BA354" s="114">
        <v>97.9</v>
      </c>
      <c r="BB354" s="40">
        <v>43235</v>
      </c>
      <c r="BC354" s="40">
        <v>43388</v>
      </c>
    </row>
    <row r="355" spans="1:55" s="120" customFormat="1" ht="60">
      <c r="A355" s="41" t="s">
        <v>5</v>
      </c>
      <c r="B355" s="41" t="s">
        <v>1114</v>
      </c>
      <c r="C355" s="43" t="s">
        <v>10</v>
      </c>
      <c r="D355" s="43" t="s">
        <v>10</v>
      </c>
      <c r="E355" s="63" t="s">
        <v>11</v>
      </c>
      <c r="F355" s="63" t="s">
        <v>11</v>
      </c>
      <c r="G355" s="41" t="s">
        <v>703</v>
      </c>
      <c r="H355" s="27">
        <v>2020.96</v>
      </c>
      <c r="I355" s="109">
        <v>600</v>
      </c>
      <c r="J355" s="27">
        <v>97.5</v>
      </c>
      <c r="K355" s="39" t="s">
        <v>1328</v>
      </c>
      <c r="L355" s="130" t="s">
        <v>674</v>
      </c>
      <c r="M355" s="110" t="s">
        <v>675</v>
      </c>
      <c r="N355" s="40">
        <v>43388</v>
      </c>
      <c r="O355" s="63" t="s">
        <v>17</v>
      </c>
      <c r="P355" s="63" t="s">
        <v>17</v>
      </c>
      <c r="Q355" s="63" t="s">
        <v>17</v>
      </c>
      <c r="R355" s="112" t="s">
        <v>704</v>
      </c>
      <c r="S355" s="111" t="s">
        <v>11</v>
      </c>
      <c r="T355" s="111" t="s">
        <v>11</v>
      </c>
      <c r="U355" s="113">
        <v>388.77</v>
      </c>
      <c r="V355" s="113"/>
      <c r="W355" s="113"/>
      <c r="X355" s="113">
        <v>849</v>
      </c>
      <c r="Y355" s="113">
        <v>940</v>
      </c>
      <c r="Z355" s="113">
        <v>1200</v>
      </c>
      <c r="AA355" s="114">
        <v>202</v>
      </c>
      <c r="AB355" s="114">
        <v>404</v>
      </c>
      <c r="AC355" s="114">
        <v>606</v>
      </c>
      <c r="AD355" s="114">
        <v>1010</v>
      </c>
      <c r="AE355" s="114">
        <v>1516</v>
      </c>
      <c r="AF355" s="114">
        <v>2021</v>
      </c>
      <c r="AG355" s="114">
        <v>95.1</v>
      </c>
      <c r="AH355" s="114">
        <v>96.7</v>
      </c>
      <c r="AI355" s="114">
        <v>97.5</v>
      </c>
      <c r="AJ355" s="114">
        <v>98</v>
      </c>
      <c r="AK355" s="114">
        <v>98</v>
      </c>
      <c r="AL355" s="114">
        <v>97.8</v>
      </c>
      <c r="AM355" s="114">
        <v>97.8</v>
      </c>
      <c r="AN355" s="114">
        <v>95</v>
      </c>
      <c r="AO355" s="114">
        <v>96.6</v>
      </c>
      <c r="AP355" s="114">
        <v>97.5</v>
      </c>
      <c r="AQ355" s="114">
        <v>97.9</v>
      </c>
      <c r="AR355" s="114">
        <v>97.9</v>
      </c>
      <c r="AS355" s="114">
        <v>97.7</v>
      </c>
      <c r="AT355" s="114">
        <v>97.7</v>
      </c>
      <c r="AU355" s="114">
        <v>95</v>
      </c>
      <c r="AV355" s="114">
        <v>96.6</v>
      </c>
      <c r="AW355" s="114">
        <v>97.4</v>
      </c>
      <c r="AX355" s="114">
        <v>97.9</v>
      </c>
      <c r="AY355" s="114">
        <v>97.9</v>
      </c>
      <c r="AZ355" s="114">
        <v>97.6</v>
      </c>
      <c r="BA355" s="114">
        <v>97.7</v>
      </c>
      <c r="BB355" s="40">
        <v>43235</v>
      </c>
      <c r="BC355" s="40">
        <v>43388</v>
      </c>
    </row>
    <row r="356" spans="1:55" s="120" customFormat="1" ht="60">
      <c r="A356" s="41" t="s">
        <v>5</v>
      </c>
      <c r="B356" s="41" t="s">
        <v>1115</v>
      </c>
      <c r="C356" s="43" t="s">
        <v>10</v>
      </c>
      <c r="D356" s="43" t="s">
        <v>10</v>
      </c>
      <c r="E356" s="63" t="s">
        <v>11</v>
      </c>
      <c r="F356" s="63" t="s">
        <v>11</v>
      </c>
      <c r="G356" s="41" t="s">
        <v>691</v>
      </c>
      <c r="H356" s="27">
        <v>2162.42</v>
      </c>
      <c r="I356" s="109">
        <v>645</v>
      </c>
      <c r="J356" s="27">
        <v>98</v>
      </c>
      <c r="K356" s="39" t="s">
        <v>1328</v>
      </c>
      <c r="L356" s="130" t="s">
        <v>674</v>
      </c>
      <c r="M356" s="110" t="s">
        <v>675</v>
      </c>
      <c r="N356" s="40">
        <v>43388</v>
      </c>
      <c r="O356" s="63" t="s">
        <v>17</v>
      </c>
      <c r="P356" s="63" t="s">
        <v>17</v>
      </c>
      <c r="Q356" s="63" t="s">
        <v>17</v>
      </c>
      <c r="R356" s="112" t="s">
        <v>692</v>
      </c>
      <c r="S356" s="111" t="s">
        <v>11</v>
      </c>
      <c r="T356" s="111" t="s">
        <v>11</v>
      </c>
      <c r="U356" s="113">
        <v>388.97</v>
      </c>
      <c r="V356" s="113"/>
      <c r="W356" s="113"/>
      <c r="X356" s="113">
        <v>913</v>
      </c>
      <c r="Y356" s="113">
        <v>980</v>
      </c>
      <c r="Z356" s="113">
        <v>1200</v>
      </c>
      <c r="AA356" s="114">
        <v>216</v>
      </c>
      <c r="AB356" s="114">
        <v>432</v>
      </c>
      <c r="AC356" s="114">
        <v>649</v>
      </c>
      <c r="AD356" s="114">
        <v>1081</v>
      </c>
      <c r="AE356" s="114">
        <v>1622</v>
      </c>
      <c r="AF356" s="114">
        <v>2162</v>
      </c>
      <c r="AG356" s="114">
        <v>95.2</v>
      </c>
      <c r="AH356" s="114">
        <v>96.9</v>
      </c>
      <c r="AI356" s="114">
        <v>97.6</v>
      </c>
      <c r="AJ356" s="114">
        <v>98.1</v>
      </c>
      <c r="AK356" s="114">
        <v>98.1</v>
      </c>
      <c r="AL356" s="114">
        <v>97.9</v>
      </c>
      <c r="AM356" s="114">
        <v>97.9</v>
      </c>
      <c r="AN356" s="114">
        <v>95.2</v>
      </c>
      <c r="AO356" s="114">
        <v>96.8</v>
      </c>
      <c r="AP356" s="114">
        <v>97.5</v>
      </c>
      <c r="AQ356" s="114">
        <v>98</v>
      </c>
      <c r="AR356" s="114">
        <v>98</v>
      </c>
      <c r="AS356" s="114">
        <v>97.8</v>
      </c>
      <c r="AT356" s="114">
        <v>97.8</v>
      </c>
      <c r="AU356" s="114">
        <v>95.2</v>
      </c>
      <c r="AV356" s="114">
        <v>96.8</v>
      </c>
      <c r="AW356" s="114">
        <v>97.5</v>
      </c>
      <c r="AX356" s="114">
        <v>98</v>
      </c>
      <c r="AY356" s="114">
        <v>98</v>
      </c>
      <c r="AZ356" s="114">
        <v>97.8</v>
      </c>
      <c r="BA356" s="114">
        <v>97.7</v>
      </c>
      <c r="BB356" s="40">
        <v>43235</v>
      </c>
      <c r="BC356" s="40">
        <v>43388</v>
      </c>
    </row>
    <row r="357" spans="1:55" s="120" customFormat="1" ht="60">
      <c r="A357" s="41" t="s">
        <v>5</v>
      </c>
      <c r="B357" s="41" t="s">
        <v>1116</v>
      </c>
      <c r="C357" s="43" t="s">
        <v>10</v>
      </c>
      <c r="D357" s="43" t="s">
        <v>10</v>
      </c>
      <c r="E357" s="63" t="s">
        <v>11</v>
      </c>
      <c r="F357" s="63" t="s">
        <v>11</v>
      </c>
      <c r="G357" s="41" t="s">
        <v>715</v>
      </c>
      <c r="H357" s="27">
        <v>2275.89</v>
      </c>
      <c r="I357" s="109">
        <v>565</v>
      </c>
      <c r="J357" s="27">
        <v>97.5</v>
      </c>
      <c r="K357" s="39" t="s">
        <v>1328</v>
      </c>
      <c r="L357" s="130" t="s">
        <v>674</v>
      </c>
      <c r="M357" s="110" t="s">
        <v>675</v>
      </c>
      <c r="N357" s="40">
        <v>43388</v>
      </c>
      <c r="O357" s="63" t="s">
        <v>17</v>
      </c>
      <c r="P357" s="63" t="s">
        <v>17</v>
      </c>
      <c r="Q357" s="63" t="s">
        <v>17</v>
      </c>
      <c r="R357" s="112" t="s">
        <v>716</v>
      </c>
      <c r="S357" s="111" t="s">
        <v>11</v>
      </c>
      <c r="T357" s="111" t="s">
        <v>11</v>
      </c>
      <c r="U357" s="113">
        <v>398.85</v>
      </c>
      <c r="V357" s="113"/>
      <c r="W357" s="113"/>
      <c r="X357" s="113">
        <v>800</v>
      </c>
      <c r="Y357" s="113">
        <v>900</v>
      </c>
      <c r="Z357" s="113">
        <v>1200</v>
      </c>
      <c r="AA357" s="114">
        <v>228</v>
      </c>
      <c r="AB357" s="114">
        <v>455</v>
      </c>
      <c r="AC357" s="114">
        <v>683</v>
      </c>
      <c r="AD357" s="114">
        <v>1138</v>
      </c>
      <c r="AE357" s="114">
        <v>1707</v>
      </c>
      <c r="AF357" s="114">
        <v>2276</v>
      </c>
      <c r="AG357" s="114">
        <v>95.4</v>
      </c>
      <c r="AH357" s="114">
        <v>97.2</v>
      </c>
      <c r="AI357" s="114">
        <v>97.6</v>
      </c>
      <c r="AJ357" s="114">
        <v>98</v>
      </c>
      <c r="AK357" s="114">
        <v>98</v>
      </c>
      <c r="AL357" s="114">
        <v>97.7</v>
      </c>
      <c r="AM357" s="114">
        <v>97.8</v>
      </c>
      <c r="AN357" s="114">
        <v>95.2</v>
      </c>
      <c r="AO357" s="114">
        <v>97.1</v>
      </c>
      <c r="AP357" s="114">
        <v>97.6</v>
      </c>
      <c r="AQ357" s="114">
        <v>97.9</v>
      </c>
      <c r="AR357" s="114">
        <v>97.8</v>
      </c>
      <c r="AS357" s="114">
        <v>97.6</v>
      </c>
      <c r="AT357" s="114">
        <v>97.7</v>
      </c>
      <c r="AU357" s="114">
        <v>95.3</v>
      </c>
      <c r="AV357" s="114">
        <v>97</v>
      </c>
      <c r="AW357" s="114">
        <v>97.5</v>
      </c>
      <c r="AX357" s="114">
        <v>97.9</v>
      </c>
      <c r="AY357" s="114">
        <v>97.8</v>
      </c>
      <c r="AZ357" s="114">
        <v>97.6</v>
      </c>
      <c r="BA357" s="114">
        <v>97.7</v>
      </c>
      <c r="BB357" s="40">
        <v>43235</v>
      </c>
      <c r="BC357" s="40">
        <v>43388</v>
      </c>
    </row>
    <row r="358" spans="1:55" s="120" customFormat="1" ht="60">
      <c r="A358" s="41" t="s">
        <v>5</v>
      </c>
      <c r="B358" s="41" t="s">
        <v>1117</v>
      </c>
      <c r="C358" s="43" t="s">
        <v>10</v>
      </c>
      <c r="D358" s="43" t="s">
        <v>10</v>
      </c>
      <c r="E358" s="63" t="s">
        <v>11</v>
      </c>
      <c r="F358" s="63" t="s">
        <v>11</v>
      </c>
      <c r="G358" s="41" t="s">
        <v>679</v>
      </c>
      <c r="H358" s="27">
        <v>2306.41</v>
      </c>
      <c r="I358" s="109">
        <v>690</v>
      </c>
      <c r="J358" s="27">
        <v>98</v>
      </c>
      <c r="K358" s="39" t="s">
        <v>1328</v>
      </c>
      <c r="L358" s="130" t="s">
        <v>674</v>
      </c>
      <c r="M358" s="110" t="s">
        <v>675</v>
      </c>
      <c r="N358" s="40">
        <v>43388</v>
      </c>
      <c r="O358" s="63" t="s">
        <v>17</v>
      </c>
      <c r="P358" s="63" t="s">
        <v>17</v>
      </c>
      <c r="Q358" s="63" t="s">
        <v>17</v>
      </c>
      <c r="R358" s="112" t="s">
        <v>680</v>
      </c>
      <c r="S358" s="111" t="s">
        <v>11</v>
      </c>
      <c r="T358" s="111" t="s">
        <v>11</v>
      </c>
      <c r="U358" s="113">
        <v>390.63</v>
      </c>
      <c r="V358" s="113"/>
      <c r="W358" s="113"/>
      <c r="X358" s="113">
        <v>976</v>
      </c>
      <c r="Y358" s="113">
        <v>1030</v>
      </c>
      <c r="Z358" s="113">
        <v>1200</v>
      </c>
      <c r="AA358" s="114">
        <v>231</v>
      </c>
      <c r="AB358" s="114">
        <v>461</v>
      </c>
      <c r="AC358" s="114">
        <v>692</v>
      </c>
      <c r="AD358" s="114">
        <v>1153</v>
      </c>
      <c r="AE358" s="114">
        <v>1730</v>
      </c>
      <c r="AF358" s="114">
        <v>2306</v>
      </c>
      <c r="AG358" s="114">
        <v>95.6</v>
      </c>
      <c r="AH358" s="114">
        <v>97.1</v>
      </c>
      <c r="AI358" s="114">
        <v>97.8</v>
      </c>
      <c r="AJ358" s="114">
        <v>98.2</v>
      </c>
      <c r="AK358" s="114">
        <v>98.2</v>
      </c>
      <c r="AL358" s="114">
        <v>98</v>
      </c>
      <c r="AM358" s="114">
        <v>98</v>
      </c>
      <c r="AN358" s="114">
        <v>95.6</v>
      </c>
      <c r="AO358" s="114">
        <v>97.1</v>
      </c>
      <c r="AP358" s="114">
        <v>97.7</v>
      </c>
      <c r="AQ358" s="114">
        <v>98.1</v>
      </c>
      <c r="AR358" s="114">
        <v>98.1</v>
      </c>
      <c r="AS358" s="114">
        <v>97.9</v>
      </c>
      <c r="AT358" s="114">
        <v>97.9</v>
      </c>
      <c r="AU358" s="114">
        <v>95.5</v>
      </c>
      <c r="AV358" s="114">
        <v>97</v>
      </c>
      <c r="AW358" s="114">
        <v>97.6</v>
      </c>
      <c r="AX358" s="114">
        <v>98.1</v>
      </c>
      <c r="AY358" s="114">
        <v>98.1</v>
      </c>
      <c r="AZ358" s="114">
        <v>97.8</v>
      </c>
      <c r="BA358" s="114">
        <v>97.9</v>
      </c>
      <c r="BB358" s="40">
        <v>43235</v>
      </c>
      <c r="BC358" s="40">
        <v>43388</v>
      </c>
    </row>
    <row r="359" spans="1:55" s="120" customFormat="1" ht="60">
      <c r="A359" s="41" t="s">
        <v>5</v>
      </c>
      <c r="B359" s="41" t="s">
        <v>1118</v>
      </c>
      <c r="C359" s="43" t="s">
        <v>10</v>
      </c>
      <c r="D359" s="43" t="s">
        <v>10</v>
      </c>
      <c r="E359" s="63" t="s">
        <v>11</v>
      </c>
      <c r="F359" s="63" t="s">
        <v>11</v>
      </c>
      <c r="G359" s="41" t="s">
        <v>705</v>
      </c>
      <c r="H359" s="27">
        <v>2417.08</v>
      </c>
      <c r="I359" s="109">
        <v>600</v>
      </c>
      <c r="J359" s="27">
        <v>97.5</v>
      </c>
      <c r="K359" s="39" t="s">
        <v>1328</v>
      </c>
      <c r="L359" s="130" t="s">
        <v>674</v>
      </c>
      <c r="M359" s="110" t="s">
        <v>675</v>
      </c>
      <c r="N359" s="40">
        <v>43388</v>
      </c>
      <c r="O359" s="63" t="s">
        <v>17</v>
      </c>
      <c r="P359" s="63" t="s">
        <v>17</v>
      </c>
      <c r="Q359" s="63" t="s">
        <v>17</v>
      </c>
      <c r="R359" s="112" t="s">
        <v>706</v>
      </c>
      <c r="S359" s="111" t="s">
        <v>11</v>
      </c>
      <c r="T359" s="111" t="s">
        <v>11</v>
      </c>
      <c r="U359" s="113">
        <v>403.32</v>
      </c>
      <c r="V359" s="113"/>
      <c r="W359" s="113"/>
      <c r="X359" s="113">
        <v>849</v>
      </c>
      <c r="Y359" s="113">
        <v>940</v>
      </c>
      <c r="Z359" s="113">
        <v>1200</v>
      </c>
      <c r="AA359" s="114">
        <v>242</v>
      </c>
      <c r="AB359" s="114">
        <v>483</v>
      </c>
      <c r="AC359" s="114">
        <v>725</v>
      </c>
      <c r="AD359" s="114">
        <v>1209</v>
      </c>
      <c r="AE359" s="114">
        <v>1813</v>
      </c>
      <c r="AF359" s="114">
        <v>2417</v>
      </c>
      <c r="AG359" s="114">
        <v>95.5</v>
      </c>
      <c r="AH359" s="114">
        <v>97.2</v>
      </c>
      <c r="AI359" s="114">
        <v>97.7</v>
      </c>
      <c r="AJ359" s="114">
        <v>98.1</v>
      </c>
      <c r="AK359" s="114">
        <v>98.1</v>
      </c>
      <c r="AL359" s="114">
        <v>97.8</v>
      </c>
      <c r="AM359" s="114">
        <v>97.9</v>
      </c>
      <c r="AN359" s="114">
        <v>95.5</v>
      </c>
      <c r="AO359" s="114">
        <v>97.2</v>
      </c>
      <c r="AP359" s="114">
        <v>97.7</v>
      </c>
      <c r="AQ359" s="114">
        <v>98</v>
      </c>
      <c r="AR359" s="114">
        <v>98</v>
      </c>
      <c r="AS359" s="114">
        <v>97.7</v>
      </c>
      <c r="AT359" s="114">
        <v>97.8</v>
      </c>
      <c r="AU359" s="114">
        <v>95.4</v>
      </c>
      <c r="AV359" s="114">
        <v>97.1</v>
      </c>
      <c r="AW359" s="114">
        <v>97.6</v>
      </c>
      <c r="AX359" s="114">
        <v>98</v>
      </c>
      <c r="AY359" s="114">
        <v>98</v>
      </c>
      <c r="AZ359" s="114">
        <v>97.7</v>
      </c>
      <c r="BA359" s="114">
        <v>97.8</v>
      </c>
      <c r="BB359" s="40">
        <v>43235</v>
      </c>
      <c r="BC359" s="40">
        <v>43388</v>
      </c>
    </row>
    <row r="360" spans="1:55" s="120" customFormat="1" ht="60">
      <c r="A360" s="41" t="s">
        <v>5</v>
      </c>
      <c r="B360" s="41" t="s">
        <v>1119</v>
      </c>
      <c r="C360" s="43" t="s">
        <v>10</v>
      </c>
      <c r="D360" s="43" t="s">
        <v>10</v>
      </c>
      <c r="E360" s="63" t="s">
        <v>11</v>
      </c>
      <c r="F360" s="63" t="s">
        <v>11</v>
      </c>
      <c r="G360" s="41" t="s">
        <v>723</v>
      </c>
      <c r="H360" s="27">
        <v>2420.37</v>
      </c>
      <c r="I360" s="109">
        <v>600</v>
      </c>
      <c r="J360" s="27">
        <v>98</v>
      </c>
      <c r="K360" s="39" t="s">
        <v>1328</v>
      </c>
      <c r="L360" s="130" t="s">
        <v>674</v>
      </c>
      <c r="M360" s="110" t="s">
        <v>675</v>
      </c>
      <c r="N360" s="40">
        <v>43388</v>
      </c>
      <c r="O360" s="63" t="s">
        <v>17</v>
      </c>
      <c r="P360" s="63" t="s">
        <v>17</v>
      </c>
      <c r="Q360" s="63" t="s">
        <v>17</v>
      </c>
      <c r="R360" s="112" t="s">
        <v>724</v>
      </c>
      <c r="S360" s="111" t="s">
        <v>11</v>
      </c>
      <c r="T360" s="111" t="s">
        <v>11</v>
      </c>
      <c r="U360" s="113">
        <v>416.47</v>
      </c>
      <c r="V360" s="113"/>
      <c r="W360" s="113"/>
      <c r="X360" s="113">
        <v>849</v>
      </c>
      <c r="Y360" s="113">
        <v>940</v>
      </c>
      <c r="Z360" s="113">
        <v>1200</v>
      </c>
      <c r="AA360" s="114">
        <v>242</v>
      </c>
      <c r="AB360" s="114">
        <v>484</v>
      </c>
      <c r="AC360" s="114">
        <v>726</v>
      </c>
      <c r="AD360" s="114">
        <v>1210</v>
      </c>
      <c r="AE360" s="114">
        <v>1815</v>
      </c>
      <c r="AF360" s="114">
        <v>2420</v>
      </c>
      <c r="AG360" s="114">
        <v>97.2</v>
      </c>
      <c r="AH360" s="114">
        <v>97.8</v>
      </c>
      <c r="AI360" s="114">
        <v>98</v>
      </c>
      <c r="AJ360" s="114">
        <v>98.2</v>
      </c>
      <c r="AK360" s="114">
        <v>98.1</v>
      </c>
      <c r="AL360" s="114">
        <v>97.9</v>
      </c>
      <c r="AM360" s="114">
        <v>98</v>
      </c>
      <c r="AN360" s="114">
        <v>96.9</v>
      </c>
      <c r="AO360" s="114">
        <v>97.8</v>
      </c>
      <c r="AP360" s="114">
        <v>98</v>
      </c>
      <c r="AQ360" s="114">
        <v>98</v>
      </c>
      <c r="AR360" s="114">
        <v>98</v>
      </c>
      <c r="AS360" s="114">
        <v>97.7</v>
      </c>
      <c r="AT360" s="114">
        <v>97.9</v>
      </c>
      <c r="AU360" s="114">
        <v>96.9</v>
      </c>
      <c r="AV360" s="114">
        <v>97.7</v>
      </c>
      <c r="AW360" s="114">
        <v>97.9</v>
      </c>
      <c r="AX360" s="114">
        <v>98.1</v>
      </c>
      <c r="AY360" s="114">
        <v>98</v>
      </c>
      <c r="AZ360" s="114">
        <v>97.8</v>
      </c>
      <c r="BA360" s="114">
        <v>97.9</v>
      </c>
      <c r="BB360" s="40">
        <v>43235</v>
      </c>
      <c r="BC360" s="40">
        <v>43388</v>
      </c>
    </row>
    <row r="361" spans="1:55" s="120" customFormat="1" ht="60">
      <c r="A361" s="41" t="s">
        <v>5</v>
      </c>
      <c r="B361" s="41" t="s">
        <v>1120</v>
      </c>
      <c r="C361" s="43" t="s">
        <v>10</v>
      </c>
      <c r="D361" s="43" t="s">
        <v>10</v>
      </c>
      <c r="E361" s="63" t="s">
        <v>11</v>
      </c>
      <c r="F361" s="63" t="s">
        <v>11</v>
      </c>
      <c r="G361" s="41" t="s">
        <v>695</v>
      </c>
      <c r="H361" s="27">
        <v>2558.48</v>
      </c>
      <c r="I361" s="109">
        <v>645</v>
      </c>
      <c r="J361" s="27">
        <v>98</v>
      </c>
      <c r="K361" s="39" t="s">
        <v>1328</v>
      </c>
      <c r="L361" s="130" t="s">
        <v>674</v>
      </c>
      <c r="M361" s="110" t="s">
        <v>675</v>
      </c>
      <c r="N361" s="40">
        <v>43388</v>
      </c>
      <c r="O361" s="63" t="s">
        <v>17</v>
      </c>
      <c r="P361" s="63" t="s">
        <v>17</v>
      </c>
      <c r="Q361" s="63" t="s">
        <v>17</v>
      </c>
      <c r="R361" s="112" t="s">
        <v>696</v>
      </c>
      <c r="S361" s="111" t="s">
        <v>11</v>
      </c>
      <c r="T361" s="111" t="s">
        <v>11</v>
      </c>
      <c r="U361" s="113">
        <v>409.99</v>
      </c>
      <c r="V361" s="113"/>
      <c r="W361" s="113"/>
      <c r="X361" s="113">
        <v>913</v>
      </c>
      <c r="Y361" s="113">
        <v>980</v>
      </c>
      <c r="Z361" s="113">
        <v>1200</v>
      </c>
      <c r="AA361" s="114">
        <v>256</v>
      </c>
      <c r="AB361" s="114">
        <v>512</v>
      </c>
      <c r="AC361" s="114">
        <v>768</v>
      </c>
      <c r="AD361" s="114">
        <v>1279</v>
      </c>
      <c r="AE361" s="114">
        <v>1919</v>
      </c>
      <c r="AF361" s="114">
        <v>2558</v>
      </c>
      <c r="AG361" s="114">
        <v>95.7</v>
      </c>
      <c r="AH361" s="114">
        <v>97.4</v>
      </c>
      <c r="AI361" s="114">
        <v>97.8</v>
      </c>
      <c r="AJ361" s="114">
        <v>98.1</v>
      </c>
      <c r="AK361" s="114">
        <v>98.1</v>
      </c>
      <c r="AL361" s="114">
        <v>97.9</v>
      </c>
      <c r="AM361" s="114">
        <v>97.9</v>
      </c>
      <c r="AN361" s="114">
        <v>95.6</v>
      </c>
      <c r="AO361" s="114">
        <v>97.3</v>
      </c>
      <c r="AP361" s="114">
        <v>97.8</v>
      </c>
      <c r="AQ361" s="114">
        <v>98.1</v>
      </c>
      <c r="AR361" s="114">
        <v>98.1</v>
      </c>
      <c r="AS361" s="114">
        <v>97.8</v>
      </c>
      <c r="AT361" s="114">
        <v>97.9</v>
      </c>
      <c r="AU361" s="114">
        <v>95.6</v>
      </c>
      <c r="AV361" s="114">
        <v>97.3</v>
      </c>
      <c r="AW361" s="114">
        <v>97.7</v>
      </c>
      <c r="AX361" s="114">
        <v>98.1</v>
      </c>
      <c r="AY361" s="114">
        <v>98.1</v>
      </c>
      <c r="AZ361" s="114">
        <v>97.8</v>
      </c>
      <c r="BA361" s="114">
        <v>97.9</v>
      </c>
      <c r="BB361" s="40">
        <v>43235</v>
      </c>
      <c r="BC361" s="40">
        <v>43388</v>
      </c>
    </row>
    <row r="362" spans="1:55" s="120" customFormat="1" ht="60">
      <c r="A362" s="41" t="s">
        <v>5</v>
      </c>
      <c r="B362" s="41" t="s">
        <v>1121</v>
      </c>
      <c r="C362" s="43" t="s">
        <v>10</v>
      </c>
      <c r="D362" s="43" t="s">
        <v>10</v>
      </c>
      <c r="E362" s="63" t="s">
        <v>11</v>
      </c>
      <c r="F362" s="63" t="s">
        <v>11</v>
      </c>
      <c r="G362" s="41" t="s">
        <v>693</v>
      </c>
      <c r="H362" s="27">
        <v>2583.7600000000002</v>
      </c>
      <c r="I362" s="109">
        <v>645</v>
      </c>
      <c r="J362" s="27">
        <v>98</v>
      </c>
      <c r="K362" s="39" t="s">
        <v>1328</v>
      </c>
      <c r="L362" s="130" t="s">
        <v>674</v>
      </c>
      <c r="M362" s="110" t="s">
        <v>675</v>
      </c>
      <c r="N362" s="40">
        <v>43388</v>
      </c>
      <c r="O362" s="63" t="s">
        <v>17</v>
      </c>
      <c r="P362" s="63" t="s">
        <v>17</v>
      </c>
      <c r="Q362" s="63" t="s">
        <v>17</v>
      </c>
      <c r="R362" s="112" t="s">
        <v>694</v>
      </c>
      <c r="S362" s="111" t="s">
        <v>11</v>
      </c>
      <c r="T362" s="111" t="s">
        <v>11</v>
      </c>
      <c r="U362" s="113">
        <v>407.44</v>
      </c>
      <c r="V362" s="113"/>
      <c r="W362" s="113"/>
      <c r="X362" s="113">
        <v>913</v>
      </c>
      <c r="Y362" s="113">
        <v>980</v>
      </c>
      <c r="Z362" s="113">
        <v>1200</v>
      </c>
      <c r="AA362" s="114">
        <v>258</v>
      </c>
      <c r="AB362" s="114">
        <v>517</v>
      </c>
      <c r="AC362" s="114">
        <v>775</v>
      </c>
      <c r="AD362" s="114">
        <v>1292</v>
      </c>
      <c r="AE362" s="114">
        <v>1938</v>
      </c>
      <c r="AF362" s="114">
        <v>2584</v>
      </c>
      <c r="AG362" s="114">
        <v>95.8</v>
      </c>
      <c r="AH362" s="114">
        <v>97.4</v>
      </c>
      <c r="AI362" s="114">
        <v>97.9</v>
      </c>
      <c r="AJ362" s="114">
        <v>98.1</v>
      </c>
      <c r="AK362" s="114">
        <v>98.1</v>
      </c>
      <c r="AL362" s="114">
        <v>97.9</v>
      </c>
      <c r="AM362" s="114">
        <v>98</v>
      </c>
      <c r="AN362" s="114">
        <v>95.8</v>
      </c>
      <c r="AO362" s="114">
        <v>97.4</v>
      </c>
      <c r="AP362" s="114">
        <v>97.7</v>
      </c>
      <c r="AQ362" s="114">
        <v>98.1</v>
      </c>
      <c r="AR362" s="114">
        <v>98.1</v>
      </c>
      <c r="AS362" s="114">
        <v>97.8</v>
      </c>
      <c r="AT362" s="114">
        <v>97.9</v>
      </c>
      <c r="AU362" s="114">
        <v>95.7</v>
      </c>
      <c r="AV362" s="114">
        <v>97.3</v>
      </c>
      <c r="AW362" s="114">
        <v>97.7</v>
      </c>
      <c r="AX362" s="114">
        <v>98.1</v>
      </c>
      <c r="AY362" s="114">
        <v>98</v>
      </c>
      <c r="AZ362" s="114">
        <v>97.8</v>
      </c>
      <c r="BA362" s="114">
        <v>97.9</v>
      </c>
      <c r="BB362" s="40">
        <v>43235</v>
      </c>
      <c r="BC362" s="40">
        <v>43388</v>
      </c>
    </row>
    <row r="363" spans="1:55" s="120" customFormat="1" ht="60">
      <c r="A363" s="41" t="s">
        <v>5</v>
      </c>
      <c r="B363" s="41" t="s">
        <v>1122</v>
      </c>
      <c r="C363" s="43" t="s">
        <v>10</v>
      </c>
      <c r="D363" s="43" t="s">
        <v>10</v>
      </c>
      <c r="E363" s="63" t="s">
        <v>11</v>
      </c>
      <c r="F363" s="63" t="s">
        <v>11</v>
      </c>
      <c r="G363" s="41" t="s">
        <v>717</v>
      </c>
      <c r="H363" s="27">
        <v>2664.07</v>
      </c>
      <c r="I363" s="109">
        <v>565</v>
      </c>
      <c r="J363" s="27">
        <v>97.5</v>
      </c>
      <c r="K363" s="39" t="s">
        <v>1328</v>
      </c>
      <c r="L363" s="130" t="s">
        <v>674</v>
      </c>
      <c r="M363" s="110" t="s">
        <v>675</v>
      </c>
      <c r="N363" s="40">
        <v>43388</v>
      </c>
      <c r="O363" s="63" t="s">
        <v>17</v>
      </c>
      <c r="P363" s="63" t="s">
        <v>17</v>
      </c>
      <c r="Q363" s="63" t="s">
        <v>17</v>
      </c>
      <c r="R363" s="112" t="s">
        <v>718</v>
      </c>
      <c r="S363" s="111" t="s">
        <v>11</v>
      </c>
      <c r="T363" s="111" t="s">
        <v>11</v>
      </c>
      <c r="U363" s="113">
        <v>417.35</v>
      </c>
      <c r="V363" s="113"/>
      <c r="W363" s="113"/>
      <c r="X363" s="113">
        <v>800</v>
      </c>
      <c r="Y363" s="113">
        <v>900</v>
      </c>
      <c r="Z363" s="113">
        <v>1200</v>
      </c>
      <c r="AA363" s="114">
        <v>266</v>
      </c>
      <c r="AB363" s="114">
        <v>533</v>
      </c>
      <c r="AC363" s="114">
        <v>799</v>
      </c>
      <c r="AD363" s="114">
        <v>1332</v>
      </c>
      <c r="AE363" s="114">
        <v>1998</v>
      </c>
      <c r="AF363" s="114">
        <v>2664</v>
      </c>
      <c r="AG363" s="114">
        <v>95.7</v>
      </c>
      <c r="AH363" s="114">
        <v>97.3</v>
      </c>
      <c r="AI363" s="114">
        <v>97.6</v>
      </c>
      <c r="AJ363" s="114">
        <v>98</v>
      </c>
      <c r="AK363" s="114">
        <v>98</v>
      </c>
      <c r="AL363" s="114">
        <v>97.7</v>
      </c>
      <c r="AM363" s="114">
        <v>97.8</v>
      </c>
      <c r="AN363" s="114">
        <v>95.6</v>
      </c>
      <c r="AO363" s="114">
        <v>97.2</v>
      </c>
      <c r="AP363" s="114">
        <v>97.6</v>
      </c>
      <c r="AQ363" s="114">
        <v>97.9</v>
      </c>
      <c r="AR363" s="114">
        <v>97.9</v>
      </c>
      <c r="AS363" s="114">
        <v>97.6</v>
      </c>
      <c r="AT363" s="114">
        <v>97.7</v>
      </c>
      <c r="AU363" s="114">
        <v>95.6</v>
      </c>
      <c r="AV363" s="114">
        <v>97.2</v>
      </c>
      <c r="AW363" s="114">
        <v>97.5</v>
      </c>
      <c r="AX363" s="114">
        <v>97.9</v>
      </c>
      <c r="AY363" s="114">
        <v>97.9</v>
      </c>
      <c r="AZ363" s="114">
        <v>97.6</v>
      </c>
      <c r="BA363" s="114">
        <v>97.7</v>
      </c>
      <c r="BB363" s="40">
        <v>43235</v>
      </c>
      <c r="BC363" s="40">
        <v>43388</v>
      </c>
    </row>
    <row r="364" spans="1:55" s="120" customFormat="1" ht="60">
      <c r="A364" s="41" t="s">
        <v>5</v>
      </c>
      <c r="B364" s="41" t="s">
        <v>1123</v>
      </c>
      <c r="C364" s="43" t="s">
        <v>10</v>
      </c>
      <c r="D364" s="43" t="s">
        <v>10</v>
      </c>
      <c r="E364" s="63" t="s">
        <v>11</v>
      </c>
      <c r="F364" s="63" t="s">
        <v>11</v>
      </c>
      <c r="G364" s="41" t="s">
        <v>681</v>
      </c>
      <c r="H364" s="27">
        <v>2759.39</v>
      </c>
      <c r="I364" s="109">
        <v>690</v>
      </c>
      <c r="J364" s="27">
        <v>98</v>
      </c>
      <c r="K364" s="39" t="s">
        <v>1328</v>
      </c>
      <c r="L364" s="130" t="s">
        <v>674</v>
      </c>
      <c r="M364" s="110" t="s">
        <v>675</v>
      </c>
      <c r="N364" s="40">
        <v>43388</v>
      </c>
      <c r="O364" s="63" t="s">
        <v>17</v>
      </c>
      <c r="P364" s="63" t="s">
        <v>17</v>
      </c>
      <c r="Q364" s="63" t="s">
        <v>17</v>
      </c>
      <c r="R364" s="112" t="s">
        <v>682</v>
      </c>
      <c r="S364" s="111" t="s">
        <v>11</v>
      </c>
      <c r="T364" s="111" t="s">
        <v>11</v>
      </c>
      <c r="U364" s="113">
        <v>408.29</v>
      </c>
      <c r="V364" s="113"/>
      <c r="W364" s="113"/>
      <c r="X364" s="113">
        <v>976</v>
      </c>
      <c r="Y364" s="113">
        <v>1030</v>
      </c>
      <c r="Z364" s="113">
        <v>1200</v>
      </c>
      <c r="AA364" s="114">
        <v>276</v>
      </c>
      <c r="AB364" s="114">
        <v>552</v>
      </c>
      <c r="AC364" s="114">
        <v>828</v>
      </c>
      <c r="AD364" s="114">
        <v>1380</v>
      </c>
      <c r="AE364" s="114">
        <v>2070</v>
      </c>
      <c r="AF364" s="114">
        <v>2759</v>
      </c>
      <c r="AG364" s="114">
        <v>96</v>
      </c>
      <c r="AH364" s="114">
        <v>97.5</v>
      </c>
      <c r="AI364" s="114">
        <v>97.9</v>
      </c>
      <c r="AJ364" s="114">
        <v>98.2</v>
      </c>
      <c r="AK364" s="114">
        <v>98.2</v>
      </c>
      <c r="AL364" s="114">
        <v>97.9</v>
      </c>
      <c r="AM364" s="114">
        <v>98</v>
      </c>
      <c r="AN364" s="114">
        <v>95.9</v>
      </c>
      <c r="AO364" s="114">
        <v>97.4</v>
      </c>
      <c r="AP364" s="114">
        <v>97.8</v>
      </c>
      <c r="AQ364" s="114">
        <v>98.2</v>
      </c>
      <c r="AR364" s="114">
        <v>98.1</v>
      </c>
      <c r="AS364" s="114">
        <v>97.8</v>
      </c>
      <c r="AT364" s="114">
        <v>97.9</v>
      </c>
      <c r="AU364" s="114">
        <v>95.9</v>
      </c>
      <c r="AV364" s="114">
        <v>97.4</v>
      </c>
      <c r="AW364" s="114">
        <v>97.8</v>
      </c>
      <c r="AX364" s="114">
        <v>98.1</v>
      </c>
      <c r="AY364" s="114">
        <v>98.1</v>
      </c>
      <c r="AZ364" s="114">
        <v>97.9</v>
      </c>
      <c r="BA364" s="114">
        <v>98</v>
      </c>
      <c r="BB364" s="40">
        <v>43235</v>
      </c>
      <c r="BC364" s="40">
        <v>43388</v>
      </c>
    </row>
    <row r="365" spans="1:55" s="120" customFormat="1" ht="60">
      <c r="A365" s="41" t="s">
        <v>5</v>
      </c>
      <c r="B365" s="41" t="s">
        <v>1124</v>
      </c>
      <c r="C365" s="43" t="s">
        <v>10</v>
      </c>
      <c r="D365" s="43" t="s">
        <v>10</v>
      </c>
      <c r="E365" s="63" t="s">
        <v>11</v>
      </c>
      <c r="F365" s="63" t="s">
        <v>11</v>
      </c>
      <c r="G365" s="41" t="s">
        <v>683</v>
      </c>
      <c r="H365" s="27">
        <v>2759.49</v>
      </c>
      <c r="I365" s="109">
        <v>690</v>
      </c>
      <c r="J365" s="27">
        <v>98</v>
      </c>
      <c r="K365" s="39" t="s">
        <v>1328</v>
      </c>
      <c r="L365" s="130" t="s">
        <v>674</v>
      </c>
      <c r="M365" s="110" t="s">
        <v>675</v>
      </c>
      <c r="N365" s="40">
        <v>43388</v>
      </c>
      <c r="O365" s="63" t="s">
        <v>17</v>
      </c>
      <c r="P365" s="63" t="s">
        <v>17</v>
      </c>
      <c r="Q365" s="63" t="s">
        <v>17</v>
      </c>
      <c r="R365" s="112" t="s">
        <v>684</v>
      </c>
      <c r="S365" s="111" t="s">
        <v>11</v>
      </c>
      <c r="T365" s="111" t="s">
        <v>11</v>
      </c>
      <c r="U365" s="113">
        <v>408.67</v>
      </c>
      <c r="V365" s="113"/>
      <c r="W365" s="113"/>
      <c r="X365" s="113">
        <v>976</v>
      </c>
      <c r="Y365" s="113">
        <v>1030</v>
      </c>
      <c r="Z365" s="113">
        <v>1200</v>
      </c>
      <c r="AA365" s="114">
        <v>276</v>
      </c>
      <c r="AB365" s="114">
        <v>552</v>
      </c>
      <c r="AC365" s="114">
        <v>828</v>
      </c>
      <c r="AD365" s="114">
        <v>1380</v>
      </c>
      <c r="AE365" s="114">
        <v>2070</v>
      </c>
      <c r="AF365" s="114">
        <v>2759</v>
      </c>
      <c r="AG365" s="114">
        <v>95.9</v>
      </c>
      <c r="AH365" s="114">
        <v>97.5</v>
      </c>
      <c r="AI365" s="114">
        <v>97.9</v>
      </c>
      <c r="AJ365" s="114">
        <v>98.2</v>
      </c>
      <c r="AK365" s="114">
        <v>98.2</v>
      </c>
      <c r="AL365" s="114">
        <v>98</v>
      </c>
      <c r="AM365" s="114">
        <v>98</v>
      </c>
      <c r="AN365" s="114">
        <v>95.8</v>
      </c>
      <c r="AO365" s="114">
        <v>97.4</v>
      </c>
      <c r="AP365" s="114">
        <v>97.8</v>
      </c>
      <c r="AQ365" s="114">
        <v>98.1</v>
      </c>
      <c r="AR365" s="114">
        <v>98.2</v>
      </c>
      <c r="AS365" s="114">
        <v>97.9</v>
      </c>
      <c r="AT365" s="114">
        <v>98</v>
      </c>
      <c r="AU365" s="114">
        <v>95.8</v>
      </c>
      <c r="AV365" s="114">
        <v>97.4</v>
      </c>
      <c r="AW365" s="114">
        <v>97.8</v>
      </c>
      <c r="AX365" s="114">
        <v>98.2</v>
      </c>
      <c r="AY365" s="114">
        <v>98.1</v>
      </c>
      <c r="AZ365" s="114">
        <v>97.9</v>
      </c>
      <c r="BA365" s="114">
        <v>98</v>
      </c>
      <c r="BB365" s="40">
        <v>43235</v>
      </c>
      <c r="BC365" s="40">
        <v>43388</v>
      </c>
    </row>
    <row r="366" spans="1:55" s="120" customFormat="1" ht="60">
      <c r="A366" s="41" t="s">
        <v>5</v>
      </c>
      <c r="B366" s="41" t="s">
        <v>1125</v>
      </c>
      <c r="C366" s="43" t="s">
        <v>10</v>
      </c>
      <c r="D366" s="43" t="s">
        <v>10</v>
      </c>
      <c r="E366" s="63" t="s">
        <v>11</v>
      </c>
      <c r="F366" s="63" t="s">
        <v>11</v>
      </c>
      <c r="G366" s="41" t="s">
        <v>725</v>
      </c>
      <c r="H366" s="27">
        <v>2770.2</v>
      </c>
      <c r="I366" s="109">
        <v>600</v>
      </c>
      <c r="J366" s="27">
        <v>98</v>
      </c>
      <c r="K366" s="39" t="s">
        <v>1328</v>
      </c>
      <c r="L366" s="130" t="s">
        <v>674</v>
      </c>
      <c r="M366" s="110" t="s">
        <v>675</v>
      </c>
      <c r="N366" s="40">
        <v>43388</v>
      </c>
      <c r="O366" s="63" t="s">
        <v>17</v>
      </c>
      <c r="P366" s="63" t="s">
        <v>17</v>
      </c>
      <c r="Q366" s="63" t="s">
        <v>17</v>
      </c>
      <c r="R366" s="112" t="s">
        <v>708</v>
      </c>
      <c r="S366" s="111" t="s">
        <v>11</v>
      </c>
      <c r="T366" s="111" t="s">
        <v>11</v>
      </c>
      <c r="U366" s="113">
        <v>433.54</v>
      </c>
      <c r="V366" s="113"/>
      <c r="W366" s="113"/>
      <c r="X366" s="113">
        <v>849</v>
      </c>
      <c r="Y366" s="113">
        <v>940</v>
      </c>
      <c r="Z366" s="113">
        <v>1200</v>
      </c>
      <c r="AA366" s="114">
        <v>277</v>
      </c>
      <c r="AB366" s="114">
        <v>554</v>
      </c>
      <c r="AC366" s="114">
        <v>831</v>
      </c>
      <c r="AD366" s="114">
        <v>1385</v>
      </c>
      <c r="AE366" s="114">
        <v>2078</v>
      </c>
      <c r="AF366" s="114">
        <v>2770</v>
      </c>
      <c r="AG366" s="114">
        <v>97.2</v>
      </c>
      <c r="AH366" s="114">
        <v>97.9</v>
      </c>
      <c r="AI366" s="114">
        <v>98.1</v>
      </c>
      <c r="AJ366" s="114">
        <v>98.2</v>
      </c>
      <c r="AK366" s="114">
        <v>98.1</v>
      </c>
      <c r="AL366" s="114">
        <v>97.9</v>
      </c>
      <c r="AM366" s="114">
        <v>98</v>
      </c>
      <c r="AN366" s="114">
        <v>97.1</v>
      </c>
      <c r="AO366" s="114">
        <v>97.8</v>
      </c>
      <c r="AP366" s="114">
        <v>98</v>
      </c>
      <c r="AQ366" s="114">
        <v>98</v>
      </c>
      <c r="AR366" s="114">
        <v>98</v>
      </c>
      <c r="AS366" s="114">
        <v>97.8</v>
      </c>
      <c r="AT366" s="114">
        <v>98</v>
      </c>
      <c r="AU366" s="114">
        <v>97.1</v>
      </c>
      <c r="AV366" s="114">
        <v>97.8</v>
      </c>
      <c r="AW366" s="114">
        <v>98</v>
      </c>
      <c r="AX366" s="114">
        <v>98.1</v>
      </c>
      <c r="AY366" s="114">
        <v>98</v>
      </c>
      <c r="AZ366" s="114">
        <v>97.8</v>
      </c>
      <c r="BA366" s="114">
        <v>98</v>
      </c>
      <c r="BB366" s="40">
        <v>43235</v>
      </c>
      <c r="BC366" s="40">
        <v>43388</v>
      </c>
    </row>
    <row r="367" spans="1:55" s="120" customFormat="1" ht="60">
      <c r="A367" s="41" t="s">
        <v>5</v>
      </c>
      <c r="B367" s="41" t="s">
        <v>1126</v>
      </c>
      <c r="C367" s="43" t="s">
        <v>10</v>
      </c>
      <c r="D367" s="43" t="s">
        <v>10</v>
      </c>
      <c r="E367" s="63" t="s">
        <v>11</v>
      </c>
      <c r="F367" s="63" t="s">
        <v>11</v>
      </c>
      <c r="G367" s="41" t="s">
        <v>707</v>
      </c>
      <c r="H367" s="27">
        <v>2821.84</v>
      </c>
      <c r="I367" s="109">
        <v>600</v>
      </c>
      <c r="J367" s="27">
        <v>98</v>
      </c>
      <c r="K367" s="39" t="s">
        <v>1328</v>
      </c>
      <c r="L367" s="130" t="s">
        <v>674</v>
      </c>
      <c r="M367" s="110" t="s">
        <v>675</v>
      </c>
      <c r="N367" s="40">
        <v>43388</v>
      </c>
      <c r="O367" s="63" t="s">
        <v>17</v>
      </c>
      <c r="P367" s="63" t="s">
        <v>17</v>
      </c>
      <c r="Q367" s="63" t="s">
        <v>17</v>
      </c>
      <c r="R367" s="112" t="s">
        <v>708</v>
      </c>
      <c r="S367" s="111" t="s">
        <v>11</v>
      </c>
      <c r="T367" s="111" t="s">
        <v>11</v>
      </c>
      <c r="U367" s="113">
        <v>423.67</v>
      </c>
      <c r="V367" s="113"/>
      <c r="W367" s="113"/>
      <c r="X367" s="113">
        <v>849</v>
      </c>
      <c r="Y367" s="113">
        <v>940</v>
      </c>
      <c r="Z367" s="113">
        <v>1200</v>
      </c>
      <c r="AA367" s="114">
        <v>282</v>
      </c>
      <c r="AB367" s="114">
        <v>564</v>
      </c>
      <c r="AC367" s="114">
        <v>847</v>
      </c>
      <c r="AD367" s="114">
        <v>1411</v>
      </c>
      <c r="AE367" s="114">
        <v>2116</v>
      </c>
      <c r="AF367" s="114">
        <v>2822</v>
      </c>
      <c r="AG367" s="114">
        <v>95.7</v>
      </c>
      <c r="AH367" s="114">
        <v>97.4</v>
      </c>
      <c r="AI367" s="114">
        <v>97.9</v>
      </c>
      <c r="AJ367" s="114">
        <v>98.1</v>
      </c>
      <c r="AK367" s="114">
        <v>98</v>
      </c>
      <c r="AL367" s="114">
        <v>97.8</v>
      </c>
      <c r="AM367" s="114">
        <v>97.9</v>
      </c>
      <c r="AN367" s="114">
        <v>95.7</v>
      </c>
      <c r="AO367" s="114">
        <v>97.3</v>
      </c>
      <c r="AP367" s="114">
        <v>97.8</v>
      </c>
      <c r="AQ367" s="114">
        <v>98.1</v>
      </c>
      <c r="AR367" s="114">
        <v>98</v>
      </c>
      <c r="AS367" s="114">
        <v>97.7</v>
      </c>
      <c r="AT367" s="114">
        <v>97.8</v>
      </c>
      <c r="AU367" s="114">
        <v>95.7</v>
      </c>
      <c r="AV367" s="114">
        <v>97.2</v>
      </c>
      <c r="AW367" s="114">
        <v>97.7</v>
      </c>
      <c r="AX367" s="114">
        <v>98</v>
      </c>
      <c r="AY367" s="114">
        <v>98</v>
      </c>
      <c r="AZ367" s="114">
        <v>97.7</v>
      </c>
      <c r="BA367" s="114">
        <v>97.8</v>
      </c>
      <c r="BB367" s="40">
        <v>43235</v>
      </c>
      <c r="BC367" s="40">
        <v>43388</v>
      </c>
    </row>
    <row r="368" spans="1:55" s="120" customFormat="1" ht="60">
      <c r="A368" s="41" t="s">
        <v>5</v>
      </c>
      <c r="B368" s="41" t="s">
        <v>1127</v>
      </c>
      <c r="C368" s="43" t="s">
        <v>10</v>
      </c>
      <c r="D368" s="43" t="s">
        <v>10</v>
      </c>
      <c r="E368" s="63" t="s">
        <v>11</v>
      </c>
      <c r="F368" s="63" t="s">
        <v>11</v>
      </c>
      <c r="G368" s="41" t="s">
        <v>697</v>
      </c>
      <c r="H368" s="27">
        <v>3024.91</v>
      </c>
      <c r="I368" s="109">
        <v>645</v>
      </c>
      <c r="J368" s="27">
        <v>98</v>
      </c>
      <c r="K368" s="39" t="s">
        <v>1328</v>
      </c>
      <c r="L368" s="130" t="s">
        <v>674</v>
      </c>
      <c r="M368" s="110" t="s">
        <v>675</v>
      </c>
      <c r="N368" s="40">
        <v>43388</v>
      </c>
      <c r="O368" s="63" t="s">
        <v>17</v>
      </c>
      <c r="P368" s="63" t="s">
        <v>17</v>
      </c>
      <c r="Q368" s="63" t="s">
        <v>17</v>
      </c>
      <c r="R368" s="112" t="s">
        <v>698</v>
      </c>
      <c r="S368" s="111" t="s">
        <v>11</v>
      </c>
      <c r="T368" s="111" t="s">
        <v>11</v>
      </c>
      <c r="U368" s="113">
        <v>427.54</v>
      </c>
      <c r="V368" s="113"/>
      <c r="W368" s="113"/>
      <c r="X368" s="113">
        <v>913</v>
      </c>
      <c r="Y368" s="113">
        <v>940</v>
      </c>
      <c r="Z368" s="113">
        <v>1200</v>
      </c>
      <c r="AA368" s="114">
        <v>302</v>
      </c>
      <c r="AB368" s="114">
        <v>605</v>
      </c>
      <c r="AC368" s="114">
        <v>907</v>
      </c>
      <c r="AD368" s="114">
        <v>1512</v>
      </c>
      <c r="AE368" s="114">
        <v>2269</v>
      </c>
      <c r="AF368" s="114">
        <v>3025</v>
      </c>
      <c r="AG368" s="114">
        <v>96</v>
      </c>
      <c r="AH368" s="114">
        <v>97.4</v>
      </c>
      <c r="AI368" s="114">
        <v>97.9</v>
      </c>
      <c r="AJ368" s="114">
        <v>98.1</v>
      </c>
      <c r="AK368" s="114">
        <v>98.1</v>
      </c>
      <c r="AL368" s="114">
        <v>97.9</v>
      </c>
      <c r="AM368" s="114">
        <v>98</v>
      </c>
      <c r="AN368" s="114">
        <v>95.9</v>
      </c>
      <c r="AO368" s="114">
        <v>97.4</v>
      </c>
      <c r="AP368" s="114">
        <v>97.8</v>
      </c>
      <c r="AQ368" s="114">
        <v>98.1</v>
      </c>
      <c r="AR368" s="114">
        <v>98.1</v>
      </c>
      <c r="AS368" s="114">
        <v>97.8</v>
      </c>
      <c r="AT368" s="114">
        <v>97.9</v>
      </c>
      <c r="AU368" s="114">
        <v>95.9</v>
      </c>
      <c r="AV368" s="114">
        <v>97.3</v>
      </c>
      <c r="AW368" s="114">
        <v>97.7</v>
      </c>
      <c r="AX368" s="114">
        <v>98.1</v>
      </c>
      <c r="AY368" s="114">
        <v>98</v>
      </c>
      <c r="AZ368" s="114">
        <v>97.8</v>
      </c>
      <c r="BA368" s="114">
        <v>97.9</v>
      </c>
      <c r="BB368" s="40">
        <v>43235</v>
      </c>
      <c r="BC368" s="40">
        <v>43388</v>
      </c>
    </row>
    <row r="369" spans="1:55" s="120" customFormat="1" ht="60">
      <c r="A369" s="41" t="s">
        <v>5</v>
      </c>
      <c r="B369" s="41" t="s">
        <v>1128</v>
      </c>
      <c r="C369" s="43" t="s">
        <v>10</v>
      </c>
      <c r="D369" s="43" t="s">
        <v>10</v>
      </c>
      <c r="E369" s="63" t="s">
        <v>11</v>
      </c>
      <c r="F369" s="63" t="s">
        <v>11</v>
      </c>
      <c r="G369" s="41" t="s">
        <v>685</v>
      </c>
      <c r="H369" s="27">
        <v>3201.17</v>
      </c>
      <c r="I369" s="109">
        <v>690</v>
      </c>
      <c r="J369" s="27">
        <v>98</v>
      </c>
      <c r="K369" s="39" t="s">
        <v>1328</v>
      </c>
      <c r="L369" s="130" t="s">
        <v>674</v>
      </c>
      <c r="M369" s="110" t="s">
        <v>675</v>
      </c>
      <c r="N369" s="40">
        <v>43388</v>
      </c>
      <c r="O369" s="63" t="s">
        <v>17</v>
      </c>
      <c r="P369" s="63" t="s">
        <v>17</v>
      </c>
      <c r="Q369" s="63" t="s">
        <v>17</v>
      </c>
      <c r="R369" s="112" t="s">
        <v>686</v>
      </c>
      <c r="S369" s="111" t="s">
        <v>11</v>
      </c>
      <c r="T369" s="111" t="s">
        <v>11</v>
      </c>
      <c r="U369" s="113">
        <v>426.4</v>
      </c>
      <c r="V369" s="113"/>
      <c r="W369" s="113"/>
      <c r="X369" s="113">
        <v>976</v>
      </c>
      <c r="Y369" s="113">
        <v>1030</v>
      </c>
      <c r="Z369" s="113">
        <v>1200</v>
      </c>
      <c r="AA369" s="114">
        <v>320</v>
      </c>
      <c r="AB369" s="114">
        <v>640</v>
      </c>
      <c r="AC369" s="114">
        <v>960</v>
      </c>
      <c r="AD369" s="114">
        <v>1601</v>
      </c>
      <c r="AE369" s="114">
        <v>2401</v>
      </c>
      <c r="AF369" s="114">
        <v>3201</v>
      </c>
      <c r="AG369" s="114">
        <v>96.1</v>
      </c>
      <c r="AH369" s="114">
        <v>97.5</v>
      </c>
      <c r="AI369" s="114">
        <v>97.9</v>
      </c>
      <c r="AJ369" s="114">
        <v>98.2</v>
      </c>
      <c r="AK369" s="114">
        <v>98.3</v>
      </c>
      <c r="AL369" s="114">
        <v>98.1</v>
      </c>
      <c r="AM369" s="114">
        <v>98.1</v>
      </c>
      <c r="AN369" s="114">
        <v>96</v>
      </c>
      <c r="AO369" s="114">
        <v>97.5</v>
      </c>
      <c r="AP369" s="114">
        <v>97.9</v>
      </c>
      <c r="AQ369" s="114">
        <v>98.1</v>
      </c>
      <c r="AR369" s="114">
        <v>98.2</v>
      </c>
      <c r="AS369" s="114">
        <v>98</v>
      </c>
      <c r="AT369" s="114">
        <v>98</v>
      </c>
      <c r="AU369" s="114">
        <v>95.9</v>
      </c>
      <c r="AV369" s="114">
        <v>97.5</v>
      </c>
      <c r="AW369" s="114">
        <v>97.9</v>
      </c>
      <c r="AX369" s="114">
        <v>98.2</v>
      </c>
      <c r="AY369" s="114">
        <v>98.2</v>
      </c>
      <c r="AZ369" s="114">
        <v>97.9</v>
      </c>
      <c r="BA369" s="114">
        <v>98</v>
      </c>
      <c r="BB369" s="40">
        <v>43235</v>
      </c>
      <c r="BC369" s="40">
        <v>43388</v>
      </c>
    </row>
    <row r="370" spans="1:55" s="120" customFormat="1" ht="45">
      <c r="A370" s="41" t="s">
        <v>821</v>
      </c>
      <c r="B370" s="41" t="s">
        <v>1129</v>
      </c>
      <c r="C370" s="43" t="s">
        <v>10</v>
      </c>
      <c r="D370" s="43" t="s">
        <v>10</v>
      </c>
      <c r="E370" s="43" t="s">
        <v>10</v>
      </c>
      <c r="F370" s="63" t="s">
        <v>11</v>
      </c>
      <c r="G370" s="41" t="s">
        <v>824</v>
      </c>
      <c r="H370" s="27">
        <v>49.35</v>
      </c>
      <c r="I370" s="109">
        <v>480</v>
      </c>
      <c r="J370" s="27">
        <v>94</v>
      </c>
      <c r="K370" s="39" t="s">
        <v>1327</v>
      </c>
      <c r="L370" s="130" t="s">
        <v>770</v>
      </c>
      <c r="M370" s="110" t="s">
        <v>823</v>
      </c>
      <c r="N370" s="40">
        <v>43388</v>
      </c>
      <c r="O370" s="130" t="s">
        <v>770</v>
      </c>
      <c r="P370" s="63" t="s">
        <v>17</v>
      </c>
      <c r="Q370" s="63" t="s">
        <v>17</v>
      </c>
      <c r="R370" s="112"/>
      <c r="S370" s="111" t="s">
        <v>11</v>
      </c>
      <c r="T370" s="111" t="s">
        <v>11</v>
      </c>
      <c r="U370" s="113">
        <v>103</v>
      </c>
      <c r="V370" s="113"/>
      <c r="W370" s="113"/>
      <c r="X370" s="113">
        <v>550</v>
      </c>
      <c r="Y370" s="113">
        <v>636</v>
      </c>
      <c r="Z370" s="113">
        <v>840</v>
      </c>
      <c r="AA370" s="114">
        <v>4.9350000000000005</v>
      </c>
      <c r="AB370" s="114">
        <v>9.870000000000001</v>
      </c>
      <c r="AC370" s="114">
        <v>14.805</v>
      </c>
      <c r="AD370" s="114">
        <v>24.675000000000001</v>
      </c>
      <c r="AE370" s="114">
        <v>37.012500000000003</v>
      </c>
      <c r="AF370" s="114">
        <v>49.35</v>
      </c>
      <c r="AG370" s="114">
        <v>76.571428571428569</v>
      </c>
      <c r="AH370" s="114">
        <v>88</v>
      </c>
      <c r="AI370" s="114">
        <v>92</v>
      </c>
      <c r="AJ370" s="114">
        <v>95.142857142857139</v>
      </c>
      <c r="AK370" s="114">
        <v>96</v>
      </c>
      <c r="AL370" s="114">
        <v>96</v>
      </c>
      <c r="AM370" s="114">
        <v>94.162857142857135</v>
      </c>
      <c r="AN370" s="114">
        <v>79</v>
      </c>
      <c r="AO370" s="114">
        <v>89</v>
      </c>
      <c r="AP370" s="114">
        <v>92</v>
      </c>
      <c r="AQ370" s="114">
        <v>95</v>
      </c>
      <c r="AR370" s="114">
        <v>96</v>
      </c>
      <c r="AS370" s="114">
        <v>96</v>
      </c>
      <c r="AT370" s="114">
        <v>94.279999999999987</v>
      </c>
      <c r="AU370" s="114">
        <v>79</v>
      </c>
      <c r="AV370" s="114">
        <v>88.857142857142861</v>
      </c>
      <c r="AW370" s="114">
        <v>92</v>
      </c>
      <c r="AX370" s="114">
        <v>94</v>
      </c>
      <c r="AY370" s="114">
        <v>96</v>
      </c>
      <c r="AZ370" s="114">
        <v>96</v>
      </c>
      <c r="BA370" s="114">
        <v>94.062857142857141</v>
      </c>
      <c r="BB370" s="40">
        <v>43327</v>
      </c>
      <c r="BC370" s="40">
        <v>43388</v>
      </c>
    </row>
    <row r="371" spans="1:55" s="120" customFormat="1" ht="45">
      <c r="A371" s="41" t="s">
        <v>821</v>
      </c>
      <c r="B371" s="41" t="s">
        <v>1130</v>
      </c>
      <c r="C371" s="43" t="s">
        <v>10</v>
      </c>
      <c r="D371" s="43" t="s">
        <v>10</v>
      </c>
      <c r="E371" s="43" t="s">
        <v>10</v>
      </c>
      <c r="F371" s="63" t="s">
        <v>11</v>
      </c>
      <c r="G371" s="41" t="s">
        <v>822</v>
      </c>
      <c r="H371" s="27">
        <v>49.35</v>
      </c>
      <c r="I371" s="109">
        <v>480</v>
      </c>
      <c r="J371" s="27">
        <v>94</v>
      </c>
      <c r="K371" s="39" t="s">
        <v>1327</v>
      </c>
      <c r="L371" s="130" t="s">
        <v>770</v>
      </c>
      <c r="M371" s="110" t="s">
        <v>823</v>
      </c>
      <c r="N371" s="40">
        <v>43388</v>
      </c>
      <c r="O371" s="130" t="s">
        <v>770</v>
      </c>
      <c r="P371" s="63" t="s">
        <v>17</v>
      </c>
      <c r="Q371" s="63" t="s">
        <v>17</v>
      </c>
      <c r="R371" s="112"/>
      <c r="S371" s="111" t="s">
        <v>11</v>
      </c>
      <c r="T371" s="111" t="s">
        <v>11</v>
      </c>
      <c r="U371" s="113">
        <v>103</v>
      </c>
      <c r="V371" s="113"/>
      <c r="W371" s="113"/>
      <c r="X371" s="113">
        <v>550</v>
      </c>
      <c r="Y371" s="113">
        <v>636</v>
      </c>
      <c r="Z371" s="113">
        <v>840</v>
      </c>
      <c r="AA371" s="114">
        <v>4.9350000000000005</v>
      </c>
      <c r="AB371" s="114">
        <v>9.870000000000001</v>
      </c>
      <c r="AC371" s="114">
        <v>14.805</v>
      </c>
      <c r="AD371" s="114">
        <v>24.675000000000001</v>
      </c>
      <c r="AE371" s="114">
        <v>37.012500000000003</v>
      </c>
      <c r="AF371" s="114">
        <v>49.35</v>
      </c>
      <c r="AG371" s="114">
        <v>76.571428571428569</v>
      </c>
      <c r="AH371" s="114">
        <v>88</v>
      </c>
      <c r="AI371" s="114">
        <v>92</v>
      </c>
      <c r="AJ371" s="114">
        <v>95.142857142857139</v>
      </c>
      <c r="AK371" s="114">
        <v>96</v>
      </c>
      <c r="AL371" s="114">
        <v>96</v>
      </c>
      <c r="AM371" s="114">
        <v>94.162857142857135</v>
      </c>
      <c r="AN371" s="114">
        <v>79</v>
      </c>
      <c r="AO371" s="114">
        <v>89</v>
      </c>
      <c r="AP371" s="114">
        <v>92</v>
      </c>
      <c r="AQ371" s="114">
        <v>95</v>
      </c>
      <c r="AR371" s="114">
        <v>96</v>
      </c>
      <c r="AS371" s="114">
        <v>96</v>
      </c>
      <c r="AT371" s="114">
        <v>94.279999999999987</v>
      </c>
      <c r="AU371" s="114">
        <v>79</v>
      </c>
      <c r="AV371" s="114">
        <v>88.857142857142861</v>
      </c>
      <c r="AW371" s="114">
        <v>92</v>
      </c>
      <c r="AX371" s="114">
        <v>94</v>
      </c>
      <c r="AY371" s="114">
        <v>96</v>
      </c>
      <c r="AZ371" s="114">
        <v>96</v>
      </c>
      <c r="BA371" s="114">
        <v>94.062857142857141</v>
      </c>
      <c r="BB371" s="40">
        <v>43327</v>
      </c>
      <c r="BC371" s="40">
        <v>43388</v>
      </c>
    </row>
    <row r="372" spans="1:55" s="120" customFormat="1" ht="90">
      <c r="A372" s="41" t="s">
        <v>315</v>
      </c>
      <c r="B372" s="41" t="s">
        <v>1131</v>
      </c>
      <c r="C372" s="43" t="s">
        <v>10</v>
      </c>
      <c r="D372" s="43" t="s">
        <v>10</v>
      </c>
      <c r="E372" s="63" t="s">
        <v>11</v>
      </c>
      <c r="F372" s="63" t="s">
        <v>11</v>
      </c>
      <c r="G372" s="41" t="s">
        <v>802</v>
      </c>
      <c r="H372" s="27">
        <v>125</v>
      </c>
      <c r="I372" s="109">
        <v>600</v>
      </c>
      <c r="J372" s="27">
        <v>98.5</v>
      </c>
      <c r="K372" s="39" t="s">
        <v>1324</v>
      </c>
      <c r="L372" s="130" t="s">
        <v>803</v>
      </c>
      <c r="M372" s="110" t="s">
        <v>804</v>
      </c>
      <c r="N372" s="40">
        <v>43388</v>
      </c>
      <c r="O372" s="63" t="s">
        <v>17</v>
      </c>
      <c r="P372" s="63" t="s">
        <v>17</v>
      </c>
      <c r="Q372" s="63" t="s">
        <v>17</v>
      </c>
      <c r="R372" s="112"/>
      <c r="S372" s="111" t="s">
        <v>11</v>
      </c>
      <c r="T372" s="111" t="s">
        <v>11</v>
      </c>
      <c r="U372" s="113">
        <v>5.59</v>
      </c>
      <c r="V372" s="113"/>
      <c r="W372" s="113"/>
      <c r="X372" s="113">
        <v>860</v>
      </c>
      <c r="Y372" s="113">
        <v>945</v>
      </c>
      <c r="Z372" s="113">
        <v>1200</v>
      </c>
      <c r="AA372" s="114">
        <v>12.5</v>
      </c>
      <c r="AB372" s="114">
        <v>25</v>
      </c>
      <c r="AC372" s="114">
        <v>37.5</v>
      </c>
      <c r="AD372" s="114">
        <v>62.5</v>
      </c>
      <c r="AE372" s="114">
        <v>93.75</v>
      </c>
      <c r="AF372" s="114">
        <v>125</v>
      </c>
      <c r="AG372" s="114">
        <v>98.586801019777141</v>
      </c>
      <c r="AH372" s="114">
        <v>98.82652309567699</v>
      </c>
      <c r="AI372" s="114">
        <v>98.88387814308247</v>
      </c>
      <c r="AJ372" s="114">
        <v>98.682135105177181</v>
      </c>
      <c r="AK372" s="114">
        <v>98.446000650548712</v>
      </c>
      <c r="AL372" s="114">
        <v>98.25533618070061</v>
      </c>
      <c r="AM372" s="114">
        <v>98.563259098657895</v>
      </c>
      <c r="AN372" s="114">
        <v>98.289357567940598</v>
      </c>
      <c r="AO372" s="114">
        <v>98.584163778937167</v>
      </c>
      <c r="AP372" s="114">
        <v>98.588946856747839</v>
      </c>
      <c r="AQ372" s="114">
        <v>98.493126437907804</v>
      </c>
      <c r="AR372" s="114">
        <v>98.359351768917335</v>
      </c>
      <c r="AS372" s="114">
        <v>98.106737109659321</v>
      </c>
      <c r="AT372" s="114">
        <v>98.410805959444019</v>
      </c>
      <c r="AU372" s="114">
        <v>98.084097523523852</v>
      </c>
      <c r="AV372" s="114">
        <v>98.425857217687977</v>
      </c>
      <c r="AW372" s="114">
        <v>98.477267999265308</v>
      </c>
      <c r="AX372" s="114">
        <v>98.384840475419338</v>
      </c>
      <c r="AY372" s="114">
        <v>98.097001197396807</v>
      </c>
      <c r="AZ372" s="114">
        <v>97.625954277206347</v>
      </c>
      <c r="BA372" s="114">
        <v>98.195453770055877</v>
      </c>
      <c r="BB372" s="40">
        <v>43313</v>
      </c>
      <c r="BC372" s="40">
        <v>43388</v>
      </c>
    </row>
    <row r="373" spans="1:55" s="120" customFormat="1" ht="60">
      <c r="A373" s="41" t="s">
        <v>315</v>
      </c>
      <c r="B373" s="41" t="s">
        <v>1132</v>
      </c>
      <c r="C373" s="43" t="s">
        <v>10</v>
      </c>
      <c r="D373" s="43" t="s">
        <v>10</v>
      </c>
      <c r="E373" s="63" t="s">
        <v>11</v>
      </c>
      <c r="F373" s="63" t="s">
        <v>11</v>
      </c>
      <c r="G373" s="41" t="s">
        <v>830</v>
      </c>
      <c r="H373" s="27">
        <v>1666</v>
      </c>
      <c r="I373" s="109">
        <v>575</v>
      </c>
      <c r="J373" s="27">
        <v>98</v>
      </c>
      <c r="K373" s="39" t="s">
        <v>1328</v>
      </c>
      <c r="L373" s="130" t="s">
        <v>826</v>
      </c>
      <c r="M373" s="110" t="s">
        <v>827</v>
      </c>
      <c r="N373" s="40">
        <v>43388</v>
      </c>
      <c r="O373" s="63" t="s">
        <v>17</v>
      </c>
      <c r="P373" s="63" t="s">
        <v>17</v>
      </c>
      <c r="Q373" s="63" t="s">
        <v>17</v>
      </c>
      <c r="R373" s="112" t="s">
        <v>671</v>
      </c>
      <c r="S373" s="111" t="s">
        <v>11</v>
      </c>
      <c r="T373" s="111" t="s">
        <v>11</v>
      </c>
      <c r="U373" s="113">
        <v>295</v>
      </c>
      <c r="V373" s="113"/>
      <c r="W373" s="113"/>
      <c r="X373" s="113">
        <v>856</v>
      </c>
      <c r="Y373" s="113">
        <v>1024</v>
      </c>
      <c r="Z373" s="113">
        <v>1200</v>
      </c>
      <c r="AA373" s="114">
        <v>167</v>
      </c>
      <c r="AB373" s="114">
        <v>333</v>
      </c>
      <c r="AC373" s="114">
        <v>500</v>
      </c>
      <c r="AD373" s="114">
        <v>833</v>
      </c>
      <c r="AE373" s="114">
        <v>1250</v>
      </c>
      <c r="AF373" s="114">
        <v>1666</v>
      </c>
      <c r="AG373" s="114">
        <v>96.79</v>
      </c>
      <c r="AH373" s="114">
        <v>97.94</v>
      </c>
      <c r="AI373" s="114">
        <v>98.09</v>
      </c>
      <c r="AJ373" s="114">
        <v>98.15</v>
      </c>
      <c r="AK373" s="114">
        <v>97.94</v>
      </c>
      <c r="AL373" s="114">
        <v>97.66</v>
      </c>
      <c r="AM373" s="114">
        <v>97.9</v>
      </c>
      <c r="AN373" s="114">
        <v>96.33</v>
      </c>
      <c r="AO373" s="114">
        <v>97.56</v>
      </c>
      <c r="AP373" s="114">
        <v>97.92</v>
      </c>
      <c r="AQ373" s="114">
        <v>98.08</v>
      </c>
      <c r="AR373" s="114">
        <v>97.88</v>
      </c>
      <c r="AS373" s="114">
        <v>97.52</v>
      </c>
      <c r="AT373" s="114">
        <v>97.8</v>
      </c>
      <c r="AU373" s="114">
        <v>95.68</v>
      </c>
      <c r="AV373" s="114">
        <v>97.45</v>
      </c>
      <c r="AW373" s="114">
        <v>97.7</v>
      </c>
      <c r="AX373" s="114">
        <v>97.9</v>
      </c>
      <c r="AY373" s="114">
        <v>97.74</v>
      </c>
      <c r="AZ373" s="114">
        <v>97.44</v>
      </c>
      <c r="BA373" s="114">
        <v>97.7</v>
      </c>
      <c r="BB373" s="40">
        <v>43327</v>
      </c>
      <c r="BC373" s="40">
        <v>43388</v>
      </c>
    </row>
    <row r="374" spans="1:55" s="120" customFormat="1" ht="60">
      <c r="A374" s="41" t="s">
        <v>315</v>
      </c>
      <c r="B374" s="41" t="s">
        <v>1133</v>
      </c>
      <c r="C374" s="43" t="s">
        <v>10</v>
      </c>
      <c r="D374" s="43" t="s">
        <v>10</v>
      </c>
      <c r="E374" s="63" t="s">
        <v>11</v>
      </c>
      <c r="F374" s="63" t="s">
        <v>11</v>
      </c>
      <c r="G374" s="41" t="s">
        <v>831</v>
      </c>
      <c r="H374" s="27">
        <v>1666</v>
      </c>
      <c r="I374" s="109">
        <v>575</v>
      </c>
      <c r="J374" s="27">
        <v>98</v>
      </c>
      <c r="K374" s="39" t="s">
        <v>1328</v>
      </c>
      <c r="L374" s="130" t="s">
        <v>826</v>
      </c>
      <c r="M374" s="110" t="s">
        <v>827</v>
      </c>
      <c r="N374" s="40">
        <v>43388</v>
      </c>
      <c r="O374" s="63" t="s">
        <v>17</v>
      </c>
      <c r="P374" s="63" t="s">
        <v>17</v>
      </c>
      <c r="Q374" s="63" t="s">
        <v>17</v>
      </c>
      <c r="R374" s="112" t="s">
        <v>671</v>
      </c>
      <c r="S374" s="111" t="s">
        <v>11</v>
      </c>
      <c r="T374" s="111" t="s">
        <v>11</v>
      </c>
      <c r="U374" s="113">
        <v>295</v>
      </c>
      <c r="V374" s="113"/>
      <c r="W374" s="113"/>
      <c r="X374" s="113">
        <v>856</v>
      </c>
      <c r="Y374" s="113">
        <v>1024</v>
      </c>
      <c r="Z374" s="113">
        <v>1200</v>
      </c>
      <c r="AA374" s="114">
        <v>167</v>
      </c>
      <c r="AB374" s="114">
        <v>333</v>
      </c>
      <c r="AC374" s="114">
        <v>500</v>
      </c>
      <c r="AD374" s="114">
        <v>833</v>
      </c>
      <c r="AE374" s="114">
        <v>1250</v>
      </c>
      <c r="AF374" s="114">
        <v>1666</v>
      </c>
      <c r="AG374" s="114">
        <v>96.79</v>
      </c>
      <c r="AH374" s="114">
        <v>97.94</v>
      </c>
      <c r="AI374" s="114">
        <v>98.09</v>
      </c>
      <c r="AJ374" s="114">
        <v>98.15</v>
      </c>
      <c r="AK374" s="114">
        <v>97.94</v>
      </c>
      <c r="AL374" s="114">
        <v>97.66</v>
      </c>
      <c r="AM374" s="114">
        <v>97.9</v>
      </c>
      <c r="AN374" s="114">
        <v>96.33</v>
      </c>
      <c r="AO374" s="114">
        <v>97.56</v>
      </c>
      <c r="AP374" s="114">
        <v>97.92</v>
      </c>
      <c r="AQ374" s="114">
        <v>98.08</v>
      </c>
      <c r="AR374" s="114">
        <v>97.88</v>
      </c>
      <c r="AS374" s="114">
        <v>97.52</v>
      </c>
      <c r="AT374" s="114">
        <v>97.8</v>
      </c>
      <c r="AU374" s="114">
        <v>95.68</v>
      </c>
      <c r="AV374" s="114">
        <v>97.45</v>
      </c>
      <c r="AW374" s="114">
        <v>97.7</v>
      </c>
      <c r="AX374" s="114">
        <v>97.9</v>
      </c>
      <c r="AY374" s="114">
        <v>97.74</v>
      </c>
      <c r="AZ374" s="114">
        <v>97.44</v>
      </c>
      <c r="BA374" s="114">
        <v>97.7</v>
      </c>
      <c r="BB374" s="40">
        <v>43327</v>
      </c>
      <c r="BC374" s="40">
        <v>43388</v>
      </c>
    </row>
    <row r="375" spans="1:55" s="120" customFormat="1" ht="60">
      <c r="A375" s="41" t="s">
        <v>315</v>
      </c>
      <c r="B375" s="41" t="s">
        <v>1134</v>
      </c>
      <c r="C375" s="43" t="s">
        <v>10</v>
      </c>
      <c r="D375" s="43" t="s">
        <v>10</v>
      </c>
      <c r="E375" s="63" t="s">
        <v>11</v>
      </c>
      <c r="F375" s="63" t="s">
        <v>11</v>
      </c>
      <c r="G375" s="41" t="s">
        <v>832</v>
      </c>
      <c r="H375" s="27">
        <v>1666</v>
      </c>
      <c r="I375" s="109">
        <v>575</v>
      </c>
      <c r="J375" s="27">
        <v>98</v>
      </c>
      <c r="K375" s="39" t="s">
        <v>1328</v>
      </c>
      <c r="L375" s="130" t="s">
        <v>826</v>
      </c>
      <c r="M375" s="110" t="s">
        <v>827</v>
      </c>
      <c r="N375" s="40">
        <v>43388</v>
      </c>
      <c r="O375" s="63" t="s">
        <v>17</v>
      </c>
      <c r="P375" s="63" t="s">
        <v>17</v>
      </c>
      <c r="Q375" s="63" t="s">
        <v>17</v>
      </c>
      <c r="R375" s="112" t="s">
        <v>671</v>
      </c>
      <c r="S375" s="111" t="s">
        <v>11</v>
      </c>
      <c r="T375" s="111" t="s">
        <v>11</v>
      </c>
      <c r="U375" s="113">
        <v>295</v>
      </c>
      <c r="V375" s="113"/>
      <c r="W375" s="113"/>
      <c r="X375" s="113">
        <v>856</v>
      </c>
      <c r="Y375" s="113">
        <v>1024</v>
      </c>
      <c r="Z375" s="113">
        <v>1200</v>
      </c>
      <c r="AA375" s="114">
        <v>167</v>
      </c>
      <c r="AB375" s="114">
        <v>333</v>
      </c>
      <c r="AC375" s="114">
        <v>500</v>
      </c>
      <c r="AD375" s="114">
        <v>833</v>
      </c>
      <c r="AE375" s="114">
        <v>1250</v>
      </c>
      <c r="AF375" s="114">
        <v>1666</v>
      </c>
      <c r="AG375" s="114">
        <v>96.79</v>
      </c>
      <c r="AH375" s="114">
        <v>97.94</v>
      </c>
      <c r="AI375" s="114">
        <v>98.09</v>
      </c>
      <c r="AJ375" s="114">
        <v>98.15</v>
      </c>
      <c r="AK375" s="114">
        <v>97.94</v>
      </c>
      <c r="AL375" s="114">
        <v>97.66</v>
      </c>
      <c r="AM375" s="114">
        <v>97.9</v>
      </c>
      <c r="AN375" s="114">
        <v>96.33</v>
      </c>
      <c r="AO375" s="114">
        <v>97.56</v>
      </c>
      <c r="AP375" s="114">
        <v>97.92</v>
      </c>
      <c r="AQ375" s="114">
        <v>98.08</v>
      </c>
      <c r="AR375" s="114">
        <v>97.88</v>
      </c>
      <c r="AS375" s="114">
        <v>97.52</v>
      </c>
      <c r="AT375" s="114">
        <v>97.8</v>
      </c>
      <c r="AU375" s="114">
        <v>95.68</v>
      </c>
      <c r="AV375" s="114">
        <v>97.45</v>
      </c>
      <c r="AW375" s="114">
        <v>97.7</v>
      </c>
      <c r="AX375" s="114">
        <v>97.9</v>
      </c>
      <c r="AY375" s="114">
        <v>97.74</v>
      </c>
      <c r="AZ375" s="114">
        <v>97.44</v>
      </c>
      <c r="BA375" s="114">
        <v>97.7</v>
      </c>
      <c r="BB375" s="40">
        <v>43327</v>
      </c>
      <c r="BC375" s="40">
        <v>43388</v>
      </c>
    </row>
    <row r="376" spans="1:55" s="120" customFormat="1" ht="45">
      <c r="A376" s="41" t="s">
        <v>315</v>
      </c>
      <c r="B376" s="41" t="s">
        <v>1135</v>
      </c>
      <c r="C376" s="43" t="s">
        <v>10</v>
      </c>
      <c r="D376" s="43" t="s">
        <v>10</v>
      </c>
      <c r="E376" s="63" t="s">
        <v>11</v>
      </c>
      <c r="F376" s="63" t="s">
        <v>11</v>
      </c>
      <c r="G376" s="41" t="s">
        <v>829</v>
      </c>
      <c r="H376" s="27">
        <v>1800</v>
      </c>
      <c r="I376" s="109">
        <v>575</v>
      </c>
      <c r="J376" s="27">
        <v>98</v>
      </c>
      <c r="K376" s="39" t="s">
        <v>1328</v>
      </c>
      <c r="L376" s="130" t="s">
        <v>826</v>
      </c>
      <c r="M376" s="110" t="s">
        <v>827</v>
      </c>
      <c r="N376" s="40">
        <v>43388</v>
      </c>
      <c r="O376" s="63" t="s">
        <v>17</v>
      </c>
      <c r="P376" s="63" t="s">
        <v>17</v>
      </c>
      <c r="Q376" s="63" t="s">
        <v>17</v>
      </c>
      <c r="R376" s="112" t="s">
        <v>671</v>
      </c>
      <c r="S376" s="111" t="s">
        <v>11</v>
      </c>
      <c r="T376" s="111" t="s">
        <v>11</v>
      </c>
      <c r="U376" s="113">
        <v>295</v>
      </c>
      <c r="V376" s="113"/>
      <c r="W376" s="113"/>
      <c r="X376" s="113">
        <v>856</v>
      </c>
      <c r="Y376" s="113">
        <v>1024</v>
      </c>
      <c r="Z376" s="113">
        <v>1200</v>
      </c>
      <c r="AA376" s="114">
        <v>180</v>
      </c>
      <c r="AB376" s="114">
        <v>360</v>
      </c>
      <c r="AC376" s="114">
        <v>540</v>
      </c>
      <c r="AD376" s="114">
        <v>900</v>
      </c>
      <c r="AE376" s="114">
        <v>1350</v>
      </c>
      <c r="AF376" s="114">
        <v>1800</v>
      </c>
      <c r="AG376" s="114">
        <v>96.89</v>
      </c>
      <c r="AH376" s="114">
        <v>97.93</v>
      </c>
      <c r="AI376" s="114">
        <v>98.08</v>
      </c>
      <c r="AJ376" s="114">
        <v>98.11</v>
      </c>
      <c r="AK376" s="114">
        <v>97.92</v>
      </c>
      <c r="AL376" s="114">
        <v>97.47</v>
      </c>
      <c r="AM376" s="114">
        <v>97.9</v>
      </c>
      <c r="AN376" s="114">
        <v>96.67</v>
      </c>
      <c r="AO376" s="114">
        <v>97.74</v>
      </c>
      <c r="AP376" s="114">
        <v>98</v>
      </c>
      <c r="AQ376" s="114">
        <v>97.99</v>
      </c>
      <c r="AR376" s="114">
        <v>97.8</v>
      </c>
      <c r="AS376" s="114">
        <v>97.45</v>
      </c>
      <c r="AT376" s="114">
        <v>97.8</v>
      </c>
      <c r="AU376" s="114">
        <v>95.89</v>
      </c>
      <c r="AV376" s="114">
        <v>97.43</v>
      </c>
      <c r="AW376" s="114">
        <v>97.67</v>
      </c>
      <c r="AX376" s="114">
        <v>97.87</v>
      </c>
      <c r="AY376" s="114">
        <v>97.7</v>
      </c>
      <c r="AZ376" s="114">
        <v>97.34</v>
      </c>
      <c r="BA376" s="114">
        <v>97.6</v>
      </c>
      <c r="BB376" s="40">
        <v>43327</v>
      </c>
      <c r="BC376" s="40">
        <v>43388</v>
      </c>
    </row>
    <row r="377" spans="1:55" s="120" customFormat="1" ht="86.45" customHeight="1">
      <c r="A377" s="41" t="s">
        <v>315</v>
      </c>
      <c r="B377" s="41" t="s">
        <v>1136</v>
      </c>
      <c r="C377" s="43" t="s">
        <v>10</v>
      </c>
      <c r="D377" s="43" t="s">
        <v>10</v>
      </c>
      <c r="E377" s="63" t="s">
        <v>11</v>
      </c>
      <c r="F377" s="63" t="s">
        <v>11</v>
      </c>
      <c r="G377" s="41" t="s">
        <v>828</v>
      </c>
      <c r="H377" s="27">
        <v>2000</v>
      </c>
      <c r="I377" s="109">
        <v>575</v>
      </c>
      <c r="J377" s="27">
        <v>97.5</v>
      </c>
      <c r="K377" s="39" t="s">
        <v>1328</v>
      </c>
      <c r="L377" s="130" t="s">
        <v>826</v>
      </c>
      <c r="M377" s="110" t="s">
        <v>827</v>
      </c>
      <c r="N377" s="40">
        <v>43388</v>
      </c>
      <c r="O377" s="63" t="s">
        <v>17</v>
      </c>
      <c r="P377" s="63" t="s">
        <v>17</v>
      </c>
      <c r="Q377" s="63" t="s">
        <v>17</v>
      </c>
      <c r="R377" s="112" t="s">
        <v>669</v>
      </c>
      <c r="S377" s="111" t="s">
        <v>11</v>
      </c>
      <c r="T377" s="111" t="s">
        <v>11</v>
      </c>
      <c r="U377" s="113">
        <v>295</v>
      </c>
      <c r="V377" s="113"/>
      <c r="W377" s="113"/>
      <c r="X377" s="113">
        <v>865</v>
      </c>
      <c r="Y377" s="113">
        <v>1042</v>
      </c>
      <c r="Z377" s="113">
        <v>1195</v>
      </c>
      <c r="AA377" s="114">
        <v>200</v>
      </c>
      <c r="AB377" s="114">
        <v>400</v>
      </c>
      <c r="AC377" s="114">
        <v>600</v>
      </c>
      <c r="AD377" s="114">
        <v>1000</v>
      </c>
      <c r="AE377" s="114">
        <v>1500</v>
      </c>
      <c r="AF377" s="114">
        <v>2000</v>
      </c>
      <c r="AG377" s="114">
        <v>96.76</v>
      </c>
      <c r="AH377" s="114">
        <v>97.71</v>
      </c>
      <c r="AI377" s="114">
        <v>97.98</v>
      </c>
      <c r="AJ377" s="114">
        <v>97.96</v>
      </c>
      <c r="AK377" s="114">
        <v>97.66</v>
      </c>
      <c r="AL377" s="114">
        <v>97.21</v>
      </c>
      <c r="AM377" s="114">
        <v>97.71</v>
      </c>
      <c r="AN377" s="114">
        <v>96.32</v>
      </c>
      <c r="AO377" s="114">
        <v>97.58</v>
      </c>
      <c r="AP377" s="114">
        <v>97.87</v>
      </c>
      <c r="AQ377" s="114">
        <v>97.83</v>
      </c>
      <c r="AR377" s="114">
        <v>97.56</v>
      </c>
      <c r="AS377" s="114">
        <v>97.15</v>
      </c>
      <c r="AT377" s="114">
        <v>97.58</v>
      </c>
      <c r="AU377" s="114">
        <v>95.92</v>
      </c>
      <c r="AV377" s="114">
        <v>97.38</v>
      </c>
      <c r="AW377" s="114">
        <v>97.69</v>
      </c>
      <c r="AX377" s="114">
        <v>97.72</v>
      </c>
      <c r="AY377" s="114">
        <v>97.5</v>
      </c>
      <c r="AZ377" s="114">
        <v>97.06</v>
      </c>
      <c r="BA377" s="114">
        <v>97.48</v>
      </c>
      <c r="BB377" s="40">
        <v>43327</v>
      </c>
      <c r="BC377" s="40">
        <v>43388</v>
      </c>
    </row>
    <row r="378" spans="1:55" s="120" customFormat="1" ht="86.45" customHeight="1">
      <c r="A378" s="41" t="s">
        <v>315</v>
      </c>
      <c r="B378" s="41" t="s">
        <v>1137</v>
      </c>
      <c r="C378" s="43" t="s">
        <v>10</v>
      </c>
      <c r="D378" s="43" t="s">
        <v>10</v>
      </c>
      <c r="E378" s="63" t="s">
        <v>11</v>
      </c>
      <c r="F378" s="63" t="s">
        <v>11</v>
      </c>
      <c r="G378" s="41" t="s">
        <v>825</v>
      </c>
      <c r="H378" s="27">
        <v>2200</v>
      </c>
      <c r="I378" s="109">
        <v>600</v>
      </c>
      <c r="J378" s="27">
        <v>98</v>
      </c>
      <c r="K378" s="39" t="s">
        <v>1328</v>
      </c>
      <c r="L378" s="130" t="s">
        <v>826</v>
      </c>
      <c r="M378" s="110" t="s">
        <v>827</v>
      </c>
      <c r="N378" s="40">
        <v>43388</v>
      </c>
      <c r="O378" s="63" t="s">
        <v>17</v>
      </c>
      <c r="P378" s="63" t="s">
        <v>17</v>
      </c>
      <c r="Q378" s="63" t="s">
        <v>17</v>
      </c>
      <c r="R378" s="112" t="s">
        <v>670</v>
      </c>
      <c r="S378" s="111" t="s">
        <v>11</v>
      </c>
      <c r="T378" s="111" t="s">
        <v>11</v>
      </c>
      <c r="U378" s="113">
        <v>295</v>
      </c>
      <c r="V378" s="113"/>
      <c r="W378" s="113"/>
      <c r="X378" s="113">
        <v>905</v>
      </c>
      <c r="Y378" s="113">
        <v>1054</v>
      </c>
      <c r="Z378" s="113">
        <v>1200</v>
      </c>
      <c r="AA378" s="114">
        <v>220</v>
      </c>
      <c r="AB378" s="114">
        <v>440</v>
      </c>
      <c r="AC378" s="114">
        <v>660</v>
      </c>
      <c r="AD378" s="114">
        <v>1100</v>
      </c>
      <c r="AE378" s="114">
        <v>1650</v>
      </c>
      <c r="AF378" s="114">
        <v>2200</v>
      </c>
      <c r="AG378" s="114">
        <v>97.9</v>
      </c>
      <c r="AH378" s="114">
        <v>98.28</v>
      </c>
      <c r="AI378" s="114">
        <v>98.33</v>
      </c>
      <c r="AJ378" s="114">
        <v>98.2</v>
      </c>
      <c r="AK378" s="114">
        <v>97.82</v>
      </c>
      <c r="AL378" s="114">
        <v>97.24</v>
      </c>
      <c r="AM378" s="114">
        <v>98</v>
      </c>
      <c r="AN378" s="114">
        <v>97.6</v>
      </c>
      <c r="AO378" s="114">
        <v>98.1</v>
      </c>
      <c r="AP378" s="114">
        <v>98.19</v>
      </c>
      <c r="AQ378" s="114">
        <v>98.09</v>
      </c>
      <c r="AR378" s="114">
        <v>97.72</v>
      </c>
      <c r="AS378" s="114">
        <v>97.17</v>
      </c>
      <c r="AT378" s="114">
        <v>97.8</v>
      </c>
      <c r="AU378" s="114">
        <v>97.21</v>
      </c>
      <c r="AV378" s="114">
        <v>97.9</v>
      </c>
      <c r="AW378" s="114">
        <v>98.05</v>
      </c>
      <c r="AX378" s="114">
        <v>97.99</v>
      </c>
      <c r="AY378" s="114">
        <v>97.65</v>
      </c>
      <c r="AZ378" s="114">
        <v>97.1</v>
      </c>
      <c r="BA378" s="114">
        <v>97.7</v>
      </c>
      <c r="BB378" s="40">
        <v>43327</v>
      </c>
      <c r="BC378" s="40">
        <v>43388</v>
      </c>
    </row>
    <row r="379" spans="1:55" s="120" customFormat="1" ht="45">
      <c r="A379" s="74" t="s">
        <v>1245</v>
      </c>
      <c r="B379" s="74" t="s">
        <v>1336</v>
      </c>
      <c r="C379" s="63" t="s">
        <v>10</v>
      </c>
      <c r="D379" s="63" t="s">
        <v>10</v>
      </c>
      <c r="E379" s="43" t="s">
        <v>10</v>
      </c>
      <c r="F379" s="63" t="s">
        <v>11</v>
      </c>
      <c r="G379" s="74" t="s">
        <v>238</v>
      </c>
      <c r="H379" s="35">
        <v>3.62</v>
      </c>
      <c r="I379" s="35">
        <v>208</v>
      </c>
      <c r="J379" s="35">
        <v>95.5</v>
      </c>
      <c r="K379" s="39" t="s">
        <v>1325</v>
      </c>
      <c r="L379" s="128" t="s">
        <v>513</v>
      </c>
      <c r="M379" s="39" t="s">
        <v>514</v>
      </c>
      <c r="N379" s="40">
        <v>43480</v>
      </c>
      <c r="O379" s="128" t="s">
        <v>513</v>
      </c>
      <c r="P379" s="63" t="s">
        <v>17</v>
      </c>
      <c r="Q379" s="63" t="s">
        <v>17</v>
      </c>
      <c r="R379" s="54"/>
      <c r="S379" s="34" t="s">
        <v>10</v>
      </c>
      <c r="T379" s="34" t="s">
        <v>11</v>
      </c>
      <c r="U379" s="35">
        <v>0.05</v>
      </c>
      <c r="V379" s="35"/>
      <c r="W379" s="35"/>
      <c r="X379" s="35">
        <v>100</v>
      </c>
      <c r="Y379" s="35">
        <v>482</v>
      </c>
      <c r="Z379" s="35">
        <v>550</v>
      </c>
      <c r="AA379" s="103">
        <v>0.36</v>
      </c>
      <c r="AB379" s="103">
        <v>0.72</v>
      </c>
      <c r="AC379" s="103">
        <v>1.08</v>
      </c>
      <c r="AD379" s="103">
        <v>1.81</v>
      </c>
      <c r="AE379" s="103">
        <v>2.71</v>
      </c>
      <c r="AF379" s="103">
        <v>3.62</v>
      </c>
      <c r="AG379" s="103">
        <v>88.8</v>
      </c>
      <c r="AH379" s="103">
        <v>91.7</v>
      </c>
      <c r="AI379" s="103">
        <v>93.1</v>
      </c>
      <c r="AJ379" s="103">
        <v>94.6</v>
      </c>
      <c r="AK379" s="103">
        <v>95.2</v>
      </c>
      <c r="AL379" s="103">
        <v>95.2</v>
      </c>
      <c r="AM379" s="103">
        <v>94.4</v>
      </c>
      <c r="AN379" s="103">
        <v>92.2</v>
      </c>
      <c r="AO379" s="103">
        <v>95.7</v>
      </c>
      <c r="AP379" s="103">
        <v>95.7</v>
      </c>
      <c r="AQ379" s="103">
        <v>96.5</v>
      </c>
      <c r="AR379" s="103">
        <v>96.7</v>
      </c>
      <c r="AS379" s="103">
        <v>96.7</v>
      </c>
      <c r="AT379" s="103">
        <v>96.3</v>
      </c>
      <c r="AU379" s="103">
        <v>91.4</v>
      </c>
      <c r="AV379" s="103">
        <v>94.3</v>
      </c>
      <c r="AW379" s="103">
        <v>95.3</v>
      </c>
      <c r="AX379" s="103">
        <v>96.2</v>
      </c>
      <c r="AY379" s="103">
        <v>96.5</v>
      </c>
      <c r="AZ379" s="103">
        <v>96.6</v>
      </c>
      <c r="BA379" s="103">
        <v>96</v>
      </c>
      <c r="BB379" s="40">
        <v>43024</v>
      </c>
      <c r="BC379" s="40">
        <v>43480</v>
      </c>
    </row>
    <row r="380" spans="1:55" s="120" customFormat="1" ht="45">
      <c r="A380" s="74" t="s">
        <v>1245</v>
      </c>
      <c r="B380" s="74" t="s">
        <v>1337</v>
      </c>
      <c r="C380" s="63" t="s">
        <v>10</v>
      </c>
      <c r="D380" s="63" t="s">
        <v>10</v>
      </c>
      <c r="E380" s="43" t="s">
        <v>10</v>
      </c>
      <c r="F380" s="63" t="s">
        <v>11</v>
      </c>
      <c r="G380" s="74" t="s">
        <v>239</v>
      </c>
      <c r="H380" s="35">
        <v>4.05</v>
      </c>
      <c r="I380" s="35">
        <v>240</v>
      </c>
      <c r="J380" s="35">
        <v>96</v>
      </c>
      <c r="K380" s="39" t="s">
        <v>1325</v>
      </c>
      <c r="L380" s="128" t="s">
        <v>513</v>
      </c>
      <c r="M380" s="39" t="s">
        <v>514</v>
      </c>
      <c r="N380" s="40">
        <v>43480</v>
      </c>
      <c r="O380" s="128" t="s">
        <v>513</v>
      </c>
      <c r="P380" s="63" t="s">
        <v>17</v>
      </c>
      <c r="Q380" s="63" t="s">
        <v>17</v>
      </c>
      <c r="R380" s="54"/>
      <c r="S380" s="34" t="s">
        <v>10</v>
      </c>
      <c r="T380" s="34" t="s">
        <v>11</v>
      </c>
      <c r="U380" s="35">
        <v>0.05</v>
      </c>
      <c r="V380" s="35"/>
      <c r="W380" s="35"/>
      <c r="X380" s="35">
        <v>100</v>
      </c>
      <c r="Y380" s="35">
        <v>482</v>
      </c>
      <c r="Z380" s="35">
        <v>550</v>
      </c>
      <c r="AA380" s="103">
        <v>0.4</v>
      </c>
      <c r="AB380" s="103">
        <v>0.81</v>
      </c>
      <c r="AC380" s="103">
        <v>1.21</v>
      </c>
      <c r="AD380" s="103">
        <v>2.02</v>
      </c>
      <c r="AE380" s="103">
        <v>3.04</v>
      </c>
      <c r="AF380" s="103">
        <v>4.05</v>
      </c>
      <c r="AG380" s="103">
        <v>89.5</v>
      </c>
      <c r="AH380" s="103">
        <v>92.1</v>
      </c>
      <c r="AI380" s="103">
        <v>93.7</v>
      </c>
      <c r="AJ380" s="103">
        <v>95</v>
      </c>
      <c r="AK380" s="103">
        <v>95.5</v>
      </c>
      <c r="AL380" s="103">
        <v>95.6</v>
      </c>
      <c r="AM380" s="103">
        <v>94.8</v>
      </c>
      <c r="AN380" s="103">
        <v>93.1</v>
      </c>
      <c r="AO380" s="103">
        <v>95.4</v>
      </c>
      <c r="AP380" s="103">
        <v>96.2</v>
      </c>
      <c r="AQ380" s="103">
        <v>96.9</v>
      </c>
      <c r="AR380" s="103">
        <v>97.1</v>
      </c>
      <c r="AS380" s="103">
        <v>97.1</v>
      </c>
      <c r="AT380" s="103">
        <v>96.7</v>
      </c>
      <c r="AU380" s="103">
        <v>92.3</v>
      </c>
      <c r="AV380" s="103">
        <v>94.8</v>
      </c>
      <c r="AW380" s="103">
        <v>95.9</v>
      </c>
      <c r="AX380" s="103">
        <v>96.6</v>
      </c>
      <c r="AY380" s="103">
        <v>96.9</v>
      </c>
      <c r="AZ380" s="103">
        <v>97</v>
      </c>
      <c r="BA380" s="103">
        <v>96.4</v>
      </c>
      <c r="BB380" s="40">
        <v>43024</v>
      </c>
      <c r="BC380" s="40">
        <v>43480</v>
      </c>
    </row>
    <row r="381" spans="1:55" s="120" customFormat="1" ht="45">
      <c r="A381" s="74" t="s">
        <v>1245</v>
      </c>
      <c r="B381" s="74" t="s">
        <v>1338</v>
      </c>
      <c r="C381" s="63" t="s">
        <v>10</v>
      </c>
      <c r="D381" s="63" t="s">
        <v>10</v>
      </c>
      <c r="E381" s="43" t="s">
        <v>10</v>
      </c>
      <c r="F381" s="63" t="s">
        <v>11</v>
      </c>
      <c r="G381" s="74" t="s">
        <v>240</v>
      </c>
      <c r="H381" s="35">
        <v>4.0599999999999996</v>
      </c>
      <c r="I381" s="35">
        <v>277</v>
      </c>
      <c r="J381" s="35">
        <v>96</v>
      </c>
      <c r="K381" s="39" t="s">
        <v>1325</v>
      </c>
      <c r="L381" s="128" t="s">
        <v>513</v>
      </c>
      <c r="M381" s="39" t="s">
        <v>514</v>
      </c>
      <c r="N381" s="40">
        <v>43480</v>
      </c>
      <c r="O381" s="128" t="s">
        <v>513</v>
      </c>
      <c r="P381" s="63" t="s">
        <v>17</v>
      </c>
      <c r="Q381" s="63" t="s">
        <v>17</v>
      </c>
      <c r="R381" s="54"/>
      <c r="S381" s="34" t="s">
        <v>10</v>
      </c>
      <c r="T381" s="34" t="s">
        <v>11</v>
      </c>
      <c r="U381" s="35">
        <v>0.05</v>
      </c>
      <c r="V381" s="35"/>
      <c r="W381" s="35"/>
      <c r="X381" s="35">
        <v>100</v>
      </c>
      <c r="Y381" s="35">
        <v>482</v>
      </c>
      <c r="Z381" s="35">
        <v>550</v>
      </c>
      <c r="AA381" s="103">
        <v>0.41</v>
      </c>
      <c r="AB381" s="103">
        <v>0.81</v>
      </c>
      <c r="AC381" s="103">
        <v>1.22</v>
      </c>
      <c r="AD381" s="103">
        <v>2.0299999999999998</v>
      </c>
      <c r="AE381" s="103">
        <v>3.04</v>
      </c>
      <c r="AF381" s="103">
        <v>4.0599999999999996</v>
      </c>
      <c r="AG381" s="103">
        <v>88.3</v>
      </c>
      <c r="AH381" s="103">
        <v>91.5</v>
      </c>
      <c r="AI381" s="103">
        <v>93.1</v>
      </c>
      <c r="AJ381" s="103">
        <v>94.6</v>
      </c>
      <c r="AK381" s="103">
        <v>95.3</v>
      </c>
      <c r="AL381" s="103">
        <v>95.5</v>
      </c>
      <c r="AM381" s="103">
        <v>94.4</v>
      </c>
      <c r="AN381" s="103">
        <v>93.6</v>
      </c>
      <c r="AO381" s="103">
        <v>95.7</v>
      </c>
      <c r="AP381" s="103">
        <v>96.6</v>
      </c>
      <c r="AQ381" s="103">
        <v>95.3</v>
      </c>
      <c r="AR381" s="103">
        <v>97.4</v>
      </c>
      <c r="AS381" s="103">
        <v>97.4</v>
      </c>
      <c r="AT381" s="103">
        <v>96.6</v>
      </c>
      <c r="AU381" s="103">
        <v>92.7</v>
      </c>
      <c r="AV381" s="103">
        <v>95.1</v>
      </c>
      <c r="AW381" s="103">
        <v>96.3</v>
      </c>
      <c r="AX381" s="103">
        <v>96.9</v>
      </c>
      <c r="AY381" s="103">
        <v>97.2</v>
      </c>
      <c r="AZ381" s="103">
        <v>97.3</v>
      </c>
      <c r="BA381" s="103">
        <v>96.8</v>
      </c>
      <c r="BB381" s="40">
        <v>43024</v>
      </c>
      <c r="BC381" s="40">
        <v>43480</v>
      </c>
    </row>
    <row r="382" spans="1:55" s="120" customFormat="1" ht="45">
      <c r="A382" s="74" t="s">
        <v>1245</v>
      </c>
      <c r="B382" s="74" t="s">
        <v>1339</v>
      </c>
      <c r="C382" s="63" t="s">
        <v>10</v>
      </c>
      <c r="D382" s="63" t="s">
        <v>10</v>
      </c>
      <c r="E382" s="43" t="s">
        <v>10</v>
      </c>
      <c r="F382" s="63" t="s">
        <v>11</v>
      </c>
      <c r="G382" s="74" t="s">
        <v>108</v>
      </c>
      <c r="H382" s="35">
        <v>4.59</v>
      </c>
      <c r="I382" s="35">
        <v>208</v>
      </c>
      <c r="J382" s="35">
        <v>95.5</v>
      </c>
      <c r="K382" s="39" t="s">
        <v>1325</v>
      </c>
      <c r="L382" s="128" t="s">
        <v>513</v>
      </c>
      <c r="M382" s="39" t="s">
        <v>514</v>
      </c>
      <c r="N382" s="40">
        <v>43480</v>
      </c>
      <c r="O382" s="128" t="s">
        <v>513</v>
      </c>
      <c r="P382" s="63" t="s">
        <v>17</v>
      </c>
      <c r="Q382" s="63" t="s">
        <v>17</v>
      </c>
      <c r="R382" s="54"/>
      <c r="S382" s="34" t="s">
        <v>10</v>
      </c>
      <c r="T382" s="34" t="s">
        <v>11</v>
      </c>
      <c r="U382" s="35">
        <v>0.05</v>
      </c>
      <c r="V382" s="35"/>
      <c r="W382" s="35"/>
      <c r="X382" s="35">
        <v>100</v>
      </c>
      <c r="Y382" s="35">
        <v>482</v>
      </c>
      <c r="Z382" s="35">
        <v>550</v>
      </c>
      <c r="AA382" s="103">
        <v>0.46</v>
      </c>
      <c r="AB382" s="103">
        <v>0.92</v>
      </c>
      <c r="AC382" s="103">
        <v>1.38</v>
      </c>
      <c r="AD382" s="103">
        <v>2.2999999999999998</v>
      </c>
      <c r="AE382" s="103">
        <v>3.44</v>
      </c>
      <c r="AF382" s="103">
        <v>4.59</v>
      </c>
      <c r="AG382" s="103">
        <v>89.9</v>
      </c>
      <c r="AH382" s="103">
        <v>92.5</v>
      </c>
      <c r="AI382" s="103">
        <v>93.8</v>
      </c>
      <c r="AJ382" s="103">
        <v>94.9</v>
      </c>
      <c r="AK382" s="103">
        <v>95.1</v>
      </c>
      <c r="AL382" s="103">
        <v>95.1</v>
      </c>
      <c r="AM382" s="103">
        <v>94.6</v>
      </c>
      <c r="AN382" s="103">
        <v>93.2</v>
      </c>
      <c r="AO382" s="103">
        <v>95.3</v>
      </c>
      <c r="AP382" s="103">
        <v>96</v>
      </c>
      <c r="AQ382" s="103">
        <v>96.6</v>
      </c>
      <c r="AR382" s="103">
        <v>96.7</v>
      </c>
      <c r="AS382" s="103">
        <v>96.6</v>
      </c>
      <c r="AT382" s="103">
        <v>96.4</v>
      </c>
      <c r="AU382" s="103">
        <v>92.5</v>
      </c>
      <c r="AV382" s="103">
        <v>94.8</v>
      </c>
      <c r="AW382" s="103">
        <v>95.7</v>
      </c>
      <c r="AX382" s="103">
        <v>96.4</v>
      </c>
      <c r="AY382" s="103">
        <v>96.6</v>
      </c>
      <c r="AZ382" s="103">
        <v>96.5</v>
      </c>
      <c r="BA382" s="103">
        <v>96.2</v>
      </c>
      <c r="BB382" s="40">
        <v>43024</v>
      </c>
      <c r="BC382" s="40">
        <v>43480</v>
      </c>
    </row>
    <row r="383" spans="1:55" s="120" customFormat="1" ht="45">
      <c r="A383" s="74" t="s">
        <v>1245</v>
      </c>
      <c r="B383" s="74" t="s">
        <v>1340</v>
      </c>
      <c r="C383" s="63" t="s">
        <v>10</v>
      </c>
      <c r="D383" s="63" t="s">
        <v>10</v>
      </c>
      <c r="E383" s="43" t="s">
        <v>10</v>
      </c>
      <c r="F383" s="63" t="s">
        <v>11</v>
      </c>
      <c r="G383" s="74" t="s">
        <v>110</v>
      </c>
      <c r="H383" s="35">
        <v>5.0599999999999996</v>
      </c>
      <c r="I383" s="35">
        <v>277</v>
      </c>
      <c r="J383" s="35">
        <v>96.5</v>
      </c>
      <c r="K383" s="39" t="s">
        <v>1325</v>
      </c>
      <c r="L383" s="128" t="s">
        <v>513</v>
      </c>
      <c r="M383" s="39" t="s">
        <v>514</v>
      </c>
      <c r="N383" s="40">
        <v>43480</v>
      </c>
      <c r="O383" s="128" t="s">
        <v>513</v>
      </c>
      <c r="P383" s="63" t="s">
        <v>17</v>
      </c>
      <c r="Q383" s="63" t="s">
        <v>17</v>
      </c>
      <c r="R383" s="54"/>
      <c r="S383" s="34" t="s">
        <v>10</v>
      </c>
      <c r="T383" s="34" t="s">
        <v>11</v>
      </c>
      <c r="U383" s="35">
        <v>0.05</v>
      </c>
      <c r="V383" s="35"/>
      <c r="W383" s="35"/>
      <c r="X383" s="35">
        <v>100</v>
      </c>
      <c r="Y383" s="35">
        <v>482</v>
      </c>
      <c r="Z383" s="35">
        <v>550</v>
      </c>
      <c r="AA383" s="103">
        <v>0.51</v>
      </c>
      <c r="AB383" s="103">
        <v>1.01</v>
      </c>
      <c r="AC383" s="103">
        <v>1.52</v>
      </c>
      <c r="AD383" s="103">
        <v>2.5299999999999998</v>
      </c>
      <c r="AE383" s="103">
        <v>3.8</v>
      </c>
      <c r="AF383" s="103">
        <v>5.0599999999999996</v>
      </c>
      <c r="AG383" s="103">
        <v>89.5</v>
      </c>
      <c r="AH383" s="103">
        <v>92.3</v>
      </c>
      <c r="AI383" s="103">
        <v>93.8</v>
      </c>
      <c r="AJ383" s="103">
        <v>95</v>
      </c>
      <c r="AK383" s="103">
        <v>95.5</v>
      </c>
      <c r="AL383" s="103">
        <v>95.5</v>
      </c>
      <c r="AM383" s="103">
        <v>94.8</v>
      </c>
      <c r="AN383" s="103">
        <v>94.3</v>
      </c>
      <c r="AO383" s="103">
        <v>96.1</v>
      </c>
      <c r="AP383" s="103">
        <v>96.8</v>
      </c>
      <c r="AQ383" s="103">
        <v>97.3</v>
      </c>
      <c r="AR383" s="103">
        <v>97.4</v>
      </c>
      <c r="AS383" s="103">
        <v>97.3</v>
      </c>
      <c r="AT383" s="103">
        <v>97.1</v>
      </c>
      <c r="AU383" s="103">
        <v>93.5</v>
      </c>
      <c r="AV383" s="103">
        <v>95.6</v>
      </c>
      <c r="AW383" s="103">
        <v>96.4</v>
      </c>
      <c r="AX383" s="103">
        <v>97</v>
      </c>
      <c r="AY383" s="103">
        <v>97.2</v>
      </c>
      <c r="AZ383" s="103">
        <v>97.2</v>
      </c>
      <c r="BA383" s="103">
        <v>96.9</v>
      </c>
      <c r="BB383" s="40">
        <v>43024</v>
      </c>
      <c r="BC383" s="40">
        <v>43480</v>
      </c>
    </row>
    <row r="384" spans="1:55" s="120" customFormat="1" ht="45">
      <c r="A384" s="74" t="s">
        <v>1245</v>
      </c>
      <c r="B384" s="74" t="s">
        <v>1341</v>
      </c>
      <c r="C384" s="63" t="s">
        <v>10</v>
      </c>
      <c r="D384" s="63" t="s">
        <v>10</v>
      </c>
      <c r="E384" s="43" t="s">
        <v>10</v>
      </c>
      <c r="F384" s="63" t="s">
        <v>11</v>
      </c>
      <c r="G384" s="74" t="s">
        <v>109</v>
      </c>
      <c r="H384" s="35">
        <v>5.07</v>
      </c>
      <c r="I384" s="35">
        <v>240</v>
      </c>
      <c r="J384" s="35">
        <v>96</v>
      </c>
      <c r="K384" s="39" t="s">
        <v>1325</v>
      </c>
      <c r="L384" s="128" t="s">
        <v>513</v>
      </c>
      <c r="M384" s="39" t="s">
        <v>514</v>
      </c>
      <c r="N384" s="40">
        <v>43480</v>
      </c>
      <c r="O384" s="128" t="s">
        <v>513</v>
      </c>
      <c r="P384" s="63" t="s">
        <v>17</v>
      </c>
      <c r="Q384" s="63" t="s">
        <v>17</v>
      </c>
      <c r="R384" s="54"/>
      <c r="S384" s="34" t="s">
        <v>10</v>
      </c>
      <c r="T384" s="34" t="s">
        <v>11</v>
      </c>
      <c r="U384" s="35">
        <v>0.05</v>
      </c>
      <c r="V384" s="35"/>
      <c r="W384" s="35"/>
      <c r="X384" s="35">
        <v>100</v>
      </c>
      <c r="Y384" s="35">
        <v>482</v>
      </c>
      <c r="Z384" s="35">
        <v>550</v>
      </c>
      <c r="AA384" s="103">
        <v>0.51</v>
      </c>
      <c r="AB384" s="103">
        <v>1.01</v>
      </c>
      <c r="AC384" s="103">
        <v>1.52</v>
      </c>
      <c r="AD384" s="103">
        <v>2.5299999999999998</v>
      </c>
      <c r="AE384" s="103">
        <v>3.8</v>
      </c>
      <c r="AF384" s="103">
        <v>5.07</v>
      </c>
      <c r="AG384" s="103">
        <v>90.5</v>
      </c>
      <c r="AH384" s="103">
        <v>93</v>
      </c>
      <c r="AI384" s="103">
        <v>94.3</v>
      </c>
      <c r="AJ384" s="103">
        <v>95.2</v>
      </c>
      <c r="AK384" s="103">
        <v>95.4</v>
      </c>
      <c r="AL384" s="103">
        <v>95.3</v>
      </c>
      <c r="AM384" s="103">
        <v>94.9</v>
      </c>
      <c r="AN384" s="103">
        <v>93.9</v>
      </c>
      <c r="AO384" s="103">
        <v>95.8</v>
      </c>
      <c r="AP384" s="103">
        <v>96.5</v>
      </c>
      <c r="AQ384" s="103">
        <v>97</v>
      </c>
      <c r="AR384" s="103">
        <v>97.1</v>
      </c>
      <c r="AS384" s="103">
        <v>96.9</v>
      </c>
      <c r="AT384" s="103">
        <v>96.8</v>
      </c>
      <c r="AU384" s="103">
        <v>93.1</v>
      </c>
      <c r="AV384" s="103">
        <v>95.3</v>
      </c>
      <c r="AW384" s="103">
        <v>96.1</v>
      </c>
      <c r="AX384" s="103">
        <v>96.8</v>
      </c>
      <c r="AY384" s="103">
        <v>96.9</v>
      </c>
      <c r="AZ384" s="103">
        <v>96.9</v>
      </c>
      <c r="BA384" s="103">
        <v>96.6</v>
      </c>
      <c r="BB384" s="40">
        <v>43024</v>
      </c>
      <c r="BC384" s="40">
        <v>43480</v>
      </c>
    </row>
    <row r="385" spans="1:55" s="120" customFormat="1" ht="45">
      <c r="A385" s="74" t="s">
        <v>1245</v>
      </c>
      <c r="B385" s="74" t="s">
        <v>1342</v>
      </c>
      <c r="C385" s="63" t="s">
        <v>10</v>
      </c>
      <c r="D385" s="63" t="s">
        <v>10</v>
      </c>
      <c r="E385" s="43" t="s">
        <v>10</v>
      </c>
      <c r="F385" s="63" t="s">
        <v>11</v>
      </c>
      <c r="G385" s="74" t="s">
        <v>114</v>
      </c>
      <c r="H385" s="35">
        <v>5.34</v>
      </c>
      <c r="I385" s="35">
        <v>208</v>
      </c>
      <c r="J385" s="35">
        <v>96</v>
      </c>
      <c r="K385" s="39" t="s">
        <v>1325</v>
      </c>
      <c r="L385" s="128" t="s">
        <v>513</v>
      </c>
      <c r="M385" s="39" t="s">
        <v>514</v>
      </c>
      <c r="N385" s="40">
        <v>43480</v>
      </c>
      <c r="O385" s="128" t="s">
        <v>513</v>
      </c>
      <c r="P385" s="63" t="s">
        <v>17</v>
      </c>
      <c r="Q385" s="63" t="s">
        <v>17</v>
      </c>
      <c r="R385" s="54"/>
      <c r="S385" s="34" t="s">
        <v>10</v>
      </c>
      <c r="T385" s="34" t="s">
        <v>11</v>
      </c>
      <c r="U385" s="35">
        <v>0.05</v>
      </c>
      <c r="V385" s="35"/>
      <c r="W385" s="35"/>
      <c r="X385" s="35">
        <v>100</v>
      </c>
      <c r="Y385" s="35">
        <v>482</v>
      </c>
      <c r="Z385" s="35">
        <v>550</v>
      </c>
      <c r="AA385" s="103">
        <v>0.53</v>
      </c>
      <c r="AB385" s="103">
        <v>1.07</v>
      </c>
      <c r="AC385" s="103">
        <v>1.6</v>
      </c>
      <c r="AD385" s="103">
        <v>2.67</v>
      </c>
      <c r="AE385" s="103">
        <v>4.01</v>
      </c>
      <c r="AF385" s="103">
        <v>5.34</v>
      </c>
      <c r="AG385" s="103">
        <v>90.7</v>
      </c>
      <c r="AH385" s="103">
        <v>93.2</v>
      </c>
      <c r="AI385" s="103">
        <v>94.3</v>
      </c>
      <c r="AJ385" s="103">
        <v>95</v>
      </c>
      <c r="AK385" s="103">
        <v>95</v>
      </c>
      <c r="AL385" s="103">
        <v>94.9</v>
      </c>
      <c r="AM385" s="103">
        <v>94.7</v>
      </c>
      <c r="AN385" s="103">
        <v>93.9</v>
      </c>
      <c r="AO385" s="103">
        <v>95.7</v>
      </c>
      <c r="AP385" s="103">
        <v>96.3</v>
      </c>
      <c r="AQ385" s="103">
        <v>96.7</v>
      </c>
      <c r="AR385" s="103">
        <v>96.6</v>
      </c>
      <c r="AS385" s="103">
        <v>96.4</v>
      </c>
      <c r="AT385" s="103">
        <v>96.4</v>
      </c>
      <c r="AU385" s="103">
        <v>93.3</v>
      </c>
      <c r="AV385" s="103">
        <v>95.3</v>
      </c>
      <c r="AW385" s="103">
        <v>95.9</v>
      </c>
      <c r="AX385" s="103">
        <v>96.5</v>
      </c>
      <c r="AY385" s="103">
        <v>96.5</v>
      </c>
      <c r="AZ385" s="103">
        <v>96.3</v>
      </c>
      <c r="BA385" s="103">
        <v>96.2</v>
      </c>
      <c r="BB385" s="40">
        <v>43024</v>
      </c>
      <c r="BC385" s="40">
        <v>43480</v>
      </c>
    </row>
    <row r="386" spans="1:55" s="120" customFormat="1" ht="45">
      <c r="A386" s="74" t="s">
        <v>1245</v>
      </c>
      <c r="B386" s="74" t="s">
        <v>1343</v>
      </c>
      <c r="C386" s="63" t="s">
        <v>10</v>
      </c>
      <c r="D386" s="63" t="s">
        <v>10</v>
      </c>
      <c r="E386" s="43" t="s">
        <v>10</v>
      </c>
      <c r="F386" s="63" t="s">
        <v>11</v>
      </c>
      <c r="G386" s="74" t="s">
        <v>115</v>
      </c>
      <c r="H386" s="35">
        <v>6.08</v>
      </c>
      <c r="I386" s="35">
        <v>240</v>
      </c>
      <c r="J386" s="35">
        <v>96</v>
      </c>
      <c r="K386" s="39" t="s">
        <v>1325</v>
      </c>
      <c r="L386" s="128" t="s">
        <v>513</v>
      </c>
      <c r="M386" s="39" t="s">
        <v>514</v>
      </c>
      <c r="N386" s="40">
        <v>43480</v>
      </c>
      <c r="O386" s="128" t="s">
        <v>513</v>
      </c>
      <c r="P386" s="63" t="s">
        <v>17</v>
      </c>
      <c r="Q386" s="63" t="s">
        <v>17</v>
      </c>
      <c r="R386" s="54"/>
      <c r="S386" s="34" t="s">
        <v>10</v>
      </c>
      <c r="T386" s="34" t="s">
        <v>11</v>
      </c>
      <c r="U386" s="35">
        <v>0.05</v>
      </c>
      <c r="V386" s="35"/>
      <c r="W386" s="35"/>
      <c r="X386" s="35">
        <v>100</v>
      </c>
      <c r="Y386" s="35">
        <v>482</v>
      </c>
      <c r="Z386" s="35">
        <v>550</v>
      </c>
      <c r="AA386" s="103">
        <v>0.61</v>
      </c>
      <c r="AB386" s="103">
        <v>1.22</v>
      </c>
      <c r="AC386" s="103">
        <v>1.82</v>
      </c>
      <c r="AD386" s="103">
        <v>3.04</v>
      </c>
      <c r="AE386" s="103">
        <v>4.5599999999999996</v>
      </c>
      <c r="AF386" s="103">
        <v>6.08</v>
      </c>
      <c r="AG386" s="103">
        <v>91.3</v>
      </c>
      <c r="AH386" s="103">
        <v>93.6</v>
      </c>
      <c r="AI386" s="103">
        <v>94.7</v>
      </c>
      <c r="AJ386" s="103">
        <v>95.4</v>
      </c>
      <c r="AK386" s="103">
        <v>95.5</v>
      </c>
      <c r="AL386" s="103">
        <v>95.6</v>
      </c>
      <c r="AM386" s="103">
        <v>95.1</v>
      </c>
      <c r="AN386" s="103">
        <v>94.6</v>
      </c>
      <c r="AO386" s="103">
        <v>96.1</v>
      </c>
      <c r="AP386" s="103">
        <v>96.7</v>
      </c>
      <c r="AQ386" s="103">
        <v>97</v>
      </c>
      <c r="AR386" s="103">
        <v>97</v>
      </c>
      <c r="AS386" s="103">
        <v>96.8</v>
      </c>
      <c r="AT386" s="103">
        <v>96.8</v>
      </c>
      <c r="AU386" s="103">
        <v>93.9</v>
      </c>
      <c r="AV386" s="103">
        <v>95.6</v>
      </c>
      <c r="AW386" s="103">
        <v>96.3</v>
      </c>
      <c r="AX386" s="103">
        <v>96.8</v>
      </c>
      <c r="AY386" s="103">
        <v>96.8</v>
      </c>
      <c r="AZ386" s="103">
        <v>96.7</v>
      </c>
      <c r="BA386" s="103">
        <v>96.6</v>
      </c>
      <c r="BB386" s="40">
        <v>43024</v>
      </c>
      <c r="BC386" s="40">
        <v>43480</v>
      </c>
    </row>
    <row r="387" spans="1:55" s="120" customFormat="1" ht="45">
      <c r="A387" s="74" t="s">
        <v>1245</v>
      </c>
      <c r="B387" s="74" t="s">
        <v>1344</v>
      </c>
      <c r="C387" s="63" t="s">
        <v>10</v>
      </c>
      <c r="D387" s="63" t="s">
        <v>10</v>
      </c>
      <c r="E387" s="43" t="s">
        <v>10</v>
      </c>
      <c r="F387" s="63" t="s">
        <v>11</v>
      </c>
      <c r="G387" s="74" t="s">
        <v>116</v>
      </c>
      <c r="H387" s="35">
        <v>6.08</v>
      </c>
      <c r="I387" s="35">
        <v>277</v>
      </c>
      <c r="J387" s="35">
        <v>96.5</v>
      </c>
      <c r="K387" s="39" t="s">
        <v>1325</v>
      </c>
      <c r="L387" s="128" t="s">
        <v>513</v>
      </c>
      <c r="M387" s="39" t="s">
        <v>514</v>
      </c>
      <c r="N387" s="40">
        <v>43480</v>
      </c>
      <c r="O387" s="128" t="s">
        <v>513</v>
      </c>
      <c r="P387" s="63" t="s">
        <v>17</v>
      </c>
      <c r="Q387" s="63" t="s">
        <v>17</v>
      </c>
      <c r="R387" s="54"/>
      <c r="S387" s="34" t="s">
        <v>10</v>
      </c>
      <c r="T387" s="34" t="s">
        <v>11</v>
      </c>
      <c r="U387" s="35">
        <v>0.05</v>
      </c>
      <c r="V387" s="35"/>
      <c r="W387" s="35"/>
      <c r="X387" s="35">
        <v>100</v>
      </c>
      <c r="Y387" s="35">
        <v>482</v>
      </c>
      <c r="Z387" s="35">
        <v>550</v>
      </c>
      <c r="AA387" s="103">
        <v>0.61</v>
      </c>
      <c r="AB387" s="103">
        <v>1.22</v>
      </c>
      <c r="AC387" s="103">
        <v>1.82</v>
      </c>
      <c r="AD387" s="103">
        <v>3.04</v>
      </c>
      <c r="AE387" s="103">
        <v>4.5599999999999996</v>
      </c>
      <c r="AF387" s="103">
        <v>6.08</v>
      </c>
      <c r="AG387" s="103">
        <v>90.4</v>
      </c>
      <c r="AH387" s="103">
        <v>93</v>
      </c>
      <c r="AI387" s="103">
        <v>94.4</v>
      </c>
      <c r="AJ387" s="103">
        <v>95.3</v>
      </c>
      <c r="AK387" s="103">
        <v>95.4</v>
      </c>
      <c r="AL387" s="103">
        <v>95.3</v>
      </c>
      <c r="AM387" s="103">
        <v>94.9</v>
      </c>
      <c r="AN387" s="103">
        <v>94.9</v>
      </c>
      <c r="AO387" s="103">
        <v>96.4</v>
      </c>
      <c r="AP387" s="103">
        <v>96.9</v>
      </c>
      <c r="AQ387" s="103">
        <v>97.3</v>
      </c>
      <c r="AR387" s="103">
        <v>97.4</v>
      </c>
      <c r="AS387" s="103">
        <v>97.2</v>
      </c>
      <c r="AT387" s="103">
        <v>97.2</v>
      </c>
      <c r="AU387" s="103">
        <v>94.1</v>
      </c>
      <c r="AV387" s="103">
        <v>95.9</v>
      </c>
      <c r="AW387" s="103">
        <v>96.6</v>
      </c>
      <c r="AX387" s="103">
        <v>97.1</v>
      </c>
      <c r="AY387" s="103">
        <v>97.2</v>
      </c>
      <c r="AZ387" s="103">
        <v>97.1</v>
      </c>
      <c r="BA387" s="103">
        <v>96.9</v>
      </c>
      <c r="BB387" s="40">
        <v>43024</v>
      </c>
      <c r="BC387" s="40">
        <v>43480</v>
      </c>
    </row>
    <row r="388" spans="1:55" s="120" customFormat="1" ht="45">
      <c r="A388" s="74" t="s">
        <v>1245</v>
      </c>
      <c r="B388" s="74" t="s">
        <v>1345</v>
      </c>
      <c r="C388" s="63" t="s">
        <v>10</v>
      </c>
      <c r="D388" s="63" t="s">
        <v>10</v>
      </c>
      <c r="E388" s="43" t="s">
        <v>10</v>
      </c>
      <c r="F388" s="63" t="s">
        <v>11</v>
      </c>
      <c r="G388" s="74" t="s">
        <v>241</v>
      </c>
      <c r="H388" s="35">
        <v>6.093</v>
      </c>
      <c r="I388" s="35">
        <v>208</v>
      </c>
      <c r="J388" s="35">
        <v>96</v>
      </c>
      <c r="K388" s="39" t="s">
        <v>1325</v>
      </c>
      <c r="L388" s="128" t="s">
        <v>513</v>
      </c>
      <c r="M388" s="39" t="s">
        <v>514</v>
      </c>
      <c r="N388" s="40">
        <v>43480</v>
      </c>
      <c r="O388" s="128" t="s">
        <v>513</v>
      </c>
      <c r="P388" s="63" t="s">
        <v>17</v>
      </c>
      <c r="Q388" s="63" t="s">
        <v>17</v>
      </c>
      <c r="R388" s="54"/>
      <c r="S388" s="34" t="s">
        <v>10</v>
      </c>
      <c r="T388" s="34" t="s">
        <v>11</v>
      </c>
      <c r="U388" s="35">
        <v>0.05</v>
      </c>
      <c r="V388" s="35"/>
      <c r="W388" s="35"/>
      <c r="X388" s="35">
        <v>280</v>
      </c>
      <c r="Y388" s="35">
        <v>385</v>
      </c>
      <c r="Z388" s="35">
        <v>485</v>
      </c>
      <c r="AA388" s="103">
        <v>609.29999999999995</v>
      </c>
      <c r="AB388" s="103">
        <v>1218.5999999999999</v>
      </c>
      <c r="AC388" s="103">
        <v>1827.9</v>
      </c>
      <c r="AD388" s="103">
        <v>3046.5</v>
      </c>
      <c r="AE388" s="103">
        <v>4569.75</v>
      </c>
      <c r="AF388" s="103">
        <v>6093</v>
      </c>
      <c r="AG388" s="103">
        <v>93.9</v>
      </c>
      <c r="AH388" s="103">
        <v>95.4</v>
      </c>
      <c r="AI388" s="103">
        <v>95.8</v>
      </c>
      <c r="AJ388" s="103">
        <v>95.9</v>
      </c>
      <c r="AK388" s="103">
        <v>95.5</v>
      </c>
      <c r="AL388" s="103">
        <v>95.3</v>
      </c>
      <c r="AM388" s="103">
        <v>95.6</v>
      </c>
      <c r="AN388" s="103">
        <v>95.4</v>
      </c>
      <c r="AO388" s="103">
        <v>96.6</v>
      </c>
      <c r="AP388" s="103">
        <v>96.8</v>
      </c>
      <c r="AQ388" s="103">
        <v>96.6</v>
      </c>
      <c r="AR388" s="103">
        <v>96.1</v>
      </c>
      <c r="AS388" s="103">
        <v>95.9</v>
      </c>
      <c r="AT388" s="103">
        <v>96.3</v>
      </c>
      <c r="AU388" s="103">
        <v>94.3</v>
      </c>
      <c r="AV388" s="103">
        <v>95.9</v>
      </c>
      <c r="AW388" s="103">
        <v>96.4</v>
      </c>
      <c r="AX388" s="103">
        <v>96.5</v>
      </c>
      <c r="AY388" s="103">
        <v>96.2</v>
      </c>
      <c r="AZ388" s="103">
        <v>96</v>
      </c>
      <c r="BA388" s="103">
        <v>96.2</v>
      </c>
      <c r="BB388" s="40">
        <v>43024</v>
      </c>
      <c r="BC388" s="40">
        <v>43480</v>
      </c>
    </row>
    <row r="389" spans="1:55" s="120" customFormat="1" ht="41.45" customHeight="1">
      <c r="A389" s="74" t="s">
        <v>1245</v>
      </c>
      <c r="B389" s="74" t="s">
        <v>1346</v>
      </c>
      <c r="C389" s="63" t="s">
        <v>10</v>
      </c>
      <c r="D389" s="63" t="s">
        <v>10</v>
      </c>
      <c r="E389" s="43" t="s">
        <v>10</v>
      </c>
      <c r="F389" s="63" t="s">
        <v>11</v>
      </c>
      <c r="G389" s="74" t="s">
        <v>244</v>
      </c>
      <c r="H389" s="35">
        <v>6.7410100000000002</v>
      </c>
      <c r="I389" s="35">
        <v>208</v>
      </c>
      <c r="J389" s="35">
        <v>96</v>
      </c>
      <c r="K389" s="39" t="s">
        <v>1325</v>
      </c>
      <c r="L389" s="128" t="s">
        <v>513</v>
      </c>
      <c r="M389" s="39" t="s">
        <v>514</v>
      </c>
      <c r="N389" s="40">
        <v>43480</v>
      </c>
      <c r="O389" s="128" t="s">
        <v>513</v>
      </c>
      <c r="P389" s="63" t="s">
        <v>17</v>
      </c>
      <c r="Q389" s="63" t="s">
        <v>17</v>
      </c>
      <c r="R389" s="54"/>
      <c r="S389" s="34" t="s">
        <v>10</v>
      </c>
      <c r="T389" s="34" t="s">
        <v>11</v>
      </c>
      <c r="U389" s="35">
        <v>0.05</v>
      </c>
      <c r="V389" s="35"/>
      <c r="W389" s="35"/>
      <c r="X389" s="35">
        <v>270</v>
      </c>
      <c r="Y389" s="35">
        <v>380</v>
      </c>
      <c r="Z389" s="35">
        <v>480</v>
      </c>
      <c r="AA389" s="103">
        <v>674.1</v>
      </c>
      <c r="AB389" s="103">
        <v>1348.2</v>
      </c>
      <c r="AC389" s="103">
        <v>2022.3</v>
      </c>
      <c r="AD389" s="103">
        <v>3370.51</v>
      </c>
      <c r="AE389" s="103">
        <v>5055.76</v>
      </c>
      <c r="AF389" s="103">
        <v>6741.01</v>
      </c>
      <c r="AG389" s="103">
        <v>94.1</v>
      </c>
      <c r="AH389" s="103">
        <v>95.5</v>
      </c>
      <c r="AI389" s="103">
        <v>95.7</v>
      </c>
      <c r="AJ389" s="103">
        <v>95.7</v>
      </c>
      <c r="AK389" s="103">
        <v>95.2</v>
      </c>
      <c r="AL389" s="103">
        <v>95</v>
      </c>
      <c r="AM389" s="103">
        <v>95.3</v>
      </c>
      <c r="AN389" s="103">
        <v>95.7</v>
      </c>
      <c r="AO389" s="103">
        <v>96.7</v>
      </c>
      <c r="AP389" s="103">
        <v>96.8</v>
      </c>
      <c r="AQ389" s="103">
        <v>96.6</v>
      </c>
      <c r="AR389" s="103">
        <v>96.1</v>
      </c>
      <c r="AS389" s="103">
        <v>95.9</v>
      </c>
      <c r="AT389" s="103">
        <v>96.3</v>
      </c>
      <c r="AU389" s="103">
        <v>94.7</v>
      </c>
      <c r="AV389" s="103">
        <v>96.2</v>
      </c>
      <c r="AW389" s="103">
        <v>96.5</v>
      </c>
      <c r="AX389" s="103">
        <v>96.5</v>
      </c>
      <c r="AY389" s="103">
        <v>96.1</v>
      </c>
      <c r="AZ389" s="103">
        <v>95.8</v>
      </c>
      <c r="BA389" s="103">
        <v>96.2</v>
      </c>
      <c r="BB389" s="40">
        <v>43024</v>
      </c>
      <c r="BC389" s="40">
        <v>43480</v>
      </c>
    </row>
    <row r="390" spans="1:55" s="120" customFormat="1" ht="40.9" customHeight="1">
      <c r="A390" s="74" t="s">
        <v>1245</v>
      </c>
      <c r="B390" s="74" t="s">
        <v>1347</v>
      </c>
      <c r="C390" s="63" t="s">
        <v>10</v>
      </c>
      <c r="D390" s="63" t="s">
        <v>10</v>
      </c>
      <c r="E390" s="43" t="s">
        <v>10</v>
      </c>
      <c r="F390" s="63" t="s">
        <v>11</v>
      </c>
      <c r="G390" s="74" t="s">
        <v>242</v>
      </c>
      <c r="H390" s="35">
        <v>7.0110000000000001</v>
      </c>
      <c r="I390" s="35">
        <v>240</v>
      </c>
      <c r="J390" s="35">
        <v>96.5</v>
      </c>
      <c r="K390" s="39" t="s">
        <v>1325</v>
      </c>
      <c r="L390" s="128" t="s">
        <v>513</v>
      </c>
      <c r="M390" s="39" t="s">
        <v>514</v>
      </c>
      <c r="N390" s="40">
        <v>43480</v>
      </c>
      <c r="O390" s="128" t="s">
        <v>513</v>
      </c>
      <c r="P390" s="63" t="s">
        <v>17</v>
      </c>
      <c r="Q390" s="63" t="s">
        <v>17</v>
      </c>
      <c r="R390" s="54"/>
      <c r="S390" s="34" t="s">
        <v>10</v>
      </c>
      <c r="T390" s="34" t="s">
        <v>11</v>
      </c>
      <c r="U390" s="35">
        <v>5.0999999999999997E-2</v>
      </c>
      <c r="V390" s="35"/>
      <c r="W390" s="35"/>
      <c r="X390" s="35">
        <v>270</v>
      </c>
      <c r="Y390" s="35">
        <v>385</v>
      </c>
      <c r="Z390" s="35">
        <v>485</v>
      </c>
      <c r="AA390" s="103">
        <v>701.11</v>
      </c>
      <c r="AB390" s="103">
        <v>1402.22</v>
      </c>
      <c r="AC390" s="103">
        <v>2103.33</v>
      </c>
      <c r="AD390" s="103">
        <v>3505.55</v>
      </c>
      <c r="AE390" s="103">
        <v>5258.33</v>
      </c>
      <c r="AF390" s="103">
        <v>7011.1</v>
      </c>
      <c r="AG390" s="103">
        <v>94</v>
      </c>
      <c r="AH390" s="103">
        <v>95.7</v>
      </c>
      <c r="AI390" s="103">
        <v>95.9</v>
      </c>
      <c r="AJ390" s="103">
        <v>96</v>
      </c>
      <c r="AK390" s="103">
        <v>95.8</v>
      </c>
      <c r="AL390" s="103">
        <v>95.5</v>
      </c>
      <c r="AM390" s="103">
        <v>95.8</v>
      </c>
      <c r="AN390" s="103">
        <v>95.7</v>
      </c>
      <c r="AO390" s="103">
        <v>96.8</v>
      </c>
      <c r="AP390" s="103">
        <v>97</v>
      </c>
      <c r="AQ390" s="103">
        <v>96.9</v>
      </c>
      <c r="AR390" s="103">
        <v>96.7</v>
      </c>
      <c r="AS390" s="103">
        <v>96.4</v>
      </c>
      <c r="AT390" s="103">
        <v>96.7</v>
      </c>
      <c r="AU390" s="103">
        <v>94.6</v>
      </c>
      <c r="AV390" s="103">
        <v>96.4</v>
      </c>
      <c r="AW390" s="103">
        <v>96.8</v>
      </c>
      <c r="AX390" s="103">
        <v>96.9</v>
      </c>
      <c r="AY390" s="103">
        <v>96.7</v>
      </c>
      <c r="AZ390" s="103">
        <v>96.3</v>
      </c>
      <c r="BA390" s="103">
        <v>96.6</v>
      </c>
      <c r="BB390" s="40">
        <v>43024</v>
      </c>
      <c r="BC390" s="40">
        <v>43480</v>
      </c>
    </row>
    <row r="391" spans="1:55" s="120" customFormat="1" ht="37.9" customHeight="1">
      <c r="A391" s="74" t="s">
        <v>1245</v>
      </c>
      <c r="B391" s="74" t="s">
        <v>1348</v>
      </c>
      <c r="C391" s="63" t="s">
        <v>10</v>
      </c>
      <c r="D391" s="63" t="s">
        <v>10</v>
      </c>
      <c r="E391" s="43" t="s">
        <v>10</v>
      </c>
      <c r="F391" s="63" t="s">
        <v>11</v>
      </c>
      <c r="G391" s="74" t="s">
        <v>243</v>
      </c>
      <c r="H391" s="35">
        <v>7.01607</v>
      </c>
      <c r="I391" s="35">
        <v>277</v>
      </c>
      <c r="J391" s="35">
        <v>96.5</v>
      </c>
      <c r="K391" s="39" t="s">
        <v>1325</v>
      </c>
      <c r="L391" s="128" t="s">
        <v>513</v>
      </c>
      <c r="M391" s="39" t="s">
        <v>514</v>
      </c>
      <c r="N391" s="40">
        <v>43480</v>
      </c>
      <c r="O391" s="128" t="s">
        <v>513</v>
      </c>
      <c r="P391" s="63" t="s">
        <v>17</v>
      </c>
      <c r="Q391" s="63" t="s">
        <v>17</v>
      </c>
      <c r="R391" s="54"/>
      <c r="S391" s="34" t="s">
        <v>10</v>
      </c>
      <c r="T391" s="34" t="s">
        <v>11</v>
      </c>
      <c r="U391" s="35">
        <v>5.0999999999999997E-2</v>
      </c>
      <c r="V391" s="35"/>
      <c r="W391" s="35"/>
      <c r="X391" s="35">
        <v>275</v>
      </c>
      <c r="Y391" s="35">
        <v>385</v>
      </c>
      <c r="Z391" s="35">
        <v>480</v>
      </c>
      <c r="AA391" s="103">
        <v>701.61</v>
      </c>
      <c r="AB391" s="103">
        <v>1403.21</v>
      </c>
      <c r="AC391" s="103">
        <v>2104.8200000000002</v>
      </c>
      <c r="AD391" s="103">
        <v>3508.04</v>
      </c>
      <c r="AE391" s="103">
        <v>5262.05</v>
      </c>
      <c r="AF391" s="103">
        <v>7016.07</v>
      </c>
      <c r="AG391" s="103">
        <v>92.8</v>
      </c>
      <c r="AH391" s="103">
        <v>95.2</v>
      </c>
      <c r="AI391" s="103">
        <v>95.4</v>
      </c>
      <c r="AJ391" s="103">
        <v>95.9</v>
      </c>
      <c r="AK391" s="103">
        <v>96.1</v>
      </c>
      <c r="AL391" s="103">
        <v>95.9</v>
      </c>
      <c r="AM391" s="103">
        <v>95.8</v>
      </c>
      <c r="AN391" s="103">
        <v>93.6</v>
      </c>
      <c r="AO391" s="103">
        <v>96.3</v>
      </c>
      <c r="AP391" s="103">
        <v>96.7</v>
      </c>
      <c r="AQ391" s="103">
        <v>96.9</v>
      </c>
      <c r="AR391" s="103">
        <v>96.8</v>
      </c>
      <c r="AS391" s="103">
        <v>96.5</v>
      </c>
      <c r="AT391" s="103">
        <v>96.6</v>
      </c>
      <c r="AU391" s="103">
        <v>95</v>
      </c>
      <c r="AV391" s="103">
        <v>96.6</v>
      </c>
      <c r="AW391" s="103">
        <v>97.1</v>
      </c>
      <c r="AX391" s="103">
        <v>97.3</v>
      </c>
      <c r="AY391" s="103">
        <v>97.2</v>
      </c>
      <c r="AZ391" s="103">
        <v>97</v>
      </c>
      <c r="BA391" s="103">
        <v>97.1</v>
      </c>
      <c r="BB391" s="40">
        <v>43024</v>
      </c>
      <c r="BC391" s="40">
        <v>43480</v>
      </c>
    </row>
    <row r="392" spans="1:55" s="120" customFormat="1" ht="45">
      <c r="A392" s="74" t="s">
        <v>1245</v>
      </c>
      <c r="B392" s="74" t="s">
        <v>1349</v>
      </c>
      <c r="C392" s="63" t="s">
        <v>10</v>
      </c>
      <c r="D392" s="63" t="s">
        <v>10</v>
      </c>
      <c r="E392" s="43" t="s">
        <v>10</v>
      </c>
      <c r="F392" s="63" t="s">
        <v>11</v>
      </c>
      <c r="G392" s="74" t="s">
        <v>247</v>
      </c>
      <c r="H392" s="26">
        <v>7.1070000000000002</v>
      </c>
      <c r="I392" s="25">
        <v>208</v>
      </c>
      <c r="J392" s="26">
        <v>97</v>
      </c>
      <c r="K392" s="39" t="s">
        <v>1325</v>
      </c>
      <c r="L392" s="128" t="s">
        <v>513</v>
      </c>
      <c r="M392" s="39" t="s">
        <v>515</v>
      </c>
      <c r="N392" s="40">
        <v>43388</v>
      </c>
      <c r="O392" s="128" t="s">
        <v>513</v>
      </c>
      <c r="P392" s="63" t="s">
        <v>17</v>
      </c>
      <c r="Q392" s="63" t="s">
        <v>17</v>
      </c>
      <c r="R392" s="65"/>
      <c r="S392" s="32" t="s">
        <v>11</v>
      </c>
      <c r="T392" s="32" t="s">
        <v>11</v>
      </c>
      <c r="U392" s="25">
        <v>3.3</v>
      </c>
      <c r="V392" s="25"/>
      <c r="W392" s="25"/>
      <c r="X392" s="25">
        <v>330</v>
      </c>
      <c r="Y392" s="25">
        <v>480</v>
      </c>
      <c r="Z392" s="25">
        <v>550</v>
      </c>
      <c r="AA392" s="95">
        <v>0.7107</v>
      </c>
      <c r="AB392" s="95">
        <v>1.4214</v>
      </c>
      <c r="AC392" s="95">
        <v>2.1320999999999999</v>
      </c>
      <c r="AD392" s="95">
        <v>3.5535000000000001</v>
      </c>
      <c r="AE392" s="95">
        <v>5.3302500000000004</v>
      </c>
      <c r="AF392" s="95">
        <v>7.1070000000000002</v>
      </c>
      <c r="AG392" s="95">
        <v>95.231939999999994</v>
      </c>
      <c r="AH392" s="95">
        <v>96.898070000000004</v>
      </c>
      <c r="AI392" s="95">
        <v>97.166759999999996</v>
      </c>
      <c r="AJ392" s="95">
        <v>97.215220000000002</v>
      </c>
      <c r="AK392" s="95">
        <v>96.94059</v>
      </c>
      <c r="AL392" s="95">
        <v>96.732650000000007</v>
      </c>
      <c r="AM392" s="95">
        <v>96.944540000000003</v>
      </c>
      <c r="AN392" s="95">
        <v>95.324839999999995</v>
      </c>
      <c r="AO392" s="95">
        <v>96.898070000000004</v>
      </c>
      <c r="AP392" s="95">
        <v>97.353549999999998</v>
      </c>
      <c r="AQ392" s="95">
        <v>97.525599999999997</v>
      </c>
      <c r="AR392" s="95">
        <v>97.365679999999998</v>
      </c>
      <c r="AS392" s="95">
        <v>97.204369999999997</v>
      </c>
      <c r="AT392" s="95">
        <v>97.284729999999996</v>
      </c>
      <c r="AU392" s="95">
        <v>94.567530000000005</v>
      </c>
      <c r="AV392" s="95">
        <v>96.538659999999993</v>
      </c>
      <c r="AW392" s="95">
        <v>97.078320000000005</v>
      </c>
      <c r="AX392" s="95">
        <v>97.371020000000001</v>
      </c>
      <c r="AY392" s="95">
        <v>97.291730000000001</v>
      </c>
      <c r="AZ392" s="95">
        <v>97.130870000000002</v>
      </c>
      <c r="BA392" s="95">
        <v>97.128110000000007</v>
      </c>
      <c r="BB392" s="40">
        <v>43024</v>
      </c>
      <c r="BC392" s="40">
        <v>43388</v>
      </c>
    </row>
    <row r="393" spans="1:55" s="120" customFormat="1" ht="45">
      <c r="A393" s="74" t="s">
        <v>1245</v>
      </c>
      <c r="B393" s="74" t="s">
        <v>1350</v>
      </c>
      <c r="C393" s="63" t="s">
        <v>10</v>
      </c>
      <c r="D393" s="63" t="s">
        <v>10</v>
      </c>
      <c r="E393" s="43" t="s">
        <v>10</v>
      </c>
      <c r="F393" s="63" t="s">
        <v>11</v>
      </c>
      <c r="G393" s="74" t="s">
        <v>245</v>
      </c>
      <c r="H393" s="35">
        <v>7.6040000000000001</v>
      </c>
      <c r="I393" s="35">
        <v>240</v>
      </c>
      <c r="J393" s="35">
        <v>96.5</v>
      </c>
      <c r="K393" s="39" t="s">
        <v>1325</v>
      </c>
      <c r="L393" s="128" t="s">
        <v>513</v>
      </c>
      <c r="M393" s="39" t="s">
        <v>515</v>
      </c>
      <c r="N393" s="40">
        <v>43480</v>
      </c>
      <c r="O393" s="128" t="s">
        <v>513</v>
      </c>
      <c r="P393" s="63" t="s">
        <v>17</v>
      </c>
      <c r="Q393" s="63" t="s">
        <v>17</v>
      </c>
      <c r="R393" s="54"/>
      <c r="S393" s="34" t="s">
        <v>10</v>
      </c>
      <c r="T393" s="34" t="s">
        <v>11</v>
      </c>
      <c r="U393" s="35">
        <v>5.0999999999999997E-2</v>
      </c>
      <c r="V393" s="35"/>
      <c r="W393" s="35"/>
      <c r="X393" s="35">
        <v>270</v>
      </c>
      <c r="Y393" s="35">
        <v>380</v>
      </c>
      <c r="Z393" s="35">
        <v>480</v>
      </c>
      <c r="AA393" s="103">
        <v>760.4</v>
      </c>
      <c r="AB393" s="103">
        <v>1520.8</v>
      </c>
      <c r="AC393" s="103">
        <v>2281.19</v>
      </c>
      <c r="AD393" s="103">
        <v>3801.99</v>
      </c>
      <c r="AE393" s="103">
        <v>5702.99</v>
      </c>
      <c r="AF393" s="103">
        <v>7603.98</v>
      </c>
      <c r="AG393" s="103">
        <v>94.3</v>
      </c>
      <c r="AH393" s="103">
        <v>95.8</v>
      </c>
      <c r="AI393" s="103">
        <v>96.2</v>
      </c>
      <c r="AJ393" s="103">
        <v>96.1</v>
      </c>
      <c r="AK393" s="103">
        <v>95.8</v>
      </c>
      <c r="AL393" s="103">
        <v>95.3</v>
      </c>
      <c r="AM393" s="103">
        <v>95.8</v>
      </c>
      <c r="AN393" s="103">
        <v>96.1</v>
      </c>
      <c r="AO393" s="103">
        <v>97</v>
      </c>
      <c r="AP393" s="103">
        <v>97.2</v>
      </c>
      <c r="AQ393" s="103">
        <v>97.1</v>
      </c>
      <c r="AR393" s="103">
        <v>96.8</v>
      </c>
      <c r="AS393" s="103">
        <v>96.3</v>
      </c>
      <c r="AT393" s="103">
        <v>96.9</v>
      </c>
      <c r="AU393" s="103">
        <v>94.9</v>
      </c>
      <c r="AV393" s="103">
        <v>96.5</v>
      </c>
      <c r="AW393" s="103">
        <v>96.9</v>
      </c>
      <c r="AX393" s="103">
        <v>96.9</v>
      </c>
      <c r="AY393" s="103">
        <v>96.7</v>
      </c>
      <c r="AZ393" s="103">
        <v>96.3</v>
      </c>
      <c r="BA393" s="103">
        <v>96.7</v>
      </c>
      <c r="BB393" s="40">
        <v>43024</v>
      </c>
      <c r="BC393" s="40">
        <v>43480</v>
      </c>
    </row>
    <row r="394" spans="1:55" s="120" customFormat="1" ht="45">
      <c r="A394" s="74" t="s">
        <v>1245</v>
      </c>
      <c r="B394" s="74" t="s">
        <v>1351</v>
      </c>
      <c r="C394" s="63" t="s">
        <v>10</v>
      </c>
      <c r="D394" s="63" t="s">
        <v>10</v>
      </c>
      <c r="E394" s="43" t="s">
        <v>10</v>
      </c>
      <c r="F394" s="63" t="s">
        <v>11</v>
      </c>
      <c r="G394" s="74" t="s">
        <v>246</v>
      </c>
      <c r="H394" s="35">
        <v>7.6520000000000001</v>
      </c>
      <c r="I394" s="35">
        <v>277</v>
      </c>
      <c r="J394" s="35">
        <v>96.5</v>
      </c>
      <c r="K394" s="39" t="s">
        <v>1325</v>
      </c>
      <c r="L394" s="128" t="s">
        <v>513</v>
      </c>
      <c r="M394" s="39" t="s">
        <v>515</v>
      </c>
      <c r="N394" s="40">
        <v>43480</v>
      </c>
      <c r="O394" s="128" t="s">
        <v>513</v>
      </c>
      <c r="P394" s="63" t="s">
        <v>17</v>
      </c>
      <c r="Q394" s="63" t="s">
        <v>17</v>
      </c>
      <c r="R394" s="54"/>
      <c r="S394" s="34" t="s">
        <v>10</v>
      </c>
      <c r="T394" s="34" t="s">
        <v>11</v>
      </c>
      <c r="U394" s="35">
        <v>5.0999999999999997E-2</v>
      </c>
      <c r="V394" s="35"/>
      <c r="W394" s="35"/>
      <c r="X394" s="35">
        <v>270</v>
      </c>
      <c r="Y394" s="35">
        <v>380</v>
      </c>
      <c r="Z394" s="35">
        <v>480</v>
      </c>
      <c r="AA394" s="103">
        <v>765.15</v>
      </c>
      <c r="AB394" s="103">
        <v>1530.3</v>
      </c>
      <c r="AC394" s="103">
        <v>2295.4499999999998</v>
      </c>
      <c r="AD394" s="103">
        <v>3825.75</v>
      </c>
      <c r="AE394" s="103">
        <v>5738.63</v>
      </c>
      <c r="AF394" s="103">
        <v>7651.5</v>
      </c>
      <c r="AG394" s="103">
        <v>94.3</v>
      </c>
      <c r="AH394" s="103">
        <v>95.8</v>
      </c>
      <c r="AI394" s="103">
        <v>96.2</v>
      </c>
      <c r="AJ394" s="103">
        <v>96.1</v>
      </c>
      <c r="AK394" s="103">
        <v>95.8</v>
      </c>
      <c r="AL394" s="103">
        <v>95.3</v>
      </c>
      <c r="AM394" s="103">
        <v>95.8</v>
      </c>
      <c r="AN394" s="103">
        <v>96.1</v>
      </c>
      <c r="AO394" s="103">
        <v>97</v>
      </c>
      <c r="AP394" s="103">
        <v>97.2</v>
      </c>
      <c r="AQ394" s="103">
        <v>97.1</v>
      </c>
      <c r="AR394" s="103">
        <v>96.8</v>
      </c>
      <c r="AS394" s="103">
        <v>96.3</v>
      </c>
      <c r="AT394" s="103">
        <v>96.9</v>
      </c>
      <c r="AU394" s="103">
        <v>94.9</v>
      </c>
      <c r="AV394" s="103">
        <v>96.5</v>
      </c>
      <c r="AW394" s="103">
        <v>96.9</v>
      </c>
      <c r="AX394" s="103">
        <v>96.9</v>
      </c>
      <c r="AY394" s="103">
        <v>96.7</v>
      </c>
      <c r="AZ394" s="103">
        <v>96.3</v>
      </c>
      <c r="BA394" s="103">
        <v>96.7</v>
      </c>
      <c r="BB394" s="40">
        <v>43024</v>
      </c>
      <c r="BC394" s="40">
        <v>43480</v>
      </c>
    </row>
    <row r="395" spans="1:55" s="120" customFormat="1" ht="45">
      <c r="A395" s="74" t="s">
        <v>1245</v>
      </c>
      <c r="B395" s="74" t="s">
        <v>1352</v>
      </c>
      <c r="C395" s="63" t="s">
        <v>10</v>
      </c>
      <c r="D395" s="63" t="s">
        <v>10</v>
      </c>
      <c r="E395" s="43" t="s">
        <v>10</v>
      </c>
      <c r="F395" s="63" t="s">
        <v>11</v>
      </c>
      <c r="G395" s="74" t="s">
        <v>250</v>
      </c>
      <c r="H395" s="26">
        <v>7.8639999999999999</v>
      </c>
      <c r="I395" s="25">
        <v>208</v>
      </c>
      <c r="J395" s="26">
        <v>97</v>
      </c>
      <c r="K395" s="39" t="s">
        <v>1325</v>
      </c>
      <c r="L395" s="128" t="s">
        <v>513</v>
      </c>
      <c r="M395" s="39" t="s">
        <v>515</v>
      </c>
      <c r="N395" s="40">
        <v>43388</v>
      </c>
      <c r="O395" s="128" t="s">
        <v>513</v>
      </c>
      <c r="P395" s="63" t="s">
        <v>17</v>
      </c>
      <c r="Q395" s="63" t="s">
        <v>17</v>
      </c>
      <c r="R395" s="65"/>
      <c r="S395" s="32" t="s">
        <v>11</v>
      </c>
      <c r="T395" s="32" t="s">
        <v>11</v>
      </c>
      <c r="U395" s="25">
        <v>3.3</v>
      </c>
      <c r="V395" s="25"/>
      <c r="W395" s="25"/>
      <c r="X395" s="25">
        <v>330</v>
      </c>
      <c r="Y395" s="25">
        <v>480</v>
      </c>
      <c r="Z395" s="25">
        <v>550</v>
      </c>
      <c r="AA395" s="95">
        <v>0.78639999999999999</v>
      </c>
      <c r="AB395" s="95">
        <v>1.5728</v>
      </c>
      <c r="AC395" s="95">
        <v>2.3592</v>
      </c>
      <c r="AD395" s="95">
        <v>3.9319999999999999</v>
      </c>
      <c r="AE395" s="95">
        <v>5.8979999999999997</v>
      </c>
      <c r="AF395" s="95">
        <v>7.8639999999999999</v>
      </c>
      <c r="AG395" s="95">
        <v>95.43432</v>
      </c>
      <c r="AH395" s="95">
        <v>96.863429999999994</v>
      </c>
      <c r="AI395" s="95">
        <v>97.122839999999997</v>
      </c>
      <c r="AJ395" s="95">
        <v>97.083680000000001</v>
      </c>
      <c r="AK395" s="95">
        <v>96.760149999999996</v>
      </c>
      <c r="AL395" s="95">
        <v>96.539320000000004</v>
      </c>
      <c r="AM395" s="95">
        <v>96.812700000000007</v>
      </c>
      <c r="AN395" s="95">
        <v>95.518439999999998</v>
      </c>
      <c r="AO395" s="95">
        <v>96.989900000000006</v>
      </c>
      <c r="AP395" s="95">
        <v>97.353149999999999</v>
      </c>
      <c r="AQ395" s="95">
        <v>97.446280000000002</v>
      </c>
      <c r="AR395" s="95">
        <v>97.178740000000005</v>
      </c>
      <c r="AS395" s="95">
        <v>97.000060000000005</v>
      </c>
      <c r="AT395" s="95">
        <v>97.171059999999997</v>
      </c>
      <c r="AU395" s="95">
        <v>94.826999999999998</v>
      </c>
      <c r="AV395" s="95">
        <v>96.616910000000004</v>
      </c>
      <c r="AW395" s="95">
        <v>97.056359999999998</v>
      </c>
      <c r="AX395" s="95">
        <v>97.24727</v>
      </c>
      <c r="AY395" s="95">
        <v>97.081869999999995</v>
      </c>
      <c r="AZ395" s="95">
        <v>96.893640000000005</v>
      </c>
      <c r="BA395" s="95">
        <v>96.990690000000001</v>
      </c>
      <c r="BB395" s="40">
        <v>43024</v>
      </c>
      <c r="BC395" s="40">
        <v>43388</v>
      </c>
    </row>
    <row r="396" spans="1:55" s="120" customFormat="1" ht="45">
      <c r="A396" s="74" t="s">
        <v>1245</v>
      </c>
      <c r="B396" s="74" t="s">
        <v>1353</v>
      </c>
      <c r="C396" s="63" t="s">
        <v>10</v>
      </c>
      <c r="D396" s="63" t="s">
        <v>10</v>
      </c>
      <c r="E396" s="43" t="s">
        <v>10</v>
      </c>
      <c r="F396" s="63" t="s">
        <v>11</v>
      </c>
      <c r="G396" s="74" t="s">
        <v>248</v>
      </c>
      <c r="H396" s="26">
        <v>8.0609999999999999</v>
      </c>
      <c r="I396" s="25">
        <v>240</v>
      </c>
      <c r="J396" s="26">
        <v>97.5</v>
      </c>
      <c r="K396" s="39" t="s">
        <v>1325</v>
      </c>
      <c r="L396" s="128" t="s">
        <v>513</v>
      </c>
      <c r="M396" s="39" t="s">
        <v>515</v>
      </c>
      <c r="N396" s="40">
        <v>43388</v>
      </c>
      <c r="O396" s="128" t="s">
        <v>513</v>
      </c>
      <c r="P396" s="63" t="s">
        <v>17</v>
      </c>
      <c r="Q396" s="63" t="s">
        <v>17</v>
      </c>
      <c r="R396" s="65"/>
      <c r="S396" s="32" t="s">
        <v>11</v>
      </c>
      <c r="T396" s="32" t="s">
        <v>11</v>
      </c>
      <c r="U396" s="25">
        <v>3.5</v>
      </c>
      <c r="V396" s="25"/>
      <c r="W396" s="25"/>
      <c r="X396" s="25">
        <v>330</v>
      </c>
      <c r="Y396" s="25">
        <v>480</v>
      </c>
      <c r="Z396" s="25">
        <v>550</v>
      </c>
      <c r="AA396" s="95">
        <v>0.80610000000000004</v>
      </c>
      <c r="AB396" s="95">
        <v>1.6122000000000001</v>
      </c>
      <c r="AC396" s="95">
        <v>2.4182999999999999</v>
      </c>
      <c r="AD396" s="95">
        <v>4.0305</v>
      </c>
      <c r="AE396" s="95">
        <v>6.04575</v>
      </c>
      <c r="AF396" s="95">
        <v>8.0609999999999999</v>
      </c>
      <c r="AG396" s="95">
        <v>95.4816</v>
      </c>
      <c r="AH396" s="95">
        <v>96.806020000000004</v>
      </c>
      <c r="AI396" s="95">
        <v>97.298220000000001</v>
      </c>
      <c r="AJ396" s="95">
        <v>97.457989999999995</v>
      </c>
      <c r="AK396" s="95">
        <v>97.318010000000001</v>
      </c>
      <c r="AL396" s="95">
        <v>97.01661</v>
      </c>
      <c r="AM396" s="95">
        <v>97.230900000000005</v>
      </c>
      <c r="AN396" s="95">
        <v>95.793940000000006</v>
      </c>
      <c r="AO396" s="95">
        <v>97.091250000000002</v>
      </c>
      <c r="AP396" s="95">
        <v>97.595429999999993</v>
      </c>
      <c r="AQ396" s="95">
        <v>97.858990000000006</v>
      </c>
      <c r="AR396" s="95">
        <v>97.792810000000003</v>
      </c>
      <c r="AS396" s="95">
        <v>97.576599999999999</v>
      </c>
      <c r="AT396" s="95">
        <v>97.657179999999997</v>
      </c>
      <c r="AU396" s="95">
        <v>95.263710000000003</v>
      </c>
      <c r="AV396" s="95">
        <v>96.757559999999998</v>
      </c>
      <c r="AW396" s="95">
        <v>97.312370000000001</v>
      </c>
      <c r="AX396" s="95">
        <v>97.63409</v>
      </c>
      <c r="AY396" s="95">
        <v>97.694239999999994</v>
      </c>
      <c r="AZ396" s="95">
        <v>97.527929999999998</v>
      </c>
      <c r="BA396" s="95">
        <v>97.483410000000006</v>
      </c>
      <c r="BB396" s="40">
        <v>43024</v>
      </c>
      <c r="BC396" s="40">
        <v>43388</v>
      </c>
    </row>
    <row r="397" spans="1:55" s="120" customFormat="1" ht="45">
      <c r="A397" s="74" t="s">
        <v>1245</v>
      </c>
      <c r="B397" s="74" t="s">
        <v>1354</v>
      </c>
      <c r="C397" s="63" t="s">
        <v>10</v>
      </c>
      <c r="D397" s="63" t="s">
        <v>10</v>
      </c>
      <c r="E397" s="43" t="s">
        <v>10</v>
      </c>
      <c r="F397" s="63" t="s">
        <v>11</v>
      </c>
      <c r="G397" s="74" t="s">
        <v>249</v>
      </c>
      <c r="H397" s="26">
        <v>8.1370000000000005</v>
      </c>
      <c r="I397" s="25">
        <v>277</v>
      </c>
      <c r="J397" s="26">
        <v>97.5</v>
      </c>
      <c r="K397" s="39" t="s">
        <v>1325</v>
      </c>
      <c r="L397" s="128" t="s">
        <v>513</v>
      </c>
      <c r="M397" s="39" t="s">
        <v>515</v>
      </c>
      <c r="N397" s="40">
        <v>43388</v>
      </c>
      <c r="O397" s="128" t="s">
        <v>513</v>
      </c>
      <c r="P397" s="63" t="s">
        <v>17</v>
      </c>
      <c r="Q397" s="63" t="s">
        <v>17</v>
      </c>
      <c r="R397" s="65"/>
      <c r="S397" s="32" t="s">
        <v>11</v>
      </c>
      <c r="T397" s="32" t="s">
        <v>11</v>
      </c>
      <c r="U397" s="25">
        <v>3.7</v>
      </c>
      <c r="V397" s="25"/>
      <c r="W397" s="25"/>
      <c r="X397" s="25">
        <v>330</v>
      </c>
      <c r="Y397" s="25">
        <v>480</v>
      </c>
      <c r="Z397" s="25">
        <v>550</v>
      </c>
      <c r="AA397" s="95">
        <v>0.81369999999999998</v>
      </c>
      <c r="AB397" s="95">
        <v>1.6274</v>
      </c>
      <c r="AC397" s="95">
        <v>2.4411</v>
      </c>
      <c r="AD397" s="95">
        <v>4.0685000000000002</v>
      </c>
      <c r="AE397" s="95">
        <v>6.1027500000000003</v>
      </c>
      <c r="AF397" s="95">
        <v>8.1370000000000005</v>
      </c>
      <c r="AG397" s="95">
        <v>95.442130000000006</v>
      </c>
      <c r="AH397" s="95">
        <v>96.610879999999995</v>
      </c>
      <c r="AI397" s="95">
        <v>97.182379999999995</v>
      </c>
      <c r="AJ397" s="95">
        <v>97.519840000000002</v>
      </c>
      <c r="AK397" s="95">
        <v>97.492549999999994</v>
      </c>
      <c r="AL397" s="95">
        <v>97.242800000000003</v>
      </c>
      <c r="AM397" s="95">
        <v>97.322469999999996</v>
      </c>
      <c r="AN397" s="95">
        <v>96.269720000000007</v>
      </c>
      <c r="AO397" s="95">
        <v>97.204390000000004</v>
      </c>
      <c r="AP397" s="95">
        <v>97.776979999999995</v>
      </c>
      <c r="AQ397" s="95">
        <v>98.099580000000003</v>
      </c>
      <c r="AR397" s="95">
        <v>98.098389999999995</v>
      </c>
      <c r="AS397" s="95">
        <v>97.949449999999999</v>
      </c>
      <c r="AT397" s="95">
        <v>97.934780000000003</v>
      </c>
      <c r="AU397" s="95">
        <v>95.863069999999993</v>
      </c>
      <c r="AV397" s="95">
        <v>96.889769999999999</v>
      </c>
      <c r="AW397" s="95">
        <v>97.487949999999998</v>
      </c>
      <c r="AX397" s="95">
        <v>97.839110000000005</v>
      </c>
      <c r="AY397" s="95">
        <v>97.964219999999997</v>
      </c>
      <c r="AZ397" s="95">
        <v>97.894599999999997</v>
      </c>
      <c r="BA397" s="95">
        <v>97.739540000000005</v>
      </c>
      <c r="BB397" s="40">
        <v>43024</v>
      </c>
      <c r="BC397" s="40">
        <v>43388</v>
      </c>
    </row>
    <row r="398" spans="1:55" s="120" customFormat="1" ht="45">
      <c r="A398" s="74" t="s">
        <v>1245</v>
      </c>
      <c r="B398" s="74" t="s">
        <v>1355</v>
      </c>
      <c r="C398" s="63" t="s">
        <v>10</v>
      </c>
      <c r="D398" s="63" t="s">
        <v>10</v>
      </c>
      <c r="E398" s="43" t="s">
        <v>10</v>
      </c>
      <c r="F398" s="63" t="s">
        <v>11</v>
      </c>
      <c r="G398" s="74" t="s">
        <v>253</v>
      </c>
      <c r="H398" s="26">
        <v>8.6300000000000008</v>
      </c>
      <c r="I398" s="25">
        <v>208</v>
      </c>
      <c r="J398" s="26">
        <v>97</v>
      </c>
      <c r="K398" s="39" t="s">
        <v>1325</v>
      </c>
      <c r="L398" s="128" t="s">
        <v>513</v>
      </c>
      <c r="M398" s="39" t="s">
        <v>515</v>
      </c>
      <c r="N398" s="40">
        <v>43388</v>
      </c>
      <c r="O398" s="128" t="s">
        <v>513</v>
      </c>
      <c r="P398" s="63" t="s">
        <v>17</v>
      </c>
      <c r="Q398" s="63" t="s">
        <v>17</v>
      </c>
      <c r="R398" s="65"/>
      <c r="S398" s="32" t="s">
        <v>11</v>
      </c>
      <c r="T398" s="32" t="s">
        <v>11</v>
      </c>
      <c r="U398" s="25">
        <v>3.3</v>
      </c>
      <c r="V398" s="25"/>
      <c r="W398" s="25"/>
      <c r="X398" s="25">
        <v>330</v>
      </c>
      <c r="Y398" s="25">
        <v>480</v>
      </c>
      <c r="Z398" s="25">
        <v>550</v>
      </c>
      <c r="AA398" s="95">
        <v>0.86299999999999999</v>
      </c>
      <c r="AB398" s="95">
        <v>1.726</v>
      </c>
      <c r="AC398" s="95">
        <v>2.589</v>
      </c>
      <c r="AD398" s="95">
        <v>4.3150000000000004</v>
      </c>
      <c r="AE398" s="95">
        <v>6.4725000000000001</v>
      </c>
      <c r="AF398" s="95">
        <v>8.6300000000000008</v>
      </c>
      <c r="AG398" s="95">
        <v>95.560919999999996</v>
      </c>
      <c r="AH398" s="95">
        <v>96.370199999999997</v>
      </c>
      <c r="AI398" s="95">
        <v>96.519289999999998</v>
      </c>
      <c r="AJ398" s="95">
        <v>97.053700000000006</v>
      </c>
      <c r="AK398" s="95">
        <v>96.608760000000004</v>
      </c>
      <c r="AL398" s="95">
        <v>96.429270000000002</v>
      </c>
      <c r="AM398" s="95">
        <v>96.628640000000004</v>
      </c>
      <c r="AN398" s="95">
        <v>95.622730000000004</v>
      </c>
      <c r="AO398" s="95">
        <v>96.768129999999999</v>
      </c>
      <c r="AP398" s="95">
        <v>96.790099999999995</v>
      </c>
      <c r="AQ398" s="95">
        <v>97.453130000000002</v>
      </c>
      <c r="AR398" s="95">
        <v>97.126859999999994</v>
      </c>
      <c r="AS398" s="95">
        <v>96.958539999999999</v>
      </c>
      <c r="AT398" s="95">
        <v>97.068449999999999</v>
      </c>
      <c r="AU398" s="95">
        <v>95.032640000000001</v>
      </c>
      <c r="AV398" s="95">
        <v>96.781210000000002</v>
      </c>
      <c r="AW398" s="95">
        <v>97.151790000000005</v>
      </c>
      <c r="AX398" s="95">
        <v>97.339939999999999</v>
      </c>
      <c r="AY398" s="95">
        <v>96.997479999999996</v>
      </c>
      <c r="AZ398" s="95">
        <v>96.880499999999998</v>
      </c>
      <c r="BA398" s="95">
        <v>96.992649999999998</v>
      </c>
      <c r="BB398" s="40">
        <v>43024</v>
      </c>
      <c r="BC398" s="40">
        <v>43388</v>
      </c>
    </row>
    <row r="399" spans="1:55" s="120" customFormat="1" ht="45">
      <c r="A399" s="74" t="s">
        <v>1245</v>
      </c>
      <c r="B399" s="74" t="s">
        <v>1356</v>
      </c>
      <c r="C399" s="63" t="s">
        <v>10</v>
      </c>
      <c r="D399" s="63" t="s">
        <v>10</v>
      </c>
      <c r="E399" s="43" t="s">
        <v>10</v>
      </c>
      <c r="F399" s="63" t="s">
        <v>11</v>
      </c>
      <c r="G399" s="74" t="s">
        <v>251</v>
      </c>
      <c r="H399" s="26">
        <v>9.0609999999999999</v>
      </c>
      <c r="I399" s="25">
        <v>240</v>
      </c>
      <c r="J399" s="26">
        <v>97.5</v>
      </c>
      <c r="K399" s="39" t="s">
        <v>1325</v>
      </c>
      <c r="L399" s="128" t="s">
        <v>513</v>
      </c>
      <c r="M399" s="39" t="s">
        <v>515</v>
      </c>
      <c r="N399" s="40">
        <v>43388</v>
      </c>
      <c r="O399" s="128" t="s">
        <v>513</v>
      </c>
      <c r="P399" s="63" t="s">
        <v>17</v>
      </c>
      <c r="Q399" s="63" t="s">
        <v>17</v>
      </c>
      <c r="R399" s="65"/>
      <c r="S399" s="32" t="s">
        <v>11</v>
      </c>
      <c r="T399" s="32" t="s">
        <v>11</v>
      </c>
      <c r="U399" s="25">
        <v>3.5</v>
      </c>
      <c r="V399" s="25"/>
      <c r="W399" s="25"/>
      <c r="X399" s="25">
        <v>330</v>
      </c>
      <c r="Y399" s="25">
        <v>480</v>
      </c>
      <c r="Z399" s="25">
        <v>550</v>
      </c>
      <c r="AA399" s="95">
        <v>0.90610000000000002</v>
      </c>
      <c r="AB399" s="95">
        <v>1.8122</v>
      </c>
      <c r="AC399" s="95">
        <v>2.7183000000000002</v>
      </c>
      <c r="AD399" s="95">
        <v>4.5305</v>
      </c>
      <c r="AE399" s="95">
        <v>6.79575</v>
      </c>
      <c r="AF399" s="95">
        <v>9.0609999999999999</v>
      </c>
      <c r="AG399" s="95">
        <v>95.93065</v>
      </c>
      <c r="AH399" s="95">
        <v>97.035060000000001</v>
      </c>
      <c r="AI399" s="95">
        <v>97.362440000000007</v>
      </c>
      <c r="AJ399" s="95">
        <v>97.405529999999999</v>
      </c>
      <c r="AK399" s="95">
        <v>97.158659999999998</v>
      </c>
      <c r="AL399" s="95">
        <v>96.78322</v>
      </c>
      <c r="AM399" s="95">
        <v>97.160880000000006</v>
      </c>
      <c r="AN399" s="95">
        <v>96.126360000000005</v>
      </c>
      <c r="AO399" s="95">
        <v>97.330820000000003</v>
      </c>
      <c r="AP399" s="95">
        <v>97.709829999999997</v>
      </c>
      <c r="AQ399" s="95">
        <v>97.856560000000002</v>
      </c>
      <c r="AR399" s="95">
        <v>97.706140000000005</v>
      </c>
      <c r="AS399" s="95">
        <v>97.435649999999995</v>
      </c>
      <c r="AT399" s="95">
        <v>97.642690000000002</v>
      </c>
      <c r="AU399" s="95">
        <v>95.536010000000005</v>
      </c>
      <c r="AV399" s="95">
        <v>96.982789999999994</v>
      </c>
      <c r="AW399" s="95">
        <v>97.334860000000006</v>
      </c>
      <c r="AX399" s="95">
        <v>97.587569999999999</v>
      </c>
      <c r="AY399" s="95">
        <v>97.556820000000002</v>
      </c>
      <c r="AZ399" s="95">
        <v>97.313829999999996</v>
      </c>
      <c r="BA399" s="95">
        <v>97.414959999999994</v>
      </c>
      <c r="BB399" s="40">
        <v>43024</v>
      </c>
      <c r="BC399" s="40">
        <v>43388</v>
      </c>
    </row>
    <row r="400" spans="1:55" s="120" customFormat="1" ht="54.75" customHeight="1">
      <c r="A400" s="74" t="s">
        <v>1245</v>
      </c>
      <c r="B400" s="74" t="s">
        <v>1357</v>
      </c>
      <c r="C400" s="63" t="s">
        <v>10</v>
      </c>
      <c r="D400" s="63" t="s">
        <v>10</v>
      </c>
      <c r="E400" s="43" t="s">
        <v>10</v>
      </c>
      <c r="F400" s="63" t="s">
        <v>11</v>
      </c>
      <c r="G400" s="74" t="s">
        <v>252</v>
      </c>
      <c r="H400" s="26">
        <v>9.1690000000000005</v>
      </c>
      <c r="I400" s="25">
        <v>277</v>
      </c>
      <c r="J400" s="26">
        <v>97.5</v>
      </c>
      <c r="K400" s="39" t="s">
        <v>1325</v>
      </c>
      <c r="L400" s="128" t="s">
        <v>513</v>
      </c>
      <c r="M400" s="39" t="s">
        <v>515</v>
      </c>
      <c r="N400" s="40">
        <v>43388</v>
      </c>
      <c r="O400" s="128" t="s">
        <v>513</v>
      </c>
      <c r="P400" s="63" t="s">
        <v>17</v>
      </c>
      <c r="Q400" s="63" t="s">
        <v>17</v>
      </c>
      <c r="R400" s="65"/>
      <c r="S400" s="32" t="s">
        <v>11</v>
      </c>
      <c r="T400" s="32" t="s">
        <v>11</v>
      </c>
      <c r="U400" s="25">
        <v>3.7</v>
      </c>
      <c r="V400" s="25"/>
      <c r="W400" s="25"/>
      <c r="X400" s="25">
        <v>330</v>
      </c>
      <c r="Y400" s="25">
        <v>480</v>
      </c>
      <c r="Z400" s="25">
        <v>550</v>
      </c>
      <c r="AA400" s="95">
        <v>0.91690000000000005</v>
      </c>
      <c r="AB400" s="95">
        <v>1.8338000000000001</v>
      </c>
      <c r="AC400" s="95">
        <v>2.7507000000000001</v>
      </c>
      <c r="AD400" s="95">
        <v>4.5845000000000002</v>
      </c>
      <c r="AE400" s="95">
        <v>6.8767500000000004</v>
      </c>
      <c r="AF400" s="95">
        <v>9.1690000000000005</v>
      </c>
      <c r="AG400" s="95">
        <v>95.687690000000003</v>
      </c>
      <c r="AH400" s="95">
        <v>96.865970000000004</v>
      </c>
      <c r="AI400" s="95">
        <v>97.33663</v>
      </c>
      <c r="AJ400" s="95">
        <v>97.541709999999995</v>
      </c>
      <c r="AK400" s="95">
        <v>97.445030000000003</v>
      </c>
      <c r="AL400" s="95">
        <v>97.157430000000005</v>
      </c>
      <c r="AM400" s="95">
        <v>97.338700000000003</v>
      </c>
      <c r="AN400" s="95">
        <v>96.344859999999997</v>
      </c>
      <c r="AO400" s="95">
        <v>97.280630000000002</v>
      </c>
      <c r="AP400" s="95">
        <v>97.773439999999994</v>
      </c>
      <c r="AQ400" s="95">
        <v>98.113960000000006</v>
      </c>
      <c r="AR400" s="95">
        <v>98.064689999999999</v>
      </c>
      <c r="AS400" s="95">
        <v>97.891440000000003</v>
      </c>
      <c r="AT400" s="95">
        <v>97.923429999999996</v>
      </c>
      <c r="AU400" s="95">
        <v>95.934560000000005</v>
      </c>
      <c r="AV400" s="95">
        <v>97.087289999999996</v>
      </c>
      <c r="AW400" s="95">
        <v>97.619349999999997</v>
      </c>
      <c r="AX400" s="95">
        <v>97.924369999999996</v>
      </c>
      <c r="AY400" s="95">
        <v>98.000309999999999</v>
      </c>
      <c r="AZ400" s="95">
        <v>97.894289999999998</v>
      </c>
      <c r="BA400" s="95">
        <v>97.805059999999997</v>
      </c>
      <c r="BB400" s="40">
        <v>43024</v>
      </c>
      <c r="BC400" s="40">
        <v>43388</v>
      </c>
    </row>
    <row r="401" spans="1:55" s="120" customFormat="1" ht="45">
      <c r="A401" s="74" t="s">
        <v>1245</v>
      </c>
      <c r="B401" s="74" t="s">
        <v>1358</v>
      </c>
      <c r="C401" s="63" t="s">
        <v>10</v>
      </c>
      <c r="D401" s="63" t="s">
        <v>10</v>
      </c>
      <c r="E401" s="43" t="s">
        <v>10</v>
      </c>
      <c r="F401" s="63" t="s">
        <v>11</v>
      </c>
      <c r="G401" s="74" t="s">
        <v>254</v>
      </c>
      <c r="H401" s="26">
        <v>10.058</v>
      </c>
      <c r="I401" s="25">
        <v>240</v>
      </c>
      <c r="J401" s="26">
        <v>97</v>
      </c>
      <c r="K401" s="39" t="s">
        <v>1325</v>
      </c>
      <c r="L401" s="128" t="s">
        <v>513</v>
      </c>
      <c r="M401" s="39" t="s">
        <v>515</v>
      </c>
      <c r="N401" s="40">
        <v>43388</v>
      </c>
      <c r="O401" s="128" t="s">
        <v>513</v>
      </c>
      <c r="P401" s="63" t="s">
        <v>17</v>
      </c>
      <c r="Q401" s="63" t="s">
        <v>17</v>
      </c>
      <c r="R401" s="65"/>
      <c r="S401" s="32" t="s">
        <v>11</v>
      </c>
      <c r="T401" s="32" t="s">
        <v>11</v>
      </c>
      <c r="U401" s="25">
        <v>3.5</v>
      </c>
      <c r="V401" s="25"/>
      <c r="W401" s="25"/>
      <c r="X401" s="25">
        <v>330</v>
      </c>
      <c r="Y401" s="25">
        <v>480</v>
      </c>
      <c r="Z401" s="25">
        <v>550</v>
      </c>
      <c r="AA401" s="95">
        <v>1.0058</v>
      </c>
      <c r="AB401" s="95">
        <v>2.0116000000000001</v>
      </c>
      <c r="AC401" s="95">
        <v>3.0173999999999999</v>
      </c>
      <c r="AD401" s="95">
        <v>5.0289999999999999</v>
      </c>
      <c r="AE401" s="95">
        <v>7.5434999999999999</v>
      </c>
      <c r="AF401" s="95">
        <v>10.058</v>
      </c>
      <c r="AG401" s="95">
        <v>95.749579999999995</v>
      </c>
      <c r="AH401" s="95">
        <v>96.575100000000006</v>
      </c>
      <c r="AI401" s="95">
        <v>96.691590000000005</v>
      </c>
      <c r="AJ401" s="95">
        <v>96.532259999999994</v>
      </c>
      <c r="AK401" s="95">
        <v>96.916989999999998</v>
      </c>
      <c r="AL401" s="95">
        <v>96.60866</v>
      </c>
      <c r="AM401" s="95">
        <v>96.729939999999999</v>
      </c>
      <c r="AN401" s="95">
        <v>95.860209999999995</v>
      </c>
      <c r="AO401" s="95">
        <v>96.901910000000001</v>
      </c>
      <c r="AP401" s="95">
        <v>97.033869999999993</v>
      </c>
      <c r="AQ401" s="95">
        <v>97.052809999999994</v>
      </c>
      <c r="AR401" s="95">
        <v>97.614750000000001</v>
      </c>
      <c r="AS401" s="95">
        <v>97.300539999999998</v>
      </c>
      <c r="AT401" s="95">
        <v>97.305509999999998</v>
      </c>
      <c r="AU401" s="95">
        <v>95.375290000000007</v>
      </c>
      <c r="AV401" s="95">
        <v>96.937259999999995</v>
      </c>
      <c r="AW401" s="95">
        <v>97.397279999999995</v>
      </c>
      <c r="AX401" s="95">
        <v>97.640140000000002</v>
      </c>
      <c r="AY401" s="95">
        <v>97.536789999999996</v>
      </c>
      <c r="AZ401" s="95">
        <v>97.234260000000006</v>
      </c>
      <c r="BA401" s="95">
        <v>97.41019</v>
      </c>
      <c r="BB401" s="40">
        <v>43024</v>
      </c>
      <c r="BC401" s="40">
        <v>43388</v>
      </c>
    </row>
    <row r="402" spans="1:55" s="120" customFormat="1" ht="45">
      <c r="A402" s="74" t="s">
        <v>1245</v>
      </c>
      <c r="B402" s="74" t="s">
        <v>1359</v>
      </c>
      <c r="C402" s="63" t="s">
        <v>10</v>
      </c>
      <c r="D402" s="63" t="s">
        <v>10</v>
      </c>
      <c r="E402" s="43" t="s">
        <v>10</v>
      </c>
      <c r="F402" s="63" t="s">
        <v>11</v>
      </c>
      <c r="G402" s="74" t="s">
        <v>255</v>
      </c>
      <c r="H402" s="26">
        <v>10.164999999999999</v>
      </c>
      <c r="I402" s="25">
        <v>277</v>
      </c>
      <c r="J402" s="26">
        <v>97.5</v>
      </c>
      <c r="K402" s="39" t="s">
        <v>1325</v>
      </c>
      <c r="L402" s="128" t="s">
        <v>513</v>
      </c>
      <c r="M402" s="39" t="s">
        <v>515</v>
      </c>
      <c r="N402" s="40">
        <v>43388</v>
      </c>
      <c r="O402" s="128" t="s">
        <v>513</v>
      </c>
      <c r="P402" s="63" t="s">
        <v>17</v>
      </c>
      <c r="Q402" s="63" t="s">
        <v>17</v>
      </c>
      <c r="R402" s="65"/>
      <c r="S402" s="32" t="s">
        <v>11</v>
      </c>
      <c r="T402" s="32" t="s">
        <v>11</v>
      </c>
      <c r="U402" s="25">
        <v>3.7</v>
      </c>
      <c r="V402" s="25"/>
      <c r="W402" s="25"/>
      <c r="X402" s="25">
        <v>330</v>
      </c>
      <c r="Y402" s="25">
        <v>480</v>
      </c>
      <c r="Z402" s="25">
        <v>550</v>
      </c>
      <c r="AA402" s="95">
        <v>1.0165</v>
      </c>
      <c r="AB402" s="95">
        <v>2.0329999999999999</v>
      </c>
      <c r="AC402" s="95">
        <v>3.0495000000000001</v>
      </c>
      <c r="AD402" s="95">
        <v>5.0824999999999996</v>
      </c>
      <c r="AE402" s="95">
        <v>7.6237500000000002</v>
      </c>
      <c r="AF402" s="95">
        <v>10.164999999999999</v>
      </c>
      <c r="AG402" s="95">
        <v>95.579530000000005</v>
      </c>
      <c r="AH402" s="95">
        <v>96.429109999999994</v>
      </c>
      <c r="AI402" s="95">
        <v>96.930059999999997</v>
      </c>
      <c r="AJ402" s="95">
        <v>97.516750000000002</v>
      </c>
      <c r="AK402" s="95">
        <v>97.317729999999997</v>
      </c>
      <c r="AL402" s="95">
        <v>97.051460000000006</v>
      </c>
      <c r="AM402" s="95">
        <v>97.185730000000007</v>
      </c>
      <c r="AN402" s="95">
        <v>96.069519999999997</v>
      </c>
      <c r="AO402" s="95">
        <v>97.219009999999997</v>
      </c>
      <c r="AP402" s="95">
        <v>97.392870000000002</v>
      </c>
      <c r="AQ402" s="95">
        <v>98.122780000000006</v>
      </c>
      <c r="AR402" s="95">
        <v>97.960220000000007</v>
      </c>
      <c r="AS402" s="95">
        <v>97.731359999999995</v>
      </c>
      <c r="AT402" s="95">
        <v>97.802149999999997</v>
      </c>
      <c r="AU402" s="95">
        <v>95.873689999999996</v>
      </c>
      <c r="AV402" s="95">
        <v>97.160489999999996</v>
      </c>
      <c r="AW402" s="95">
        <v>97.925309999999996</v>
      </c>
      <c r="AX402" s="95">
        <v>97.953310000000002</v>
      </c>
      <c r="AY402" s="95">
        <v>97.950850000000003</v>
      </c>
      <c r="AZ402" s="95">
        <v>97.763180000000006</v>
      </c>
      <c r="BA402" s="95">
        <v>97.816320000000005</v>
      </c>
      <c r="BB402" s="40">
        <v>43024</v>
      </c>
      <c r="BC402" s="40">
        <v>43388</v>
      </c>
    </row>
    <row r="403" spans="1:55" s="120" customFormat="1" ht="45">
      <c r="A403" s="74" t="s">
        <v>1245</v>
      </c>
      <c r="B403" s="76" t="s">
        <v>1246</v>
      </c>
      <c r="C403" s="79" t="s">
        <v>10</v>
      </c>
      <c r="D403" s="79" t="s">
        <v>10</v>
      </c>
      <c r="E403" s="63" t="s">
        <v>10</v>
      </c>
      <c r="F403" s="63" t="s">
        <v>11</v>
      </c>
      <c r="G403" s="76" t="s">
        <v>1247</v>
      </c>
      <c r="H403" s="144">
        <v>32.270000000000003</v>
      </c>
      <c r="I403" s="77">
        <v>480</v>
      </c>
      <c r="J403" s="78">
        <v>98.5</v>
      </c>
      <c r="K403" s="39" t="s">
        <v>1325</v>
      </c>
      <c r="L403" s="145" t="s">
        <v>1248</v>
      </c>
      <c r="M403" s="79" t="s">
        <v>1249</v>
      </c>
      <c r="N403" s="40">
        <v>43480</v>
      </c>
      <c r="O403" s="145" t="s">
        <v>1248</v>
      </c>
      <c r="P403" s="63" t="s">
        <v>17</v>
      </c>
      <c r="Q403" s="63" t="s">
        <v>17</v>
      </c>
      <c r="R403" s="81"/>
      <c r="S403" s="80" t="s">
        <v>11</v>
      </c>
      <c r="T403" s="80" t="s">
        <v>11</v>
      </c>
      <c r="U403" s="82">
        <v>2.0920000000000001</v>
      </c>
      <c r="V403" s="83"/>
      <c r="W403" s="83"/>
      <c r="X403" s="83">
        <v>480</v>
      </c>
      <c r="Y403" s="83">
        <v>700</v>
      </c>
      <c r="Z403" s="83">
        <v>800</v>
      </c>
      <c r="AA403" s="82">
        <v>3.23</v>
      </c>
      <c r="AB403" s="82">
        <v>6.45</v>
      </c>
      <c r="AC403" s="82">
        <v>9.68</v>
      </c>
      <c r="AD403" s="82">
        <v>16.14</v>
      </c>
      <c r="AE403" s="82">
        <v>24.2</v>
      </c>
      <c r="AF403" s="82">
        <v>32.270000000000003</v>
      </c>
      <c r="AG403" s="146">
        <v>97.3</v>
      </c>
      <c r="AH403" s="146">
        <v>97.8</v>
      </c>
      <c r="AI403" s="146">
        <v>98.1</v>
      </c>
      <c r="AJ403" s="146">
        <v>98.1</v>
      </c>
      <c r="AK403" s="146">
        <v>97.8</v>
      </c>
      <c r="AL403" s="146">
        <v>97.5</v>
      </c>
      <c r="AM403" s="146">
        <v>97.9</v>
      </c>
      <c r="AN403" s="146">
        <v>97.8</v>
      </c>
      <c r="AO403" s="146">
        <v>98.6</v>
      </c>
      <c r="AP403" s="146">
        <v>98.8</v>
      </c>
      <c r="AQ403" s="146">
        <v>98.9</v>
      </c>
      <c r="AR403" s="146">
        <v>98.7</v>
      </c>
      <c r="AS403" s="146">
        <v>98.5</v>
      </c>
      <c r="AT403" s="146">
        <v>98.7</v>
      </c>
      <c r="AU403" s="146">
        <v>97.5</v>
      </c>
      <c r="AV403" s="146">
        <v>98</v>
      </c>
      <c r="AW403" s="146">
        <v>98.3</v>
      </c>
      <c r="AX403" s="146">
        <v>98.5</v>
      </c>
      <c r="AY403" s="146">
        <v>98.3</v>
      </c>
      <c r="AZ403" s="146">
        <v>98.1</v>
      </c>
      <c r="BA403" s="146">
        <v>98.3</v>
      </c>
      <c r="BB403" s="40">
        <v>43419</v>
      </c>
      <c r="BC403" s="70">
        <v>43480</v>
      </c>
    </row>
    <row r="404" spans="1:55" s="120" customFormat="1" ht="45">
      <c r="A404" s="74" t="s">
        <v>1245</v>
      </c>
      <c r="B404" s="76" t="s">
        <v>1250</v>
      </c>
      <c r="C404" s="79" t="s">
        <v>10</v>
      </c>
      <c r="D404" s="79" t="s">
        <v>10</v>
      </c>
      <c r="E404" s="63" t="s">
        <v>10</v>
      </c>
      <c r="F404" s="63" t="s">
        <v>11</v>
      </c>
      <c r="G404" s="76" t="s">
        <v>1251</v>
      </c>
      <c r="H404" s="144">
        <v>35.71</v>
      </c>
      <c r="I404" s="77">
        <v>480</v>
      </c>
      <c r="J404" s="78">
        <v>98.5</v>
      </c>
      <c r="K404" s="39" t="s">
        <v>1325</v>
      </c>
      <c r="L404" s="145" t="s">
        <v>1248</v>
      </c>
      <c r="M404" s="79" t="s">
        <v>1249</v>
      </c>
      <c r="N404" s="40">
        <v>43480</v>
      </c>
      <c r="O404" s="145" t="s">
        <v>1248</v>
      </c>
      <c r="P404" s="63" t="s">
        <v>17</v>
      </c>
      <c r="Q404" s="63" t="s">
        <v>17</v>
      </c>
      <c r="R404" s="81"/>
      <c r="S404" s="80" t="s">
        <v>11</v>
      </c>
      <c r="T404" s="80" t="s">
        <v>11</v>
      </c>
      <c r="U404" s="82">
        <v>2.0510000000000002</v>
      </c>
      <c r="V404" s="83"/>
      <c r="W404" s="83"/>
      <c r="X404" s="83">
        <v>520</v>
      </c>
      <c r="Y404" s="83">
        <v>700</v>
      </c>
      <c r="Z404" s="83">
        <v>800</v>
      </c>
      <c r="AA404" s="82">
        <v>3.57</v>
      </c>
      <c r="AB404" s="82">
        <v>7.14</v>
      </c>
      <c r="AC404" s="82">
        <v>10.71</v>
      </c>
      <c r="AD404" s="82">
        <v>17.86</v>
      </c>
      <c r="AE404" s="82">
        <v>26.78</v>
      </c>
      <c r="AF404" s="82">
        <v>35.71</v>
      </c>
      <c r="AG404" s="146">
        <v>97.5</v>
      </c>
      <c r="AH404" s="146">
        <v>98.1</v>
      </c>
      <c r="AI404" s="146">
        <v>98.2</v>
      </c>
      <c r="AJ404" s="146">
        <v>98.3</v>
      </c>
      <c r="AK404" s="146">
        <v>97.9</v>
      </c>
      <c r="AL404" s="146">
        <v>97.6</v>
      </c>
      <c r="AM404" s="146">
        <v>98</v>
      </c>
      <c r="AN404" s="146">
        <v>98</v>
      </c>
      <c r="AO404" s="146">
        <v>98.6</v>
      </c>
      <c r="AP404" s="146">
        <v>98.6</v>
      </c>
      <c r="AQ404" s="146">
        <v>98.6</v>
      </c>
      <c r="AR404" s="146">
        <v>98.6</v>
      </c>
      <c r="AS404" s="146">
        <v>98.4</v>
      </c>
      <c r="AT404" s="146">
        <v>98.6</v>
      </c>
      <c r="AU404" s="146">
        <v>97.4</v>
      </c>
      <c r="AV404" s="146">
        <v>98.1</v>
      </c>
      <c r="AW404" s="146">
        <v>98.2</v>
      </c>
      <c r="AX404" s="146">
        <v>98.2</v>
      </c>
      <c r="AY404" s="146">
        <v>98.3</v>
      </c>
      <c r="AZ404" s="146">
        <v>98.1</v>
      </c>
      <c r="BA404" s="146">
        <v>98.2</v>
      </c>
      <c r="BB404" s="40">
        <v>43419</v>
      </c>
      <c r="BC404" s="70">
        <v>43480</v>
      </c>
    </row>
    <row r="405" spans="1:55" s="120" customFormat="1" ht="45">
      <c r="A405" s="74" t="s">
        <v>1245</v>
      </c>
      <c r="B405" s="76" t="s">
        <v>1252</v>
      </c>
      <c r="C405" s="79" t="s">
        <v>10</v>
      </c>
      <c r="D405" s="79" t="s">
        <v>10</v>
      </c>
      <c r="E405" s="63" t="s">
        <v>10</v>
      </c>
      <c r="F405" s="63" t="s">
        <v>11</v>
      </c>
      <c r="G405" s="76" t="s">
        <v>1253</v>
      </c>
      <c r="H405" s="144">
        <v>39.85</v>
      </c>
      <c r="I405" s="77">
        <v>480</v>
      </c>
      <c r="J405" s="78">
        <v>98.5</v>
      </c>
      <c r="K405" s="39" t="s">
        <v>1325</v>
      </c>
      <c r="L405" s="145" t="s">
        <v>1248</v>
      </c>
      <c r="M405" s="79" t="s">
        <v>1249</v>
      </c>
      <c r="N405" s="40">
        <v>43480</v>
      </c>
      <c r="O405" s="145" t="s">
        <v>1248</v>
      </c>
      <c r="P405" s="63" t="s">
        <v>17</v>
      </c>
      <c r="Q405" s="63" t="s">
        <v>17</v>
      </c>
      <c r="R405" s="81"/>
      <c r="S405" s="80" t="s">
        <v>11</v>
      </c>
      <c r="T405" s="80" t="s">
        <v>11</v>
      </c>
      <c r="U405" s="82">
        <v>2.0510000000000002</v>
      </c>
      <c r="V405" s="83"/>
      <c r="W405" s="83"/>
      <c r="X405" s="83">
        <v>570</v>
      </c>
      <c r="Y405" s="83">
        <v>700</v>
      </c>
      <c r="Z405" s="83">
        <v>800</v>
      </c>
      <c r="AA405" s="82">
        <v>3.98</v>
      </c>
      <c r="AB405" s="82">
        <v>7.97</v>
      </c>
      <c r="AC405" s="82">
        <v>11.95</v>
      </c>
      <c r="AD405" s="82">
        <v>19.920000000000002</v>
      </c>
      <c r="AE405" s="82">
        <v>29.89</v>
      </c>
      <c r="AF405" s="82">
        <v>39.85</v>
      </c>
      <c r="AG405" s="146">
        <v>97.5</v>
      </c>
      <c r="AH405" s="146">
        <v>98</v>
      </c>
      <c r="AI405" s="146">
        <v>98</v>
      </c>
      <c r="AJ405" s="146">
        <v>98.2</v>
      </c>
      <c r="AK405" s="146">
        <v>98</v>
      </c>
      <c r="AL405" s="146">
        <v>97.6</v>
      </c>
      <c r="AM405" s="146">
        <v>98</v>
      </c>
      <c r="AN405" s="146">
        <v>98.2</v>
      </c>
      <c r="AO405" s="146">
        <v>98.6</v>
      </c>
      <c r="AP405" s="146">
        <v>98.6</v>
      </c>
      <c r="AQ405" s="146">
        <v>98.4</v>
      </c>
      <c r="AR405" s="146">
        <v>98.7</v>
      </c>
      <c r="AS405" s="146">
        <v>98.5</v>
      </c>
      <c r="AT405" s="146">
        <v>98.6</v>
      </c>
      <c r="AU405" s="146">
        <v>97.5</v>
      </c>
      <c r="AV405" s="146">
        <v>98.1</v>
      </c>
      <c r="AW405" s="146">
        <v>98.1</v>
      </c>
      <c r="AX405" s="146">
        <v>98</v>
      </c>
      <c r="AY405" s="146">
        <v>98.3</v>
      </c>
      <c r="AZ405" s="146">
        <v>98.1</v>
      </c>
      <c r="BA405" s="146">
        <v>98.2</v>
      </c>
      <c r="BB405" s="40">
        <v>43419</v>
      </c>
      <c r="BC405" s="70">
        <v>43480</v>
      </c>
    </row>
    <row r="406" spans="1:55" s="120" customFormat="1" ht="45">
      <c r="A406" s="74" t="s">
        <v>309</v>
      </c>
      <c r="B406" s="75" t="s">
        <v>1138</v>
      </c>
      <c r="C406" s="57" t="s">
        <v>10</v>
      </c>
      <c r="D406" s="57" t="s">
        <v>10</v>
      </c>
      <c r="E406" s="43" t="s">
        <v>10</v>
      </c>
      <c r="F406" s="63" t="s">
        <v>11</v>
      </c>
      <c r="G406" s="49" t="s">
        <v>295</v>
      </c>
      <c r="H406" s="60">
        <v>30.02</v>
      </c>
      <c r="I406" s="62">
        <v>480</v>
      </c>
      <c r="J406" s="53">
        <v>96.5</v>
      </c>
      <c r="K406" s="39" t="s">
        <v>1325</v>
      </c>
      <c r="L406" s="129" t="s">
        <v>516</v>
      </c>
      <c r="M406" s="45" t="s">
        <v>517</v>
      </c>
      <c r="N406" s="40">
        <v>43388</v>
      </c>
      <c r="O406" s="129" t="s">
        <v>516</v>
      </c>
      <c r="P406" s="63" t="s">
        <v>17</v>
      </c>
      <c r="Q406" s="63" t="s">
        <v>17</v>
      </c>
      <c r="R406" s="71"/>
      <c r="S406" s="57" t="s">
        <v>11</v>
      </c>
      <c r="T406" s="57" t="s">
        <v>11</v>
      </c>
      <c r="U406" s="54">
        <v>1.857</v>
      </c>
      <c r="V406" s="67"/>
      <c r="W406" s="67"/>
      <c r="X406" s="67">
        <v>350</v>
      </c>
      <c r="Y406" s="67">
        <v>600</v>
      </c>
      <c r="Z406" s="67">
        <v>750</v>
      </c>
      <c r="AA406" s="102">
        <v>3.0020000000000002</v>
      </c>
      <c r="AB406" s="102">
        <v>6.0040000000000004</v>
      </c>
      <c r="AC406" s="101">
        <v>9.0060000000000002</v>
      </c>
      <c r="AD406" s="101">
        <v>15.01</v>
      </c>
      <c r="AE406" s="101">
        <v>22.515000000000001</v>
      </c>
      <c r="AF406" s="101">
        <v>30.02</v>
      </c>
      <c r="AG406" s="101">
        <v>91.232795624893384</v>
      </c>
      <c r="AH406" s="101">
        <v>94.277589242188768</v>
      </c>
      <c r="AI406" s="102">
        <v>95.180370789174333</v>
      </c>
      <c r="AJ406" s="102">
        <v>95.634277535394332</v>
      </c>
      <c r="AK406" s="102">
        <v>95.561081132163324</v>
      </c>
      <c r="AL406" s="102">
        <v>95.189468782718862</v>
      </c>
      <c r="AM406" s="102">
        <v>95.274880503421414</v>
      </c>
      <c r="AN406" s="102">
        <v>94.080385566728907</v>
      </c>
      <c r="AO406" s="102">
        <v>95.918546060046893</v>
      </c>
      <c r="AP406" s="102">
        <v>96.606888485455713</v>
      </c>
      <c r="AQ406" s="102">
        <v>97.008558536409453</v>
      </c>
      <c r="AR406" s="102">
        <v>97.030608016695339</v>
      </c>
      <c r="AS406" s="102">
        <v>96.872169309812364</v>
      </c>
      <c r="AT406" s="102">
        <v>96.793597350911327</v>
      </c>
      <c r="AU406" s="102">
        <v>94.989078239317621</v>
      </c>
      <c r="AV406" s="102">
        <v>96.634957862780169</v>
      </c>
      <c r="AW406" s="102">
        <v>97.181154036798375</v>
      </c>
      <c r="AX406" s="102">
        <v>97.444638792448188</v>
      </c>
      <c r="AY406" s="102">
        <v>97.447094622802723</v>
      </c>
      <c r="AZ406" s="102">
        <v>97.266416161831131</v>
      </c>
      <c r="BA406" s="102">
        <v>97.266704611718652</v>
      </c>
      <c r="BB406" s="40">
        <v>43040</v>
      </c>
      <c r="BC406" s="40">
        <v>43388</v>
      </c>
    </row>
    <row r="407" spans="1:55" s="120" customFormat="1" ht="45">
      <c r="A407" s="74" t="s">
        <v>309</v>
      </c>
      <c r="B407" s="7" t="s">
        <v>1139</v>
      </c>
      <c r="C407" s="79" t="s">
        <v>10</v>
      </c>
      <c r="D407" s="79" t="s">
        <v>10</v>
      </c>
      <c r="E407" s="43" t="s">
        <v>10</v>
      </c>
      <c r="F407" s="63" t="s">
        <v>11</v>
      </c>
      <c r="G407" s="55" t="s">
        <v>124</v>
      </c>
      <c r="H407" s="25">
        <v>48.58</v>
      </c>
      <c r="I407" s="25">
        <v>480</v>
      </c>
      <c r="J407" s="25">
        <v>94</v>
      </c>
      <c r="K407" s="39" t="s">
        <v>1325</v>
      </c>
      <c r="L407" s="129" t="s">
        <v>518</v>
      </c>
      <c r="M407" s="33" t="s">
        <v>519</v>
      </c>
      <c r="N407" s="40">
        <v>43388</v>
      </c>
      <c r="O407" s="129" t="s">
        <v>518</v>
      </c>
      <c r="P407" s="63" t="s">
        <v>17</v>
      </c>
      <c r="Q407" s="63" t="s">
        <v>17</v>
      </c>
      <c r="R407" s="26"/>
      <c r="S407" s="32" t="s">
        <v>11</v>
      </c>
      <c r="T407" s="32" t="s">
        <v>11</v>
      </c>
      <c r="U407" s="29">
        <v>860</v>
      </c>
      <c r="V407" s="29"/>
      <c r="W407" s="29"/>
      <c r="X407" s="29">
        <v>500</v>
      </c>
      <c r="Y407" s="29">
        <v>650</v>
      </c>
      <c r="Z407" s="29">
        <v>850</v>
      </c>
      <c r="AA407" s="115">
        <v>4.8579999999999997</v>
      </c>
      <c r="AB407" s="115">
        <v>9.7159999999999993</v>
      </c>
      <c r="AC407" s="115">
        <v>14.574</v>
      </c>
      <c r="AD407" s="115">
        <v>24.29</v>
      </c>
      <c r="AE407" s="115">
        <v>36.435000000000002</v>
      </c>
      <c r="AF407" s="115">
        <v>48.58</v>
      </c>
      <c r="AG407" s="115">
        <v>87.323880000000003</v>
      </c>
      <c r="AH407" s="115">
        <v>92.417400000000001</v>
      </c>
      <c r="AI407" s="115">
        <v>93.964190000000002</v>
      </c>
      <c r="AJ407" s="115">
        <v>94.910979999999995</v>
      </c>
      <c r="AK407" s="115">
        <v>94.934809999999999</v>
      </c>
      <c r="AL407" s="115">
        <v>94.62491</v>
      </c>
      <c r="AM407" s="115">
        <v>94.367530000000002</v>
      </c>
      <c r="AN407" s="115">
        <v>86.479619999999997</v>
      </c>
      <c r="AO407" s="115">
        <v>91.834270000000004</v>
      </c>
      <c r="AP407" s="115">
        <v>93.521519999999995</v>
      </c>
      <c r="AQ407" s="115">
        <v>94.538150000000002</v>
      </c>
      <c r="AR407" s="115">
        <v>94.624470000000002</v>
      </c>
      <c r="AS407" s="115">
        <v>94.313730000000007</v>
      </c>
      <c r="AT407" s="115">
        <v>93.99315</v>
      </c>
      <c r="AU407" s="115">
        <v>85.50658</v>
      </c>
      <c r="AV407" s="115">
        <v>91.214849999999998</v>
      </c>
      <c r="AW407" s="115">
        <v>92.892110000000002</v>
      </c>
      <c r="AX407" s="115">
        <v>94.127089999999995</v>
      </c>
      <c r="AY407" s="115">
        <v>94.148269999999997</v>
      </c>
      <c r="AZ407" s="115">
        <v>93.923240000000007</v>
      </c>
      <c r="BA407" s="115">
        <v>93.489490000000004</v>
      </c>
      <c r="BB407" s="40">
        <v>42917</v>
      </c>
      <c r="BC407" s="40">
        <v>43388</v>
      </c>
    </row>
    <row r="408" spans="1:55" s="120" customFormat="1" ht="45">
      <c r="A408" s="74" t="s">
        <v>309</v>
      </c>
      <c r="B408" s="7" t="s">
        <v>1140</v>
      </c>
      <c r="C408" s="79" t="s">
        <v>10</v>
      </c>
      <c r="D408" s="79" t="s">
        <v>10</v>
      </c>
      <c r="E408" s="43" t="s">
        <v>10</v>
      </c>
      <c r="F408" s="63" t="s">
        <v>11</v>
      </c>
      <c r="G408" s="55" t="s">
        <v>125</v>
      </c>
      <c r="H408" s="25">
        <v>98.013000000000005</v>
      </c>
      <c r="I408" s="25">
        <v>480</v>
      </c>
      <c r="J408" s="25">
        <v>94</v>
      </c>
      <c r="K408" s="39" t="s">
        <v>1325</v>
      </c>
      <c r="L408" s="129" t="s">
        <v>518</v>
      </c>
      <c r="M408" s="33" t="s">
        <v>519</v>
      </c>
      <c r="N408" s="40">
        <v>43388</v>
      </c>
      <c r="O408" s="129" t="s">
        <v>518</v>
      </c>
      <c r="P408" s="63" t="s">
        <v>17</v>
      </c>
      <c r="Q408" s="63" t="s">
        <v>17</v>
      </c>
      <c r="R408" s="26"/>
      <c r="S408" s="32" t="s">
        <v>11</v>
      </c>
      <c r="T408" s="32" t="s">
        <v>11</v>
      </c>
      <c r="U408" s="25">
        <v>997</v>
      </c>
      <c r="V408" s="25"/>
      <c r="W408" s="25"/>
      <c r="X408" s="25">
        <v>500</v>
      </c>
      <c r="Y408" s="25">
        <v>650</v>
      </c>
      <c r="Z408" s="25">
        <v>850</v>
      </c>
      <c r="AA408" s="95">
        <v>9.8012999999999995</v>
      </c>
      <c r="AB408" s="95">
        <v>19.602599999999999</v>
      </c>
      <c r="AC408" s="95">
        <v>29.4039</v>
      </c>
      <c r="AD408" s="95">
        <v>49.006500000000003</v>
      </c>
      <c r="AE408" s="95">
        <v>73.509749999999997</v>
      </c>
      <c r="AF408" s="95">
        <v>98.013000000000005</v>
      </c>
      <c r="AG408" s="95">
        <v>87.311549999999997</v>
      </c>
      <c r="AH408" s="95">
        <v>92.459919999999997</v>
      </c>
      <c r="AI408" s="95">
        <v>94.048630000000003</v>
      </c>
      <c r="AJ408" s="95">
        <v>95.034940000000006</v>
      </c>
      <c r="AK408" s="95">
        <v>95.106219999999993</v>
      </c>
      <c r="AL408" s="95">
        <v>94.79683</v>
      </c>
      <c r="AM408" s="95">
        <v>94.504769999999994</v>
      </c>
      <c r="AN408" s="95">
        <v>86.571629999999999</v>
      </c>
      <c r="AO408" s="95">
        <v>91.932190000000006</v>
      </c>
      <c r="AP408" s="95">
        <v>93.578500000000005</v>
      </c>
      <c r="AQ408" s="95">
        <v>94.542100000000005</v>
      </c>
      <c r="AR408" s="95">
        <v>94.643979999999999</v>
      </c>
      <c r="AS408" s="95">
        <v>94.38073</v>
      </c>
      <c r="AT408" s="95">
        <v>94.023079999999993</v>
      </c>
      <c r="AU408" s="95">
        <v>85.595879999999994</v>
      </c>
      <c r="AV408" s="95">
        <v>91.278369999999995</v>
      </c>
      <c r="AW408" s="95">
        <v>92.999359999999996</v>
      </c>
      <c r="AX408" s="95">
        <v>94.071690000000004</v>
      </c>
      <c r="AY408" s="95">
        <v>94.262630000000001</v>
      </c>
      <c r="AZ408" s="95">
        <v>94.043989999999994</v>
      </c>
      <c r="BA408" s="95">
        <v>93.564130000000006</v>
      </c>
      <c r="BB408" s="40">
        <v>42917</v>
      </c>
      <c r="BC408" s="40">
        <v>43388</v>
      </c>
    </row>
    <row r="409" spans="1:55" s="120" customFormat="1" ht="45">
      <c r="A409" s="74" t="s">
        <v>309</v>
      </c>
      <c r="B409" s="7" t="s">
        <v>1141</v>
      </c>
      <c r="C409" s="79" t="s">
        <v>10</v>
      </c>
      <c r="D409" s="79" t="s">
        <v>10</v>
      </c>
      <c r="E409" s="43" t="s">
        <v>10</v>
      </c>
      <c r="F409" s="63" t="s">
        <v>11</v>
      </c>
      <c r="G409" s="55" t="s">
        <v>126</v>
      </c>
      <c r="H409" s="25">
        <v>147.47</v>
      </c>
      <c r="I409" s="25">
        <v>480</v>
      </c>
      <c r="J409" s="25">
        <v>94.5</v>
      </c>
      <c r="K409" s="39" t="s">
        <v>1325</v>
      </c>
      <c r="L409" s="129" t="s">
        <v>518</v>
      </c>
      <c r="M409" s="33" t="s">
        <v>519</v>
      </c>
      <c r="N409" s="40">
        <v>43388</v>
      </c>
      <c r="O409" s="129" t="s">
        <v>518</v>
      </c>
      <c r="P409" s="63" t="s">
        <v>17</v>
      </c>
      <c r="Q409" s="63" t="s">
        <v>17</v>
      </c>
      <c r="R409" s="26"/>
      <c r="S409" s="32" t="s">
        <v>11</v>
      </c>
      <c r="T409" s="32" t="s">
        <v>11</v>
      </c>
      <c r="U409" s="25">
        <v>1360</v>
      </c>
      <c r="V409" s="25"/>
      <c r="W409" s="25"/>
      <c r="X409" s="25">
        <v>500</v>
      </c>
      <c r="Y409" s="25">
        <v>650</v>
      </c>
      <c r="Z409" s="25">
        <v>850</v>
      </c>
      <c r="AA409" s="95">
        <v>14.747</v>
      </c>
      <c r="AB409" s="95">
        <v>29.494</v>
      </c>
      <c r="AC409" s="95">
        <v>44.241</v>
      </c>
      <c r="AD409" s="95">
        <v>73.734999999999999</v>
      </c>
      <c r="AE409" s="95">
        <v>110.60250000000001</v>
      </c>
      <c r="AF409" s="95">
        <v>147.47</v>
      </c>
      <c r="AG409" s="95">
        <v>88.591089999999994</v>
      </c>
      <c r="AH409" s="95">
        <v>93.098050000000001</v>
      </c>
      <c r="AI409" s="95">
        <v>94.450109999999995</v>
      </c>
      <c r="AJ409" s="95">
        <v>95.172200000000004</v>
      </c>
      <c r="AK409" s="95">
        <v>95.219030000000004</v>
      </c>
      <c r="AL409" s="95">
        <v>94.892799999999994</v>
      </c>
      <c r="AM409" s="95">
        <v>94.72945</v>
      </c>
      <c r="AN409" s="95">
        <v>87.832819999999998</v>
      </c>
      <c r="AO409" s="95">
        <v>92.61909</v>
      </c>
      <c r="AP409" s="95">
        <v>94.083389999999994</v>
      </c>
      <c r="AQ409" s="95">
        <v>94.967160000000007</v>
      </c>
      <c r="AR409" s="95">
        <v>95.022580000000005</v>
      </c>
      <c r="AS409" s="95">
        <v>94.700680000000006</v>
      </c>
      <c r="AT409" s="95">
        <v>94.474379999999996</v>
      </c>
      <c r="AU409" s="95">
        <v>86.74418</v>
      </c>
      <c r="AV409" s="95">
        <v>91.896339999999995</v>
      </c>
      <c r="AW409" s="95">
        <v>93.455410000000001</v>
      </c>
      <c r="AX409" s="95">
        <v>94.34769</v>
      </c>
      <c r="AY409" s="95">
        <v>94.47269</v>
      </c>
      <c r="AZ409" s="95">
        <v>94.236149999999995</v>
      </c>
      <c r="BA409" s="95">
        <v>93.874579999999995</v>
      </c>
      <c r="BB409" s="40">
        <v>42917</v>
      </c>
      <c r="BC409" s="40">
        <v>43388</v>
      </c>
    </row>
    <row r="410" spans="1:55" s="120" customFormat="1" ht="45">
      <c r="A410" s="74" t="s">
        <v>309</v>
      </c>
      <c r="B410" s="7" t="s">
        <v>1142</v>
      </c>
      <c r="C410" s="79" t="s">
        <v>10</v>
      </c>
      <c r="D410" s="79" t="s">
        <v>10</v>
      </c>
      <c r="E410" s="43" t="s">
        <v>10</v>
      </c>
      <c r="F410" s="63" t="s">
        <v>11</v>
      </c>
      <c r="G410" s="55" t="s">
        <v>127</v>
      </c>
      <c r="H410" s="25">
        <v>244.02600000000001</v>
      </c>
      <c r="I410" s="25">
        <v>480</v>
      </c>
      <c r="J410" s="25">
        <v>95</v>
      </c>
      <c r="K410" s="39" t="s">
        <v>1325</v>
      </c>
      <c r="L410" s="129" t="s">
        <v>518</v>
      </c>
      <c r="M410" s="33" t="s">
        <v>519</v>
      </c>
      <c r="N410" s="40">
        <v>43388</v>
      </c>
      <c r="O410" s="129" t="s">
        <v>518</v>
      </c>
      <c r="P410" s="63" t="s">
        <v>17</v>
      </c>
      <c r="Q410" s="63" t="s">
        <v>17</v>
      </c>
      <c r="R410" s="26"/>
      <c r="S410" s="32" t="s">
        <v>11</v>
      </c>
      <c r="T410" s="32" t="s">
        <v>11</v>
      </c>
      <c r="U410" s="25">
        <v>1860</v>
      </c>
      <c r="V410" s="25"/>
      <c r="W410" s="25"/>
      <c r="X410" s="25">
        <v>500</v>
      </c>
      <c r="Y410" s="25">
        <v>650</v>
      </c>
      <c r="Z410" s="25">
        <v>850</v>
      </c>
      <c r="AA410" s="95">
        <v>24.4026</v>
      </c>
      <c r="AB410" s="95">
        <v>48.805199999999999</v>
      </c>
      <c r="AC410" s="95">
        <v>73.207800000000006</v>
      </c>
      <c r="AD410" s="95">
        <v>122.01300000000001</v>
      </c>
      <c r="AE410" s="95">
        <v>183.01949999999999</v>
      </c>
      <c r="AF410" s="95">
        <v>244.02600000000001</v>
      </c>
      <c r="AG410" s="95">
        <v>91.392179999999996</v>
      </c>
      <c r="AH410" s="95">
        <v>94.968000000000004</v>
      </c>
      <c r="AI410" s="95">
        <v>95.701229999999995</v>
      </c>
      <c r="AJ410" s="95">
        <v>96.032960000000003</v>
      </c>
      <c r="AK410" s="95">
        <v>95.780090000000001</v>
      </c>
      <c r="AL410" s="95">
        <v>95.415419999999997</v>
      </c>
      <c r="AM410" s="95">
        <v>95.589370000000002</v>
      </c>
      <c r="AN410" s="95">
        <v>90.445620000000005</v>
      </c>
      <c r="AO410" s="95">
        <v>94.396190000000004</v>
      </c>
      <c r="AP410" s="95">
        <v>95.214219999999997</v>
      </c>
      <c r="AQ410" s="95">
        <v>95.574529999999996</v>
      </c>
      <c r="AR410" s="95">
        <v>95.383780000000002</v>
      </c>
      <c r="AS410" s="95">
        <v>95.019170000000003</v>
      </c>
      <c r="AT410" s="95">
        <v>95.138350000000003</v>
      </c>
      <c r="AU410" s="95">
        <v>89.216269999999994</v>
      </c>
      <c r="AV410" s="95">
        <v>93.574600000000004</v>
      </c>
      <c r="AW410" s="95">
        <v>94.598749999999995</v>
      </c>
      <c r="AX410" s="95">
        <v>95.079480000000004</v>
      </c>
      <c r="AY410" s="95">
        <v>94.960419999999999</v>
      </c>
      <c r="AZ410" s="95">
        <v>94.629959999999997</v>
      </c>
      <c r="BA410" s="95">
        <v>94.626440000000002</v>
      </c>
      <c r="BB410" s="40">
        <v>42917</v>
      </c>
      <c r="BC410" s="40">
        <v>43388</v>
      </c>
    </row>
    <row r="411" spans="1:55" s="120" customFormat="1" ht="60">
      <c r="A411" s="41" t="s">
        <v>309</v>
      </c>
      <c r="B411" s="41" t="s">
        <v>1143</v>
      </c>
      <c r="C411" s="43" t="s">
        <v>10</v>
      </c>
      <c r="D411" s="43" t="s">
        <v>10</v>
      </c>
      <c r="E411" s="43" t="s">
        <v>10</v>
      </c>
      <c r="F411" s="63" t="s">
        <v>11</v>
      </c>
      <c r="G411" s="41" t="s">
        <v>666</v>
      </c>
      <c r="H411" s="27">
        <v>498.34</v>
      </c>
      <c r="I411" s="109">
        <v>400</v>
      </c>
      <c r="J411" s="27">
        <v>96</v>
      </c>
      <c r="K411" s="39" t="s">
        <v>1325</v>
      </c>
      <c r="L411" s="130" t="s">
        <v>667</v>
      </c>
      <c r="M411" s="110" t="s">
        <v>668</v>
      </c>
      <c r="N411" s="40">
        <v>43388</v>
      </c>
      <c r="O411" s="130" t="s">
        <v>667</v>
      </c>
      <c r="P411" s="63" t="s">
        <v>17</v>
      </c>
      <c r="Q411" s="63" t="s">
        <v>17</v>
      </c>
      <c r="R411" s="112" t="s">
        <v>662</v>
      </c>
      <c r="S411" s="111" t="s">
        <v>11</v>
      </c>
      <c r="T411" s="111" t="s">
        <v>11</v>
      </c>
      <c r="U411" s="113">
        <v>289.89999999999998</v>
      </c>
      <c r="V411" s="113"/>
      <c r="W411" s="113"/>
      <c r="X411" s="113">
        <v>640</v>
      </c>
      <c r="Y411" s="113">
        <v>750</v>
      </c>
      <c r="Z411" s="113">
        <v>900</v>
      </c>
      <c r="AA411" s="114">
        <v>49.83</v>
      </c>
      <c r="AB411" s="114">
        <v>99.67</v>
      </c>
      <c r="AC411" s="114">
        <v>149.5</v>
      </c>
      <c r="AD411" s="114">
        <v>249.17</v>
      </c>
      <c r="AE411" s="114">
        <v>373.76</v>
      </c>
      <c r="AF411" s="114">
        <v>498.34</v>
      </c>
      <c r="AG411" s="114">
        <v>93.95</v>
      </c>
      <c r="AH411" s="114">
        <v>96</v>
      </c>
      <c r="AI411" s="114">
        <v>96.6</v>
      </c>
      <c r="AJ411" s="114">
        <v>96.83</v>
      </c>
      <c r="AK411" s="114">
        <v>96.64</v>
      </c>
      <c r="AL411" s="114">
        <v>96.31</v>
      </c>
      <c r="AM411" s="114">
        <v>96.52</v>
      </c>
      <c r="AN411" s="114">
        <v>93.16</v>
      </c>
      <c r="AO411" s="114">
        <v>95.61</v>
      </c>
      <c r="AP411" s="114">
        <v>96.3</v>
      </c>
      <c r="AQ411" s="114">
        <v>96.61</v>
      </c>
      <c r="AR411" s="114">
        <v>96.47</v>
      </c>
      <c r="AS411" s="114">
        <v>96.13</v>
      </c>
      <c r="AT411" s="114">
        <v>96.28</v>
      </c>
      <c r="AU411" s="114">
        <v>92.19</v>
      </c>
      <c r="AV411" s="114">
        <v>95.03</v>
      </c>
      <c r="AW411" s="114">
        <v>95.86</v>
      </c>
      <c r="AX411" s="114">
        <v>96.27</v>
      </c>
      <c r="AY411" s="114">
        <v>96.14</v>
      </c>
      <c r="AZ411" s="114">
        <v>95.84</v>
      </c>
      <c r="BA411" s="114">
        <v>95.9</v>
      </c>
      <c r="BB411" s="40">
        <v>43221</v>
      </c>
      <c r="BC411" s="40">
        <v>43388</v>
      </c>
    </row>
    <row r="412" spans="1:55" s="120" customFormat="1" ht="45">
      <c r="A412" s="74" t="s">
        <v>6</v>
      </c>
      <c r="B412" s="67" t="s">
        <v>1144</v>
      </c>
      <c r="C412" s="69" t="s">
        <v>10</v>
      </c>
      <c r="D412" s="69" t="s">
        <v>10</v>
      </c>
      <c r="E412" s="43" t="s">
        <v>10</v>
      </c>
      <c r="F412" s="63" t="s">
        <v>11</v>
      </c>
      <c r="G412" s="74" t="s">
        <v>153</v>
      </c>
      <c r="H412" s="35">
        <v>3.03</v>
      </c>
      <c r="I412" s="35">
        <v>208</v>
      </c>
      <c r="J412" s="35">
        <v>96</v>
      </c>
      <c r="K412" s="39" t="s">
        <v>1327</v>
      </c>
      <c r="L412" s="129" t="s">
        <v>520</v>
      </c>
      <c r="M412" s="33" t="s">
        <v>521</v>
      </c>
      <c r="N412" s="40">
        <v>43388</v>
      </c>
      <c r="O412" s="129" t="s">
        <v>520</v>
      </c>
      <c r="P412" s="63" t="s">
        <v>17</v>
      </c>
      <c r="Q412" s="63" t="s">
        <v>17</v>
      </c>
      <c r="R412" s="26"/>
      <c r="S412" s="32" t="s">
        <v>10</v>
      </c>
      <c r="T412" s="32" t="s">
        <v>11</v>
      </c>
      <c r="U412" s="35">
        <v>5.36</v>
      </c>
      <c r="V412" s="35"/>
      <c r="W412" s="35"/>
      <c r="X412" s="35">
        <v>155</v>
      </c>
      <c r="Y412" s="35">
        <v>365</v>
      </c>
      <c r="Z412" s="35">
        <v>480</v>
      </c>
      <c r="AA412" s="103">
        <v>0.30320000000000003</v>
      </c>
      <c r="AB412" s="103">
        <v>0.60640000000000005</v>
      </c>
      <c r="AC412" s="103">
        <v>0.90959999999999996</v>
      </c>
      <c r="AD412" s="103">
        <v>1.516</v>
      </c>
      <c r="AE412" s="103">
        <v>2.274</v>
      </c>
      <c r="AF412" s="103">
        <v>3.032</v>
      </c>
      <c r="AG412" s="103">
        <v>92.082847310823283</v>
      </c>
      <c r="AH412" s="103">
        <v>94.907812539893044</v>
      </c>
      <c r="AI412" s="103">
        <v>95.629452499667281</v>
      </c>
      <c r="AJ412" s="103">
        <v>95.991624416925447</v>
      </c>
      <c r="AK412" s="103">
        <v>95.996645587599161</v>
      </c>
      <c r="AL412" s="103">
        <v>95.731527423095798</v>
      </c>
      <c r="AM412" s="103">
        <v>95.727278479524358</v>
      </c>
      <c r="AN412" s="103">
        <v>92.071008131935372</v>
      </c>
      <c r="AO412" s="103">
        <v>95.659723853330703</v>
      </c>
      <c r="AP412" s="103">
        <v>96.458307803469552</v>
      </c>
      <c r="AQ412" s="103">
        <v>97.043468119824496</v>
      </c>
      <c r="AR412" s="103">
        <v>97.202121349789977</v>
      </c>
      <c r="AS412" s="103">
        <v>97.084010489748991</v>
      </c>
      <c r="AT412" s="103">
        <v>96.791276599399595</v>
      </c>
      <c r="AU412" s="103">
        <v>88.515418011062167</v>
      </c>
      <c r="AV412" s="103">
        <v>94.502976183803142</v>
      </c>
      <c r="AW412" s="103">
        <v>95.722745381337489</v>
      </c>
      <c r="AX412" s="103">
        <v>96.424646022747879</v>
      </c>
      <c r="AY412" s="103">
        <v>96.772413583948293</v>
      </c>
      <c r="AZ412" s="103">
        <v>96.64426016014221</v>
      </c>
      <c r="BA412" s="103">
        <v>96.123262847669906</v>
      </c>
      <c r="BB412" s="40">
        <v>43313</v>
      </c>
      <c r="BC412" s="40">
        <v>43388</v>
      </c>
    </row>
    <row r="413" spans="1:55" s="120" customFormat="1" ht="45">
      <c r="A413" s="41" t="s">
        <v>6</v>
      </c>
      <c r="B413" s="41" t="s">
        <v>1145</v>
      </c>
      <c r="C413" s="43" t="s">
        <v>10</v>
      </c>
      <c r="D413" s="43" t="s">
        <v>10</v>
      </c>
      <c r="E413" s="43" t="s">
        <v>10</v>
      </c>
      <c r="F413" s="63" t="s">
        <v>11</v>
      </c>
      <c r="G413" s="41" t="s">
        <v>787</v>
      </c>
      <c r="H413" s="27">
        <v>3.03</v>
      </c>
      <c r="I413" s="109">
        <v>208</v>
      </c>
      <c r="J413" s="27">
        <v>96</v>
      </c>
      <c r="K413" s="39" t="s">
        <v>1327</v>
      </c>
      <c r="L413" s="130" t="s">
        <v>788</v>
      </c>
      <c r="M413" s="110" t="s">
        <v>521</v>
      </c>
      <c r="N413" s="40">
        <v>43388</v>
      </c>
      <c r="O413" s="130" t="s">
        <v>788</v>
      </c>
      <c r="P413" s="63" t="s">
        <v>17</v>
      </c>
      <c r="Q413" s="63" t="s">
        <v>17</v>
      </c>
      <c r="R413" s="112"/>
      <c r="S413" s="111" t="s">
        <v>10</v>
      </c>
      <c r="T413" s="111" t="s">
        <v>11</v>
      </c>
      <c r="U413" s="113">
        <v>5.36</v>
      </c>
      <c r="V413" s="113"/>
      <c r="W413" s="113"/>
      <c r="X413" s="113">
        <v>155</v>
      </c>
      <c r="Y413" s="113">
        <v>365</v>
      </c>
      <c r="Z413" s="113">
        <v>480</v>
      </c>
      <c r="AA413" s="114">
        <v>0.30320000000000003</v>
      </c>
      <c r="AB413" s="114">
        <v>0.60640000000000005</v>
      </c>
      <c r="AC413" s="114">
        <v>0.90959999999999996</v>
      </c>
      <c r="AD413" s="114">
        <v>1.516</v>
      </c>
      <c r="AE413" s="114">
        <v>2.274</v>
      </c>
      <c r="AF413" s="114">
        <v>3.032</v>
      </c>
      <c r="AG413" s="114">
        <v>92.082847310823283</v>
      </c>
      <c r="AH413" s="114">
        <v>94.907812539893044</v>
      </c>
      <c r="AI413" s="114">
        <v>95.629452499667281</v>
      </c>
      <c r="AJ413" s="114">
        <v>95.991624416925447</v>
      </c>
      <c r="AK413" s="114">
        <v>95.996645587599161</v>
      </c>
      <c r="AL413" s="114">
        <v>95.731527423095798</v>
      </c>
      <c r="AM413" s="114">
        <v>95.727278479524358</v>
      </c>
      <c r="AN413" s="114">
        <v>92.071008131935372</v>
      </c>
      <c r="AO413" s="114">
        <v>95.659723853330703</v>
      </c>
      <c r="AP413" s="114">
        <v>96.458307803469552</v>
      </c>
      <c r="AQ413" s="114">
        <v>97.043468119824496</v>
      </c>
      <c r="AR413" s="114">
        <v>97.202121349789977</v>
      </c>
      <c r="AS413" s="114">
        <v>97.084010489748991</v>
      </c>
      <c r="AT413" s="114">
        <v>96.791276599399595</v>
      </c>
      <c r="AU413" s="114">
        <v>88.515418011062167</v>
      </c>
      <c r="AV413" s="114">
        <v>94.502976183803142</v>
      </c>
      <c r="AW413" s="114">
        <v>95.722745381337489</v>
      </c>
      <c r="AX413" s="114">
        <v>96.424646022747879</v>
      </c>
      <c r="AY413" s="114">
        <v>96.772413583948293</v>
      </c>
      <c r="AZ413" s="114">
        <v>96.64426016014221</v>
      </c>
      <c r="BA413" s="114">
        <v>96.123262847669906</v>
      </c>
      <c r="BB413" s="40">
        <v>43313</v>
      </c>
      <c r="BC413" s="40">
        <v>43388</v>
      </c>
    </row>
    <row r="414" spans="1:55" s="120" customFormat="1" ht="45">
      <c r="A414" s="74" t="s">
        <v>6</v>
      </c>
      <c r="B414" s="67" t="s">
        <v>1146</v>
      </c>
      <c r="C414" s="69" t="s">
        <v>10</v>
      </c>
      <c r="D414" s="69" t="s">
        <v>10</v>
      </c>
      <c r="E414" s="43" t="s">
        <v>10</v>
      </c>
      <c r="F414" s="63" t="s">
        <v>11</v>
      </c>
      <c r="G414" s="74" t="s">
        <v>154</v>
      </c>
      <c r="H414" s="35">
        <v>3.04</v>
      </c>
      <c r="I414" s="35">
        <v>240</v>
      </c>
      <c r="J414" s="35">
        <v>96.5</v>
      </c>
      <c r="K414" s="39" t="s">
        <v>1327</v>
      </c>
      <c r="L414" s="129" t="s">
        <v>520</v>
      </c>
      <c r="M414" s="33" t="s">
        <v>521</v>
      </c>
      <c r="N414" s="40">
        <v>43388</v>
      </c>
      <c r="O414" s="129" t="s">
        <v>520</v>
      </c>
      <c r="P414" s="63" t="s">
        <v>17</v>
      </c>
      <c r="Q414" s="63" t="s">
        <v>17</v>
      </c>
      <c r="R414" s="26"/>
      <c r="S414" s="32" t="s">
        <v>10</v>
      </c>
      <c r="T414" s="32" t="s">
        <v>11</v>
      </c>
      <c r="U414" s="35">
        <v>5.39</v>
      </c>
      <c r="V414" s="35"/>
      <c r="W414" s="35"/>
      <c r="X414" s="35">
        <v>155</v>
      </c>
      <c r="Y414" s="35">
        <v>365</v>
      </c>
      <c r="Z414" s="35">
        <v>480</v>
      </c>
      <c r="AA414" s="103">
        <v>0.30402668918918918</v>
      </c>
      <c r="AB414" s="103">
        <v>0.60805337837837836</v>
      </c>
      <c r="AC414" s="103">
        <v>0.91208006756756754</v>
      </c>
      <c r="AD414" s="103">
        <v>1.5201334459459459</v>
      </c>
      <c r="AE414" s="103">
        <v>2.2802001689189186</v>
      </c>
      <c r="AF414" s="103">
        <v>3.0402668918918918</v>
      </c>
      <c r="AG414" s="103">
        <v>90.951224418581774</v>
      </c>
      <c r="AH414" s="103">
        <v>94.441972778565543</v>
      </c>
      <c r="AI414" s="103">
        <v>95.383118364394548</v>
      </c>
      <c r="AJ414" s="103">
        <v>95.941753675717251</v>
      </c>
      <c r="AK414" s="103">
        <v>96.037813109429734</v>
      </c>
      <c r="AL414" s="103">
        <v>95.94092229249739</v>
      </c>
      <c r="AM414" s="103">
        <v>95.650977153922128</v>
      </c>
      <c r="AN414" s="103">
        <v>92.03553711429818</v>
      </c>
      <c r="AO414" s="103">
        <v>95.784786159583902</v>
      </c>
      <c r="AP414" s="103">
        <v>96.641076797758544</v>
      </c>
      <c r="AQ414" s="103">
        <v>97.163663961863477</v>
      </c>
      <c r="AR414" s="103">
        <v>97.516387567042486</v>
      </c>
      <c r="AS414" s="103">
        <v>97.582074705372591</v>
      </c>
      <c r="AT414" s="103">
        <v>97.034748586074627</v>
      </c>
      <c r="AU414" s="103">
        <v>88.509780526514959</v>
      </c>
      <c r="AV414" s="103">
        <v>94.438549047417638</v>
      </c>
      <c r="AW414" s="103">
        <v>95.736397687134939</v>
      </c>
      <c r="AX414" s="103">
        <v>96.677883011273849</v>
      </c>
      <c r="AY414" s="103">
        <v>97.024958205206346</v>
      </c>
      <c r="AZ414" s="103">
        <v>97.000804957798053</v>
      </c>
      <c r="BA414" s="103">
        <v>96.326309924904464</v>
      </c>
      <c r="BB414" s="40">
        <v>43313</v>
      </c>
      <c r="BC414" s="40">
        <v>43388</v>
      </c>
    </row>
    <row r="415" spans="1:55" s="120" customFormat="1" ht="45">
      <c r="A415" s="41" t="s">
        <v>6</v>
      </c>
      <c r="B415" s="41" t="s">
        <v>1147</v>
      </c>
      <c r="C415" s="43" t="s">
        <v>10</v>
      </c>
      <c r="D415" s="43" t="s">
        <v>10</v>
      </c>
      <c r="E415" s="43" t="s">
        <v>10</v>
      </c>
      <c r="F415" s="63" t="s">
        <v>11</v>
      </c>
      <c r="G415" s="41" t="s">
        <v>789</v>
      </c>
      <c r="H415" s="27">
        <v>3.04</v>
      </c>
      <c r="I415" s="109">
        <v>240</v>
      </c>
      <c r="J415" s="27">
        <v>96.5</v>
      </c>
      <c r="K415" s="39" t="s">
        <v>1327</v>
      </c>
      <c r="L415" s="130" t="s">
        <v>788</v>
      </c>
      <c r="M415" s="110" t="s">
        <v>521</v>
      </c>
      <c r="N415" s="40">
        <v>43388</v>
      </c>
      <c r="O415" s="130" t="s">
        <v>788</v>
      </c>
      <c r="P415" s="63" t="s">
        <v>17</v>
      </c>
      <c r="Q415" s="63" t="s">
        <v>17</v>
      </c>
      <c r="R415" s="112"/>
      <c r="S415" s="111" t="s">
        <v>10</v>
      </c>
      <c r="T415" s="111" t="s">
        <v>11</v>
      </c>
      <c r="U415" s="113">
        <v>5.39</v>
      </c>
      <c r="V415" s="113"/>
      <c r="W415" s="113"/>
      <c r="X415" s="113">
        <v>155</v>
      </c>
      <c r="Y415" s="113">
        <v>365</v>
      </c>
      <c r="Z415" s="113">
        <v>480</v>
      </c>
      <c r="AA415" s="114">
        <v>0.30402668918918918</v>
      </c>
      <c r="AB415" s="114">
        <v>0.60805337837837836</v>
      </c>
      <c r="AC415" s="114">
        <v>0.91208006756756754</v>
      </c>
      <c r="AD415" s="114">
        <v>1.5201334459459459</v>
      </c>
      <c r="AE415" s="114">
        <v>2.2802001689189186</v>
      </c>
      <c r="AF415" s="114">
        <v>3.0402668918918918</v>
      </c>
      <c r="AG415" s="114">
        <v>90.951224418581774</v>
      </c>
      <c r="AH415" s="114">
        <v>94.441972778565543</v>
      </c>
      <c r="AI415" s="114">
        <v>95.383118364394548</v>
      </c>
      <c r="AJ415" s="114">
        <v>95.941753675717251</v>
      </c>
      <c r="AK415" s="114">
        <v>96.037813109429734</v>
      </c>
      <c r="AL415" s="114">
        <v>95.94092229249739</v>
      </c>
      <c r="AM415" s="114">
        <v>95.650977153922128</v>
      </c>
      <c r="AN415" s="114">
        <v>92.03553711429818</v>
      </c>
      <c r="AO415" s="114">
        <v>95.784786159583902</v>
      </c>
      <c r="AP415" s="114">
        <v>96.641076797758544</v>
      </c>
      <c r="AQ415" s="114">
        <v>97.163663961863477</v>
      </c>
      <c r="AR415" s="114">
        <v>97.516387567042486</v>
      </c>
      <c r="AS415" s="114">
        <v>97.582074705372591</v>
      </c>
      <c r="AT415" s="114">
        <v>97.034748586074627</v>
      </c>
      <c r="AU415" s="114">
        <v>88.509780526514959</v>
      </c>
      <c r="AV415" s="114">
        <v>94.438549047417638</v>
      </c>
      <c r="AW415" s="114">
        <v>95.736397687134939</v>
      </c>
      <c r="AX415" s="114">
        <v>96.677883011273849</v>
      </c>
      <c r="AY415" s="114">
        <v>97.024958205206346</v>
      </c>
      <c r="AZ415" s="114">
        <v>97.000804957798053</v>
      </c>
      <c r="BA415" s="114">
        <v>96.326309924904464</v>
      </c>
      <c r="BB415" s="40">
        <v>43313</v>
      </c>
      <c r="BC415" s="40">
        <v>43388</v>
      </c>
    </row>
    <row r="416" spans="1:55" s="120" customFormat="1" ht="45">
      <c r="A416" s="74" t="s">
        <v>6</v>
      </c>
      <c r="B416" s="67" t="s">
        <v>1148</v>
      </c>
      <c r="C416" s="69" t="s">
        <v>10</v>
      </c>
      <c r="D416" s="69" t="s">
        <v>10</v>
      </c>
      <c r="E416" s="43" t="s">
        <v>10</v>
      </c>
      <c r="F416" s="63" t="s">
        <v>11</v>
      </c>
      <c r="G416" s="74" t="s">
        <v>155</v>
      </c>
      <c r="H416" s="35">
        <v>3.6</v>
      </c>
      <c r="I416" s="35">
        <v>208</v>
      </c>
      <c r="J416" s="35">
        <v>96.5</v>
      </c>
      <c r="K416" s="39" t="s">
        <v>1327</v>
      </c>
      <c r="L416" s="129" t="s">
        <v>520</v>
      </c>
      <c r="M416" s="33" t="s">
        <v>521</v>
      </c>
      <c r="N416" s="40">
        <v>43388</v>
      </c>
      <c r="O416" s="129" t="s">
        <v>520</v>
      </c>
      <c r="P416" s="63" t="s">
        <v>17</v>
      </c>
      <c r="Q416" s="63" t="s">
        <v>17</v>
      </c>
      <c r="R416" s="26"/>
      <c r="S416" s="32" t="s">
        <v>10</v>
      </c>
      <c r="T416" s="32" t="s">
        <v>11</v>
      </c>
      <c r="U416" s="35">
        <v>5.36</v>
      </c>
      <c r="V416" s="35"/>
      <c r="W416" s="35"/>
      <c r="X416" s="35">
        <v>195</v>
      </c>
      <c r="Y416" s="35">
        <v>365</v>
      </c>
      <c r="Z416" s="35">
        <v>480</v>
      </c>
      <c r="AA416" s="103">
        <v>0.36045400000000005</v>
      </c>
      <c r="AB416" s="103">
        <v>0.7209080000000001</v>
      </c>
      <c r="AC416" s="103">
        <v>1.0813619999999999</v>
      </c>
      <c r="AD416" s="103">
        <v>1.80227</v>
      </c>
      <c r="AE416" s="103">
        <v>2.7034050000000001</v>
      </c>
      <c r="AF416" s="103">
        <v>3.6045400000000001</v>
      </c>
      <c r="AG416" s="103">
        <v>92.9307882700177</v>
      </c>
      <c r="AH416" s="103">
        <v>95.476148178928241</v>
      </c>
      <c r="AI416" s="103">
        <v>96.029992473112927</v>
      </c>
      <c r="AJ416" s="103">
        <v>96.472910461543449</v>
      </c>
      <c r="AK416" s="103">
        <v>96.37876487615506</v>
      </c>
      <c r="AL416" s="103">
        <v>96.152677617325793</v>
      </c>
      <c r="AM416" s="103">
        <v>96.162328498673276</v>
      </c>
      <c r="AN416" s="103">
        <v>92.531495773128313</v>
      </c>
      <c r="AO416" s="103">
        <v>95.951025180138728</v>
      </c>
      <c r="AP416" s="103">
        <v>96.621311597273717</v>
      </c>
      <c r="AQ416" s="103">
        <v>97.059603157019836</v>
      </c>
      <c r="AR416" s="103">
        <v>97.224711983689119</v>
      </c>
      <c r="AS416" s="103">
        <v>96.978656177455747</v>
      </c>
      <c r="AT416" s="103">
        <v>96.853915304807103</v>
      </c>
      <c r="AU416" s="103">
        <v>89.80793356250021</v>
      </c>
      <c r="AV416" s="103">
        <v>94.91925956195459</v>
      </c>
      <c r="AW416" s="103">
        <v>95.99712875139376</v>
      </c>
      <c r="AX416" s="103">
        <v>96.576860828695345</v>
      </c>
      <c r="AY416" s="103">
        <v>96.770045807349476</v>
      </c>
      <c r="AZ416" s="103">
        <v>96.849589768746824</v>
      </c>
      <c r="BA416" s="103">
        <v>96.269680311123579</v>
      </c>
      <c r="BB416" s="40">
        <v>43313</v>
      </c>
      <c r="BC416" s="40">
        <v>43388</v>
      </c>
    </row>
    <row r="417" spans="1:55" s="120" customFormat="1" ht="45">
      <c r="A417" s="41" t="s">
        <v>6</v>
      </c>
      <c r="B417" s="41" t="s">
        <v>1149</v>
      </c>
      <c r="C417" s="43" t="s">
        <v>10</v>
      </c>
      <c r="D417" s="43" t="s">
        <v>10</v>
      </c>
      <c r="E417" s="43" t="s">
        <v>10</v>
      </c>
      <c r="F417" s="63" t="s">
        <v>11</v>
      </c>
      <c r="G417" s="41" t="s">
        <v>790</v>
      </c>
      <c r="H417" s="27">
        <v>3.6</v>
      </c>
      <c r="I417" s="109">
        <v>208</v>
      </c>
      <c r="J417" s="27">
        <v>96.5</v>
      </c>
      <c r="K417" s="39" t="s">
        <v>1327</v>
      </c>
      <c r="L417" s="130" t="s">
        <v>788</v>
      </c>
      <c r="M417" s="110" t="s">
        <v>521</v>
      </c>
      <c r="N417" s="40">
        <v>43388</v>
      </c>
      <c r="O417" s="130" t="s">
        <v>788</v>
      </c>
      <c r="P417" s="63" t="s">
        <v>17</v>
      </c>
      <c r="Q417" s="63" t="s">
        <v>17</v>
      </c>
      <c r="R417" s="112"/>
      <c r="S417" s="111" t="s">
        <v>10</v>
      </c>
      <c r="T417" s="111" t="s">
        <v>11</v>
      </c>
      <c r="U417" s="113">
        <v>5.36</v>
      </c>
      <c r="V417" s="113"/>
      <c r="W417" s="113"/>
      <c r="X417" s="113">
        <v>195</v>
      </c>
      <c r="Y417" s="113">
        <v>365</v>
      </c>
      <c r="Z417" s="113">
        <v>480</v>
      </c>
      <c r="AA417" s="114">
        <v>0.36045400000000005</v>
      </c>
      <c r="AB417" s="114">
        <v>0.7209080000000001</v>
      </c>
      <c r="AC417" s="114">
        <v>1.0813619999999999</v>
      </c>
      <c r="AD417" s="114">
        <v>1.80227</v>
      </c>
      <c r="AE417" s="114">
        <v>2.7034050000000001</v>
      </c>
      <c r="AF417" s="114">
        <v>3.6045400000000001</v>
      </c>
      <c r="AG417" s="114">
        <v>92.9307882700177</v>
      </c>
      <c r="AH417" s="114">
        <v>95.476148178928241</v>
      </c>
      <c r="AI417" s="114">
        <v>96.029992473112927</v>
      </c>
      <c r="AJ417" s="114">
        <v>96.472910461543449</v>
      </c>
      <c r="AK417" s="114">
        <v>96.37876487615506</v>
      </c>
      <c r="AL417" s="114">
        <v>96.152677617325793</v>
      </c>
      <c r="AM417" s="114">
        <v>96.162328498673276</v>
      </c>
      <c r="AN417" s="114">
        <v>92.531495773128313</v>
      </c>
      <c r="AO417" s="114">
        <v>95.951025180138728</v>
      </c>
      <c r="AP417" s="114">
        <v>96.621311597273717</v>
      </c>
      <c r="AQ417" s="114">
        <v>97.059603157019836</v>
      </c>
      <c r="AR417" s="114">
        <v>97.224711983689119</v>
      </c>
      <c r="AS417" s="114">
        <v>96.978656177455747</v>
      </c>
      <c r="AT417" s="114">
        <v>96.853915304807103</v>
      </c>
      <c r="AU417" s="114">
        <v>89.80793356250021</v>
      </c>
      <c r="AV417" s="114">
        <v>94.91925956195459</v>
      </c>
      <c r="AW417" s="114">
        <v>95.99712875139376</v>
      </c>
      <c r="AX417" s="114">
        <v>96.576860828695345</v>
      </c>
      <c r="AY417" s="114">
        <v>96.770045807349476</v>
      </c>
      <c r="AZ417" s="114">
        <v>96.849589768746824</v>
      </c>
      <c r="BA417" s="114">
        <v>96.269680311123579</v>
      </c>
      <c r="BB417" s="40">
        <v>43313</v>
      </c>
      <c r="BC417" s="40">
        <v>43388</v>
      </c>
    </row>
    <row r="418" spans="1:55" s="120" customFormat="1" ht="60">
      <c r="A418" s="41" t="s">
        <v>6</v>
      </c>
      <c r="B418" s="41" t="s">
        <v>1150</v>
      </c>
      <c r="C418" s="43" t="s">
        <v>10</v>
      </c>
      <c r="D418" s="43" t="s">
        <v>10</v>
      </c>
      <c r="E418" s="43" t="s">
        <v>10</v>
      </c>
      <c r="F418" s="63" t="s">
        <v>11</v>
      </c>
      <c r="G418" s="41" t="s">
        <v>756</v>
      </c>
      <c r="H418" s="27">
        <v>3.8128600000000001</v>
      </c>
      <c r="I418" s="109">
        <v>240</v>
      </c>
      <c r="J418" s="27">
        <v>96.5</v>
      </c>
      <c r="K418" s="39" t="s">
        <v>1327</v>
      </c>
      <c r="L418" s="130" t="s">
        <v>757</v>
      </c>
      <c r="M418" s="110" t="s">
        <v>758</v>
      </c>
      <c r="N418" s="40">
        <v>43388</v>
      </c>
      <c r="O418" s="130" t="s">
        <v>757</v>
      </c>
      <c r="P418" s="63" t="s">
        <v>17</v>
      </c>
      <c r="Q418" s="63" t="s">
        <v>17</v>
      </c>
      <c r="R418" s="112"/>
      <c r="S418" s="111" t="s">
        <v>11</v>
      </c>
      <c r="T418" s="111" t="s">
        <v>11</v>
      </c>
      <c r="U418" s="113">
        <v>6.53</v>
      </c>
      <c r="V418" s="113"/>
      <c r="W418" s="113"/>
      <c r="X418" s="113">
        <v>220</v>
      </c>
      <c r="Y418" s="113">
        <v>360</v>
      </c>
      <c r="Z418" s="113">
        <v>550</v>
      </c>
      <c r="AA418" s="114">
        <v>0.38128600000000001</v>
      </c>
      <c r="AB418" s="114">
        <v>0.76257200000000003</v>
      </c>
      <c r="AC418" s="114">
        <v>1.143858</v>
      </c>
      <c r="AD418" s="114">
        <v>1.9064300000000001</v>
      </c>
      <c r="AE418" s="114">
        <v>2.859645</v>
      </c>
      <c r="AF418" s="114">
        <v>3.8128600000000001</v>
      </c>
      <c r="AG418" s="114">
        <v>92.693600000000004</v>
      </c>
      <c r="AH418" s="114">
        <v>95.522000000000006</v>
      </c>
      <c r="AI418" s="114">
        <v>96.098799999999997</v>
      </c>
      <c r="AJ418" s="114">
        <v>96.434799999999996</v>
      </c>
      <c r="AK418" s="114">
        <v>96.412400000000005</v>
      </c>
      <c r="AL418" s="114">
        <v>96.287400000000005</v>
      </c>
      <c r="AM418" s="114">
        <v>96.179950000000005</v>
      </c>
      <c r="AN418" s="114">
        <v>93.605999999999995</v>
      </c>
      <c r="AO418" s="114">
        <v>96.45620000000001</v>
      </c>
      <c r="AP418" s="114">
        <v>97.102199999999996</v>
      </c>
      <c r="AQ418" s="114">
        <v>97.421599999999984</v>
      </c>
      <c r="AR418" s="114">
        <v>97.465600000000009</v>
      </c>
      <c r="AS418" s="114">
        <v>97.377600000000001</v>
      </c>
      <c r="AT418" s="114">
        <v>97.20349800000001</v>
      </c>
      <c r="AU418" s="114">
        <v>88.564400000000006</v>
      </c>
      <c r="AV418" s="114">
        <v>94.722799999999992</v>
      </c>
      <c r="AW418" s="114">
        <v>96.086799999999997</v>
      </c>
      <c r="AX418" s="114">
        <v>96.848199999999991</v>
      </c>
      <c r="AY418" s="114">
        <v>97.025800000000004</v>
      </c>
      <c r="AZ418" s="114">
        <v>97.020600000000002</v>
      </c>
      <c r="BA418" s="114">
        <v>96.421958000000004</v>
      </c>
      <c r="BB418" s="40">
        <v>43283</v>
      </c>
      <c r="BC418" s="40">
        <v>43388</v>
      </c>
    </row>
    <row r="419" spans="1:55" s="120" customFormat="1" ht="45">
      <c r="A419" s="74" t="s">
        <v>6</v>
      </c>
      <c r="B419" s="67" t="s">
        <v>1151</v>
      </c>
      <c r="C419" s="69" t="s">
        <v>10</v>
      </c>
      <c r="D419" s="69" t="s">
        <v>10</v>
      </c>
      <c r="E419" s="43" t="s">
        <v>10</v>
      </c>
      <c r="F419" s="63" t="s">
        <v>11</v>
      </c>
      <c r="G419" s="74" t="s">
        <v>156</v>
      </c>
      <c r="H419" s="35">
        <v>3.85</v>
      </c>
      <c r="I419" s="35">
        <v>240</v>
      </c>
      <c r="J419" s="35">
        <v>96.5</v>
      </c>
      <c r="K419" s="39" t="s">
        <v>1327</v>
      </c>
      <c r="L419" s="129" t="s">
        <v>520</v>
      </c>
      <c r="M419" s="33" t="s">
        <v>521</v>
      </c>
      <c r="N419" s="40">
        <v>43388</v>
      </c>
      <c r="O419" s="129" t="s">
        <v>520</v>
      </c>
      <c r="P419" s="63" t="s">
        <v>17</v>
      </c>
      <c r="Q419" s="63" t="s">
        <v>17</v>
      </c>
      <c r="R419" s="26"/>
      <c r="S419" s="32" t="s">
        <v>10</v>
      </c>
      <c r="T419" s="32" t="s">
        <v>11</v>
      </c>
      <c r="U419" s="35">
        <v>5.39</v>
      </c>
      <c r="V419" s="35"/>
      <c r="W419" s="35"/>
      <c r="X419" s="35">
        <v>195</v>
      </c>
      <c r="Y419" s="35">
        <v>365</v>
      </c>
      <c r="Z419" s="35">
        <v>480</v>
      </c>
      <c r="AA419" s="103">
        <v>0.38542700000000002</v>
      </c>
      <c r="AB419" s="103">
        <v>0.77085400000000004</v>
      </c>
      <c r="AC419" s="103">
        <v>1.1562809999999999</v>
      </c>
      <c r="AD419" s="103">
        <v>1.927135</v>
      </c>
      <c r="AE419" s="103">
        <v>2.8907025000000002</v>
      </c>
      <c r="AF419" s="103">
        <v>3.8542700000000001</v>
      </c>
      <c r="AG419" s="103">
        <v>92.681418318038126</v>
      </c>
      <c r="AH419" s="103">
        <v>95.370109391033424</v>
      </c>
      <c r="AI419" s="103">
        <v>96.070222112677214</v>
      </c>
      <c r="AJ419" s="103">
        <v>96.455330264892524</v>
      </c>
      <c r="AK419" s="103">
        <v>96.443882991198933</v>
      </c>
      <c r="AL419" s="103">
        <v>96.232778992810211</v>
      </c>
      <c r="AM419" s="103">
        <v>96.186705146397841</v>
      </c>
      <c r="AN419" s="103">
        <v>93.680244478450931</v>
      </c>
      <c r="AO419" s="103">
        <v>96.435440070880389</v>
      </c>
      <c r="AP419" s="103">
        <v>96.895311691249105</v>
      </c>
      <c r="AQ419" s="103">
        <v>97.434600781845177</v>
      </c>
      <c r="AR419" s="103">
        <v>97.587655846920612</v>
      </c>
      <c r="AS419" s="103">
        <v>97.46796631140225</v>
      </c>
      <c r="AT419" s="103">
        <v>97.252541264257474</v>
      </c>
      <c r="AU419" s="103">
        <v>90.805647134134389</v>
      </c>
      <c r="AV419" s="103">
        <v>95.309565566853777</v>
      </c>
      <c r="AW419" s="103">
        <v>96.404880449161809</v>
      </c>
      <c r="AX419" s="103">
        <v>96.909933627135729</v>
      </c>
      <c r="AY419" s="103">
        <v>97.155681948405487</v>
      </c>
      <c r="AZ419" s="103">
        <v>97.307422483982663</v>
      </c>
      <c r="BA419" s="103">
        <v>96.675258436160021</v>
      </c>
      <c r="BB419" s="40">
        <v>43313</v>
      </c>
      <c r="BC419" s="40">
        <v>43388</v>
      </c>
    </row>
    <row r="420" spans="1:55" s="120" customFormat="1" ht="45">
      <c r="A420" s="41" t="s">
        <v>6</v>
      </c>
      <c r="B420" s="41" t="s">
        <v>1152</v>
      </c>
      <c r="C420" s="43" t="s">
        <v>10</v>
      </c>
      <c r="D420" s="43" t="s">
        <v>10</v>
      </c>
      <c r="E420" s="43" t="s">
        <v>10</v>
      </c>
      <c r="F420" s="63" t="s">
        <v>11</v>
      </c>
      <c r="G420" s="41" t="s">
        <v>791</v>
      </c>
      <c r="H420" s="27">
        <v>3.85</v>
      </c>
      <c r="I420" s="109">
        <v>240</v>
      </c>
      <c r="J420" s="27">
        <v>96.5</v>
      </c>
      <c r="K420" s="39" t="s">
        <v>1327</v>
      </c>
      <c r="L420" s="130" t="s">
        <v>788</v>
      </c>
      <c r="M420" s="110" t="s">
        <v>792</v>
      </c>
      <c r="N420" s="40">
        <v>43388</v>
      </c>
      <c r="O420" s="130" t="s">
        <v>788</v>
      </c>
      <c r="P420" s="63" t="s">
        <v>17</v>
      </c>
      <c r="Q420" s="63" t="s">
        <v>17</v>
      </c>
      <c r="R420" s="112"/>
      <c r="S420" s="111" t="s">
        <v>10</v>
      </c>
      <c r="T420" s="111" t="s">
        <v>11</v>
      </c>
      <c r="U420" s="113">
        <v>5.39</v>
      </c>
      <c r="V420" s="113"/>
      <c r="W420" s="113"/>
      <c r="X420" s="113">
        <v>195</v>
      </c>
      <c r="Y420" s="113">
        <v>365</v>
      </c>
      <c r="Z420" s="113">
        <v>480</v>
      </c>
      <c r="AA420" s="114">
        <v>0.38542700000000002</v>
      </c>
      <c r="AB420" s="114">
        <v>0.77085400000000004</v>
      </c>
      <c r="AC420" s="114">
        <v>1.1562809999999999</v>
      </c>
      <c r="AD420" s="114">
        <v>1.927135</v>
      </c>
      <c r="AE420" s="114">
        <v>2.8907025000000002</v>
      </c>
      <c r="AF420" s="114">
        <v>3.8542700000000001</v>
      </c>
      <c r="AG420" s="114">
        <v>92.681418318038126</v>
      </c>
      <c r="AH420" s="114">
        <v>95.370109391033424</v>
      </c>
      <c r="AI420" s="114">
        <v>96.070222112677214</v>
      </c>
      <c r="AJ420" s="114">
        <v>96.455330264892524</v>
      </c>
      <c r="AK420" s="114">
        <v>96.443882991198933</v>
      </c>
      <c r="AL420" s="114">
        <v>96.232778992810211</v>
      </c>
      <c r="AM420" s="114">
        <v>96.186705146397841</v>
      </c>
      <c r="AN420" s="114">
        <v>93.680244478450931</v>
      </c>
      <c r="AO420" s="114">
        <v>96.435440070880389</v>
      </c>
      <c r="AP420" s="114">
        <v>96.895311691249105</v>
      </c>
      <c r="AQ420" s="114">
        <v>97.434600781845177</v>
      </c>
      <c r="AR420" s="114">
        <v>97.587655846920612</v>
      </c>
      <c r="AS420" s="114">
        <v>97.46796631140225</v>
      </c>
      <c r="AT420" s="114">
        <v>97.252541264257474</v>
      </c>
      <c r="AU420" s="114">
        <v>90.805647134134389</v>
      </c>
      <c r="AV420" s="114">
        <v>95.309565566853777</v>
      </c>
      <c r="AW420" s="114">
        <v>96.404880449161809</v>
      </c>
      <c r="AX420" s="114">
        <v>96.909933627135729</v>
      </c>
      <c r="AY420" s="114">
        <v>97.155681948405487</v>
      </c>
      <c r="AZ420" s="114">
        <v>97.307422483982663</v>
      </c>
      <c r="BA420" s="114">
        <v>96.675258436160021</v>
      </c>
      <c r="BB420" s="40">
        <v>43313</v>
      </c>
      <c r="BC420" s="40">
        <v>43388</v>
      </c>
    </row>
    <row r="421" spans="1:55" s="120" customFormat="1" ht="60">
      <c r="A421" s="41" t="s">
        <v>6</v>
      </c>
      <c r="B421" s="41" t="s">
        <v>1153</v>
      </c>
      <c r="C421" s="43" t="s">
        <v>10</v>
      </c>
      <c r="D421" s="43" t="s">
        <v>10</v>
      </c>
      <c r="E421" s="43" t="s">
        <v>10</v>
      </c>
      <c r="F421" s="63" t="s">
        <v>11</v>
      </c>
      <c r="G421" s="41" t="s">
        <v>759</v>
      </c>
      <c r="H421" s="27">
        <v>5.0159500000000001</v>
      </c>
      <c r="I421" s="109">
        <v>240</v>
      </c>
      <c r="J421" s="27">
        <v>96.5</v>
      </c>
      <c r="K421" s="39" t="s">
        <v>1327</v>
      </c>
      <c r="L421" s="130" t="s">
        <v>757</v>
      </c>
      <c r="M421" s="110" t="s">
        <v>758</v>
      </c>
      <c r="N421" s="40">
        <v>43388</v>
      </c>
      <c r="O421" s="130" t="s">
        <v>757</v>
      </c>
      <c r="P421" s="63" t="s">
        <v>17</v>
      </c>
      <c r="Q421" s="63" t="s">
        <v>17</v>
      </c>
      <c r="R421" s="112"/>
      <c r="S421" s="111" t="s">
        <v>11</v>
      </c>
      <c r="T421" s="111" t="s">
        <v>11</v>
      </c>
      <c r="U421" s="113">
        <v>6.53</v>
      </c>
      <c r="V421" s="113"/>
      <c r="W421" s="113"/>
      <c r="X421" s="113">
        <v>220</v>
      </c>
      <c r="Y421" s="113">
        <v>360</v>
      </c>
      <c r="Z421" s="113">
        <v>550</v>
      </c>
      <c r="AA421" s="114">
        <v>0.50159500000000001</v>
      </c>
      <c r="AB421" s="114">
        <v>1.00319</v>
      </c>
      <c r="AC421" s="114">
        <v>1.504785</v>
      </c>
      <c r="AD421" s="114">
        <v>2.5079750000000001</v>
      </c>
      <c r="AE421" s="114">
        <v>3.7619625000000001</v>
      </c>
      <c r="AF421" s="114">
        <v>5.0159500000000001</v>
      </c>
      <c r="AG421" s="114">
        <v>93.757199999999997</v>
      </c>
      <c r="AH421" s="114">
        <v>95.994399999999999</v>
      </c>
      <c r="AI421" s="114">
        <v>96.353399999999993</v>
      </c>
      <c r="AJ421" s="114">
        <v>96.433800000000005</v>
      </c>
      <c r="AK421" s="114">
        <v>96.308200000000014</v>
      </c>
      <c r="AL421" s="114">
        <v>96.110399999999998</v>
      </c>
      <c r="AM421" s="114">
        <v>96.212379999999996</v>
      </c>
      <c r="AN421" s="114">
        <v>94.613599999999991</v>
      </c>
      <c r="AO421" s="114">
        <v>96.931399999999996</v>
      </c>
      <c r="AP421" s="114">
        <v>97.316400000000016</v>
      </c>
      <c r="AQ421" s="114">
        <v>97.451200000000014</v>
      </c>
      <c r="AR421" s="114">
        <v>97.395399999999995</v>
      </c>
      <c r="AS421" s="114">
        <v>97.210799999999992</v>
      </c>
      <c r="AT421" s="114">
        <v>97.25393600000001</v>
      </c>
      <c r="AU421" s="114">
        <v>92.417600000000007</v>
      </c>
      <c r="AV421" s="114">
        <v>95.739599999999996</v>
      </c>
      <c r="AW421" s="114">
        <v>96.530400000000014</v>
      </c>
      <c r="AX421" s="114">
        <v>96.997200000000007</v>
      </c>
      <c r="AY421" s="114">
        <v>97.034000000000006</v>
      </c>
      <c r="AZ421" s="114">
        <v>96.590800000000002</v>
      </c>
      <c r="BA421" s="114">
        <v>96.694304000000002</v>
      </c>
      <c r="BB421" s="40">
        <v>43283</v>
      </c>
      <c r="BC421" s="40">
        <v>43388</v>
      </c>
    </row>
    <row r="422" spans="1:55" s="120" customFormat="1" ht="45">
      <c r="A422" s="74" t="s">
        <v>6</v>
      </c>
      <c r="B422" s="67" t="s">
        <v>436</v>
      </c>
      <c r="C422" s="69" t="s">
        <v>10</v>
      </c>
      <c r="D422" s="69" t="s">
        <v>10</v>
      </c>
      <c r="E422" s="43" t="s">
        <v>10</v>
      </c>
      <c r="F422" s="63" t="s">
        <v>11</v>
      </c>
      <c r="G422" s="74" t="s">
        <v>157</v>
      </c>
      <c r="H422" s="35">
        <v>5.05</v>
      </c>
      <c r="I422" s="35">
        <v>240</v>
      </c>
      <c r="J422" s="35">
        <v>97</v>
      </c>
      <c r="K422" s="39" t="s">
        <v>1327</v>
      </c>
      <c r="L422" s="129" t="s">
        <v>520</v>
      </c>
      <c r="M422" s="33" t="s">
        <v>521</v>
      </c>
      <c r="N422" s="40">
        <v>43388</v>
      </c>
      <c r="O422" s="129" t="s">
        <v>520</v>
      </c>
      <c r="P422" s="63" t="s">
        <v>17</v>
      </c>
      <c r="Q422" s="63" t="s">
        <v>17</v>
      </c>
      <c r="R422" s="26"/>
      <c r="S422" s="32" t="s">
        <v>10</v>
      </c>
      <c r="T422" s="32" t="s">
        <v>11</v>
      </c>
      <c r="U422" s="35">
        <v>5.21</v>
      </c>
      <c r="V422" s="35"/>
      <c r="W422" s="35"/>
      <c r="X422" s="35">
        <v>220</v>
      </c>
      <c r="Y422" s="35">
        <v>365</v>
      </c>
      <c r="Z422" s="35">
        <v>480</v>
      </c>
      <c r="AA422" s="103">
        <v>0.51</v>
      </c>
      <c r="AB422" s="103">
        <v>1.01</v>
      </c>
      <c r="AC422" s="103">
        <v>1.52</v>
      </c>
      <c r="AD422" s="103">
        <v>2.5299999999999998</v>
      </c>
      <c r="AE422" s="103">
        <v>3.79</v>
      </c>
      <c r="AF422" s="103">
        <v>5.05</v>
      </c>
      <c r="AG422" s="103">
        <v>93.3</v>
      </c>
      <c r="AH422" s="103">
        <v>96</v>
      </c>
      <c r="AI422" s="103">
        <v>96.5</v>
      </c>
      <c r="AJ422" s="103">
        <v>96.7</v>
      </c>
      <c r="AK422" s="103">
        <v>96.6</v>
      </c>
      <c r="AL422" s="103">
        <v>96.4</v>
      </c>
      <c r="AM422" s="103">
        <v>96.4</v>
      </c>
      <c r="AN422" s="103">
        <v>93.4</v>
      </c>
      <c r="AO422" s="103">
        <v>96.9</v>
      </c>
      <c r="AP422" s="103">
        <v>97.2</v>
      </c>
      <c r="AQ422" s="103">
        <v>97.5</v>
      </c>
      <c r="AR422" s="103">
        <v>97.4</v>
      </c>
      <c r="AS422" s="103">
        <v>97.2</v>
      </c>
      <c r="AT422" s="103">
        <v>97.2</v>
      </c>
      <c r="AU422" s="103">
        <v>91.2</v>
      </c>
      <c r="AV422" s="103">
        <v>96.2</v>
      </c>
      <c r="AW422" s="103">
        <v>96.8</v>
      </c>
      <c r="AX422" s="103">
        <v>97.2</v>
      </c>
      <c r="AY422" s="103">
        <v>97.4</v>
      </c>
      <c r="AZ422" s="103">
        <v>97.3</v>
      </c>
      <c r="BA422" s="103">
        <v>97</v>
      </c>
      <c r="BB422" s="40">
        <v>43313</v>
      </c>
      <c r="BC422" s="40">
        <v>43388</v>
      </c>
    </row>
    <row r="423" spans="1:55" s="120" customFormat="1" ht="45">
      <c r="A423" s="41" t="s">
        <v>6</v>
      </c>
      <c r="B423" s="41" t="s">
        <v>809</v>
      </c>
      <c r="C423" s="43" t="s">
        <v>10</v>
      </c>
      <c r="D423" s="43" t="s">
        <v>10</v>
      </c>
      <c r="E423" s="43" t="s">
        <v>10</v>
      </c>
      <c r="F423" s="63" t="s">
        <v>11</v>
      </c>
      <c r="G423" s="41" t="s">
        <v>793</v>
      </c>
      <c r="H423" s="27">
        <v>5.05</v>
      </c>
      <c r="I423" s="109">
        <v>240</v>
      </c>
      <c r="J423" s="27">
        <v>97</v>
      </c>
      <c r="K423" s="39" t="s">
        <v>1327</v>
      </c>
      <c r="L423" s="130" t="s">
        <v>788</v>
      </c>
      <c r="M423" s="110" t="s">
        <v>792</v>
      </c>
      <c r="N423" s="40">
        <v>43388</v>
      </c>
      <c r="O423" s="130" t="s">
        <v>788</v>
      </c>
      <c r="P423" s="63" t="s">
        <v>17</v>
      </c>
      <c r="Q423" s="63" t="s">
        <v>17</v>
      </c>
      <c r="R423" s="112"/>
      <c r="S423" s="111" t="s">
        <v>10</v>
      </c>
      <c r="T423" s="111" t="s">
        <v>11</v>
      </c>
      <c r="U423" s="113">
        <v>5.21</v>
      </c>
      <c r="V423" s="113"/>
      <c r="W423" s="113"/>
      <c r="X423" s="113">
        <v>220</v>
      </c>
      <c r="Y423" s="113">
        <v>365</v>
      </c>
      <c r="Z423" s="113">
        <v>480</v>
      </c>
      <c r="AA423" s="114">
        <v>0.51</v>
      </c>
      <c r="AB423" s="114">
        <v>1.01</v>
      </c>
      <c r="AC423" s="114">
        <v>1.52</v>
      </c>
      <c r="AD423" s="114">
        <v>2.5299999999999998</v>
      </c>
      <c r="AE423" s="114">
        <v>3.79</v>
      </c>
      <c r="AF423" s="114">
        <v>5.05</v>
      </c>
      <c r="AG423" s="114">
        <v>93.3</v>
      </c>
      <c r="AH423" s="114">
        <v>96</v>
      </c>
      <c r="AI423" s="114">
        <v>96.5</v>
      </c>
      <c r="AJ423" s="114">
        <v>96.7</v>
      </c>
      <c r="AK423" s="114">
        <v>96.6</v>
      </c>
      <c r="AL423" s="114">
        <v>96.4</v>
      </c>
      <c r="AM423" s="114">
        <v>96.4</v>
      </c>
      <c r="AN423" s="114">
        <v>93.4</v>
      </c>
      <c r="AO423" s="114">
        <v>96.9</v>
      </c>
      <c r="AP423" s="114">
        <v>97.2</v>
      </c>
      <c r="AQ423" s="114">
        <v>97.5</v>
      </c>
      <c r="AR423" s="114">
        <v>97.4</v>
      </c>
      <c r="AS423" s="114">
        <v>97.2</v>
      </c>
      <c r="AT423" s="114">
        <v>97.2</v>
      </c>
      <c r="AU423" s="114">
        <v>91.2</v>
      </c>
      <c r="AV423" s="114">
        <v>96.2</v>
      </c>
      <c r="AW423" s="114">
        <v>96.8</v>
      </c>
      <c r="AX423" s="114">
        <v>97.2</v>
      </c>
      <c r="AY423" s="114">
        <v>97.4</v>
      </c>
      <c r="AZ423" s="114">
        <v>97.3</v>
      </c>
      <c r="BA423" s="114">
        <v>97</v>
      </c>
      <c r="BB423" s="40">
        <v>43313</v>
      </c>
      <c r="BC423" s="40">
        <v>43388</v>
      </c>
    </row>
    <row r="424" spans="1:55" s="120" customFormat="1" ht="45">
      <c r="A424" s="74" t="s">
        <v>6</v>
      </c>
      <c r="B424" s="67" t="s">
        <v>437</v>
      </c>
      <c r="C424" s="69" t="s">
        <v>10</v>
      </c>
      <c r="D424" s="69" t="s">
        <v>10</v>
      </c>
      <c r="E424" s="43" t="s">
        <v>10</v>
      </c>
      <c r="F424" s="63" t="s">
        <v>11</v>
      </c>
      <c r="G424" s="74" t="s">
        <v>158</v>
      </c>
      <c r="H424" s="35">
        <v>5.0599999999999996</v>
      </c>
      <c r="I424" s="35">
        <v>208</v>
      </c>
      <c r="J424" s="35">
        <v>96.5</v>
      </c>
      <c r="K424" s="39" t="s">
        <v>1327</v>
      </c>
      <c r="L424" s="129" t="s">
        <v>520</v>
      </c>
      <c r="M424" s="33" t="s">
        <v>521</v>
      </c>
      <c r="N424" s="40">
        <v>43388</v>
      </c>
      <c r="O424" s="129" t="s">
        <v>520</v>
      </c>
      <c r="P424" s="63" t="s">
        <v>17</v>
      </c>
      <c r="Q424" s="63" t="s">
        <v>17</v>
      </c>
      <c r="R424" s="26"/>
      <c r="S424" s="32" t="s">
        <v>10</v>
      </c>
      <c r="T424" s="32" t="s">
        <v>11</v>
      </c>
      <c r="U424" s="35">
        <v>5.0599999999999996</v>
      </c>
      <c r="V424" s="35"/>
      <c r="W424" s="35"/>
      <c r="X424" s="35">
        <v>220</v>
      </c>
      <c r="Y424" s="35">
        <v>365</v>
      </c>
      <c r="Z424" s="35">
        <v>480</v>
      </c>
      <c r="AA424" s="103">
        <v>0.51</v>
      </c>
      <c r="AB424" s="103">
        <v>1.01</v>
      </c>
      <c r="AC424" s="103">
        <v>1.52</v>
      </c>
      <c r="AD424" s="103">
        <v>2.5299999999999998</v>
      </c>
      <c r="AE424" s="103">
        <v>3.8</v>
      </c>
      <c r="AF424" s="103">
        <v>5.0599999999999996</v>
      </c>
      <c r="AG424" s="103">
        <v>94.7</v>
      </c>
      <c r="AH424" s="103">
        <v>96.3</v>
      </c>
      <c r="AI424" s="103">
        <v>96.6</v>
      </c>
      <c r="AJ424" s="103">
        <v>96.6</v>
      </c>
      <c r="AK424" s="103">
        <v>96.4</v>
      </c>
      <c r="AL424" s="103">
        <v>96</v>
      </c>
      <c r="AM424" s="103">
        <v>96.4</v>
      </c>
      <c r="AN424" s="103">
        <v>94.7</v>
      </c>
      <c r="AO424" s="103">
        <v>96.7</v>
      </c>
      <c r="AP424" s="103">
        <v>97.1</v>
      </c>
      <c r="AQ424" s="103">
        <v>97.2</v>
      </c>
      <c r="AR424" s="103">
        <v>97.1</v>
      </c>
      <c r="AS424" s="103">
        <v>96.8</v>
      </c>
      <c r="AT424" s="103">
        <v>97</v>
      </c>
      <c r="AU424" s="103">
        <v>91.1</v>
      </c>
      <c r="AV424" s="103">
        <v>96.1</v>
      </c>
      <c r="AW424" s="103">
        <v>96.7</v>
      </c>
      <c r="AX424" s="103">
        <v>96.9</v>
      </c>
      <c r="AY424" s="103">
        <v>97</v>
      </c>
      <c r="AZ424" s="103">
        <v>96.8</v>
      </c>
      <c r="BA424" s="103">
        <v>96.6</v>
      </c>
      <c r="BB424" s="40">
        <v>43313</v>
      </c>
      <c r="BC424" s="40">
        <v>43388</v>
      </c>
    </row>
    <row r="425" spans="1:55" s="120" customFormat="1" ht="45">
      <c r="A425" s="41" t="s">
        <v>6</v>
      </c>
      <c r="B425" s="41" t="s">
        <v>810</v>
      </c>
      <c r="C425" s="43" t="s">
        <v>10</v>
      </c>
      <c r="D425" s="43" t="s">
        <v>10</v>
      </c>
      <c r="E425" s="43" t="s">
        <v>10</v>
      </c>
      <c r="F425" s="63" t="s">
        <v>11</v>
      </c>
      <c r="G425" s="41" t="s">
        <v>794</v>
      </c>
      <c r="H425" s="27">
        <v>5.0599999999999996</v>
      </c>
      <c r="I425" s="109">
        <v>208</v>
      </c>
      <c r="J425" s="27">
        <v>96.5</v>
      </c>
      <c r="K425" s="39" t="s">
        <v>1327</v>
      </c>
      <c r="L425" s="130" t="s">
        <v>788</v>
      </c>
      <c r="M425" s="110" t="s">
        <v>792</v>
      </c>
      <c r="N425" s="40">
        <v>43388</v>
      </c>
      <c r="O425" s="130" t="s">
        <v>788</v>
      </c>
      <c r="P425" s="63" t="s">
        <v>17</v>
      </c>
      <c r="Q425" s="63" t="s">
        <v>17</v>
      </c>
      <c r="R425" s="112"/>
      <c r="S425" s="111" t="s">
        <v>10</v>
      </c>
      <c r="T425" s="111" t="s">
        <v>11</v>
      </c>
      <c r="U425" s="113">
        <v>5.0599999999999996</v>
      </c>
      <c r="V425" s="113"/>
      <c r="W425" s="113"/>
      <c r="X425" s="113">
        <v>220</v>
      </c>
      <c r="Y425" s="113">
        <v>365</v>
      </c>
      <c r="Z425" s="113">
        <v>480</v>
      </c>
      <c r="AA425" s="114">
        <v>0.51</v>
      </c>
      <c r="AB425" s="114">
        <v>1.01</v>
      </c>
      <c r="AC425" s="114">
        <v>1.52</v>
      </c>
      <c r="AD425" s="114">
        <v>2.5299999999999998</v>
      </c>
      <c r="AE425" s="114">
        <v>3.8</v>
      </c>
      <c r="AF425" s="114">
        <v>5.0599999999999996</v>
      </c>
      <c r="AG425" s="114">
        <v>94.7</v>
      </c>
      <c r="AH425" s="114">
        <v>96.3</v>
      </c>
      <c r="AI425" s="114">
        <v>96.6</v>
      </c>
      <c r="AJ425" s="114">
        <v>96.6</v>
      </c>
      <c r="AK425" s="114">
        <v>96.4</v>
      </c>
      <c r="AL425" s="114">
        <v>96</v>
      </c>
      <c r="AM425" s="114">
        <v>96.4</v>
      </c>
      <c r="AN425" s="114">
        <v>94.7</v>
      </c>
      <c r="AO425" s="114">
        <v>96.7</v>
      </c>
      <c r="AP425" s="114">
        <v>97.1</v>
      </c>
      <c r="AQ425" s="114">
        <v>97.2</v>
      </c>
      <c r="AR425" s="114">
        <v>97.1</v>
      </c>
      <c r="AS425" s="114">
        <v>96.8</v>
      </c>
      <c r="AT425" s="114">
        <v>97</v>
      </c>
      <c r="AU425" s="114">
        <v>91.1</v>
      </c>
      <c r="AV425" s="114">
        <v>96.1</v>
      </c>
      <c r="AW425" s="114">
        <v>96.7</v>
      </c>
      <c r="AX425" s="114">
        <v>96.9</v>
      </c>
      <c r="AY425" s="114">
        <v>97</v>
      </c>
      <c r="AZ425" s="114">
        <v>96.8</v>
      </c>
      <c r="BA425" s="114">
        <v>96.6</v>
      </c>
      <c r="BB425" s="40">
        <v>43313</v>
      </c>
      <c r="BC425" s="40">
        <v>43388</v>
      </c>
    </row>
    <row r="426" spans="1:55" s="120" customFormat="1" ht="45">
      <c r="A426" s="74" t="s">
        <v>6</v>
      </c>
      <c r="B426" s="67" t="s">
        <v>438</v>
      </c>
      <c r="C426" s="69" t="s">
        <v>10</v>
      </c>
      <c r="D426" s="69" t="s">
        <v>10</v>
      </c>
      <c r="E426" s="43" t="s">
        <v>10</v>
      </c>
      <c r="F426" s="63" t="s">
        <v>11</v>
      </c>
      <c r="G426" s="74" t="s">
        <v>159</v>
      </c>
      <c r="H426" s="35">
        <v>5.49</v>
      </c>
      <c r="I426" s="35">
        <v>208</v>
      </c>
      <c r="J426" s="35">
        <v>96.5</v>
      </c>
      <c r="K426" s="39" t="s">
        <v>1327</v>
      </c>
      <c r="L426" s="129" t="s">
        <v>520</v>
      </c>
      <c r="M426" s="33" t="s">
        <v>521</v>
      </c>
      <c r="N426" s="40">
        <v>43388</v>
      </c>
      <c r="O426" s="129" t="s">
        <v>520</v>
      </c>
      <c r="P426" s="63" t="s">
        <v>17</v>
      </c>
      <c r="Q426" s="63" t="s">
        <v>17</v>
      </c>
      <c r="R426" s="26"/>
      <c r="S426" s="32" t="s">
        <v>10</v>
      </c>
      <c r="T426" s="32" t="s">
        <v>11</v>
      </c>
      <c r="U426" s="35">
        <v>5.0599999999999996</v>
      </c>
      <c r="V426" s="35"/>
      <c r="W426" s="35"/>
      <c r="X426" s="35">
        <v>220</v>
      </c>
      <c r="Y426" s="35">
        <v>365</v>
      </c>
      <c r="Z426" s="35">
        <v>480</v>
      </c>
      <c r="AA426" s="103">
        <v>0.55000000000000004</v>
      </c>
      <c r="AB426" s="103">
        <v>1.1000000000000001</v>
      </c>
      <c r="AC426" s="103">
        <v>1.65</v>
      </c>
      <c r="AD426" s="103">
        <v>2.75</v>
      </c>
      <c r="AE426" s="103">
        <v>4.12</v>
      </c>
      <c r="AF426" s="103">
        <v>5.49</v>
      </c>
      <c r="AG426" s="103">
        <v>94.8</v>
      </c>
      <c r="AH426" s="103">
        <v>96.3</v>
      </c>
      <c r="AI426" s="103">
        <v>96.6</v>
      </c>
      <c r="AJ426" s="103">
        <v>96.6</v>
      </c>
      <c r="AK426" s="103">
        <v>96.4</v>
      </c>
      <c r="AL426" s="103">
        <v>96</v>
      </c>
      <c r="AM426" s="103">
        <v>96.4</v>
      </c>
      <c r="AN426" s="103">
        <v>94.8</v>
      </c>
      <c r="AO426" s="103">
        <v>96.7</v>
      </c>
      <c r="AP426" s="103">
        <v>97.1</v>
      </c>
      <c r="AQ426" s="103">
        <v>97.2</v>
      </c>
      <c r="AR426" s="103">
        <v>97.1</v>
      </c>
      <c r="AS426" s="103">
        <v>96.8</v>
      </c>
      <c r="AT426" s="103">
        <v>97</v>
      </c>
      <c r="AU426" s="103">
        <v>91.7</v>
      </c>
      <c r="AV426" s="103">
        <v>96.2</v>
      </c>
      <c r="AW426" s="103">
        <v>96.7</v>
      </c>
      <c r="AX426" s="103">
        <v>96.8</v>
      </c>
      <c r="AY426" s="103">
        <v>97</v>
      </c>
      <c r="AZ426" s="103">
        <v>96.8</v>
      </c>
      <c r="BA426" s="103">
        <v>96.6</v>
      </c>
      <c r="BB426" s="40">
        <v>43313</v>
      </c>
      <c r="BC426" s="40">
        <v>43388</v>
      </c>
    </row>
    <row r="427" spans="1:55" s="120" customFormat="1" ht="45">
      <c r="A427" s="41" t="s">
        <v>6</v>
      </c>
      <c r="B427" s="41" t="s">
        <v>811</v>
      </c>
      <c r="C427" s="43" t="s">
        <v>10</v>
      </c>
      <c r="D427" s="43" t="s">
        <v>10</v>
      </c>
      <c r="E427" s="43" t="s">
        <v>10</v>
      </c>
      <c r="F427" s="63" t="s">
        <v>11</v>
      </c>
      <c r="G427" s="41" t="s">
        <v>795</v>
      </c>
      <c r="H427" s="27">
        <v>5.49</v>
      </c>
      <c r="I427" s="109">
        <v>208</v>
      </c>
      <c r="J427" s="27">
        <v>96.5</v>
      </c>
      <c r="K427" s="39" t="s">
        <v>1327</v>
      </c>
      <c r="L427" s="130" t="s">
        <v>788</v>
      </c>
      <c r="M427" s="110" t="s">
        <v>792</v>
      </c>
      <c r="N427" s="40">
        <v>43388</v>
      </c>
      <c r="O427" s="130" t="s">
        <v>788</v>
      </c>
      <c r="P427" s="63" t="s">
        <v>17</v>
      </c>
      <c r="Q427" s="63" t="s">
        <v>17</v>
      </c>
      <c r="R427" s="112"/>
      <c r="S427" s="111" t="s">
        <v>10</v>
      </c>
      <c r="T427" s="111" t="s">
        <v>11</v>
      </c>
      <c r="U427" s="113">
        <v>5.0599999999999996</v>
      </c>
      <c r="V427" s="113"/>
      <c r="W427" s="113"/>
      <c r="X427" s="113">
        <v>220</v>
      </c>
      <c r="Y427" s="113">
        <v>365</v>
      </c>
      <c r="Z427" s="113">
        <v>480</v>
      </c>
      <c r="AA427" s="114">
        <v>0.55000000000000004</v>
      </c>
      <c r="AB427" s="114">
        <v>1.1000000000000001</v>
      </c>
      <c r="AC427" s="114">
        <v>1.65</v>
      </c>
      <c r="AD427" s="114">
        <v>2.75</v>
      </c>
      <c r="AE427" s="114">
        <v>4.12</v>
      </c>
      <c r="AF427" s="114">
        <v>5.49</v>
      </c>
      <c r="AG427" s="114">
        <v>94.8</v>
      </c>
      <c r="AH427" s="114">
        <v>96.3</v>
      </c>
      <c r="AI427" s="114">
        <v>96.6</v>
      </c>
      <c r="AJ427" s="114">
        <v>96.6</v>
      </c>
      <c r="AK427" s="114">
        <v>96.4</v>
      </c>
      <c r="AL427" s="114">
        <v>96</v>
      </c>
      <c r="AM427" s="114">
        <v>96.4</v>
      </c>
      <c r="AN427" s="114">
        <v>94.8</v>
      </c>
      <c r="AO427" s="114">
        <v>96.7</v>
      </c>
      <c r="AP427" s="114">
        <v>97.1</v>
      </c>
      <c r="AQ427" s="114">
        <v>97.2</v>
      </c>
      <c r="AR427" s="114">
        <v>97.1</v>
      </c>
      <c r="AS427" s="114">
        <v>96.8</v>
      </c>
      <c r="AT427" s="114">
        <v>97</v>
      </c>
      <c r="AU427" s="114">
        <v>91.7</v>
      </c>
      <c r="AV427" s="114">
        <v>96.2</v>
      </c>
      <c r="AW427" s="114">
        <v>96.7</v>
      </c>
      <c r="AX427" s="114">
        <v>96.8</v>
      </c>
      <c r="AY427" s="114">
        <v>97</v>
      </c>
      <c r="AZ427" s="114">
        <v>96.8</v>
      </c>
      <c r="BA427" s="114">
        <v>96.6</v>
      </c>
      <c r="BB427" s="40">
        <v>43313</v>
      </c>
      <c r="BC427" s="40">
        <v>43388</v>
      </c>
    </row>
    <row r="428" spans="1:55" s="120" customFormat="1" ht="60">
      <c r="A428" s="41" t="s">
        <v>6</v>
      </c>
      <c r="B428" s="41" t="s">
        <v>1154</v>
      </c>
      <c r="C428" s="43" t="s">
        <v>10</v>
      </c>
      <c r="D428" s="43" t="s">
        <v>10</v>
      </c>
      <c r="E428" s="43" t="s">
        <v>10</v>
      </c>
      <c r="F428" s="63" t="s">
        <v>11</v>
      </c>
      <c r="G428" s="41" t="s">
        <v>760</v>
      </c>
      <c r="H428" s="27">
        <v>6.02196</v>
      </c>
      <c r="I428" s="109">
        <v>240</v>
      </c>
      <c r="J428" s="27">
        <v>96.5</v>
      </c>
      <c r="K428" s="39" t="s">
        <v>1327</v>
      </c>
      <c r="L428" s="130" t="s">
        <v>757</v>
      </c>
      <c r="M428" s="110" t="s">
        <v>758</v>
      </c>
      <c r="N428" s="40">
        <v>43388</v>
      </c>
      <c r="O428" s="130" t="s">
        <v>757</v>
      </c>
      <c r="P428" s="63" t="s">
        <v>17</v>
      </c>
      <c r="Q428" s="63" t="s">
        <v>17</v>
      </c>
      <c r="R428" s="112"/>
      <c r="S428" s="111" t="s">
        <v>11</v>
      </c>
      <c r="T428" s="111" t="s">
        <v>11</v>
      </c>
      <c r="U428" s="113">
        <v>6.53</v>
      </c>
      <c r="V428" s="113"/>
      <c r="W428" s="113"/>
      <c r="X428" s="113">
        <v>220</v>
      </c>
      <c r="Y428" s="113">
        <v>360</v>
      </c>
      <c r="Z428" s="113">
        <v>550</v>
      </c>
      <c r="AA428" s="114">
        <v>0.60219600000000006</v>
      </c>
      <c r="AB428" s="114">
        <v>1.2043920000000001</v>
      </c>
      <c r="AC428" s="114">
        <v>1.8065879999999999</v>
      </c>
      <c r="AD428" s="114">
        <v>3.01098</v>
      </c>
      <c r="AE428" s="114">
        <v>4.51647</v>
      </c>
      <c r="AF428" s="114">
        <v>6.02196</v>
      </c>
      <c r="AG428" s="114">
        <v>94.464199999999991</v>
      </c>
      <c r="AH428" s="114">
        <v>96.154599999999988</v>
      </c>
      <c r="AI428" s="114">
        <v>96.429000000000002</v>
      </c>
      <c r="AJ428" s="114">
        <v>96.400399999999991</v>
      </c>
      <c r="AK428" s="114">
        <v>96.191599999999994</v>
      </c>
      <c r="AL428" s="114">
        <v>95.956600000000009</v>
      </c>
      <c r="AM428" s="114">
        <v>96.181240000000003</v>
      </c>
      <c r="AN428" s="114">
        <v>95.848199999999991</v>
      </c>
      <c r="AO428" s="114">
        <v>97.198400000000007</v>
      </c>
      <c r="AP428" s="114">
        <v>97.401399999999995</v>
      </c>
      <c r="AQ428" s="114">
        <v>97.4512</v>
      </c>
      <c r="AR428" s="114">
        <v>97.284000000000006</v>
      </c>
      <c r="AS428" s="114">
        <v>96.992200000000011</v>
      </c>
      <c r="AT428" s="114">
        <v>97.256897999999993</v>
      </c>
      <c r="AU428" s="114">
        <v>93.253399999999999</v>
      </c>
      <c r="AV428" s="114">
        <v>96.238799999999998</v>
      </c>
      <c r="AW428" s="114">
        <v>96.799000000000007</v>
      </c>
      <c r="AX428" s="114">
        <v>97.026600000000002</v>
      </c>
      <c r="AY428" s="114">
        <v>96.966400000000007</v>
      </c>
      <c r="AZ428" s="114">
        <v>96.80019999999999</v>
      </c>
      <c r="BA428" s="114">
        <v>96.765744000000012</v>
      </c>
      <c r="BB428" s="40">
        <v>43283</v>
      </c>
      <c r="BC428" s="40">
        <v>43388</v>
      </c>
    </row>
    <row r="429" spans="1:55" s="120" customFormat="1" ht="45">
      <c r="A429" s="74" t="s">
        <v>6</v>
      </c>
      <c r="B429" s="67" t="s">
        <v>439</v>
      </c>
      <c r="C429" s="69" t="s">
        <v>10</v>
      </c>
      <c r="D429" s="69" t="s">
        <v>10</v>
      </c>
      <c r="E429" s="43" t="s">
        <v>10</v>
      </c>
      <c r="F429" s="63" t="s">
        <v>11</v>
      </c>
      <c r="G429" s="74" t="s">
        <v>160</v>
      </c>
      <c r="H429" s="35">
        <v>6.05</v>
      </c>
      <c r="I429" s="35">
        <v>240</v>
      </c>
      <c r="J429" s="35">
        <v>97</v>
      </c>
      <c r="K429" s="39" t="s">
        <v>1327</v>
      </c>
      <c r="L429" s="129" t="s">
        <v>520</v>
      </c>
      <c r="M429" s="33" t="s">
        <v>521</v>
      </c>
      <c r="N429" s="40">
        <v>43388</v>
      </c>
      <c r="O429" s="129" t="s">
        <v>520</v>
      </c>
      <c r="P429" s="63" t="s">
        <v>17</v>
      </c>
      <c r="Q429" s="63" t="s">
        <v>17</v>
      </c>
      <c r="R429" s="26"/>
      <c r="S429" s="32" t="s">
        <v>10</v>
      </c>
      <c r="T429" s="32" t="s">
        <v>11</v>
      </c>
      <c r="U429" s="35">
        <v>5.21</v>
      </c>
      <c r="V429" s="35"/>
      <c r="W429" s="35"/>
      <c r="X429" s="35">
        <v>220</v>
      </c>
      <c r="Y429" s="35">
        <v>365</v>
      </c>
      <c r="Z429" s="35">
        <v>480</v>
      </c>
      <c r="AA429" s="103">
        <v>0.61</v>
      </c>
      <c r="AB429" s="103">
        <v>1.21</v>
      </c>
      <c r="AC429" s="103">
        <v>1.82</v>
      </c>
      <c r="AD429" s="103">
        <v>3.03</v>
      </c>
      <c r="AE429" s="103">
        <v>4.54</v>
      </c>
      <c r="AF429" s="103">
        <v>6.05</v>
      </c>
      <c r="AG429" s="103">
        <v>94.7</v>
      </c>
      <c r="AH429" s="103">
        <v>96.3</v>
      </c>
      <c r="AI429" s="103">
        <v>96.6</v>
      </c>
      <c r="AJ429" s="103">
        <v>96.6</v>
      </c>
      <c r="AK429" s="103">
        <v>96.5</v>
      </c>
      <c r="AL429" s="103">
        <v>96.1</v>
      </c>
      <c r="AM429" s="103">
        <v>96.4</v>
      </c>
      <c r="AN429" s="103">
        <v>95.4</v>
      </c>
      <c r="AO429" s="103">
        <v>97.1</v>
      </c>
      <c r="AP429" s="103">
        <v>97.4</v>
      </c>
      <c r="AQ429" s="103">
        <v>97.6</v>
      </c>
      <c r="AR429" s="103">
        <v>97.3</v>
      </c>
      <c r="AS429" s="103">
        <v>97</v>
      </c>
      <c r="AT429" s="103">
        <v>97.3</v>
      </c>
      <c r="AU429" s="103">
        <v>93.4</v>
      </c>
      <c r="AV429" s="103">
        <v>96.5</v>
      </c>
      <c r="AW429" s="103">
        <v>97</v>
      </c>
      <c r="AX429" s="103">
        <v>97.3</v>
      </c>
      <c r="AY429" s="103">
        <v>97.3</v>
      </c>
      <c r="AZ429" s="103">
        <v>97</v>
      </c>
      <c r="BA429" s="103">
        <v>97.1</v>
      </c>
      <c r="BB429" s="40">
        <v>43313</v>
      </c>
      <c r="BC429" s="40">
        <v>43388</v>
      </c>
    </row>
    <row r="430" spans="1:55" s="120" customFormat="1" ht="45">
      <c r="A430" s="41" t="s">
        <v>6</v>
      </c>
      <c r="B430" s="41" t="s">
        <v>812</v>
      </c>
      <c r="C430" s="43" t="s">
        <v>10</v>
      </c>
      <c r="D430" s="43" t="s">
        <v>10</v>
      </c>
      <c r="E430" s="43" t="s">
        <v>10</v>
      </c>
      <c r="F430" s="63" t="s">
        <v>11</v>
      </c>
      <c r="G430" s="41" t="s">
        <v>796</v>
      </c>
      <c r="H430" s="27">
        <v>6.05</v>
      </c>
      <c r="I430" s="109">
        <v>240</v>
      </c>
      <c r="J430" s="27">
        <v>97</v>
      </c>
      <c r="K430" s="39" t="s">
        <v>1327</v>
      </c>
      <c r="L430" s="130" t="s">
        <v>788</v>
      </c>
      <c r="M430" s="110" t="s">
        <v>792</v>
      </c>
      <c r="N430" s="40">
        <v>43388</v>
      </c>
      <c r="O430" s="130" t="s">
        <v>788</v>
      </c>
      <c r="P430" s="63" t="s">
        <v>17</v>
      </c>
      <c r="Q430" s="63" t="s">
        <v>17</v>
      </c>
      <c r="R430" s="112"/>
      <c r="S430" s="111" t="s">
        <v>10</v>
      </c>
      <c r="T430" s="111" t="s">
        <v>11</v>
      </c>
      <c r="U430" s="113">
        <v>5.21</v>
      </c>
      <c r="V430" s="113"/>
      <c r="W430" s="113"/>
      <c r="X430" s="113">
        <v>220</v>
      </c>
      <c r="Y430" s="113">
        <v>365</v>
      </c>
      <c r="Z430" s="113">
        <v>480</v>
      </c>
      <c r="AA430" s="114">
        <v>0.61</v>
      </c>
      <c r="AB430" s="114">
        <v>1.21</v>
      </c>
      <c r="AC430" s="114">
        <v>1.82</v>
      </c>
      <c r="AD430" s="114">
        <v>3.03</v>
      </c>
      <c r="AE430" s="114">
        <v>4.54</v>
      </c>
      <c r="AF430" s="114">
        <v>6.05</v>
      </c>
      <c r="AG430" s="114">
        <v>94.7</v>
      </c>
      <c r="AH430" s="114">
        <v>96.3</v>
      </c>
      <c r="AI430" s="114">
        <v>96.6</v>
      </c>
      <c r="AJ430" s="114">
        <v>96.6</v>
      </c>
      <c r="AK430" s="114">
        <v>96.5</v>
      </c>
      <c r="AL430" s="114">
        <v>96.1</v>
      </c>
      <c r="AM430" s="114">
        <v>96.4</v>
      </c>
      <c r="AN430" s="114">
        <v>95.4</v>
      </c>
      <c r="AO430" s="114">
        <v>97.1</v>
      </c>
      <c r="AP430" s="114">
        <v>97.4</v>
      </c>
      <c r="AQ430" s="114">
        <v>97.6</v>
      </c>
      <c r="AR430" s="114">
        <v>97.3</v>
      </c>
      <c r="AS430" s="114">
        <v>97</v>
      </c>
      <c r="AT430" s="114">
        <v>97.3</v>
      </c>
      <c r="AU430" s="114">
        <v>93.4</v>
      </c>
      <c r="AV430" s="114">
        <v>96.5</v>
      </c>
      <c r="AW430" s="114">
        <v>97</v>
      </c>
      <c r="AX430" s="114">
        <v>97.3</v>
      </c>
      <c r="AY430" s="114">
        <v>97.3</v>
      </c>
      <c r="AZ430" s="114">
        <v>97</v>
      </c>
      <c r="BA430" s="114">
        <v>97.1</v>
      </c>
      <c r="BB430" s="40">
        <v>43313</v>
      </c>
      <c r="BC430" s="40">
        <v>43388</v>
      </c>
    </row>
    <row r="431" spans="1:55" s="120" customFormat="1" ht="45">
      <c r="A431" s="74" t="s">
        <v>6</v>
      </c>
      <c r="B431" s="67" t="s">
        <v>440</v>
      </c>
      <c r="C431" s="69" t="s">
        <v>10</v>
      </c>
      <c r="D431" s="69" t="s">
        <v>10</v>
      </c>
      <c r="E431" s="43" t="s">
        <v>10</v>
      </c>
      <c r="F431" s="63" t="s">
        <v>11</v>
      </c>
      <c r="G431" s="74" t="s">
        <v>161</v>
      </c>
      <c r="H431" s="26">
        <v>6.92</v>
      </c>
      <c r="I431" s="25">
        <v>208</v>
      </c>
      <c r="J431" s="35">
        <v>96.5</v>
      </c>
      <c r="K431" s="39" t="s">
        <v>1327</v>
      </c>
      <c r="L431" s="129" t="s">
        <v>520</v>
      </c>
      <c r="M431" s="33" t="s">
        <v>521</v>
      </c>
      <c r="N431" s="40">
        <v>43388</v>
      </c>
      <c r="O431" s="129" t="s">
        <v>520</v>
      </c>
      <c r="P431" s="63" t="s">
        <v>17</v>
      </c>
      <c r="Q431" s="63" t="s">
        <v>17</v>
      </c>
      <c r="R431" s="26"/>
      <c r="S431" s="32" t="s">
        <v>10</v>
      </c>
      <c r="T431" s="32" t="s">
        <v>11</v>
      </c>
      <c r="U431" s="35">
        <v>5.37</v>
      </c>
      <c r="V431" s="35"/>
      <c r="W431" s="35"/>
      <c r="X431" s="35">
        <v>245</v>
      </c>
      <c r="Y431" s="35">
        <v>365</v>
      </c>
      <c r="Z431" s="35">
        <v>480</v>
      </c>
      <c r="AA431" s="103">
        <v>0.69229200000000013</v>
      </c>
      <c r="AB431" s="103">
        <v>1.3845840000000003</v>
      </c>
      <c r="AC431" s="103">
        <v>2.0768759999999999</v>
      </c>
      <c r="AD431" s="103">
        <v>3.4614600000000002</v>
      </c>
      <c r="AE431" s="103">
        <v>5.1921900000000001</v>
      </c>
      <c r="AF431" s="103">
        <v>6.9229200000000004</v>
      </c>
      <c r="AG431" s="103">
        <v>95.419061703064287</v>
      </c>
      <c r="AH431" s="103">
        <v>96.499658027102697</v>
      </c>
      <c r="AI431" s="103">
        <v>96.88045791135923</v>
      </c>
      <c r="AJ431" s="103">
        <v>96.393086769309974</v>
      </c>
      <c r="AK431" s="103">
        <v>96.129474857598581</v>
      </c>
      <c r="AL431" s="103">
        <v>95.592242556865628</v>
      </c>
      <c r="AM431" s="103">
        <v>96.238182342766436</v>
      </c>
      <c r="AN431" s="103">
        <v>95.353213586067</v>
      </c>
      <c r="AO431" s="103">
        <v>96.662819533921152</v>
      </c>
      <c r="AP431" s="103">
        <v>97.141218412093252</v>
      </c>
      <c r="AQ431" s="103">
        <v>97.042413391199077</v>
      </c>
      <c r="AR431" s="103">
        <v>96.664770711519509</v>
      </c>
      <c r="AS431" s="103">
        <v>96.234566715506347</v>
      </c>
      <c r="AT431" s="103">
        <v>96.727179354622393</v>
      </c>
      <c r="AU431" s="103">
        <v>94.136333765369216</v>
      </c>
      <c r="AV431" s="103">
        <v>96.347477157208587</v>
      </c>
      <c r="AW431" s="103">
        <v>96.676448901531828</v>
      </c>
      <c r="AX431" s="103">
        <v>96.683895373382299</v>
      </c>
      <c r="AY431" s="103">
        <v>96.35230391567147</v>
      </c>
      <c r="AZ431" s="103">
        <v>96.304758321348373</v>
      </c>
      <c r="BA431" s="103">
        <v>96.369578096442609</v>
      </c>
      <c r="BB431" s="40">
        <v>43313</v>
      </c>
      <c r="BC431" s="40">
        <v>43388</v>
      </c>
    </row>
    <row r="432" spans="1:55" s="120" customFormat="1" ht="45">
      <c r="A432" s="41" t="s">
        <v>6</v>
      </c>
      <c r="B432" s="41" t="s">
        <v>813</v>
      </c>
      <c r="C432" s="43" t="s">
        <v>10</v>
      </c>
      <c r="D432" s="43" t="s">
        <v>10</v>
      </c>
      <c r="E432" s="43" t="s">
        <v>10</v>
      </c>
      <c r="F432" s="63" t="s">
        <v>11</v>
      </c>
      <c r="G432" s="41" t="s">
        <v>797</v>
      </c>
      <c r="H432" s="27">
        <v>6.92</v>
      </c>
      <c r="I432" s="109">
        <v>208</v>
      </c>
      <c r="J432" s="27">
        <v>96.5</v>
      </c>
      <c r="K432" s="39" t="s">
        <v>1327</v>
      </c>
      <c r="L432" s="130" t="s">
        <v>788</v>
      </c>
      <c r="M432" s="110" t="s">
        <v>792</v>
      </c>
      <c r="N432" s="40">
        <v>43388</v>
      </c>
      <c r="O432" s="130" t="s">
        <v>788</v>
      </c>
      <c r="P432" s="63" t="s">
        <v>17</v>
      </c>
      <c r="Q432" s="63" t="s">
        <v>17</v>
      </c>
      <c r="R432" s="112"/>
      <c r="S432" s="111" t="s">
        <v>10</v>
      </c>
      <c r="T432" s="111" t="s">
        <v>11</v>
      </c>
      <c r="U432" s="113">
        <v>5.37</v>
      </c>
      <c r="V432" s="113"/>
      <c r="W432" s="113"/>
      <c r="X432" s="113">
        <v>245</v>
      </c>
      <c r="Y432" s="113">
        <v>365</v>
      </c>
      <c r="Z432" s="113">
        <v>480</v>
      </c>
      <c r="AA432" s="114">
        <v>0.69229200000000013</v>
      </c>
      <c r="AB432" s="114">
        <v>1.3845840000000003</v>
      </c>
      <c r="AC432" s="114">
        <v>2.0768759999999999</v>
      </c>
      <c r="AD432" s="114">
        <v>3.4614600000000002</v>
      </c>
      <c r="AE432" s="114">
        <v>5.1921900000000001</v>
      </c>
      <c r="AF432" s="114">
        <v>6.9229200000000004</v>
      </c>
      <c r="AG432" s="114">
        <v>95.419061703064287</v>
      </c>
      <c r="AH432" s="114">
        <v>96.499658027102697</v>
      </c>
      <c r="AI432" s="114">
        <v>96.88045791135923</v>
      </c>
      <c r="AJ432" s="114">
        <v>96.393086769309974</v>
      </c>
      <c r="AK432" s="114">
        <v>96.129474857598581</v>
      </c>
      <c r="AL432" s="114">
        <v>95.592242556865628</v>
      </c>
      <c r="AM432" s="114">
        <v>96.238182342766436</v>
      </c>
      <c r="AN432" s="114">
        <v>95.353213586067</v>
      </c>
      <c r="AO432" s="114">
        <v>96.662819533921152</v>
      </c>
      <c r="AP432" s="114">
        <v>97.141218412093252</v>
      </c>
      <c r="AQ432" s="114">
        <v>97.042413391199077</v>
      </c>
      <c r="AR432" s="114">
        <v>96.664770711519509</v>
      </c>
      <c r="AS432" s="114">
        <v>96.234566715506347</v>
      </c>
      <c r="AT432" s="114">
        <v>96.727179354622393</v>
      </c>
      <c r="AU432" s="114">
        <v>94.136333765369216</v>
      </c>
      <c r="AV432" s="114">
        <v>96.347477157208587</v>
      </c>
      <c r="AW432" s="114">
        <v>96.676448901531828</v>
      </c>
      <c r="AX432" s="114">
        <v>96.683895373382299</v>
      </c>
      <c r="AY432" s="114">
        <v>96.35230391567147</v>
      </c>
      <c r="AZ432" s="114">
        <v>96.304758321348373</v>
      </c>
      <c r="BA432" s="114">
        <v>96.369578096442609</v>
      </c>
      <c r="BB432" s="40">
        <v>43313</v>
      </c>
      <c r="BC432" s="40">
        <v>43388</v>
      </c>
    </row>
    <row r="433" spans="1:55" s="120" customFormat="1" ht="45">
      <c r="A433" s="74" t="s">
        <v>6</v>
      </c>
      <c r="B433" s="67" t="s">
        <v>626</v>
      </c>
      <c r="C433" s="69" t="s">
        <v>10</v>
      </c>
      <c r="D433" s="69" t="s">
        <v>10</v>
      </c>
      <c r="E433" s="43" t="s">
        <v>10</v>
      </c>
      <c r="F433" s="63" t="s">
        <v>11</v>
      </c>
      <c r="G433" s="74" t="s">
        <v>162</v>
      </c>
      <c r="H433" s="35">
        <v>6.92</v>
      </c>
      <c r="I433" s="35">
        <v>208</v>
      </c>
      <c r="J433" s="35">
        <v>96.5</v>
      </c>
      <c r="K433" s="39" t="s">
        <v>1327</v>
      </c>
      <c r="L433" s="129" t="s">
        <v>520</v>
      </c>
      <c r="M433" s="33" t="s">
        <v>521</v>
      </c>
      <c r="N433" s="40">
        <v>43388</v>
      </c>
      <c r="O433" s="129" t="s">
        <v>520</v>
      </c>
      <c r="P433" s="63" t="s">
        <v>17</v>
      </c>
      <c r="Q433" s="63" t="s">
        <v>17</v>
      </c>
      <c r="R433" s="26"/>
      <c r="S433" s="32" t="s">
        <v>10</v>
      </c>
      <c r="T433" s="32" t="s">
        <v>11</v>
      </c>
      <c r="U433" s="35">
        <v>5.37</v>
      </c>
      <c r="V433" s="35"/>
      <c r="W433" s="35"/>
      <c r="X433" s="35">
        <v>270</v>
      </c>
      <c r="Y433" s="35">
        <v>365</v>
      </c>
      <c r="Z433" s="35">
        <v>480</v>
      </c>
      <c r="AA433" s="103">
        <v>0.69229200000000013</v>
      </c>
      <c r="AB433" s="103">
        <v>1.3845840000000003</v>
      </c>
      <c r="AC433" s="103">
        <v>2.0768759999999999</v>
      </c>
      <c r="AD433" s="103">
        <v>3.4614600000000002</v>
      </c>
      <c r="AE433" s="103">
        <v>5.1921900000000001</v>
      </c>
      <c r="AF433" s="103">
        <v>6.9229200000000004</v>
      </c>
      <c r="AG433" s="103">
        <v>95.688053123906386</v>
      </c>
      <c r="AH433" s="103">
        <v>96.710543077634085</v>
      </c>
      <c r="AI433" s="103">
        <v>96.729020288510867</v>
      </c>
      <c r="AJ433" s="103">
        <v>96.53964427594083</v>
      </c>
      <c r="AK433" s="103">
        <v>96.050655840705787</v>
      </c>
      <c r="AL433" s="103">
        <v>95.694674168608302</v>
      </c>
      <c r="AM433" s="103">
        <v>96.235438315411315</v>
      </c>
      <c r="AN433" s="103">
        <v>95.353213586067</v>
      </c>
      <c r="AO433" s="103">
        <v>96.662819533921152</v>
      </c>
      <c r="AP433" s="103">
        <v>97.141218412093252</v>
      </c>
      <c r="AQ433" s="103">
        <v>97.042413391199077</v>
      </c>
      <c r="AR433" s="103">
        <v>96.664770711519509</v>
      </c>
      <c r="AS433" s="103">
        <v>96.234566715506347</v>
      </c>
      <c r="AT433" s="103">
        <v>96.727179354622393</v>
      </c>
      <c r="AU433" s="103">
        <v>94.136333765369216</v>
      </c>
      <c r="AV433" s="103">
        <v>96.347477157208587</v>
      </c>
      <c r="AW433" s="103">
        <v>96.676448901531828</v>
      </c>
      <c r="AX433" s="103">
        <v>96.683895373382299</v>
      </c>
      <c r="AY433" s="103">
        <v>96.35230391567147</v>
      </c>
      <c r="AZ433" s="103">
        <v>96.304758321348373</v>
      </c>
      <c r="BA433" s="103">
        <v>96.369578096442609</v>
      </c>
      <c r="BB433" s="40">
        <v>43313</v>
      </c>
      <c r="BC433" s="40">
        <v>43388</v>
      </c>
    </row>
    <row r="434" spans="1:55" s="120" customFormat="1" ht="45">
      <c r="A434" s="41" t="s">
        <v>6</v>
      </c>
      <c r="B434" s="41" t="s">
        <v>815</v>
      </c>
      <c r="C434" s="43" t="s">
        <v>10</v>
      </c>
      <c r="D434" s="43" t="s">
        <v>10</v>
      </c>
      <c r="E434" s="43" t="s">
        <v>10</v>
      </c>
      <c r="F434" s="63" t="s">
        <v>11</v>
      </c>
      <c r="G434" s="41" t="s">
        <v>799</v>
      </c>
      <c r="H434" s="27">
        <v>6.92</v>
      </c>
      <c r="I434" s="109">
        <v>208</v>
      </c>
      <c r="J434" s="27">
        <v>96.5</v>
      </c>
      <c r="K434" s="39" t="s">
        <v>1327</v>
      </c>
      <c r="L434" s="130" t="s">
        <v>788</v>
      </c>
      <c r="M434" s="110" t="s">
        <v>792</v>
      </c>
      <c r="N434" s="40">
        <v>43388</v>
      </c>
      <c r="O434" s="130" t="s">
        <v>788</v>
      </c>
      <c r="P434" s="63" t="s">
        <v>17</v>
      </c>
      <c r="Q434" s="63" t="s">
        <v>17</v>
      </c>
      <c r="R434" s="112"/>
      <c r="S434" s="111" t="s">
        <v>10</v>
      </c>
      <c r="T434" s="111" t="s">
        <v>11</v>
      </c>
      <c r="U434" s="113">
        <v>5.37</v>
      </c>
      <c r="V434" s="113"/>
      <c r="W434" s="113"/>
      <c r="X434" s="113">
        <v>270</v>
      </c>
      <c r="Y434" s="113">
        <v>365</v>
      </c>
      <c r="Z434" s="113">
        <v>480</v>
      </c>
      <c r="AA434" s="114">
        <v>0.69229200000000013</v>
      </c>
      <c r="AB434" s="114">
        <v>1.3845840000000003</v>
      </c>
      <c r="AC434" s="114">
        <v>2.0768759999999999</v>
      </c>
      <c r="AD434" s="114">
        <v>3.4614600000000002</v>
      </c>
      <c r="AE434" s="114">
        <v>5.1921900000000001</v>
      </c>
      <c r="AF434" s="114">
        <v>6.9229200000000004</v>
      </c>
      <c r="AG434" s="114">
        <v>95.688053123906386</v>
      </c>
      <c r="AH434" s="114">
        <v>96.710543077634085</v>
      </c>
      <c r="AI434" s="114">
        <v>96.729020288510867</v>
      </c>
      <c r="AJ434" s="114">
        <v>96.53964427594083</v>
      </c>
      <c r="AK434" s="114">
        <v>96.050655840705787</v>
      </c>
      <c r="AL434" s="114">
        <v>95.694674168608302</v>
      </c>
      <c r="AM434" s="114">
        <v>96.235438315411315</v>
      </c>
      <c r="AN434" s="114">
        <v>95.353213586067</v>
      </c>
      <c r="AO434" s="114">
        <v>96.662819533921152</v>
      </c>
      <c r="AP434" s="114">
        <v>97.141218412093252</v>
      </c>
      <c r="AQ434" s="114">
        <v>97.042413391199077</v>
      </c>
      <c r="AR434" s="114">
        <v>96.664770711519509</v>
      </c>
      <c r="AS434" s="114">
        <v>96.234566715506347</v>
      </c>
      <c r="AT434" s="114">
        <v>96.727179354622393</v>
      </c>
      <c r="AU434" s="114">
        <v>94.136333765369216</v>
      </c>
      <c r="AV434" s="114">
        <v>96.347477157208587</v>
      </c>
      <c r="AW434" s="114">
        <v>96.676448901531828</v>
      </c>
      <c r="AX434" s="114">
        <v>96.683895373382299</v>
      </c>
      <c r="AY434" s="114">
        <v>96.35230391567147</v>
      </c>
      <c r="AZ434" s="114">
        <v>96.304758321348373</v>
      </c>
      <c r="BA434" s="114">
        <v>96.369578096442609</v>
      </c>
      <c r="BB434" s="40">
        <v>43313</v>
      </c>
      <c r="BC434" s="40">
        <v>43388</v>
      </c>
    </row>
    <row r="435" spans="1:55" s="120" customFormat="1" ht="45">
      <c r="A435" s="74" t="s">
        <v>6</v>
      </c>
      <c r="B435" s="67" t="s">
        <v>442</v>
      </c>
      <c r="C435" s="69" t="s">
        <v>10</v>
      </c>
      <c r="D435" s="69" t="s">
        <v>10</v>
      </c>
      <c r="E435" s="43" t="s">
        <v>10</v>
      </c>
      <c r="F435" s="63" t="s">
        <v>11</v>
      </c>
      <c r="G435" s="74" t="s">
        <v>163</v>
      </c>
      <c r="H435" s="26">
        <v>7.1</v>
      </c>
      <c r="I435" s="25">
        <v>240</v>
      </c>
      <c r="J435" s="26">
        <v>97</v>
      </c>
      <c r="K435" s="39" t="s">
        <v>1327</v>
      </c>
      <c r="L435" s="129" t="s">
        <v>520</v>
      </c>
      <c r="M435" s="33" t="s">
        <v>521</v>
      </c>
      <c r="N435" s="40">
        <v>43388</v>
      </c>
      <c r="O435" s="129" t="s">
        <v>520</v>
      </c>
      <c r="P435" s="63" t="s">
        <v>17</v>
      </c>
      <c r="Q435" s="63" t="s">
        <v>17</v>
      </c>
      <c r="R435" s="26"/>
      <c r="S435" s="32" t="s">
        <v>10</v>
      </c>
      <c r="T435" s="32" t="s">
        <v>11</v>
      </c>
      <c r="U435" s="35">
        <v>5.0999999999999996</v>
      </c>
      <c r="V435" s="35"/>
      <c r="W435" s="35"/>
      <c r="X435" s="35">
        <v>245</v>
      </c>
      <c r="Y435" s="35">
        <v>365</v>
      </c>
      <c r="Z435" s="35">
        <v>480</v>
      </c>
      <c r="AA435" s="103">
        <v>0.70972800000000003</v>
      </c>
      <c r="AB435" s="103">
        <v>1.4194560000000001</v>
      </c>
      <c r="AC435" s="103">
        <v>2.129184</v>
      </c>
      <c r="AD435" s="103">
        <v>3.5486399999999998</v>
      </c>
      <c r="AE435" s="103">
        <v>5.3229600000000001</v>
      </c>
      <c r="AF435" s="103">
        <v>7.0972799999999996</v>
      </c>
      <c r="AG435" s="103">
        <v>95.102458703405631</v>
      </c>
      <c r="AH435" s="103">
        <v>96.528916978526041</v>
      </c>
      <c r="AI435" s="103">
        <v>96.628576656752571</v>
      </c>
      <c r="AJ435" s="103">
        <v>96.745284419395801</v>
      </c>
      <c r="AK435" s="103">
        <v>96.520188282400156</v>
      </c>
      <c r="AL435" s="103">
        <v>96.06756094030321</v>
      </c>
      <c r="AM435" s="103">
        <v>96.501560960633199</v>
      </c>
      <c r="AN435" s="103">
        <v>95.720680528733837</v>
      </c>
      <c r="AO435" s="103">
        <v>97.412913400576855</v>
      </c>
      <c r="AP435" s="103">
        <v>97.49429474759863</v>
      </c>
      <c r="AQ435" s="103">
        <v>97.399367740480358</v>
      </c>
      <c r="AR435" s="103">
        <v>96.979143362181489</v>
      </c>
      <c r="AS435" s="103">
        <v>96.517274883002116</v>
      </c>
      <c r="AT435" s="103">
        <v>97.077465212497202</v>
      </c>
      <c r="AU435" s="103">
        <v>93.761096157212492</v>
      </c>
      <c r="AV435" s="103">
        <v>96.549548112626141</v>
      </c>
      <c r="AW435" s="103">
        <v>96.90964628936652</v>
      </c>
      <c r="AX435" s="103">
        <v>97.192345206813769</v>
      </c>
      <c r="AY435" s="103">
        <v>96.999613688267388</v>
      </c>
      <c r="AZ435" s="103">
        <v>96.667718847050196</v>
      </c>
      <c r="BA435" s="103">
        <v>96.860652497208903</v>
      </c>
      <c r="BB435" s="40">
        <v>43313</v>
      </c>
      <c r="BC435" s="40">
        <v>43388</v>
      </c>
    </row>
    <row r="436" spans="1:55" s="120" customFormat="1" ht="45">
      <c r="A436" s="41" t="s">
        <v>6</v>
      </c>
      <c r="B436" s="41" t="s">
        <v>814</v>
      </c>
      <c r="C436" s="43" t="s">
        <v>10</v>
      </c>
      <c r="D436" s="43" t="s">
        <v>10</v>
      </c>
      <c r="E436" s="43" t="s">
        <v>10</v>
      </c>
      <c r="F436" s="63" t="s">
        <v>11</v>
      </c>
      <c r="G436" s="41" t="s">
        <v>798</v>
      </c>
      <c r="H436" s="27">
        <v>7.1</v>
      </c>
      <c r="I436" s="109">
        <v>240</v>
      </c>
      <c r="J436" s="27">
        <v>97</v>
      </c>
      <c r="K436" s="39" t="s">
        <v>1327</v>
      </c>
      <c r="L436" s="130" t="s">
        <v>788</v>
      </c>
      <c r="M436" s="110" t="s">
        <v>792</v>
      </c>
      <c r="N436" s="40">
        <v>43388</v>
      </c>
      <c r="O436" s="130" t="s">
        <v>788</v>
      </c>
      <c r="P436" s="63" t="s">
        <v>17</v>
      </c>
      <c r="Q436" s="63" t="s">
        <v>17</v>
      </c>
      <c r="R436" s="112"/>
      <c r="S436" s="111" t="s">
        <v>10</v>
      </c>
      <c r="T436" s="111" t="s">
        <v>11</v>
      </c>
      <c r="U436" s="113">
        <v>5.0999999999999996</v>
      </c>
      <c r="V436" s="113"/>
      <c r="W436" s="113"/>
      <c r="X436" s="113">
        <v>245</v>
      </c>
      <c r="Y436" s="113">
        <v>365</v>
      </c>
      <c r="Z436" s="113">
        <v>480</v>
      </c>
      <c r="AA436" s="114">
        <v>0.70972800000000003</v>
      </c>
      <c r="AB436" s="114">
        <v>1.4194560000000001</v>
      </c>
      <c r="AC436" s="114">
        <v>2.129184</v>
      </c>
      <c r="AD436" s="114">
        <v>3.5486399999999998</v>
      </c>
      <c r="AE436" s="114">
        <v>5.3229600000000001</v>
      </c>
      <c r="AF436" s="114">
        <v>7.0972799999999996</v>
      </c>
      <c r="AG436" s="114">
        <v>95.102458703405631</v>
      </c>
      <c r="AH436" s="114">
        <v>96.528916978526041</v>
      </c>
      <c r="AI436" s="114">
        <v>96.628576656752571</v>
      </c>
      <c r="AJ436" s="114">
        <v>96.745284419395801</v>
      </c>
      <c r="AK436" s="114">
        <v>96.520188282400156</v>
      </c>
      <c r="AL436" s="114">
        <v>96.06756094030321</v>
      </c>
      <c r="AM436" s="114">
        <v>96.501560960633199</v>
      </c>
      <c r="AN436" s="114">
        <v>95.720680528733837</v>
      </c>
      <c r="AO436" s="114">
        <v>97.412913400576855</v>
      </c>
      <c r="AP436" s="114">
        <v>97.49429474759863</v>
      </c>
      <c r="AQ436" s="114">
        <v>97.399367740480358</v>
      </c>
      <c r="AR436" s="114">
        <v>96.979143362181489</v>
      </c>
      <c r="AS436" s="114">
        <v>96.517274883002116</v>
      </c>
      <c r="AT436" s="114">
        <v>97.077465212497202</v>
      </c>
      <c r="AU436" s="114">
        <v>93.761096157212492</v>
      </c>
      <c r="AV436" s="114">
        <v>96.549548112626141</v>
      </c>
      <c r="AW436" s="114">
        <v>96.90964628936652</v>
      </c>
      <c r="AX436" s="114">
        <v>97.192345206813769</v>
      </c>
      <c r="AY436" s="114">
        <v>96.999613688267388</v>
      </c>
      <c r="AZ436" s="114">
        <v>96.667718847050196</v>
      </c>
      <c r="BA436" s="114">
        <v>96.860652497208903</v>
      </c>
      <c r="BB436" s="40">
        <v>43313</v>
      </c>
      <c r="BC436" s="40">
        <v>43388</v>
      </c>
    </row>
    <row r="437" spans="1:55" s="120" customFormat="1" ht="45">
      <c r="A437" s="74" t="s">
        <v>6</v>
      </c>
      <c r="B437" s="67" t="s">
        <v>441</v>
      </c>
      <c r="C437" s="69" t="s">
        <v>10</v>
      </c>
      <c r="D437" s="69" t="s">
        <v>10</v>
      </c>
      <c r="E437" s="43" t="s">
        <v>10</v>
      </c>
      <c r="F437" s="63" t="s">
        <v>11</v>
      </c>
      <c r="G437" s="74" t="s">
        <v>164</v>
      </c>
      <c r="H437" s="26">
        <v>7.76</v>
      </c>
      <c r="I437" s="25">
        <v>240</v>
      </c>
      <c r="J437" s="26">
        <v>97</v>
      </c>
      <c r="K437" s="39" t="s">
        <v>1327</v>
      </c>
      <c r="L437" s="129" t="s">
        <v>520</v>
      </c>
      <c r="M437" s="33" t="s">
        <v>521</v>
      </c>
      <c r="N437" s="40">
        <v>43388</v>
      </c>
      <c r="O437" s="129" t="s">
        <v>520</v>
      </c>
      <c r="P437" s="63" t="s">
        <v>17</v>
      </c>
      <c r="Q437" s="63" t="s">
        <v>17</v>
      </c>
      <c r="R437" s="26"/>
      <c r="S437" s="32" t="s">
        <v>10</v>
      </c>
      <c r="T437" s="32" t="s">
        <v>11</v>
      </c>
      <c r="U437" s="35">
        <v>5.0999999999999996</v>
      </c>
      <c r="V437" s="35"/>
      <c r="W437" s="35"/>
      <c r="X437" s="35">
        <v>270</v>
      </c>
      <c r="Y437" s="35">
        <v>365</v>
      </c>
      <c r="Z437" s="35">
        <v>480</v>
      </c>
      <c r="AA437" s="103">
        <v>0.77580000000000005</v>
      </c>
      <c r="AB437" s="103">
        <v>1.5516000000000001</v>
      </c>
      <c r="AC437" s="103">
        <v>2.3273999999999999</v>
      </c>
      <c r="AD437" s="103">
        <v>3.879</v>
      </c>
      <c r="AE437" s="103">
        <v>5.8185000000000002</v>
      </c>
      <c r="AF437" s="103">
        <v>7.758</v>
      </c>
      <c r="AG437" s="103">
        <v>95.659488070726908</v>
      </c>
      <c r="AH437" s="103">
        <v>96.757391309155807</v>
      </c>
      <c r="AI437" s="103">
        <v>97.078301472709839</v>
      </c>
      <c r="AJ437" s="103">
        <v>96.947842323174768</v>
      </c>
      <c r="AK437" s="103">
        <v>96.535665461330566</v>
      </c>
      <c r="AL437" s="103">
        <v>96.009484388608314</v>
      </c>
      <c r="AM437" s="103">
        <v>96.637069066814362</v>
      </c>
      <c r="AN437" s="103">
        <v>96.032054518718382</v>
      </c>
      <c r="AO437" s="103">
        <v>97.522955729246149</v>
      </c>
      <c r="AP437" s="103">
        <v>97.442724867789281</v>
      </c>
      <c r="AQ437" s="103">
        <v>97.314559365868078</v>
      </c>
      <c r="AR437" s="103">
        <v>96.787686223418859</v>
      </c>
      <c r="AS437" s="103">
        <v>96.345625620524885</v>
      </c>
      <c r="AT437" s="103">
        <v>96.961369397616281</v>
      </c>
      <c r="AU437" s="103">
        <v>94.682466000905563</v>
      </c>
      <c r="AV437" s="103">
        <v>96.825185000365011</v>
      </c>
      <c r="AW437" s="103">
        <v>97.02358533214047</v>
      </c>
      <c r="AX437" s="103">
        <v>97.192345206813769</v>
      </c>
      <c r="AY437" s="103">
        <v>96.875075175305284</v>
      </c>
      <c r="AZ437" s="103">
        <v>96.728412801633681</v>
      </c>
      <c r="BA437" s="103">
        <v>96.861991106335708</v>
      </c>
      <c r="BB437" s="40">
        <v>43313</v>
      </c>
      <c r="BC437" s="40">
        <v>43388</v>
      </c>
    </row>
    <row r="438" spans="1:55" s="120" customFormat="1" ht="45">
      <c r="A438" s="41" t="s">
        <v>6</v>
      </c>
      <c r="B438" s="41" t="s">
        <v>816</v>
      </c>
      <c r="C438" s="43" t="s">
        <v>10</v>
      </c>
      <c r="D438" s="43" t="s">
        <v>10</v>
      </c>
      <c r="E438" s="43" t="s">
        <v>10</v>
      </c>
      <c r="F438" s="63" t="s">
        <v>11</v>
      </c>
      <c r="G438" s="41" t="s">
        <v>800</v>
      </c>
      <c r="H438" s="27">
        <v>7.76</v>
      </c>
      <c r="I438" s="109">
        <v>240</v>
      </c>
      <c r="J438" s="27">
        <v>97</v>
      </c>
      <c r="K438" s="39" t="s">
        <v>1327</v>
      </c>
      <c r="L438" s="130" t="s">
        <v>788</v>
      </c>
      <c r="M438" s="110" t="s">
        <v>792</v>
      </c>
      <c r="N438" s="40">
        <v>43388</v>
      </c>
      <c r="O438" s="130" t="s">
        <v>788</v>
      </c>
      <c r="P438" s="63" t="s">
        <v>17</v>
      </c>
      <c r="Q438" s="63" t="s">
        <v>17</v>
      </c>
      <c r="R438" s="112"/>
      <c r="S438" s="111" t="s">
        <v>10</v>
      </c>
      <c r="T438" s="111" t="s">
        <v>11</v>
      </c>
      <c r="U438" s="113">
        <v>5.0999999999999996</v>
      </c>
      <c r="V438" s="113"/>
      <c r="W438" s="113"/>
      <c r="X438" s="113">
        <v>270</v>
      </c>
      <c r="Y438" s="113">
        <v>365</v>
      </c>
      <c r="Z438" s="113">
        <v>480</v>
      </c>
      <c r="AA438" s="114">
        <v>0.77580000000000005</v>
      </c>
      <c r="AB438" s="114">
        <v>1.5516000000000001</v>
      </c>
      <c r="AC438" s="114">
        <v>2.3273999999999999</v>
      </c>
      <c r="AD438" s="114">
        <v>3.879</v>
      </c>
      <c r="AE438" s="114">
        <v>5.8185000000000002</v>
      </c>
      <c r="AF438" s="114">
        <v>7.758</v>
      </c>
      <c r="AG438" s="114">
        <v>95.659488070726908</v>
      </c>
      <c r="AH438" s="114">
        <v>96.757391309155807</v>
      </c>
      <c r="AI438" s="114">
        <v>97.078301472709839</v>
      </c>
      <c r="AJ438" s="114">
        <v>96.947842323174768</v>
      </c>
      <c r="AK438" s="114">
        <v>96.535665461330566</v>
      </c>
      <c r="AL438" s="114">
        <v>96.009484388608314</v>
      </c>
      <c r="AM438" s="114">
        <v>96.637069066814362</v>
      </c>
      <c r="AN438" s="114">
        <v>96.032054518718382</v>
      </c>
      <c r="AO438" s="114">
        <v>97.522955729246149</v>
      </c>
      <c r="AP438" s="114">
        <v>97.442724867789281</v>
      </c>
      <c r="AQ438" s="114">
        <v>97.314559365868078</v>
      </c>
      <c r="AR438" s="114">
        <v>96.787686223418859</v>
      </c>
      <c r="AS438" s="114">
        <v>96.345625620524885</v>
      </c>
      <c r="AT438" s="114">
        <v>96.961369397616281</v>
      </c>
      <c r="AU438" s="114">
        <v>94.682466000905563</v>
      </c>
      <c r="AV438" s="114">
        <v>96.825185000365011</v>
      </c>
      <c r="AW438" s="114">
        <v>97.02358533214047</v>
      </c>
      <c r="AX438" s="114">
        <v>97.192345206813769</v>
      </c>
      <c r="AY438" s="114">
        <v>96.875075175305284</v>
      </c>
      <c r="AZ438" s="114">
        <v>96.728412801633681</v>
      </c>
      <c r="BA438" s="114">
        <v>96.861991106335708</v>
      </c>
      <c r="BB438" s="40">
        <v>43313</v>
      </c>
      <c r="BC438" s="40">
        <v>43388</v>
      </c>
    </row>
    <row r="439" spans="1:55" s="120" customFormat="1" ht="45">
      <c r="A439" s="41" t="s">
        <v>6</v>
      </c>
      <c r="B439" s="41" t="s">
        <v>1155</v>
      </c>
      <c r="C439" s="43" t="s">
        <v>10</v>
      </c>
      <c r="D439" s="43" t="s">
        <v>10</v>
      </c>
      <c r="E439" s="43" t="s">
        <v>10</v>
      </c>
      <c r="F439" s="63" t="s">
        <v>11</v>
      </c>
      <c r="G439" s="41" t="s">
        <v>165</v>
      </c>
      <c r="H439" s="27">
        <v>12</v>
      </c>
      <c r="I439" s="29">
        <v>480</v>
      </c>
      <c r="J439" s="27">
        <v>97.5</v>
      </c>
      <c r="K439" s="39" t="s">
        <v>1327</v>
      </c>
      <c r="L439" s="130" t="s">
        <v>522</v>
      </c>
      <c r="M439" s="38" t="s">
        <v>523</v>
      </c>
      <c r="N439" s="40">
        <v>43388</v>
      </c>
      <c r="O439" s="130" t="s">
        <v>522</v>
      </c>
      <c r="P439" s="63" t="s">
        <v>17</v>
      </c>
      <c r="Q439" s="63" t="s">
        <v>17</v>
      </c>
      <c r="R439" s="30"/>
      <c r="S439" s="31" t="s">
        <v>10</v>
      </c>
      <c r="T439" s="31" t="s">
        <v>11</v>
      </c>
      <c r="U439" s="35">
        <v>1.79</v>
      </c>
      <c r="V439" s="35"/>
      <c r="W439" s="35"/>
      <c r="X439" s="35">
        <v>300</v>
      </c>
      <c r="Y439" s="35">
        <v>675</v>
      </c>
      <c r="Z439" s="35">
        <v>800</v>
      </c>
      <c r="AA439" s="103">
        <v>1.2000000000000002</v>
      </c>
      <c r="AB439" s="103">
        <v>2.4000000000000004</v>
      </c>
      <c r="AC439" s="103">
        <v>3.5999999999999996</v>
      </c>
      <c r="AD439" s="103">
        <v>6</v>
      </c>
      <c r="AE439" s="103">
        <v>9</v>
      </c>
      <c r="AF439" s="103">
        <v>12</v>
      </c>
      <c r="AG439" s="103">
        <v>92.894674644817883</v>
      </c>
      <c r="AH439" s="103">
        <v>95.825371847114951</v>
      </c>
      <c r="AI439" s="103">
        <v>96.49457533743761</v>
      </c>
      <c r="AJ439" s="103">
        <v>96.690700406340042</v>
      </c>
      <c r="AK439" s="103">
        <v>96.627312947730815</v>
      </c>
      <c r="AL439" s="103">
        <v>96.507013910909436</v>
      </c>
      <c r="AM439" s="103">
        <v>96.429278261815185</v>
      </c>
      <c r="AN439" s="103">
        <v>94.885736215076193</v>
      </c>
      <c r="AO439" s="103">
        <v>96.883040483522223</v>
      </c>
      <c r="AP439" s="103">
        <v>97.494372087983805</v>
      </c>
      <c r="AQ439" s="103">
        <v>97.777000604401067</v>
      </c>
      <c r="AR439" s="103">
        <v>97.832115333209018</v>
      </c>
      <c r="AS439" s="103">
        <v>97.811357024005105</v>
      </c>
      <c r="AT439" s="103">
        <v>97.613665228062487</v>
      </c>
      <c r="AU439" s="103">
        <v>94.154840052277819</v>
      </c>
      <c r="AV439" s="103">
        <v>97.204030409030267</v>
      </c>
      <c r="AW439" s="103">
        <v>97.700750214004856</v>
      </c>
      <c r="AX439" s="103">
        <v>98.014008962786292</v>
      </c>
      <c r="AY439" s="103">
        <v>98.183788377033963</v>
      </c>
      <c r="AZ439" s="103">
        <v>98.189784411397596</v>
      </c>
      <c r="BA439" s="103">
        <v>97.880324090806212</v>
      </c>
      <c r="BB439" s="40">
        <v>43313</v>
      </c>
      <c r="BC439" s="40">
        <v>43388</v>
      </c>
    </row>
    <row r="440" spans="1:55" s="120" customFormat="1" ht="45">
      <c r="A440" s="41" t="s">
        <v>6</v>
      </c>
      <c r="B440" s="41" t="s">
        <v>1156</v>
      </c>
      <c r="C440" s="43" t="s">
        <v>10</v>
      </c>
      <c r="D440" s="43" t="s">
        <v>10</v>
      </c>
      <c r="E440" s="43" t="s">
        <v>10</v>
      </c>
      <c r="F440" s="63" t="s">
        <v>11</v>
      </c>
      <c r="G440" s="41" t="s">
        <v>166</v>
      </c>
      <c r="H440" s="27">
        <v>15</v>
      </c>
      <c r="I440" s="29">
        <v>480</v>
      </c>
      <c r="J440" s="27">
        <v>97.5</v>
      </c>
      <c r="K440" s="39" t="s">
        <v>1327</v>
      </c>
      <c r="L440" s="130" t="s">
        <v>522</v>
      </c>
      <c r="M440" s="38" t="s">
        <v>523</v>
      </c>
      <c r="N440" s="40">
        <v>43388</v>
      </c>
      <c r="O440" s="130" t="s">
        <v>522</v>
      </c>
      <c r="P440" s="63" t="s">
        <v>17</v>
      </c>
      <c r="Q440" s="63" t="s">
        <v>17</v>
      </c>
      <c r="R440" s="30"/>
      <c r="S440" s="31" t="s">
        <v>10</v>
      </c>
      <c r="T440" s="31" t="s">
        <v>11</v>
      </c>
      <c r="U440" s="35">
        <v>1.79</v>
      </c>
      <c r="V440" s="35"/>
      <c r="W440" s="35"/>
      <c r="X440" s="35">
        <v>300</v>
      </c>
      <c r="Y440" s="35">
        <v>675</v>
      </c>
      <c r="Z440" s="35">
        <v>800</v>
      </c>
      <c r="AA440" s="103">
        <v>1.5</v>
      </c>
      <c r="AB440" s="103">
        <v>3</v>
      </c>
      <c r="AC440" s="103">
        <v>4.5</v>
      </c>
      <c r="AD440" s="103">
        <v>7.5</v>
      </c>
      <c r="AE440" s="103">
        <v>11.25</v>
      </c>
      <c r="AF440" s="103">
        <v>15</v>
      </c>
      <c r="AG440" s="103">
        <v>93.855655768325036</v>
      </c>
      <c r="AH440" s="103">
        <v>96.220132968022185</v>
      </c>
      <c r="AI440" s="103">
        <v>96.731415475995405</v>
      </c>
      <c r="AJ440" s="103">
        <v>96.662686184447367</v>
      </c>
      <c r="AK440" s="103">
        <v>96.525350018358225</v>
      </c>
      <c r="AL440" s="103">
        <v>96.347074199043405</v>
      </c>
      <c r="AM440" s="103">
        <v>96.447956054669547</v>
      </c>
      <c r="AN440" s="103">
        <v>95.495928692020158</v>
      </c>
      <c r="AO440" s="103">
        <v>97.192892755040859</v>
      </c>
      <c r="AP440" s="103">
        <v>97.796289926240703</v>
      </c>
      <c r="AQ440" s="103">
        <v>97.802899005800356</v>
      </c>
      <c r="AR440" s="103">
        <v>97.832975895750408</v>
      </c>
      <c r="AS440" s="103">
        <v>97.777428409336565</v>
      </c>
      <c r="AT440" s="103">
        <v>97.693994013014347</v>
      </c>
      <c r="AU440" s="103">
        <v>95.552946082935037</v>
      </c>
      <c r="AV440" s="103">
        <v>97.515080368134008</v>
      </c>
      <c r="AW440" s="103">
        <v>97.923591757588014</v>
      </c>
      <c r="AX440" s="103">
        <v>98.172996722782088</v>
      </c>
      <c r="AY440" s="103">
        <v>98.214818639191321</v>
      </c>
      <c r="AZ440" s="103">
        <v>98.157219501191648</v>
      </c>
      <c r="BA440" s="103">
        <v>98.02674703824988</v>
      </c>
      <c r="BB440" s="40">
        <v>43313</v>
      </c>
      <c r="BC440" s="40">
        <v>43388</v>
      </c>
    </row>
    <row r="441" spans="1:55" s="120" customFormat="1" ht="45">
      <c r="A441" s="41" t="s">
        <v>6</v>
      </c>
      <c r="B441" s="41" t="s">
        <v>1157</v>
      </c>
      <c r="C441" s="43" t="s">
        <v>10</v>
      </c>
      <c r="D441" s="43" t="s">
        <v>10</v>
      </c>
      <c r="E441" s="43" t="s">
        <v>10</v>
      </c>
      <c r="F441" s="63" t="s">
        <v>11</v>
      </c>
      <c r="G441" s="41" t="s">
        <v>167</v>
      </c>
      <c r="H441" s="27">
        <v>20</v>
      </c>
      <c r="I441" s="29">
        <v>480</v>
      </c>
      <c r="J441" s="27">
        <v>97.5</v>
      </c>
      <c r="K441" s="39" t="s">
        <v>1327</v>
      </c>
      <c r="L441" s="130" t="s">
        <v>522</v>
      </c>
      <c r="M441" s="38" t="s">
        <v>523</v>
      </c>
      <c r="N441" s="40">
        <v>43388</v>
      </c>
      <c r="O441" s="130" t="s">
        <v>522</v>
      </c>
      <c r="P441" s="63" t="s">
        <v>17</v>
      </c>
      <c r="Q441" s="63" t="s">
        <v>17</v>
      </c>
      <c r="R441" s="30"/>
      <c r="S441" s="31" t="s">
        <v>10</v>
      </c>
      <c r="T441" s="31" t="s">
        <v>11</v>
      </c>
      <c r="U441" s="35">
        <v>1.79</v>
      </c>
      <c r="V441" s="35"/>
      <c r="W441" s="35"/>
      <c r="X441" s="35">
        <v>380</v>
      </c>
      <c r="Y441" s="35">
        <v>695</v>
      </c>
      <c r="Z441" s="35">
        <v>800</v>
      </c>
      <c r="AA441" s="103">
        <v>2</v>
      </c>
      <c r="AB441" s="103">
        <v>4</v>
      </c>
      <c r="AC441" s="103">
        <v>6</v>
      </c>
      <c r="AD441" s="103">
        <v>10</v>
      </c>
      <c r="AE441" s="103">
        <v>15</v>
      </c>
      <c r="AF441" s="103">
        <v>20</v>
      </c>
      <c r="AG441" s="103">
        <v>95.166002573680657</v>
      </c>
      <c r="AH441" s="103">
        <v>96.960461207919593</v>
      </c>
      <c r="AI441" s="103">
        <v>97.206210307973649</v>
      </c>
      <c r="AJ441" s="103">
        <v>97.083526385263212</v>
      </c>
      <c r="AK441" s="103">
        <v>96.934118174722499</v>
      </c>
      <c r="AL441" s="103">
        <v>96.705141513761617</v>
      </c>
      <c r="AM441" s="103">
        <v>96.917288649496328</v>
      </c>
      <c r="AN441" s="103">
        <v>97.228849010193727</v>
      </c>
      <c r="AO441" s="103">
        <v>98.289481853362432</v>
      </c>
      <c r="AP441" s="103">
        <v>98.509907734190421</v>
      </c>
      <c r="AQ441" s="103">
        <v>98.548489172388329</v>
      </c>
      <c r="AR441" s="103">
        <v>97.836810327646688</v>
      </c>
      <c r="AS441" s="103">
        <v>97.705085096687185</v>
      </c>
      <c r="AT441" s="103">
        <v>98.058763435867391</v>
      </c>
      <c r="AU441" s="103">
        <v>96.492868266958425</v>
      </c>
      <c r="AV441" s="103">
        <v>97.86877684687623</v>
      </c>
      <c r="AW441" s="103">
        <v>98.130627177880115</v>
      </c>
      <c r="AX441" s="103">
        <v>98.219804322689427</v>
      </c>
      <c r="AY441" s="103">
        <v>98.174642673551418</v>
      </c>
      <c r="AZ441" s="103">
        <v>98.04215458277919</v>
      </c>
      <c r="BA441" s="103">
        <v>98.089656088253761</v>
      </c>
      <c r="BB441" s="40">
        <v>43313</v>
      </c>
      <c r="BC441" s="40">
        <v>43388</v>
      </c>
    </row>
    <row r="442" spans="1:55" s="120" customFormat="1" ht="45">
      <c r="A442" s="41" t="s">
        <v>6</v>
      </c>
      <c r="B442" s="41" t="s">
        <v>443</v>
      </c>
      <c r="C442" s="63" t="s">
        <v>10</v>
      </c>
      <c r="D442" s="63" t="s">
        <v>10</v>
      </c>
      <c r="E442" s="43" t="s">
        <v>10</v>
      </c>
      <c r="F442" s="63" t="s">
        <v>11</v>
      </c>
      <c r="G442" s="41" t="s">
        <v>168</v>
      </c>
      <c r="H442" s="27">
        <v>24.06</v>
      </c>
      <c r="I442" s="29">
        <v>480</v>
      </c>
      <c r="J442" s="27">
        <v>98</v>
      </c>
      <c r="K442" s="39" t="s">
        <v>1327</v>
      </c>
      <c r="L442" s="130" t="s">
        <v>522</v>
      </c>
      <c r="M442" s="38" t="s">
        <v>523</v>
      </c>
      <c r="N442" s="40">
        <v>43388</v>
      </c>
      <c r="O442" s="130" t="s">
        <v>522</v>
      </c>
      <c r="P442" s="63" t="s">
        <v>17</v>
      </c>
      <c r="Q442" s="63" t="s">
        <v>17</v>
      </c>
      <c r="R442" s="30"/>
      <c r="S442" s="31" t="s">
        <v>10</v>
      </c>
      <c r="T442" s="31" t="s">
        <v>11</v>
      </c>
      <c r="U442" s="35">
        <v>1.79</v>
      </c>
      <c r="V442" s="35"/>
      <c r="W442" s="35"/>
      <c r="X442" s="35">
        <v>450</v>
      </c>
      <c r="Y442" s="35">
        <v>712</v>
      </c>
      <c r="Z442" s="35">
        <v>800</v>
      </c>
      <c r="AA442" s="103">
        <v>2.4060000000000001</v>
      </c>
      <c r="AB442" s="103">
        <v>4.8120000000000003</v>
      </c>
      <c r="AC442" s="103">
        <v>7.2179999999999991</v>
      </c>
      <c r="AD442" s="103">
        <v>12.03</v>
      </c>
      <c r="AE442" s="103">
        <v>18.044999999999998</v>
      </c>
      <c r="AF442" s="103">
        <v>24.06</v>
      </c>
      <c r="AG442" s="103">
        <v>96.082505616067209</v>
      </c>
      <c r="AH442" s="103">
        <v>97.424181190564596</v>
      </c>
      <c r="AI442" s="103">
        <v>97.444656931781154</v>
      </c>
      <c r="AJ442" s="103">
        <v>97.315063669223932</v>
      </c>
      <c r="AK442" s="103">
        <v>97.122156907959265</v>
      </c>
      <c r="AL442" s="103">
        <v>96.865885453167053</v>
      </c>
      <c r="AM442" s="103">
        <v>97.162068920398454</v>
      </c>
      <c r="AN442" s="103">
        <v>97.45990452259629</v>
      </c>
      <c r="AO442" s="103">
        <v>98.348028973855392</v>
      </c>
      <c r="AP442" s="103">
        <v>98.503124414275888</v>
      </c>
      <c r="AQ442" s="103">
        <v>98.531362070230031</v>
      </c>
      <c r="AR442" s="103">
        <v>98.435119435359169</v>
      </c>
      <c r="AS442" s="103">
        <v>98.266514886637623</v>
      </c>
      <c r="AT442" s="103">
        <v>98.411697639130281</v>
      </c>
      <c r="AU442" s="103">
        <v>96.909942056488973</v>
      </c>
      <c r="AV442" s="103">
        <v>98.004925627161398</v>
      </c>
      <c r="AW442" s="103">
        <v>98.188558637442924</v>
      </c>
      <c r="AX442" s="103">
        <v>98.204070345596193</v>
      </c>
      <c r="AY442" s="103">
        <v>98.076628570877034</v>
      </c>
      <c r="AZ442" s="103">
        <v>97.882251177120239</v>
      </c>
      <c r="BA442" s="103">
        <v>98.056851474106807</v>
      </c>
      <c r="BB442" s="40">
        <v>43313</v>
      </c>
      <c r="BC442" s="40">
        <v>43388</v>
      </c>
    </row>
    <row r="443" spans="1:55" s="120" customFormat="1" ht="45">
      <c r="A443" s="41" t="s">
        <v>6</v>
      </c>
      <c r="B443" s="41" t="s">
        <v>1158</v>
      </c>
      <c r="C443" s="43" t="s">
        <v>10</v>
      </c>
      <c r="D443" s="43" t="s">
        <v>10</v>
      </c>
      <c r="E443" s="43" t="s">
        <v>10</v>
      </c>
      <c r="F443" s="63" t="s">
        <v>11</v>
      </c>
      <c r="G443" s="41" t="s">
        <v>169</v>
      </c>
      <c r="H443" s="27">
        <v>30.01</v>
      </c>
      <c r="I443" s="29">
        <v>480</v>
      </c>
      <c r="J443" s="27">
        <v>98</v>
      </c>
      <c r="K443" s="39" t="s">
        <v>1327</v>
      </c>
      <c r="L443" s="130" t="s">
        <v>476</v>
      </c>
      <c r="M443" s="38" t="s">
        <v>523</v>
      </c>
      <c r="N443" s="40">
        <v>43388</v>
      </c>
      <c r="O443" s="130" t="s">
        <v>476</v>
      </c>
      <c r="P443" s="63" t="s">
        <v>17</v>
      </c>
      <c r="Q443" s="63" t="s">
        <v>17</v>
      </c>
      <c r="R443" s="30"/>
      <c r="S443" s="31" t="s">
        <v>10</v>
      </c>
      <c r="T443" s="31" t="s">
        <v>11</v>
      </c>
      <c r="U443" s="35">
        <v>1.22</v>
      </c>
      <c r="V443" s="35"/>
      <c r="W443" s="35"/>
      <c r="X443" s="35">
        <v>500</v>
      </c>
      <c r="Y443" s="35">
        <v>720</v>
      </c>
      <c r="Z443" s="35">
        <v>800</v>
      </c>
      <c r="AA443" s="103">
        <v>3.0010000000000003</v>
      </c>
      <c r="AB443" s="103">
        <v>6.0020000000000007</v>
      </c>
      <c r="AC443" s="103">
        <v>9.0030000000000001</v>
      </c>
      <c r="AD443" s="103">
        <v>15.005000000000001</v>
      </c>
      <c r="AE443" s="103">
        <v>22.5075</v>
      </c>
      <c r="AF443" s="103">
        <v>30.01</v>
      </c>
      <c r="AG443" s="103">
        <v>96.587999999999994</v>
      </c>
      <c r="AH443" s="103">
        <v>97.715999999999994</v>
      </c>
      <c r="AI443" s="103">
        <v>97.926000000000016</v>
      </c>
      <c r="AJ443" s="103">
        <v>97.97999999999999</v>
      </c>
      <c r="AK443" s="103">
        <v>97.838000000000008</v>
      </c>
      <c r="AL443" s="103">
        <v>97.622</v>
      </c>
      <c r="AM443" s="103">
        <v>97.811480000000017</v>
      </c>
      <c r="AN443" s="103">
        <v>97.588000000000008</v>
      </c>
      <c r="AO443" s="103">
        <v>98.448000000000008</v>
      </c>
      <c r="AP443" s="103">
        <v>98.690000000000012</v>
      </c>
      <c r="AQ443" s="103">
        <v>98.602000000000004</v>
      </c>
      <c r="AR443" s="103">
        <v>98.537999999999982</v>
      </c>
      <c r="AS443" s="103">
        <v>98.328000000000003</v>
      </c>
      <c r="AT443" s="103">
        <v>98.516679999999994</v>
      </c>
      <c r="AU443" s="103">
        <v>97.025999999999996</v>
      </c>
      <c r="AV443" s="103">
        <v>98.059999999999988</v>
      </c>
      <c r="AW443" s="103">
        <v>98.451999999999998</v>
      </c>
      <c r="AX443" s="103">
        <v>98.385999999999996</v>
      </c>
      <c r="AY443" s="103">
        <v>98.281999999999996</v>
      </c>
      <c r="AZ443" s="103">
        <v>98.08</v>
      </c>
      <c r="BA443" s="103">
        <v>98.252799999999993</v>
      </c>
      <c r="BB443" s="40">
        <v>43313</v>
      </c>
      <c r="BC443" s="40">
        <v>43388</v>
      </c>
    </row>
    <row r="444" spans="1:55" s="120" customFormat="1" ht="45">
      <c r="A444" s="76" t="s">
        <v>6</v>
      </c>
      <c r="B444" s="76" t="s">
        <v>1295</v>
      </c>
      <c r="C444" s="79" t="s">
        <v>10</v>
      </c>
      <c r="D444" s="79" t="s">
        <v>10</v>
      </c>
      <c r="E444" s="43" t="s">
        <v>10</v>
      </c>
      <c r="F444" s="63" t="s">
        <v>11</v>
      </c>
      <c r="G444" s="76" t="s">
        <v>1296</v>
      </c>
      <c r="H444" s="144">
        <v>33.299999999999997</v>
      </c>
      <c r="I444" s="77">
        <v>480</v>
      </c>
      <c r="J444" s="78">
        <v>97.5</v>
      </c>
      <c r="K444" s="39" t="s">
        <v>1327</v>
      </c>
      <c r="L444" s="145" t="s">
        <v>1297</v>
      </c>
      <c r="M444" s="79" t="s">
        <v>1298</v>
      </c>
      <c r="N444" s="145">
        <v>43451</v>
      </c>
      <c r="O444" s="145" t="s">
        <v>1297</v>
      </c>
      <c r="P444" s="63" t="s">
        <v>17</v>
      </c>
      <c r="Q444" s="63" t="s">
        <v>17</v>
      </c>
      <c r="R444" s="81"/>
      <c r="S444" s="80" t="s">
        <v>11</v>
      </c>
      <c r="T444" s="80" t="s">
        <v>11</v>
      </c>
      <c r="U444" s="82">
        <v>5.43</v>
      </c>
      <c r="V444" s="83"/>
      <c r="W444" s="83"/>
      <c r="X444" s="83">
        <v>330</v>
      </c>
      <c r="Y444" s="83">
        <v>683</v>
      </c>
      <c r="Z444" s="83">
        <v>800</v>
      </c>
      <c r="AA444" s="82">
        <v>3.33</v>
      </c>
      <c r="AB444" s="82">
        <v>6.66</v>
      </c>
      <c r="AC444" s="82">
        <v>9.9899999999999984</v>
      </c>
      <c r="AD444" s="82">
        <v>16.649999999999999</v>
      </c>
      <c r="AE444" s="82">
        <v>24.974999999999998</v>
      </c>
      <c r="AF444" s="82">
        <v>33.299999999999997</v>
      </c>
      <c r="AG444" s="146">
        <v>94.259</v>
      </c>
      <c r="AH444" s="146">
        <v>96.337000000000018</v>
      </c>
      <c r="AI444" s="146">
        <v>96.705000000000013</v>
      </c>
      <c r="AJ444" s="146">
        <v>96.64400000000002</v>
      </c>
      <c r="AK444" s="146">
        <v>96.46</v>
      </c>
      <c r="AL444" s="146">
        <v>96.002999999999986</v>
      </c>
      <c r="AM444" s="146">
        <v>96.411000000000016</v>
      </c>
      <c r="AN444" s="146">
        <v>94.707000000000022</v>
      </c>
      <c r="AO444" s="146">
        <v>96.754999999999995</v>
      </c>
      <c r="AP444" s="146">
        <v>97.302999999999983</v>
      </c>
      <c r="AQ444" s="146">
        <v>97.646999999999991</v>
      </c>
      <c r="AR444" s="146">
        <v>97.694000000000003</v>
      </c>
      <c r="AS444" s="146">
        <v>97.719000000000008</v>
      </c>
      <c r="AT444" s="146">
        <v>97.47202999999999</v>
      </c>
      <c r="AU444" s="146">
        <v>95.731000000000009</v>
      </c>
      <c r="AV444" s="146">
        <v>97.626000000000005</v>
      </c>
      <c r="AW444" s="146">
        <v>98.043999999999983</v>
      </c>
      <c r="AX444" s="146">
        <v>98.228999999999999</v>
      </c>
      <c r="AY444" s="146">
        <v>98.119</v>
      </c>
      <c r="AZ444" s="146">
        <v>97.988000000000014</v>
      </c>
      <c r="BA444" s="146">
        <v>98.006379999999993</v>
      </c>
      <c r="BB444" s="84">
        <v>43451</v>
      </c>
      <c r="BC444" s="85"/>
    </row>
    <row r="445" spans="1:55" s="120" customFormat="1" ht="45">
      <c r="A445" s="76" t="s">
        <v>6</v>
      </c>
      <c r="B445" s="76" t="s">
        <v>1299</v>
      </c>
      <c r="C445" s="79" t="s">
        <v>10</v>
      </c>
      <c r="D445" s="79" t="s">
        <v>10</v>
      </c>
      <c r="E445" s="43" t="s">
        <v>10</v>
      </c>
      <c r="F445" s="63" t="s">
        <v>11</v>
      </c>
      <c r="G445" s="76" t="s">
        <v>1300</v>
      </c>
      <c r="H445" s="144">
        <v>50.006</v>
      </c>
      <c r="I445" s="77">
        <v>480</v>
      </c>
      <c r="J445" s="78">
        <v>97.5</v>
      </c>
      <c r="K445" s="39" t="s">
        <v>1327</v>
      </c>
      <c r="L445" s="145" t="s">
        <v>1297</v>
      </c>
      <c r="M445" s="79" t="s">
        <v>1298</v>
      </c>
      <c r="N445" s="145">
        <v>43451</v>
      </c>
      <c r="O445" s="145" t="s">
        <v>1297</v>
      </c>
      <c r="P445" s="63" t="s">
        <v>17</v>
      </c>
      <c r="Q445" s="63" t="s">
        <v>17</v>
      </c>
      <c r="R445" s="81"/>
      <c r="S445" s="80" t="s">
        <v>11</v>
      </c>
      <c r="T445" s="80" t="s">
        <v>11</v>
      </c>
      <c r="U445" s="82">
        <v>5.43</v>
      </c>
      <c r="V445" s="83"/>
      <c r="W445" s="83"/>
      <c r="X445" s="83">
        <v>500</v>
      </c>
      <c r="Y445" s="83">
        <v>725</v>
      </c>
      <c r="Z445" s="83">
        <v>800</v>
      </c>
      <c r="AA445" s="82">
        <v>5.0006000000000004</v>
      </c>
      <c r="AB445" s="82">
        <v>10.001200000000001</v>
      </c>
      <c r="AC445" s="82">
        <v>15.001799999999999</v>
      </c>
      <c r="AD445" s="82">
        <v>25.003</v>
      </c>
      <c r="AE445" s="82">
        <v>37.5045</v>
      </c>
      <c r="AF445" s="82">
        <v>50.006</v>
      </c>
      <c r="AG445" s="146">
        <v>95.551999999999992</v>
      </c>
      <c r="AH445" s="146">
        <v>97.12299999999999</v>
      </c>
      <c r="AI445" s="146">
        <v>97.41</v>
      </c>
      <c r="AJ445" s="146">
        <v>97.362000000000009</v>
      </c>
      <c r="AK445" s="146">
        <v>97.004999999999995</v>
      </c>
      <c r="AL445" s="146">
        <v>96.688000000000017</v>
      </c>
      <c r="AM445" s="146">
        <v>97.060500000000005</v>
      </c>
      <c r="AN445" s="146">
        <v>96.195000000000007</v>
      </c>
      <c r="AO445" s="146">
        <v>97.446000000000026</v>
      </c>
      <c r="AP445" s="146">
        <v>97.741</v>
      </c>
      <c r="AQ445" s="146">
        <v>97.833000000000013</v>
      </c>
      <c r="AR445" s="146">
        <v>97.603999999999999</v>
      </c>
      <c r="AS445" s="146">
        <v>97.356999999999999</v>
      </c>
      <c r="AT445" s="146">
        <v>97.591920000000002</v>
      </c>
      <c r="AU445" s="146">
        <v>97.061999999999998</v>
      </c>
      <c r="AV445" s="146">
        <v>98.073999999999998</v>
      </c>
      <c r="AW445" s="146">
        <v>98.228999999999999</v>
      </c>
      <c r="AX445" s="146">
        <v>98.119</v>
      </c>
      <c r="AY445" s="146">
        <v>97.965000000000003</v>
      </c>
      <c r="AZ445" s="146">
        <v>97.765000000000015</v>
      </c>
      <c r="BA445" s="146">
        <v>97.988350000000011</v>
      </c>
      <c r="BB445" s="84">
        <v>43451</v>
      </c>
      <c r="BC445" s="149">
        <v>43467</v>
      </c>
    </row>
    <row r="446" spans="1:55" s="120" customFormat="1" ht="45">
      <c r="A446" s="74" t="s">
        <v>6</v>
      </c>
      <c r="B446" s="67" t="s">
        <v>1159</v>
      </c>
      <c r="C446" s="69" t="s">
        <v>10</v>
      </c>
      <c r="D446" s="69" t="s">
        <v>10</v>
      </c>
      <c r="E446" s="43" t="s">
        <v>10</v>
      </c>
      <c r="F446" s="63" t="s">
        <v>11</v>
      </c>
      <c r="G446" s="74" t="s">
        <v>216</v>
      </c>
      <c r="H446" s="27">
        <v>50.072000000000003</v>
      </c>
      <c r="I446" s="29">
        <v>480</v>
      </c>
      <c r="J446" s="27">
        <v>98</v>
      </c>
      <c r="K446" s="39" t="s">
        <v>1327</v>
      </c>
      <c r="L446" s="130" t="s">
        <v>486</v>
      </c>
      <c r="M446" s="38" t="s">
        <v>524</v>
      </c>
      <c r="N446" s="40">
        <v>43388</v>
      </c>
      <c r="O446" s="130" t="s">
        <v>486</v>
      </c>
      <c r="P446" s="63" t="s">
        <v>17</v>
      </c>
      <c r="Q446" s="63" t="s">
        <v>17</v>
      </c>
      <c r="R446" s="30"/>
      <c r="S446" s="31" t="s">
        <v>11</v>
      </c>
      <c r="T446" s="31" t="s">
        <v>11</v>
      </c>
      <c r="U446" s="35">
        <v>5.0999999999999996</v>
      </c>
      <c r="V446" s="35"/>
      <c r="W446" s="35"/>
      <c r="X446" s="35">
        <v>500</v>
      </c>
      <c r="Y446" s="35">
        <v>725</v>
      </c>
      <c r="Z446" s="35">
        <v>800</v>
      </c>
      <c r="AA446" s="103">
        <v>5.007200000000001</v>
      </c>
      <c r="AB446" s="103">
        <v>10.014400000000002</v>
      </c>
      <c r="AC446" s="103">
        <v>15.021599999999999</v>
      </c>
      <c r="AD446" s="103">
        <v>25.036000000000001</v>
      </c>
      <c r="AE446" s="103">
        <v>37.554000000000002</v>
      </c>
      <c r="AF446" s="103">
        <v>50.072000000000003</v>
      </c>
      <c r="AG446" s="103">
        <v>94.977052210975756</v>
      </c>
      <c r="AH446" s="103">
        <v>97.194100192003802</v>
      </c>
      <c r="AI446" s="103">
        <v>97.715813731459207</v>
      </c>
      <c r="AJ446" s="103">
        <v>97.83176636038047</v>
      </c>
      <c r="AK446" s="103">
        <v>97.579339858053501</v>
      </c>
      <c r="AL446" s="103">
        <v>97.290231385965427</v>
      </c>
      <c r="AM446" s="103">
        <v>97.510917375560851</v>
      </c>
      <c r="AN446" s="103">
        <v>96.461798895561259</v>
      </c>
      <c r="AO446" s="103">
        <v>97.750782823830761</v>
      </c>
      <c r="AP446" s="103">
        <v>98.13005082647274</v>
      </c>
      <c r="AQ446" s="103">
        <v>98.217536428930913</v>
      </c>
      <c r="AR446" s="103">
        <v>98.075696105718862</v>
      </c>
      <c r="AS446" s="103">
        <v>97.864463445029159</v>
      </c>
      <c r="AT446" s="103">
        <v>98.020641954548665</v>
      </c>
      <c r="AU446" s="103">
        <v>97.214025618024976</v>
      </c>
      <c r="AV446" s="103">
        <v>97.858978751253218</v>
      </c>
      <c r="AW446" s="103">
        <v>98.0247513670773</v>
      </c>
      <c r="AX446" s="103">
        <v>97.786820902736025</v>
      </c>
      <c r="AY446" s="103">
        <v>98.184619531557445</v>
      </c>
      <c r="AZ446" s="103">
        <v>97.862828393640228</v>
      </c>
      <c r="BA446" s="103">
        <v>98.01070228731497</v>
      </c>
      <c r="BB446" s="40">
        <v>42979</v>
      </c>
      <c r="BC446" s="40">
        <v>43388</v>
      </c>
    </row>
    <row r="447" spans="1:55" s="120" customFormat="1" ht="45">
      <c r="A447" s="76" t="s">
        <v>6</v>
      </c>
      <c r="B447" s="76" t="s">
        <v>1301</v>
      </c>
      <c r="C447" s="79" t="s">
        <v>10</v>
      </c>
      <c r="D447" s="79" t="s">
        <v>10</v>
      </c>
      <c r="E447" s="43" t="s">
        <v>10</v>
      </c>
      <c r="F447" s="63" t="s">
        <v>11</v>
      </c>
      <c r="G447" s="76" t="s">
        <v>1302</v>
      </c>
      <c r="H447" s="144">
        <v>62.5</v>
      </c>
      <c r="I447" s="77">
        <v>480</v>
      </c>
      <c r="J447" s="78">
        <v>97.5</v>
      </c>
      <c r="K447" s="39" t="s">
        <v>1327</v>
      </c>
      <c r="L447" s="145" t="s">
        <v>1297</v>
      </c>
      <c r="M447" s="79" t="s">
        <v>1298</v>
      </c>
      <c r="N447" s="145">
        <v>43451</v>
      </c>
      <c r="O447" s="145" t="s">
        <v>1297</v>
      </c>
      <c r="P447" s="63" t="s">
        <v>17</v>
      </c>
      <c r="Q447" s="63" t="s">
        <v>17</v>
      </c>
      <c r="R447" s="81"/>
      <c r="S447" s="80" t="s">
        <v>11</v>
      </c>
      <c r="T447" s="80" t="s">
        <v>11</v>
      </c>
      <c r="U447" s="82">
        <v>5.43</v>
      </c>
      <c r="V447" s="83"/>
      <c r="W447" s="83"/>
      <c r="X447" s="83">
        <v>500</v>
      </c>
      <c r="Y447" s="83">
        <v>725</v>
      </c>
      <c r="Z447" s="83">
        <v>800</v>
      </c>
      <c r="AA447" s="82">
        <v>6.25</v>
      </c>
      <c r="AB447" s="82">
        <v>12.5</v>
      </c>
      <c r="AC447" s="82">
        <v>18.75</v>
      </c>
      <c r="AD447" s="82">
        <v>31.25</v>
      </c>
      <c r="AE447" s="82">
        <v>46.875</v>
      </c>
      <c r="AF447" s="82">
        <v>62.5</v>
      </c>
      <c r="AG447" s="146">
        <v>96.186000000000007</v>
      </c>
      <c r="AH447" s="146">
        <v>97.248999999999995</v>
      </c>
      <c r="AI447" s="146">
        <v>97.41</v>
      </c>
      <c r="AJ447" s="146">
        <v>97.376000000000005</v>
      </c>
      <c r="AK447" s="146">
        <v>97.170999999999992</v>
      </c>
      <c r="AL447" s="146">
        <v>96.537999999999997</v>
      </c>
      <c r="AM447" s="146">
        <v>97.175579999999997</v>
      </c>
      <c r="AN447" s="146">
        <v>96.698999999999998</v>
      </c>
      <c r="AO447" s="146">
        <v>97.649999999999991</v>
      </c>
      <c r="AP447" s="146">
        <v>97.804000000000002</v>
      </c>
      <c r="AQ447" s="146">
        <v>97.787999999999982</v>
      </c>
      <c r="AR447" s="146">
        <v>97.419999999999987</v>
      </c>
      <c r="AS447" s="146">
        <v>97.048000000000002</v>
      </c>
      <c r="AT447" s="146">
        <v>97.507419999999996</v>
      </c>
      <c r="AU447" s="146">
        <v>97.37700000000001</v>
      </c>
      <c r="AV447" s="146">
        <v>98.172000000000011</v>
      </c>
      <c r="AW447" s="146">
        <v>98.225000000000009</v>
      </c>
      <c r="AX447" s="146">
        <v>98.063000000000002</v>
      </c>
      <c r="AY447" s="146">
        <v>97.819000000000017</v>
      </c>
      <c r="AZ447" s="146">
        <v>97.456999999999994</v>
      </c>
      <c r="BA447" s="146">
        <v>97.900830000000013</v>
      </c>
      <c r="BB447" s="84">
        <v>43451</v>
      </c>
      <c r="BC447" s="85"/>
    </row>
    <row r="448" spans="1:55" s="120" customFormat="1" ht="45">
      <c r="A448" s="41" t="s">
        <v>6</v>
      </c>
      <c r="B448" s="41" t="s">
        <v>1160</v>
      </c>
      <c r="C448" s="43" t="s">
        <v>10</v>
      </c>
      <c r="D448" s="43" t="s">
        <v>10</v>
      </c>
      <c r="E448" s="63" t="s">
        <v>11</v>
      </c>
      <c r="F448" s="63" t="s">
        <v>11</v>
      </c>
      <c r="G448" s="41" t="s">
        <v>657</v>
      </c>
      <c r="H448" s="27">
        <v>1661</v>
      </c>
      <c r="I448" s="109">
        <v>385</v>
      </c>
      <c r="J448" s="27">
        <v>97</v>
      </c>
      <c r="K448" s="39" t="s">
        <v>1327</v>
      </c>
      <c r="L448" s="130" t="s">
        <v>494</v>
      </c>
      <c r="M448" s="110" t="s">
        <v>658</v>
      </c>
      <c r="N448" s="40">
        <v>43388</v>
      </c>
      <c r="O448" s="63" t="s">
        <v>17</v>
      </c>
      <c r="P448" s="63" t="s">
        <v>17</v>
      </c>
      <c r="Q448" s="63" t="s">
        <v>17</v>
      </c>
      <c r="R448" s="112" t="s">
        <v>663</v>
      </c>
      <c r="S448" s="111" t="s">
        <v>10</v>
      </c>
      <c r="T448" s="111" t="s">
        <v>11</v>
      </c>
      <c r="U448" s="113">
        <v>294</v>
      </c>
      <c r="V448" s="113"/>
      <c r="W448" s="113"/>
      <c r="X448" s="113">
        <v>570</v>
      </c>
      <c r="Y448" s="113">
        <v>665</v>
      </c>
      <c r="Z448" s="113">
        <v>950</v>
      </c>
      <c r="AA448" s="114">
        <v>166.1</v>
      </c>
      <c r="AB448" s="114">
        <v>332.2</v>
      </c>
      <c r="AC448" s="114">
        <v>498.3</v>
      </c>
      <c r="AD448" s="114">
        <v>830.5</v>
      </c>
      <c r="AE448" s="114">
        <v>1245.75</v>
      </c>
      <c r="AF448" s="114">
        <v>1661</v>
      </c>
      <c r="AG448" s="114">
        <v>96.09</v>
      </c>
      <c r="AH448" s="114">
        <v>97.54</v>
      </c>
      <c r="AI448" s="114">
        <v>97.81</v>
      </c>
      <c r="AJ448" s="114">
        <v>97.789999999999992</v>
      </c>
      <c r="AK448" s="114">
        <v>97.59</v>
      </c>
      <c r="AL448" s="114">
        <v>97.25</v>
      </c>
      <c r="AM448" s="114">
        <v>97.58</v>
      </c>
      <c r="AN448" s="114">
        <v>95.5</v>
      </c>
      <c r="AO448" s="114">
        <v>97.22</v>
      </c>
      <c r="AP448" s="114">
        <v>97.55</v>
      </c>
      <c r="AQ448" s="114">
        <v>97.61999999999999</v>
      </c>
      <c r="AR448" s="114">
        <v>97.45</v>
      </c>
      <c r="AS448" s="114">
        <v>97.13000000000001</v>
      </c>
      <c r="AT448" s="114">
        <v>97.39</v>
      </c>
      <c r="AU448" s="114">
        <v>93.24</v>
      </c>
      <c r="AV448" s="114">
        <v>96.22</v>
      </c>
      <c r="AW448" s="114">
        <v>96.740000000000009</v>
      </c>
      <c r="AX448" s="114">
        <v>97.070000000000007</v>
      </c>
      <c r="AY448" s="114">
        <v>96.98</v>
      </c>
      <c r="AZ448" s="114">
        <v>96.67</v>
      </c>
      <c r="BA448" s="114">
        <v>96.77</v>
      </c>
      <c r="BB448" s="40">
        <v>43206</v>
      </c>
      <c r="BC448" s="40">
        <v>43388</v>
      </c>
    </row>
    <row r="449" spans="1:55" s="120" customFormat="1" ht="45">
      <c r="A449" s="41" t="s">
        <v>6</v>
      </c>
      <c r="B449" s="41" t="s">
        <v>1161</v>
      </c>
      <c r="C449" s="43" t="s">
        <v>10</v>
      </c>
      <c r="D449" s="43" t="s">
        <v>10</v>
      </c>
      <c r="E449" s="63" t="s">
        <v>11</v>
      </c>
      <c r="F449" s="63" t="s">
        <v>11</v>
      </c>
      <c r="G449" s="41" t="s">
        <v>664</v>
      </c>
      <c r="H449" s="27">
        <v>2079</v>
      </c>
      <c r="I449" s="109">
        <v>385</v>
      </c>
      <c r="J449" s="27">
        <v>97</v>
      </c>
      <c r="K449" s="39" t="s">
        <v>1327</v>
      </c>
      <c r="L449" s="130" t="s">
        <v>494</v>
      </c>
      <c r="M449" s="110" t="s">
        <v>658</v>
      </c>
      <c r="N449" s="40">
        <v>43388</v>
      </c>
      <c r="O449" s="63" t="s">
        <v>17</v>
      </c>
      <c r="P449" s="63" t="s">
        <v>17</v>
      </c>
      <c r="Q449" s="63" t="s">
        <v>17</v>
      </c>
      <c r="R449" s="112" t="s">
        <v>663</v>
      </c>
      <c r="S449" s="111" t="s">
        <v>10</v>
      </c>
      <c r="T449" s="111" t="s">
        <v>11</v>
      </c>
      <c r="U449" s="113">
        <v>297</v>
      </c>
      <c r="V449" s="113"/>
      <c r="W449" s="113"/>
      <c r="X449" s="113">
        <v>570</v>
      </c>
      <c r="Y449" s="113">
        <v>665</v>
      </c>
      <c r="Z449" s="113">
        <v>950</v>
      </c>
      <c r="AA449" s="114">
        <v>207.9</v>
      </c>
      <c r="AB449" s="114">
        <v>415.8</v>
      </c>
      <c r="AC449" s="114">
        <v>623.70000000000005</v>
      </c>
      <c r="AD449" s="114">
        <v>1039.5</v>
      </c>
      <c r="AE449" s="114">
        <v>1559.25</v>
      </c>
      <c r="AF449" s="114">
        <v>2079</v>
      </c>
      <c r="AG449" s="114">
        <v>96.63000000000001</v>
      </c>
      <c r="AH449" s="114">
        <v>97.68</v>
      </c>
      <c r="AI449" s="114">
        <v>97.8</v>
      </c>
      <c r="AJ449" s="114">
        <v>97.69</v>
      </c>
      <c r="AK449" s="114">
        <v>97.330000000000013</v>
      </c>
      <c r="AL449" s="114">
        <v>96.679999999999993</v>
      </c>
      <c r="AM449" s="114">
        <v>97.42</v>
      </c>
      <c r="AN449" s="114">
        <v>96.07</v>
      </c>
      <c r="AO449" s="114">
        <v>97.38</v>
      </c>
      <c r="AP449" s="114">
        <v>97.58</v>
      </c>
      <c r="AQ449" s="114">
        <v>97.53</v>
      </c>
      <c r="AR449" s="114">
        <v>97.21</v>
      </c>
      <c r="AS449" s="114">
        <v>96.57</v>
      </c>
      <c r="AT449" s="114">
        <v>97.25</v>
      </c>
      <c r="AU449" s="114">
        <v>94.45</v>
      </c>
      <c r="AV449" s="114">
        <v>96.53</v>
      </c>
      <c r="AW449" s="114">
        <v>96.960000000000008</v>
      </c>
      <c r="AX449" s="114">
        <v>97.05</v>
      </c>
      <c r="AY449" s="114">
        <v>96.73</v>
      </c>
      <c r="AZ449" s="114">
        <v>96.179999999999993</v>
      </c>
      <c r="BA449" s="114">
        <v>96.69</v>
      </c>
      <c r="BB449" s="40">
        <v>43206</v>
      </c>
      <c r="BC449" s="40">
        <v>43388</v>
      </c>
    </row>
    <row r="450" spans="1:55" s="120" customFormat="1" ht="45">
      <c r="A450" s="41" t="s">
        <v>6</v>
      </c>
      <c r="B450" s="41" t="s">
        <v>1162</v>
      </c>
      <c r="C450" s="43" t="s">
        <v>10</v>
      </c>
      <c r="D450" s="43" t="s">
        <v>10</v>
      </c>
      <c r="E450" s="63" t="s">
        <v>11</v>
      </c>
      <c r="F450" s="63" t="s">
        <v>11</v>
      </c>
      <c r="G450" s="41" t="s">
        <v>672</v>
      </c>
      <c r="H450" s="27">
        <v>2353.87</v>
      </c>
      <c r="I450" s="109">
        <v>550</v>
      </c>
      <c r="J450" s="27">
        <v>97</v>
      </c>
      <c r="K450" s="39" t="s">
        <v>1327</v>
      </c>
      <c r="L450" s="130" t="s">
        <v>820</v>
      </c>
      <c r="M450" s="110" t="s">
        <v>658</v>
      </c>
      <c r="N450" s="40">
        <v>43388</v>
      </c>
      <c r="O450" s="63" t="s">
        <v>17</v>
      </c>
      <c r="P450" s="63" t="s">
        <v>17</v>
      </c>
      <c r="Q450" s="63" t="s">
        <v>17</v>
      </c>
      <c r="R450" s="112" t="s">
        <v>748</v>
      </c>
      <c r="S450" s="111" t="s">
        <v>10</v>
      </c>
      <c r="T450" s="111" t="s">
        <v>11</v>
      </c>
      <c r="U450" s="113">
        <v>370</v>
      </c>
      <c r="V450" s="113"/>
      <c r="W450" s="113"/>
      <c r="X450" s="113">
        <v>850</v>
      </c>
      <c r="Y450" s="113">
        <v>994</v>
      </c>
      <c r="Z450" s="113">
        <v>1425</v>
      </c>
      <c r="AA450" s="114">
        <v>235.39</v>
      </c>
      <c r="AB450" s="114">
        <v>470.77</v>
      </c>
      <c r="AC450" s="114">
        <v>706.16</v>
      </c>
      <c r="AD450" s="114">
        <v>1176.94</v>
      </c>
      <c r="AE450" s="114">
        <v>1765.4</v>
      </c>
      <c r="AF450" s="114">
        <v>2353.87</v>
      </c>
      <c r="AG450" s="114">
        <v>96.42</v>
      </c>
      <c r="AH450" s="114">
        <v>97.63</v>
      </c>
      <c r="AI450" s="114">
        <v>97.83</v>
      </c>
      <c r="AJ450" s="114">
        <v>97.79</v>
      </c>
      <c r="AK450" s="114">
        <v>97.42</v>
      </c>
      <c r="AL450" s="114">
        <v>96.82</v>
      </c>
      <c r="AM450" s="114">
        <v>97.49</v>
      </c>
      <c r="AN450" s="114">
        <v>95.86</v>
      </c>
      <c r="AO450" s="114">
        <v>97.35</v>
      </c>
      <c r="AP450" s="114">
        <v>97.63</v>
      </c>
      <c r="AQ450" s="114">
        <v>97.65</v>
      </c>
      <c r="AR450" s="114">
        <v>97.28</v>
      </c>
      <c r="AS450" s="114">
        <v>96.74</v>
      </c>
      <c r="AT450" s="114">
        <v>97.32</v>
      </c>
      <c r="AU450" s="114">
        <v>94.25</v>
      </c>
      <c r="AV450" s="114">
        <v>96.58</v>
      </c>
      <c r="AW450" s="114">
        <v>97.07</v>
      </c>
      <c r="AX450" s="114">
        <v>97.2</v>
      </c>
      <c r="AY450" s="114">
        <v>96.81</v>
      </c>
      <c r="AZ450" s="114">
        <v>96.42</v>
      </c>
      <c r="BA450" s="114">
        <v>96.79</v>
      </c>
      <c r="BB450" s="40">
        <v>43221</v>
      </c>
      <c r="BC450" s="40">
        <v>43388</v>
      </c>
    </row>
    <row r="451" spans="1:55" s="120" customFormat="1" ht="45">
      <c r="A451" s="41" t="s">
        <v>6</v>
      </c>
      <c r="B451" s="41" t="s">
        <v>1163</v>
      </c>
      <c r="C451" s="43" t="s">
        <v>10</v>
      </c>
      <c r="D451" s="43" t="s">
        <v>10</v>
      </c>
      <c r="E451" s="63" t="s">
        <v>11</v>
      </c>
      <c r="F451" s="63" t="s">
        <v>11</v>
      </c>
      <c r="G451" s="41" t="s">
        <v>819</v>
      </c>
      <c r="H451" s="27">
        <v>2600</v>
      </c>
      <c r="I451" s="109">
        <v>600</v>
      </c>
      <c r="J451" s="27">
        <v>97.5</v>
      </c>
      <c r="K451" s="39" t="s">
        <v>1327</v>
      </c>
      <c r="L451" s="130" t="s">
        <v>820</v>
      </c>
      <c r="M451" s="110" t="s">
        <v>658</v>
      </c>
      <c r="N451" s="40">
        <v>43388</v>
      </c>
      <c r="O451" s="63" t="s">
        <v>17</v>
      </c>
      <c r="P451" s="63" t="s">
        <v>17</v>
      </c>
      <c r="Q451" s="63" t="s">
        <v>17</v>
      </c>
      <c r="R451" s="112" t="s">
        <v>663</v>
      </c>
      <c r="S451" s="111" t="s">
        <v>10</v>
      </c>
      <c r="T451" s="111" t="s">
        <v>11</v>
      </c>
      <c r="U451" s="113">
        <v>379.32</v>
      </c>
      <c r="V451" s="113"/>
      <c r="W451" s="113"/>
      <c r="X451" s="113">
        <v>875</v>
      </c>
      <c r="Y451" s="113">
        <v>957</v>
      </c>
      <c r="Z451" s="113">
        <v>1200</v>
      </c>
      <c r="AA451" s="114">
        <v>260</v>
      </c>
      <c r="AB451" s="114">
        <v>520</v>
      </c>
      <c r="AC451" s="114">
        <v>780</v>
      </c>
      <c r="AD451" s="114">
        <v>1300</v>
      </c>
      <c r="AE451" s="114">
        <v>1950</v>
      </c>
      <c r="AF451" s="114">
        <v>2600</v>
      </c>
      <c r="AG451" s="114">
        <v>95.654267999999988</v>
      </c>
      <c r="AH451" s="114">
        <v>97.278513000000018</v>
      </c>
      <c r="AI451" s="114">
        <v>97.676036400000015</v>
      </c>
      <c r="AJ451" s="114">
        <v>97.833769199999992</v>
      </c>
      <c r="AK451" s="114">
        <v>97.64240199999999</v>
      </c>
      <c r="AL451" s="114">
        <v>97.218773599999977</v>
      </c>
      <c r="AM451" s="114">
        <v>97.567724010000006</v>
      </c>
      <c r="AN451" s="114">
        <v>95.393141999999983</v>
      </c>
      <c r="AO451" s="114">
        <v>97.142182800000029</v>
      </c>
      <c r="AP451" s="114">
        <v>97.56110360000001</v>
      </c>
      <c r="AQ451" s="114">
        <v>97.745445599999996</v>
      </c>
      <c r="AR451" s="114">
        <v>97.548142999999982</v>
      </c>
      <c r="AS451" s="114">
        <v>97.071069899999983</v>
      </c>
      <c r="AT451" s="114">
        <v>97.460780112999998</v>
      </c>
      <c r="AU451" s="114">
        <v>94.470888000000031</v>
      </c>
      <c r="AV451" s="114">
        <v>96.735168000000002</v>
      </c>
      <c r="AW451" s="114">
        <v>97.058768000000001</v>
      </c>
      <c r="AX451" s="114">
        <v>97.489406399999993</v>
      </c>
      <c r="AY451" s="114">
        <v>97.359624999999994</v>
      </c>
      <c r="AZ451" s="114">
        <v>96.888670700000006</v>
      </c>
      <c r="BA451" s="114">
        <v>97.180456208999999</v>
      </c>
      <c r="BB451" s="40">
        <v>43327</v>
      </c>
      <c r="BC451" s="40">
        <v>43388</v>
      </c>
    </row>
    <row r="452" spans="1:55" s="120" customFormat="1" ht="45">
      <c r="A452" s="41" t="s">
        <v>28</v>
      </c>
      <c r="B452" s="6" t="s">
        <v>1164</v>
      </c>
      <c r="C452" s="141" t="s">
        <v>10</v>
      </c>
      <c r="D452" s="141" t="s">
        <v>10</v>
      </c>
      <c r="E452" s="43" t="s">
        <v>10</v>
      </c>
      <c r="F452" s="63" t="s">
        <v>11</v>
      </c>
      <c r="G452" s="41" t="s">
        <v>732</v>
      </c>
      <c r="H452" s="35">
        <v>2.9620000000000002</v>
      </c>
      <c r="I452" s="35">
        <v>240</v>
      </c>
      <c r="J452" s="35">
        <v>99</v>
      </c>
      <c r="K452" s="39" t="s">
        <v>1325</v>
      </c>
      <c r="L452" s="128" t="s">
        <v>525</v>
      </c>
      <c r="M452" s="39" t="s">
        <v>526</v>
      </c>
      <c r="N452" s="40">
        <v>43388</v>
      </c>
      <c r="O452" s="128" t="s">
        <v>525</v>
      </c>
      <c r="P452" s="63" t="s">
        <v>17</v>
      </c>
      <c r="Q452" s="63" t="s">
        <v>17</v>
      </c>
      <c r="R452" s="54"/>
      <c r="S452" s="34" t="s">
        <v>10</v>
      </c>
      <c r="T452" s="34" t="s">
        <v>11</v>
      </c>
      <c r="U452" s="35">
        <v>0</v>
      </c>
      <c r="V452" s="35"/>
      <c r="W452" s="35"/>
      <c r="X452" s="35">
        <v>360</v>
      </c>
      <c r="Y452" s="35">
        <v>395</v>
      </c>
      <c r="Z452" s="35">
        <v>480</v>
      </c>
      <c r="AA452" s="103">
        <v>0.3</v>
      </c>
      <c r="AB452" s="103">
        <v>0.6</v>
      </c>
      <c r="AC452" s="103">
        <v>0.9</v>
      </c>
      <c r="AD452" s="103">
        <v>1.6</v>
      </c>
      <c r="AE452" s="103">
        <v>2.1</v>
      </c>
      <c r="AF452" s="103">
        <v>2.8</v>
      </c>
      <c r="AG452" s="103">
        <v>95.67</v>
      </c>
      <c r="AH452" s="103">
        <v>98.01</v>
      </c>
      <c r="AI452" s="103">
        <v>98.63</v>
      </c>
      <c r="AJ452" s="103">
        <v>99.01</v>
      </c>
      <c r="AK452" s="103">
        <v>99.19</v>
      </c>
      <c r="AL452" s="103">
        <v>99.19</v>
      </c>
      <c r="AM452" s="103">
        <v>98.89</v>
      </c>
      <c r="AN452" s="103">
        <v>95.39</v>
      </c>
      <c r="AO452" s="103">
        <v>97.88</v>
      </c>
      <c r="AP452" s="103">
        <v>98.54</v>
      </c>
      <c r="AQ452" s="103">
        <v>98.96</v>
      </c>
      <c r="AR452" s="103">
        <v>99.16</v>
      </c>
      <c r="AS452" s="103">
        <v>99.16</v>
      </c>
      <c r="AT452" s="103">
        <v>98.83</v>
      </c>
      <c r="AU452" s="103">
        <v>95.93</v>
      </c>
      <c r="AV452" s="103">
        <v>98.04</v>
      </c>
      <c r="AW452" s="103">
        <v>98.57</v>
      </c>
      <c r="AX452" s="103">
        <v>99</v>
      </c>
      <c r="AY452" s="103">
        <v>99.08</v>
      </c>
      <c r="AZ452" s="103">
        <v>99.17</v>
      </c>
      <c r="BA452" s="103">
        <v>98.83</v>
      </c>
      <c r="BB452" s="40">
        <v>42917</v>
      </c>
      <c r="BC452" s="40">
        <v>43388</v>
      </c>
    </row>
    <row r="453" spans="1:55" s="120" customFormat="1" ht="45">
      <c r="A453" s="55" t="s">
        <v>28</v>
      </c>
      <c r="B453" s="55" t="s">
        <v>1165</v>
      </c>
      <c r="C453" s="57" t="s">
        <v>10</v>
      </c>
      <c r="D453" s="57" t="s">
        <v>10</v>
      </c>
      <c r="E453" s="43" t="s">
        <v>10</v>
      </c>
      <c r="F453" s="63" t="s">
        <v>11</v>
      </c>
      <c r="G453" s="74" t="s">
        <v>34</v>
      </c>
      <c r="H453" s="35">
        <v>3.01</v>
      </c>
      <c r="I453" s="35">
        <v>240</v>
      </c>
      <c r="J453" s="35">
        <v>97.5</v>
      </c>
      <c r="K453" s="39" t="s">
        <v>1325</v>
      </c>
      <c r="L453" s="128" t="s">
        <v>527</v>
      </c>
      <c r="M453" s="39" t="s">
        <v>528</v>
      </c>
      <c r="N453" s="40">
        <v>43388</v>
      </c>
      <c r="O453" s="128" t="s">
        <v>527</v>
      </c>
      <c r="P453" s="63" t="s">
        <v>17</v>
      </c>
      <c r="Q453" s="63" t="s">
        <v>17</v>
      </c>
      <c r="R453" s="54"/>
      <c r="S453" s="34" t="s">
        <v>10</v>
      </c>
      <c r="T453" s="34" t="s">
        <v>11</v>
      </c>
      <c r="U453" s="35">
        <v>3.39</v>
      </c>
      <c r="V453" s="35"/>
      <c r="W453" s="35"/>
      <c r="X453" s="35">
        <v>100</v>
      </c>
      <c r="Y453" s="35">
        <v>388</v>
      </c>
      <c r="Z453" s="35">
        <v>480</v>
      </c>
      <c r="AA453" s="103">
        <v>0.3</v>
      </c>
      <c r="AB453" s="103">
        <v>0.6</v>
      </c>
      <c r="AC453" s="103">
        <v>0.9</v>
      </c>
      <c r="AD453" s="103">
        <v>1.51</v>
      </c>
      <c r="AE453" s="103">
        <v>2.2599999999999998</v>
      </c>
      <c r="AF453" s="103">
        <v>3.01</v>
      </c>
      <c r="AG453" s="103">
        <v>95.1</v>
      </c>
      <c r="AH453" s="103">
        <v>97.1</v>
      </c>
      <c r="AI453" s="103">
        <v>97.5</v>
      </c>
      <c r="AJ453" s="103">
        <v>97.8</v>
      </c>
      <c r="AK453" s="103">
        <v>97.8</v>
      </c>
      <c r="AL453" s="103">
        <v>97.7</v>
      </c>
      <c r="AM453" s="103">
        <v>97.6</v>
      </c>
      <c r="AN453" s="103">
        <v>94.8</v>
      </c>
      <c r="AO453" s="103">
        <v>96.8</v>
      </c>
      <c r="AP453" s="103">
        <v>97.4</v>
      </c>
      <c r="AQ453" s="103">
        <v>97.7</v>
      </c>
      <c r="AR453" s="103">
        <v>97.7</v>
      </c>
      <c r="AS453" s="103">
        <v>97.6</v>
      </c>
      <c r="AT453" s="103">
        <v>97.5</v>
      </c>
      <c r="AU453" s="103">
        <v>93.4</v>
      </c>
      <c r="AV453" s="103">
        <v>96.4</v>
      </c>
      <c r="AW453" s="103">
        <v>97</v>
      </c>
      <c r="AX453" s="103">
        <v>97.4</v>
      </c>
      <c r="AY453" s="103">
        <v>97.5</v>
      </c>
      <c r="AZ453" s="103">
        <v>97.5</v>
      </c>
      <c r="BA453" s="103">
        <v>97.2</v>
      </c>
      <c r="BB453" s="40">
        <v>42917</v>
      </c>
      <c r="BC453" s="40">
        <v>43388</v>
      </c>
    </row>
    <row r="454" spans="1:55" s="120" customFormat="1" ht="45">
      <c r="A454" s="55" t="s">
        <v>28</v>
      </c>
      <c r="B454" s="55" t="s">
        <v>1166</v>
      </c>
      <c r="C454" s="57" t="s">
        <v>10</v>
      </c>
      <c r="D454" s="57" t="s">
        <v>10</v>
      </c>
      <c r="E454" s="43" t="s">
        <v>10</v>
      </c>
      <c r="F454" s="63" t="s">
        <v>11</v>
      </c>
      <c r="G454" s="74" t="s">
        <v>33</v>
      </c>
      <c r="H454" s="35">
        <v>3.02</v>
      </c>
      <c r="I454" s="35">
        <v>208</v>
      </c>
      <c r="J454" s="35">
        <v>97.5</v>
      </c>
      <c r="K454" s="39" t="s">
        <v>1325</v>
      </c>
      <c r="L454" s="128" t="s">
        <v>527</v>
      </c>
      <c r="M454" s="39" t="s">
        <v>528</v>
      </c>
      <c r="N454" s="40">
        <v>43388</v>
      </c>
      <c r="O454" s="128" t="s">
        <v>527</v>
      </c>
      <c r="P454" s="63" t="s">
        <v>17</v>
      </c>
      <c r="Q454" s="63" t="s">
        <v>17</v>
      </c>
      <c r="R454" s="54"/>
      <c r="S454" s="34" t="s">
        <v>10</v>
      </c>
      <c r="T454" s="34" t="s">
        <v>11</v>
      </c>
      <c r="U454" s="35">
        <v>3.71</v>
      </c>
      <c r="V454" s="35"/>
      <c r="W454" s="35"/>
      <c r="X454" s="35">
        <v>305</v>
      </c>
      <c r="Y454" s="35">
        <v>350</v>
      </c>
      <c r="Z454" s="35">
        <v>480</v>
      </c>
      <c r="AA454" s="103">
        <v>0.3</v>
      </c>
      <c r="AB454" s="103">
        <v>0.6</v>
      </c>
      <c r="AC454" s="103">
        <v>0.91</v>
      </c>
      <c r="AD454" s="103">
        <v>1.51</v>
      </c>
      <c r="AE454" s="103">
        <v>2.27</v>
      </c>
      <c r="AF454" s="103">
        <v>3.02</v>
      </c>
      <c r="AG454" s="103">
        <v>96</v>
      </c>
      <c r="AH454" s="103">
        <v>97.4</v>
      </c>
      <c r="AI454" s="103">
        <v>97.6</v>
      </c>
      <c r="AJ454" s="103">
        <v>97.7</v>
      </c>
      <c r="AK454" s="103">
        <v>97.6</v>
      </c>
      <c r="AL454" s="103">
        <v>97.4</v>
      </c>
      <c r="AM454" s="103">
        <v>97.5</v>
      </c>
      <c r="AN454" s="103">
        <v>95.6</v>
      </c>
      <c r="AO454" s="103">
        <v>97.1</v>
      </c>
      <c r="AP454" s="103">
        <v>97.5</v>
      </c>
      <c r="AQ454" s="103">
        <v>97.6</v>
      </c>
      <c r="AR454" s="103">
        <v>97.5</v>
      </c>
      <c r="AS454" s="103">
        <v>97.3</v>
      </c>
      <c r="AT454" s="103">
        <v>97.4</v>
      </c>
      <c r="AU454" s="103">
        <v>93.6</v>
      </c>
      <c r="AV454" s="103">
        <v>96.3</v>
      </c>
      <c r="AW454" s="103">
        <v>96.9</v>
      </c>
      <c r="AX454" s="103">
        <v>97.2</v>
      </c>
      <c r="AY454" s="103">
        <v>97.2</v>
      </c>
      <c r="AZ454" s="103">
        <v>97.1</v>
      </c>
      <c r="BA454" s="103">
        <v>97</v>
      </c>
      <c r="BB454" s="40">
        <v>42917</v>
      </c>
      <c r="BC454" s="40">
        <v>43388</v>
      </c>
    </row>
    <row r="455" spans="1:55" s="120" customFormat="1" ht="45">
      <c r="A455" s="55" t="s">
        <v>28</v>
      </c>
      <c r="B455" s="55" t="s">
        <v>1167</v>
      </c>
      <c r="C455" s="57" t="s">
        <v>10</v>
      </c>
      <c r="D455" s="57" t="s">
        <v>10</v>
      </c>
      <c r="E455" s="43" t="s">
        <v>10</v>
      </c>
      <c r="F455" s="63" t="s">
        <v>11</v>
      </c>
      <c r="G455" s="74" t="s">
        <v>36</v>
      </c>
      <c r="H455" s="35">
        <v>3.2509999999999999</v>
      </c>
      <c r="I455" s="35">
        <v>240</v>
      </c>
      <c r="J455" s="35">
        <v>97.5</v>
      </c>
      <c r="K455" s="39" t="s">
        <v>1325</v>
      </c>
      <c r="L455" s="128" t="s">
        <v>527</v>
      </c>
      <c r="M455" s="39" t="s">
        <v>528</v>
      </c>
      <c r="N455" s="40">
        <v>43388</v>
      </c>
      <c r="O455" s="128" t="s">
        <v>527</v>
      </c>
      <c r="P455" s="63" t="s">
        <v>17</v>
      </c>
      <c r="Q455" s="63" t="s">
        <v>17</v>
      </c>
      <c r="R455" s="54"/>
      <c r="S455" s="34" t="s">
        <v>10</v>
      </c>
      <c r="T455" s="34" t="s">
        <v>11</v>
      </c>
      <c r="U455" s="35">
        <v>5.46</v>
      </c>
      <c r="V455" s="35"/>
      <c r="W455" s="35"/>
      <c r="X455" s="35">
        <v>370</v>
      </c>
      <c r="Y455" s="35">
        <v>435</v>
      </c>
      <c r="Z455" s="35">
        <v>500</v>
      </c>
      <c r="AA455" s="103">
        <v>0.33</v>
      </c>
      <c r="AB455" s="103">
        <v>0.65</v>
      </c>
      <c r="AC455" s="103">
        <v>0.98</v>
      </c>
      <c r="AD455" s="103">
        <v>1.63</v>
      </c>
      <c r="AE455" s="103">
        <v>2.44</v>
      </c>
      <c r="AF455" s="103">
        <v>3.25</v>
      </c>
      <c r="AG455" s="103">
        <v>95.3</v>
      </c>
      <c r="AH455" s="103">
        <v>97.1</v>
      </c>
      <c r="AI455" s="103">
        <v>97.5</v>
      </c>
      <c r="AJ455" s="103">
        <v>97.6</v>
      </c>
      <c r="AK455" s="103">
        <v>97.6</v>
      </c>
      <c r="AL455" s="103">
        <v>97.5</v>
      </c>
      <c r="AM455" s="103">
        <v>97.5</v>
      </c>
      <c r="AN455" s="103">
        <v>94.9</v>
      </c>
      <c r="AO455" s="103">
        <v>96.8</v>
      </c>
      <c r="AP455" s="103">
        <v>97.3</v>
      </c>
      <c r="AQ455" s="103">
        <v>97.5</v>
      </c>
      <c r="AR455" s="103">
        <v>97.5</v>
      </c>
      <c r="AS455" s="103">
        <v>97.3</v>
      </c>
      <c r="AT455" s="103">
        <v>97.3</v>
      </c>
      <c r="AU455" s="103">
        <v>94.2</v>
      </c>
      <c r="AV455" s="103">
        <v>96.5</v>
      </c>
      <c r="AW455" s="103">
        <v>96.9</v>
      </c>
      <c r="AX455" s="103">
        <v>97.3</v>
      </c>
      <c r="AY455" s="103">
        <v>97.4</v>
      </c>
      <c r="AZ455" s="103">
        <v>97.2</v>
      </c>
      <c r="BA455" s="103">
        <v>97.1</v>
      </c>
      <c r="BB455" s="40">
        <v>42917</v>
      </c>
      <c r="BC455" s="40">
        <v>43388</v>
      </c>
    </row>
    <row r="456" spans="1:55" s="120" customFormat="1" ht="45">
      <c r="A456" s="41" t="s">
        <v>28</v>
      </c>
      <c r="B456" s="41" t="s">
        <v>1168</v>
      </c>
      <c r="C456" s="43" t="s">
        <v>10</v>
      </c>
      <c r="D456" s="43" t="s">
        <v>10</v>
      </c>
      <c r="E456" s="43" t="s">
        <v>10</v>
      </c>
      <c r="F456" s="63" t="s">
        <v>11</v>
      </c>
      <c r="G456" s="41" t="s">
        <v>729</v>
      </c>
      <c r="H456" s="27">
        <v>3.2549999999999999</v>
      </c>
      <c r="I456" s="109">
        <v>208</v>
      </c>
      <c r="J456" s="27">
        <v>99</v>
      </c>
      <c r="K456" s="39" t="s">
        <v>1325</v>
      </c>
      <c r="L456" s="130" t="s">
        <v>653</v>
      </c>
      <c r="M456" s="110" t="s">
        <v>730</v>
      </c>
      <c r="N456" s="40">
        <v>43388</v>
      </c>
      <c r="O456" s="130" t="s">
        <v>653</v>
      </c>
      <c r="P456" s="63" t="s">
        <v>17</v>
      </c>
      <c r="Q456" s="63" t="s">
        <v>17</v>
      </c>
      <c r="R456" s="112"/>
      <c r="S456" s="111" t="s">
        <v>11</v>
      </c>
      <c r="T456" s="111" t="s">
        <v>11</v>
      </c>
      <c r="U456" s="113">
        <v>4.12</v>
      </c>
      <c r="V456" s="113"/>
      <c r="W456" s="113"/>
      <c r="X456" s="113">
        <v>360</v>
      </c>
      <c r="Y456" s="113">
        <v>395</v>
      </c>
      <c r="Z456" s="113">
        <v>480</v>
      </c>
      <c r="AA456" s="114">
        <v>0.32550000000000001</v>
      </c>
      <c r="AB456" s="114">
        <v>0.65100000000000002</v>
      </c>
      <c r="AC456" s="114">
        <v>0.97649999999999992</v>
      </c>
      <c r="AD456" s="114">
        <v>1.6274999999999999</v>
      </c>
      <c r="AE456" s="114">
        <v>2.4412500000000001</v>
      </c>
      <c r="AF456" s="114">
        <v>3.2549999999999999</v>
      </c>
      <c r="AG456" s="114">
        <v>89.794951399999988</v>
      </c>
      <c r="AH456" s="114">
        <v>99.390665599999991</v>
      </c>
      <c r="AI456" s="114">
        <v>99.381222399999999</v>
      </c>
      <c r="AJ456" s="114">
        <v>99.276854799999995</v>
      </c>
      <c r="AK456" s="114">
        <v>99.002583599999994</v>
      </c>
      <c r="AL456" s="114">
        <v>98.779119199999997</v>
      </c>
      <c r="AM456" s="114">
        <v>98.745542799999996</v>
      </c>
      <c r="AN456" s="114">
        <v>92.106059000000002</v>
      </c>
      <c r="AO456" s="114">
        <v>99.351759600000008</v>
      </c>
      <c r="AP456" s="114">
        <v>99.3770016</v>
      </c>
      <c r="AQ456" s="114">
        <v>99.245419999999996</v>
      </c>
      <c r="AR456" s="114">
        <v>98.986043600000002</v>
      </c>
      <c r="AS456" s="114">
        <v>98.754181799999998</v>
      </c>
      <c r="AT456" s="114">
        <v>98.81892092999999</v>
      </c>
      <c r="AU456" s="114">
        <v>95.580213600000008</v>
      </c>
      <c r="AV456" s="114">
        <v>99.428654200000011</v>
      </c>
      <c r="AW456" s="114">
        <v>99.392419000000004</v>
      </c>
      <c r="AX456" s="114">
        <v>99.252379999999988</v>
      </c>
      <c r="AY456" s="114">
        <v>98.997597999999996</v>
      </c>
      <c r="AZ456" s="114">
        <v>98.729736999999986</v>
      </c>
      <c r="BA456" s="114">
        <v>98.969945123999992</v>
      </c>
      <c r="BB456" s="40">
        <v>43252</v>
      </c>
      <c r="BC456" s="40">
        <v>43388</v>
      </c>
    </row>
    <row r="457" spans="1:55" s="120" customFormat="1" ht="45">
      <c r="A457" s="55" t="s">
        <v>28</v>
      </c>
      <c r="B457" s="55" t="s">
        <v>1169</v>
      </c>
      <c r="C457" s="57" t="s">
        <v>10</v>
      </c>
      <c r="D457" s="57" t="s">
        <v>10</v>
      </c>
      <c r="E457" s="43" t="s">
        <v>10</v>
      </c>
      <c r="F457" s="63" t="s">
        <v>11</v>
      </c>
      <c r="G457" s="74" t="s">
        <v>35</v>
      </c>
      <c r="H457" s="35">
        <v>3.2879999999999998</v>
      </c>
      <c r="I457" s="35">
        <v>208</v>
      </c>
      <c r="J457" s="35">
        <v>97</v>
      </c>
      <c r="K457" s="39" t="s">
        <v>1325</v>
      </c>
      <c r="L457" s="128" t="s">
        <v>527</v>
      </c>
      <c r="M457" s="39" t="s">
        <v>528</v>
      </c>
      <c r="N457" s="40">
        <v>43388</v>
      </c>
      <c r="O457" s="128" t="s">
        <v>527</v>
      </c>
      <c r="P457" s="63" t="s">
        <v>17</v>
      </c>
      <c r="Q457" s="63" t="s">
        <v>17</v>
      </c>
      <c r="R457" s="54"/>
      <c r="S457" s="34" t="s">
        <v>10</v>
      </c>
      <c r="T457" s="34" t="s">
        <v>11</v>
      </c>
      <c r="U457" s="35">
        <v>5.55</v>
      </c>
      <c r="V457" s="35"/>
      <c r="W457" s="35"/>
      <c r="X457" s="35">
        <v>320</v>
      </c>
      <c r="Y457" s="35">
        <v>410</v>
      </c>
      <c r="Z457" s="35">
        <v>500</v>
      </c>
      <c r="AA457" s="103">
        <v>0.33</v>
      </c>
      <c r="AB457" s="103">
        <v>0.66</v>
      </c>
      <c r="AC457" s="103">
        <v>0.99</v>
      </c>
      <c r="AD457" s="103">
        <v>1.64</v>
      </c>
      <c r="AE457" s="103">
        <v>2.4700000000000002</v>
      </c>
      <c r="AF457" s="103">
        <v>3.29</v>
      </c>
      <c r="AG457" s="103">
        <v>95.5</v>
      </c>
      <c r="AH457" s="103">
        <v>97.2</v>
      </c>
      <c r="AI457" s="103">
        <v>97.3</v>
      </c>
      <c r="AJ457" s="103">
        <v>97.4</v>
      </c>
      <c r="AK457" s="103">
        <v>97.2</v>
      </c>
      <c r="AL457" s="103">
        <v>97.4</v>
      </c>
      <c r="AM457" s="103">
        <v>97.2</v>
      </c>
      <c r="AN457" s="103">
        <v>94.8</v>
      </c>
      <c r="AO457" s="103">
        <v>96.7</v>
      </c>
      <c r="AP457" s="103">
        <v>97</v>
      </c>
      <c r="AQ457" s="103">
        <v>97.2</v>
      </c>
      <c r="AR457" s="103">
        <v>97</v>
      </c>
      <c r="AS457" s="103">
        <v>96.8</v>
      </c>
      <c r="AT457" s="103">
        <v>96.9</v>
      </c>
      <c r="AU457" s="103">
        <v>93.5</v>
      </c>
      <c r="AV457" s="103">
        <v>96.3</v>
      </c>
      <c r="AW457" s="103">
        <v>96.6</v>
      </c>
      <c r="AX457" s="103">
        <v>96.9</v>
      </c>
      <c r="AY457" s="103">
        <v>96.9</v>
      </c>
      <c r="AZ457" s="103">
        <v>96.8</v>
      </c>
      <c r="BA457" s="103">
        <v>96.7</v>
      </c>
      <c r="BB457" s="40">
        <v>42917</v>
      </c>
      <c r="BC457" s="40">
        <v>43388</v>
      </c>
    </row>
    <row r="458" spans="1:55" s="120" customFormat="1" ht="45">
      <c r="A458" s="41" t="s">
        <v>28</v>
      </c>
      <c r="B458" s="6" t="s">
        <v>1170</v>
      </c>
      <c r="C458" s="141" t="s">
        <v>10</v>
      </c>
      <c r="D458" s="141" t="s">
        <v>10</v>
      </c>
      <c r="E458" s="43" t="s">
        <v>10</v>
      </c>
      <c r="F458" s="63" t="s">
        <v>11</v>
      </c>
      <c r="G458" s="74" t="s">
        <v>733</v>
      </c>
      <c r="H458" s="35">
        <v>3.7469999999999999</v>
      </c>
      <c r="I458" s="35">
        <v>240</v>
      </c>
      <c r="J458" s="35">
        <v>99</v>
      </c>
      <c r="K458" s="39" t="s">
        <v>1325</v>
      </c>
      <c r="L458" s="128" t="s">
        <v>525</v>
      </c>
      <c r="M458" s="39" t="s">
        <v>526</v>
      </c>
      <c r="N458" s="40">
        <v>43388</v>
      </c>
      <c r="O458" s="128" t="s">
        <v>525</v>
      </c>
      <c r="P458" s="63" t="s">
        <v>17</v>
      </c>
      <c r="Q458" s="63" t="s">
        <v>17</v>
      </c>
      <c r="R458" s="54"/>
      <c r="S458" s="34" t="s">
        <v>10</v>
      </c>
      <c r="T458" s="34" t="s">
        <v>11</v>
      </c>
      <c r="U458" s="35">
        <v>0</v>
      </c>
      <c r="V458" s="35"/>
      <c r="W458" s="35"/>
      <c r="X458" s="35">
        <v>360</v>
      </c>
      <c r="Y458" s="35">
        <v>395</v>
      </c>
      <c r="Z458" s="35">
        <v>480</v>
      </c>
      <c r="AA458" s="103">
        <v>0.3</v>
      </c>
      <c r="AB458" s="103">
        <v>0.8</v>
      </c>
      <c r="AC458" s="103">
        <v>1.2</v>
      </c>
      <c r="AD458" s="103">
        <v>2</v>
      </c>
      <c r="AE458" s="103">
        <v>2.8</v>
      </c>
      <c r="AF458" s="103">
        <v>3.6</v>
      </c>
      <c r="AG458" s="103">
        <v>96.56</v>
      </c>
      <c r="AH458" s="103">
        <v>98.4</v>
      </c>
      <c r="AI458" s="103">
        <v>98.82</v>
      </c>
      <c r="AJ458" s="103">
        <v>99.18</v>
      </c>
      <c r="AK458" s="103">
        <v>99.19</v>
      </c>
      <c r="AL458" s="103">
        <v>99.2</v>
      </c>
      <c r="AM458" s="103">
        <v>99</v>
      </c>
      <c r="AN458" s="103">
        <v>96.34</v>
      </c>
      <c r="AO458" s="103">
        <v>98.3</v>
      </c>
      <c r="AP458" s="103">
        <v>98.75</v>
      </c>
      <c r="AQ458" s="103">
        <v>99.14</v>
      </c>
      <c r="AR458" s="103">
        <v>99.16</v>
      </c>
      <c r="AS458" s="103">
        <v>99.12</v>
      </c>
      <c r="AT458" s="103">
        <v>98.95</v>
      </c>
      <c r="AU458" s="103">
        <v>96.72</v>
      </c>
      <c r="AV458" s="103">
        <v>98.57</v>
      </c>
      <c r="AW458" s="103">
        <v>98.82</v>
      </c>
      <c r="AX458" s="103">
        <v>99.07</v>
      </c>
      <c r="AY458" s="103">
        <v>99.17</v>
      </c>
      <c r="AZ458" s="103">
        <v>99.08</v>
      </c>
      <c r="BA458" s="103">
        <v>98.97</v>
      </c>
      <c r="BB458" s="40">
        <v>42917</v>
      </c>
      <c r="BC458" s="40">
        <v>43388</v>
      </c>
    </row>
    <row r="459" spans="1:55" s="120" customFormat="1" ht="87" customHeight="1">
      <c r="A459" s="55" t="s">
        <v>28</v>
      </c>
      <c r="B459" s="55" t="s">
        <v>1171</v>
      </c>
      <c r="C459" s="57" t="s">
        <v>10</v>
      </c>
      <c r="D459" s="57" t="s">
        <v>10</v>
      </c>
      <c r="E459" s="43" t="s">
        <v>10</v>
      </c>
      <c r="F459" s="63" t="s">
        <v>11</v>
      </c>
      <c r="G459" s="74" t="s">
        <v>38</v>
      </c>
      <c r="H459" s="35">
        <v>3.79</v>
      </c>
      <c r="I459" s="35">
        <v>240</v>
      </c>
      <c r="J459" s="35">
        <v>98</v>
      </c>
      <c r="K459" s="39" t="s">
        <v>1325</v>
      </c>
      <c r="L459" s="128" t="s">
        <v>527</v>
      </c>
      <c r="M459" s="39" t="s">
        <v>528</v>
      </c>
      <c r="N459" s="40">
        <v>43388</v>
      </c>
      <c r="O459" s="128" t="s">
        <v>527</v>
      </c>
      <c r="P459" s="63" t="s">
        <v>17</v>
      </c>
      <c r="Q459" s="63" t="s">
        <v>17</v>
      </c>
      <c r="R459" s="54"/>
      <c r="S459" s="34" t="s">
        <v>10</v>
      </c>
      <c r="T459" s="34" t="s">
        <v>11</v>
      </c>
      <c r="U459" s="35">
        <v>2.2400000000000002</v>
      </c>
      <c r="V459" s="35"/>
      <c r="W459" s="35"/>
      <c r="X459" s="35">
        <v>360</v>
      </c>
      <c r="Y459" s="35">
        <v>400</v>
      </c>
      <c r="Z459" s="35">
        <v>480</v>
      </c>
      <c r="AA459" s="103">
        <v>0.38</v>
      </c>
      <c r="AB459" s="103">
        <v>0.76</v>
      </c>
      <c r="AC459" s="103">
        <v>1.1399999999999999</v>
      </c>
      <c r="AD459" s="103">
        <v>1.9</v>
      </c>
      <c r="AE459" s="103">
        <v>2.84</v>
      </c>
      <c r="AF459" s="103">
        <v>3.79</v>
      </c>
      <c r="AG459" s="103">
        <v>96.1</v>
      </c>
      <c r="AH459" s="103">
        <v>97.6</v>
      </c>
      <c r="AI459" s="103">
        <v>98</v>
      </c>
      <c r="AJ459" s="103">
        <v>98.1</v>
      </c>
      <c r="AK459" s="103">
        <v>98.1</v>
      </c>
      <c r="AL459" s="103">
        <v>98.2</v>
      </c>
      <c r="AM459" s="103">
        <v>98</v>
      </c>
      <c r="AN459" s="103">
        <v>95.7</v>
      </c>
      <c r="AO459" s="103">
        <v>97.3</v>
      </c>
      <c r="AP459" s="103">
        <v>97.8</v>
      </c>
      <c r="AQ459" s="103">
        <v>98.1</v>
      </c>
      <c r="AR459" s="103">
        <v>98</v>
      </c>
      <c r="AS459" s="103">
        <v>98.2</v>
      </c>
      <c r="AT459" s="103">
        <v>97.9</v>
      </c>
      <c r="AU459" s="103">
        <v>94.6</v>
      </c>
      <c r="AV459" s="103">
        <v>96.8</v>
      </c>
      <c r="AW459" s="103">
        <v>97.5</v>
      </c>
      <c r="AX459" s="103">
        <v>97.9</v>
      </c>
      <c r="AY459" s="103">
        <v>97.9</v>
      </c>
      <c r="AZ459" s="103">
        <v>97.8</v>
      </c>
      <c r="BA459" s="103">
        <v>97.6</v>
      </c>
      <c r="BB459" s="40">
        <v>42917</v>
      </c>
      <c r="BC459" s="40">
        <v>43388</v>
      </c>
    </row>
    <row r="460" spans="1:55" s="120" customFormat="1" ht="87" customHeight="1">
      <c r="A460" s="55" t="s">
        <v>28</v>
      </c>
      <c r="B460" s="55" t="s">
        <v>1172</v>
      </c>
      <c r="C460" s="57" t="s">
        <v>10</v>
      </c>
      <c r="D460" s="57" t="s">
        <v>10</v>
      </c>
      <c r="E460" s="43" t="s">
        <v>10</v>
      </c>
      <c r="F460" s="63" t="s">
        <v>11</v>
      </c>
      <c r="G460" s="74" t="s">
        <v>37</v>
      </c>
      <c r="H460" s="35">
        <v>3.99</v>
      </c>
      <c r="I460" s="35">
        <v>208</v>
      </c>
      <c r="J460" s="35">
        <v>97</v>
      </c>
      <c r="K460" s="39" t="s">
        <v>1325</v>
      </c>
      <c r="L460" s="128" t="s">
        <v>527</v>
      </c>
      <c r="M460" s="39" t="s">
        <v>528</v>
      </c>
      <c r="N460" s="40">
        <v>43388</v>
      </c>
      <c r="O460" s="128" t="s">
        <v>527</v>
      </c>
      <c r="P460" s="63" t="s">
        <v>17</v>
      </c>
      <c r="Q460" s="63" t="s">
        <v>17</v>
      </c>
      <c r="R460" s="54"/>
      <c r="S460" s="34" t="s">
        <v>10</v>
      </c>
      <c r="T460" s="34" t="s">
        <v>11</v>
      </c>
      <c r="U460" s="35">
        <v>5.0999999999999996</v>
      </c>
      <c r="V460" s="35"/>
      <c r="W460" s="35"/>
      <c r="X460" s="35">
        <v>320</v>
      </c>
      <c r="Y460" s="35">
        <v>410</v>
      </c>
      <c r="Z460" s="35">
        <v>500</v>
      </c>
      <c r="AA460" s="103">
        <v>0.4</v>
      </c>
      <c r="AB460" s="103">
        <v>0.8</v>
      </c>
      <c r="AC460" s="103">
        <v>1.2</v>
      </c>
      <c r="AD460" s="103">
        <v>2</v>
      </c>
      <c r="AE460" s="103">
        <v>2.99</v>
      </c>
      <c r="AF460" s="103">
        <v>3.99</v>
      </c>
      <c r="AG460" s="103">
        <v>95.5</v>
      </c>
      <c r="AH460" s="103">
        <v>97.2</v>
      </c>
      <c r="AI460" s="103">
        <v>97.3</v>
      </c>
      <c r="AJ460" s="103">
        <v>97.3</v>
      </c>
      <c r="AK460" s="103">
        <v>97.4</v>
      </c>
      <c r="AL460" s="103">
        <v>97.1</v>
      </c>
      <c r="AM460" s="103">
        <v>97.3</v>
      </c>
      <c r="AN460" s="103">
        <v>94.8</v>
      </c>
      <c r="AO460" s="103">
        <v>96.7</v>
      </c>
      <c r="AP460" s="103">
        <v>97.1</v>
      </c>
      <c r="AQ460" s="103">
        <v>97.2</v>
      </c>
      <c r="AR460" s="103">
        <v>96.8</v>
      </c>
      <c r="AS460" s="103">
        <v>97</v>
      </c>
      <c r="AT460" s="103">
        <v>96.9</v>
      </c>
      <c r="AU460" s="103">
        <v>93.5</v>
      </c>
      <c r="AV460" s="103">
        <v>96.3</v>
      </c>
      <c r="AW460" s="103">
        <v>96.8</v>
      </c>
      <c r="AX460" s="103">
        <v>96.9</v>
      </c>
      <c r="AY460" s="103">
        <v>96.8</v>
      </c>
      <c r="AZ460" s="103">
        <v>96.4</v>
      </c>
      <c r="BA460" s="103">
        <v>96.6</v>
      </c>
      <c r="BB460" s="40">
        <v>42917</v>
      </c>
      <c r="BC460" s="40">
        <v>43388</v>
      </c>
    </row>
    <row r="461" spans="1:55" s="120" customFormat="1" ht="87" customHeight="1">
      <c r="A461" s="41" t="s">
        <v>28</v>
      </c>
      <c r="B461" s="6" t="s">
        <v>1173</v>
      </c>
      <c r="C461" s="141" t="s">
        <v>10</v>
      </c>
      <c r="D461" s="141" t="s">
        <v>10</v>
      </c>
      <c r="E461" s="43" t="s">
        <v>10</v>
      </c>
      <c r="F461" s="63" t="s">
        <v>11</v>
      </c>
      <c r="G461" s="74" t="s">
        <v>734</v>
      </c>
      <c r="H461" s="54">
        <v>4.9790000000000001</v>
      </c>
      <c r="I461" s="35">
        <v>208</v>
      </c>
      <c r="J461" s="54">
        <v>98.5</v>
      </c>
      <c r="K461" s="39" t="s">
        <v>1325</v>
      </c>
      <c r="L461" s="128" t="s">
        <v>525</v>
      </c>
      <c r="M461" s="39" t="s">
        <v>526</v>
      </c>
      <c r="N461" s="40">
        <v>43388</v>
      </c>
      <c r="O461" s="128" t="s">
        <v>525</v>
      </c>
      <c r="P461" s="63" t="s">
        <v>17</v>
      </c>
      <c r="Q461" s="63" t="s">
        <v>17</v>
      </c>
      <c r="R461" s="54"/>
      <c r="S461" s="34" t="s">
        <v>10</v>
      </c>
      <c r="T461" s="34" t="s">
        <v>11</v>
      </c>
      <c r="U461" s="35">
        <v>4.51</v>
      </c>
      <c r="V461" s="35"/>
      <c r="W461" s="35"/>
      <c r="X461" s="35">
        <v>360</v>
      </c>
      <c r="Y461" s="35">
        <v>395</v>
      </c>
      <c r="Z461" s="35">
        <v>480</v>
      </c>
      <c r="AA461" s="103">
        <v>0.4</v>
      </c>
      <c r="AB461" s="103">
        <v>1</v>
      </c>
      <c r="AC461" s="103">
        <v>1.6</v>
      </c>
      <c r="AD461" s="103">
        <v>2.7</v>
      </c>
      <c r="AE461" s="103">
        <v>3.6</v>
      </c>
      <c r="AF461" s="103">
        <v>4.9000000000000004</v>
      </c>
      <c r="AG461" s="103">
        <v>96.58</v>
      </c>
      <c r="AH461" s="103">
        <v>98.34</v>
      </c>
      <c r="AI461" s="103">
        <v>98.72</v>
      </c>
      <c r="AJ461" s="103">
        <v>98.82</v>
      </c>
      <c r="AK461" s="103">
        <v>98.82</v>
      </c>
      <c r="AL461" s="103">
        <v>98.91</v>
      </c>
      <c r="AM461" s="103">
        <v>98.7</v>
      </c>
      <c r="AN461" s="103">
        <v>96.34</v>
      </c>
      <c r="AO461" s="103">
        <v>98.22</v>
      </c>
      <c r="AP461" s="103">
        <v>98.64</v>
      </c>
      <c r="AQ461" s="103">
        <v>98.76</v>
      </c>
      <c r="AR461" s="103">
        <v>98.77</v>
      </c>
      <c r="AS461" s="103">
        <v>98.64</v>
      </c>
      <c r="AT461" s="103">
        <v>98.62</v>
      </c>
      <c r="AU461" s="103">
        <v>95.89</v>
      </c>
      <c r="AV461" s="103">
        <v>97.99</v>
      </c>
      <c r="AW461" s="103">
        <v>98.46</v>
      </c>
      <c r="AX461" s="103">
        <v>98.68</v>
      </c>
      <c r="AY461" s="103">
        <v>98.7</v>
      </c>
      <c r="AZ461" s="103">
        <v>98.57</v>
      </c>
      <c r="BA461" s="103">
        <v>98.51</v>
      </c>
      <c r="BB461" s="40">
        <v>42917</v>
      </c>
      <c r="BC461" s="40">
        <v>43388</v>
      </c>
    </row>
    <row r="462" spans="1:55" s="120" customFormat="1" ht="87" customHeight="1">
      <c r="A462" s="55" t="s">
        <v>28</v>
      </c>
      <c r="B462" s="55" t="s">
        <v>1174</v>
      </c>
      <c r="C462" s="57" t="s">
        <v>10</v>
      </c>
      <c r="D462" s="57" t="s">
        <v>10</v>
      </c>
      <c r="E462" s="43" t="s">
        <v>10</v>
      </c>
      <c r="F462" s="63" t="s">
        <v>11</v>
      </c>
      <c r="G462" s="74" t="s">
        <v>39</v>
      </c>
      <c r="H462" s="35">
        <v>4.9800000000000004</v>
      </c>
      <c r="I462" s="35">
        <v>208</v>
      </c>
      <c r="J462" s="35">
        <v>97</v>
      </c>
      <c r="K462" s="39" t="s">
        <v>1325</v>
      </c>
      <c r="L462" s="128" t="s">
        <v>527</v>
      </c>
      <c r="M462" s="39" t="s">
        <v>528</v>
      </c>
      <c r="N462" s="40">
        <v>43388</v>
      </c>
      <c r="O462" s="128" t="s">
        <v>527</v>
      </c>
      <c r="P462" s="63" t="s">
        <v>17</v>
      </c>
      <c r="Q462" s="63" t="s">
        <v>17</v>
      </c>
      <c r="R462" s="54"/>
      <c r="S462" s="34" t="s">
        <v>10</v>
      </c>
      <c r="T462" s="34" t="s">
        <v>11</v>
      </c>
      <c r="U462" s="35">
        <v>5.46</v>
      </c>
      <c r="V462" s="35"/>
      <c r="W462" s="35"/>
      <c r="X462" s="35">
        <v>320</v>
      </c>
      <c r="Y462" s="35">
        <v>410</v>
      </c>
      <c r="Z462" s="35">
        <v>500</v>
      </c>
      <c r="AA462" s="103">
        <v>0.5</v>
      </c>
      <c r="AB462" s="103">
        <v>1</v>
      </c>
      <c r="AC462" s="103">
        <v>1.49</v>
      </c>
      <c r="AD462" s="103">
        <v>2.4900000000000002</v>
      </c>
      <c r="AE462" s="103">
        <v>3.73</v>
      </c>
      <c r="AF462" s="103">
        <v>4.9800000000000004</v>
      </c>
      <c r="AG462" s="103">
        <v>96.6</v>
      </c>
      <c r="AH462" s="103">
        <v>97.3</v>
      </c>
      <c r="AI462" s="103">
        <v>97.4</v>
      </c>
      <c r="AJ462" s="103">
        <v>97.2</v>
      </c>
      <c r="AK462" s="103">
        <v>97.1</v>
      </c>
      <c r="AL462" s="103">
        <v>96.6</v>
      </c>
      <c r="AM462" s="103">
        <v>97.1</v>
      </c>
      <c r="AN462" s="103">
        <v>95.9</v>
      </c>
      <c r="AO462" s="103">
        <v>97</v>
      </c>
      <c r="AP462" s="103">
        <v>97.2</v>
      </c>
      <c r="AQ462" s="103">
        <v>97</v>
      </c>
      <c r="AR462" s="103">
        <v>97</v>
      </c>
      <c r="AS462" s="103">
        <v>96.6</v>
      </c>
      <c r="AT462" s="103">
        <v>97</v>
      </c>
      <c r="AU462" s="103">
        <v>96.2</v>
      </c>
      <c r="AV462" s="103">
        <v>96.6</v>
      </c>
      <c r="AW462" s="103">
        <v>96.9</v>
      </c>
      <c r="AX462" s="103">
        <v>96.9</v>
      </c>
      <c r="AY462" s="103">
        <v>96.4</v>
      </c>
      <c r="AZ462" s="103">
        <v>96.5</v>
      </c>
      <c r="BA462" s="103">
        <v>96.5</v>
      </c>
      <c r="BB462" s="40">
        <v>42917</v>
      </c>
      <c r="BC462" s="40">
        <v>43388</v>
      </c>
    </row>
    <row r="463" spans="1:55" s="120" customFormat="1" ht="87" customHeight="1">
      <c r="A463" s="55" t="s">
        <v>28</v>
      </c>
      <c r="B463" s="55" t="s">
        <v>1175</v>
      </c>
      <c r="C463" s="57" t="s">
        <v>10</v>
      </c>
      <c r="D463" s="57" t="s">
        <v>10</v>
      </c>
      <c r="E463" s="43" t="s">
        <v>10</v>
      </c>
      <c r="F463" s="63" t="s">
        <v>11</v>
      </c>
      <c r="G463" s="74" t="s">
        <v>40</v>
      </c>
      <c r="H463" s="35">
        <v>4.99</v>
      </c>
      <c r="I463" s="35">
        <v>240</v>
      </c>
      <c r="J463" s="35">
        <v>98</v>
      </c>
      <c r="K463" s="39" t="s">
        <v>1325</v>
      </c>
      <c r="L463" s="128" t="s">
        <v>527</v>
      </c>
      <c r="M463" s="39" t="s">
        <v>528</v>
      </c>
      <c r="N463" s="40">
        <v>43388</v>
      </c>
      <c r="O463" s="128" t="s">
        <v>527</v>
      </c>
      <c r="P463" s="63" t="s">
        <v>17</v>
      </c>
      <c r="Q463" s="63" t="s">
        <v>17</v>
      </c>
      <c r="R463" s="54"/>
      <c r="S463" s="34" t="s">
        <v>10</v>
      </c>
      <c r="T463" s="34" t="s">
        <v>11</v>
      </c>
      <c r="U463" s="35">
        <v>2.2400000000000002</v>
      </c>
      <c r="V463" s="35"/>
      <c r="W463" s="35"/>
      <c r="X463" s="35">
        <v>370</v>
      </c>
      <c r="Y463" s="35">
        <v>400</v>
      </c>
      <c r="Z463" s="35">
        <v>480</v>
      </c>
      <c r="AA463" s="103">
        <v>0.5</v>
      </c>
      <c r="AB463" s="103">
        <v>1</v>
      </c>
      <c r="AC463" s="103">
        <v>1.5</v>
      </c>
      <c r="AD463" s="103">
        <v>2.5</v>
      </c>
      <c r="AE463" s="103">
        <v>3.74</v>
      </c>
      <c r="AF463" s="103">
        <v>4.99</v>
      </c>
      <c r="AG463" s="103">
        <v>96.7</v>
      </c>
      <c r="AH463" s="103">
        <v>97.9</v>
      </c>
      <c r="AI463" s="103">
        <v>98.1</v>
      </c>
      <c r="AJ463" s="103">
        <v>98.1</v>
      </c>
      <c r="AK463" s="103">
        <v>98.3</v>
      </c>
      <c r="AL463" s="103">
        <v>98.1</v>
      </c>
      <c r="AM463" s="103">
        <v>98.1</v>
      </c>
      <c r="AN463" s="103">
        <v>96.4</v>
      </c>
      <c r="AO463" s="103">
        <v>97.7</v>
      </c>
      <c r="AP463" s="103">
        <v>98</v>
      </c>
      <c r="AQ463" s="103">
        <v>98</v>
      </c>
      <c r="AR463" s="103">
        <v>98.2</v>
      </c>
      <c r="AS463" s="103">
        <v>98</v>
      </c>
      <c r="AT463" s="103">
        <v>98</v>
      </c>
      <c r="AU463" s="103">
        <v>95.7</v>
      </c>
      <c r="AV463" s="103">
        <v>97.4</v>
      </c>
      <c r="AW463" s="103">
        <v>97.7</v>
      </c>
      <c r="AX463" s="103">
        <v>97.8</v>
      </c>
      <c r="AY463" s="103">
        <v>97.8</v>
      </c>
      <c r="AZ463" s="103">
        <v>97.9</v>
      </c>
      <c r="BA463" s="103">
        <v>97.7</v>
      </c>
      <c r="BB463" s="40">
        <v>42917</v>
      </c>
      <c r="BC463" s="40">
        <v>43388</v>
      </c>
    </row>
    <row r="464" spans="1:55" s="120" customFormat="1" ht="87" customHeight="1">
      <c r="A464" s="41" t="s">
        <v>28</v>
      </c>
      <c r="B464" s="6" t="s">
        <v>1176</v>
      </c>
      <c r="C464" s="141" t="s">
        <v>10</v>
      </c>
      <c r="D464" s="141" t="s">
        <v>10</v>
      </c>
      <c r="E464" s="43" t="s">
        <v>10</v>
      </c>
      <c r="F464" s="63" t="s">
        <v>11</v>
      </c>
      <c r="G464" s="74" t="s">
        <v>735</v>
      </c>
      <c r="H464" s="54">
        <v>5.0519999999999996</v>
      </c>
      <c r="I464" s="35">
        <v>240</v>
      </c>
      <c r="J464" s="54">
        <v>99</v>
      </c>
      <c r="K464" s="39" t="s">
        <v>1325</v>
      </c>
      <c r="L464" s="128" t="s">
        <v>525</v>
      </c>
      <c r="M464" s="39" t="s">
        <v>526</v>
      </c>
      <c r="N464" s="40">
        <v>43388</v>
      </c>
      <c r="O464" s="128" t="s">
        <v>525</v>
      </c>
      <c r="P464" s="63" t="s">
        <v>17</v>
      </c>
      <c r="Q464" s="63" t="s">
        <v>17</v>
      </c>
      <c r="R464" s="54"/>
      <c r="S464" s="34" t="s">
        <v>10</v>
      </c>
      <c r="T464" s="34" t="s">
        <v>11</v>
      </c>
      <c r="U464" s="35">
        <v>4.5199999999999996</v>
      </c>
      <c r="V464" s="35"/>
      <c r="W464" s="35"/>
      <c r="X464" s="35">
        <v>360</v>
      </c>
      <c r="Y464" s="35">
        <v>395</v>
      </c>
      <c r="Z464" s="35">
        <v>480</v>
      </c>
      <c r="AA464" s="103">
        <v>0.4</v>
      </c>
      <c r="AB464" s="103">
        <v>1</v>
      </c>
      <c r="AC464" s="103">
        <v>1.6</v>
      </c>
      <c r="AD464" s="103">
        <v>2.7</v>
      </c>
      <c r="AE464" s="103">
        <v>3.6</v>
      </c>
      <c r="AF464" s="103">
        <v>4.9000000000000004</v>
      </c>
      <c r="AG464" s="103">
        <v>96.65</v>
      </c>
      <c r="AH464" s="103">
        <v>98.42</v>
      </c>
      <c r="AI464" s="103">
        <v>98.79</v>
      </c>
      <c r="AJ464" s="103">
        <v>99</v>
      </c>
      <c r="AK464" s="103">
        <v>98.97</v>
      </c>
      <c r="AL464" s="103">
        <v>99.11</v>
      </c>
      <c r="AM464" s="103">
        <v>98.84</v>
      </c>
      <c r="AN464" s="103">
        <v>96.38</v>
      </c>
      <c r="AO464" s="103">
        <v>98.28</v>
      </c>
      <c r="AP464" s="103">
        <v>98.7</v>
      </c>
      <c r="AQ464" s="103">
        <v>98.94</v>
      </c>
      <c r="AR464" s="103">
        <v>98.92</v>
      </c>
      <c r="AS464" s="103">
        <v>98.86</v>
      </c>
      <c r="AT464" s="103">
        <v>98.76</v>
      </c>
      <c r="AU464" s="103">
        <v>96.03</v>
      </c>
      <c r="AV464" s="103">
        <v>98.07</v>
      </c>
      <c r="AW464" s="103">
        <v>98.57</v>
      </c>
      <c r="AX464" s="103">
        <v>98.87</v>
      </c>
      <c r="AY464" s="103">
        <v>98.87</v>
      </c>
      <c r="AZ464" s="103">
        <v>98.81</v>
      </c>
      <c r="BA464" s="103">
        <v>98.68</v>
      </c>
      <c r="BB464" s="40">
        <v>42917</v>
      </c>
      <c r="BC464" s="40">
        <v>43388</v>
      </c>
    </row>
    <row r="465" spans="1:55" s="120" customFormat="1" ht="87" customHeight="1">
      <c r="A465" s="41" t="s">
        <v>28</v>
      </c>
      <c r="B465" s="41" t="s">
        <v>1177</v>
      </c>
      <c r="C465" s="43" t="s">
        <v>10</v>
      </c>
      <c r="D465" s="43" t="s">
        <v>10</v>
      </c>
      <c r="E465" s="43" t="s">
        <v>10</v>
      </c>
      <c r="F465" s="63" t="s">
        <v>11</v>
      </c>
      <c r="G465" s="41" t="s">
        <v>731</v>
      </c>
      <c r="H465" s="27">
        <v>5.0540000000000003</v>
      </c>
      <c r="I465" s="109">
        <v>208</v>
      </c>
      <c r="J465" s="27">
        <v>99</v>
      </c>
      <c r="K465" s="39" t="s">
        <v>1325</v>
      </c>
      <c r="L465" s="130" t="s">
        <v>653</v>
      </c>
      <c r="M465" s="110" t="s">
        <v>730</v>
      </c>
      <c r="N465" s="40">
        <v>43388</v>
      </c>
      <c r="O465" s="130" t="s">
        <v>653</v>
      </c>
      <c r="P465" s="63" t="s">
        <v>17</v>
      </c>
      <c r="Q465" s="63" t="s">
        <v>17</v>
      </c>
      <c r="R465" s="112"/>
      <c r="S465" s="111" t="s">
        <v>11</v>
      </c>
      <c r="T465" s="111" t="s">
        <v>11</v>
      </c>
      <c r="U465" s="113">
        <v>4.5199999999999996</v>
      </c>
      <c r="V465" s="113"/>
      <c r="W465" s="113"/>
      <c r="X465" s="113">
        <v>360</v>
      </c>
      <c r="Y465" s="113">
        <v>395</v>
      </c>
      <c r="Z465" s="113">
        <v>480</v>
      </c>
      <c r="AA465" s="114">
        <v>0.50540000000000007</v>
      </c>
      <c r="AB465" s="114">
        <v>1.0108000000000001</v>
      </c>
      <c r="AC465" s="114">
        <v>1.5162</v>
      </c>
      <c r="AD465" s="114">
        <v>2.5270000000000001</v>
      </c>
      <c r="AE465" s="114">
        <v>3.7905000000000002</v>
      </c>
      <c r="AF465" s="114">
        <v>5.0540000000000003</v>
      </c>
      <c r="AG465" s="114">
        <v>96.654559199999994</v>
      </c>
      <c r="AH465" s="114">
        <v>98.420969200000002</v>
      </c>
      <c r="AI465" s="114">
        <v>98.787293800000015</v>
      </c>
      <c r="AJ465" s="114">
        <v>99.000340600000001</v>
      </c>
      <c r="AK465" s="114">
        <v>98.967589000000004</v>
      </c>
      <c r="AL465" s="114">
        <v>99.110835400000013</v>
      </c>
      <c r="AM465" s="114">
        <v>98.840141549999998</v>
      </c>
      <c r="AN465" s="114">
        <v>96.37568619999999</v>
      </c>
      <c r="AO465" s="114">
        <v>98.283448399999997</v>
      </c>
      <c r="AP465" s="114">
        <v>98.700434599999994</v>
      </c>
      <c r="AQ465" s="114">
        <v>98.938382000000004</v>
      </c>
      <c r="AR465" s="114">
        <v>98.920587600000005</v>
      </c>
      <c r="AS465" s="114">
        <v>98.860395799999992</v>
      </c>
      <c r="AT465" s="114">
        <v>98.761243457999996</v>
      </c>
      <c r="AU465" s="114">
        <v>96.028461199999995</v>
      </c>
      <c r="AV465" s="114">
        <v>98.068861199999986</v>
      </c>
      <c r="AW465" s="114">
        <v>98.565832799999995</v>
      </c>
      <c r="AX465" s="114">
        <v>98.868919599999998</v>
      </c>
      <c r="AY465" s="114">
        <v>98.870164399999993</v>
      </c>
      <c r="AZ465" s="114">
        <v>98.805445199999994</v>
      </c>
      <c r="BA465" s="114">
        <v>98.67641395199999</v>
      </c>
      <c r="BB465" s="40">
        <v>43252</v>
      </c>
      <c r="BC465" s="40">
        <v>43388</v>
      </c>
    </row>
    <row r="466" spans="1:55" s="120" customFormat="1" ht="87" customHeight="1">
      <c r="A466" s="55" t="s">
        <v>28</v>
      </c>
      <c r="B466" s="55" t="s">
        <v>1178</v>
      </c>
      <c r="C466" s="57" t="s">
        <v>10</v>
      </c>
      <c r="D466" s="57" t="s">
        <v>10</v>
      </c>
      <c r="E466" s="43" t="s">
        <v>10</v>
      </c>
      <c r="F466" s="63" t="s">
        <v>11</v>
      </c>
      <c r="G466" s="74" t="s">
        <v>41</v>
      </c>
      <c r="H466" s="35">
        <v>5.33</v>
      </c>
      <c r="I466" s="35">
        <v>208</v>
      </c>
      <c r="J466" s="35">
        <v>97</v>
      </c>
      <c r="K466" s="39" t="s">
        <v>1325</v>
      </c>
      <c r="L466" s="128" t="s">
        <v>527</v>
      </c>
      <c r="M466" s="39" t="s">
        <v>528</v>
      </c>
      <c r="N466" s="40">
        <v>43388</v>
      </c>
      <c r="O466" s="128" t="s">
        <v>527</v>
      </c>
      <c r="P466" s="63" t="s">
        <v>17</v>
      </c>
      <c r="Q466" s="63" t="s">
        <v>17</v>
      </c>
      <c r="R466" s="54"/>
      <c r="S466" s="34" t="s">
        <v>10</v>
      </c>
      <c r="T466" s="34" t="s">
        <v>11</v>
      </c>
      <c r="U466" s="35">
        <v>5.22</v>
      </c>
      <c r="V466" s="35"/>
      <c r="W466" s="35"/>
      <c r="X466" s="35">
        <v>320</v>
      </c>
      <c r="Y466" s="35">
        <v>410</v>
      </c>
      <c r="Z466" s="35">
        <v>500</v>
      </c>
      <c r="AA466" s="103">
        <v>0.53</v>
      </c>
      <c r="AB466" s="103">
        <v>1.07</v>
      </c>
      <c r="AC466" s="103">
        <v>1.6</v>
      </c>
      <c r="AD466" s="103">
        <v>2.66</v>
      </c>
      <c r="AE466" s="103">
        <v>3.99</v>
      </c>
      <c r="AF466" s="103">
        <v>5.33</v>
      </c>
      <c r="AG466" s="103">
        <v>96.6</v>
      </c>
      <c r="AH466" s="103">
        <v>97.3</v>
      </c>
      <c r="AI466" s="103">
        <v>97.4</v>
      </c>
      <c r="AJ466" s="103">
        <v>97.2</v>
      </c>
      <c r="AK466" s="103">
        <v>97.1</v>
      </c>
      <c r="AL466" s="103">
        <v>96.4</v>
      </c>
      <c r="AM466" s="103">
        <v>97.1</v>
      </c>
      <c r="AN466" s="103">
        <v>95.9</v>
      </c>
      <c r="AO466" s="103">
        <v>97</v>
      </c>
      <c r="AP466" s="103">
        <v>97.2</v>
      </c>
      <c r="AQ466" s="103">
        <v>97</v>
      </c>
      <c r="AR466" s="103">
        <v>97</v>
      </c>
      <c r="AS466" s="103">
        <v>96.4</v>
      </c>
      <c r="AT466" s="103">
        <v>97</v>
      </c>
      <c r="AU466" s="103">
        <v>96.2</v>
      </c>
      <c r="AV466" s="103">
        <v>96.6</v>
      </c>
      <c r="AW466" s="103">
        <v>96.9</v>
      </c>
      <c r="AX466" s="103">
        <v>96.9</v>
      </c>
      <c r="AY466" s="103">
        <v>96.4</v>
      </c>
      <c r="AZ466" s="103">
        <v>96.3</v>
      </c>
      <c r="BA466" s="103">
        <v>96.5</v>
      </c>
      <c r="BB466" s="40">
        <v>42917</v>
      </c>
      <c r="BC466" s="40">
        <v>43388</v>
      </c>
    </row>
    <row r="467" spans="1:55" s="120" customFormat="1" ht="45">
      <c r="A467" s="55" t="s">
        <v>28</v>
      </c>
      <c r="B467" s="55" t="s">
        <v>1179</v>
      </c>
      <c r="C467" s="57" t="s">
        <v>10</v>
      </c>
      <c r="D467" s="57" t="s">
        <v>10</v>
      </c>
      <c r="E467" s="43" t="s">
        <v>10</v>
      </c>
      <c r="F467" s="63" t="s">
        <v>11</v>
      </c>
      <c r="G467" s="74" t="s">
        <v>42</v>
      </c>
      <c r="H467" s="35">
        <v>5.99</v>
      </c>
      <c r="I467" s="35">
        <v>240</v>
      </c>
      <c r="J467" s="35">
        <v>97.5</v>
      </c>
      <c r="K467" s="39" t="s">
        <v>1325</v>
      </c>
      <c r="L467" s="128" t="s">
        <v>527</v>
      </c>
      <c r="M467" s="39" t="s">
        <v>528</v>
      </c>
      <c r="N467" s="40">
        <v>43388</v>
      </c>
      <c r="O467" s="128" t="s">
        <v>527</v>
      </c>
      <c r="P467" s="63" t="s">
        <v>17</v>
      </c>
      <c r="Q467" s="63" t="s">
        <v>17</v>
      </c>
      <c r="R467" s="54"/>
      <c r="S467" s="34" t="s">
        <v>10</v>
      </c>
      <c r="T467" s="34" t="s">
        <v>11</v>
      </c>
      <c r="U467" s="35">
        <v>3.52</v>
      </c>
      <c r="V467" s="35"/>
      <c r="W467" s="35"/>
      <c r="X467" s="35">
        <v>370</v>
      </c>
      <c r="Y467" s="35">
        <v>435</v>
      </c>
      <c r="Z467" s="35">
        <v>500</v>
      </c>
      <c r="AA467" s="103">
        <v>0.6</v>
      </c>
      <c r="AB467" s="103">
        <v>1.2</v>
      </c>
      <c r="AC467" s="103">
        <v>1.8</v>
      </c>
      <c r="AD467" s="103">
        <v>3</v>
      </c>
      <c r="AE467" s="103">
        <v>4.5</v>
      </c>
      <c r="AF467" s="103">
        <v>5.99</v>
      </c>
      <c r="AG467" s="103">
        <v>96.5</v>
      </c>
      <c r="AH467" s="103">
        <v>97.6</v>
      </c>
      <c r="AI467" s="103">
        <v>97.7</v>
      </c>
      <c r="AJ467" s="103">
        <v>97.5</v>
      </c>
      <c r="AK467" s="103">
        <v>97.3</v>
      </c>
      <c r="AL467" s="103">
        <v>97</v>
      </c>
      <c r="AM467" s="103">
        <v>97.4</v>
      </c>
      <c r="AN467" s="103">
        <v>96</v>
      </c>
      <c r="AO467" s="103">
        <v>97.4</v>
      </c>
      <c r="AP467" s="103">
        <v>97.5</v>
      </c>
      <c r="AQ467" s="103">
        <v>97.3</v>
      </c>
      <c r="AR467" s="103">
        <v>97.3</v>
      </c>
      <c r="AS467" s="103">
        <v>97</v>
      </c>
      <c r="AT467" s="103">
        <v>97.3</v>
      </c>
      <c r="AU467" s="103">
        <v>95.7</v>
      </c>
      <c r="AV467" s="103">
        <v>97.1</v>
      </c>
      <c r="AW467" s="103">
        <v>97.3</v>
      </c>
      <c r="AX467" s="103">
        <v>97.2</v>
      </c>
      <c r="AY467" s="103">
        <v>97.3</v>
      </c>
      <c r="AZ467" s="103">
        <v>96.9</v>
      </c>
      <c r="BA467" s="103">
        <v>97.2</v>
      </c>
      <c r="BB467" s="40">
        <v>42917</v>
      </c>
      <c r="BC467" s="40">
        <v>43388</v>
      </c>
    </row>
    <row r="468" spans="1:55" s="120" customFormat="1" ht="45">
      <c r="A468" s="41" t="s">
        <v>28</v>
      </c>
      <c r="B468" s="6" t="s">
        <v>1180</v>
      </c>
      <c r="C468" s="141" t="s">
        <v>10</v>
      </c>
      <c r="D468" s="141" t="s">
        <v>10</v>
      </c>
      <c r="E468" s="43" t="s">
        <v>10</v>
      </c>
      <c r="F468" s="63" t="s">
        <v>11</v>
      </c>
      <c r="G468" s="74" t="s">
        <v>736</v>
      </c>
      <c r="H468" s="54">
        <v>6.0460000000000003</v>
      </c>
      <c r="I468" s="35">
        <v>240</v>
      </c>
      <c r="J468" s="54">
        <v>99</v>
      </c>
      <c r="K468" s="39" t="s">
        <v>1325</v>
      </c>
      <c r="L468" s="128" t="s">
        <v>525</v>
      </c>
      <c r="M468" s="39" t="s">
        <v>526</v>
      </c>
      <c r="N468" s="40">
        <v>43388</v>
      </c>
      <c r="O468" s="128" t="s">
        <v>525</v>
      </c>
      <c r="P468" s="63" t="s">
        <v>17</v>
      </c>
      <c r="Q468" s="63" t="s">
        <v>17</v>
      </c>
      <c r="R468" s="54"/>
      <c r="S468" s="34" t="s">
        <v>10</v>
      </c>
      <c r="T468" s="34" t="s">
        <v>11</v>
      </c>
      <c r="U468" s="35">
        <v>4.5199999999999996</v>
      </c>
      <c r="V468" s="35"/>
      <c r="W468" s="35"/>
      <c r="X468" s="35">
        <v>360</v>
      </c>
      <c r="Y468" s="35">
        <v>395</v>
      </c>
      <c r="Z468" s="35">
        <v>480</v>
      </c>
      <c r="AA468" s="103">
        <v>0.5</v>
      </c>
      <c r="AB468" s="103">
        <v>1.3</v>
      </c>
      <c r="AC468" s="103">
        <v>1.9</v>
      </c>
      <c r="AD468" s="103">
        <v>3</v>
      </c>
      <c r="AE468" s="103">
        <v>4.3</v>
      </c>
      <c r="AF468" s="103">
        <v>5.8</v>
      </c>
      <c r="AG468" s="103">
        <v>97.17</v>
      </c>
      <c r="AH468" s="103">
        <v>98.61</v>
      </c>
      <c r="AI468" s="103">
        <v>98.9</v>
      </c>
      <c r="AJ468" s="103">
        <v>98.95</v>
      </c>
      <c r="AK468" s="103">
        <v>98.95</v>
      </c>
      <c r="AL468" s="103">
        <v>98.98</v>
      </c>
      <c r="AM468" s="103">
        <v>98.96</v>
      </c>
      <c r="AN468" s="103">
        <v>96.95</v>
      </c>
      <c r="AO468" s="103">
        <v>98.51</v>
      </c>
      <c r="AP468" s="103">
        <v>98.82</v>
      </c>
      <c r="AQ468" s="103">
        <v>98.89</v>
      </c>
      <c r="AR468" s="103">
        <v>98.9</v>
      </c>
      <c r="AS468" s="103">
        <v>98.95</v>
      </c>
      <c r="AT468" s="103">
        <v>98.79</v>
      </c>
      <c r="AU468" s="103">
        <v>96.65</v>
      </c>
      <c r="AV468" s="103">
        <v>98.32</v>
      </c>
      <c r="AW468" s="103">
        <v>98.7</v>
      </c>
      <c r="AX468" s="103">
        <v>98.83</v>
      </c>
      <c r="AY468" s="103">
        <v>98.85</v>
      </c>
      <c r="AZ468" s="103">
        <v>98.71</v>
      </c>
      <c r="BA468" s="103">
        <v>98.7</v>
      </c>
      <c r="BB468" s="40">
        <v>42917</v>
      </c>
      <c r="BC468" s="40">
        <v>43388</v>
      </c>
    </row>
    <row r="469" spans="1:55" s="120" customFormat="1" ht="45">
      <c r="A469" s="55" t="s">
        <v>28</v>
      </c>
      <c r="B469" s="55" t="s">
        <v>1181</v>
      </c>
      <c r="C469" s="57" t="s">
        <v>10</v>
      </c>
      <c r="D469" s="57" t="s">
        <v>10</v>
      </c>
      <c r="E469" s="43" t="s">
        <v>10</v>
      </c>
      <c r="F469" s="63" t="s">
        <v>11</v>
      </c>
      <c r="G469" s="74" t="s">
        <v>43</v>
      </c>
      <c r="H469" s="35">
        <v>7.56</v>
      </c>
      <c r="I469" s="35">
        <v>208</v>
      </c>
      <c r="J469" s="35">
        <v>97.5</v>
      </c>
      <c r="K469" s="39" t="s">
        <v>1325</v>
      </c>
      <c r="L469" s="128" t="s">
        <v>527</v>
      </c>
      <c r="M469" s="39" t="s">
        <v>528</v>
      </c>
      <c r="N469" s="40">
        <v>43388</v>
      </c>
      <c r="O469" s="128" t="s">
        <v>527</v>
      </c>
      <c r="P469" s="63" t="s">
        <v>17</v>
      </c>
      <c r="Q469" s="63" t="s">
        <v>17</v>
      </c>
      <c r="R469" s="54"/>
      <c r="S469" s="34" t="s">
        <v>10</v>
      </c>
      <c r="T469" s="34" t="s">
        <v>11</v>
      </c>
      <c r="U469" s="35">
        <v>5.75</v>
      </c>
      <c r="V469" s="35"/>
      <c r="W469" s="35"/>
      <c r="X469" s="35">
        <v>325</v>
      </c>
      <c r="Y469" s="35">
        <v>375</v>
      </c>
      <c r="Z469" s="35">
        <v>480</v>
      </c>
      <c r="AA469" s="103">
        <v>0.75600000000000001</v>
      </c>
      <c r="AB469" s="103">
        <v>1.512</v>
      </c>
      <c r="AC469" s="103">
        <v>2.2679999999999998</v>
      </c>
      <c r="AD469" s="103">
        <v>3.78</v>
      </c>
      <c r="AE469" s="103">
        <v>5.67</v>
      </c>
      <c r="AF469" s="103">
        <v>7.56</v>
      </c>
      <c r="AG469" s="103">
        <v>96.3</v>
      </c>
      <c r="AH469" s="103">
        <v>97.4</v>
      </c>
      <c r="AI469" s="103">
        <v>97.6</v>
      </c>
      <c r="AJ469" s="103">
        <v>97.6</v>
      </c>
      <c r="AK469" s="103">
        <v>97.5</v>
      </c>
      <c r="AL469" s="103">
        <v>97.3</v>
      </c>
      <c r="AM469" s="103">
        <v>97.5</v>
      </c>
      <c r="AN469" s="103">
        <v>96</v>
      </c>
      <c r="AO469" s="103">
        <v>97.2</v>
      </c>
      <c r="AP469" s="103">
        <v>97.5</v>
      </c>
      <c r="AQ469" s="103">
        <v>97.5</v>
      </c>
      <c r="AR469" s="103">
        <v>97.4</v>
      </c>
      <c r="AS469" s="103">
        <v>97.2</v>
      </c>
      <c r="AT469" s="103">
        <v>97.3</v>
      </c>
      <c r="AU469" s="103">
        <v>95.2</v>
      </c>
      <c r="AV469" s="103">
        <v>96.8</v>
      </c>
      <c r="AW469" s="103">
        <v>97.1</v>
      </c>
      <c r="AX469" s="103">
        <v>97.2</v>
      </c>
      <c r="AY469" s="103">
        <v>97.1</v>
      </c>
      <c r="AZ469" s="103">
        <v>96.8</v>
      </c>
      <c r="BA469" s="103">
        <v>97</v>
      </c>
      <c r="BB469" s="40">
        <v>42917</v>
      </c>
      <c r="BC469" s="40">
        <v>43388</v>
      </c>
    </row>
    <row r="470" spans="1:55" s="120" customFormat="1" ht="45">
      <c r="A470" s="41" t="s">
        <v>28</v>
      </c>
      <c r="B470" s="6" t="s">
        <v>1182</v>
      </c>
      <c r="C470" s="141" t="s">
        <v>10</v>
      </c>
      <c r="D470" s="141" t="s">
        <v>10</v>
      </c>
      <c r="E470" s="43" t="s">
        <v>10</v>
      </c>
      <c r="F470" s="63" t="s">
        <v>11</v>
      </c>
      <c r="G470" s="74" t="s">
        <v>44</v>
      </c>
      <c r="H470" s="54">
        <v>7.6159999999999997</v>
      </c>
      <c r="I470" s="35">
        <v>240</v>
      </c>
      <c r="J470" s="54">
        <v>99</v>
      </c>
      <c r="K470" s="39" t="s">
        <v>1325</v>
      </c>
      <c r="L470" s="128" t="s">
        <v>525</v>
      </c>
      <c r="M470" s="39" t="s">
        <v>526</v>
      </c>
      <c r="N470" s="40">
        <v>43388</v>
      </c>
      <c r="O470" s="128" t="s">
        <v>525</v>
      </c>
      <c r="P470" s="63" t="s">
        <v>17</v>
      </c>
      <c r="Q470" s="63" t="s">
        <v>17</v>
      </c>
      <c r="R470" s="54"/>
      <c r="S470" s="34" t="s">
        <v>10</v>
      </c>
      <c r="T470" s="34" t="s">
        <v>11</v>
      </c>
      <c r="U470" s="35">
        <v>4.5199999999999996</v>
      </c>
      <c r="V470" s="35"/>
      <c r="W470" s="35"/>
      <c r="X470" s="35">
        <v>360</v>
      </c>
      <c r="Y470" s="35">
        <v>395</v>
      </c>
      <c r="Z470" s="35">
        <v>480</v>
      </c>
      <c r="AA470" s="103">
        <v>0.7</v>
      </c>
      <c r="AB470" s="103">
        <v>1.6</v>
      </c>
      <c r="AC470" s="103">
        <v>2.4</v>
      </c>
      <c r="AD470" s="103">
        <v>3.6</v>
      </c>
      <c r="AE470" s="103">
        <v>5.5</v>
      </c>
      <c r="AF470" s="103">
        <v>7.3</v>
      </c>
      <c r="AG470" s="103">
        <v>97.72</v>
      </c>
      <c r="AH470" s="103">
        <v>98.8</v>
      </c>
      <c r="AI470" s="103">
        <v>98.97</v>
      </c>
      <c r="AJ470" s="103">
        <v>98.97</v>
      </c>
      <c r="AK470" s="103">
        <v>99.04</v>
      </c>
      <c r="AL470" s="103">
        <v>98.73</v>
      </c>
      <c r="AM470" s="103">
        <v>98.94</v>
      </c>
      <c r="AN470" s="103">
        <v>97.52</v>
      </c>
      <c r="AO470" s="103">
        <v>98.7</v>
      </c>
      <c r="AP470" s="103">
        <v>98.91</v>
      </c>
      <c r="AQ470" s="103">
        <v>98.93</v>
      </c>
      <c r="AR470" s="103">
        <v>99.02</v>
      </c>
      <c r="AS470" s="103">
        <v>98.69</v>
      </c>
      <c r="AT470" s="103">
        <v>98.89</v>
      </c>
      <c r="AU470" s="103">
        <v>97.24</v>
      </c>
      <c r="AV470" s="103">
        <v>98.57</v>
      </c>
      <c r="AW470" s="103">
        <v>98.83</v>
      </c>
      <c r="AX470" s="103">
        <v>98.87</v>
      </c>
      <c r="AY470" s="103">
        <v>98.75</v>
      </c>
      <c r="AZ470" s="103">
        <v>98.71</v>
      </c>
      <c r="BA470" s="103">
        <v>98.71</v>
      </c>
      <c r="BB470" s="40">
        <v>42917</v>
      </c>
      <c r="BC470" s="40">
        <v>43388</v>
      </c>
    </row>
    <row r="471" spans="1:55" s="120" customFormat="1" ht="45">
      <c r="A471" s="55" t="s">
        <v>28</v>
      </c>
      <c r="B471" s="55" t="s">
        <v>1183</v>
      </c>
      <c r="C471" s="57" t="s">
        <v>10</v>
      </c>
      <c r="D471" s="57" t="s">
        <v>10</v>
      </c>
      <c r="E471" s="43" t="s">
        <v>10</v>
      </c>
      <c r="F471" s="63" t="s">
        <v>11</v>
      </c>
      <c r="G471" s="74" t="s">
        <v>44</v>
      </c>
      <c r="H471" s="35">
        <v>7.625</v>
      </c>
      <c r="I471" s="35">
        <v>240</v>
      </c>
      <c r="J471" s="35">
        <v>97.5</v>
      </c>
      <c r="K471" s="39" t="s">
        <v>1325</v>
      </c>
      <c r="L471" s="128" t="s">
        <v>527</v>
      </c>
      <c r="M471" s="39" t="s">
        <v>528</v>
      </c>
      <c r="N471" s="40">
        <v>43388</v>
      </c>
      <c r="O471" s="128" t="s">
        <v>527</v>
      </c>
      <c r="P471" s="63" t="s">
        <v>17</v>
      </c>
      <c r="Q471" s="63" t="s">
        <v>17</v>
      </c>
      <c r="R471" s="54"/>
      <c r="S471" s="34" t="s">
        <v>10</v>
      </c>
      <c r="T471" s="34" t="s">
        <v>11</v>
      </c>
      <c r="U471" s="35">
        <v>2.16</v>
      </c>
      <c r="V471" s="35"/>
      <c r="W471" s="35"/>
      <c r="X471" s="35">
        <v>360</v>
      </c>
      <c r="Y471" s="35">
        <v>400</v>
      </c>
      <c r="Z471" s="35">
        <v>480</v>
      </c>
      <c r="AA471" s="103">
        <v>0.76249999999999996</v>
      </c>
      <c r="AB471" s="103">
        <v>1.5249999999999999</v>
      </c>
      <c r="AC471" s="103">
        <v>2.2879999999999998</v>
      </c>
      <c r="AD471" s="103">
        <v>3.8130000000000002</v>
      </c>
      <c r="AE471" s="103">
        <v>5.7190000000000003</v>
      </c>
      <c r="AF471" s="103">
        <v>7.625</v>
      </c>
      <c r="AG471" s="103">
        <v>97</v>
      </c>
      <c r="AH471" s="103">
        <v>97.9</v>
      </c>
      <c r="AI471" s="103">
        <v>98</v>
      </c>
      <c r="AJ471" s="103">
        <v>97.9</v>
      </c>
      <c r="AK471" s="103">
        <v>97.7</v>
      </c>
      <c r="AL471" s="103">
        <v>97.3</v>
      </c>
      <c r="AM471" s="103">
        <v>97.7</v>
      </c>
      <c r="AN471" s="103">
        <v>96.6</v>
      </c>
      <c r="AO471" s="103">
        <v>97.8</v>
      </c>
      <c r="AP471" s="103">
        <v>97.9</v>
      </c>
      <c r="AQ471" s="103">
        <v>97.9</v>
      </c>
      <c r="AR471" s="103">
        <v>97.6</v>
      </c>
      <c r="AS471" s="103">
        <v>97.3</v>
      </c>
      <c r="AT471" s="103">
        <v>97.7</v>
      </c>
      <c r="AU471" s="103">
        <v>95.7</v>
      </c>
      <c r="AV471" s="103">
        <v>97.4</v>
      </c>
      <c r="AW471" s="103">
        <v>97.6</v>
      </c>
      <c r="AX471" s="103">
        <v>97.6</v>
      </c>
      <c r="AY471" s="103">
        <v>97.5</v>
      </c>
      <c r="AZ471" s="103">
        <v>97.1</v>
      </c>
      <c r="BA471" s="103">
        <v>97.5</v>
      </c>
      <c r="BB471" s="40">
        <v>42917</v>
      </c>
      <c r="BC471" s="40">
        <v>43388</v>
      </c>
    </row>
    <row r="472" spans="1:55" s="120" customFormat="1" ht="67.5" customHeight="1">
      <c r="A472" s="55" t="s">
        <v>28</v>
      </c>
      <c r="B472" s="75" t="s">
        <v>1184</v>
      </c>
      <c r="C472" s="57" t="s">
        <v>10</v>
      </c>
      <c r="D472" s="57" t="s">
        <v>10</v>
      </c>
      <c r="E472" s="43" t="s">
        <v>10</v>
      </c>
      <c r="F472" s="63" t="s">
        <v>11</v>
      </c>
      <c r="G472" s="75" t="s">
        <v>50</v>
      </c>
      <c r="H472" s="26">
        <v>8.9629999999999992</v>
      </c>
      <c r="I472" s="25">
        <v>208</v>
      </c>
      <c r="J472" s="26">
        <v>96.5</v>
      </c>
      <c r="K472" s="39" t="s">
        <v>1325</v>
      </c>
      <c r="L472" s="129" t="s">
        <v>529</v>
      </c>
      <c r="M472" s="33" t="s">
        <v>530</v>
      </c>
      <c r="N472" s="40">
        <v>43388</v>
      </c>
      <c r="O472" s="129" t="s">
        <v>529</v>
      </c>
      <c r="P472" s="63" t="s">
        <v>17</v>
      </c>
      <c r="Q472" s="63" t="s">
        <v>17</v>
      </c>
      <c r="R472" s="60"/>
      <c r="S472" s="32" t="s">
        <v>10</v>
      </c>
      <c r="T472" s="32" t="s">
        <v>11</v>
      </c>
      <c r="U472" s="25">
        <v>3.08</v>
      </c>
      <c r="V472" s="25"/>
      <c r="W472" s="25"/>
      <c r="X472" s="35">
        <v>384</v>
      </c>
      <c r="Y472" s="35">
        <v>424</v>
      </c>
      <c r="Z472" s="35">
        <v>504</v>
      </c>
      <c r="AA472" s="103">
        <v>0.9</v>
      </c>
      <c r="AB472" s="103">
        <v>1.79</v>
      </c>
      <c r="AC472" s="103">
        <v>2.69</v>
      </c>
      <c r="AD472" s="103">
        <v>4.4800000000000004</v>
      </c>
      <c r="AE472" s="103">
        <v>6.72</v>
      </c>
      <c r="AF472" s="103">
        <v>8.9600000000000009</v>
      </c>
      <c r="AG472" s="103">
        <v>95.2</v>
      </c>
      <c r="AH472" s="103">
        <v>96.5</v>
      </c>
      <c r="AI472" s="103">
        <v>96.8</v>
      </c>
      <c r="AJ472" s="103">
        <v>96.6</v>
      </c>
      <c r="AK472" s="103">
        <v>96.3</v>
      </c>
      <c r="AL472" s="103">
        <v>96.1</v>
      </c>
      <c r="AM472" s="103">
        <v>96.4</v>
      </c>
      <c r="AN472" s="103">
        <v>94.9</v>
      </c>
      <c r="AO472" s="103">
        <v>96.3</v>
      </c>
      <c r="AP472" s="103">
        <v>96.7</v>
      </c>
      <c r="AQ472" s="103">
        <v>96.5</v>
      </c>
      <c r="AR472" s="103">
        <v>96.3</v>
      </c>
      <c r="AS472" s="103">
        <v>96</v>
      </c>
      <c r="AT472" s="103">
        <v>96.3</v>
      </c>
      <c r="AU472" s="103">
        <v>94.3</v>
      </c>
      <c r="AV472" s="103">
        <v>96</v>
      </c>
      <c r="AW472" s="103">
        <v>96.4</v>
      </c>
      <c r="AX472" s="103">
        <v>96.4</v>
      </c>
      <c r="AY472" s="103">
        <v>96.1</v>
      </c>
      <c r="AZ472" s="103">
        <v>95.8</v>
      </c>
      <c r="BA472" s="103">
        <v>96.1</v>
      </c>
      <c r="BB472" s="40">
        <v>42917</v>
      </c>
      <c r="BC472" s="40">
        <v>43388</v>
      </c>
    </row>
    <row r="473" spans="1:55" s="120" customFormat="1" ht="79.5" customHeight="1">
      <c r="A473" s="55" t="s">
        <v>28</v>
      </c>
      <c r="B473" s="75" t="s">
        <v>1185</v>
      </c>
      <c r="C473" s="57" t="s">
        <v>10</v>
      </c>
      <c r="D473" s="57" t="s">
        <v>10</v>
      </c>
      <c r="E473" s="43" t="s">
        <v>10</v>
      </c>
      <c r="F473" s="63" t="s">
        <v>11</v>
      </c>
      <c r="G473" s="75" t="s">
        <v>30</v>
      </c>
      <c r="H473" s="35">
        <v>9.85</v>
      </c>
      <c r="I473" s="35">
        <v>480</v>
      </c>
      <c r="J473" s="35">
        <v>98</v>
      </c>
      <c r="K473" s="39" t="s">
        <v>1325</v>
      </c>
      <c r="L473" s="129" t="s">
        <v>529</v>
      </c>
      <c r="M473" s="33" t="s">
        <v>530</v>
      </c>
      <c r="N473" s="40">
        <v>43388</v>
      </c>
      <c r="O473" s="129" t="s">
        <v>529</v>
      </c>
      <c r="P473" s="63" t="s">
        <v>17</v>
      </c>
      <c r="Q473" s="63" t="s">
        <v>17</v>
      </c>
      <c r="R473" s="54"/>
      <c r="S473" s="34" t="s">
        <v>10</v>
      </c>
      <c r="T473" s="34" t="s">
        <v>11</v>
      </c>
      <c r="U473" s="35">
        <v>3.13</v>
      </c>
      <c r="V473" s="35"/>
      <c r="W473" s="35"/>
      <c r="X473" s="35">
        <v>100</v>
      </c>
      <c r="Y473" s="35">
        <v>882</v>
      </c>
      <c r="Z473" s="35">
        <v>962</v>
      </c>
      <c r="AA473" s="103">
        <v>0.98</v>
      </c>
      <c r="AB473" s="103">
        <v>1.97</v>
      </c>
      <c r="AC473" s="103">
        <v>2.95</v>
      </c>
      <c r="AD473" s="103">
        <v>4.92</v>
      </c>
      <c r="AE473" s="103">
        <v>7.38</v>
      </c>
      <c r="AF473" s="103">
        <v>9.85</v>
      </c>
      <c r="AG473" s="103">
        <v>95.5</v>
      </c>
      <c r="AH473" s="103">
        <v>97.4</v>
      </c>
      <c r="AI473" s="103">
        <v>97.8</v>
      </c>
      <c r="AJ473" s="103">
        <v>98.1</v>
      </c>
      <c r="AK473" s="103">
        <v>98.1</v>
      </c>
      <c r="AL473" s="103">
        <v>98</v>
      </c>
      <c r="AM473" s="103">
        <v>97.9</v>
      </c>
      <c r="AN473" s="103">
        <v>95.1</v>
      </c>
      <c r="AO473" s="103">
        <v>97.3</v>
      </c>
      <c r="AP473" s="103">
        <v>97.7</v>
      </c>
      <c r="AQ473" s="103">
        <v>98</v>
      </c>
      <c r="AR473" s="103">
        <v>98</v>
      </c>
      <c r="AS473" s="103">
        <v>97.9</v>
      </c>
      <c r="AT473" s="103">
        <v>97.8</v>
      </c>
      <c r="AU473" s="103">
        <v>94.2</v>
      </c>
      <c r="AV473" s="103">
        <v>97</v>
      </c>
      <c r="AW473" s="103">
        <v>97.5</v>
      </c>
      <c r="AX473" s="103">
        <v>97.9</v>
      </c>
      <c r="AY473" s="103">
        <v>98</v>
      </c>
      <c r="AZ473" s="103">
        <v>97.9</v>
      </c>
      <c r="BA473" s="103">
        <v>97.7</v>
      </c>
      <c r="BB473" s="40">
        <v>42917</v>
      </c>
      <c r="BC473" s="40">
        <v>43388</v>
      </c>
    </row>
    <row r="474" spans="1:55" s="120" customFormat="1" ht="66" customHeight="1">
      <c r="A474" s="55" t="s">
        <v>28</v>
      </c>
      <c r="B474" s="55" t="s">
        <v>1186</v>
      </c>
      <c r="C474" s="57" t="s">
        <v>10</v>
      </c>
      <c r="D474" s="57" t="s">
        <v>10</v>
      </c>
      <c r="E474" s="43" t="s">
        <v>10</v>
      </c>
      <c r="F474" s="63" t="s">
        <v>11</v>
      </c>
      <c r="G474" s="74" t="s">
        <v>45</v>
      </c>
      <c r="H474" s="35">
        <v>9.93</v>
      </c>
      <c r="I474" s="35">
        <v>208</v>
      </c>
      <c r="J474" s="35">
        <v>97</v>
      </c>
      <c r="K474" s="39" t="s">
        <v>1325</v>
      </c>
      <c r="L474" s="128" t="s">
        <v>527</v>
      </c>
      <c r="M474" s="39" t="s">
        <v>528</v>
      </c>
      <c r="N474" s="40">
        <v>43388</v>
      </c>
      <c r="O474" s="128" t="s">
        <v>527</v>
      </c>
      <c r="P474" s="63" t="s">
        <v>17</v>
      </c>
      <c r="Q474" s="63" t="s">
        <v>17</v>
      </c>
      <c r="R474" s="54"/>
      <c r="S474" s="34" t="s">
        <v>10</v>
      </c>
      <c r="T474" s="34" t="s">
        <v>11</v>
      </c>
      <c r="U474" s="35">
        <v>5.75</v>
      </c>
      <c r="V474" s="35"/>
      <c r="W474" s="35"/>
      <c r="X474" s="35">
        <v>325</v>
      </c>
      <c r="Y474" s="35">
        <v>375</v>
      </c>
      <c r="Z474" s="35">
        <v>480</v>
      </c>
      <c r="AA474" s="103">
        <v>0.99299999999999999</v>
      </c>
      <c r="AB474" s="103">
        <v>1.986</v>
      </c>
      <c r="AC474" s="103">
        <v>2.9790000000000001</v>
      </c>
      <c r="AD474" s="103">
        <v>4.9649999999999999</v>
      </c>
      <c r="AE474" s="103">
        <v>7.4480000000000004</v>
      </c>
      <c r="AF474" s="103">
        <v>9.93</v>
      </c>
      <c r="AG474" s="103">
        <v>96.8</v>
      </c>
      <c r="AH474" s="103">
        <v>97.6</v>
      </c>
      <c r="AI474" s="103">
        <v>97.7</v>
      </c>
      <c r="AJ474" s="103">
        <v>97.5</v>
      </c>
      <c r="AK474" s="103">
        <v>97.4</v>
      </c>
      <c r="AL474" s="103">
        <v>97.1</v>
      </c>
      <c r="AM474" s="103">
        <v>97.4</v>
      </c>
      <c r="AN474" s="103">
        <v>96.5</v>
      </c>
      <c r="AO474" s="103">
        <v>97.4</v>
      </c>
      <c r="AP474" s="103">
        <v>97.5</v>
      </c>
      <c r="AQ474" s="103">
        <v>97.4</v>
      </c>
      <c r="AR474" s="103">
        <v>97.2</v>
      </c>
      <c r="AS474" s="103">
        <v>96.9</v>
      </c>
      <c r="AT474" s="103">
        <v>97.3</v>
      </c>
      <c r="AU474" s="103">
        <v>96.2</v>
      </c>
      <c r="AV474" s="103">
        <v>97</v>
      </c>
      <c r="AW474" s="103">
        <v>97.2</v>
      </c>
      <c r="AX474" s="103">
        <v>97.1</v>
      </c>
      <c r="AY474" s="103">
        <v>96.9</v>
      </c>
      <c r="AZ474" s="103">
        <v>96.7</v>
      </c>
      <c r="BA474" s="103">
        <v>96.9</v>
      </c>
      <c r="BB474" s="40">
        <v>42917</v>
      </c>
      <c r="BC474" s="40">
        <v>43388</v>
      </c>
    </row>
    <row r="475" spans="1:55" s="120" customFormat="1" ht="84" customHeight="1">
      <c r="A475" s="55" t="s">
        <v>28</v>
      </c>
      <c r="B475" s="55" t="s">
        <v>1187</v>
      </c>
      <c r="C475" s="57" t="s">
        <v>10</v>
      </c>
      <c r="D475" s="57" t="s">
        <v>10</v>
      </c>
      <c r="E475" s="43" t="s">
        <v>10</v>
      </c>
      <c r="F475" s="63" t="s">
        <v>11</v>
      </c>
      <c r="G475" s="74" t="s">
        <v>46</v>
      </c>
      <c r="H475" s="35">
        <v>9.94</v>
      </c>
      <c r="I475" s="35">
        <v>240</v>
      </c>
      <c r="J475" s="35">
        <v>97.5</v>
      </c>
      <c r="K475" s="39" t="s">
        <v>1325</v>
      </c>
      <c r="L475" s="128" t="s">
        <v>527</v>
      </c>
      <c r="M475" s="39" t="s">
        <v>528</v>
      </c>
      <c r="N475" s="40">
        <v>43388</v>
      </c>
      <c r="O475" s="128" t="s">
        <v>527</v>
      </c>
      <c r="P475" s="63" t="s">
        <v>17</v>
      </c>
      <c r="Q475" s="63" t="s">
        <v>17</v>
      </c>
      <c r="R475" s="54"/>
      <c r="S475" s="34" t="s">
        <v>10</v>
      </c>
      <c r="T475" s="34" t="s">
        <v>11</v>
      </c>
      <c r="U475" s="35">
        <v>5.95</v>
      </c>
      <c r="V475" s="35"/>
      <c r="W475" s="35"/>
      <c r="X475" s="35">
        <v>360</v>
      </c>
      <c r="Y475" s="35">
        <v>400</v>
      </c>
      <c r="Z475" s="35">
        <v>480</v>
      </c>
      <c r="AA475" s="103">
        <v>0.99</v>
      </c>
      <c r="AB475" s="103">
        <v>1.99</v>
      </c>
      <c r="AC475" s="103">
        <v>2.98</v>
      </c>
      <c r="AD475" s="103">
        <v>4.97</v>
      </c>
      <c r="AE475" s="103">
        <v>7.46</v>
      </c>
      <c r="AF475" s="103">
        <v>9.94</v>
      </c>
      <c r="AG475" s="103">
        <v>96.8</v>
      </c>
      <c r="AH475" s="103">
        <v>97.6</v>
      </c>
      <c r="AI475" s="103">
        <v>97.8</v>
      </c>
      <c r="AJ475" s="103">
        <v>97.8</v>
      </c>
      <c r="AK475" s="103">
        <v>97.7</v>
      </c>
      <c r="AL475" s="103">
        <v>97.5</v>
      </c>
      <c r="AM475" s="103">
        <v>97.7</v>
      </c>
      <c r="AN475" s="103">
        <v>96.6</v>
      </c>
      <c r="AO475" s="103">
        <v>97.5</v>
      </c>
      <c r="AP475" s="103">
        <v>97.7</v>
      </c>
      <c r="AQ475" s="103">
        <v>97.6</v>
      </c>
      <c r="AR475" s="103">
        <v>97.6</v>
      </c>
      <c r="AS475" s="103">
        <v>97.4</v>
      </c>
      <c r="AT475" s="103">
        <v>97.6</v>
      </c>
      <c r="AU475" s="103">
        <v>96.4</v>
      </c>
      <c r="AV475" s="103">
        <v>97.3</v>
      </c>
      <c r="AW475" s="103">
        <v>97.5</v>
      </c>
      <c r="AX475" s="103">
        <v>97.4</v>
      </c>
      <c r="AY475" s="103">
        <v>97.4</v>
      </c>
      <c r="AZ475" s="103">
        <v>97.2</v>
      </c>
      <c r="BA475" s="103">
        <v>97.3</v>
      </c>
      <c r="BB475" s="40">
        <v>42917</v>
      </c>
      <c r="BC475" s="40">
        <v>43388</v>
      </c>
    </row>
    <row r="476" spans="1:55" s="120" customFormat="1" ht="45">
      <c r="A476" s="87" t="s">
        <v>28</v>
      </c>
      <c r="B476" s="74" t="s">
        <v>1188</v>
      </c>
      <c r="C476" s="63" t="s">
        <v>10</v>
      </c>
      <c r="D476" s="63" t="s">
        <v>10</v>
      </c>
      <c r="E476" s="43" t="s">
        <v>10</v>
      </c>
      <c r="F476" s="63" t="s">
        <v>11</v>
      </c>
      <c r="G476" s="37" t="s">
        <v>655</v>
      </c>
      <c r="H476" s="35">
        <v>9.9939999999999998</v>
      </c>
      <c r="I476" s="35">
        <v>240</v>
      </c>
      <c r="J476" s="35">
        <v>99</v>
      </c>
      <c r="K476" s="39" t="s">
        <v>1325</v>
      </c>
      <c r="L476" s="128" t="s">
        <v>653</v>
      </c>
      <c r="M476" s="39" t="s">
        <v>654</v>
      </c>
      <c r="N476" s="40">
        <v>43388</v>
      </c>
      <c r="O476" s="128" t="s">
        <v>653</v>
      </c>
      <c r="P476" s="63" t="s">
        <v>17</v>
      </c>
      <c r="Q476" s="63" t="s">
        <v>17</v>
      </c>
      <c r="R476" s="54"/>
      <c r="S476" s="34" t="s">
        <v>11</v>
      </c>
      <c r="T476" s="34" t="s">
        <v>11</v>
      </c>
      <c r="U476" s="35">
        <v>6</v>
      </c>
      <c r="V476" s="35"/>
      <c r="W476" s="35"/>
      <c r="X476" s="35">
        <v>360</v>
      </c>
      <c r="Y476" s="35">
        <v>395</v>
      </c>
      <c r="Z476" s="35">
        <v>480</v>
      </c>
      <c r="AA476" s="103">
        <v>0.999</v>
      </c>
      <c r="AB476" s="103">
        <v>1.9990000000000001</v>
      </c>
      <c r="AC476" s="103">
        <v>2.9980000000000002</v>
      </c>
      <c r="AD476" s="103">
        <v>4.9969999999999999</v>
      </c>
      <c r="AE476" s="103">
        <v>7.4960000000000004</v>
      </c>
      <c r="AF476" s="103">
        <v>9.9939999999999998</v>
      </c>
      <c r="AG476" s="103">
        <v>97.86</v>
      </c>
      <c r="AH476" s="103">
        <v>98.83</v>
      </c>
      <c r="AI476" s="103">
        <v>98.94</v>
      </c>
      <c r="AJ476" s="103">
        <v>99.23</v>
      </c>
      <c r="AK476" s="103">
        <v>98.95</v>
      </c>
      <c r="AL476" s="103">
        <v>98.63</v>
      </c>
      <c r="AM476" s="103">
        <v>98.94</v>
      </c>
      <c r="AN476" s="103">
        <v>97.69</v>
      </c>
      <c r="AO476" s="103">
        <v>98.74</v>
      </c>
      <c r="AP476" s="103">
        <v>98.88</v>
      </c>
      <c r="AQ476" s="103">
        <v>99.18</v>
      </c>
      <c r="AR476" s="103">
        <v>98.91</v>
      </c>
      <c r="AS476" s="103">
        <v>98.55</v>
      </c>
      <c r="AT476" s="103">
        <v>98.89</v>
      </c>
      <c r="AU476" s="103">
        <v>97.44</v>
      </c>
      <c r="AV476" s="103">
        <v>98.54</v>
      </c>
      <c r="AW476" s="103">
        <v>98.68</v>
      </c>
      <c r="AX476" s="103">
        <v>98.7</v>
      </c>
      <c r="AY476" s="103">
        <v>98.62</v>
      </c>
      <c r="AZ476" s="103">
        <v>98.1</v>
      </c>
      <c r="BA476" s="103">
        <v>98.57</v>
      </c>
      <c r="BB476" s="40">
        <v>43192</v>
      </c>
      <c r="BC476" s="40">
        <v>43388</v>
      </c>
    </row>
    <row r="477" spans="1:55" s="120" customFormat="1" ht="45">
      <c r="A477" s="87" t="s">
        <v>28</v>
      </c>
      <c r="B477" s="74" t="s">
        <v>1189</v>
      </c>
      <c r="C477" s="63" t="s">
        <v>10</v>
      </c>
      <c r="D477" s="63" t="s">
        <v>10</v>
      </c>
      <c r="E477" s="43" t="s">
        <v>10</v>
      </c>
      <c r="F477" s="63" t="s">
        <v>11</v>
      </c>
      <c r="G477" s="37" t="s">
        <v>652</v>
      </c>
      <c r="H477" s="35">
        <v>10.000999999999999</v>
      </c>
      <c r="I477" s="35">
        <v>208</v>
      </c>
      <c r="J477" s="35">
        <v>98.5</v>
      </c>
      <c r="K477" s="39" t="s">
        <v>1325</v>
      </c>
      <c r="L477" s="128" t="s">
        <v>653</v>
      </c>
      <c r="M477" s="39" t="s">
        <v>654</v>
      </c>
      <c r="N477" s="40">
        <v>43388</v>
      </c>
      <c r="O477" s="128" t="s">
        <v>653</v>
      </c>
      <c r="P477" s="63" t="s">
        <v>17</v>
      </c>
      <c r="Q477" s="63" t="s">
        <v>17</v>
      </c>
      <c r="R477" s="54"/>
      <c r="S477" s="34" t="s">
        <v>11</v>
      </c>
      <c r="T477" s="34" t="s">
        <v>11</v>
      </c>
      <c r="U477" s="35">
        <v>5.71</v>
      </c>
      <c r="V477" s="35"/>
      <c r="W477" s="35"/>
      <c r="X477" s="35">
        <v>360</v>
      </c>
      <c r="Y477" s="35">
        <v>395</v>
      </c>
      <c r="Z477" s="35">
        <v>480</v>
      </c>
      <c r="AA477" s="103">
        <v>1</v>
      </c>
      <c r="AB477" s="103">
        <v>2</v>
      </c>
      <c r="AC477" s="103">
        <v>3</v>
      </c>
      <c r="AD477" s="103">
        <v>5.0010000000000003</v>
      </c>
      <c r="AE477" s="103">
        <v>7.5010000000000003</v>
      </c>
      <c r="AF477" s="103">
        <v>10.000999999999999</v>
      </c>
      <c r="AG477" s="103">
        <v>97.77</v>
      </c>
      <c r="AH477" s="103">
        <v>98.73</v>
      </c>
      <c r="AI477" s="103">
        <v>98.83</v>
      </c>
      <c r="AJ477" s="103">
        <v>99.07</v>
      </c>
      <c r="AK477" s="103">
        <v>98.67</v>
      </c>
      <c r="AL477" s="103">
        <v>98.17</v>
      </c>
      <c r="AM477" s="103">
        <v>98.71</v>
      </c>
      <c r="AN477" s="103">
        <v>97.65</v>
      </c>
      <c r="AO477" s="103">
        <v>98.66</v>
      </c>
      <c r="AP477" s="103">
        <v>98.77</v>
      </c>
      <c r="AQ477" s="103">
        <v>98.97</v>
      </c>
      <c r="AR477" s="103">
        <v>98.58</v>
      </c>
      <c r="AS477" s="103">
        <v>98.09</v>
      </c>
      <c r="AT477" s="103">
        <v>98.62</v>
      </c>
      <c r="AU477" s="103">
        <v>97.44</v>
      </c>
      <c r="AV477" s="103">
        <v>98.54</v>
      </c>
      <c r="AW477" s="103">
        <v>98.7</v>
      </c>
      <c r="AX477" s="103">
        <v>98.7</v>
      </c>
      <c r="AY477" s="103">
        <v>98.62</v>
      </c>
      <c r="AZ477" s="103">
        <v>98.1</v>
      </c>
      <c r="BA477" s="103">
        <v>98.57</v>
      </c>
      <c r="BB477" s="40">
        <v>43192</v>
      </c>
      <c r="BC477" s="40">
        <v>43388</v>
      </c>
    </row>
    <row r="478" spans="1:55" s="120" customFormat="1" ht="45">
      <c r="A478" s="55" t="s">
        <v>28</v>
      </c>
      <c r="B478" s="55" t="s">
        <v>1190</v>
      </c>
      <c r="C478" s="57" t="s">
        <v>10</v>
      </c>
      <c r="D478" s="57" t="s">
        <v>10</v>
      </c>
      <c r="E478" s="43" t="s">
        <v>10</v>
      </c>
      <c r="F478" s="63" t="s">
        <v>11</v>
      </c>
      <c r="G478" s="74" t="s">
        <v>47</v>
      </c>
      <c r="H478" s="35">
        <v>11.39</v>
      </c>
      <c r="I478" s="35">
        <v>240</v>
      </c>
      <c r="J478" s="35">
        <v>97.5</v>
      </c>
      <c r="K478" s="39" t="s">
        <v>1325</v>
      </c>
      <c r="L478" s="128" t="s">
        <v>527</v>
      </c>
      <c r="M478" s="39" t="s">
        <v>528</v>
      </c>
      <c r="N478" s="40">
        <v>43388</v>
      </c>
      <c r="O478" s="128" t="s">
        <v>527</v>
      </c>
      <c r="P478" s="63" t="s">
        <v>17</v>
      </c>
      <c r="Q478" s="63" t="s">
        <v>17</v>
      </c>
      <c r="R478" s="54"/>
      <c r="S478" s="34" t="s">
        <v>10</v>
      </c>
      <c r="T478" s="34" t="s">
        <v>11</v>
      </c>
      <c r="U478" s="35">
        <v>5.95</v>
      </c>
      <c r="V478" s="35"/>
      <c r="W478" s="35"/>
      <c r="X478" s="35">
        <v>360</v>
      </c>
      <c r="Y478" s="35">
        <v>400</v>
      </c>
      <c r="Z478" s="35">
        <v>480</v>
      </c>
      <c r="AA478" s="103">
        <v>1.139</v>
      </c>
      <c r="AB478" s="103">
        <v>2.278</v>
      </c>
      <c r="AC478" s="103">
        <v>3.4169999999999998</v>
      </c>
      <c r="AD478" s="103">
        <v>5.6950000000000003</v>
      </c>
      <c r="AE478" s="103">
        <v>8.5429999999999993</v>
      </c>
      <c r="AF478" s="103">
        <v>11.39</v>
      </c>
      <c r="AG478" s="103">
        <v>96.9</v>
      </c>
      <c r="AH478" s="103">
        <v>97.7</v>
      </c>
      <c r="AI478" s="103">
        <v>97.8</v>
      </c>
      <c r="AJ478" s="103">
        <v>97.8</v>
      </c>
      <c r="AK478" s="103">
        <v>97.6</v>
      </c>
      <c r="AL478" s="103">
        <v>97.4</v>
      </c>
      <c r="AM478" s="103">
        <v>97.7</v>
      </c>
      <c r="AN478" s="103">
        <v>96.8</v>
      </c>
      <c r="AO478" s="103">
        <v>97.6</v>
      </c>
      <c r="AP478" s="103">
        <v>97.7</v>
      </c>
      <c r="AQ478" s="103">
        <v>97.6</v>
      </c>
      <c r="AR478" s="103">
        <v>97.5</v>
      </c>
      <c r="AS478" s="103">
        <v>97.3</v>
      </c>
      <c r="AT478" s="103">
        <v>97.5</v>
      </c>
      <c r="AU478" s="103">
        <v>96.5</v>
      </c>
      <c r="AV478" s="103">
        <v>97.4</v>
      </c>
      <c r="AW478" s="103">
        <v>97.5</v>
      </c>
      <c r="AX478" s="103">
        <v>97.5</v>
      </c>
      <c r="AY478" s="103">
        <v>97.3</v>
      </c>
      <c r="AZ478" s="103">
        <v>97.1</v>
      </c>
      <c r="BA478" s="103">
        <v>97.3</v>
      </c>
      <c r="BB478" s="40">
        <v>42917</v>
      </c>
      <c r="BC478" s="40">
        <v>43388</v>
      </c>
    </row>
    <row r="479" spans="1:55" s="120" customFormat="1" ht="45">
      <c r="A479" s="87" t="s">
        <v>28</v>
      </c>
      <c r="B479" s="74" t="s">
        <v>1191</v>
      </c>
      <c r="C479" s="63" t="s">
        <v>10</v>
      </c>
      <c r="D479" s="63" t="s">
        <v>10</v>
      </c>
      <c r="E479" s="43" t="s">
        <v>10</v>
      </c>
      <c r="F479" s="63" t="s">
        <v>11</v>
      </c>
      <c r="G479" s="37" t="s">
        <v>656</v>
      </c>
      <c r="H479" s="35">
        <v>11.393000000000001</v>
      </c>
      <c r="I479" s="35">
        <v>240</v>
      </c>
      <c r="J479" s="35">
        <v>99</v>
      </c>
      <c r="K479" s="39" t="s">
        <v>1325</v>
      </c>
      <c r="L479" s="128" t="s">
        <v>653</v>
      </c>
      <c r="M479" s="39" t="s">
        <v>654</v>
      </c>
      <c r="N479" s="40">
        <v>43388</v>
      </c>
      <c r="O479" s="128" t="s">
        <v>653</v>
      </c>
      <c r="P479" s="63" t="s">
        <v>17</v>
      </c>
      <c r="Q479" s="63" t="s">
        <v>17</v>
      </c>
      <c r="R479" s="54"/>
      <c r="S479" s="34" t="s">
        <v>11</v>
      </c>
      <c r="T479" s="34" t="s">
        <v>11</v>
      </c>
      <c r="U479" s="35">
        <v>6</v>
      </c>
      <c r="V479" s="35"/>
      <c r="W479" s="35"/>
      <c r="X479" s="35">
        <v>360</v>
      </c>
      <c r="Y479" s="35">
        <v>395</v>
      </c>
      <c r="Z479" s="35">
        <v>480</v>
      </c>
      <c r="AA479" s="103">
        <v>1.139</v>
      </c>
      <c r="AB479" s="103">
        <v>2.2789999999999999</v>
      </c>
      <c r="AC479" s="103">
        <v>3.4180000000000001</v>
      </c>
      <c r="AD479" s="103">
        <v>5.6970000000000001</v>
      </c>
      <c r="AE479" s="103">
        <v>8.5449999999999999</v>
      </c>
      <c r="AF479" s="103">
        <v>11.393000000000001</v>
      </c>
      <c r="AG479" s="103">
        <v>97.88</v>
      </c>
      <c r="AH479" s="103">
        <v>98.84</v>
      </c>
      <c r="AI479" s="103">
        <v>98.95</v>
      </c>
      <c r="AJ479" s="103">
        <v>99.16</v>
      </c>
      <c r="AK479" s="103">
        <v>98.82</v>
      </c>
      <c r="AL479" s="103">
        <v>98.41</v>
      </c>
      <c r="AM479" s="103">
        <v>98.85</v>
      </c>
      <c r="AN479" s="103">
        <v>97.91</v>
      </c>
      <c r="AO479" s="103">
        <v>98.83</v>
      </c>
      <c r="AP479" s="103">
        <v>98.93</v>
      </c>
      <c r="AQ479" s="103">
        <v>99.17</v>
      </c>
      <c r="AR479" s="103">
        <v>98.83</v>
      </c>
      <c r="AS479" s="103">
        <v>98.4</v>
      </c>
      <c r="AT479" s="103">
        <v>98.85</v>
      </c>
      <c r="AU479" s="103">
        <v>97.42</v>
      </c>
      <c r="AV479" s="103">
        <v>98.63</v>
      </c>
      <c r="AW479" s="103">
        <v>98.79</v>
      </c>
      <c r="AX479" s="103">
        <v>98.82</v>
      </c>
      <c r="AY479" s="103">
        <v>98.8</v>
      </c>
      <c r="AZ479" s="103">
        <v>98.39</v>
      </c>
      <c r="BA479" s="103">
        <v>98.72</v>
      </c>
      <c r="BB479" s="40">
        <v>43192</v>
      </c>
      <c r="BC479" s="40">
        <v>43388</v>
      </c>
    </row>
    <row r="480" spans="1:55" s="120" customFormat="1" ht="45">
      <c r="A480" s="55" t="s">
        <v>28</v>
      </c>
      <c r="B480" s="75" t="s">
        <v>1192</v>
      </c>
      <c r="C480" s="57" t="s">
        <v>10</v>
      </c>
      <c r="D480" s="57" t="s">
        <v>10</v>
      </c>
      <c r="E480" s="43" t="s">
        <v>10</v>
      </c>
      <c r="F480" s="63" t="s">
        <v>11</v>
      </c>
      <c r="G480" s="75" t="s">
        <v>29</v>
      </c>
      <c r="H480" s="35">
        <v>14.51</v>
      </c>
      <c r="I480" s="35">
        <v>208</v>
      </c>
      <c r="J480" s="35">
        <v>97</v>
      </c>
      <c r="K480" s="39" t="s">
        <v>1325</v>
      </c>
      <c r="L480" s="129" t="s">
        <v>529</v>
      </c>
      <c r="M480" s="33" t="s">
        <v>530</v>
      </c>
      <c r="N480" s="40">
        <v>43388</v>
      </c>
      <c r="O480" s="129" t="s">
        <v>529</v>
      </c>
      <c r="P480" s="63" t="s">
        <v>17</v>
      </c>
      <c r="Q480" s="63" t="s">
        <v>17</v>
      </c>
      <c r="R480" s="54"/>
      <c r="S480" s="34" t="s">
        <v>10</v>
      </c>
      <c r="T480" s="34" t="s">
        <v>11</v>
      </c>
      <c r="U480" s="35">
        <v>4.16</v>
      </c>
      <c r="V480" s="35"/>
      <c r="W480" s="35"/>
      <c r="X480" s="35">
        <v>400</v>
      </c>
      <c r="Y480" s="35">
        <v>460</v>
      </c>
      <c r="Z480" s="35">
        <v>600</v>
      </c>
      <c r="AA480" s="103">
        <v>1.45</v>
      </c>
      <c r="AB480" s="103">
        <v>2.9</v>
      </c>
      <c r="AC480" s="103">
        <v>4.3499999999999996</v>
      </c>
      <c r="AD480" s="103">
        <v>7.26</v>
      </c>
      <c r="AE480" s="103">
        <v>10.88</v>
      </c>
      <c r="AF480" s="103">
        <v>14.51</v>
      </c>
      <c r="AG480" s="103">
        <v>95.9</v>
      </c>
      <c r="AH480" s="103">
        <v>97.3</v>
      </c>
      <c r="AI480" s="103">
        <v>97.5</v>
      </c>
      <c r="AJ480" s="103">
        <v>97.5</v>
      </c>
      <c r="AK480" s="103">
        <v>97</v>
      </c>
      <c r="AL480" s="103">
        <v>96.6</v>
      </c>
      <c r="AM480" s="103">
        <v>97.1</v>
      </c>
      <c r="AN480" s="103">
        <v>95.2</v>
      </c>
      <c r="AO480" s="103">
        <v>97.1</v>
      </c>
      <c r="AP480" s="103">
        <v>97.2</v>
      </c>
      <c r="AQ480" s="103">
        <v>97.3</v>
      </c>
      <c r="AR480" s="103">
        <v>97.2</v>
      </c>
      <c r="AS480" s="103">
        <v>96.8</v>
      </c>
      <c r="AT480" s="103">
        <v>97.1</v>
      </c>
      <c r="AU480" s="103">
        <v>94.7</v>
      </c>
      <c r="AV480" s="103">
        <v>96.3</v>
      </c>
      <c r="AW480" s="103">
        <v>96.7</v>
      </c>
      <c r="AX480" s="103">
        <v>96.9</v>
      </c>
      <c r="AY480" s="103">
        <v>96.4</v>
      </c>
      <c r="AZ480" s="103">
        <v>96.2</v>
      </c>
      <c r="BA480" s="103">
        <v>96.4</v>
      </c>
      <c r="BB480" s="40">
        <v>42917</v>
      </c>
      <c r="BC480" s="40">
        <v>43388</v>
      </c>
    </row>
    <row r="481" spans="1:55" s="120" customFormat="1" ht="60">
      <c r="A481" s="76" t="s">
        <v>28</v>
      </c>
      <c r="B481" s="76" t="s">
        <v>1193</v>
      </c>
      <c r="C481" s="79" t="s">
        <v>10</v>
      </c>
      <c r="D481" s="79" t="s">
        <v>10</v>
      </c>
      <c r="E481" s="43" t="s">
        <v>10</v>
      </c>
      <c r="F481" s="63" t="s">
        <v>11</v>
      </c>
      <c r="G481" s="76" t="s">
        <v>544</v>
      </c>
      <c r="H481" s="90">
        <v>14.51</v>
      </c>
      <c r="I481" s="77">
        <v>208</v>
      </c>
      <c r="J481" s="78">
        <v>97</v>
      </c>
      <c r="K481" s="39" t="s">
        <v>1325</v>
      </c>
      <c r="L481" s="131" t="s">
        <v>545</v>
      </c>
      <c r="M481" s="79" t="s">
        <v>530</v>
      </c>
      <c r="N481" s="40">
        <v>43388</v>
      </c>
      <c r="O481" s="131" t="s">
        <v>545</v>
      </c>
      <c r="P481" s="63" t="s">
        <v>17</v>
      </c>
      <c r="Q481" s="63" t="s">
        <v>17</v>
      </c>
      <c r="R481" s="81" t="s">
        <v>543</v>
      </c>
      <c r="S481" s="80" t="s">
        <v>10</v>
      </c>
      <c r="T481" s="80" t="s">
        <v>11</v>
      </c>
      <c r="U481" s="82">
        <v>4.16</v>
      </c>
      <c r="V481" s="83"/>
      <c r="W481" s="83"/>
      <c r="X481" s="83">
        <v>400</v>
      </c>
      <c r="Y481" s="83">
        <v>460</v>
      </c>
      <c r="Z481" s="83">
        <v>600</v>
      </c>
      <c r="AA481" s="100">
        <v>1.4510000000000001</v>
      </c>
      <c r="AB481" s="100">
        <v>2.9020000000000001</v>
      </c>
      <c r="AC481" s="100">
        <v>4.3529999999999998</v>
      </c>
      <c r="AD481" s="100">
        <v>7.2549999999999999</v>
      </c>
      <c r="AE481" s="100">
        <v>10.8825</v>
      </c>
      <c r="AF481" s="100">
        <v>14.51</v>
      </c>
      <c r="AG481" s="100">
        <v>95.892661799999999</v>
      </c>
      <c r="AH481" s="100">
        <v>97.278178400000002</v>
      </c>
      <c r="AI481" s="100">
        <v>97.483730999999992</v>
      </c>
      <c r="AJ481" s="100">
        <v>97.461980600000004</v>
      </c>
      <c r="AK481" s="100">
        <v>97.009345999999994</v>
      </c>
      <c r="AL481" s="100">
        <v>96.643356999999995</v>
      </c>
      <c r="AM481" s="100">
        <v>97.111800267999996</v>
      </c>
      <c r="AN481" s="100">
        <v>95.225235800000007</v>
      </c>
      <c r="AO481" s="100">
        <v>97.08651660000001</v>
      </c>
      <c r="AP481" s="100">
        <v>97.192224999999993</v>
      </c>
      <c r="AQ481" s="100">
        <v>97.304581999999996</v>
      </c>
      <c r="AR481" s="100">
        <v>97.196262000000004</v>
      </c>
      <c r="AS481" s="100">
        <v>96.801864999999992</v>
      </c>
      <c r="AT481" s="100">
        <v>97.114476592000003</v>
      </c>
      <c r="AU481" s="100">
        <v>94.66687300000001</v>
      </c>
      <c r="AV481" s="100">
        <v>96.286802999999992</v>
      </c>
      <c r="AW481" s="100">
        <v>96.672386199999991</v>
      </c>
      <c r="AX481" s="100">
        <v>96.856588399999993</v>
      </c>
      <c r="AY481" s="100">
        <v>96.388889000000006</v>
      </c>
      <c r="AZ481" s="100">
        <v>96.175926200000006</v>
      </c>
      <c r="BA481" s="100">
        <v>96.436492458000004</v>
      </c>
      <c r="BB481" s="40">
        <v>43132</v>
      </c>
      <c r="BC481" s="40">
        <v>43388</v>
      </c>
    </row>
    <row r="482" spans="1:55" s="120" customFormat="1" ht="45">
      <c r="A482" s="55" t="s">
        <v>28</v>
      </c>
      <c r="B482" s="75" t="s">
        <v>1194</v>
      </c>
      <c r="C482" s="57" t="s">
        <v>10</v>
      </c>
      <c r="D482" s="57" t="s">
        <v>10</v>
      </c>
      <c r="E482" s="43" t="s">
        <v>10</v>
      </c>
      <c r="F482" s="63" t="s">
        <v>11</v>
      </c>
      <c r="G482" s="75" t="s">
        <v>31</v>
      </c>
      <c r="H482" s="35">
        <v>20.05</v>
      </c>
      <c r="I482" s="35">
        <v>480</v>
      </c>
      <c r="J482" s="35">
        <v>98</v>
      </c>
      <c r="K482" s="39" t="s">
        <v>1325</v>
      </c>
      <c r="L482" s="129" t="s">
        <v>529</v>
      </c>
      <c r="M482" s="33" t="s">
        <v>530</v>
      </c>
      <c r="N482" s="40">
        <v>43388</v>
      </c>
      <c r="O482" s="129" t="s">
        <v>529</v>
      </c>
      <c r="P482" s="63" t="s">
        <v>17</v>
      </c>
      <c r="Q482" s="63" t="s">
        <v>17</v>
      </c>
      <c r="R482" s="54"/>
      <c r="S482" s="34" t="s">
        <v>10</v>
      </c>
      <c r="T482" s="34" t="s">
        <v>11</v>
      </c>
      <c r="U482" s="35">
        <v>3.48</v>
      </c>
      <c r="V482" s="35"/>
      <c r="W482" s="35"/>
      <c r="X482" s="35">
        <v>842</v>
      </c>
      <c r="Y482" s="35">
        <v>882</v>
      </c>
      <c r="Z482" s="35">
        <v>962</v>
      </c>
      <c r="AA482" s="103">
        <v>2.0099999999999998</v>
      </c>
      <c r="AB482" s="103">
        <v>4.01</v>
      </c>
      <c r="AC482" s="103">
        <v>6.02</v>
      </c>
      <c r="AD482" s="103">
        <v>10.029999999999999</v>
      </c>
      <c r="AE482" s="103">
        <v>15.04</v>
      </c>
      <c r="AF482" s="103">
        <v>20.05</v>
      </c>
      <c r="AG482" s="103">
        <v>96.6</v>
      </c>
      <c r="AH482" s="103">
        <v>97.6</v>
      </c>
      <c r="AI482" s="103">
        <v>97.9</v>
      </c>
      <c r="AJ482" s="103">
        <v>98</v>
      </c>
      <c r="AK482" s="103">
        <v>98</v>
      </c>
      <c r="AL482" s="103">
        <v>97.9</v>
      </c>
      <c r="AM482" s="103">
        <v>97.9</v>
      </c>
      <c r="AN482" s="103">
        <v>96.6</v>
      </c>
      <c r="AO482" s="103">
        <v>97.5</v>
      </c>
      <c r="AP482" s="103">
        <v>97.9</v>
      </c>
      <c r="AQ482" s="103">
        <v>98</v>
      </c>
      <c r="AR482" s="103">
        <v>98</v>
      </c>
      <c r="AS482" s="103">
        <v>97.9</v>
      </c>
      <c r="AT482" s="103">
        <v>97.9</v>
      </c>
      <c r="AU482" s="103">
        <v>96</v>
      </c>
      <c r="AV482" s="103">
        <v>97.3</v>
      </c>
      <c r="AW482" s="103">
        <v>97.7</v>
      </c>
      <c r="AX482" s="103">
        <v>97.9</v>
      </c>
      <c r="AY482" s="103">
        <v>97.8</v>
      </c>
      <c r="AZ482" s="103">
        <v>97.8</v>
      </c>
      <c r="BA482" s="103">
        <v>97.7</v>
      </c>
      <c r="BB482" s="40">
        <v>42917</v>
      </c>
      <c r="BC482" s="40">
        <v>43388</v>
      </c>
    </row>
    <row r="483" spans="1:55" s="120" customFormat="1" ht="45">
      <c r="A483" s="76" t="s">
        <v>28</v>
      </c>
      <c r="B483" s="76" t="s">
        <v>1195</v>
      </c>
      <c r="C483" s="79" t="s">
        <v>10</v>
      </c>
      <c r="D483" s="79" t="s">
        <v>10</v>
      </c>
      <c r="E483" s="43" t="s">
        <v>10</v>
      </c>
      <c r="F483" s="63" t="s">
        <v>11</v>
      </c>
      <c r="G483" s="76" t="s">
        <v>338</v>
      </c>
      <c r="H483" s="90">
        <v>30.158999999999999</v>
      </c>
      <c r="I483" s="77">
        <v>480</v>
      </c>
      <c r="J483" s="78">
        <v>98.5</v>
      </c>
      <c r="K483" s="39" t="s">
        <v>1325</v>
      </c>
      <c r="L483" s="131" t="s">
        <v>531</v>
      </c>
      <c r="M483" s="79" t="s">
        <v>530</v>
      </c>
      <c r="N483" s="40">
        <v>43388</v>
      </c>
      <c r="O483" s="131" t="s">
        <v>531</v>
      </c>
      <c r="P483" s="63" t="s">
        <v>17</v>
      </c>
      <c r="Q483" s="63" t="s">
        <v>17</v>
      </c>
      <c r="R483" s="81"/>
      <c r="S483" s="80" t="s">
        <v>11</v>
      </c>
      <c r="T483" s="80" t="s">
        <v>11</v>
      </c>
      <c r="U483" s="82">
        <v>7.06</v>
      </c>
      <c r="V483" s="83"/>
      <c r="W483" s="83"/>
      <c r="X483" s="83">
        <v>790</v>
      </c>
      <c r="Y483" s="83">
        <v>850</v>
      </c>
      <c r="Z483" s="83">
        <v>950</v>
      </c>
      <c r="AA483" s="100">
        <v>3</v>
      </c>
      <c r="AB483" s="100">
        <v>6</v>
      </c>
      <c r="AC483" s="100">
        <v>9</v>
      </c>
      <c r="AD483" s="100">
        <v>15</v>
      </c>
      <c r="AE483" s="100">
        <v>22.5</v>
      </c>
      <c r="AF483" s="100">
        <v>30</v>
      </c>
      <c r="AG483" s="100">
        <v>97.408512599999995</v>
      </c>
      <c r="AH483" s="100">
        <v>98.364666800000009</v>
      </c>
      <c r="AI483" s="100">
        <v>98.550598599999987</v>
      </c>
      <c r="AJ483" s="100">
        <v>98.507541000000003</v>
      </c>
      <c r="AK483" s="100">
        <v>98.480424199999987</v>
      </c>
      <c r="AL483" s="100">
        <v>98.385566000000011</v>
      </c>
      <c r="AM483" s="100">
        <v>98.441132412000002</v>
      </c>
      <c r="AN483" s="100">
        <v>97.079442999999998</v>
      </c>
      <c r="AO483" s="100">
        <v>98.204926200000003</v>
      </c>
      <c r="AP483" s="100">
        <v>98.428963600000003</v>
      </c>
      <c r="AQ483" s="100">
        <v>98.419413799999987</v>
      </c>
      <c r="AR483" s="100">
        <v>98.402914199999998</v>
      </c>
      <c r="AS483" s="100">
        <v>98.314027999999993</v>
      </c>
      <c r="AT483" s="100">
        <v>98.342222486000011</v>
      </c>
      <c r="AU483" s="100">
        <v>96.416390800000002</v>
      </c>
      <c r="AV483" s="100">
        <v>97.900681600000013</v>
      </c>
      <c r="AW483" s="100">
        <v>98.208887799999985</v>
      </c>
      <c r="AX483" s="100">
        <v>98.295271</v>
      </c>
      <c r="AY483" s="100">
        <v>98.262175800000009</v>
      </c>
      <c r="AZ483" s="100">
        <v>98.199991199999999</v>
      </c>
      <c r="BA483" s="100">
        <v>98.167715892000004</v>
      </c>
      <c r="BB483" s="40">
        <v>43102</v>
      </c>
      <c r="BC483" s="40">
        <v>43388</v>
      </c>
    </row>
    <row r="484" spans="1:55" s="120" customFormat="1" ht="60">
      <c r="A484" s="76" t="s">
        <v>28</v>
      </c>
      <c r="B484" s="76" t="s">
        <v>1196</v>
      </c>
      <c r="C484" s="79" t="s">
        <v>10</v>
      </c>
      <c r="D484" s="79" t="s">
        <v>10</v>
      </c>
      <c r="E484" s="43" t="s">
        <v>10</v>
      </c>
      <c r="F484" s="63" t="s">
        <v>11</v>
      </c>
      <c r="G484" s="76" t="s">
        <v>590</v>
      </c>
      <c r="H484" s="90">
        <v>33.299999999999997</v>
      </c>
      <c r="I484" s="77">
        <v>480</v>
      </c>
      <c r="J484" s="78">
        <v>98.5</v>
      </c>
      <c r="K484" s="39" t="s">
        <v>1325</v>
      </c>
      <c r="L484" s="131" t="s">
        <v>545</v>
      </c>
      <c r="M484" s="79" t="s">
        <v>530</v>
      </c>
      <c r="N484" s="40">
        <v>43388</v>
      </c>
      <c r="O484" s="131" t="s">
        <v>545</v>
      </c>
      <c r="P484" s="63" t="s">
        <v>17</v>
      </c>
      <c r="Q484" s="63" t="s">
        <v>17</v>
      </c>
      <c r="R484" s="81" t="s">
        <v>546</v>
      </c>
      <c r="S484" s="80" t="s">
        <v>10</v>
      </c>
      <c r="T484" s="80" t="s">
        <v>11</v>
      </c>
      <c r="U484" s="82">
        <v>5.05</v>
      </c>
      <c r="V484" s="83"/>
      <c r="W484" s="83"/>
      <c r="X484" s="83">
        <v>790</v>
      </c>
      <c r="Y484" s="83">
        <v>850</v>
      </c>
      <c r="Z484" s="83">
        <v>950</v>
      </c>
      <c r="AA484" s="100">
        <v>3.34</v>
      </c>
      <c r="AB484" s="100">
        <v>6.68</v>
      </c>
      <c r="AC484" s="100">
        <v>10.02</v>
      </c>
      <c r="AD484" s="100">
        <v>16.7</v>
      </c>
      <c r="AE484" s="100">
        <v>25.049999999999997</v>
      </c>
      <c r="AF484" s="100">
        <v>33.4</v>
      </c>
      <c r="AG484" s="100">
        <v>97.189196467488244</v>
      </c>
      <c r="AH484" s="100">
        <v>98.242947891445439</v>
      </c>
      <c r="AI484" s="100">
        <v>98.888888761904767</v>
      </c>
      <c r="AJ484" s="100">
        <v>98.509803882352941</v>
      </c>
      <c r="AK484" s="100">
        <v>98.67768595041322</v>
      </c>
      <c r="AL484" s="100">
        <v>98.461538461538467</v>
      </c>
      <c r="AM484" s="100">
        <v>98.575691196790416</v>
      </c>
      <c r="AN484" s="100">
        <v>96.664031410256399</v>
      </c>
      <c r="AO484" s="100">
        <v>98.084400284495032</v>
      </c>
      <c r="AP484" s="100">
        <v>98.113207547169807</v>
      </c>
      <c r="AQ484" s="100">
        <v>98.505882352941171</v>
      </c>
      <c r="AR484" s="100">
        <v>98.370370370370367</v>
      </c>
      <c r="AS484" s="100">
        <v>98.159509202453989</v>
      </c>
      <c r="AT484" s="100">
        <v>98.274873226832014</v>
      </c>
      <c r="AU484" s="100">
        <v>96.33825541401275</v>
      </c>
      <c r="AV484" s="100">
        <v>97.84397143659011</v>
      </c>
      <c r="AW484" s="100">
        <v>97.84276716981131</v>
      </c>
      <c r="AX484" s="100">
        <v>98.470588235294116</v>
      </c>
      <c r="AY484" s="100">
        <v>98.312757201646093</v>
      </c>
      <c r="AZ484" s="100">
        <v>98.159509202453989</v>
      </c>
      <c r="BA484" s="100">
        <v>98.179421155174268</v>
      </c>
      <c r="BB484" s="40">
        <v>43132</v>
      </c>
      <c r="BC484" s="40">
        <v>43388</v>
      </c>
    </row>
    <row r="485" spans="1:55" s="120" customFormat="1" ht="45">
      <c r="A485" s="55" t="s">
        <v>28</v>
      </c>
      <c r="B485" s="75" t="s">
        <v>1197</v>
      </c>
      <c r="C485" s="57" t="s">
        <v>10</v>
      </c>
      <c r="D485" s="57" t="s">
        <v>10</v>
      </c>
      <c r="E485" s="43" t="s">
        <v>10</v>
      </c>
      <c r="F485" s="63" t="s">
        <v>11</v>
      </c>
      <c r="G485" s="75" t="s">
        <v>32</v>
      </c>
      <c r="H485" s="35">
        <v>33.299999999999997</v>
      </c>
      <c r="I485" s="35">
        <v>480</v>
      </c>
      <c r="J485" s="35">
        <v>98.5</v>
      </c>
      <c r="K485" s="39" t="s">
        <v>1325</v>
      </c>
      <c r="L485" s="129" t="s">
        <v>529</v>
      </c>
      <c r="M485" s="33" t="s">
        <v>530</v>
      </c>
      <c r="N485" s="40">
        <v>43388</v>
      </c>
      <c r="O485" s="129" t="s">
        <v>529</v>
      </c>
      <c r="P485" s="63" t="s">
        <v>17</v>
      </c>
      <c r="Q485" s="63" t="s">
        <v>17</v>
      </c>
      <c r="R485" s="54"/>
      <c r="S485" s="34" t="s">
        <v>10</v>
      </c>
      <c r="T485" s="34" t="s">
        <v>11</v>
      </c>
      <c r="U485" s="35">
        <v>5.05</v>
      </c>
      <c r="V485" s="35"/>
      <c r="W485" s="35"/>
      <c r="X485" s="35">
        <v>790</v>
      </c>
      <c r="Y485" s="35">
        <v>850</v>
      </c>
      <c r="Z485" s="35">
        <v>950</v>
      </c>
      <c r="AA485" s="103">
        <v>3.34</v>
      </c>
      <c r="AB485" s="103">
        <v>6.68</v>
      </c>
      <c r="AC485" s="103">
        <v>10.02</v>
      </c>
      <c r="AD485" s="103">
        <v>16.7</v>
      </c>
      <c r="AE485" s="103">
        <v>25.05</v>
      </c>
      <c r="AF485" s="103">
        <v>33.4</v>
      </c>
      <c r="AG485" s="103">
        <v>97.2</v>
      </c>
      <c r="AH485" s="103">
        <v>98.2</v>
      </c>
      <c r="AI485" s="103">
        <v>98.9</v>
      </c>
      <c r="AJ485" s="103">
        <v>98.5</v>
      </c>
      <c r="AK485" s="103">
        <v>98.7</v>
      </c>
      <c r="AL485" s="103">
        <v>98.5</v>
      </c>
      <c r="AM485" s="103">
        <v>98.6</v>
      </c>
      <c r="AN485" s="103">
        <v>96.7</v>
      </c>
      <c r="AO485" s="103">
        <v>98.1</v>
      </c>
      <c r="AP485" s="103">
        <v>98.1</v>
      </c>
      <c r="AQ485" s="103">
        <v>98.5</v>
      </c>
      <c r="AR485" s="103">
        <v>98.4</v>
      </c>
      <c r="AS485" s="103">
        <v>98.2</v>
      </c>
      <c r="AT485" s="103">
        <v>98.3</v>
      </c>
      <c r="AU485" s="103">
        <v>96.3</v>
      </c>
      <c r="AV485" s="103">
        <v>97.8</v>
      </c>
      <c r="AW485" s="103">
        <v>97.8</v>
      </c>
      <c r="AX485" s="103">
        <v>98.5</v>
      </c>
      <c r="AY485" s="103">
        <v>98.3</v>
      </c>
      <c r="AZ485" s="103">
        <v>98.2</v>
      </c>
      <c r="BA485" s="103">
        <v>98.2</v>
      </c>
      <c r="BB485" s="40">
        <v>42917</v>
      </c>
      <c r="BC485" s="40">
        <v>43388</v>
      </c>
    </row>
    <row r="486" spans="1:55" s="120" customFormat="1" ht="60">
      <c r="A486" s="76" t="s">
        <v>28</v>
      </c>
      <c r="B486" s="76" t="s">
        <v>1198</v>
      </c>
      <c r="C486" s="79" t="s">
        <v>10</v>
      </c>
      <c r="D486" s="79" t="s">
        <v>10</v>
      </c>
      <c r="E486" s="43" t="s">
        <v>10</v>
      </c>
      <c r="F486" s="63" t="s">
        <v>11</v>
      </c>
      <c r="G486" s="76" t="s">
        <v>547</v>
      </c>
      <c r="H486" s="90">
        <v>33.299999999999997</v>
      </c>
      <c r="I486" s="77">
        <v>480</v>
      </c>
      <c r="J486" s="78">
        <v>98.5</v>
      </c>
      <c r="K486" s="39" t="s">
        <v>1325</v>
      </c>
      <c r="L486" s="131" t="s">
        <v>545</v>
      </c>
      <c r="M486" s="79" t="s">
        <v>530</v>
      </c>
      <c r="N486" s="40">
        <v>43388</v>
      </c>
      <c r="O486" s="131" t="s">
        <v>545</v>
      </c>
      <c r="P486" s="63" t="s">
        <v>17</v>
      </c>
      <c r="Q486" s="63" t="s">
        <v>17</v>
      </c>
      <c r="R486" s="81" t="s">
        <v>546</v>
      </c>
      <c r="S486" s="80" t="s">
        <v>10</v>
      </c>
      <c r="T486" s="80" t="s">
        <v>11</v>
      </c>
      <c r="U486" s="82">
        <v>5.05</v>
      </c>
      <c r="V486" s="83"/>
      <c r="W486" s="83"/>
      <c r="X486" s="83">
        <v>790</v>
      </c>
      <c r="Y486" s="83">
        <v>850</v>
      </c>
      <c r="Z486" s="83">
        <v>950</v>
      </c>
      <c r="AA486" s="100">
        <v>3.34</v>
      </c>
      <c r="AB486" s="100">
        <v>6.68</v>
      </c>
      <c r="AC486" s="100">
        <v>10.02</v>
      </c>
      <c r="AD486" s="100">
        <v>16.7</v>
      </c>
      <c r="AE486" s="100">
        <v>25.049999999999997</v>
      </c>
      <c r="AF486" s="100">
        <v>33.4</v>
      </c>
      <c r="AG486" s="100">
        <v>97.189196467488244</v>
      </c>
      <c r="AH486" s="100">
        <v>98.242947891445439</v>
      </c>
      <c r="AI486" s="100">
        <v>98.888888761904767</v>
      </c>
      <c r="AJ486" s="100">
        <v>98.509803882352941</v>
      </c>
      <c r="AK486" s="100">
        <v>98.67768595041322</v>
      </c>
      <c r="AL486" s="100">
        <v>98.461538461538467</v>
      </c>
      <c r="AM486" s="100">
        <v>98.575691196790416</v>
      </c>
      <c r="AN486" s="100">
        <v>96.664031410256399</v>
      </c>
      <c r="AO486" s="100">
        <v>98.084400284495032</v>
      </c>
      <c r="AP486" s="100">
        <v>98.113207547169807</v>
      </c>
      <c r="AQ486" s="100">
        <v>98.505882352941171</v>
      </c>
      <c r="AR486" s="100">
        <v>98.370370370370367</v>
      </c>
      <c r="AS486" s="100">
        <v>98.159509202453989</v>
      </c>
      <c r="AT486" s="100">
        <v>98.274873226832014</v>
      </c>
      <c r="AU486" s="100">
        <v>96.33825541401275</v>
      </c>
      <c r="AV486" s="100">
        <v>97.84397143659011</v>
      </c>
      <c r="AW486" s="100">
        <v>97.84276716981131</v>
      </c>
      <c r="AX486" s="100">
        <v>98.470588235294116</v>
      </c>
      <c r="AY486" s="100">
        <v>98.312757201646093</v>
      </c>
      <c r="AZ486" s="100">
        <v>98.159509202453989</v>
      </c>
      <c r="BA486" s="100">
        <v>98.179421155174268</v>
      </c>
      <c r="BB486" s="40">
        <v>43132</v>
      </c>
      <c r="BC486" s="40">
        <v>43388</v>
      </c>
    </row>
    <row r="487" spans="1:55" s="120" customFormat="1" ht="60">
      <c r="A487" s="41" t="s">
        <v>743</v>
      </c>
      <c r="B487" s="41" t="s">
        <v>1199</v>
      </c>
      <c r="C487" s="43" t="s">
        <v>10</v>
      </c>
      <c r="D487" s="43" t="s">
        <v>10</v>
      </c>
      <c r="E487" s="43" t="s">
        <v>10</v>
      </c>
      <c r="F487" s="63" t="s">
        <v>11</v>
      </c>
      <c r="G487" s="41" t="s">
        <v>747</v>
      </c>
      <c r="H487" s="27">
        <v>0.28999999999999998</v>
      </c>
      <c r="I487" s="109">
        <v>240</v>
      </c>
      <c r="J487" s="27">
        <v>97</v>
      </c>
      <c r="K487" s="39" t="s">
        <v>1323</v>
      </c>
      <c r="L487" s="130" t="s">
        <v>845</v>
      </c>
      <c r="M487" s="110" t="s">
        <v>588</v>
      </c>
      <c r="N487" s="40">
        <v>43388</v>
      </c>
      <c r="O487" s="130" t="s">
        <v>845</v>
      </c>
      <c r="P487" s="63" t="s">
        <v>17</v>
      </c>
      <c r="Q487" s="63" t="s">
        <v>17</v>
      </c>
      <c r="R487" s="112" t="s">
        <v>27</v>
      </c>
      <c r="S487" s="111" t="s">
        <v>11</v>
      </c>
      <c r="T487" s="111" t="s">
        <v>10</v>
      </c>
      <c r="U487" s="113">
        <v>2.5000000000000001E-2</v>
      </c>
      <c r="V487" s="113"/>
      <c r="W487" s="113"/>
      <c r="X487" s="113">
        <v>27</v>
      </c>
      <c r="Y487" s="113">
        <v>36</v>
      </c>
      <c r="Z487" s="113">
        <v>45</v>
      </c>
      <c r="AA487" s="114">
        <v>0.03</v>
      </c>
      <c r="AB487" s="114">
        <v>0.06</v>
      </c>
      <c r="AC487" s="114">
        <v>0.09</v>
      </c>
      <c r="AD487" s="114">
        <v>0.15</v>
      </c>
      <c r="AE487" s="114">
        <v>0.22</v>
      </c>
      <c r="AF487" s="114">
        <v>0.28999999999999998</v>
      </c>
      <c r="AG487" s="114">
        <v>95</v>
      </c>
      <c r="AH487" s="114">
        <v>96.2</v>
      </c>
      <c r="AI487" s="114">
        <v>97.1</v>
      </c>
      <c r="AJ487" s="114">
        <v>97.4</v>
      </c>
      <c r="AK487" s="114">
        <v>97.2</v>
      </c>
      <c r="AL487" s="114">
        <v>96.6</v>
      </c>
      <c r="AM487" s="114">
        <v>97.1</v>
      </c>
      <c r="AN487" s="114">
        <v>94.2</v>
      </c>
      <c r="AO487" s="114">
        <v>95.6</v>
      </c>
      <c r="AP487" s="114">
        <v>96.8</v>
      </c>
      <c r="AQ487" s="114">
        <v>97.5</v>
      </c>
      <c r="AR487" s="114">
        <v>97.4</v>
      </c>
      <c r="AS487" s="114">
        <v>97.2</v>
      </c>
      <c r="AT487" s="114">
        <v>97.1</v>
      </c>
      <c r="AU487" s="114">
        <v>93.3</v>
      </c>
      <c r="AV487" s="114">
        <v>94.8</v>
      </c>
      <c r="AW487" s="114">
        <v>96.4</v>
      </c>
      <c r="AX487" s="114">
        <v>97.3</v>
      </c>
      <c r="AY487" s="114">
        <v>97.3</v>
      </c>
      <c r="AZ487" s="114">
        <v>97.1</v>
      </c>
      <c r="BA487" s="114">
        <v>96.9</v>
      </c>
      <c r="BB487" s="40">
        <v>43252</v>
      </c>
      <c r="BC487" s="40">
        <v>43388</v>
      </c>
    </row>
    <row r="488" spans="1:55" s="120" customFormat="1" ht="60">
      <c r="A488" s="41" t="s">
        <v>743</v>
      </c>
      <c r="B488" s="41" t="s">
        <v>1200</v>
      </c>
      <c r="C488" s="43" t="s">
        <v>10</v>
      </c>
      <c r="D488" s="43" t="s">
        <v>10</v>
      </c>
      <c r="E488" s="43" t="s">
        <v>10</v>
      </c>
      <c r="F488" s="63" t="s">
        <v>11</v>
      </c>
      <c r="G488" s="41" t="s">
        <v>746</v>
      </c>
      <c r="H488" s="27">
        <v>0.28999999999999998</v>
      </c>
      <c r="I488" s="109">
        <v>240</v>
      </c>
      <c r="J488" s="27">
        <v>97</v>
      </c>
      <c r="K488" s="39" t="s">
        <v>1323</v>
      </c>
      <c r="L488" s="130" t="s">
        <v>845</v>
      </c>
      <c r="M488" s="110" t="s">
        <v>588</v>
      </c>
      <c r="N488" s="40">
        <v>43388</v>
      </c>
      <c r="O488" s="130" t="s">
        <v>845</v>
      </c>
      <c r="P488" s="63" t="s">
        <v>17</v>
      </c>
      <c r="Q488" s="63" t="s">
        <v>17</v>
      </c>
      <c r="R488" s="112" t="s">
        <v>27</v>
      </c>
      <c r="S488" s="111" t="s">
        <v>11</v>
      </c>
      <c r="T488" s="111" t="s">
        <v>10</v>
      </c>
      <c r="U488" s="113">
        <v>2.5000000000000001E-2</v>
      </c>
      <c r="V488" s="113"/>
      <c r="W488" s="113"/>
      <c r="X488" s="113">
        <v>27</v>
      </c>
      <c r="Y488" s="113">
        <v>36</v>
      </c>
      <c r="Z488" s="113">
        <v>45</v>
      </c>
      <c r="AA488" s="114">
        <v>0.03</v>
      </c>
      <c r="AB488" s="114">
        <v>0.06</v>
      </c>
      <c r="AC488" s="114">
        <v>0.09</v>
      </c>
      <c r="AD488" s="114">
        <v>0.15</v>
      </c>
      <c r="AE488" s="114">
        <v>0.22</v>
      </c>
      <c r="AF488" s="114">
        <v>0.28999999999999998</v>
      </c>
      <c r="AG488" s="114">
        <v>95</v>
      </c>
      <c r="AH488" s="114">
        <v>96.2</v>
      </c>
      <c r="AI488" s="114">
        <v>97.1</v>
      </c>
      <c r="AJ488" s="114">
        <v>97.4</v>
      </c>
      <c r="AK488" s="114">
        <v>97.2</v>
      </c>
      <c r="AL488" s="114">
        <v>96.6</v>
      </c>
      <c r="AM488" s="114">
        <v>97.1</v>
      </c>
      <c r="AN488" s="114">
        <v>94.2</v>
      </c>
      <c r="AO488" s="114">
        <v>95.6</v>
      </c>
      <c r="AP488" s="114">
        <v>96.8</v>
      </c>
      <c r="AQ488" s="114">
        <v>97.5</v>
      </c>
      <c r="AR488" s="114">
        <v>97.4</v>
      </c>
      <c r="AS488" s="114">
        <v>97.2</v>
      </c>
      <c r="AT488" s="114">
        <v>97.1</v>
      </c>
      <c r="AU488" s="114">
        <v>93.3</v>
      </c>
      <c r="AV488" s="114">
        <v>94.8</v>
      </c>
      <c r="AW488" s="114">
        <v>96.4</v>
      </c>
      <c r="AX488" s="114">
        <v>97.3</v>
      </c>
      <c r="AY488" s="114">
        <v>97.3</v>
      </c>
      <c r="AZ488" s="114">
        <v>97.1</v>
      </c>
      <c r="BA488" s="114">
        <v>96.9</v>
      </c>
      <c r="BB488" s="40">
        <v>43252</v>
      </c>
      <c r="BC488" s="40">
        <v>43388</v>
      </c>
    </row>
    <row r="489" spans="1:55" s="120" customFormat="1" ht="60">
      <c r="A489" s="41" t="s">
        <v>743</v>
      </c>
      <c r="B489" s="41" t="s">
        <v>1201</v>
      </c>
      <c r="C489" s="43" t="s">
        <v>10</v>
      </c>
      <c r="D489" s="43" t="s">
        <v>10</v>
      </c>
      <c r="E489" s="43" t="s">
        <v>10</v>
      </c>
      <c r="F489" s="63" t="s">
        <v>11</v>
      </c>
      <c r="G489" s="41" t="s">
        <v>745</v>
      </c>
      <c r="H489" s="27">
        <v>0.28999999999999998</v>
      </c>
      <c r="I489" s="109">
        <v>240</v>
      </c>
      <c r="J489" s="27">
        <v>97</v>
      </c>
      <c r="K489" s="39" t="s">
        <v>1323</v>
      </c>
      <c r="L489" s="130" t="s">
        <v>845</v>
      </c>
      <c r="M489" s="110" t="s">
        <v>588</v>
      </c>
      <c r="N489" s="40">
        <v>43388</v>
      </c>
      <c r="O489" s="130" t="s">
        <v>845</v>
      </c>
      <c r="P489" s="63" t="s">
        <v>17</v>
      </c>
      <c r="Q489" s="63" t="s">
        <v>17</v>
      </c>
      <c r="R489" s="112" t="s">
        <v>27</v>
      </c>
      <c r="S489" s="111" t="s">
        <v>11</v>
      </c>
      <c r="T489" s="111" t="s">
        <v>10</v>
      </c>
      <c r="U489" s="113">
        <v>2.5000000000000001E-2</v>
      </c>
      <c r="V489" s="113"/>
      <c r="W489" s="113"/>
      <c r="X489" s="113">
        <v>27</v>
      </c>
      <c r="Y489" s="113">
        <v>36</v>
      </c>
      <c r="Z489" s="113">
        <v>45</v>
      </c>
      <c r="AA489" s="114">
        <v>0.03</v>
      </c>
      <c r="AB489" s="114">
        <v>0.06</v>
      </c>
      <c r="AC489" s="114">
        <v>0.09</v>
      </c>
      <c r="AD489" s="114">
        <v>0.15</v>
      </c>
      <c r="AE489" s="114">
        <v>0.22</v>
      </c>
      <c r="AF489" s="114">
        <v>0.28999999999999998</v>
      </c>
      <c r="AG489" s="114">
        <v>95</v>
      </c>
      <c r="AH489" s="114">
        <v>96.2</v>
      </c>
      <c r="AI489" s="114">
        <v>97.1</v>
      </c>
      <c r="AJ489" s="114">
        <v>97.4</v>
      </c>
      <c r="AK489" s="114">
        <v>97.2</v>
      </c>
      <c r="AL489" s="114">
        <v>96.6</v>
      </c>
      <c r="AM489" s="114">
        <v>97.1</v>
      </c>
      <c r="AN489" s="114">
        <v>94.2</v>
      </c>
      <c r="AO489" s="114">
        <v>95.6</v>
      </c>
      <c r="AP489" s="114">
        <v>96.8</v>
      </c>
      <c r="AQ489" s="114">
        <v>97.5</v>
      </c>
      <c r="AR489" s="114">
        <v>97.4</v>
      </c>
      <c r="AS489" s="114">
        <v>97.2</v>
      </c>
      <c r="AT489" s="114">
        <v>97.1</v>
      </c>
      <c r="AU489" s="114">
        <v>93.3</v>
      </c>
      <c r="AV489" s="114">
        <v>94.8</v>
      </c>
      <c r="AW489" s="114">
        <v>96.4</v>
      </c>
      <c r="AX489" s="114">
        <v>97.3</v>
      </c>
      <c r="AY489" s="114">
        <v>97.3</v>
      </c>
      <c r="AZ489" s="114">
        <v>97.1</v>
      </c>
      <c r="BA489" s="114">
        <v>96.9</v>
      </c>
      <c r="BB489" s="40">
        <v>43252</v>
      </c>
      <c r="BC489" s="40">
        <v>43388</v>
      </c>
    </row>
    <row r="490" spans="1:55" s="120" customFormat="1" ht="60">
      <c r="A490" s="41" t="s">
        <v>743</v>
      </c>
      <c r="B490" s="41" t="s">
        <v>1202</v>
      </c>
      <c r="C490" s="43" t="s">
        <v>10</v>
      </c>
      <c r="D490" s="43" t="s">
        <v>10</v>
      </c>
      <c r="E490" s="43" t="s">
        <v>10</v>
      </c>
      <c r="F490" s="63" t="s">
        <v>11</v>
      </c>
      <c r="G490" s="41" t="s">
        <v>744</v>
      </c>
      <c r="H490" s="27">
        <v>0.28999999999999998</v>
      </c>
      <c r="I490" s="109">
        <v>240</v>
      </c>
      <c r="J490" s="27">
        <v>97</v>
      </c>
      <c r="K490" s="39" t="s">
        <v>1323</v>
      </c>
      <c r="L490" s="130" t="s">
        <v>845</v>
      </c>
      <c r="M490" s="110" t="s">
        <v>588</v>
      </c>
      <c r="N490" s="40">
        <v>43388</v>
      </c>
      <c r="O490" s="130" t="s">
        <v>845</v>
      </c>
      <c r="P490" s="63" t="s">
        <v>17</v>
      </c>
      <c r="Q490" s="63" t="s">
        <v>17</v>
      </c>
      <c r="R490" s="112" t="s">
        <v>27</v>
      </c>
      <c r="S490" s="111" t="s">
        <v>11</v>
      </c>
      <c r="T490" s="111" t="s">
        <v>10</v>
      </c>
      <c r="U490" s="113">
        <v>2.5000000000000001E-2</v>
      </c>
      <c r="V490" s="113"/>
      <c r="W490" s="113"/>
      <c r="X490" s="113">
        <v>27</v>
      </c>
      <c r="Y490" s="113">
        <v>36</v>
      </c>
      <c r="Z490" s="113">
        <v>45</v>
      </c>
      <c r="AA490" s="114">
        <v>0.03</v>
      </c>
      <c r="AB490" s="114">
        <v>0.06</v>
      </c>
      <c r="AC490" s="114">
        <v>0.09</v>
      </c>
      <c r="AD490" s="114">
        <v>0.15</v>
      </c>
      <c r="AE490" s="114">
        <v>0.22</v>
      </c>
      <c r="AF490" s="114">
        <v>0.28999999999999998</v>
      </c>
      <c r="AG490" s="114">
        <v>95</v>
      </c>
      <c r="AH490" s="114">
        <v>96.2</v>
      </c>
      <c r="AI490" s="114">
        <v>97.1</v>
      </c>
      <c r="AJ490" s="114">
        <v>97.4</v>
      </c>
      <c r="AK490" s="114">
        <v>97.2</v>
      </c>
      <c r="AL490" s="114">
        <v>96.6</v>
      </c>
      <c r="AM490" s="114">
        <v>97.1</v>
      </c>
      <c r="AN490" s="114">
        <v>94.2</v>
      </c>
      <c r="AO490" s="114">
        <v>95.6</v>
      </c>
      <c r="AP490" s="114">
        <v>96.8</v>
      </c>
      <c r="AQ490" s="114">
        <v>97.5</v>
      </c>
      <c r="AR490" s="114">
        <v>97.4</v>
      </c>
      <c r="AS490" s="114">
        <v>97.2</v>
      </c>
      <c r="AT490" s="114">
        <v>97.1</v>
      </c>
      <c r="AU490" s="114">
        <v>93.3</v>
      </c>
      <c r="AV490" s="114">
        <v>94.8</v>
      </c>
      <c r="AW490" s="114">
        <v>96.4</v>
      </c>
      <c r="AX490" s="114">
        <v>97.3</v>
      </c>
      <c r="AY490" s="114">
        <v>97.3</v>
      </c>
      <c r="AZ490" s="114">
        <v>97.1</v>
      </c>
      <c r="BA490" s="114">
        <v>96.9</v>
      </c>
      <c r="BB490" s="40">
        <v>43252</v>
      </c>
      <c r="BC490" s="40">
        <v>43388</v>
      </c>
    </row>
    <row r="491" spans="1:55" s="120" customFormat="1" ht="45">
      <c r="A491" s="41" t="s">
        <v>7</v>
      </c>
      <c r="B491" s="41" t="s">
        <v>1203</v>
      </c>
      <c r="C491" s="43" t="s">
        <v>10</v>
      </c>
      <c r="D491" s="43" t="s">
        <v>10</v>
      </c>
      <c r="E491" s="43" t="s">
        <v>10</v>
      </c>
      <c r="F491" s="63" t="s">
        <v>11</v>
      </c>
      <c r="G491" s="41" t="s">
        <v>769</v>
      </c>
      <c r="H491" s="27">
        <v>1.165</v>
      </c>
      <c r="I491" s="109">
        <v>240</v>
      </c>
      <c r="J491" s="27">
        <v>96.5</v>
      </c>
      <c r="K491" s="39" t="s">
        <v>1325</v>
      </c>
      <c r="L491" s="130" t="s">
        <v>770</v>
      </c>
      <c r="M491" s="110" t="s">
        <v>771</v>
      </c>
      <c r="N491" s="40">
        <v>43388</v>
      </c>
      <c r="O491" s="130" t="s">
        <v>770</v>
      </c>
      <c r="P491" s="63" t="s">
        <v>17</v>
      </c>
      <c r="Q491" s="63" t="s">
        <v>17</v>
      </c>
      <c r="R491" s="112"/>
      <c r="S491" s="111" t="s">
        <v>11</v>
      </c>
      <c r="T491" s="111" t="s">
        <v>10</v>
      </c>
      <c r="U491" s="113">
        <v>0.04</v>
      </c>
      <c r="V491" s="113"/>
      <c r="W491" s="113"/>
      <c r="X491" s="113">
        <v>28</v>
      </c>
      <c r="Y491" s="113">
        <v>29</v>
      </c>
      <c r="Z491" s="113">
        <v>31</v>
      </c>
      <c r="AA491" s="114">
        <v>0.12</v>
      </c>
      <c r="AB491" s="114">
        <v>0.24</v>
      </c>
      <c r="AC491" s="114">
        <v>0.36</v>
      </c>
      <c r="AD491" s="114">
        <v>0.6</v>
      </c>
      <c r="AE491" s="114">
        <v>0.89999999999999991</v>
      </c>
      <c r="AF491" s="114">
        <v>1.2</v>
      </c>
      <c r="AG491" s="114">
        <v>91.269300000000015</v>
      </c>
      <c r="AH491" s="114">
        <v>95.441199999999995</v>
      </c>
      <c r="AI491" s="114">
        <v>96.573599999999999</v>
      </c>
      <c r="AJ491" s="114">
        <v>97.136399999999995</v>
      </c>
      <c r="AK491" s="114">
        <v>97.054799999999986</v>
      </c>
      <c r="AL491" s="114">
        <v>96.799900000000008</v>
      </c>
      <c r="AM491" s="114">
        <v>96.689346999999998</v>
      </c>
      <c r="AN491" s="114">
        <v>90.98299999999999</v>
      </c>
      <c r="AO491" s="114">
        <v>95.51400000000001</v>
      </c>
      <c r="AP491" s="114">
        <v>96.582300000000004</v>
      </c>
      <c r="AQ491" s="114">
        <v>97.041900000000012</v>
      </c>
      <c r="AR491" s="114">
        <v>96.980500000000006</v>
      </c>
      <c r="AS491" s="114">
        <v>96.757300000000001</v>
      </c>
      <c r="AT491" s="114">
        <v>96.62122500000001</v>
      </c>
      <c r="AU491" s="114">
        <v>89.75</v>
      </c>
      <c r="AV491" s="114">
        <v>95.235099999999989</v>
      </c>
      <c r="AW491" s="114">
        <v>96.421300000000016</v>
      </c>
      <c r="AX491" s="114">
        <v>97.011700000000019</v>
      </c>
      <c r="AY491" s="114">
        <v>96.993900000000011</v>
      </c>
      <c r="AZ491" s="114">
        <v>96.816299999999998</v>
      </c>
      <c r="BA491" s="114">
        <v>96.542350000000013</v>
      </c>
      <c r="BB491" s="40">
        <v>43313</v>
      </c>
      <c r="BC491" s="40">
        <v>43388</v>
      </c>
    </row>
    <row r="492" spans="1:55" s="120" customFormat="1" ht="45">
      <c r="A492" s="74" t="s">
        <v>346</v>
      </c>
      <c r="B492" s="67" t="s">
        <v>1204</v>
      </c>
      <c r="C492" s="69" t="s">
        <v>10</v>
      </c>
      <c r="D492" s="69" t="s">
        <v>10</v>
      </c>
      <c r="E492" s="63" t="s">
        <v>11</v>
      </c>
      <c r="F492" s="63" t="s">
        <v>11</v>
      </c>
      <c r="G492" s="74" t="s">
        <v>316</v>
      </c>
      <c r="H492" s="60">
        <v>60</v>
      </c>
      <c r="I492" s="62">
        <v>480</v>
      </c>
      <c r="J492" s="53">
        <v>98.5</v>
      </c>
      <c r="K492" s="39" t="s">
        <v>1324</v>
      </c>
      <c r="L492" s="129" t="s">
        <v>532</v>
      </c>
      <c r="M492" s="57" t="s">
        <v>533</v>
      </c>
      <c r="N492" s="40">
        <v>43388</v>
      </c>
      <c r="O492" s="63" t="s">
        <v>17</v>
      </c>
      <c r="P492" s="63" t="s">
        <v>17</v>
      </c>
      <c r="Q492" s="63" t="s">
        <v>17</v>
      </c>
      <c r="R492" s="71"/>
      <c r="S492" s="57" t="s">
        <v>10</v>
      </c>
      <c r="T492" s="57" t="s">
        <v>11</v>
      </c>
      <c r="U492" s="54">
        <v>0.88</v>
      </c>
      <c r="V492" s="67"/>
      <c r="W492" s="67"/>
      <c r="X492" s="67">
        <v>550</v>
      </c>
      <c r="Y492" s="67">
        <v>700</v>
      </c>
      <c r="Z492" s="67">
        <v>850</v>
      </c>
      <c r="AA492" s="101">
        <v>6</v>
      </c>
      <c r="AB492" s="101">
        <v>12</v>
      </c>
      <c r="AC492" s="101">
        <v>18</v>
      </c>
      <c r="AD492" s="101">
        <v>30</v>
      </c>
      <c r="AE492" s="101">
        <v>45</v>
      </c>
      <c r="AF492" s="101">
        <v>60</v>
      </c>
      <c r="AG492" s="102">
        <v>97.8</v>
      </c>
      <c r="AH492" s="102">
        <v>98.2</v>
      </c>
      <c r="AI492" s="102">
        <v>98.2</v>
      </c>
      <c r="AJ492" s="102">
        <v>98.4</v>
      </c>
      <c r="AK492" s="102">
        <v>98.4</v>
      </c>
      <c r="AL492" s="102">
        <v>98</v>
      </c>
      <c r="AM492" s="102">
        <v>98.3</v>
      </c>
      <c r="AN492" s="102">
        <v>97.8</v>
      </c>
      <c r="AO492" s="102">
        <v>98.6</v>
      </c>
      <c r="AP492" s="102">
        <v>98.8</v>
      </c>
      <c r="AQ492" s="102">
        <v>98.9</v>
      </c>
      <c r="AR492" s="102">
        <v>98.7</v>
      </c>
      <c r="AS492" s="102">
        <v>98.5</v>
      </c>
      <c r="AT492" s="102">
        <v>98.7</v>
      </c>
      <c r="AU492" s="102">
        <v>97.5</v>
      </c>
      <c r="AV492" s="102">
        <v>98.6</v>
      </c>
      <c r="AW492" s="102">
        <v>98.5</v>
      </c>
      <c r="AX492" s="102">
        <v>98.8</v>
      </c>
      <c r="AY492" s="102">
        <v>98.5</v>
      </c>
      <c r="AZ492" s="102">
        <v>98.4</v>
      </c>
      <c r="BA492" s="103">
        <v>98.5</v>
      </c>
      <c r="BB492" s="40">
        <v>43054</v>
      </c>
      <c r="BC492" s="40">
        <v>43388</v>
      </c>
    </row>
    <row r="493" spans="1:55" s="120" customFormat="1" ht="60">
      <c r="A493" s="76" t="s">
        <v>346</v>
      </c>
      <c r="B493" s="76" t="s">
        <v>1205</v>
      </c>
      <c r="C493" s="79" t="s">
        <v>10</v>
      </c>
      <c r="D493" s="79" t="s">
        <v>10</v>
      </c>
      <c r="E493" s="63" t="s">
        <v>11</v>
      </c>
      <c r="F493" s="63" t="s">
        <v>11</v>
      </c>
      <c r="G493" s="76" t="s">
        <v>347</v>
      </c>
      <c r="H493" s="90">
        <v>125.178</v>
      </c>
      <c r="I493" s="77">
        <v>600</v>
      </c>
      <c r="J493" s="78">
        <v>98.5</v>
      </c>
      <c r="K493" s="39" t="s">
        <v>1324</v>
      </c>
      <c r="L493" s="131" t="s">
        <v>490</v>
      </c>
      <c r="M493" s="79" t="s">
        <v>534</v>
      </c>
      <c r="N493" s="40">
        <v>43388</v>
      </c>
      <c r="O493" s="63" t="s">
        <v>17</v>
      </c>
      <c r="P493" s="63" t="s">
        <v>17</v>
      </c>
      <c r="Q493" s="63" t="s">
        <v>17</v>
      </c>
      <c r="R493" s="81"/>
      <c r="S493" s="80" t="s">
        <v>10</v>
      </c>
      <c r="T493" s="80" t="s">
        <v>11</v>
      </c>
      <c r="U493" s="82">
        <v>5.59</v>
      </c>
      <c r="V493" s="83"/>
      <c r="W493" s="83"/>
      <c r="X493" s="83">
        <v>860</v>
      </c>
      <c r="Y493" s="83">
        <v>945</v>
      </c>
      <c r="Z493" s="83">
        <v>1200</v>
      </c>
      <c r="AA493" s="100">
        <v>12.5</v>
      </c>
      <c r="AB493" s="100">
        <v>25</v>
      </c>
      <c r="AC493" s="100">
        <v>37.5</v>
      </c>
      <c r="AD493" s="100">
        <v>62.5</v>
      </c>
      <c r="AE493" s="100">
        <v>93.75</v>
      </c>
      <c r="AF493" s="100">
        <v>125</v>
      </c>
      <c r="AG493" s="100">
        <v>98.58616564175307</v>
      </c>
      <c r="AH493" s="100">
        <v>98.826538452883796</v>
      </c>
      <c r="AI493" s="100">
        <v>98.882920668787548</v>
      </c>
      <c r="AJ493" s="100">
        <v>98.682111571152404</v>
      </c>
      <c r="AK493" s="100">
        <v>98.446188385118617</v>
      </c>
      <c r="AL493" s="100">
        <v>98.255485255906706</v>
      </c>
      <c r="AM493" s="100">
        <v>98.563221565419028</v>
      </c>
      <c r="AN493" s="100">
        <v>98.289599609219081</v>
      </c>
      <c r="AO493" s="100">
        <v>98.583945292274365</v>
      </c>
      <c r="AP493" s="100">
        <v>98.588970137552224</v>
      </c>
      <c r="AQ493" s="100">
        <v>98.493674639210937</v>
      </c>
      <c r="AR493" s="100">
        <v>98.359556350960816</v>
      </c>
      <c r="AS493" s="100">
        <v>98.10571225553511</v>
      </c>
      <c r="AT493" s="100">
        <v>98.410979818509034</v>
      </c>
      <c r="AU493" s="100">
        <v>98.084763214122049</v>
      </c>
      <c r="AV493" s="100">
        <v>98.42607546143779</v>
      </c>
      <c r="AW493" s="100">
        <v>98.477766582060369</v>
      </c>
      <c r="AX493" s="100">
        <v>98.383879856604054</v>
      </c>
      <c r="AY493" s="100">
        <v>98.097144355565277</v>
      </c>
      <c r="AZ493" s="100">
        <v>97.626852759517618</v>
      </c>
      <c r="BA493" s="100">
        <v>98.195470207796347</v>
      </c>
      <c r="BB493" s="40">
        <v>43040</v>
      </c>
      <c r="BC493" s="40">
        <v>43388</v>
      </c>
    </row>
    <row r="494" spans="1:55" s="120" customFormat="1" ht="60">
      <c r="A494" s="76" t="s">
        <v>346</v>
      </c>
      <c r="B494" s="76" t="s">
        <v>1206</v>
      </c>
      <c r="C494" s="79" t="s">
        <v>10</v>
      </c>
      <c r="D494" s="79" t="s">
        <v>10</v>
      </c>
      <c r="E494" s="63" t="s">
        <v>11</v>
      </c>
      <c r="F494" s="63" t="s">
        <v>11</v>
      </c>
      <c r="G494" s="76" t="s">
        <v>548</v>
      </c>
      <c r="H494" s="90">
        <v>2500</v>
      </c>
      <c r="I494" s="77">
        <v>550</v>
      </c>
      <c r="J494" s="78">
        <v>98</v>
      </c>
      <c r="K494" s="39" t="s">
        <v>1324</v>
      </c>
      <c r="L494" s="131" t="s">
        <v>549</v>
      </c>
      <c r="M494" s="79" t="s">
        <v>550</v>
      </c>
      <c r="N494" s="40">
        <v>43388</v>
      </c>
      <c r="O494" s="63" t="s">
        <v>17</v>
      </c>
      <c r="P494" s="63" t="s">
        <v>17</v>
      </c>
      <c r="Q494" s="63" t="s">
        <v>17</v>
      </c>
      <c r="R494" s="81" t="s">
        <v>317</v>
      </c>
      <c r="S494" s="80" t="s">
        <v>11</v>
      </c>
      <c r="T494" s="80" t="s">
        <v>11</v>
      </c>
      <c r="U494" s="82">
        <v>651.36</v>
      </c>
      <c r="V494" s="83"/>
      <c r="W494" s="83"/>
      <c r="X494" s="83">
        <v>800</v>
      </c>
      <c r="Y494" s="83">
        <v>900</v>
      </c>
      <c r="Z494" s="83">
        <v>1200</v>
      </c>
      <c r="AA494" s="100">
        <v>250</v>
      </c>
      <c r="AB494" s="100">
        <v>500</v>
      </c>
      <c r="AC494" s="100">
        <v>750</v>
      </c>
      <c r="AD494" s="100">
        <v>1250</v>
      </c>
      <c r="AE494" s="100">
        <v>1875</v>
      </c>
      <c r="AF494" s="100">
        <v>2500</v>
      </c>
      <c r="AG494" s="100">
        <v>98</v>
      </c>
      <c r="AH494" s="100">
        <v>98.6</v>
      </c>
      <c r="AI494" s="100">
        <v>98.8</v>
      </c>
      <c r="AJ494" s="100">
        <v>98.8</v>
      </c>
      <c r="AK494" s="100">
        <v>98.6</v>
      </c>
      <c r="AL494" s="100">
        <v>98.4</v>
      </c>
      <c r="AM494" s="100">
        <v>97.9</v>
      </c>
      <c r="AN494" s="100">
        <v>97.8</v>
      </c>
      <c r="AO494" s="100">
        <v>98.5</v>
      </c>
      <c r="AP494" s="100">
        <v>98.6</v>
      </c>
      <c r="AQ494" s="100">
        <v>98.6</v>
      </c>
      <c r="AR494" s="100">
        <v>98.5</v>
      </c>
      <c r="AS494" s="100">
        <v>98.3</v>
      </c>
      <c r="AT494" s="100">
        <v>97.7</v>
      </c>
      <c r="AU494" s="100">
        <v>97.4</v>
      </c>
      <c r="AV494" s="100">
        <v>98.2</v>
      </c>
      <c r="AW494" s="100">
        <v>98.4</v>
      </c>
      <c r="AX494" s="100">
        <v>98.5</v>
      </c>
      <c r="AY494" s="100">
        <v>98.3</v>
      </c>
      <c r="AZ494" s="100">
        <v>98.2</v>
      </c>
      <c r="BA494" s="100">
        <v>97.7</v>
      </c>
      <c r="BB494" s="40">
        <v>43132</v>
      </c>
      <c r="BC494" s="40">
        <v>43388</v>
      </c>
    </row>
    <row r="495" spans="1:55" s="120" customFormat="1" ht="60">
      <c r="A495" s="76" t="s">
        <v>8</v>
      </c>
      <c r="B495" s="76" t="s">
        <v>1303</v>
      </c>
      <c r="C495" s="79" t="s">
        <v>10</v>
      </c>
      <c r="D495" s="79" t="s">
        <v>10</v>
      </c>
      <c r="E495" s="43" t="s">
        <v>10</v>
      </c>
      <c r="F495" s="63" t="s">
        <v>11</v>
      </c>
      <c r="G495" s="76" t="s">
        <v>1311</v>
      </c>
      <c r="H495" s="144">
        <v>0.315</v>
      </c>
      <c r="I495" s="77">
        <v>208</v>
      </c>
      <c r="J495" s="78">
        <v>97</v>
      </c>
      <c r="K495" s="39" t="s">
        <v>1327</v>
      </c>
      <c r="L495" s="145" t="s">
        <v>1258</v>
      </c>
      <c r="M495" s="110" t="s">
        <v>860</v>
      </c>
      <c r="N495" s="145">
        <v>43467</v>
      </c>
      <c r="O495" s="145" t="s">
        <v>1258</v>
      </c>
      <c r="P495" s="63" t="s">
        <v>17</v>
      </c>
      <c r="Q495" s="63" t="s">
        <v>17</v>
      </c>
      <c r="R495" s="81" t="s">
        <v>1304</v>
      </c>
      <c r="S495" s="80" t="s">
        <v>11</v>
      </c>
      <c r="T495" s="80" t="s">
        <v>10</v>
      </c>
      <c r="U495" s="82">
        <v>2.1000000000000001E-2</v>
      </c>
      <c r="V495" s="83"/>
      <c r="W495" s="83"/>
      <c r="X495" s="83">
        <v>53</v>
      </c>
      <c r="Y495" s="83">
        <v>60</v>
      </c>
      <c r="Z495" s="83">
        <v>64</v>
      </c>
      <c r="AA495" s="82">
        <v>3.15E-2</v>
      </c>
      <c r="AB495" s="82">
        <v>6.3E-2</v>
      </c>
      <c r="AC495" s="82">
        <v>9.4500000000000001E-2</v>
      </c>
      <c r="AD495" s="82">
        <v>0.1575</v>
      </c>
      <c r="AE495" s="82">
        <v>0.23625000000000002</v>
      </c>
      <c r="AF495" s="82">
        <v>0.315</v>
      </c>
      <c r="AG495" s="146">
        <v>90.483609999999999</v>
      </c>
      <c r="AH495" s="146">
        <v>96.662759999999992</v>
      </c>
      <c r="AI495" s="146">
        <v>97.099880000000013</v>
      </c>
      <c r="AJ495" s="146">
        <v>97.635729999999995</v>
      </c>
      <c r="AK495" s="146">
        <v>97.524219999999985</v>
      </c>
      <c r="AL495" s="146">
        <v>97.103530000000006</v>
      </c>
      <c r="AM495" s="146">
        <v>97.150984399999999</v>
      </c>
      <c r="AN495" s="146">
        <v>95.414170000000013</v>
      </c>
      <c r="AO495" s="146">
        <v>96.465389999999999</v>
      </c>
      <c r="AP495" s="146">
        <v>96.900779999999997</v>
      </c>
      <c r="AQ495" s="146">
        <v>97.542020000000008</v>
      </c>
      <c r="AR495" s="146">
        <v>97.461279999999988</v>
      </c>
      <c r="AS495" s="146">
        <v>97.049990000000008</v>
      </c>
      <c r="AT495" s="146">
        <v>97.258731999999981</v>
      </c>
      <c r="AU495" s="146">
        <v>95.270490000000009</v>
      </c>
      <c r="AV495" s="146">
        <v>96.333490000000012</v>
      </c>
      <c r="AW495" s="146">
        <v>96.813520000000011</v>
      </c>
      <c r="AX495" s="146">
        <v>97.502470000000002</v>
      </c>
      <c r="AY495" s="146">
        <v>97.42989</v>
      </c>
      <c r="AZ495" s="146">
        <v>97.019700000000014</v>
      </c>
      <c r="BA495" s="146">
        <v>97.209461900000008</v>
      </c>
      <c r="BB495" s="84">
        <v>43467</v>
      </c>
      <c r="BC495" s="85"/>
    </row>
    <row r="496" spans="1:55" s="120" customFormat="1" ht="60">
      <c r="A496" s="76" t="s">
        <v>8</v>
      </c>
      <c r="B496" s="76" t="s">
        <v>1305</v>
      </c>
      <c r="C496" s="79" t="s">
        <v>10</v>
      </c>
      <c r="D496" s="79" t="s">
        <v>10</v>
      </c>
      <c r="E496" s="43" t="s">
        <v>10</v>
      </c>
      <c r="F496" s="63" t="s">
        <v>11</v>
      </c>
      <c r="G496" s="76" t="s">
        <v>1310</v>
      </c>
      <c r="H496" s="144">
        <v>0.315</v>
      </c>
      <c r="I496" s="77">
        <v>240</v>
      </c>
      <c r="J496" s="78">
        <v>97.5</v>
      </c>
      <c r="K496" s="39" t="s">
        <v>1327</v>
      </c>
      <c r="L496" s="145" t="s">
        <v>1258</v>
      </c>
      <c r="M496" s="110" t="s">
        <v>860</v>
      </c>
      <c r="N496" s="145">
        <v>43467</v>
      </c>
      <c r="O496" s="145" t="s">
        <v>1258</v>
      </c>
      <c r="P496" s="63" t="s">
        <v>17</v>
      </c>
      <c r="Q496" s="63" t="s">
        <v>17</v>
      </c>
      <c r="R496" s="81" t="s">
        <v>1304</v>
      </c>
      <c r="S496" s="80" t="s">
        <v>11</v>
      </c>
      <c r="T496" s="80" t="s">
        <v>10</v>
      </c>
      <c r="U496" s="82">
        <v>2.1000000000000001E-2</v>
      </c>
      <c r="V496" s="83"/>
      <c r="W496" s="83"/>
      <c r="X496" s="83">
        <v>53</v>
      </c>
      <c r="Y496" s="83">
        <v>60</v>
      </c>
      <c r="Z496" s="83">
        <v>64</v>
      </c>
      <c r="AA496" s="82">
        <v>3.15E-2</v>
      </c>
      <c r="AB496" s="82">
        <v>6.3E-2</v>
      </c>
      <c r="AC496" s="82">
        <v>9.4500000000000001E-2</v>
      </c>
      <c r="AD496" s="82">
        <v>0.1575</v>
      </c>
      <c r="AE496" s="82">
        <v>0.23625000000000002</v>
      </c>
      <c r="AF496" s="82">
        <v>0.315</v>
      </c>
      <c r="AG496" s="146">
        <v>95.734780000000015</v>
      </c>
      <c r="AH496" s="146">
        <v>96.840240000000009</v>
      </c>
      <c r="AI496" s="146">
        <v>96.996160000000003</v>
      </c>
      <c r="AJ496" s="146">
        <v>97.762709999999998</v>
      </c>
      <c r="AK496" s="146">
        <v>97.755849999999981</v>
      </c>
      <c r="AL496" s="146">
        <v>97.46862999999999</v>
      </c>
      <c r="AM496" s="146">
        <v>97.525143499999984</v>
      </c>
      <c r="AN496" s="146">
        <v>95.610320000000002</v>
      </c>
      <c r="AO496" s="146">
        <v>96.678239999999988</v>
      </c>
      <c r="AP496" s="146">
        <v>96.754879999999986</v>
      </c>
      <c r="AQ496" s="146">
        <v>97.666660000000007</v>
      </c>
      <c r="AR496" s="146">
        <v>97.739180000000005</v>
      </c>
      <c r="AS496" s="146">
        <v>97.513729999999981</v>
      </c>
      <c r="AT496" s="146">
        <v>97.456360900000007</v>
      </c>
      <c r="AU496" s="146">
        <v>95.436540000000008</v>
      </c>
      <c r="AV496" s="146">
        <v>96.497949999999989</v>
      </c>
      <c r="AW496" s="146">
        <v>96.657110000000017</v>
      </c>
      <c r="AX496" s="146">
        <v>97.603840000000019</v>
      </c>
      <c r="AY496" s="146">
        <v>97.700140000000005</v>
      </c>
      <c r="AZ496" s="146">
        <v>97.48254</v>
      </c>
      <c r="BA496" s="146">
        <v>97.393219900000005</v>
      </c>
      <c r="BB496" s="84">
        <v>43467</v>
      </c>
      <c r="BC496" s="85"/>
    </row>
    <row r="497" spans="1:55" s="120" customFormat="1" ht="60">
      <c r="A497" s="76" t="s">
        <v>8</v>
      </c>
      <c r="B497" s="76" t="s">
        <v>1306</v>
      </c>
      <c r="C497" s="79" t="s">
        <v>10</v>
      </c>
      <c r="D497" s="79" t="s">
        <v>10</v>
      </c>
      <c r="E497" s="43" t="s">
        <v>10</v>
      </c>
      <c r="F497" s="63" t="s">
        <v>11</v>
      </c>
      <c r="G497" s="76" t="s">
        <v>1309</v>
      </c>
      <c r="H497" s="144">
        <v>0.315</v>
      </c>
      <c r="I497" s="77">
        <v>208</v>
      </c>
      <c r="J497" s="78">
        <v>97</v>
      </c>
      <c r="K497" s="39" t="s">
        <v>1327</v>
      </c>
      <c r="L497" s="145" t="s">
        <v>1258</v>
      </c>
      <c r="M497" s="110" t="s">
        <v>860</v>
      </c>
      <c r="N497" s="145">
        <v>43467</v>
      </c>
      <c r="O497" s="145" t="s">
        <v>1258</v>
      </c>
      <c r="P497" s="63" t="s">
        <v>17</v>
      </c>
      <c r="Q497" s="63" t="s">
        <v>17</v>
      </c>
      <c r="R497" s="81" t="s">
        <v>1304</v>
      </c>
      <c r="S497" s="80" t="s">
        <v>11</v>
      </c>
      <c r="T497" s="80" t="s">
        <v>10</v>
      </c>
      <c r="U497" s="82">
        <v>2.1000000000000001E-2</v>
      </c>
      <c r="V497" s="83"/>
      <c r="W497" s="83"/>
      <c r="X497" s="83">
        <v>53</v>
      </c>
      <c r="Y497" s="83">
        <v>60</v>
      </c>
      <c r="Z497" s="83">
        <v>64</v>
      </c>
      <c r="AA497" s="82">
        <v>3.15E-2</v>
      </c>
      <c r="AB497" s="82">
        <v>6.3E-2</v>
      </c>
      <c r="AC497" s="82">
        <v>9.4500000000000001E-2</v>
      </c>
      <c r="AD497" s="82">
        <v>0.1575</v>
      </c>
      <c r="AE497" s="82">
        <v>0.23625000000000002</v>
      </c>
      <c r="AF497" s="82">
        <v>0.315</v>
      </c>
      <c r="AG497" s="146">
        <v>90.483609999999999</v>
      </c>
      <c r="AH497" s="146">
        <v>96.662759999999992</v>
      </c>
      <c r="AI497" s="146">
        <v>97.099880000000013</v>
      </c>
      <c r="AJ497" s="146">
        <v>97.635729999999995</v>
      </c>
      <c r="AK497" s="146">
        <v>97.524219999999985</v>
      </c>
      <c r="AL497" s="146">
        <v>97.103530000000006</v>
      </c>
      <c r="AM497" s="146">
        <v>97.150984399999999</v>
      </c>
      <c r="AN497" s="146">
        <v>95.414170000000013</v>
      </c>
      <c r="AO497" s="146">
        <v>96.465389999999999</v>
      </c>
      <c r="AP497" s="146">
        <v>96.900779999999997</v>
      </c>
      <c r="AQ497" s="146">
        <v>97.542020000000008</v>
      </c>
      <c r="AR497" s="146">
        <v>97.461279999999988</v>
      </c>
      <c r="AS497" s="146">
        <v>97.049990000000008</v>
      </c>
      <c r="AT497" s="146">
        <v>97.258731999999981</v>
      </c>
      <c r="AU497" s="146">
        <v>95.270490000000009</v>
      </c>
      <c r="AV497" s="146">
        <v>96.333490000000012</v>
      </c>
      <c r="AW497" s="146">
        <v>96.813520000000011</v>
      </c>
      <c r="AX497" s="146">
        <v>97.502470000000002</v>
      </c>
      <c r="AY497" s="146">
        <v>97.42989</v>
      </c>
      <c r="AZ497" s="146">
        <v>97.019700000000014</v>
      </c>
      <c r="BA497" s="146">
        <v>97.209461900000008</v>
      </c>
      <c r="BB497" s="84">
        <v>43467</v>
      </c>
      <c r="BC497" s="85"/>
    </row>
    <row r="498" spans="1:55" s="120" customFormat="1" ht="60">
      <c r="A498" s="76" t="s">
        <v>8</v>
      </c>
      <c r="B498" s="76" t="s">
        <v>1307</v>
      </c>
      <c r="C498" s="79" t="s">
        <v>10</v>
      </c>
      <c r="D498" s="79" t="s">
        <v>10</v>
      </c>
      <c r="E498" s="43" t="s">
        <v>10</v>
      </c>
      <c r="F498" s="63" t="s">
        <v>11</v>
      </c>
      <c r="G498" s="76" t="s">
        <v>1308</v>
      </c>
      <c r="H498" s="144">
        <v>0.315</v>
      </c>
      <c r="I498" s="77">
        <v>240</v>
      </c>
      <c r="J498" s="78">
        <v>97.5</v>
      </c>
      <c r="K498" s="39" t="s">
        <v>1327</v>
      </c>
      <c r="L498" s="145" t="s">
        <v>1258</v>
      </c>
      <c r="M498" s="110" t="s">
        <v>860</v>
      </c>
      <c r="N498" s="145">
        <v>43467</v>
      </c>
      <c r="O498" s="145" t="s">
        <v>1258</v>
      </c>
      <c r="P498" s="63" t="s">
        <v>17</v>
      </c>
      <c r="Q498" s="63" t="s">
        <v>17</v>
      </c>
      <c r="R498" s="81" t="s">
        <v>1304</v>
      </c>
      <c r="S498" s="80" t="s">
        <v>11</v>
      </c>
      <c r="T498" s="80" t="s">
        <v>10</v>
      </c>
      <c r="U498" s="82">
        <v>2.1000000000000001E-2</v>
      </c>
      <c r="V498" s="83"/>
      <c r="W498" s="83"/>
      <c r="X498" s="83">
        <v>53</v>
      </c>
      <c r="Y498" s="83">
        <v>60</v>
      </c>
      <c r="Z498" s="83">
        <v>64</v>
      </c>
      <c r="AA498" s="82">
        <v>3.15E-2</v>
      </c>
      <c r="AB498" s="82">
        <v>6.3E-2</v>
      </c>
      <c r="AC498" s="82">
        <v>9.4500000000000001E-2</v>
      </c>
      <c r="AD498" s="82">
        <v>0.1575</v>
      </c>
      <c r="AE498" s="82">
        <v>0.23625000000000002</v>
      </c>
      <c r="AF498" s="82">
        <v>0.315</v>
      </c>
      <c r="AG498" s="146">
        <v>95.734780000000015</v>
      </c>
      <c r="AH498" s="146">
        <v>96.840240000000009</v>
      </c>
      <c r="AI498" s="146">
        <v>96.996160000000003</v>
      </c>
      <c r="AJ498" s="146">
        <v>97.762709999999998</v>
      </c>
      <c r="AK498" s="146">
        <v>97.755849999999981</v>
      </c>
      <c r="AL498" s="146">
        <v>97.46862999999999</v>
      </c>
      <c r="AM498" s="146">
        <v>97.525143499999984</v>
      </c>
      <c r="AN498" s="146">
        <v>95.610320000000002</v>
      </c>
      <c r="AO498" s="146">
        <v>96.678239999999988</v>
      </c>
      <c r="AP498" s="146">
        <v>96.754879999999986</v>
      </c>
      <c r="AQ498" s="146">
        <v>97.666660000000007</v>
      </c>
      <c r="AR498" s="146">
        <v>97.739180000000005</v>
      </c>
      <c r="AS498" s="146">
        <v>97.513729999999981</v>
      </c>
      <c r="AT498" s="146">
        <v>97.456360900000007</v>
      </c>
      <c r="AU498" s="146">
        <v>95.436540000000008</v>
      </c>
      <c r="AV498" s="146">
        <v>96.497949999999989</v>
      </c>
      <c r="AW498" s="146">
        <v>96.657110000000017</v>
      </c>
      <c r="AX498" s="146">
        <v>97.603840000000019</v>
      </c>
      <c r="AY498" s="146">
        <v>97.700140000000005</v>
      </c>
      <c r="AZ498" s="146">
        <v>97.48254</v>
      </c>
      <c r="BA498" s="146">
        <v>97.393219900000005</v>
      </c>
      <c r="BB498" s="84">
        <v>43467</v>
      </c>
      <c r="BC498" s="85"/>
    </row>
    <row r="499" spans="1:55" s="120" customFormat="1" ht="60">
      <c r="A499" s="76" t="s">
        <v>8</v>
      </c>
      <c r="B499" s="76" t="s">
        <v>1261</v>
      </c>
      <c r="C499" s="79" t="s">
        <v>10</v>
      </c>
      <c r="D499" s="79" t="s">
        <v>10</v>
      </c>
      <c r="E499" s="43" t="s">
        <v>10</v>
      </c>
      <c r="F499" s="63" t="s">
        <v>11</v>
      </c>
      <c r="G499" s="76" t="s">
        <v>1262</v>
      </c>
      <c r="H499" s="144">
        <v>0.315</v>
      </c>
      <c r="I499" s="77">
        <v>208</v>
      </c>
      <c r="J499" s="78">
        <v>97</v>
      </c>
      <c r="K499" s="39" t="s">
        <v>1327</v>
      </c>
      <c r="L499" s="145" t="s">
        <v>1258</v>
      </c>
      <c r="M499" s="79" t="s">
        <v>860</v>
      </c>
      <c r="N499" s="88">
        <v>43419</v>
      </c>
      <c r="O499" s="145" t="s">
        <v>1258</v>
      </c>
      <c r="P499" s="63" t="s">
        <v>17</v>
      </c>
      <c r="Q499" s="63" t="s">
        <v>17</v>
      </c>
      <c r="R499" s="81" t="s">
        <v>27</v>
      </c>
      <c r="S499" s="80" t="s">
        <v>11</v>
      </c>
      <c r="T499" s="80" t="s">
        <v>10</v>
      </c>
      <c r="U499" s="82">
        <v>2.1000000000000001E-2</v>
      </c>
      <c r="V499" s="83"/>
      <c r="W499" s="83"/>
      <c r="X499" s="83">
        <v>53</v>
      </c>
      <c r="Y499" s="83">
        <v>60</v>
      </c>
      <c r="Z499" s="83">
        <v>64</v>
      </c>
      <c r="AA499" s="82">
        <v>3.15E-2</v>
      </c>
      <c r="AB499" s="82">
        <v>6.3E-2</v>
      </c>
      <c r="AC499" s="82">
        <v>9.4500000000000001E-2</v>
      </c>
      <c r="AD499" s="82">
        <v>0.1575</v>
      </c>
      <c r="AE499" s="82">
        <v>0.23625000000000002</v>
      </c>
      <c r="AF499" s="82">
        <v>0.315</v>
      </c>
      <c r="AG499" s="146">
        <v>90.483609999999999</v>
      </c>
      <c r="AH499" s="146">
        <v>96.662759999999992</v>
      </c>
      <c r="AI499" s="146">
        <v>97.099880000000013</v>
      </c>
      <c r="AJ499" s="146">
        <v>97.635729999999995</v>
      </c>
      <c r="AK499" s="146">
        <v>97.524219999999985</v>
      </c>
      <c r="AL499" s="146">
        <v>97.103530000000006</v>
      </c>
      <c r="AM499" s="146">
        <v>97.150984399999999</v>
      </c>
      <c r="AN499" s="146">
        <v>95.414170000000013</v>
      </c>
      <c r="AO499" s="146">
        <v>96.465389999999999</v>
      </c>
      <c r="AP499" s="146">
        <v>96.900779999999997</v>
      </c>
      <c r="AQ499" s="146">
        <v>97.542020000000008</v>
      </c>
      <c r="AR499" s="146">
        <v>97.461279999999988</v>
      </c>
      <c r="AS499" s="146">
        <v>97.049990000000008</v>
      </c>
      <c r="AT499" s="146">
        <v>97.258731999999981</v>
      </c>
      <c r="AU499" s="146">
        <v>95.270490000000009</v>
      </c>
      <c r="AV499" s="146">
        <v>96.333490000000012</v>
      </c>
      <c r="AW499" s="146">
        <v>96.813520000000011</v>
      </c>
      <c r="AX499" s="146">
        <v>97.502470000000002</v>
      </c>
      <c r="AY499" s="146">
        <v>97.42989</v>
      </c>
      <c r="AZ499" s="146">
        <v>97.019700000000014</v>
      </c>
      <c r="BA499" s="146">
        <v>97.209461900000008</v>
      </c>
      <c r="BB499" s="84">
        <v>43419</v>
      </c>
      <c r="BC499" s="84"/>
    </row>
    <row r="500" spans="1:55" s="120" customFormat="1" ht="60">
      <c r="A500" s="76" t="s">
        <v>8</v>
      </c>
      <c r="B500" s="76" t="s">
        <v>1267</v>
      </c>
      <c r="C500" s="79" t="s">
        <v>10</v>
      </c>
      <c r="D500" s="79" t="s">
        <v>10</v>
      </c>
      <c r="E500" s="43" t="s">
        <v>10</v>
      </c>
      <c r="F500" s="63" t="s">
        <v>11</v>
      </c>
      <c r="G500" s="76" t="s">
        <v>1268</v>
      </c>
      <c r="H500" s="144">
        <v>0.315</v>
      </c>
      <c r="I500" s="77">
        <v>240</v>
      </c>
      <c r="J500" s="78">
        <v>97.5</v>
      </c>
      <c r="K500" s="39" t="s">
        <v>1327</v>
      </c>
      <c r="L500" s="145" t="s">
        <v>1258</v>
      </c>
      <c r="M500" s="79" t="s">
        <v>860</v>
      </c>
      <c r="N500" s="88">
        <v>43419</v>
      </c>
      <c r="O500" s="145" t="s">
        <v>1258</v>
      </c>
      <c r="P500" s="63" t="s">
        <v>17</v>
      </c>
      <c r="Q500" s="63" t="s">
        <v>17</v>
      </c>
      <c r="R500" s="81" t="s">
        <v>27</v>
      </c>
      <c r="S500" s="80" t="s">
        <v>11</v>
      </c>
      <c r="T500" s="80" t="s">
        <v>10</v>
      </c>
      <c r="U500" s="82">
        <v>2.1000000000000001E-2</v>
      </c>
      <c r="V500" s="83"/>
      <c r="W500" s="83"/>
      <c r="X500" s="83">
        <v>53</v>
      </c>
      <c r="Y500" s="83">
        <v>60</v>
      </c>
      <c r="Z500" s="83">
        <v>64</v>
      </c>
      <c r="AA500" s="82">
        <v>3.15E-2</v>
      </c>
      <c r="AB500" s="82">
        <v>6.3E-2</v>
      </c>
      <c r="AC500" s="82">
        <v>9.4500000000000001E-2</v>
      </c>
      <c r="AD500" s="82">
        <v>0.1575</v>
      </c>
      <c r="AE500" s="82">
        <v>0.23625000000000002</v>
      </c>
      <c r="AF500" s="82">
        <v>0.315</v>
      </c>
      <c r="AG500" s="146">
        <v>95.734780000000015</v>
      </c>
      <c r="AH500" s="146">
        <v>96.840240000000009</v>
      </c>
      <c r="AI500" s="146">
        <v>96.996160000000003</v>
      </c>
      <c r="AJ500" s="146">
        <v>97.762709999999998</v>
      </c>
      <c r="AK500" s="146">
        <v>97.755849999999981</v>
      </c>
      <c r="AL500" s="146">
        <v>97.46862999999999</v>
      </c>
      <c r="AM500" s="146">
        <v>97.525143499999984</v>
      </c>
      <c r="AN500" s="146">
        <v>95.610320000000002</v>
      </c>
      <c r="AO500" s="146">
        <v>96.678239999999988</v>
      </c>
      <c r="AP500" s="146">
        <v>96.754879999999986</v>
      </c>
      <c r="AQ500" s="146">
        <v>97.666660000000007</v>
      </c>
      <c r="AR500" s="146">
        <v>97.739180000000005</v>
      </c>
      <c r="AS500" s="146">
        <v>97.513729999999981</v>
      </c>
      <c r="AT500" s="146">
        <v>97.456360900000007</v>
      </c>
      <c r="AU500" s="146">
        <v>95.436540000000008</v>
      </c>
      <c r="AV500" s="146">
        <v>96.497949999999989</v>
      </c>
      <c r="AW500" s="146">
        <v>96.657110000000017</v>
      </c>
      <c r="AX500" s="146">
        <v>97.603840000000019</v>
      </c>
      <c r="AY500" s="146">
        <v>97.700140000000005</v>
      </c>
      <c r="AZ500" s="146">
        <v>97.48254</v>
      </c>
      <c r="BA500" s="146">
        <v>97.393219900000005</v>
      </c>
      <c r="BB500" s="84">
        <v>43419</v>
      </c>
      <c r="BC500" s="84"/>
    </row>
    <row r="501" spans="1:55" s="120" customFormat="1" ht="60">
      <c r="A501" s="76" t="s">
        <v>8</v>
      </c>
      <c r="B501" s="76" t="s">
        <v>1277</v>
      </c>
      <c r="C501" s="79" t="s">
        <v>10</v>
      </c>
      <c r="D501" s="79" t="s">
        <v>10</v>
      </c>
      <c r="E501" s="43" t="s">
        <v>10</v>
      </c>
      <c r="F501" s="63" t="s">
        <v>11</v>
      </c>
      <c r="G501" s="76" t="s">
        <v>1278</v>
      </c>
      <c r="H501" s="144">
        <v>0.315</v>
      </c>
      <c r="I501" s="77">
        <v>208</v>
      </c>
      <c r="J501" s="78">
        <v>97</v>
      </c>
      <c r="K501" s="39" t="s">
        <v>1327</v>
      </c>
      <c r="L501" s="145" t="s">
        <v>1258</v>
      </c>
      <c r="M501" s="79" t="s">
        <v>860</v>
      </c>
      <c r="N501" s="88">
        <v>43419</v>
      </c>
      <c r="O501" s="145" t="s">
        <v>1258</v>
      </c>
      <c r="P501" s="63" t="s">
        <v>17</v>
      </c>
      <c r="Q501" s="63" t="s">
        <v>17</v>
      </c>
      <c r="R501" s="81" t="s">
        <v>27</v>
      </c>
      <c r="S501" s="80" t="s">
        <v>11</v>
      </c>
      <c r="T501" s="80" t="s">
        <v>10</v>
      </c>
      <c r="U501" s="82">
        <v>2.1000000000000001E-2</v>
      </c>
      <c r="V501" s="83"/>
      <c r="W501" s="83"/>
      <c r="X501" s="83">
        <v>53</v>
      </c>
      <c r="Y501" s="83">
        <v>60</v>
      </c>
      <c r="Z501" s="83">
        <v>64</v>
      </c>
      <c r="AA501" s="82">
        <v>3.15E-2</v>
      </c>
      <c r="AB501" s="82">
        <v>6.3E-2</v>
      </c>
      <c r="AC501" s="82">
        <v>9.4500000000000001E-2</v>
      </c>
      <c r="AD501" s="82">
        <v>0.1575</v>
      </c>
      <c r="AE501" s="82">
        <v>0.23625000000000002</v>
      </c>
      <c r="AF501" s="82">
        <v>0.315</v>
      </c>
      <c r="AG501" s="146">
        <v>90.483609999999999</v>
      </c>
      <c r="AH501" s="146">
        <v>96.662759999999992</v>
      </c>
      <c r="AI501" s="146">
        <v>97.099880000000013</v>
      </c>
      <c r="AJ501" s="146">
        <v>97.635729999999995</v>
      </c>
      <c r="AK501" s="146">
        <v>97.524219999999985</v>
      </c>
      <c r="AL501" s="146">
        <v>97.103530000000006</v>
      </c>
      <c r="AM501" s="146">
        <v>97.150984399999999</v>
      </c>
      <c r="AN501" s="146">
        <v>95.414170000000013</v>
      </c>
      <c r="AO501" s="146">
        <v>96.465389999999999</v>
      </c>
      <c r="AP501" s="146">
        <v>96.900779999999997</v>
      </c>
      <c r="AQ501" s="146">
        <v>97.542020000000008</v>
      </c>
      <c r="AR501" s="146">
        <v>97.461279999999988</v>
      </c>
      <c r="AS501" s="146">
        <v>97.049990000000008</v>
      </c>
      <c r="AT501" s="146">
        <v>97.258731999999981</v>
      </c>
      <c r="AU501" s="146">
        <v>95.270490000000009</v>
      </c>
      <c r="AV501" s="146">
        <v>96.333490000000012</v>
      </c>
      <c r="AW501" s="146">
        <v>96.813520000000011</v>
      </c>
      <c r="AX501" s="146">
        <v>97.502470000000002</v>
      </c>
      <c r="AY501" s="146">
        <v>97.42989</v>
      </c>
      <c r="AZ501" s="146">
        <v>97.019700000000014</v>
      </c>
      <c r="BA501" s="146">
        <v>97.209461900000008</v>
      </c>
      <c r="BB501" s="84">
        <v>43419</v>
      </c>
      <c r="BC501" s="84"/>
    </row>
    <row r="502" spans="1:55" s="120" customFormat="1" ht="60">
      <c r="A502" s="76" t="s">
        <v>8</v>
      </c>
      <c r="B502" s="76" t="s">
        <v>1287</v>
      </c>
      <c r="C502" s="79" t="s">
        <v>10</v>
      </c>
      <c r="D502" s="79" t="s">
        <v>10</v>
      </c>
      <c r="E502" s="43" t="s">
        <v>10</v>
      </c>
      <c r="F502" s="63" t="s">
        <v>11</v>
      </c>
      <c r="G502" s="76" t="s">
        <v>1288</v>
      </c>
      <c r="H502" s="144">
        <v>0.315</v>
      </c>
      <c r="I502" s="77">
        <v>240</v>
      </c>
      <c r="J502" s="78">
        <v>97.5</v>
      </c>
      <c r="K502" s="39" t="s">
        <v>1327</v>
      </c>
      <c r="L502" s="145" t="s">
        <v>1258</v>
      </c>
      <c r="M502" s="79" t="s">
        <v>860</v>
      </c>
      <c r="N502" s="88">
        <v>43419</v>
      </c>
      <c r="O502" s="145" t="s">
        <v>1258</v>
      </c>
      <c r="P502" s="63" t="s">
        <v>17</v>
      </c>
      <c r="Q502" s="63" t="s">
        <v>17</v>
      </c>
      <c r="R502" s="81" t="s">
        <v>27</v>
      </c>
      <c r="S502" s="80" t="s">
        <v>11</v>
      </c>
      <c r="T502" s="80" t="s">
        <v>10</v>
      </c>
      <c r="U502" s="82">
        <v>2.1000000000000001E-2</v>
      </c>
      <c r="V502" s="83"/>
      <c r="W502" s="83"/>
      <c r="X502" s="83">
        <v>53</v>
      </c>
      <c r="Y502" s="83">
        <v>60</v>
      </c>
      <c r="Z502" s="83">
        <v>64</v>
      </c>
      <c r="AA502" s="82">
        <v>3.15E-2</v>
      </c>
      <c r="AB502" s="82">
        <v>6.3E-2</v>
      </c>
      <c r="AC502" s="82">
        <v>9.4500000000000001E-2</v>
      </c>
      <c r="AD502" s="82">
        <v>0.1575</v>
      </c>
      <c r="AE502" s="82">
        <v>0.23625000000000002</v>
      </c>
      <c r="AF502" s="82">
        <v>0.315</v>
      </c>
      <c r="AG502" s="146">
        <v>95.734780000000015</v>
      </c>
      <c r="AH502" s="146">
        <v>96.840240000000009</v>
      </c>
      <c r="AI502" s="146">
        <v>96.996160000000003</v>
      </c>
      <c r="AJ502" s="146">
        <v>97.762709999999998</v>
      </c>
      <c r="AK502" s="146">
        <v>97.755849999999981</v>
      </c>
      <c r="AL502" s="146">
        <v>97.46862999999999</v>
      </c>
      <c r="AM502" s="146">
        <v>97.525143499999984</v>
      </c>
      <c r="AN502" s="146">
        <v>95.610320000000002</v>
      </c>
      <c r="AO502" s="146">
        <v>96.678239999999988</v>
      </c>
      <c r="AP502" s="146">
        <v>96.754879999999986</v>
      </c>
      <c r="AQ502" s="146">
        <v>97.666660000000007</v>
      </c>
      <c r="AR502" s="146">
        <v>97.739180000000005</v>
      </c>
      <c r="AS502" s="146">
        <v>97.513729999999981</v>
      </c>
      <c r="AT502" s="146">
        <v>97.456360900000007</v>
      </c>
      <c r="AU502" s="146">
        <v>95.436540000000008</v>
      </c>
      <c r="AV502" s="146">
        <v>96.497949999999989</v>
      </c>
      <c r="AW502" s="146">
        <v>96.657110000000017</v>
      </c>
      <c r="AX502" s="146">
        <v>97.603840000000019</v>
      </c>
      <c r="AY502" s="146">
        <v>97.700140000000005</v>
      </c>
      <c r="AZ502" s="146">
        <v>97.48254</v>
      </c>
      <c r="BA502" s="146">
        <v>97.393219900000005</v>
      </c>
      <c r="BB502" s="84">
        <v>43419</v>
      </c>
      <c r="BC502" s="84"/>
    </row>
    <row r="503" spans="1:55" s="120" customFormat="1" ht="60">
      <c r="A503" s="76" t="s">
        <v>8</v>
      </c>
      <c r="B503" s="76" t="s">
        <v>1259</v>
      </c>
      <c r="C503" s="79" t="s">
        <v>10</v>
      </c>
      <c r="D503" s="79" t="s">
        <v>10</v>
      </c>
      <c r="E503" s="43" t="s">
        <v>10</v>
      </c>
      <c r="F503" s="63" t="s">
        <v>11</v>
      </c>
      <c r="G503" s="76" t="s">
        <v>1260</v>
      </c>
      <c r="H503" s="144">
        <v>0.315</v>
      </c>
      <c r="I503" s="77">
        <v>208</v>
      </c>
      <c r="J503" s="78">
        <v>97</v>
      </c>
      <c r="K503" s="39" t="s">
        <v>1327</v>
      </c>
      <c r="L503" s="145" t="s">
        <v>1258</v>
      </c>
      <c r="M503" s="79" t="s">
        <v>860</v>
      </c>
      <c r="N503" s="88">
        <v>43419</v>
      </c>
      <c r="O503" s="145" t="s">
        <v>1258</v>
      </c>
      <c r="P503" s="63" t="s">
        <v>17</v>
      </c>
      <c r="Q503" s="63" t="s">
        <v>17</v>
      </c>
      <c r="R503" s="81" t="s">
        <v>27</v>
      </c>
      <c r="S503" s="80" t="s">
        <v>11</v>
      </c>
      <c r="T503" s="80" t="s">
        <v>10</v>
      </c>
      <c r="U503" s="82">
        <v>2.1000000000000001E-2</v>
      </c>
      <c r="V503" s="83"/>
      <c r="W503" s="83"/>
      <c r="X503" s="83">
        <v>53</v>
      </c>
      <c r="Y503" s="83">
        <v>60</v>
      </c>
      <c r="Z503" s="83">
        <v>64</v>
      </c>
      <c r="AA503" s="82">
        <v>3.15E-2</v>
      </c>
      <c r="AB503" s="82">
        <v>6.3E-2</v>
      </c>
      <c r="AC503" s="82">
        <v>9.4500000000000001E-2</v>
      </c>
      <c r="AD503" s="82">
        <v>0.1575</v>
      </c>
      <c r="AE503" s="82">
        <v>0.23625000000000002</v>
      </c>
      <c r="AF503" s="82">
        <v>0.315</v>
      </c>
      <c r="AG503" s="146">
        <v>90.483609999999999</v>
      </c>
      <c r="AH503" s="146">
        <v>96.662759999999992</v>
      </c>
      <c r="AI503" s="146">
        <v>97.099880000000013</v>
      </c>
      <c r="AJ503" s="146">
        <v>97.635729999999995</v>
      </c>
      <c r="AK503" s="146">
        <v>97.524219999999985</v>
      </c>
      <c r="AL503" s="146">
        <v>97.103530000000006</v>
      </c>
      <c r="AM503" s="146">
        <v>97.150984399999999</v>
      </c>
      <c r="AN503" s="146">
        <v>95.414170000000013</v>
      </c>
      <c r="AO503" s="146">
        <v>96.465389999999999</v>
      </c>
      <c r="AP503" s="146">
        <v>96.900779999999997</v>
      </c>
      <c r="AQ503" s="146">
        <v>97.542020000000008</v>
      </c>
      <c r="AR503" s="146">
        <v>97.461279999999988</v>
      </c>
      <c r="AS503" s="146">
        <v>97.049990000000008</v>
      </c>
      <c r="AT503" s="146">
        <v>97.258731999999981</v>
      </c>
      <c r="AU503" s="146">
        <v>95.270490000000009</v>
      </c>
      <c r="AV503" s="146">
        <v>96.333490000000012</v>
      </c>
      <c r="AW503" s="146">
        <v>96.813520000000011</v>
      </c>
      <c r="AX503" s="146">
        <v>97.502470000000002</v>
      </c>
      <c r="AY503" s="146">
        <v>97.42989</v>
      </c>
      <c r="AZ503" s="146">
        <v>97.019700000000014</v>
      </c>
      <c r="BA503" s="146">
        <v>97.209461900000008</v>
      </c>
      <c r="BB503" s="84">
        <v>43419</v>
      </c>
      <c r="BC503" s="84"/>
    </row>
    <row r="504" spans="1:55" s="120" customFormat="1" ht="60">
      <c r="A504" s="76" t="s">
        <v>8</v>
      </c>
      <c r="B504" s="76" t="s">
        <v>1265</v>
      </c>
      <c r="C504" s="79" t="s">
        <v>10</v>
      </c>
      <c r="D504" s="79" t="s">
        <v>10</v>
      </c>
      <c r="E504" s="43" t="s">
        <v>10</v>
      </c>
      <c r="F504" s="63" t="s">
        <v>11</v>
      </c>
      <c r="G504" s="76" t="s">
        <v>1266</v>
      </c>
      <c r="H504" s="144">
        <v>0.315</v>
      </c>
      <c r="I504" s="77">
        <v>240</v>
      </c>
      <c r="J504" s="78">
        <v>97.5</v>
      </c>
      <c r="K504" s="39" t="s">
        <v>1327</v>
      </c>
      <c r="L504" s="145" t="s">
        <v>1258</v>
      </c>
      <c r="M504" s="79" t="s">
        <v>860</v>
      </c>
      <c r="N504" s="88">
        <v>43419</v>
      </c>
      <c r="O504" s="145" t="s">
        <v>1258</v>
      </c>
      <c r="P504" s="63" t="s">
        <v>17</v>
      </c>
      <c r="Q504" s="63" t="s">
        <v>17</v>
      </c>
      <c r="R504" s="81" t="s">
        <v>27</v>
      </c>
      <c r="S504" s="80" t="s">
        <v>11</v>
      </c>
      <c r="T504" s="80" t="s">
        <v>10</v>
      </c>
      <c r="U504" s="82">
        <v>2.1000000000000001E-2</v>
      </c>
      <c r="V504" s="83"/>
      <c r="W504" s="83"/>
      <c r="X504" s="83">
        <v>53</v>
      </c>
      <c r="Y504" s="83">
        <v>60</v>
      </c>
      <c r="Z504" s="83">
        <v>64</v>
      </c>
      <c r="AA504" s="82">
        <v>3.15E-2</v>
      </c>
      <c r="AB504" s="82">
        <v>6.3E-2</v>
      </c>
      <c r="AC504" s="82">
        <v>9.4500000000000001E-2</v>
      </c>
      <c r="AD504" s="82">
        <v>0.1575</v>
      </c>
      <c r="AE504" s="82">
        <v>0.23625000000000002</v>
      </c>
      <c r="AF504" s="82">
        <v>0.315</v>
      </c>
      <c r="AG504" s="146">
        <v>95.734780000000015</v>
      </c>
      <c r="AH504" s="146">
        <v>96.840240000000009</v>
      </c>
      <c r="AI504" s="146">
        <v>96.996160000000003</v>
      </c>
      <c r="AJ504" s="146">
        <v>97.762709999999998</v>
      </c>
      <c r="AK504" s="146">
        <v>97.755849999999981</v>
      </c>
      <c r="AL504" s="146">
        <v>97.46862999999999</v>
      </c>
      <c r="AM504" s="146">
        <v>97.525143499999984</v>
      </c>
      <c r="AN504" s="146">
        <v>95.610320000000002</v>
      </c>
      <c r="AO504" s="146">
        <v>96.678239999999988</v>
      </c>
      <c r="AP504" s="146">
        <v>96.754879999999986</v>
      </c>
      <c r="AQ504" s="146">
        <v>97.666660000000007</v>
      </c>
      <c r="AR504" s="146">
        <v>97.739180000000005</v>
      </c>
      <c r="AS504" s="146">
        <v>97.513729999999981</v>
      </c>
      <c r="AT504" s="146">
        <v>97.456360900000007</v>
      </c>
      <c r="AU504" s="146">
        <v>95.436540000000008</v>
      </c>
      <c r="AV504" s="146">
        <v>96.497949999999989</v>
      </c>
      <c r="AW504" s="146">
        <v>96.657110000000017</v>
      </c>
      <c r="AX504" s="146">
        <v>97.603840000000019</v>
      </c>
      <c r="AY504" s="146">
        <v>97.700140000000005</v>
      </c>
      <c r="AZ504" s="146">
        <v>97.48254</v>
      </c>
      <c r="BA504" s="146">
        <v>97.393219900000005</v>
      </c>
      <c r="BB504" s="84">
        <v>43419</v>
      </c>
      <c r="BC504" s="84"/>
    </row>
    <row r="505" spans="1:55" s="120" customFormat="1" ht="60">
      <c r="A505" s="76" t="s">
        <v>8</v>
      </c>
      <c r="B505" s="76" t="s">
        <v>1275</v>
      </c>
      <c r="C505" s="79" t="s">
        <v>10</v>
      </c>
      <c r="D505" s="79" t="s">
        <v>10</v>
      </c>
      <c r="E505" s="43" t="s">
        <v>10</v>
      </c>
      <c r="F505" s="63" t="s">
        <v>11</v>
      </c>
      <c r="G505" s="76" t="s">
        <v>1276</v>
      </c>
      <c r="H505" s="144">
        <v>0.315</v>
      </c>
      <c r="I505" s="77">
        <v>208</v>
      </c>
      <c r="J505" s="78">
        <v>97</v>
      </c>
      <c r="K505" s="39" t="s">
        <v>1327</v>
      </c>
      <c r="L505" s="145" t="s">
        <v>1258</v>
      </c>
      <c r="M505" s="79" t="s">
        <v>860</v>
      </c>
      <c r="N505" s="88">
        <v>43419</v>
      </c>
      <c r="O505" s="145" t="s">
        <v>1258</v>
      </c>
      <c r="P505" s="63" t="s">
        <v>17</v>
      </c>
      <c r="Q505" s="63" t="s">
        <v>17</v>
      </c>
      <c r="R505" s="81" t="s">
        <v>27</v>
      </c>
      <c r="S505" s="80" t="s">
        <v>11</v>
      </c>
      <c r="T505" s="80" t="s">
        <v>10</v>
      </c>
      <c r="U505" s="82">
        <v>2.1000000000000001E-2</v>
      </c>
      <c r="V505" s="83"/>
      <c r="W505" s="83"/>
      <c r="X505" s="83">
        <v>53</v>
      </c>
      <c r="Y505" s="83">
        <v>60</v>
      </c>
      <c r="Z505" s="83">
        <v>64</v>
      </c>
      <c r="AA505" s="82">
        <v>3.15E-2</v>
      </c>
      <c r="AB505" s="82">
        <v>6.3E-2</v>
      </c>
      <c r="AC505" s="82">
        <v>9.4500000000000001E-2</v>
      </c>
      <c r="AD505" s="82">
        <v>0.1575</v>
      </c>
      <c r="AE505" s="82">
        <v>0.23625000000000002</v>
      </c>
      <c r="AF505" s="82">
        <v>0.315</v>
      </c>
      <c r="AG505" s="146">
        <v>90.483609999999999</v>
      </c>
      <c r="AH505" s="146">
        <v>96.662759999999992</v>
      </c>
      <c r="AI505" s="146">
        <v>97.099880000000013</v>
      </c>
      <c r="AJ505" s="146">
        <v>97.635729999999995</v>
      </c>
      <c r="AK505" s="146">
        <v>97.524219999999985</v>
      </c>
      <c r="AL505" s="146">
        <v>97.103530000000006</v>
      </c>
      <c r="AM505" s="146">
        <v>97.150984399999999</v>
      </c>
      <c r="AN505" s="146">
        <v>95.414170000000013</v>
      </c>
      <c r="AO505" s="146">
        <v>96.465389999999999</v>
      </c>
      <c r="AP505" s="146">
        <v>96.900779999999997</v>
      </c>
      <c r="AQ505" s="146">
        <v>97.542020000000008</v>
      </c>
      <c r="AR505" s="146">
        <v>97.461279999999988</v>
      </c>
      <c r="AS505" s="146">
        <v>97.049990000000008</v>
      </c>
      <c r="AT505" s="146">
        <v>97.258731999999981</v>
      </c>
      <c r="AU505" s="146">
        <v>95.270490000000009</v>
      </c>
      <c r="AV505" s="146">
        <v>96.333490000000012</v>
      </c>
      <c r="AW505" s="146">
        <v>96.813520000000011</v>
      </c>
      <c r="AX505" s="146">
        <v>97.502470000000002</v>
      </c>
      <c r="AY505" s="146">
        <v>97.42989</v>
      </c>
      <c r="AZ505" s="146">
        <v>97.019700000000014</v>
      </c>
      <c r="BA505" s="146">
        <v>97.209461900000008</v>
      </c>
      <c r="BB505" s="84">
        <v>43419</v>
      </c>
      <c r="BC505" s="84"/>
    </row>
    <row r="506" spans="1:55" s="120" customFormat="1" ht="60">
      <c r="A506" s="76" t="s">
        <v>8</v>
      </c>
      <c r="B506" s="76" t="s">
        <v>1285</v>
      </c>
      <c r="C506" s="79" t="s">
        <v>10</v>
      </c>
      <c r="D506" s="79" t="s">
        <v>10</v>
      </c>
      <c r="E506" s="43" t="s">
        <v>10</v>
      </c>
      <c r="F506" s="63" t="s">
        <v>11</v>
      </c>
      <c r="G506" s="76" t="s">
        <v>1286</v>
      </c>
      <c r="H506" s="144">
        <v>0.315</v>
      </c>
      <c r="I506" s="77">
        <v>240</v>
      </c>
      <c r="J506" s="78">
        <v>97.5</v>
      </c>
      <c r="K506" s="39" t="s">
        <v>1327</v>
      </c>
      <c r="L506" s="145" t="s">
        <v>1258</v>
      </c>
      <c r="M506" s="79" t="s">
        <v>860</v>
      </c>
      <c r="N506" s="88">
        <v>43419</v>
      </c>
      <c r="O506" s="145" t="s">
        <v>1258</v>
      </c>
      <c r="P506" s="63" t="s">
        <v>17</v>
      </c>
      <c r="Q506" s="63" t="s">
        <v>17</v>
      </c>
      <c r="R506" s="81" t="s">
        <v>27</v>
      </c>
      <c r="S506" s="80" t="s">
        <v>11</v>
      </c>
      <c r="T506" s="80" t="s">
        <v>10</v>
      </c>
      <c r="U506" s="82">
        <v>2.1000000000000001E-2</v>
      </c>
      <c r="V506" s="83"/>
      <c r="W506" s="83"/>
      <c r="X506" s="83">
        <v>53</v>
      </c>
      <c r="Y506" s="83">
        <v>60</v>
      </c>
      <c r="Z506" s="83">
        <v>64</v>
      </c>
      <c r="AA506" s="82">
        <v>3.15E-2</v>
      </c>
      <c r="AB506" s="82">
        <v>6.3E-2</v>
      </c>
      <c r="AC506" s="82">
        <v>9.4500000000000001E-2</v>
      </c>
      <c r="AD506" s="82">
        <v>0.1575</v>
      </c>
      <c r="AE506" s="82">
        <v>0.23625000000000002</v>
      </c>
      <c r="AF506" s="82">
        <v>0.315</v>
      </c>
      <c r="AG506" s="146">
        <v>95.734780000000015</v>
      </c>
      <c r="AH506" s="146">
        <v>96.840240000000009</v>
      </c>
      <c r="AI506" s="146">
        <v>96.996160000000003</v>
      </c>
      <c r="AJ506" s="146">
        <v>97.762709999999998</v>
      </c>
      <c r="AK506" s="146">
        <v>97.755849999999981</v>
      </c>
      <c r="AL506" s="146">
        <v>97.46862999999999</v>
      </c>
      <c r="AM506" s="146">
        <v>97.525143499999984</v>
      </c>
      <c r="AN506" s="146">
        <v>95.610320000000002</v>
      </c>
      <c r="AO506" s="146">
        <v>96.678239999999988</v>
      </c>
      <c r="AP506" s="146">
        <v>96.754879999999986</v>
      </c>
      <c r="AQ506" s="146">
        <v>97.666660000000007</v>
      </c>
      <c r="AR506" s="146">
        <v>97.739180000000005</v>
      </c>
      <c r="AS506" s="146">
        <v>97.513729999999981</v>
      </c>
      <c r="AT506" s="146">
        <v>97.456360900000007</v>
      </c>
      <c r="AU506" s="146">
        <v>95.436540000000008</v>
      </c>
      <c r="AV506" s="146">
        <v>96.497949999999989</v>
      </c>
      <c r="AW506" s="146">
        <v>96.657110000000017</v>
      </c>
      <c r="AX506" s="146">
        <v>97.603840000000019</v>
      </c>
      <c r="AY506" s="146">
        <v>97.700140000000005</v>
      </c>
      <c r="AZ506" s="146">
        <v>97.48254</v>
      </c>
      <c r="BA506" s="146">
        <v>97.393219900000005</v>
      </c>
      <c r="BB506" s="84">
        <v>43419</v>
      </c>
      <c r="BC506" s="84"/>
    </row>
    <row r="507" spans="1:55" s="120" customFormat="1" ht="60">
      <c r="A507" s="76" t="s">
        <v>8</v>
      </c>
      <c r="B507" s="76" t="s">
        <v>1273</v>
      </c>
      <c r="C507" s="79" t="s">
        <v>10</v>
      </c>
      <c r="D507" s="79" t="s">
        <v>10</v>
      </c>
      <c r="E507" s="43" t="s">
        <v>10</v>
      </c>
      <c r="F507" s="63" t="s">
        <v>11</v>
      </c>
      <c r="G507" s="76" t="s">
        <v>1274</v>
      </c>
      <c r="H507" s="144">
        <v>0.315</v>
      </c>
      <c r="I507" s="77">
        <v>208</v>
      </c>
      <c r="J507" s="78">
        <v>97</v>
      </c>
      <c r="K507" s="39" t="s">
        <v>1327</v>
      </c>
      <c r="L507" s="145" t="s">
        <v>1258</v>
      </c>
      <c r="M507" s="79" t="s">
        <v>860</v>
      </c>
      <c r="N507" s="88">
        <v>43419</v>
      </c>
      <c r="O507" s="145" t="s">
        <v>1258</v>
      </c>
      <c r="P507" s="63" t="s">
        <v>17</v>
      </c>
      <c r="Q507" s="63" t="s">
        <v>17</v>
      </c>
      <c r="R507" s="81" t="s">
        <v>27</v>
      </c>
      <c r="S507" s="80" t="s">
        <v>11</v>
      </c>
      <c r="T507" s="80" t="s">
        <v>10</v>
      </c>
      <c r="U507" s="82">
        <v>2.1000000000000001E-2</v>
      </c>
      <c r="V507" s="83"/>
      <c r="W507" s="83"/>
      <c r="X507" s="83">
        <v>53</v>
      </c>
      <c r="Y507" s="83">
        <v>60</v>
      </c>
      <c r="Z507" s="83">
        <v>64</v>
      </c>
      <c r="AA507" s="82">
        <v>3.15E-2</v>
      </c>
      <c r="AB507" s="82">
        <v>6.3E-2</v>
      </c>
      <c r="AC507" s="82">
        <v>9.4500000000000001E-2</v>
      </c>
      <c r="AD507" s="82">
        <v>0.1575</v>
      </c>
      <c r="AE507" s="82">
        <v>0.23625000000000002</v>
      </c>
      <c r="AF507" s="82">
        <v>0.315</v>
      </c>
      <c r="AG507" s="146">
        <v>90.483609999999999</v>
      </c>
      <c r="AH507" s="146">
        <v>96.662759999999992</v>
      </c>
      <c r="AI507" s="146">
        <v>97.099880000000013</v>
      </c>
      <c r="AJ507" s="146">
        <v>97.635729999999995</v>
      </c>
      <c r="AK507" s="146">
        <v>97.524219999999985</v>
      </c>
      <c r="AL507" s="146">
        <v>97.103530000000006</v>
      </c>
      <c r="AM507" s="146">
        <v>97.150984399999999</v>
      </c>
      <c r="AN507" s="146">
        <v>95.414170000000013</v>
      </c>
      <c r="AO507" s="146">
        <v>96.465389999999999</v>
      </c>
      <c r="AP507" s="146">
        <v>96.900779999999997</v>
      </c>
      <c r="AQ507" s="146">
        <v>97.542020000000008</v>
      </c>
      <c r="AR507" s="146">
        <v>97.461279999999988</v>
      </c>
      <c r="AS507" s="146">
        <v>97.049990000000008</v>
      </c>
      <c r="AT507" s="146">
        <v>97.258731999999981</v>
      </c>
      <c r="AU507" s="146">
        <v>95.270490000000009</v>
      </c>
      <c r="AV507" s="146">
        <v>96.333490000000012</v>
      </c>
      <c r="AW507" s="146">
        <v>96.813520000000011</v>
      </c>
      <c r="AX507" s="146">
        <v>97.502470000000002</v>
      </c>
      <c r="AY507" s="146">
        <v>97.42989</v>
      </c>
      <c r="AZ507" s="146">
        <v>97.019700000000014</v>
      </c>
      <c r="BA507" s="146">
        <v>97.209461900000008</v>
      </c>
      <c r="BB507" s="84">
        <v>43419</v>
      </c>
      <c r="BC507" s="84"/>
    </row>
    <row r="508" spans="1:55" s="120" customFormat="1" ht="60">
      <c r="A508" s="76" t="s">
        <v>8</v>
      </c>
      <c r="B508" s="76" t="s">
        <v>1283</v>
      </c>
      <c r="C508" s="79" t="s">
        <v>10</v>
      </c>
      <c r="D508" s="79" t="s">
        <v>10</v>
      </c>
      <c r="E508" s="43" t="s">
        <v>10</v>
      </c>
      <c r="F508" s="63" t="s">
        <v>11</v>
      </c>
      <c r="G508" s="76" t="s">
        <v>1284</v>
      </c>
      <c r="H508" s="144">
        <v>0.315</v>
      </c>
      <c r="I508" s="77">
        <v>240</v>
      </c>
      <c r="J508" s="78">
        <v>97.5</v>
      </c>
      <c r="K508" s="39" t="s">
        <v>1327</v>
      </c>
      <c r="L508" s="145" t="s">
        <v>1258</v>
      </c>
      <c r="M508" s="79" t="s">
        <v>860</v>
      </c>
      <c r="N508" s="88">
        <v>43419</v>
      </c>
      <c r="O508" s="145" t="s">
        <v>1258</v>
      </c>
      <c r="P508" s="63" t="s">
        <v>17</v>
      </c>
      <c r="Q508" s="63" t="s">
        <v>17</v>
      </c>
      <c r="R508" s="81" t="s">
        <v>27</v>
      </c>
      <c r="S508" s="80" t="s">
        <v>11</v>
      </c>
      <c r="T508" s="80" t="s">
        <v>10</v>
      </c>
      <c r="U508" s="82">
        <v>2.1000000000000001E-2</v>
      </c>
      <c r="V508" s="83"/>
      <c r="W508" s="83"/>
      <c r="X508" s="83">
        <v>53</v>
      </c>
      <c r="Y508" s="83">
        <v>60</v>
      </c>
      <c r="Z508" s="83">
        <v>64</v>
      </c>
      <c r="AA508" s="82">
        <v>3.15E-2</v>
      </c>
      <c r="AB508" s="82">
        <v>6.3E-2</v>
      </c>
      <c r="AC508" s="82">
        <v>9.4500000000000001E-2</v>
      </c>
      <c r="AD508" s="82">
        <v>0.1575</v>
      </c>
      <c r="AE508" s="82">
        <v>0.23625000000000002</v>
      </c>
      <c r="AF508" s="82">
        <v>0.315</v>
      </c>
      <c r="AG508" s="146">
        <v>95.734780000000015</v>
      </c>
      <c r="AH508" s="146">
        <v>96.840240000000009</v>
      </c>
      <c r="AI508" s="146">
        <v>96.996160000000003</v>
      </c>
      <c r="AJ508" s="146">
        <v>97.762709999999998</v>
      </c>
      <c r="AK508" s="146">
        <v>97.755849999999981</v>
      </c>
      <c r="AL508" s="146">
        <v>97.46862999999999</v>
      </c>
      <c r="AM508" s="146">
        <v>97.525143499999984</v>
      </c>
      <c r="AN508" s="146">
        <v>95.610320000000002</v>
      </c>
      <c r="AO508" s="146">
        <v>96.678239999999988</v>
      </c>
      <c r="AP508" s="146">
        <v>96.754879999999986</v>
      </c>
      <c r="AQ508" s="146">
        <v>97.666660000000007</v>
      </c>
      <c r="AR508" s="146">
        <v>97.739180000000005</v>
      </c>
      <c r="AS508" s="146">
        <v>97.513729999999981</v>
      </c>
      <c r="AT508" s="146">
        <v>97.456360900000007</v>
      </c>
      <c r="AU508" s="146">
        <v>95.436540000000008</v>
      </c>
      <c r="AV508" s="146">
        <v>96.497949999999989</v>
      </c>
      <c r="AW508" s="146">
        <v>96.657110000000017</v>
      </c>
      <c r="AX508" s="146">
        <v>97.603840000000019</v>
      </c>
      <c r="AY508" s="146">
        <v>97.700140000000005</v>
      </c>
      <c r="AZ508" s="146">
        <v>97.48254</v>
      </c>
      <c r="BA508" s="146">
        <v>97.393219900000005</v>
      </c>
      <c r="BB508" s="84">
        <v>43419</v>
      </c>
      <c r="BC508" s="84"/>
    </row>
    <row r="509" spans="1:55" s="120" customFormat="1" ht="60">
      <c r="A509" s="76" t="s">
        <v>8</v>
      </c>
      <c r="B509" s="76" t="s">
        <v>1256</v>
      </c>
      <c r="C509" s="79" t="s">
        <v>10</v>
      </c>
      <c r="D509" s="79" t="s">
        <v>10</v>
      </c>
      <c r="E509" s="43" t="s">
        <v>10</v>
      </c>
      <c r="F509" s="63" t="s">
        <v>11</v>
      </c>
      <c r="G509" s="76" t="s">
        <v>1257</v>
      </c>
      <c r="H509" s="144">
        <v>0.315</v>
      </c>
      <c r="I509" s="77">
        <v>208</v>
      </c>
      <c r="J509" s="78">
        <v>97</v>
      </c>
      <c r="K509" s="39" t="s">
        <v>1327</v>
      </c>
      <c r="L509" s="145" t="s">
        <v>1258</v>
      </c>
      <c r="M509" s="79" t="s">
        <v>860</v>
      </c>
      <c r="N509" s="88">
        <v>43419</v>
      </c>
      <c r="O509" s="145" t="s">
        <v>1258</v>
      </c>
      <c r="P509" s="63" t="s">
        <v>17</v>
      </c>
      <c r="Q509" s="63" t="s">
        <v>17</v>
      </c>
      <c r="R509" s="81" t="s">
        <v>27</v>
      </c>
      <c r="S509" s="80" t="s">
        <v>11</v>
      </c>
      <c r="T509" s="80" t="s">
        <v>10</v>
      </c>
      <c r="U509" s="82">
        <v>2.1000000000000001E-2</v>
      </c>
      <c r="V509" s="83"/>
      <c r="W509" s="83"/>
      <c r="X509" s="83">
        <v>53</v>
      </c>
      <c r="Y509" s="83">
        <v>60</v>
      </c>
      <c r="Z509" s="83">
        <v>64</v>
      </c>
      <c r="AA509" s="82">
        <v>3.15E-2</v>
      </c>
      <c r="AB509" s="82">
        <v>6.3E-2</v>
      </c>
      <c r="AC509" s="82">
        <v>9.4500000000000001E-2</v>
      </c>
      <c r="AD509" s="82">
        <v>0.1575</v>
      </c>
      <c r="AE509" s="82">
        <v>0.23625000000000002</v>
      </c>
      <c r="AF509" s="82">
        <v>0.315</v>
      </c>
      <c r="AG509" s="146">
        <v>90.483609999999999</v>
      </c>
      <c r="AH509" s="146">
        <v>96.662759999999992</v>
      </c>
      <c r="AI509" s="146">
        <v>97.099880000000013</v>
      </c>
      <c r="AJ509" s="146">
        <v>97.635729999999995</v>
      </c>
      <c r="AK509" s="146">
        <v>97.524219999999985</v>
      </c>
      <c r="AL509" s="146">
        <v>97.103530000000006</v>
      </c>
      <c r="AM509" s="146">
        <v>97.150984399999999</v>
      </c>
      <c r="AN509" s="146">
        <v>95.414170000000013</v>
      </c>
      <c r="AO509" s="146">
        <v>96.465389999999999</v>
      </c>
      <c r="AP509" s="146">
        <v>96.900779999999997</v>
      </c>
      <c r="AQ509" s="146">
        <v>97.542020000000008</v>
      </c>
      <c r="AR509" s="146">
        <v>97.461279999999988</v>
      </c>
      <c r="AS509" s="146">
        <v>97.049990000000008</v>
      </c>
      <c r="AT509" s="146">
        <v>97.258731999999981</v>
      </c>
      <c r="AU509" s="146">
        <v>95.270490000000009</v>
      </c>
      <c r="AV509" s="146">
        <v>96.333490000000012</v>
      </c>
      <c r="AW509" s="146">
        <v>96.813520000000011</v>
      </c>
      <c r="AX509" s="146">
        <v>97.502470000000002</v>
      </c>
      <c r="AY509" s="146">
        <v>97.42989</v>
      </c>
      <c r="AZ509" s="146">
        <v>97.019700000000014</v>
      </c>
      <c r="BA509" s="146">
        <v>97.209461900000008</v>
      </c>
      <c r="BB509" s="84">
        <v>43419</v>
      </c>
      <c r="BC509" s="84"/>
    </row>
    <row r="510" spans="1:55" s="120" customFormat="1" ht="60">
      <c r="A510" s="76" t="s">
        <v>8</v>
      </c>
      <c r="B510" s="76" t="s">
        <v>1263</v>
      </c>
      <c r="C510" s="79" t="s">
        <v>10</v>
      </c>
      <c r="D510" s="79" t="s">
        <v>10</v>
      </c>
      <c r="E510" s="43" t="s">
        <v>10</v>
      </c>
      <c r="F510" s="63" t="s">
        <v>11</v>
      </c>
      <c r="G510" s="76" t="s">
        <v>1264</v>
      </c>
      <c r="H510" s="144">
        <v>0.315</v>
      </c>
      <c r="I510" s="77">
        <v>240</v>
      </c>
      <c r="J510" s="78">
        <v>97.5</v>
      </c>
      <c r="K510" s="39" t="s">
        <v>1327</v>
      </c>
      <c r="L510" s="145" t="s">
        <v>1258</v>
      </c>
      <c r="M510" s="79" t="s">
        <v>860</v>
      </c>
      <c r="N510" s="88">
        <v>43419</v>
      </c>
      <c r="O510" s="145" t="s">
        <v>1258</v>
      </c>
      <c r="P510" s="63" t="s">
        <v>17</v>
      </c>
      <c r="Q510" s="63" t="s">
        <v>17</v>
      </c>
      <c r="R510" s="81" t="s">
        <v>27</v>
      </c>
      <c r="S510" s="80" t="s">
        <v>11</v>
      </c>
      <c r="T510" s="80" t="s">
        <v>10</v>
      </c>
      <c r="U510" s="82">
        <v>2.1000000000000001E-2</v>
      </c>
      <c r="V510" s="83"/>
      <c r="W510" s="83"/>
      <c r="X510" s="83">
        <v>53</v>
      </c>
      <c r="Y510" s="83">
        <v>60</v>
      </c>
      <c r="Z510" s="83">
        <v>64</v>
      </c>
      <c r="AA510" s="82">
        <v>3.15E-2</v>
      </c>
      <c r="AB510" s="82">
        <v>6.3E-2</v>
      </c>
      <c r="AC510" s="82">
        <v>9.4500000000000001E-2</v>
      </c>
      <c r="AD510" s="82">
        <v>0.1575</v>
      </c>
      <c r="AE510" s="82">
        <v>0.23625000000000002</v>
      </c>
      <c r="AF510" s="82">
        <v>0.315</v>
      </c>
      <c r="AG510" s="146">
        <v>95.734780000000015</v>
      </c>
      <c r="AH510" s="146">
        <v>96.840240000000009</v>
      </c>
      <c r="AI510" s="146">
        <v>96.996160000000003</v>
      </c>
      <c r="AJ510" s="146">
        <v>97.762709999999998</v>
      </c>
      <c r="AK510" s="146">
        <v>97.755849999999981</v>
      </c>
      <c r="AL510" s="146">
        <v>97.46862999999999</v>
      </c>
      <c r="AM510" s="146">
        <v>97.525143499999984</v>
      </c>
      <c r="AN510" s="146">
        <v>95.610320000000002</v>
      </c>
      <c r="AO510" s="146">
        <v>96.678239999999988</v>
      </c>
      <c r="AP510" s="146">
        <v>96.754879999999986</v>
      </c>
      <c r="AQ510" s="146">
        <v>97.666660000000007</v>
      </c>
      <c r="AR510" s="146">
        <v>97.739180000000005</v>
      </c>
      <c r="AS510" s="146">
        <v>97.513729999999981</v>
      </c>
      <c r="AT510" s="146">
        <v>97.456360900000007</v>
      </c>
      <c r="AU510" s="146">
        <v>95.436540000000008</v>
      </c>
      <c r="AV510" s="146">
        <v>96.497949999999989</v>
      </c>
      <c r="AW510" s="146">
        <v>96.657110000000017</v>
      </c>
      <c r="AX510" s="146">
        <v>97.603840000000019</v>
      </c>
      <c r="AY510" s="146">
        <v>97.700140000000005</v>
      </c>
      <c r="AZ510" s="146">
        <v>97.48254</v>
      </c>
      <c r="BA510" s="146">
        <v>97.393219900000005</v>
      </c>
      <c r="BB510" s="84">
        <v>43419</v>
      </c>
      <c r="BC510" s="84"/>
    </row>
    <row r="511" spans="1:55" s="120" customFormat="1" ht="60">
      <c r="A511" s="76" t="s">
        <v>8</v>
      </c>
      <c r="B511" s="76" t="s">
        <v>1271</v>
      </c>
      <c r="C511" s="79" t="s">
        <v>10</v>
      </c>
      <c r="D511" s="79" t="s">
        <v>10</v>
      </c>
      <c r="E511" s="43" t="s">
        <v>10</v>
      </c>
      <c r="F511" s="63" t="s">
        <v>11</v>
      </c>
      <c r="G511" s="76" t="s">
        <v>1272</v>
      </c>
      <c r="H511" s="144">
        <v>0.315</v>
      </c>
      <c r="I511" s="77">
        <v>208</v>
      </c>
      <c r="J511" s="78">
        <v>97</v>
      </c>
      <c r="K511" s="39" t="s">
        <v>1327</v>
      </c>
      <c r="L511" s="145" t="s">
        <v>1258</v>
      </c>
      <c r="M511" s="79" t="s">
        <v>860</v>
      </c>
      <c r="N511" s="88">
        <v>43419</v>
      </c>
      <c r="O511" s="145" t="s">
        <v>1258</v>
      </c>
      <c r="P511" s="63" t="s">
        <v>17</v>
      </c>
      <c r="Q511" s="63" t="s">
        <v>17</v>
      </c>
      <c r="R511" s="81" t="s">
        <v>27</v>
      </c>
      <c r="S511" s="80" t="s">
        <v>11</v>
      </c>
      <c r="T511" s="80" t="s">
        <v>10</v>
      </c>
      <c r="U511" s="82">
        <v>2.1000000000000001E-2</v>
      </c>
      <c r="V511" s="83"/>
      <c r="W511" s="83"/>
      <c r="X511" s="83">
        <v>53</v>
      </c>
      <c r="Y511" s="83">
        <v>60</v>
      </c>
      <c r="Z511" s="83">
        <v>64</v>
      </c>
      <c r="AA511" s="82">
        <v>3.15E-2</v>
      </c>
      <c r="AB511" s="82">
        <v>6.3E-2</v>
      </c>
      <c r="AC511" s="82">
        <v>9.4500000000000001E-2</v>
      </c>
      <c r="AD511" s="82">
        <v>0.1575</v>
      </c>
      <c r="AE511" s="82">
        <v>0.23625000000000002</v>
      </c>
      <c r="AF511" s="82">
        <v>0.315</v>
      </c>
      <c r="AG511" s="146">
        <v>90.483609999999999</v>
      </c>
      <c r="AH511" s="146">
        <v>96.662759999999992</v>
      </c>
      <c r="AI511" s="146">
        <v>97.099880000000013</v>
      </c>
      <c r="AJ511" s="146">
        <v>97.635729999999995</v>
      </c>
      <c r="AK511" s="146">
        <v>97.524219999999985</v>
      </c>
      <c r="AL511" s="146">
        <v>97.103530000000006</v>
      </c>
      <c r="AM511" s="146">
        <v>97.150984399999999</v>
      </c>
      <c r="AN511" s="146">
        <v>95.414170000000013</v>
      </c>
      <c r="AO511" s="146">
        <v>96.465389999999999</v>
      </c>
      <c r="AP511" s="146">
        <v>96.900779999999997</v>
      </c>
      <c r="AQ511" s="146">
        <v>97.542020000000008</v>
      </c>
      <c r="AR511" s="146">
        <v>97.461279999999988</v>
      </c>
      <c r="AS511" s="146">
        <v>97.049990000000008</v>
      </c>
      <c r="AT511" s="146">
        <v>97.258731999999981</v>
      </c>
      <c r="AU511" s="146">
        <v>95.270490000000009</v>
      </c>
      <c r="AV511" s="146">
        <v>96.333490000000012</v>
      </c>
      <c r="AW511" s="146">
        <v>96.813520000000011</v>
      </c>
      <c r="AX511" s="146">
        <v>97.502470000000002</v>
      </c>
      <c r="AY511" s="146">
        <v>97.42989</v>
      </c>
      <c r="AZ511" s="146">
        <v>97.019700000000014</v>
      </c>
      <c r="BA511" s="146">
        <v>97.209461900000008</v>
      </c>
      <c r="BB511" s="84">
        <v>43419</v>
      </c>
      <c r="BC511" s="84"/>
    </row>
    <row r="512" spans="1:55" s="120" customFormat="1" ht="60">
      <c r="A512" s="76" t="s">
        <v>8</v>
      </c>
      <c r="B512" s="76" t="s">
        <v>1281</v>
      </c>
      <c r="C512" s="79" t="s">
        <v>10</v>
      </c>
      <c r="D512" s="79" t="s">
        <v>10</v>
      </c>
      <c r="E512" s="43" t="s">
        <v>10</v>
      </c>
      <c r="F512" s="63" t="s">
        <v>11</v>
      </c>
      <c r="G512" s="76" t="s">
        <v>1282</v>
      </c>
      <c r="H512" s="144">
        <v>0.315</v>
      </c>
      <c r="I512" s="77">
        <v>240</v>
      </c>
      <c r="J512" s="78">
        <v>97.5</v>
      </c>
      <c r="K512" s="39" t="s">
        <v>1327</v>
      </c>
      <c r="L512" s="145" t="s">
        <v>1258</v>
      </c>
      <c r="M512" s="79" t="s">
        <v>860</v>
      </c>
      <c r="N512" s="88">
        <v>43419</v>
      </c>
      <c r="O512" s="145" t="s">
        <v>1258</v>
      </c>
      <c r="P512" s="63" t="s">
        <v>17</v>
      </c>
      <c r="Q512" s="63" t="s">
        <v>17</v>
      </c>
      <c r="R512" s="81" t="s">
        <v>27</v>
      </c>
      <c r="S512" s="80" t="s">
        <v>11</v>
      </c>
      <c r="T512" s="80" t="s">
        <v>10</v>
      </c>
      <c r="U512" s="82">
        <v>2.1000000000000001E-2</v>
      </c>
      <c r="V512" s="83"/>
      <c r="W512" s="83"/>
      <c r="X512" s="83">
        <v>53</v>
      </c>
      <c r="Y512" s="83">
        <v>60</v>
      </c>
      <c r="Z512" s="83">
        <v>64</v>
      </c>
      <c r="AA512" s="82">
        <v>3.15E-2</v>
      </c>
      <c r="AB512" s="82">
        <v>6.3E-2</v>
      </c>
      <c r="AC512" s="82">
        <v>9.4500000000000001E-2</v>
      </c>
      <c r="AD512" s="82">
        <v>0.1575</v>
      </c>
      <c r="AE512" s="82">
        <v>0.23625000000000002</v>
      </c>
      <c r="AF512" s="82">
        <v>0.315</v>
      </c>
      <c r="AG512" s="146">
        <v>95.734780000000015</v>
      </c>
      <c r="AH512" s="146">
        <v>96.840240000000009</v>
      </c>
      <c r="AI512" s="146">
        <v>96.996160000000003</v>
      </c>
      <c r="AJ512" s="146">
        <v>97.762709999999998</v>
      </c>
      <c r="AK512" s="146">
        <v>97.755849999999981</v>
      </c>
      <c r="AL512" s="146">
        <v>97.46862999999999</v>
      </c>
      <c r="AM512" s="146">
        <v>97.525143499999984</v>
      </c>
      <c r="AN512" s="146">
        <v>95.610320000000002</v>
      </c>
      <c r="AO512" s="146">
        <v>96.678239999999988</v>
      </c>
      <c r="AP512" s="146">
        <v>96.754879999999986</v>
      </c>
      <c r="AQ512" s="146">
        <v>97.666660000000007</v>
      </c>
      <c r="AR512" s="146">
        <v>97.739180000000005</v>
      </c>
      <c r="AS512" s="146">
        <v>97.513729999999981</v>
      </c>
      <c r="AT512" s="146">
        <v>97.456360900000007</v>
      </c>
      <c r="AU512" s="146">
        <v>95.436540000000008</v>
      </c>
      <c r="AV512" s="146">
        <v>96.497949999999989</v>
      </c>
      <c r="AW512" s="146">
        <v>96.657110000000017</v>
      </c>
      <c r="AX512" s="146">
        <v>97.603840000000019</v>
      </c>
      <c r="AY512" s="146">
        <v>97.700140000000005</v>
      </c>
      <c r="AZ512" s="146">
        <v>97.48254</v>
      </c>
      <c r="BA512" s="146">
        <v>97.393219900000005</v>
      </c>
      <c r="BB512" s="84">
        <v>43419</v>
      </c>
      <c r="BC512" s="84"/>
    </row>
    <row r="513" spans="1:55" s="120" customFormat="1" ht="60">
      <c r="A513" s="76" t="s">
        <v>8</v>
      </c>
      <c r="B513" s="76" t="s">
        <v>1269</v>
      </c>
      <c r="C513" s="79" t="s">
        <v>10</v>
      </c>
      <c r="D513" s="79" t="s">
        <v>10</v>
      </c>
      <c r="E513" s="43" t="s">
        <v>10</v>
      </c>
      <c r="F513" s="63" t="s">
        <v>11</v>
      </c>
      <c r="G513" s="76" t="s">
        <v>1270</v>
      </c>
      <c r="H513" s="144">
        <v>0.315</v>
      </c>
      <c r="I513" s="77">
        <v>208</v>
      </c>
      <c r="J513" s="78">
        <v>97</v>
      </c>
      <c r="K513" s="39" t="s">
        <v>1327</v>
      </c>
      <c r="L513" s="145" t="s">
        <v>1258</v>
      </c>
      <c r="M513" s="79" t="s">
        <v>860</v>
      </c>
      <c r="N513" s="88">
        <v>43419</v>
      </c>
      <c r="O513" s="145" t="s">
        <v>1258</v>
      </c>
      <c r="P513" s="63" t="s">
        <v>17</v>
      </c>
      <c r="Q513" s="63" t="s">
        <v>17</v>
      </c>
      <c r="R513" s="81" t="s">
        <v>27</v>
      </c>
      <c r="S513" s="80" t="s">
        <v>11</v>
      </c>
      <c r="T513" s="80" t="s">
        <v>10</v>
      </c>
      <c r="U513" s="82">
        <v>2.1000000000000001E-2</v>
      </c>
      <c r="V513" s="83"/>
      <c r="W513" s="83"/>
      <c r="X513" s="83">
        <v>53</v>
      </c>
      <c r="Y513" s="83">
        <v>60</v>
      </c>
      <c r="Z513" s="83">
        <v>64</v>
      </c>
      <c r="AA513" s="82">
        <v>3.15E-2</v>
      </c>
      <c r="AB513" s="82">
        <v>6.3E-2</v>
      </c>
      <c r="AC513" s="82">
        <v>9.4500000000000001E-2</v>
      </c>
      <c r="AD513" s="82">
        <v>0.1575</v>
      </c>
      <c r="AE513" s="82">
        <v>0.23625000000000002</v>
      </c>
      <c r="AF513" s="82">
        <v>0.315</v>
      </c>
      <c r="AG513" s="146">
        <v>90.483609999999999</v>
      </c>
      <c r="AH513" s="146">
        <v>96.662759999999992</v>
      </c>
      <c r="AI513" s="146">
        <v>97.099880000000013</v>
      </c>
      <c r="AJ513" s="146">
        <v>97.635729999999995</v>
      </c>
      <c r="AK513" s="146">
        <v>97.524219999999985</v>
      </c>
      <c r="AL513" s="146">
        <v>97.103530000000006</v>
      </c>
      <c r="AM513" s="146">
        <v>97.150984399999999</v>
      </c>
      <c r="AN513" s="146">
        <v>95.414170000000013</v>
      </c>
      <c r="AO513" s="146">
        <v>96.465389999999999</v>
      </c>
      <c r="AP513" s="146">
        <v>96.900779999999997</v>
      </c>
      <c r="AQ513" s="146">
        <v>97.542020000000008</v>
      </c>
      <c r="AR513" s="146">
        <v>97.461279999999988</v>
      </c>
      <c r="AS513" s="146">
        <v>97.049990000000008</v>
      </c>
      <c r="AT513" s="146">
        <v>97.258731999999981</v>
      </c>
      <c r="AU513" s="146">
        <v>95.270490000000009</v>
      </c>
      <c r="AV513" s="146">
        <v>96.333490000000012</v>
      </c>
      <c r="AW513" s="146">
        <v>96.813520000000011</v>
      </c>
      <c r="AX513" s="146">
        <v>97.502470000000002</v>
      </c>
      <c r="AY513" s="146">
        <v>97.42989</v>
      </c>
      <c r="AZ513" s="146">
        <v>97.019700000000014</v>
      </c>
      <c r="BA513" s="146">
        <v>97.209461900000008</v>
      </c>
      <c r="BB513" s="84">
        <v>43419</v>
      </c>
      <c r="BC513" s="84"/>
    </row>
    <row r="514" spans="1:55" s="120" customFormat="1" ht="60">
      <c r="A514" s="76" t="s">
        <v>8</v>
      </c>
      <c r="B514" s="76" t="s">
        <v>1279</v>
      </c>
      <c r="C514" s="79" t="s">
        <v>10</v>
      </c>
      <c r="D514" s="79" t="s">
        <v>10</v>
      </c>
      <c r="E514" s="43" t="s">
        <v>10</v>
      </c>
      <c r="F514" s="63" t="s">
        <v>11</v>
      </c>
      <c r="G514" s="76" t="s">
        <v>1280</v>
      </c>
      <c r="H514" s="144">
        <v>0.315</v>
      </c>
      <c r="I514" s="77">
        <v>240</v>
      </c>
      <c r="J514" s="78">
        <v>97.5</v>
      </c>
      <c r="K514" s="39" t="s">
        <v>1327</v>
      </c>
      <c r="L514" s="145" t="s">
        <v>1258</v>
      </c>
      <c r="M514" s="79" t="s">
        <v>860</v>
      </c>
      <c r="N514" s="88">
        <v>43419</v>
      </c>
      <c r="O514" s="145" t="s">
        <v>1258</v>
      </c>
      <c r="P514" s="63" t="s">
        <v>17</v>
      </c>
      <c r="Q514" s="63" t="s">
        <v>17</v>
      </c>
      <c r="R514" s="81" t="s">
        <v>27</v>
      </c>
      <c r="S514" s="80" t="s">
        <v>11</v>
      </c>
      <c r="T514" s="80" t="s">
        <v>10</v>
      </c>
      <c r="U514" s="82">
        <v>2.1000000000000001E-2</v>
      </c>
      <c r="V514" s="83"/>
      <c r="W514" s="83"/>
      <c r="X514" s="83">
        <v>53</v>
      </c>
      <c r="Y514" s="83">
        <v>60</v>
      </c>
      <c r="Z514" s="83">
        <v>64</v>
      </c>
      <c r="AA514" s="82">
        <v>3.15E-2</v>
      </c>
      <c r="AB514" s="82">
        <v>6.3E-2</v>
      </c>
      <c r="AC514" s="82">
        <v>9.4500000000000001E-2</v>
      </c>
      <c r="AD514" s="82">
        <v>0.1575</v>
      </c>
      <c r="AE514" s="82">
        <v>0.23625000000000002</v>
      </c>
      <c r="AF514" s="82">
        <v>0.315</v>
      </c>
      <c r="AG514" s="146">
        <v>95.734780000000015</v>
      </c>
      <c r="AH514" s="146">
        <v>96.840240000000009</v>
      </c>
      <c r="AI514" s="146">
        <v>96.996160000000003</v>
      </c>
      <c r="AJ514" s="146">
        <v>97.762709999999998</v>
      </c>
      <c r="AK514" s="146">
        <v>97.755849999999981</v>
      </c>
      <c r="AL514" s="146">
        <v>97.46862999999999</v>
      </c>
      <c r="AM514" s="146">
        <v>97.525143499999984</v>
      </c>
      <c r="AN514" s="146">
        <v>95.610320000000002</v>
      </c>
      <c r="AO514" s="146">
        <v>96.678239999999988</v>
      </c>
      <c r="AP514" s="146">
        <v>96.754879999999986</v>
      </c>
      <c r="AQ514" s="146">
        <v>97.666660000000007</v>
      </c>
      <c r="AR514" s="146">
        <v>97.739180000000005</v>
      </c>
      <c r="AS514" s="146">
        <v>97.513729999999981</v>
      </c>
      <c r="AT514" s="146">
        <v>97.456360900000007</v>
      </c>
      <c r="AU514" s="146">
        <v>95.436540000000008</v>
      </c>
      <c r="AV514" s="146">
        <v>96.497949999999989</v>
      </c>
      <c r="AW514" s="146">
        <v>96.657110000000017</v>
      </c>
      <c r="AX514" s="146">
        <v>97.603840000000019</v>
      </c>
      <c r="AY514" s="146">
        <v>97.700140000000005</v>
      </c>
      <c r="AZ514" s="146">
        <v>97.48254</v>
      </c>
      <c r="BA514" s="146">
        <v>97.393219900000005</v>
      </c>
      <c r="BB514" s="84">
        <v>43419</v>
      </c>
      <c r="BC514" s="84"/>
    </row>
    <row r="515" spans="1:55" s="120" customFormat="1" ht="75">
      <c r="A515" s="55" t="s">
        <v>8</v>
      </c>
      <c r="B515" s="75" t="s">
        <v>1231</v>
      </c>
      <c r="C515" s="57" t="s">
        <v>10</v>
      </c>
      <c r="D515" s="57" t="s">
        <v>10</v>
      </c>
      <c r="E515" s="63" t="s">
        <v>11</v>
      </c>
      <c r="F515" s="63" t="s">
        <v>11</v>
      </c>
      <c r="G515" s="36" t="s">
        <v>214</v>
      </c>
      <c r="H515" s="26">
        <v>0.32</v>
      </c>
      <c r="I515" s="25">
        <v>208</v>
      </c>
      <c r="J515" s="54">
        <v>95.5</v>
      </c>
      <c r="K515" s="39" t="s">
        <v>1327</v>
      </c>
      <c r="L515" s="128" t="s">
        <v>535</v>
      </c>
      <c r="M515" s="39" t="s">
        <v>536</v>
      </c>
      <c r="N515" s="40">
        <v>43388</v>
      </c>
      <c r="O515" s="63" t="s">
        <v>17</v>
      </c>
      <c r="P515" s="63" t="s">
        <v>17</v>
      </c>
      <c r="Q515" s="63" t="s">
        <v>17</v>
      </c>
      <c r="R515" s="65" t="s">
        <v>1233</v>
      </c>
      <c r="S515" s="34" t="s">
        <v>10</v>
      </c>
      <c r="T515" s="34" t="s">
        <v>10</v>
      </c>
      <c r="U515" s="35">
        <v>0.02</v>
      </c>
      <c r="V515" s="35"/>
      <c r="W515" s="35"/>
      <c r="X515" s="35">
        <v>53</v>
      </c>
      <c r="Y515" s="35">
        <v>60</v>
      </c>
      <c r="Z515" s="35">
        <v>64</v>
      </c>
      <c r="AA515" s="103">
        <v>0.03</v>
      </c>
      <c r="AB515" s="103">
        <v>0.06</v>
      </c>
      <c r="AC515" s="103">
        <v>0.1</v>
      </c>
      <c r="AD515" s="103">
        <v>0.16</v>
      </c>
      <c r="AE515" s="103">
        <v>0.24</v>
      </c>
      <c r="AF515" s="103">
        <v>0.32</v>
      </c>
      <c r="AG515" s="103">
        <v>90.8</v>
      </c>
      <c r="AH515" s="103">
        <v>94.5</v>
      </c>
      <c r="AI515" s="103">
        <v>95.5</v>
      </c>
      <c r="AJ515" s="103">
        <v>96.2</v>
      </c>
      <c r="AK515" s="103">
        <v>96.1</v>
      </c>
      <c r="AL515" s="103">
        <v>95.9</v>
      </c>
      <c r="AM515" s="103">
        <v>95.7</v>
      </c>
      <c r="AN515" s="103">
        <v>90.2</v>
      </c>
      <c r="AO515" s="103">
        <v>94.5</v>
      </c>
      <c r="AP515" s="103">
        <v>95.5</v>
      </c>
      <c r="AQ515" s="103">
        <v>96.2</v>
      </c>
      <c r="AR515" s="103">
        <v>96.1</v>
      </c>
      <c r="AS515" s="103">
        <v>95.9</v>
      </c>
      <c r="AT515" s="103">
        <v>95.7</v>
      </c>
      <c r="AU515" s="103">
        <v>89.4</v>
      </c>
      <c r="AV515" s="103">
        <v>94.1</v>
      </c>
      <c r="AW515" s="103">
        <v>95.3</v>
      </c>
      <c r="AX515" s="103">
        <v>96.2</v>
      </c>
      <c r="AY515" s="103">
        <v>96.2</v>
      </c>
      <c r="AZ515" s="103">
        <v>95.9</v>
      </c>
      <c r="BA515" s="103">
        <v>95.7</v>
      </c>
      <c r="BB515" s="40">
        <v>42917</v>
      </c>
      <c r="BC515" s="40">
        <v>43388</v>
      </c>
    </row>
    <row r="516" spans="1:55" s="120" customFormat="1" ht="75">
      <c r="A516" s="55" t="s">
        <v>8</v>
      </c>
      <c r="B516" s="75" t="s">
        <v>1232</v>
      </c>
      <c r="C516" s="57" t="s">
        <v>10</v>
      </c>
      <c r="D516" s="57" t="s">
        <v>10</v>
      </c>
      <c r="E516" s="63" t="s">
        <v>11</v>
      </c>
      <c r="F516" s="63" t="s">
        <v>11</v>
      </c>
      <c r="G516" s="36" t="s">
        <v>215</v>
      </c>
      <c r="H516" s="26">
        <v>0.32</v>
      </c>
      <c r="I516" s="25">
        <v>240</v>
      </c>
      <c r="J516" s="54">
        <v>96</v>
      </c>
      <c r="K516" s="39" t="s">
        <v>1327</v>
      </c>
      <c r="L516" s="128" t="s">
        <v>535</v>
      </c>
      <c r="M516" s="39" t="s">
        <v>536</v>
      </c>
      <c r="N516" s="40">
        <v>43388</v>
      </c>
      <c r="O516" s="63" t="s">
        <v>17</v>
      </c>
      <c r="P516" s="63" t="s">
        <v>17</v>
      </c>
      <c r="Q516" s="63" t="s">
        <v>17</v>
      </c>
      <c r="R516" s="65" t="s">
        <v>1234</v>
      </c>
      <c r="S516" s="34" t="s">
        <v>10</v>
      </c>
      <c r="T516" s="34" t="s">
        <v>10</v>
      </c>
      <c r="U516" s="35">
        <v>0.1</v>
      </c>
      <c r="V516" s="35"/>
      <c r="W516" s="35"/>
      <c r="X516" s="35">
        <v>53</v>
      </c>
      <c r="Y516" s="35">
        <v>60</v>
      </c>
      <c r="Z516" s="35">
        <v>64</v>
      </c>
      <c r="AA516" s="103">
        <v>0.03</v>
      </c>
      <c r="AB516" s="103">
        <v>0.06</v>
      </c>
      <c r="AC516" s="103">
        <v>0.1</v>
      </c>
      <c r="AD516" s="103">
        <v>0.16</v>
      </c>
      <c r="AE516" s="103">
        <v>0.24</v>
      </c>
      <c r="AF516" s="103">
        <v>0.32</v>
      </c>
      <c r="AG516" s="103">
        <v>89.7</v>
      </c>
      <c r="AH516" s="103">
        <v>94.1</v>
      </c>
      <c r="AI516" s="103">
        <v>95.3</v>
      </c>
      <c r="AJ516" s="103">
        <v>96.2</v>
      </c>
      <c r="AK516" s="103">
        <v>96.1</v>
      </c>
      <c r="AL516" s="103">
        <v>95.9</v>
      </c>
      <c r="AM516" s="103">
        <v>95.7</v>
      </c>
      <c r="AN516" s="103">
        <v>90</v>
      </c>
      <c r="AO516" s="103">
        <v>94.3</v>
      </c>
      <c r="AP516" s="103">
        <v>95.4</v>
      </c>
      <c r="AQ516" s="103">
        <v>96.3</v>
      </c>
      <c r="AR516" s="103">
        <v>96.3</v>
      </c>
      <c r="AS516" s="103">
        <v>96.2</v>
      </c>
      <c r="AT516" s="103">
        <v>95.8</v>
      </c>
      <c r="AU516" s="103">
        <v>89.6</v>
      </c>
      <c r="AV516" s="103">
        <v>94</v>
      </c>
      <c r="AW516" s="103">
        <v>95.2</v>
      </c>
      <c r="AX516" s="103">
        <v>96.3</v>
      </c>
      <c r="AY516" s="103">
        <v>96.4</v>
      </c>
      <c r="AZ516" s="103">
        <v>96.2</v>
      </c>
      <c r="BA516" s="103">
        <v>95.8</v>
      </c>
      <c r="BB516" s="40">
        <v>42917</v>
      </c>
      <c r="BC516" s="40">
        <v>43388</v>
      </c>
    </row>
    <row r="517" spans="1:55" s="120" customFormat="1" ht="45">
      <c r="A517" s="55" t="s">
        <v>8</v>
      </c>
      <c r="B517" s="75" t="s">
        <v>446</v>
      </c>
      <c r="C517" s="57" t="s">
        <v>10</v>
      </c>
      <c r="D517" s="57" t="s">
        <v>10</v>
      </c>
      <c r="E517" s="63" t="s">
        <v>11</v>
      </c>
      <c r="F517" s="63" t="s">
        <v>11</v>
      </c>
      <c r="G517" s="36" t="s">
        <v>212</v>
      </c>
      <c r="H517" s="60">
        <v>0.32</v>
      </c>
      <c r="I517" s="61">
        <v>208</v>
      </c>
      <c r="J517" s="60">
        <v>95.5</v>
      </c>
      <c r="K517" s="39" t="s">
        <v>1327</v>
      </c>
      <c r="L517" s="129" t="s">
        <v>535</v>
      </c>
      <c r="M517" s="33" t="s">
        <v>536</v>
      </c>
      <c r="N517" s="40">
        <v>43388</v>
      </c>
      <c r="O517" s="63" t="s">
        <v>17</v>
      </c>
      <c r="P517" s="63" t="s">
        <v>17</v>
      </c>
      <c r="Q517" s="63" t="s">
        <v>17</v>
      </c>
      <c r="R517" s="60" t="s">
        <v>27</v>
      </c>
      <c r="S517" s="33" t="s">
        <v>10</v>
      </c>
      <c r="T517" s="33" t="s">
        <v>10</v>
      </c>
      <c r="U517" s="61">
        <v>0.02</v>
      </c>
      <c r="V517" s="61"/>
      <c r="W517" s="61"/>
      <c r="X517" s="61">
        <v>53</v>
      </c>
      <c r="Y517" s="61">
        <v>60</v>
      </c>
      <c r="Z517" s="61">
        <v>64</v>
      </c>
      <c r="AA517" s="99">
        <v>0.03</v>
      </c>
      <c r="AB517" s="99">
        <v>0.06</v>
      </c>
      <c r="AC517" s="99">
        <v>0.1</v>
      </c>
      <c r="AD517" s="99">
        <v>0.16</v>
      </c>
      <c r="AE517" s="99">
        <v>0.24</v>
      </c>
      <c r="AF517" s="99">
        <v>0.32</v>
      </c>
      <c r="AG517" s="99">
        <v>90.8</v>
      </c>
      <c r="AH517" s="99">
        <v>94.5</v>
      </c>
      <c r="AI517" s="99">
        <v>95.5</v>
      </c>
      <c r="AJ517" s="99">
        <v>96.2</v>
      </c>
      <c r="AK517" s="99">
        <v>96.1</v>
      </c>
      <c r="AL517" s="99">
        <v>95.9</v>
      </c>
      <c r="AM517" s="99">
        <v>95.7</v>
      </c>
      <c r="AN517" s="99">
        <v>90.2</v>
      </c>
      <c r="AO517" s="99">
        <v>94.5</v>
      </c>
      <c r="AP517" s="99">
        <v>95.5</v>
      </c>
      <c r="AQ517" s="99">
        <v>96.2</v>
      </c>
      <c r="AR517" s="99">
        <v>96.1</v>
      </c>
      <c r="AS517" s="99">
        <v>95.9</v>
      </c>
      <c r="AT517" s="99">
        <v>95.7</v>
      </c>
      <c r="AU517" s="99">
        <v>89.4</v>
      </c>
      <c r="AV517" s="99">
        <v>94.1</v>
      </c>
      <c r="AW517" s="99">
        <v>95.3</v>
      </c>
      <c r="AX517" s="99">
        <v>96.2</v>
      </c>
      <c r="AY517" s="99">
        <v>96.2</v>
      </c>
      <c r="AZ517" s="99">
        <v>95.9</v>
      </c>
      <c r="BA517" s="99">
        <v>95.7</v>
      </c>
      <c r="BB517" s="40">
        <v>42979</v>
      </c>
      <c r="BC517" s="40">
        <v>43388</v>
      </c>
    </row>
    <row r="518" spans="1:55" s="120" customFormat="1" ht="45">
      <c r="A518" s="55" t="s">
        <v>8</v>
      </c>
      <c r="B518" s="75" t="s">
        <v>447</v>
      </c>
      <c r="C518" s="57" t="s">
        <v>10</v>
      </c>
      <c r="D518" s="57" t="s">
        <v>10</v>
      </c>
      <c r="E518" s="63" t="s">
        <v>11</v>
      </c>
      <c r="F518" s="63" t="s">
        <v>11</v>
      </c>
      <c r="G518" s="36" t="s">
        <v>213</v>
      </c>
      <c r="H518" s="54">
        <v>0.32</v>
      </c>
      <c r="I518" s="35">
        <v>240</v>
      </c>
      <c r="J518" s="54">
        <v>96</v>
      </c>
      <c r="K518" s="39" t="s">
        <v>1327</v>
      </c>
      <c r="L518" s="128" t="s">
        <v>535</v>
      </c>
      <c r="M518" s="39" t="s">
        <v>536</v>
      </c>
      <c r="N518" s="40">
        <v>43388</v>
      </c>
      <c r="O518" s="63" t="s">
        <v>17</v>
      </c>
      <c r="P518" s="63" t="s">
        <v>17</v>
      </c>
      <c r="Q518" s="63" t="s">
        <v>17</v>
      </c>
      <c r="R518" s="65" t="s">
        <v>27</v>
      </c>
      <c r="S518" s="33" t="s">
        <v>10</v>
      </c>
      <c r="T518" s="34" t="s">
        <v>10</v>
      </c>
      <c r="U518" s="35">
        <v>0.1</v>
      </c>
      <c r="V518" s="35"/>
      <c r="W518" s="35"/>
      <c r="X518" s="35">
        <v>53</v>
      </c>
      <c r="Y518" s="35">
        <v>60</v>
      </c>
      <c r="Z518" s="35">
        <v>64</v>
      </c>
      <c r="AA518" s="103">
        <v>0.03</v>
      </c>
      <c r="AB518" s="103">
        <v>0.06</v>
      </c>
      <c r="AC518" s="103">
        <v>0.1</v>
      </c>
      <c r="AD518" s="103">
        <v>0.16</v>
      </c>
      <c r="AE518" s="103">
        <v>0.24</v>
      </c>
      <c r="AF518" s="103">
        <v>0.32</v>
      </c>
      <c r="AG518" s="103">
        <v>89.7</v>
      </c>
      <c r="AH518" s="103">
        <v>94.1</v>
      </c>
      <c r="AI518" s="103">
        <v>95.3</v>
      </c>
      <c r="AJ518" s="103">
        <v>96.2</v>
      </c>
      <c r="AK518" s="103">
        <v>96.1</v>
      </c>
      <c r="AL518" s="103">
        <v>95.9</v>
      </c>
      <c r="AM518" s="103">
        <v>95.7</v>
      </c>
      <c r="AN518" s="103">
        <v>90</v>
      </c>
      <c r="AO518" s="103">
        <v>94.3</v>
      </c>
      <c r="AP518" s="103">
        <v>95.4</v>
      </c>
      <c r="AQ518" s="103">
        <v>96.3</v>
      </c>
      <c r="AR518" s="103">
        <v>96.3</v>
      </c>
      <c r="AS518" s="103">
        <v>96.2</v>
      </c>
      <c r="AT518" s="103">
        <v>95.8</v>
      </c>
      <c r="AU518" s="103">
        <v>89.6</v>
      </c>
      <c r="AV518" s="103">
        <v>94</v>
      </c>
      <c r="AW518" s="103">
        <v>95.2</v>
      </c>
      <c r="AX518" s="103">
        <v>96.3</v>
      </c>
      <c r="AY518" s="103">
        <v>96.4</v>
      </c>
      <c r="AZ518" s="103">
        <v>96.2</v>
      </c>
      <c r="BA518" s="103">
        <v>95.8</v>
      </c>
      <c r="BB518" s="40">
        <v>42979</v>
      </c>
      <c r="BC518" s="40">
        <v>43388</v>
      </c>
    </row>
    <row r="519" spans="1:55" s="120" customFormat="1" ht="45">
      <c r="A519" s="55" t="s">
        <v>8</v>
      </c>
      <c r="B519" s="75" t="s">
        <v>448</v>
      </c>
      <c r="C519" s="57" t="s">
        <v>10</v>
      </c>
      <c r="D519" s="57" t="s">
        <v>10</v>
      </c>
      <c r="E519" s="63" t="s">
        <v>11</v>
      </c>
      <c r="F519" s="63" t="s">
        <v>11</v>
      </c>
      <c r="G519" s="36" t="s">
        <v>212</v>
      </c>
      <c r="H519" s="54">
        <v>0.32</v>
      </c>
      <c r="I519" s="35">
        <v>208</v>
      </c>
      <c r="J519" s="54">
        <v>95.5</v>
      </c>
      <c r="K519" s="39" t="s">
        <v>1327</v>
      </c>
      <c r="L519" s="128" t="s">
        <v>535</v>
      </c>
      <c r="M519" s="39" t="s">
        <v>536</v>
      </c>
      <c r="N519" s="40">
        <v>43388</v>
      </c>
      <c r="O519" s="63" t="s">
        <v>17</v>
      </c>
      <c r="P519" s="63" t="s">
        <v>17</v>
      </c>
      <c r="Q519" s="63" t="s">
        <v>17</v>
      </c>
      <c r="R519" s="65" t="s">
        <v>27</v>
      </c>
      <c r="S519" s="33" t="s">
        <v>10</v>
      </c>
      <c r="T519" s="34" t="s">
        <v>10</v>
      </c>
      <c r="U519" s="35">
        <v>0.02</v>
      </c>
      <c r="V519" s="35"/>
      <c r="W519" s="35"/>
      <c r="X519" s="35">
        <v>53</v>
      </c>
      <c r="Y519" s="35">
        <v>60</v>
      </c>
      <c r="Z519" s="35">
        <v>64</v>
      </c>
      <c r="AA519" s="103">
        <v>0.03</v>
      </c>
      <c r="AB519" s="103">
        <v>0.06</v>
      </c>
      <c r="AC519" s="103">
        <v>0.1</v>
      </c>
      <c r="AD519" s="103">
        <v>0.16</v>
      </c>
      <c r="AE519" s="103">
        <v>0.24</v>
      </c>
      <c r="AF519" s="103">
        <v>0.32</v>
      </c>
      <c r="AG519" s="103">
        <v>90.8</v>
      </c>
      <c r="AH519" s="103">
        <v>94.5</v>
      </c>
      <c r="AI519" s="103">
        <v>95.5</v>
      </c>
      <c r="AJ519" s="103">
        <v>96.2</v>
      </c>
      <c r="AK519" s="103">
        <v>96.1</v>
      </c>
      <c r="AL519" s="103">
        <v>95.9</v>
      </c>
      <c r="AM519" s="103">
        <v>95.7</v>
      </c>
      <c r="AN519" s="103">
        <v>90.2</v>
      </c>
      <c r="AO519" s="103">
        <v>94.5</v>
      </c>
      <c r="AP519" s="103">
        <v>95.5</v>
      </c>
      <c r="AQ519" s="103">
        <v>96.2</v>
      </c>
      <c r="AR519" s="103">
        <v>96.1</v>
      </c>
      <c r="AS519" s="103">
        <v>95.9</v>
      </c>
      <c r="AT519" s="103">
        <v>95.7</v>
      </c>
      <c r="AU519" s="103">
        <v>89.4</v>
      </c>
      <c r="AV519" s="103">
        <v>94.1</v>
      </c>
      <c r="AW519" s="103">
        <v>95.3</v>
      </c>
      <c r="AX519" s="103">
        <v>96.2</v>
      </c>
      <c r="AY519" s="103">
        <v>96.2</v>
      </c>
      <c r="AZ519" s="103">
        <v>95.9</v>
      </c>
      <c r="BA519" s="103">
        <v>95.7</v>
      </c>
      <c r="BB519" s="40">
        <v>42979</v>
      </c>
      <c r="BC519" s="40">
        <v>43388</v>
      </c>
    </row>
    <row r="520" spans="1:55" s="120" customFormat="1" ht="45">
      <c r="A520" s="55" t="s">
        <v>8</v>
      </c>
      <c r="B520" s="75" t="s">
        <v>449</v>
      </c>
      <c r="C520" s="57" t="s">
        <v>10</v>
      </c>
      <c r="D520" s="57" t="s">
        <v>10</v>
      </c>
      <c r="E520" s="63" t="s">
        <v>11</v>
      </c>
      <c r="F520" s="63" t="s">
        <v>11</v>
      </c>
      <c r="G520" s="36" t="s">
        <v>213</v>
      </c>
      <c r="H520" s="54">
        <v>0.32</v>
      </c>
      <c r="I520" s="35">
        <v>240</v>
      </c>
      <c r="J520" s="54">
        <v>96</v>
      </c>
      <c r="K520" s="39" t="s">
        <v>1327</v>
      </c>
      <c r="L520" s="128" t="s">
        <v>535</v>
      </c>
      <c r="M520" s="39" t="s">
        <v>536</v>
      </c>
      <c r="N520" s="40">
        <v>43388</v>
      </c>
      <c r="O520" s="63" t="s">
        <v>17</v>
      </c>
      <c r="P520" s="63" t="s">
        <v>17</v>
      </c>
      <c r="Q520" s="63" t="s">
        <v>17</v>
      </c>
      <c r="R520" s="65" t="s">
        <v>27</v>
      </c>
      <c r="S520" s="33" t="s">
        <v>10</v>
      </c>
      <c r="T520" s="34" t="s">
        <v>10</v>
      </c>
      <c r="U520" s="35">
        <v>0.1</v>
      </c>
      <c r="V520" s="35"/>
      <c r="W520" s="35"/>
      <c r="X520" s="35">
        <v>53</v>
      </c>
      <c r="Y520" s="35">
        <v>60</v>
      </c>
      <c r="Z520" s="35">
        <v>64</v>
      </c>
      <c r="AA520" s="103">
        <v>0.03</v>
      </c>
      <c r="AB520" s="103">
        <v>0.06</v>
      </c>
      <c r="AC520" s="103">
        <v>0.1</v>
      </c>
      <c r="AD520" s="103">
        <v>0.16</v>
      </c>
      <c r="AE520" s="103">
        <v>0.24</v>
      </c>
      <c r="AF520" s="103">
        <v>0.32</v>
      </c>
      <c r="AG520" s="103">
        <v>89.7</v>
      </c>
      <c r="AH520" s="103">
        <v>94.1</v>
      </c>
      <c r="AI520" s="103">
        <v>95.3</v>
      </c>
      <c r="AJ520" s="103">
        <v>96.2</v>
      </c>
      <c r="AK520" s="103">
        <v>96.1</v>
      </c>
      <c r="AL520" s="103">
        <v>95.9</v>
      </c>
      <c r="AM520" s="103">
        <v>95.7</v>
      </c>
      <c r="AN520" s="103">
        <v>90</v>
      </c>
      <c r="AO520" s="103">
        <v>94.3</v>
      </c>
      <c r="AP520" s="103">
        <v>95.4</v>
      </c>
      <c r="AQ520" s="103">
        <v>96.3</v>
      </c>
      <c r="AR520" s="103">
        <v>96.3</v>
      </c>
      <c r="AS520" s="103">
        <v>96.2</v>
      </c>
      <c r="AT520" s="103">
        <v>95.8</v>
      </c>
      <c r="AU520" s="103">
        <v>89.6</v>
      </c>
      <c r="AV520" s="103">
        <v>94</v>
      </c>
      <c r="AW520" s="103">
        <v>95.2</v>
      </c>
      <c r="AX520" s="103">
        <v>96.3</v>
      </c>
      <c r="AY520" s="103">
        <v>96.4</v>
      </c>
      <c r="AZ520" s="103">
        <v>96.2</v>
      </c>
      <c r="BA520" s="103">
        <v>95.8</v>
      </c>
      <c r="BB520" s="40">
        <v>42979</v>
      </c>
      <c r="BC520" s="40">
        <v>43388</v>
      </c>
    </row>
    <row r="521" spans="1:55" s="120" customFormat="1" ht="45">
      <c r="A521" s="55" t="s">
        <v>8</v>
      </c>
      <c r="B521" s="75" t="s">
        <v>450</v>
      </c>
      <c r="C521" s="57" t="s">
        <v>10</v>
      </c>
      <c r="D521" s="57" t="s">
        <v>10</v>
      </c>
      <c r="E521" s="63" t="s">
        <v>11</v>
      </c>
      <c r="F521" s="63" t="s">
        <v>11</v>
      </c>
      <c r="G521" s="36" t="s">
        <v>212</v>
      </c>
      <c r="H521" s="54">
        <v>0.32</v>
      </c>
      <c r="I521" s="35">
        <v>208</v>
      </c>
      <c r="J521" s="54">
        <v>95.5</v>
      </c>
      <c r="K521" s="39" t="s">
        <v>1327</v>
      </c>
      <c r="L521" s="128" t="s">
        <v>535</v>
      </c>
      <c r="M521" s="39" t="s">
        <v>536</v>
      </c>
      <c r="N521" s="40">
        <v>43388</v>
      </c>
      <c r="O521" s="63" t="s">
        <v>17</v>
      </c>
      <c r="P521" s="63" t="s">
        <v>17</v>
      </c>
      <c r="Q521" s="63" t="s">
        <v>17</v>
      </c>
      <c r="R521" s="65" t="s">
        <v>27</v>
      </c>
      <c r="S521" s="33" t="s">
        <v>10</v>
      </c>
      <c r="T521" s="34" t="s">
        <v>10</v>
      </c>
      <c r="U521" s="35">
        <v>0.02</v>
      </c>
      <c r="V521" s="35"/>
      <c r="W521" s="35"/>
      <c r="X521" s="35">
        <v>53</v>
      </c>
      <c r="Y521" s="35">
        <v>60</v>
      </c>
      <c r="Z521" s="35">
        <v>64</v>
      </c>
      <c r="AA521" s="103">
        <v>0.03</v>
      </c>
      <c r="AB521" s="103">
        <v>0.06</v>
      </c>
      <c r="AC521" s="103">
        <v>0.1</v>
      </c>
      <c r="AD521" s="103">
        <v>0.16</v>
      </c>
      <c r="AE521" s="103">
        <v>0.24</v>
      </c>
      <c r="AF521" s="103">
        <v>0.32</v>
      </c>
      <c r="AG521" s="103">
        <v>90.8</v>
      </c>
      <c r="AH521" s="103">
        <v>94.5</v>
      </c>
      <c r="AI521" s="103">
        <v>95.5</v>
      </c>
      <c r="AJ521" s="103">
        <v>96.2</v>
      </c>
      <c r="AK521" s="103">
        <v>96.1</v>
      </c>
      <c r="AL521" s="103">
        <v>95.9</v>
      </c>
      <c r="AM521" s="103">
        <v>95.7</v>
      </c>
      <c r="AN521" s="103">
        <v>90.2</v>
      </c>
      <c r="AO521" s="103">
        <v>94.5</v>
      </c>
      <c r="AP521" s="103">
        <v>95.5</v>
      </c>
      <c r="AQ521" s="103">
        <v>96.2</v>
      </c>
      <c r="AR521" s="103">
        <v>96.1</v>
      </c>
      <c r="AS521" s="103">
        <v>95.9</v>
      </c>
      <c r="AT521" s="103">
        <v>95.7</v>
      </c>
      <c r="AU521" s="103">
        <v>89.4</v>
      </c>
      <c r="AV521" s="103">
        <v>94.1</v>
      </c>
      <c r="AW521" s="103">
        <v>95.3</v>
      </c>
      <c r="AX521" s="103">
        <v>96.2</v>
      </c>
      <c r="AY521" s="103">
        <v>96.2</v>
      </c>
      <c r="AZ521" s="103">
        <v>95.9</v>
      </c>
      <c r="BA521" s="103">
        <v>95.7</v>
      </c>
      <c r="BB521" s="40">
        <v>42979</v>
      </c>
      <c r="BC521" s="40">
        <v>43388</v>
      </c>
    </row>
    <row r="522" spans="1:55" s="120" customFormat="1" ht="45">
      <c r="A522" s="55" t="s">
        <v>8</v>
      </c>
      <c r="B522" s="75" t="s">
        <v>451</v>
      </c>
      <c r="C522" s="57" t="s">
        <v>10</v>
      </c>
      <c r="D522" s="57" t="s">
        <v>10</v>
      </c>
      <c r="E522" s="63" t="s">
        <v>11</v>
      </c>
      <c r="F522" s="63" t="s">
        <v>11</v>
      </c>
      <c r="G522" s="36" t="s">
        <v>213</v>
      </c>
      <c r="H522" s="54">
        <v>0.32</v>
      </c>
      <c r="I522" s="35">
        <v>240</v>
      </c>
      <c r="J522" s="54">
        <v>96</v>
      </c>
      <c r="K522" s="39" t="s">
        <v>1327</v>
      </c>
      <c r="L522" s="128" t="s">
        <v>535</v>
      </c>
      <c r="M522" s="39" t="s">
        <v>536</v>
      </c>
      <c r="N522" s="40">
        <v>43388</v>
      </c>
      <c r="O522" s="63" t="s">
        <v>17</v>
      </c>
      <c r="P522" s="63" t="s">
        <v>17</v>
      </c>
      <c r="Q522" s="63" t="s">
        <v>17</v>
      </c>
      <c r="R522" s="65" t="s">
        <v>27</v>
      </c>
      <c r="S522" s="33" t="s">
        <v>10</v>
      </c>
      <c r="T522" s="34" t="s">
        <v>10</v>
      </c>
      <c r="U522" s="35">
        <v>0.1</v>
      </c>
      <c r="V522" s="35"/>
      <c r="W522" s="35"/>
      <c r="X522" s="35">
        <v>53</v>
      </c>
      <c r="Y522" s="35">
        <v>60</v>
      </c>
      <c r="Z522" s="35">
        <v>64</v>
      </c>
      <c r="AA522" s="103">
        <v>0.03</v>
      </c>
      <c r="AB522" s="103">
        <v>0.06</v>
      </c>
      <c r="AC522" s="103">
        <v>0.1</v>
      </c>
      <c r="AD522" s="103">
        <v>0.16</v>
      </c>
      <c r="AE522" s="103">
        <v>0.24</v>
      </c>
      <c r="AF522" s="103">
        <v>0.32</v>
      </c>
      <c r="AG522" s="103">
        <v>89.7</v>
      </c>
      <c r="AH522" s="103">
        <v>94.1</v>
      </c>
      <c r="AI522" s="103">
        <v>95.3</v>
      </c>
      <c r="AJ522" s="103">
        <v>96.2</v>
      </c>
      <c r="AK522" s="103">
        <v>96.1</v>
      </c>
      <c r="AL522" s="103">
        <v>95.9</v>
      </c>
      <c r="AM522" s="103">
        <v>95.7</v>
      </c>
      <c r="AN522" s="103">
        <v>90</v>
      </c>
      <c r="AO522" s="103">
        <v>94.3</v>
      </c>
      <c r="AP522" s="103">
        <v>95.4</v>
      </c>
      <c r="AQ522" s="103">
        <v>96.3</v>
      </c>
      <c r="AR522" s="103">
        <v>96.3</v>
      </c>
      <c r="AS522" s="103">
        <v>96.2</v>
      </c>
      <c r="AT522" s="103">
        <v>95.8</v>
      </c>
      <c r="AU522" s="103">
        <v>89.6</v>
      </c>
      <c r="AV522" s="103">
        <v>94</v>
      </c>
      <c r="AW522" s="103">
        <v>95.2</v>
      </c>
      <c r="AX522" s="103">
        <v>96.3</v>
      </c>
      <c r="AY522" s="103">
        <v>96.4</v>
      </c>
      <c r="AZ522" s="103">
        <v>96.2</v>
      </c>
      <c r="BA522" s="103">
        <v>95.8</v>
      </c>
      <c r="BB522" s="40">
        <v>42979</v>
      </c>
      <c r="BC522" s="40">
        <v>43388</v>
      </c>
    </row>
    <row r="523" spans="1:55" s="120" customFormat="1" ht="45">
      <c r="A523" s="55" t="s">
        <v>8</v>
      </c>
      <c r="B523" s="75" t="s">
        <v>452</v>
      </c>
      <c r="C523" s="57" t="s">
        <v>10</v>
      </c>
      <c r="D523" s="57" t="s">
        <v>10</v>
      </c>
      <c r="E523" s="63" t="s">
        <v>11</v>
      </c>
      <c r="F523" s="63" t="s">
        <v>11</v>
      </c>
      <c r="G523" s="36" t="s">
        <v>212</v>
      </c>
      <c r="H523" s="54">
        <v>0.32</v>
      </c>
      <c r="I523" s="35">
        <v>208</v>
      </c>
      <c r="J523" s="54">
        <v>95.5</v>
      </c>
      <c r="K523" s="39" t="s">
        <v>1327</v>
      </c>
      <c r="L523" s="128" t="s">
        <v>535</v>
      </c>
      <c r="M523" s="39" t="s">
        <v>536</v>
      </c>
      <c r="N523" s="40">
        <v>43388</v>
      </c>
      <c r="O523" s="63" t="s">
        <v>17</v>
      </c>
      <c r="P523" s="63" t="s">
        <v>17</v>
      </c>
      <c r="Q523" s="63" t="s">
        <v>17</v>
      </c>
      <c r="R523" s="65" t="s">
        <v>27</v>
      </c>
      <c r="S523" s="33" t="s">
        <v>10</v>
      </c>
      <c r="T523" s="34" t="s">
        <v>10</v>
      </c>
      <c r="U523" s="35">
        <v>0.02</v>
      </c>
      <c r="V523" s="35"/>
      <c r="W523" s="35"/>
      <c r="X523" s="35">
        <v>53</v>
      </c>
      <c r="Y523" s="35">
        <v>60</v>
      </c>
      <c r="Z523" s="35">
        <v>64</v>
      </c>
      <c r="AA523" s="103">
        <v>0.03</v>
      </c>
      <c r="AB523" s="103">
        <v>0.06</v>
      </c>
      <c r="AC523" s="103">
        <v>0.1</v>
      </c>
      <c r="AD523" s="103">
        <v>0.16</v>
      </c>
      <c r="AE523" s="103">
        <v>0.24</v>
      </c>
      <c r="AF523" s="103">
        <v>0.32</v>
      </c>
      <c r="AG523" s="103">
        <v>90.8</v>
      </c>
      <c r="AH523" s="103">
        <v>94.5</v>
      </c>
      <c r="AI523" s="103">
        <v>95.5</v>
      </c>
      <c r="AJ523" s="103">
        <v>96.2</v>
      </c>
      <c r="AK523" s="103">
        <v>96.1</v>
      </c>
      <c r="AL523" s="103">
        <v>95.9</v>
      </c>
      <c r="AM523" s="103">
        <v>95.7</v>
      </c>
      <c r="AN523" s="103">
        <v>90.2</v>
      </c>
      <c r="AO523" s="103">
        <v>94.5</v>
      </c>
      <c r="AP523" s="103">
        <v>95.5</v>
      </c>
      <c r="AQ523" s="103">
        <v>96.2</v>
      </c>
      <c r="AR523" s="103">
        <v>96.1</v>
      </c>
      <c r="AS523" s="103">
        <v>95.9</v>
      </c>
      <c r="AT523" s="103">
        <v>95.7</v>
      </c>
      <c r="AU523" s="103">
        <v>89.4</v>
      </c>
      <c r="AV523" s="103">
        <v>94.1</v>
      </c>
      <c r="AW523" s="103">
        <v>95.3</v>
      </c>
      <c r="AX523" s="103">
        <v>96.2</v>
      </c>
      <c r="AY523" s="103">
        <v>96.2</v>
      </c>
      <c r="AZ523" s="103">
        <v>95.9</v>
      </c>
      <c r="BA523" s="103">
        <v>95.7</v>
      </c>
      <c r="BB523" s="40">
        <v>42979</v>
      </c>
      <c r="BC523" s="40">
        <v>43388</v>
      </c>
    </row>
    <row r="524" spans="1:55" s="120" customFormat="1" ht="45">
      <c r="A524" s="55" t="s">
        <v>8</v>
      </c>
      <c r="B524" s="75" t="s">
        <v>453</v>
      </c>
      <c r="C524" s="57" t="s">
        <v>10</v>
      </c>
      <c r="D524" s="57" t="s">
        <v>10</v>
      </c>
      <c r="E524" s="63" t="s">
        <v>11</v>
      </c>
      <c r="F524" s="63" t="s">
        <v>11</v>
      </c>
      <c r="G524" s="36" t="s">
        <v>213</v>
      </c>
      <c r="H524" s="54">
        <v>0.32</v>
      </c>
      <c r="I524" s="35">
        <v>240</v>
      </c>
      <c r="J524" s="54">
        <v>96</v>
      </c>
      <c r="K524" s="39" t="s">
        <v>1327</v>
      </c>
      <c r="L524" s="128" t="s">
        <v>535</v>
      </c>
      <c r="M524" s="39" t="s">
        <v>536</v>
      </c>
      <c r="N524" s="40">
        <v>43388</v>
      </c>
      <c r="O524" s="63" t="s">
        <v>17</v>
      </c>
      <c r="P524" s="63" t="s">
        <v>17</v>
      </c>
      <c r="Q524" s="63" t="s">
        <v>17</v>
      </c>
      <c r="R524" s="65" t="s">
        <v>27</v>
      </c>
      <c r="S524" s="33" t="s">
        <v>10</v>
      </c>
      <c r="T524" s="34" t="s">
        <v>10</v>
      </c>
      <c r="U524" s="35">
        <v>0.1</v>
      </c>
      <c r="V524" s="35"/>
      <c r="W524" s="35"/>
      <c r="X524" s="35">
        <v>53</v>
      </c>
      <c r="Y524" s="35">
        <v>60</v>
      </c>
      <c r="Z524" s="35">
        <v>64</v>
      </c>
      <c r="AA524" s="103">
        <v>0.03</v>
      </c>
      <c r="AB524" s="103">
        <v>0.06</v>
      </c>
      <c r="AC524" s="103">
        <v>0.1</v>
      </c>
      <c r="AD524" s="103">
        <v>0.16</v>
      </c>
      <c r="AE524" s="103">
        <v>0.24</v>
      </c>
      <c r="AF524" s="103">
        <v>0.32</v>
      </c>
      <c r="AG524" s="103">
        <v>89.7</v>
      </c>
      <c r="AH524" s="103">
        <v>94.1</v>
      </c>
      <c r="AI524" s="103">
        <v>95.3</v>
      </c>
      <c r="AJ524" s="103">
        <v>96.2</v>
      </c>
      <c r="AK524" s="103">
        <v>96.1</v>
      </c>
      <c r="AL524" s="103">
        <v>95.9</v>
      </c>
      <c r="AM524" s="103">
        <v>95.7</v>
      </c>
      <c r="AN524" s="103">
        <v>90</v>
      </c>
      <c r="AO524" s="103">
        <v>94.3</v>
      </c>
      <c r="AP524" s="103">
        <v>95.4</v>
      </c>
      <c r="AQ524" s="103">
        <v>96.3</v>
      </c>
      <c r="AR524" s="103">
        <v>96.3</v>
      </c>
      <c r="AS524" s="103">
        <v>96.2</v>
      </c>
      <c r="AT524" s="103">
        <v>95.8</v>
      </c>
      <c r="AU524" s="103">
        <v>89.6</v>
      </c>
      <c r="AV524" s="103">
        <v>94</v>
      </c>
      <c r="AW524" s="103">
        <v>95.2</v>
      </c>
      <c r="AX524" s="103">
        <v>96.3</v>
      </c>
      <c r="AY524" s="103">
        <v>96.4</v>
      </c>
      <c r="AZ524" s="103">
        <v>96.2</v>
      </c>
      <c r="BA524" s="103">
        <v>95.8</v>
      </c>
      <c r="BB524" s="40">
        <v>42979</v>
      </c>
      <c r="BC524" s="40">
        <v>43388</v>
      </c>
    </row>
    <row r="525" spans="1:55" s="120" customFormat="1" ht="45">
      <c r="A525" s="55" t="s">
        <v>8</v>
      </c>
      <c r="B525" s="75" t="s">
        <v>454</v>
      </c>
      <c r="C525" s="57" t="s">
        <v>10</v>
      </c>
      <c r="D525" s="57" t="s">
        <v>10</v>
      </c>
      <c r="E525" s="63" t="s">
        <v>11</v>
      </c>
      <c r="F525" s="63" t="s">
        <v>11</v>
      </c>
      <c r="G525" s="36" t="s">
        <v>212</v>
      </c>
      <c r="H525" s="54">
        <v>0.32</v>
      </c>
      <c r="I525" s="35">
        <v>208</v>
      </c>
      <c r="J525" s="54">
        <v>95.5</v>
      </c>
      <c r="K525" s="39" t="s">
        <v>1327</v>
      </c>
      <c r="L525" s="128" t="s">
        <v>535</v>
      </c>
      <c r="M525" s="39" t="s">
        <v>536</v>
      </c>
      <c r="N525" s="40">
        <v>43388</v>
      </c>
      <c r="O525" s="63" t="s">
        <v>17</v>
      </c>
      <c r="P525" s="63" t="s">
        <v>17</v>
      </c>
      <c r="Q525" s="63" t="s">
        <v>17</v>
      </c>
      <c r="R525" s="65" t="s">
        <v>27</v>
      </c>
      <c r="S525" s="33" t="s">
        <v>10</v>
      </c>
      <c r="T525" s="34" t="s">
        <v>10</v>
      </c>
      <c r="U525" s="35">
        <v>0.02</v>
      </c>
      <c r="V525" s="35"/>
      <c r="W525" s="35"/>
      <c r="X525" s="35">
        <v>53</v>
      </c>
      <c r="Y525" s="35">
        <v>60</v>
      </c>
      <c r="Z525" s="35">
        <v>64</v>
      </c>
      <c r="AA525" s="103">
        <v>0.03</v>
      </c>
      <c r="AB525" s="103">
        <v>0.06</v>
      </c>
      <c r="AC525" s="103">
        <v>0.1</v>
      </c>
      <c r="AD525" s="103">
        <v>0.16</v>
      </c>
      <c r="AE525" s="103">
        <v>0.24</v>
      </c>
      <c r="AF525" s="103">
        <v>0.32</v>
      </c>
      <c r="AG525" s="103">
        <v>90.8</v>
      </c>
      <c r="AH525" s="103">
        <v>94.5</v>
      </c>
      <c r="AI525" s="103">
        <v>95.5</v>
      </c>
      <c r="AJ525" s="103">
        <v>96.2</v>
      </c>
      <c r="AK525" s="103">
        <v>96.1</v>
      </c>
      <c r="AL525" s="103">
        <v>95.9</v>
      </c>
      <c r="AM525" s="103">
        <v>95.7</v>
      </c>
      <c r="AN525" s="103">
        <v>90.2</v>
      </c>
      <c r="AO525" s="103">
        <v>94.5</v>
      </c>
      <c r="AP525" s="103">
        <v>95.5</v>
      </c>
      <c r="AQ525" s="103">
        <v>96.2</v>
      </c>
      <c r="AR525" s="103">
        <v>96.1</v>
      </c>
      <c r="AS525" s="103">
        <v>95.9</v>
      </c>
      <c r="AT525" s="103">
        <v>95.7</v>
      </c>
      <c r="AU525" s="103">
        <v>89.4</v>
      </c>
      <c r="AV525" s="103">
        <v>94.1</v>
      </c>
      <c r="AW525" s="103">
        <v>95.3</v>
      </c>
      <c r="AX525" s="103">
        <v>96.2</v>
      </c>
      <c r="AY525" s="103">
        <v>96.2</v>
      </c>
      <c r="AZ525" s="103">
        <v>95.9</v>
      </c>
      <c r="BA525" s="103">
        <v>95.7</v>
      </c>
      <c r="BB525" s="40">
        <v>42979</v>
      </c>
      <c r="BC525" s="40">
        <v>43388</v>
      </c>
    </row>
    <row r="526" spans="1:55" s="120" customFormat="1" ht="45">
      <c r="A526" s="55" t="s">
        <v>8</v>
      </c>
      <c r="B526" s="75" t="s">
        <v>455</v>
      </c>
      <c r="C526" s="57" t="s">
        <v>10</v>
      </c>
      <c r="D526" s="57" t="s">
        <v>10</v>
      </c>
      <c r="E526" s="63" t="s">
        <v>11</v>
      </c>
      <c r="F526" s="63" t="s">
        <v>11</v>
      </c>
      <c r="G526" s="36" t="s">
        <v>213</v>
      </c>
      <c r="H526" s="54">
        <v>0.32</v>
      </c>
      <c r="I526" s="35">
        <v>240</v>
      </c>
      <c r="J526" s="54">
        <v>96</v>
      </c>
      <c r="K526" s="39" t="s">
        <v>1327</v>
      </c>
      <c r="L526" s="128" t="s">
        <v>535</v>
      </c>
      <c r="M526" s="39" t="s">
        <v>536</v>
      </c>
      <c r="N526" s="40">
        <v>43388</v>
      </c>
      <c r="O526" s="63" t="s">
        <v>17</v>
      </c>
      <c r="P526" s="63" t="s">
        <v>17</v>
      </c>
      <c r="Q526" s="63" t="s">
        <v>17</v>
      </c>
      <c r="R526" s="65" t="s">
        <v>27</v>
      </c>
      <c r="S526" s="33" t="s">
        <v>10</v>
      </c>
      <c r="T526" s="34" t="s">
        <v>10</v>
      </c>
      <c r="U526" s="35">
        <v>0.1</v>
      </c>
      <c r="V526" s="35"/>
      <c r="W526" s="35"/>
      <c r="X526" s="35">
        <v>53</v>
      </c>
      <c r="Y526" s="35">
        <v>60</v>
      </c>
      <c r="Z526" s="35">
        <v>64</v>
      </c>
      <c r="AA526" s="103">
        <v>0.03</v>
      </c>
      <c r="AB526" s="103">
        <v>0.06</v>
      </c>
      <c r="AC526" s="103">
        <v>0.1</v>
      </c>
      <c r="AD526" s="103">
        <v>0.16</v>
      </c>
      <c r="AE526" s="103">
        <v>0.24</v>
      </c>
      <c r="AF526" s="103">
        <v>0.32</v>
      </c>
      <c r="AG526" s="103">
        <v>89.7</v>
      </c>
      <c r="AH526" s="103">
        <v>94.1</v>
      </c>
      <c r="AI526" s="103">
        <v>95.3</v>
      </c>
      <c r="AJ526" s="103">
        <v>96.2</v>
      </c>
      <c r="AK526" s="103">
        <v>96.1</v>
      </c>
      <c r="AL526" s="103">
        <v>95.9</v>
      </c>
      <c r="AM526" s="103">
        <v>95.7</v>
      </c>
      <c r="AN526" s="103">
        <v>90</v>
      </c>
      <c r="AO526" s="103">
        <v>94.3</v>
      </c>
      <c r="AP526" s="103">
        <v>95.4</v>
      </c>
      <c r="AQ526" s="103">
        <v>96.3</v>
      </c>
      <c r="AR526" s="103">
        <v>96.3</v>
      </c>
      <c r="AS526" s="103">
        <v>96.2</v>
      </c>
      <c r="AT526" s="103">
        <v>95.8</v>
      </c>
      <c r="AU526" s="103">
        <v>89.6</v>
      </c>
      <c r="AV526" s="103">
        <v>94</v>
      </c>
      <c r="AW526" s="103">
        <v>95.2</v>
      </c>
      <c r="AX526" s="103">
        <v>96.3</v>
      </c>
      <c r="AY526" s="103">
        <v>96.4</v>
      </c>
      <c r="AZ526" s="103">
        <v>96.2</v>
      </c>
      <c r="BA526" s="103">
        <v>95.8</v>
      </c>
      <c r="BB526" s="40">
        <v>42979</v>
      </c>
      <c r="BC526" s="40">
        <v>43388</v>
      </c>
    </row>
    <row r="527" spans="1:55" s="120" customFormat="1" ht="45">
      <c r="A527" s="55" t="s">
        <v>8</v>
      </c>
      <c r="B527" s="75" t="s">
        <v>456</v>
      </c>
      <c r="C527" s="57" t="s">
        <v>10</v>
      </c>
      <c r="D527" s="57" t="s">
        <v>10</v>
      </c>
      <c r="E527" s="63" t="s">
        <v>11</v>
      </c>
      <c r="F527" s="63" t="s">
        <v>11</v>
      </c>
      <c r="G527" s="36" t="s">
        <v>212</v>
      </c>
      <c r="H527" s="54">
        <v>0.32</v>
      </c>
      <c r="I527" s="35">
        <v>208</v>
      </c>
      <c r="J527" s="54">
        <v>95.5</v>
      </c>
      <c r="K527" s="39" t="s">
        <v>1327</v>
      </c>
      <c r="L527" s="128" t="s">
        <v>535</v>
      </c>
      <c r="M527" s="39" t="s">
        <v>536</v>
      </c>
      <c r="N527" s="40">
        <v>43388</v>
      </c>
      <c r="O527" s="63" t="s">
        <v>17</v>
      </c>
      <c r="P527" s="63" t="s">
        <v>17</v>
      </c>
      <c r="Q527" s="63" t="s">
        <v>17</v>
      </c>
      <c r="R527" s="65" t="s">
        <v>27</v>
      </c>
      <c r="S527" s="33" t="s">
        <v>10</v>
      </c>
      <c r="T527" s="34" t="s">
        <v>10</v>
      </c>
      <c r="U527" s="35">
        <v>0.02</v>
      </c>
      <c r="V527" s="35"/>
      <c r="W527" s="35"/>
      <c r="X527" s="35">
        <v>53</v>
      </c>
      <c r="Y527" s="35">
        <v>60</v>
      </c>
      <c r="Z527" s="35">
        <v>64</v>
      </c>
      <c r="AA527" s="103">
        <v>0.03</v>
      </c>
      <c r="AB527" s="103">
        <v>0.06</v>
      </c>
      <c r="AC527" s="103">
        <v>0.1</v>
      </c>
      <c r="AD527" s="103">
        <v>0.16</v>
      </c>
      <c r="AE527" s="103">
        <v>0.24</v>
      </c>
      <c r="AF527" s="103">
        <v>0.32</v>
      </c>
      <c r="AG527" s="103">
        <v>90.8</v>
      </c>
      <c r="AH527" s="103">
        <v>94.5</v>
      </c>
      <c r="AI527" s="103">
        <v>95.5</v>
      </c>
      <c r="AJ527" s="103">
        <v>96.2</v>
      </c>
      <c r="AK527" s="103">
        <v>96.1</v>
      </c>
      <c r="AL527" s="103">
        <v>95.9</v>
      </c>
      <c r="AM527" s="103">
        <v>95.7</v>
      </c>
      <c r="AN527" s="103">
        <v>90.2</v>
      </c>
      <c r="AO527" s="103">
        <v>94.5</v>
      </c>
      <c r="AP527" s="103">
        <v>95.5</v>
      </c>
      <c r="AQ527" s="103">
        <v>96.2</v>
      </c>
      <c r="AR527" s="103">
        <v>96.1</v>
      </c>
      <c r="AS527" s="103">
        <v>95.9</v>
      </c>
      <c r="AT527" s="103">
        <v>95.7</v>
      </c>
      <c r="AU527" s="103">
        <v>89.4</v>
      </c>
      <c r="AV527" s="103">
        <v>94.1</v>
      </c>
      <c r="AW527" s="103">
        <v>95.3</v>
      </c>
      <c r="AX527" s="103">
        <v>96.2</v>
      </c>
      <c r="AY527" s="103">
        <v>96.2</v>
      </c>
      <c r="AZ527" s="103">
        <v>95.9</v>
      </c>
      <c r="BA527" s="103">
        <v>95.7</v>
      </c>
      <c r="BB527" s="40">
        <v>42979</v>
      </c>
      <c r="BC527" s="40">
        <v>43388</v>
      </c>
    </row>
    <row r="528" spans="1:55" s="120" customFormat="1" ht="45">
      <c r="A528" s="55" t="s">
        <v>8</v>
      </c>
      <c r="B528" s="75" t="s">
        <v>457</v>
      </c>
      <c r="C528" s="57" t="s">
        <v>10</v>
      </c>
      <c r="D528" s="57" t="s">
        <v>10</v>
      </c>
      <c r="E528" s="63" t="s">
        <v>11</v>
      </c>
      <c r="F528" s="63" t="s">
        <v>11</v>
      </c>
      <c r="G528" s="36" t="s">
        <v>213</v>
      </c>
      <c r="H528" s="54">
        <v>0.32</v>
      </c>
      <c r="I528" s="35">
        <v>240</v>
      </c>
      <c r="J528" s="54">
        <v>96</v>
      </c>
      <c r="K528" s="39" t="s">
        <v>1327</v>
      </c>
      <c r="L528" s="128" t="s">
        <v>535</v>
      </c>
      <c r="M528" s="39" t="s">
        <v>536</v>
      </c>
      <c r="N528" s="40">
        <v>43388</v>
      </c>
      <c r="O528" s="63" t="s">
        <v>17</v>
      </c>
      <c r="P528" s="63" t="s">
        <v>17</v>
      </c>
      <c r="Q528" s="63" t="s">
        <v>17</v>
      </c>
      <c r="R528" s="65" t="s">
        <v>27</v>
      </c>
      <c r="S528" s="33" t="s">
        <v>10</v>
      </c>
      <c r="T528" s="34" t="s">
        <v>10</v>
      </c>
      <c r="U528" s="35">
        <v>0.1</v>
      </c>
      <c r="V528" s="35"/>
      <c r="W528" s="35"/>
      <c r="X528" s="35">
        <v>53</v>
      </c>
      <c r="Y528" s="35">
        <v>60</v>
      </c>
      <c r="Z528" s="35">
        <v>64</v>
      </c>
      <c r="AA528" s="103">
        <v>0.03</v>
      </c>
      <c r="AB528" s="103">
        <v>0.06</v>
      </c>
      <c r="AC528" s="103">
        <v>0.1</v>
      </c>
      <c r="AD528" s="103">
        <v>0.16</v>
      </c>
      <c r="AE528" s="103">
        <v>0.24</v>
      </c>
      <c r="AF528" s="103">
        <v>0.32</v>
      </c>
      <c r="AG528" s="103">
        <v>89.7</v>
      </c>
      <c r="AH528" s="103">
        <v>94.1</v>
      </c>
      <c r="AI528" s="103">
        <v>95.3</v>
      </c>
      <c r="AJ528" s="103">
        <v>96.2</v>
      </c>
      <c r="AK528" s="103">
        <v>96.1</v>
      </c>
      <c r="AL528" s="103">
        <v>95.9</v>
      </c>
      <c r="AM528" s="103">
        <v>95.7</v>
      </c>
      <c r="AN528" s="103">
        <v>90</v>
      </c>
      <c r="AO528" s="103">
        <v>94.3</v>
      </c>
      <c r="AP528" s="103">
        <v>95.4</v>
      </c>
      <c r="AQ528" s="103">
        <v>96.3</v>
      </c>
      <c r="AR528" s="103">
        <v>96.3</v>
      </c>
      <c r="AS528" s="103">
        <v>96.2</v>
      </c>
      <c r="AT528" s="103">
        <v>95.8</v>
      </c>
      <c r="AU528" s="103">
        <v>89.6</v>
      </c>
      <c r="AV528" s="103">
        <v>94</v>
      </c>
      <c r="AW528" s="103">
        <v>95.2</v>
      </c>
      <c r="AX528" s="103">
        <v>96.3</v>
      </c>
      <c r="AY528" s="103">
        <v>96.4</v>
      </c>
      <c r="AZ528" s="103">
        <v>96.2</v>
      </c>
      <c r="BA528" s="103">
        <v>95.8</v>
      </c>
      <c r="BB528" s="40">
        <v>42979</v>
      </c>
      <c r="BC528" s="40">
        <v>43388</v>
      </c>
    </row>
    <row r="529" spans="1:55" s="120" customFormat="1" ht="45">
      <c r="A529" s="55" t="s">
        <v>8</v>
      </c>
      <c r="B529" s="75" t="s">
        <v>458</v>
      </c>
      <c r="C529" s="57" t="s">
        <v>10</v>
      </c>
      <c r="D529" s="57" t="s">
        <v>10</v>
      </c>
      <c r="E529" s="63" t="s">
        <v>11</v>
      </c>
      <c r="F529" s="63" t="s">
        <v>11</v>
      </c>
      <c r="G529" s="36" t="s">
        <v>212</v>
      </c>
      <c r="H529" s="54">
        <v>0.32</v>
      </c>
      <c r="I529" s="35">
        <v>208</v>
      </c>
      <c r="J529" s="54">
        <v>95.5</v>
      </c>
      <c r="K529" s="39" t="s">
        <v>1327</v>
      </c>
      <c r="L529" s="128" t="s">
        <v>535</v>
      </c>
      <c r="M529" s="39" t="s">
        <v>536</v>
      </c>
      <c r="N529" s="40">
        <v>43388</v>
      </c>
      <c r="O529" s="63" t="s">
        <v>17</v>
      </c>
      <c r="P529" s="63" t="s">
        <v>17</v>
      </c>
      <c r="Q529" s="63" t="s">
        <v>17</v>
      </c>
      <c r="R529" s="65" t="s">
        <v>27</v>
      </c>
      <c r="S529" s="33" t="s">
        <v>10</v>
      </c>
      <c r="T529" s="34" t="s">
        <v>10</v>
      </c>
      <c r="U529" s="35">
        <v>0.02</v>
      </c>
      <c r="V529" s="35"/>
      <c r="W529" s="35"/>
      <c r="X529" s="35">
        <v>53</v>
      </c>
      <c r="Y529" s="35">
        <v>60</v>
      </c>
      <c r="Z529" s="35">
        <v>64</v>
      </c>
      <c r="AA529" s="103">
        <v>0.03</v>
      </c>
      <c r="AB529" s="103">
        <v>0.06</v>
      </c>
      <c r="AC529" s="103">
        <v>0.1</v>
      </c>
      <c r="AD529" s="103">
        <v>0.16</v>
      </c>
      <c r="AE529" s="103">
        <v>0.24</v>
      </c>
      <c r="AF529" s="103">
        <v>0.32</v>
      </c>
      <c r="AG529" s="103">
        <v>90.8</v>
      </c>
      <c r="AH529" s="103">
        <v>94.5</v>
      </c>
      <c r="AI529" s="103">
        <v>95.5</v>
      </c>
      <c r="AJ529" s="103">
        <v>96.2</v>
      </c>
      <c r="AK529" s="103">
        <v>96.1</v>
      </c>
      <c r="AL529" s="103">
        <v>95.9</v>
      </c>
      <c r="AM529" s="103">
        <v>95.7</v>
      </c>
      <c r="AN529" s="103">
        <v>90.2</v>
      </c>
      <c r="AO529" s="103">
        <v>94.5</v>
      </c>
      <c r="AP529" s="103">
        <v>95.5</v>
      </c>
      <c r="AQ529" s="103">
        <v>96.2</v>
      </c>
      <c r="AR529" s="103">
        <v>96.1</v>
      </c>
      <c r="AS529" s="103">
        <v>95.9</v>
      </c>
      <c r="AT529" s="103">
        <v>95.7</v>
      </c>
      <c r="AU529" s="103">
        <v>89.4</v>
      </c>
      <c r="AV529" s="103">
        <v>94.1</v>
      </c>
      <c r="AW529" s="103">
        <v>95.3</v>
      </c>
      <c r="AX529" s="103">
        <v>96.2</v>
      </c>
      <c r="AY529" s="103">
        <v>96.2</v>
      </c>
      <c r="AZ529" s="103">
        <v>95.9</v>
      </c>
      <c r="BA529" s="103">
        <v>95.7</v>
      </c>
      <c r="BB529" s="40">
        <v>42979</v>
      </c>
      <c r="BC529" s="40">
        <v>43388</v>
      </c>
    </row>
    <row r="530" spans="1:55" s="120" customFormat="1" ht="45">
      <c r="A530" s="55" t="s">
        <v>8</v>
      </c>
      <c r="B530" s="75" t="s">
        <v>459</v>
      </c>
      <c r="C530" s="57" t="s">
        <v>10</v>
      </c>
      <c r="D530" s="57" t="s">
        <v>10</v>
      </c>
      <c r="E530" s="63" t="s">
        <v>11</v>
      </c>
      <c r="F530" s="63" t="s">
        <v>11</v>
      </c>
      <c r="G530" s="36" t="s">
        <v>213</v>
      </c>
      <c r="H530" s="54">
        <v>0.32</v>
      </c>
      <c r="I530" s="35">
        <v>240</v>
      </c>
      <c r="J530" s="54">
        <v>96</v>
      </c>
      <c r="K530" s="39" t="s">
        <v>1327</v>
      </c>
      <c r="L530" s="128" t="s">
        <v>535</v>
      </c>
      <c r="M530" s="39" t="s">
        <v>536</v>
      </c>
      <c r="N530" s="40">
        <v>43388</v>
      </c>
      <c r="O530" s="63" t="s">
        <v>17</v>
      </c>
      <c r="P530" s="63" t="s">
        <v>17</v>
      </c>
      <c r="Q530" s="63" t="s">
        <v>17</v>
      </c>
      <c r="R530" s="65" t="s">
        <v>27</v>
      </c>
      <c r="S530" s="33" t="s">
        <v>10</v>
      </c>
      <c r="T530" s="34" t="s">
        <v>10</v>
      </c>
      <c r="U530" s="35">
        <v>0.1</v>
      </c>
      <c r="V530" s="35"/>
      <c r="W530" s="35"/>
      <c r="X530" s="35">
        <v>53</v>
      </c>
      <c r="Y530" s="35">
        <v>60</v>
      </c>
      <c r="Z530" s="35">
        <v>64</v>
      </c>
      <c r="AA530" s="103">
        <v>0.03</v>
      </c>
      <c r="AB530" s="103">
        <v>0.06</v>
      </c>
      <c r="AC530" s="103">
        <v>0.1</v>
      </c>
      <c r="AD530" s="103">
        <v>0.16</v>
      </c>
      <c r="AE530" s="103">
        <v>0.24</v>
      </c>
      <c r="AF530" s="103">
        <v>0.32</v>
      </c>
      <c r="AG530" s="103">
        <v>89.7</v>
      </c>
      <c r="AH530" s="103">
        <v>94.1</v>
      </c>
      <c r="AI530" s="103">
        <v>95.3</v>
      </c>
      <c r="AJ530" s="103">
        <v>96.2</v>
      </c>
      <c r="AK530" s="103">
        <v>96.1</v>
      </c>
      <c r="AL530" s="103">
        <v>95.9</v>
      </c>
      <c r="AM530" s="103">
        <v>95.7</v>
      </c>
      <c r="AN530" s="103">
        <v>90</v>
      </c>
      <c r="AO530" s="103">
        <v>94.3</v>
      </c>
      <c r="AP530" s="103">
        <v>95.4</v>
      </c>
      <c r="AQ530" s="103">
        <v>96.3</v>
      </c>
      <c r="AR530" s="103">
        <v>96.3</v>
      </c>
      <c r="AS530" s="103">
        <v>96.2</v>
      </c>
      <c r="AT530" s="103">
        <v>95.8</v>
      </c>
      <c r="AU530" s="103">
        <v>89.6</v>
      </c>
      <c r="AV530" s="103">
        <v>94</v>
      </c>
      <c r="AW530" s="103">
        <v>95.2</v>
      </c>
      <c r="AX530" s="103">
        <v>96.3</v>
      </c>
      <c r="AY530" s="103">
        <v>96.4</v>
      </c>
      <c r="AZ530" s="103">
        <v>96.2</v>
      </c>
      <c r="BA530" s="103">
        <v>95.8</v>
      </c>
      <c r="BB530" s="40">
        <v>42979</v>
      </c>
      <c r="BC530" s="40">
        <v>43388</v>
      </c>
    </row>
    <row r="531" spans="1:55" s="120" customFormat="1" ht="45">
      <c r="A531" s="76" t="s">
        <v>8</v>
      </c>
      <c r="B531" s="76" t="s">
        <v>1207</v>
      </c>
      <c r="C531" s="79" t="s">
        <v>10</v>
      </c>
      <c r="D531" s="79" t="s">
        <v>10</v>
      </c>
      <c r="E531" s="63" t="s">
        <v>11</v>
      </c>
      <c r="F531" s="63" t="s">
        <v>11</v>
      </c>
      <c r="G531" s="87" t="s">
        <v>344</v>
      </c>
      <c r="H531" s="90">
        <v>0.32</v>
      </c>
      <c r="I531" s="121">
        <v>208</v>
      </c>
      <c r="J531" s="90">
        <v>95.5</v>
      </c>
      <c r="K531" s="39" t="s">
        <v>1327</v>
      </c>
      <c r="L531" s="131" t="s">
        <v>537</v>
      </c>
      <c r="M531" s="79" t="s">
        <v>536</v>
      </c>
      <c r="N531" s="40">
        <v>43388</v>
      </c>
      <c r="O531" s="63" t="s">
        <v>17</v>
      </c>
      <c r="P531" s="63" t="s">
        <v>17</v>
      </c>
      <c r="Q531" s="63" t="s">
        <v>17</v>
      </c>
      <c r="R531" s="123" t="s">
        <v>27</v>
      </c>
      <c r="S531" s="122" t="s">
        <v>10</v>
      </c>
      <c r="T531" s="122" t="s">
        <v>10</v>
      </c>
      <c r="U531" s="121">
        <v>0.02</v>
      </c>
      <c r="V531" s="83"/>
      <c r="W531" s="83"/>
      <c r="X531" s="83">
        <v>53</v>
      </c>
      <c r="Y531" s="83">
        <v>60</v>
      </c>
      <c r="Z531" s="83">
        <v>64</v>
      </c>
      <c r="AA531" s="100">
        <v>0.03</v>
      </c>
      <c r="AB531" s="100">
        <v>0.06</v>
      </c>
      <c r="AC531" s="100">
        <v>0.1</v>
      </c>
      <c r="AD531" s="100">
        <v>0.16</v>
      </c>
      <c r="AE531" s="100">
        <v>0.24</v>
      </c>
      <c r="AF531" s="100">
        <v>0.32</v>
      </c>
      <c r="AG531" s="100">
        <v>90.8</v>
      </c>
      <c r="AH531" s="100">
        <v>94.5</v>
      </c>
      <c r="AI531" s="100">
        <v>95.5</v>
      </c>
      <c r="AJ531" s="100">
        <v>96.2</v>
      </c>
      <c r="AK531" s="100">
        <v>96.1</v>
      </c>
      <c r="AL531" s="100">
        <v>95.9</v>
      </c>
      <c r="AM531" s="100">
        <v>95.7</v>
      </c>
      <c r="AN531" s="100">
        <v>90.2</v>
      </c>
      <c r="AO531" s="100">
        <v>94.5</v>
      </c>
      <c r="AP531" s="100">
        <v>95.5</v>
      </c>
      <c r="AQ531" s="100">
        <v>96.2</v>
      </c>
      <c r="AR531" s="100">
        <v>96.1</v>
      </c>
      <c r="AS531" s="100">
        <v>95.9</v>
      </c>
      <c r="AT531" s="100">
        <v>95.7</v>
      </c>
      <c r="AU531" s="100">
        <v>89.4</v>
      </c>
      <c r="AV531" s="100">
        <v>94.1</v>
      </c>
      <c r="AW531" s="100">
        <v>95.3</v>
      </c>
      <c r="AX531" s="100">
        <v>96.2</v>
      </c>
      <c r="AY531" s="100">
        <v>96.2</v>
      </c>
      <c r="AZ531" s="100">
        <v>95.9</v>
      </c>
      <c r="BA531" s="100">
        <v>95.7</v>
      </c>
      <c r="BB531" s="40">
        <v>43116</v>
      </c>
      <c r="BC531" s="40">
        <v>43388</v>
      </c>
    </row>
    <row r="532" spans="1:55" s="120" customFormat="1" ht="45">
      <c r="A532" s="76" t="s">
        <v>8</v>
      </c>
      <c r="B532" s="76" t="s">
        <v>1208</v>
      </c>
      <c r="C532" s="79" t="s">
        <v>10</v>
      </c>
      <c r="D532" s="79" t="s">
        <v>10</v>
      </c>
      <c r="E532" s="63" t="s">
        <v>11</v>
      </c>
      <c r="F532" s="63" t="s">
        <v>11</v>
      </c>
      <c r="G532" s="76" t="s">
        <v>342</v>
      </c>
      <c r="H532" s="90">
        <v>0.32</v>
      </c>
      <c r="I532" s="121">
        <v>240</v>
      </c>
      <c r="J532" s="90">
        <v>96</v>
      </c>
      <c r="K532" s="39" t="s">
        <v>1327</v>
      </c>
      <c r="L532" s="131" t="s">
        <v>537</v>
      </c>
      <c r="M532" s="79" t="s">
        <v>536</v>
      </c>
      <c r="N532" s="40">
        <v>43388</v>
      </c>
      <c r="O532" s="63" t="s">
        <v>17</v>
      </c>
      <c r="P532" s="63" t="s">
        <v>17</v>
      </c>
      <c r="Q532" s="63" t="s">
        <v>17</v>
      </c>
      <c r="R532" s="123" t="s">
        <v>27</v>
      </c>
      <c r="S532" s="122" t="s">
        <v>10</v>
      </c>
      <c r="T532" s="122" t="s">
        <v>10</v>
      </c>
      <c r="U532" s="121">
        <v>0.1</v>
      </c>
      <c r="V532" s="83"/>
      <c r="W532" s="83"/>
      <c r="X532" s="83">
        <v>53</v>
      </c>
      <c r="Y532" s="83">
        <v>60</v>
      </c>
      <c r="Z532" s="83">
        <v>64</v>
      </c>
      <c r="AA532" s="100">
        <v>0.03</v>
      </c>
      <c r="AB532" s="100">
        <v>0.06</v>
      </c>
      <c r="AC532" s="100">
        <v>0.1</v>
      </c>
      <c r="AD532" s="100">
        <v>0.16</v>
      </c>
      <c r="AE532" s="100">
        <v>0.24</v>
      </c>
      <c r="AF532" s="100">
        <v>0.32</v>
      </c>
      <c r="AG532" s="100">
        <v>89.7</v>
      </c>
      <c r="AH532" s="100">
        <v>94.1</v>
      </c>
      <c r="AI532" s="100">
        <v>95.3</v>
      </c>
      <c r="AJ532" s="100">
        <v>96.2</v>
      </c>
      <c r="AK532" s="100">
        <v>96.1</v>
      </c>
      <c r="AL532" s="100">
        <v>95.9</v>
      </c>
      <c r="AM532" s="100">
        <v>95.7</v>
      </c>
      <c r="AN532" s="100">
        <v>90</v>
      </c>
      <c r="AO532" s="100">
        <v>94.3</v>
      </c>
      <c r="AP532" s="100">
        <v>95.4</v>
      </c>
      <c r="AQ532" s="100">
        <v>96.3</v>
      </c>
      <c r="AR532" s="100">
        <v>96.3</v>
      </c>
      <c r="AS532" s="100">
        <v>96.2</v>
      </c>
      <c r="AT532" s="100">
        <v>95.8</v>
      </c>
      <c r="AU532" s="100">
        <v>89.6</v>
      </c>
      <c r="AV532" s="100">
        <v>94</v>
      </c>
      <c r="AW532" s="100">
        <v>95.2</v>
      </c>
      <c r="AX532" s="100">
        <v>96.3</v>
      </c>
      <c r="AY532" s="100">
        <v>96.4</v>
      </c>
      <c r="AZ532" s="100">
        <v>96.2</v>
      </c>
      <c r="BA532" s="100">
        <v>95.8</v>
      </c>
      <c r="BB532" s="40">
        <v>43116</v>
      </c>
      <c r="BC532" s="40">
        <v>43388</v>
      </c>
    </row>
    <row r="533" spans="1:55" s="120" customFormat="1" ht="45">
      <c r="A533" s="55" t="s">
        <v>8</v>
      </c>
      <c r="B533" s="75" t="s">
        <v>460</v>
      </c>
      <c r="C533" s="57" t="s">
        <v>10</v>
      </c>
      <c r="D533" s="57" t="s">
        <v>10</v>
      </c>
      <c r="E533" s="63" t="s">
        <v>11</v>
      </c>
      <c r="F533" s="63" t="s">
        <v>11</v>
      </c>
      <c r="G533" s="36" t="s">
        <v>212</v>
      </c>
      <c r="H533" s="54">
        <v>0.32</v>
      </c>
      <c r="I533" s="35">
        <v>208</v>
      </c>
      <c r="J533" s="54">
        <v>95.5</v>
      </c>
      <c r="K533" s="39" t="s">
        <v>1327</v>
      </c>
      <c r="L533" s="128" t="s">
        <v>535</v>
      </c>
      <c r="M533" s="39" t="s">
        <v>536</v>
      </c>
      <c r="N533" s="40">
        <v>43388</v>
      </c>
      <c r="O533" s="63" t="s">
        <v>17</v>
      </c>
      <c r="P533" s="63" t="s">
        <v>17</v>
      </c>
      <c r="Q533" s="63" t="s">
        <v>17</v>
      </c>
      <c r="R533" s="65" t="s">
        <v>27</v>
      </c>
      <c r="S533" s="33" t="s">
        <v>10</v>
      </c>
      <c r="T533" s="34" t="s">
        <v>10</v>
      </c>
      <c r="U533" s="35">
        <v>0.02</v>
      </c>
      <c r="V533" s="35"/>
      <c r="W533" s="35"/>
      <c r="X533" s="35">
        <v>53</v>
      </c>
      <c r="Y533" s="35">
        <v>60</v>
      </c>
      <c r="Z533" s="35">
        <v>64</v>
      </c>
      <c r="AA533" s="103">
        <v>0.03</v>
      </c>
      <c r="AB533" s="103">
        <v>0.06</v>
      </c>
      <c r="AC533" s="103">
        <v>0.1</v>
      </c>
      <c r="AD533" s="103">
        <v>0.16</v>
      </c>
      <c r="AE533" s="103">
        <v>0.24</v>
      </c>
      <c r="AF533" s="103">
        <v>0.32</v>
      </c>
      <c r="AG533" s="103">
        <v>90.8</v>
      </c>
      <c r="AH533" s="103">
        <v>94.5</v>
      </c>
      <c r="AI533" s="103">
        <v>95.5</v>
      </c>
      <c r="AJ533" s="103">
        <v>96.2</v>
      </c>
      <c r="AK533" s="103">
        <v>96.1</v>
      </c>
      <c r="AL533" s="103">
        <v>95.9</v>
      </c>
      <c r="AM533" s="103">
        <v>95.7</v>
      </c>
      <c r="AN533" s="103">
        <v>90.2</v>
      </c>
      <c r="AO533" s="103">
        <v>94.5</v>
      </c>
      <c r="AP533" s="103">
        <v>95.5</v>
      </c>
      <c r="AQ533" s="103">
        <v>96.2</v>
      </c>
      <c r="AR533" s="103">
        <v>96.1</v>
      </c>
      <c r="AS533" s="103">
        <v>95.9</v>
      </c>
      <c r="AT533" s="103">
        <v>95.7</v>
      </c>
      <c r="AU533" s="103">
        <v>89.4</v>
      </c>
      <c r="AV533" s="103">
        <v>94.1</v>
      </c>
      <c r="AW533" s="103">
        <v>95.3</v>
      </c>
      <c r="AX533" s="103">
        <v>96.2</v>
      </c>
      <c r="AY533" s="103">
        <v>96.2</v>
      </c>
      <c r="AZ533" s="103">
        <v>95.9</v>
      </c>
      <c r="BA533" s="103">
        <v>95.7</v>
      </c>
      <c r="BB533" s="40">
        <v>42979</v>
      </c>
      <c r="BC533" s="40">
        <v>43388</v>
      </c>
    </row>
    <row r="534" spans="1:55" s="120" customFormat="1" ht="45">
      <c r="A534" s="55" t="s">
        <v>8</v>
      </c>
      <c r="B534" s="75" t="s">
        <v>461</v>
      </c>
      <c r="C534" s="57" t="s">
        <v>10</v>
      </c>
      <c r="D534" s="57" t="s">
        <v>10</v>
      </c>
      <c r="E534" s="63" t="s">
        <v>11</v>
      </c>
      <c r="F534" s="63" t="s">
        <v>11</v>
      </c>
      <c r="G534" s="36" t="s">
        <v>213</v>
      </c>
      <c r="H534" s="54">
        <v>0.32</v>
      </c>
      <c r="I534" s="35">
        <v>240</v>
      </c>
      <c r="J534" s="54">
        <v>96</v>
      </c>
      <c r="K534" s="39" t="s">
        <v>1327</v>
      </c>
      <c r="L534" s="128" t="s">
        <v>535</v>
      </c>
      <c r="M534" s="39" t="s">
        <v>536</v>
      </c>
      <c r="N534" s="40">
        <v>43388</v>
      </c>
      <c r="O534" s="63" t="s">
        <v>17</v>
      </c>
      <c r="P534" s="63" t="s">
        <v>17</v>
      </c>
      <c r="Q534" s="63" t="s">
        <v>17</v>
      </c>
      <c r="R534" s="65" t="s">
        <v>27</v>
      </c>
      <c r="S534" s="33" t="s">
        <v>10</v>
      </c>
      <c r="T534" s="34" t="s">
        <v>10</v>
      </c>
      <c r="U534" s="35">
        <v>0.1</v>
      </c>
      <c r="V534" s="35"/>
      <c r="W534" s="35"/>
      <c r="X534" s="35">
        <v>53</v>
      </c>
      <c r="Y534" s="35">
        <v>60</v>
      </c>
      <c r="Z534" s="35">
        <v>64</v>
      </c>
      <c r="AA534" s="103">
        <v>0.03</v>
      </c>
      <c r="AB534" s="103">
        <v>0.06</v>
      </c>
      <c r="AC534" s="103">
        <v>0.1</v>
      </c>
      <c r="AD534" s="103">
        <v>0.16</v>
      </c>
      <c r="AE534" s="103">
        <v>0.24</v>
      </c>
      <c r="AF534" s="103">
        <v>0.32</v>
      </c>
      <c r="AG534" s="103">
        <v>89.7</v>
      </c>
      <c r="AH534" s="103">
        <v>94.1</v>
      </c>
      <c r="AI534" s="103">
        <v>95.3</v>
      </c>
      <c r="AJ534" s="103">
        <v>96.2</v>
      </c>
      <c r="AK534" s="103">
        <v>96.1</v>
      </c>
      <c r="AL534" s="103">
        <v>95.9</v>
      </c>
      <c r="AM534" s="103">
        <v>95.7</v>
      </c>
      <c r="AN534" s="103">
        <v>90</v>
      </c>
      <c r="AO534" s="103">
        <v>94.3</v>
      </c>
      <c r="AP534" s="103">
        <v>95.4</v>
      </c>
      <c r="AQ534" s="103">
        <v>96.3</v>
      </c>
      <c r="AR534" s="103">
        <v>96.3</v>
      </c>
      <c r="AS534" s="103">
        <v>96.2</v>
      </c>
      <c r="AT534" s="103">
        <v>95.8</v>
      </c>
      <c r="AU534" s="103">
        <v>89.6</v>
      </c>
      <c r="AV534" s="103">
        <v>94</v>
      </c>
      <c r="AW534" s="103">
        <v>95.2</v>
      </c>
      <c r="AX534" s="103">
        <v>96.3</v>
      </c>
      <c r="AY534" s="103">
        <v>96.4</v>
      </c>
      <c r="AZ534" s="103">
        <v>96.2</v>
      </c>
      <c r="BA534" s="103">
        <v>95.8</v>
      </c>
      <c r="BB534" s="40">
        <v>42979</v>
      </c>
      <c r="BC534" s="40">
        <v>43388</v>
      </c>
    </row>
    <row r="535" spans="1:55" s="120" customFormat="1" ht="45">
      <c r="A535" s="76" t="s">
        <v>8</v>
      </c>
      <c r="B535" s="76" t="s">
        <v>1209</v>
      </c>
      <c r="C535" s="79" t="s">
        <v>10</v>
      </c>
      <c r="D535" s="79" t="s">
        <v>10</v>
      </c>
      <c r="E535" s="63" t="s">
        <v>11</v>
      </c>
      <c r="F535" s="63" t="s">
        <v>11</v>
      </c>
      <c r="G535" s="76" t="s">
        <v>345</v>
      </c>
      <c r="H535" s="90">
        <v>0.32</v>
      </c>
      <c r="I535" s="121">
        <v>208</v>
      </c>
      <c r="J535" s="90">
        <v>95.5</v>
      </c>
      <c r="K535" s="39" t="s">
        <v>1327</v>
      </c>
      <c r="L535" s="131" t="s">
        <v>537</v>
      </c>
      <c r="M535" s="79" t="s">
        <v>536</v>
      </c>
      <c r="N535" s="40">
        <v>43388</v>
      </c>
      <c r="O535" s="63" t="s">
        <v>17</v>
      </c>
      <c r="P535" s="63" t="s">
        <v>17</v>
      </c>
      <c r="Q535" s="63" t="s">
        <v>17</v>
      </c>
      <c r="R535" s="123" t="s">
        <v>27</v>
      </c>
      <c r="S535" s="122" t="s">
        <v>10</v>
      </c>
      <c r="T535" s="122" t="s">
        <v>10</v>
      </c>
      <c r="U535" s="121">
        <v>0.02</v>
      </c>
      <c r="V535" s="83"/>
      <c r="W535" s="83"/>
      <c r="X535" s="83">
        <v>53</v>
      </c>
      <c r="Y535" s="83">
        <v>60</v>
      </c>
      <c r="Z535" s="83">
        <v>64</v>
      </c>
      <c r="AA535" s="100">
        <v>0.03</v>
      </c>
      <c r="AB535" s="100">
        <v>0.06</v>
      </c>
      <c r="AC535" s="100">
        <v>0.1</v>
      </c>
      <c r="AD535" s="100">
        <v>0.16</v>
      </c>
      <c r="AE535" s="100">
        <v>0.24</v>
      </c>
      <c r="AF535" s="100">
        <v>0.32</v>
      </c>
      <c r="AG535" s="100">
        <v>90.8</v>
      </c>
      <c r="AH535" s="100">
        <v>94.5</v>
      </c>
      <c r="AI535" s="100">
        <v>95.5</v>
      </c>
      <c r="AJ535" s="100">
        <v>96.2</v>
      </c>
      <c r="AK535" s="100">
        <v>96.1</v>
      </c>
      <c r="AL535" s="100">
        <v>95.9</v>
      </c>
      <c r="AM535" s="100">
        <v>95.7</v>
      </c>
      <c r="AN535" s="100">
        <v>90.2</v>
      </c>
      <c r="AO535" s="100">
        <v>94.5</v>
      </c>
      <c r="AP535" s="100">
        <v>95.5</v>
      </c>
      <c r="AQ535" s="100">
        <v>96.2</v>
      </c>
      <c r="AR535" s="100">
        <v>96.1</v>
      </c>
      <c r="AS535" s="100">
        <v>95.9</v>
      </c>
      <c r="AT535" s="100">
        <v>95.7</v>
      </c>
      <c r="AU535" s="100">
        <v>89.4</v>
      </c>
      <c r="AV535" s="100">
        <v>94.1</v>
      </c>
      <c r="AW535" s="100">
        <v>95.3</v>
      </c>
      <c r="AX535" s="100">
        <v>96.2</v>
      </c>
      <c r="AY535" s="100">
        <v>96.2</v>
      </c>
      <c r="AZ535" s="100">
        <v>95.9</v>
      </c>
      <c r="BA535" s="100">
        <v>95.7</v>
      </c>
      <c r="BB535" s="40">
        <v>43116</v>
      </c>
      <c r="BC535" s="40">
        <v>43388</v>
      </c>
    </row>
    <row r="536" spans="1:55" s="120" customFormat="1" ht="45">
      <c r="A536" s="76" t="s">
        <v>8</v>
      </c>
      <c r="B536" s="76" t="s">
        <v>1210</v>
      </c>
      <c r="C536" s="79" t="s">
        <v>10</v>
      </c>
      <c r="D536" s="79" t="s">
        <v>10</v>
      </c>
      <c r="E536" s="63" t="s">
        <v>11</v>
      </c>
      <c r="F536" s="63" t="s">
        <v>11</v>
      </c>
      <c r="G536" s="76" t="s">
        <v>343</v>
      </c>
      <c r="H536" s="90">
        <v>0.32</v>
      </c>
      <c r="I536" s="121">
        <v>240</v>
      </c>
      <c r="J536" s="90">
        <v>96</v>
      </c>
      <c r="K536" s="39" t="s">
        <v>1327</v>
      </c>
      <c r="L536" s="131" t="s">
        <v>537</v>
      </c>
      <c r="M536" s="79" t="s">
        <v>536</v>
      </c>
      <c r="N536" s="40">
        <v>43388</v>
      </c>
      <c r="O536" s="63" t="s">
        <v>17</v>
      </c>
      <c r="P536" s="63" t="s">
        <v>17</v>
      </c>
      <c r="Q536" s="63" t="s">
        <v>17</v>
      </c>
      <c r="R536" s="123" t="s">
        <v>27</v>
      </c>
      <c r="S536" s="122" t="s">
        <v>10</v>
      </c>
      <c r="T536" s="122" t="s">
        <v>10</v>
      </c>
      <c r="U536" s="121">
        <v>0.1</v>
      </c>
      <c r="V536" s="83"/>
      <c r="W536" s="83"/>
      <c r="X536" s="83">
        <v>53</v>
      </c>
      <c r="Y536" s="83">
        <v>60</v>
      </c>
      <c r="Z536" s="83">
        <v>64</v>
      </c>
      <c r="AA536" s="100">
        <v>0.03</v>
      </c>
      <c r="AB536" s="100">
        <v>0.06</v>
      </c>
      <c r="AC536" s="100">
        <v>0.1</v>
      </c>
      <c r="AD536" s="100">
        <v>0.16</v>
      </c>
      <c r="AE536" s="100">
        <v>0.24</v>
      </c>
      <c r="AF536" s="100">
        <v>0.32</v>
      </c>
      <c r="AG536" s="100">
        <v>89.7</v>
      </c>
      <c r="AH536" s="100">
        <v>94.1</v>
      </c>
      <c r="AI536" s="100">
        <v>95.3</v>
      </c>
      <c r="AJ536" s="100">
        <v>96.2</v>
      </c>
      <c r="AK536" s="100">
        <v>96.1</v>
      </c>
      <c r="AL536" s="100">
        <v>95.9</v>
      </c>
      <c r="AM536" s="100">
        <v>95.7</v>
      </c>
      <c r="AN536" s="100">
        <v>90</v>
      </c>
      <c r="AO536" s="100">
        <v>94.3</v>
      </c>
      <c r="AP536" s="100">
        <v>95.4</v>
      </c>
      <c r="AQ536" s="100">
        <v>96.3</v>
      </c>
      <c r="AR536" s="100">
        <v>96.3</v>
      </c>
      <c r="AS536" s="100">
        <v>96.2</v>
      </c>
      <c r="AT536" s="100">
        <v>95.8</v>
      </c>
      <c r="AU536" s="100">
        <v>89.6</v>
      </c>
      <c r="AV536" s="100">
        <v>94</v>
      </c>
      <c r="AW536" s="100">
        <v>95.2</v>
      </c>
      <c r="AX536" s="100">
        <v>96.3</v>
      </c>
      <c r="AY536" s="100">
        <v>96.4</v>
      </c>
      <c r="AZ536" s="100">
        <v>96.2</v>
      </c>
      <c r="BA536" s="100">
        <v>95.8</v>
      </c>
      <c r="BB536" s="40">
        <v>43116</v>
      </c>
      <c r="BC536" s="40">
        <v>43388</v>
      </c>
    </row>
    <row r="537" spans="1:55" s="120" customFormat="1" ht="71.25" customHeight="1">
      <c r="A537" s="55" t="s">
        <v>8</v>
      </c>
      <c r="B537" s="75" t="s">
        <v>1211</v>
      </c>
      <c r="C537" s="57" t="s">
        <v>10</v>
      </c>
      <c r="D537" s="57" t="s">
        <v>10</v>
      </c>
      <c r="E537" s="43" t="s">
        <v>10</v>
      </c>
      <c r="F537" s="63" t="s">
        <v>11</v>
      </c>
      <c r="G537" s="36" t="s">
        <v>218</v>
      </c>
      <c r="H537" s="54">
        <v>12</v>
      </c>
      <c r="I537" s="35">
        <v>480</v>
      </c>
      <c r="J537" s="54">
        <v>97.5</v>
      </c>
      <c r="K537" s="39" t="s">
        <v>1327</v>
      </c>
      <c r="L537" s="128" t="s">
        <v>522</v>
      </c>
      <c r="M537" s="39" t="s">
        <v>523</v>
      </c>
      <c r="N537" s="40">
        <v>43388</v>
      </c>
      <c r="O537" s="128" t="s">
        <v>522</v>
      </c>
      <c r="P537" s="63" t="s">
        <v>17</v>
      </c>
      <c r="Q537" s="63" t="s">
        <v>17</v>
      </c>
      <c r="R537" s="65" t="s">
        <v>223</v>
      </c>
      <c r="S537" s="33" t="s">
        <v>10</v>
      </c>
      <c r="T537" s="34" t="s">
        <v>11</v>
      </c>
      <c r="U537" s="35">
        <v>1.79</v>
      </c>
      <c r="V537" s="35"/>
      <c r="W537" s="35"/>
      <c r="X537" s="35">
        <v>300</v>
      </c>
      <c r="Y537" s="35">
        <v>675</v>
      </c>
      <c r="Z537" s="35">
        <v>800</v>
      </c>
      <c r="AA537" s="103">
        <v>1.2000000000000002</v>
      </c>
      <c r="AB537" s="103">
        <v>2.4000000000000004</v>
      </c>
      <c r="AC537" s="103">
        <v>3.5999999999999996</v>
      </c>
      <c r="AD537" s="103">
        <v>6</v>
      </c>
      <c r="AE537" s="103">
        <v>9</v>
      </c>
      <c r="AF537" s="103">
        <v>12</v>
      </c>
      <c r="AG537" s="103">
        <v>92.894674644817883</v>
      </c>
      <c r="AH537" s="103">
        <v>95.825371847114951</v>
      </c>
      <c r="AI537" s="103">
        <v>96.49457533743761</v>
      </c>
      <c r="AJ537" s="103">
        <v>96.690700406340042</v>
      </c>
      <c r="AK537" s="103">
        <v>96.627312947730815</v>
      </c>
      <c r="AL537" s="103">
        <v>96.507013910909436</v>
      </c>
      <c r="AM537" s="103">
        <v>96.429278261815185</v>
      </c>
      <c r="AN537" s="103">
        <v>94.885736215076193</v>
      </c>
      <c r="AO537" s="103">
        <v>96.883040483522223</v>
      </c>
      <c r="AP537" s="103">
        <v>97.494372087983805</v>
      </c>
      <c r="AQ537" s="103">
        <v>97.777000604401067</v>
      </c>
      <c r="AR537" s="103">
        <v>97.832115333209018</v>
      </c>
      <c r="AS537" s="103">
        <v>97.811357024005105</v>
      </c>
      <c r="AT537" s="103">
        <v>97.613665228062487</v>
      </c>
      <c r="AU537" s="103">
        <v>94.154840052277819</v>
      </c>
      <c r="AV537" s="103">
        <v>97.204030409030267</v>
      </c>
      <c r="AW537" s="103">
        <v>97.700750214004856</v>
      </c>
      <c r="AX537" s="103">
        <v>98.014008962786292</v>
      </c>
      <c r="AY537" s="103">
        <v>98.183788377033963</v>
      </c>
      <c r="AZ537" s="103">
        <v>98.189784411397596</v>
      </c>
      <c r="BA537" s="103">
        <v>97.880324090806212</v>
      </c>
      <c r="BB537" s="40">
        <v>42979</v>
      </c>
      <c r="BC537" s="40">
        <v>43388</v>
      </c>
    </row>
    <row r="538" spans="1:55" s="120" customFormat="1" ht="71.25" customHeight="1">
      <c r="A538" s="55" t="s">
        <v>8</v>
      </c>
      <c r="B538" s="75" t="s">
        <v>1212</v>
      </c>
      <c r="C538" s="57" t="s">
        <v>10</v>
      </c>
      <c r="D538" s="57" t="s">
        <v>10</v>
      </c>
      <c r="E538" s="43" t="s">
        <v>10</v>
      </c>
      <c r="F538" s="63" t="s">
        <v>11</v>
      </c>
      <c r="G538" s="36" t="s">
        <v>222</v>
      </c>
      <c r="H538" s="54">
        <v>12</v>
      </c>
      <c r="I538" s="35">
        <v>480</v>
      </c>
      <c r="J538" s="54">
        <v>97.5</v>
      </c>
      <c r="K538" s="39" t="s">
        <v>1327</v>
      </c>
      <c r="L538" s="128" t="s">
        <v>522</v>
      </c>
      <c r="M538" s="39" t="s">
        <v>523</v>
      </c>
      <c r="N538" s="40">
        <v>43388</v>
      </c>
      <c r="O538" s="128" t="s">
        <v>522</v>
      </c>
      <c r="P538" s="63" t="s">
        <v>17</v>
      </c>
      <c r="Q538" s="63" t="s">
        <v>17</v>
      </c>
      <c r="R538" s="65" t="s">
        <v>223</v>
      </c>
      <c r="S538" s="33" t="s">
        <v>10</v>
      </c>
      <c r="T538" s="34" t="s">
        <v>11</v>
      </c>
      <c r="U538" s="35">
        <v>1.79</v>
      </c>
      <c r="V538" s="35"/>
      <c r="W538" s="35"/>
      <c r="X538" s="35">
        <v>300</v>
      </c>
      <c r="Y538" s="35">
        <v>675</v>
      </c>
      <c r="Z538" s="35">
        <v>800</v>
      </c>
      <c r="AA538" s="103">
        <v>1.2000000000000002</v>
      </c>
      <c r="AB538" s="103">
        <v>2.4000000000000004</v>
      </c>
      <c r="AC538" s="103">
        <v>3.5999999999999996</v>
      </c>
      <c r="AD538" s="103">
        <v>6</v>
      </c>
      <c r="AE538" s="103">
        <v>9</v>
      </c>
      <c r="AF538" s="103">
        <v>12</v>
      </c>
      <c r="AG538" s="103">
        <v>92.894674644817883</v>
      </c>
      <c r="AH538" s="103">
        <v>95.825371847114951</v>
      </c>
      <c r="AI538" s="103">
        <v>96.49457533743761</v>
      </c>
      <c r="AJ538" s="103">
        <v>96.690700406340042</v>
      </c>
      <c r="AK538" s="103">
        <v>96.627312947730815</v>
      </c>
      <c r="AL538" s="103">
        <v>96.507013910909436</v>
      </c>
      <c r="AM538" s="103">
        <v>96.429278261815185</v>
      </c>
      <c r="AN538" s="103">
        <v>94.885736215076193</v>
      </c>
      <c r="AO538" s="103">
        <v>96.883040483522223</v>
      </c>
      <c r="AP538" s="103">
        <v>97.494372087983805</v>
      </c>
      <c r="AQ538" s="103">
        <v>97.777000604401067</v>
      </c>
      <c r="AR538" s="103">
        <v>97.832115333209018</v>
      </c>
      <c r="AS538" s="103">
        <v>97.811357024005105</v>
      </c>
      <c r="AT538" s="103">
        <v>97.613665228062487</v>
      </c>
      <c r="AU538" s="103">
        <v>94.154840052277819</v>
      </c>
      <c r="AV538" s="103">
        <v>97.204030409030267</v>
      </c>
      <c r="AW538" s="103">
        <v>97.700750214004856</v>
      </c>
      <c r="AX538" s="103">
        <v>98.014008962786292</v>
      </c>
      <c r="AY538" s="103">
        <v>98.183788377033963</v>
      </c>
      <c r="AZ538" s="103">
        <v>98.189784411397596</v>
      </c>
      <c r="BA538" s="103">
        <v>97.880324090806212</v>
      </c>
      <c r="BB538" s="40">
        <v>42979</v>
      </c>
      <c r="BC538" s="40">
        <v>43388</v>
      </c>
    </row>
    <row r="539" spans="1:55" s="120" customFormat="1" ht="71.25" customHeight="1">
      <c r="A539" s="55" t="s">
        <v>8</v>
      </c>
      <c r="B539" s="75" t="s">
        <v>1213</v>
      </c>
      <c r="C539" s="57" t="s">
        <v>10</v>
      </c>
      <c r="D539" s="57" t="s">
        <v>10</v>
      </c>
      <c r="E539" s="43" t="s">
        <v>10</v>
      </c>
      <c r="F539" s="63" t="s">
        <v>11</v>
      </c>
      <c r="G539" s="36" t="s">
        <v>219</v>
      </c>
      <c r="H539" s="54">
        <v>15</v>
      </c>
      <c r="I539" s="35">
        <v>480</v>
      </c>
      <c r="J539" s="54">
        <v>97.5</v>
      </c>
      <c r="K539" s="39" t="s">
        <v>1327</v>
      </c>
      <c r="L539" s="128" t="s">
        <v>522</v>
      </c>
      <c r="M539" s="39" t="s">
        <v>523</v>
      </c>
      <c r="N539" s="40">
        <v>43388</v>
      </c>
      <c r="O539" s="128" t="s">
        <v>522</v>
      </c>
      <c r="P539" s="63" t="s">
        <v>17</v>
      </c>
      <c r="Q539" s="63" t="s">
        <v>17</v>
      </c>
      <c r="R539" s="65" t="s">
        <v>223</v>
      </c>
      <c r="S539" s="33" t="s">
        <v>10</v>
      </c>
      <c r="T539" s="34" t="s">
        <v>11</v>
      </c>
      <c r="U539" s="35">
        <v>1.79</v>
      </c>
      <c r="V539" s="35"/>
      <c r="W539" s="35"/>
      <c r="X539" s="35">
        <v>300</v>
      </c>
      <c r="Y539" s="35">
        <v>675</v>
      </c>
      <c r="Z539" s="35">
        <v>800</v>
      </c>
      <c r="AA539" s="103">
        <v>1.5</v>
      </c>
      <c r="AB539" s="103">
        <v>3</v>
      </c>
      <c r="AC539" s="103">
        <v>4.5</v>
      </c>
      <c r="AD539" s="103">
        <v>7.5</v>
      </c>
      <c r="AE539" s="103">
        <v>11.25</v>
      </c>
      <c r="AF539" s="103">
        <v>15</v>
      </c>
      <c r="AG539" s="103">
        <v>93.855655768325036</v>
      </c>
      <c r="AH539" s="103">
        <v>96.220132968022185</v>
      </c>
      <c r="AI539" s="103">
        <v>96.731415475995405</v>
      </c>
      <c r="AJ539" s="103">
        <v>96.662686184447367</v>
      </c>
      <c r="AK539" s="103">
        <v>96.525350018358225</v>
      </c>
      <c r="AL539" s="103">
        <v>96.347074199043405</v>
      </c>
      <c r="AM539" s="103">
        <v>96.447956054669547</v>
      </c>
      <c r="AN539" s="103">
        <v>95.495928692020158</v>
      </c>
      <c r="AO539" s="103">
        <v>97.192892755040859</v>
      </c>
      <c r="AP539" s="103">
        <v>97.796289926240703</v>
      </c>
      <c r="AQ539" s="103">
        <v>97.802899005800356</v>
      </c>
      <c r="AR539" s="103">
        <v>97.832975895750408</v>
      </c>
      <c r="AS539" s="103">
        <v>97.777428409336565</v>
      </c>
      <c r="AT539" s="103">
        <v>97.693994013014347</v>
      </c>
      <c r="AU539" s="103">
        <v>95.552946082935037</v>
      </c>
      <c r="AV539" s="103">
        <v>97.515080368134008</v>
      </c>
      <c r="AW539" s="103">
        <v>97.923591757588014</v>
      </c>
      <c r="AX539" s="103">
        <v>98.172996722782088</v>
      </c>
      <c r="AY539" s="103">
        <v>98.214818639191321</v>
      </c>
      <c r="AZ539" s="103">
        <v>98.157219501191648</v>
      </c>
      <c r="BA539" s="103">
        <v>98.02674703824988</v>
      </c>
      <c r="BB539" s="40">
        <v>42979</v>
      </c>
      <c r="BC539" s="40">
        <v>43388</v>
      </c>
    </row>
    <row r="540" spans="1:55" s="120" customFormat="1" ht="71.25" customHeight="1">
      <c r="A540" s="55" t="s">
        <v>8</v>
      </c>
      <c r="B540" s="75" t="s">
        <v>1214</v>
      </c>
      <c r="C540" s="57" t="s">
        <v>10</v>
      </c>
      <c r="D540" s="57" t="s">
        <v>10</v>
      </c>
      <c r="E540" s="43" t="s">
        <v>10</v>
      </c>
      <c r="F540" s="63" t="s">
        <v>11</v>
      </c>
      <c r="G540" s="36" t="s">
        <v>219</v>
      </c>
      <c r="H540" s="54">
        <v>15</v>
      </c>
      <c r="I540" s="35">
        <v>480</v>
      </c>
      <c r="J540" s="54">
        <v>97.5</v>
      </c>
      <c r="K540" s="39" t="s">
        <v>1327</v>
      </c>
      <c r="L540" s="128" t="s">
        <v>522</v>
      </c>
      <c r="M540" s="39" t="s">
        <v>523</v>
      </c>
      <c r="N540" s="40">
        <v>43388</v>
      </c>
      <c r="O540" s="128" t="s">
        <v>522</v>
      </c>
      <c r="P540" s="63" t="s">
        <v>17</v>
      </c>
      <c r="Q540" s="63" t="s">
        <v>17</v>
      </c>
      <c r="R540" s="65" t="s">
        <v>223</v>
      </c>
      <c r="S540" s="33" t="s">
        <v>10</v>
      </c>
      <c r="T540" s="34" t="s">
        <v>11</v>
      </c>
      <c r="U540" s="35">
        <v>1.79</v>
      </c>
      <c r="V540" s="35"/>
      <c r="W540" s="35"/>
      <c r="X540" s="35">
        <v>300</v>
      </c>
      <c r="Y540" s="35">
        <v>675</v>
      </c>
      <c r="Z540" s="35">
        <v>800</v>
      </c>
      <c r="AA540" s="103">
        <v>1.5</v>
      </c>
      <c r="AB540" s="103">
        <v>3</v>
      </c>
      <c r="AC540" s="103">
        <v>4.5</v>
      </c>
      <c r="AD540" s="103">
        <v>7.5</v>
      </c>
      <c r="AE540" s="103">
        <v>11.25</v>
      </c>
      <c r="AF540" s="103">
        <v>15</v>
      </c>
      <c r="AG540" s="103">
        <v>93.855655768325036</v>
      </c>
      <c r="AH540" s="103">
        <v>96.220132968022185</v>
      </c>
      <c r="AI540" s="103">
        <v>96.731415475995405</v>
      </c>
      <c r="AJ540" s="103">
        <v>96.662686184447367</v>
      </c>
      <c r="AK540" s="103">
        <v>96.525350018358225</v>
      </c>
      <c r="AL540" s="103">
        <v>96.347074199043405</v>
      </c>
      <c r="AM540" s="103">
        <v>96.447956054669547</v>
      </c>
      <c r="AN540" s="103">
        <v>95.495928692020158</v>
      </c>
      <c r="AO540" s="103">
        <v>97.192892755040859</v>
      </c>
      <c r="AP540" s="103">
        <v>97.796289926240703</v>
      </c>
      <c r="AQ540" s="103">
        <v>97.802899005800356</v>
      </c>
      <c r="AR540" s="103">
        <v>97.832975895750408</v>
      </c>
      <c r="AS540" s="103">
        <v>97.777428409336565</v>
      </c>
      <c r="AT540" s="103">
        <v>97.693994013014347</v>
      </c>
      <c r="AU540" s="103">
        <v>95.552946082935037</v>
      </c>
      <c r="AV540" s="103">
        <v>97.515080368134008</v>
      </c>
      <c r="AW540" s="103">
        <v>97.923591757588014</v>
      </c>
      <c r="AX540" s="103">
        <v>98.172996722782088</v>
      </c>
      <c r="AY540" s="103">
        <v>98.214818639191321</v>
      </c>
      <c r="AZ540" s="103">
        <v>98.157219501191648</v>
      </c>
      <c r="BA540" s="103">
        <v>98.02674703824988</v>
      </c>
      <c r="BB540" s="40">
        <v>42979</v>
      </c>
      <c r="BC540" s="40">
        <v>43388</v>
      </c>
    </row>
    <row r="541" spans="1:55" s="120" customFormat="1" ht="71.25" customHeight="1">
      <c r="A541" s="55" t="s">
        <v>8</v>
      </c>
      <c r="B541" s="75" t="s">
        <v>1215</v>
      </c>
      <c r="C541" s="57" t="s">
        <v>10</v>
      </c>
      <c r="D541" s="57" t="s">
        <v>10</v>
      </c>
      <c r="E541" s="43" t="s">
        <v>10</v>
      </c>
      <c r="F541" s="63" t="s">
        <v>11</v>
      </c>
      <c r="G541" s="36" t="s">
        <v>220</v>
      </c>
      <c r="H541" s="54">
        <v>20</v>
      </c>
      <c r="I541" s="35">
        <v>480</v>
      </c>
      <c r="J541" s="54">
        <v>97.5</v>
      </c>
      <c r="K541" s="39" t="s">
        <v>1327</v>
      </c>
      <c r="L541" s="128" t="s">
        <v>522</v>
      </c>
      <c r="M541" s="39" t="s">
        <v>523</v>
      </c>
      <c r="N541" s="40">
        <v>43388</v>
      </c>
      <c r="O541" s="128" t="s">
        <v>522</v>
      </c>
      <c r="P541" s="63" t="s">
        <v>17</v>
      </c>
      <c r="Q541" s="63" t="s">
        <v>17</v>
      </c>
      <c r="R541" s="65" t="s">
        <v>223</v>
      </c>
      <c r="S541" s="33" t="s">
        <v>10</v>
      </c>
      <c r="T541" s="34" t="s">
        <v>11</v>
      </c>
      <c r="U541" s="35">
        <v>1.79</v>
      </c>
      <c r="V541" s="35"/>
      <c r="W541" s="35"/>
      <c r="X541" s="35">
        <v>380</v>
      </c>
      <c r="Y541" s="35">
        <v>695</v>
      </c>
      <c r="Z541" s="35">
        <v>800</v>
      </c>
      <c r="AA541" s="103">
        <v>2</v>
      </c>
      <c r="AB541" s="103">
        <v>4</v>
      </c>
      <c r="AC541" s="103">
        <v>6</v>
      </c>
      <c r="AD541" s="103">
        <v>10</v>
      </c>
      <c r="AE541" s="103">
        <v>15</v>
      </c>
      <c r="AF541" s="103">
        <v>20</v>
      </c>
      <c r="AG541" s="103">
        <v>95.166002573680657</v>
      </c>
      <c r="AH541" s="103">
        <v>96.960461207919593</v>
      </c>
      <c r="AI541" s="103">
        <v>97.206210307973649</v>
      </c>
      <c r="AJ541" s="103">
        <v>97.083526385263212</v>
      </c>
      <c r="AK541" s="103">
        <v>96.934118174722499</v>
      </c>
      <c r="AL541" s="103">
        <v>96.705141513761617</v>
      </c>
      <c r="AM541" s="103">
        <v>96.917288649496328</v>
      </c>
      <c r="AN541" s="103">
        <v>97.228849010193727</v>
      </c>
      <c r="AO541" s="103">
        <v>98.289481853362432</v>
      </c>
      <c r="AP541" s="103">
        <v>98.509907734190421</v>
      </c>
      <c r="AQ541" s="103">
        <v>98.548489172388329</v>
      </c>
      <c r="AR541" s="103">
        <v>97.836810327646688</v>
      </c>
      <c r="AS541" s="103">
        <v>97.705085096687185</v>
      </c>
      <c r="AT541" s="103">
        <v>98.058763435867391</v>
      </c>
      <c r="AU541" s="103">
        <v>96.492868266958425</v>
      </c>
      <c r="AV541" s="103">
        <v>97.86877684687623</v>
      </c>
      <c r="AW541" s="103">
        <v>98.130627177880115</v>
      </c>
      <c r="AX541" s="103">
        <v>98.219804322689427</v>
      </c>
      <c r="AY541" s="103">
        <v>98.174642673551418</v>
      </c>
      <c r="AZ541" s="103">
        <v>98.04215458277919</v>
      </c>
      <c r="BA541" s="103">
        <v>98.089656088253761</v>
      </c>
      <c r="BB541" s="40">
        <v>42979</v>
      </c>
      <c r="BC541" s="40">
        <v>43388</v>
      </c>
    </row>
    <row r="542" spans="1:55" s="120" customFormat="1" ht="71.25" customHeight="1">
      <c r="A542" s="55" t="s">
        <v>8</v>
      </c>
      <c r="B542" s="75" t="s">
        <v>1216</v>
      </c>
      <c r="C542" s="57" t="s">
        <v>10</v>
      </c>
      <c r="D542" s="57" t="s">
        <v>10</v>
      </c>
      <c r="E542" s="43" t="s">
        <v>10</v>
      </c>
      <c r="F542" s="63" t="s">
        <v>11</v>
      </c>
      <c r="G542" s="36" t="s">
        <v>220</v>
      </c>
      <c r="H542" s="54">
        <v>20</v>
      </c>
      <c r="I542" s="35">
        <v>480</v>
      </c>
      <c r="J542" s="54">
        <v>97.5</v>
      </c>
      <c r="K542" s="39" t="s">
        <v>1327</v>
      </c>
      <c r="L542" s="128" t="s">
        <v>522</v>
      </c>
      <c r="M542" s="39" t="s">
        <v>523</v>
      </c>
      <c r="N542" s="40">
        <v>43388</v>
      </c>
      <c r="O542" s="128" t="s">
        <v>522</v>
      </c>
      <c r="P542" s="63" t="s">
        <v>17</v>
      </c>
      <c r="Q542" s="63" t="s">
        <v>17</v>
      </c>
      <c r="R542" s="65" t="s">
        <v>223</v>
      </c>
      <c r="S542" s="33" t="s">
        <v>10</v>
      </c>
      <c r="T542" s="34" t="s">
        <v>11</v>
      </c>
      <c r="U542" s="35">
        <v>1.79</v>
      </c>
      <c r="V542" s="35"/>
      <c r="W542" s="35"/>
      <c r="X542" s="35">
        <v>380</v>
      </c>
      <c r="Y542" s="35">
        <v>695</v>
      </c>
      <c r="Z542" s="35">
        <v>800</v>
      </c>
      <c r="AA542" s="103">
        <v>2</v>
      </c>
      <c r="AB542" s="103">
        <v>4</v>
      </c>
      <c r="AC542" s="103">
        <v>6</v>
      </c>
      <c r="AD542" s="103">
        <v>10</v>
      </c>
      <c r="AE542" s="103">
        <v>15</v>
      </c>
      <c r="AF542" s="103">
        <v>20</v>
      </c>
      <c r="AG542" s="103">
        <v>95.166002573680657</v>
      </c>
      <c r="AH542" s="103">
        <v>96.960461207919593</v>
      </c>
      <c r="AI542" s="103">
        <v>97.206210307973649</v>
      </c>
      <c r="AJ542" s="103">
        <v>97.083526385263212</v>
      </c>
      <c r="AK542" s="103">
        <v>96.934118174722499</v>
      </c>
      <c r="AL542" s="103">
        <v>96.705141513761617</v>
      </c>
      <c r="AM542" s="103">
        <v>96.917288649496328</v>
      </c>
      <c r="AN542" s="103">
        <v>97.228849010193727</v>
      </c>
      <c r="AO542" s="103">
        <v>98.289481853362432</v>
      </c>
      <c r="AP542" s="103">
        <v>98.509907734190421</v>
      </c>
      <c r="AQ542" s="103">
        <v>98.548489172388329</v>
      </c>
      <c r="AR542" s="103">
        <v>97.836810327646688</v>
      </c>
      <c r="AS542" s="103">
        <v>97.705085096687185</v>
      </c>
      <c r="AT542" s="103">
        <v>98.058763435867391</v>
      </c>
      <c r="AU542" s="103">
        <v>96.492868266958425</v>
      </c>
      <c r="AV542" s="103">
        <v>97.86877684687623</v>
      </c>
      <c r="AW542" s="103">
        <v>98.130627177880115</v>
      </c>
      <c r="AX542" s="103">
        <v>98.219804322689427</v>
      </c>
      <c r="AY542" s="103">
        <v>98.174642673551418</v>
      </c>
      <c r="AZ542" s="103">
        <v>98.04215458277919</v>
      </c>
      <c r="BA542" s="103">
        <v>98.089656088253761</v>
      </c>
      <c r="BB542" s="40">
        <v>42979</v>
      </c>
      <c r="BC542" s="40">
        <v>43388</v>
      </c>
    </row>
    <row r="543" spans="1:55" s="120" customFormat="1" ht="71.25" customHeight="1">
      <c r="A543" s="55" t="s">
        <v>8</v>
      </c>
      <c r="B543" s="75" t="s">
        <v>462</v>
      </c>
      <c r="C543" s="57" t="s">
        <v>10</v>
      </c>
      <c r="D543" s="57" t="s">
        <v>10</v>
      </c>
      <c r="E543" s="43" t="s">
        <v>10</v>
      </c>
      <c r="F543" s="63" t="s">
        <v>11</v>
      </c>
      <c r="G543" s="36" t="s">
        <v>221</v>
      </c>
      <c r="H543" s="54">
        <v>24.06</v>
      </c>
      <c r="I543" s="35">
        <v>480</v>
      </c>
      <c r="J543" s="54">
        <v>98</v>
      </c>
      <c r="K543" s="39" t="s">
        <v>1327</v>
      </c>
      <c r="L543" s="128" t="s">
        <v>522</v>
      </c>
      <c r="M543" s="39" t="s">
        <v>523</v>
      </c>
      <c r="N543" s="40">
        <v>43388</v>
      </c>
      <c r="O543" s="128" t="s">
        <v>522</v>
      </c>
      <c r="P543" s="63" t="s">
        <v>17</v>
      </c>
      <c r="Q543" s="63" t="s">
        <v>17</v>
      </c>
      <c r="R543" s="65" t="s">
        <v>223</v>
      </c>
      <c r="S543" s="33" t="s">
        <v>10</v>
      </c>
      <c r="T543" s="34" t="s">
        <v>11</v>
      </c>
      <c r="U543" s="35">
        <v>1.79</v>
      </c>
      <c r="V543" s="35"/>
      <c r="W543" s="35"/>
      <c r="X543" s="35">
        <v>450</v>
      </c>
      <c r="Y543" s="35">
        <v>712</v>
      </c>
      <c r="Z543" s="35">
        <v>800</v>
      </c>
      <c r="AA543" s="103">
        <v>2.4060000000000001</v>
      </c>
      <c r="AB543" s="103">
        <v>4.8120000000000003</v>
      </c>
      <c r="AC543" s="103">
        <v>7.2179999999999991</v>
      </c>
      <c r="AD543" s="103">
        <v>12.03</v>
      </c>
      <c r="AE543" s="103">
        <v>18.044999999999998</v>
      </c>
      <c r="AF543" s="103">
        <v>24.06</v>
      </c>
      <c r="AG543" s="103">
        <v>96.082505616067209</v>
      </c>
      <c r="AH543" s="103">
        <v>97.424181190564596</v>
      </c>
      <c r="AI543" s="103">
        <v>97.444656931781154</v>
      </c>
      <c r="AJ543" s="103">
        <v>97.315063669223932</v>
      </c>
      <c r="AK543" s="103">
        <v>97.122156907959265</v>
      </c>
      <c r="AL543" s="103">
        <v>96.865885453167053</v>
      </c>
      <c r="AM543" s="103">
        <v>97.162068920398454</v>
      </c>
      <c r="AN543" s="103">
        <v>97.45990452259629</v>
      </c>
      <c r="AO543" s="103">
        <v>98.348028973855392</v>
      </c>
      <c r="AP543" s="103">
        <v>98.503124414275888</v>
      </c>
      <c r="AQ543" s="103">
        <v>98.531362070230031</v>
      </c>
      <c r="AR543" s="103">
        <v>98.435119435359169</v>
      </c>
      <c r="AS543" s="103">
        <v>98.266514886637623</v>
      </c>
      <c r="AT543" s="103">
        <v>98.411697639130281</v>
      </c>
      <c r="AU543" s="103">
        <v>96.909942056488973</v>
      </c>
      <c r="AV543" s="103">
        <v>98.004925627161398</v>
      </c>
      <c r="AW543" s="103">
        <v>98.188558637442924</v>
      </c>
      <c r="AX543" s="103">
        <v>98.204070345596193</v>
      </c>
      <c r="AY543" s="103">
        <v>98.076628570877034</v>
      </c>
      <c r="AZ543" s="103">
        <v>97.882251177120239</v>
      </c>
      <c r="BA543" s="103">
        <v>98.056851474106807</v>
      </c>
      <c r="BB543" s="40">
        <v>42979</v>
      </c>
      <c r="BC543" s="40">
        <v>43388</v>
      </c>
    </row>
    <row r="544" spans="1:55" s="120" customFormat="1" ht="71.25" customHeight="1">
      <c r="A544" s="55" t="s">
        <v>8</v>
      </c>
      <c r="B544" s="75" t="s">
        <v>463</v>
      </c>
      <c r="C544" s="57" t="s">
        <v>10</v>
      </c>
      <c r="D544" s="57" t="s">
        <v>10</v>
      </c>
      <c r="E544" s="43" t="s">
        <v>10</v>
      </c>
      <c r="F544" s="63" t="s">
        <v>11</v>
      </c>
      <c r="G544" s="36" t="s">
        <v>221</v>
      </c>
      <c r="H544" s="54">
        <v>24.06</v>
      </c>
      <c r="I544" s="35">
        <v>480</v>
      </c>
      <c r="J544" s="54">
        <v>98</v>
      </c>
      <c r="K544" s="39" t="s">
        <v>1327</v>
      </c>
      <c r="L544" s="128" t="s">
        <v>522</v>
      </c>
      <c r="M544" s="39" t="s">
        <v>523</v>
      </c>
      <c r="N544" s="40">
        <v>43388</v>
      </c>
      <c r="O544" s="128" t="s">
        <v>522</v>
      </c>
      <c r="P544" s="63" t="s">
        <v>17</v>
      </c>
      <c r="Q544" s="63" t="s">
        <v>17</v>
      </c>
      <c r="R544" s="65" t="s">
        <v>223</v>
      </c>
      <c r="S544" s="33" t="s">
        <v>10</v>
      </c>
      <c r="T544" s="34" t="s">
        <v>11</v>
      </c>
      <c r="U544" s="35">
        <v>1.79</v>
      </c>
      <c r="V544" s="35"/>
      <c r="W544" s="35"/>
      <c r="X544" s="35">
        <v>450</v>
      </c>
      <c r="Y544" s="35">
        <v>712</v>
      </c>
      <c r="Z544" s="35">
        <v>800</v>
      </c>
      <c r="AA544" s="103">
        <v>2.4060000000000001</v>
      </c>
      <c r="AB544" s="103">
        <v>4.8120000000000003</v>
      </c>
      <c r="AC544" s="103">
        <v>7.2179999999999991</v>
      </c>
      <c r="AD544" s="103">
        <v>12.03</v>
      </c>
      <c r="AE544" s="103">
        <v>18.044999999999998</v>
      </c>
      <c r="AF544" s="103">
        <v>24.06</v>
      </c>
      <c r="AG544" s="103">
        <v>96.082505616067209</v>
      </c>
      <c r="AH544" s="103">
        <v>97.424181190564596</v>
      </c>
      <c r="AI544" s="103">
        <v>97.444656931781154</v>
      </c>
      <c r="AJ544" s="103">
        <v>97.315063669223932</v>
      </c>
      <c r="AK544" s="103">
        <v>97.122156907959265</v>
      </c>
      <c r="AL544" s="103">
        <v>96.865885453167053</v>
      </c>
      <c r="AM544" s="103">
        <v>97.162068920398454</v>
      </c>
      <c r="AN544" s="103">
        <v>97.45990452259629</v>
      </c>
      <c r="AO544" s="103">
        <v>98.348028973855392</v>
      </c>
      <c r="AP544" s="103">
        <v>98.503124414275888</v>
      </c>
      <c r="AQ544" s="103">
        <v>98.531362070230031</v>
      </c>
      <c r="AR544" s="103">
        <v>98.435119435359169</v>
      </c>
      <c r="AS544" s="103">
        <v>98.266514886637623</v>
      </c>
      <c r="AT544" s="103">
        <v>98.411697639130281</v>
      </c>
      <c r="AU544" s="103">
        <v>96.909942056488973</v>
      </c>
      <c r="AV544" s="103">
        <v>98.004925627161398</v>
      </c>
      <c r="AW544" s="103">
        <v>98.188558637442924</v>
      </c>
      <c r="AX544" s="103">
        <v>98.204070345596193</v>
      </c>
      <c r="AY544" s="103">
        <v>98.076628570877034</v>
      </c>
      <c r="AZ544" s="103">
        <v>97.882251177120239</v>
      </c>
      <c r="BA544" s="103">
        <v>98.056851474106807</v>
      </c>
      <c r="BB544" s="40">
        <v>42979</v>
      </c>
      <c r="BC544" s="40">
        <v>43388</v>
      </c>
    </row>
    <row r="545" spans="1:55" s="120" customFormat="1" ht="71.25" customHeight="1">
      <c r="A545" s="55" t="s">
        <v>8</v>
      </c>
      <c r="B545" s="75" t="s">
        <v>1217</v>
      </c>
      <c r="C545" s="57" t="s">
        <v>10</v>
      </c>
      <c r="D545" s="57" t="s">
        <v>10</v>
      </c>
      <c r="E545" s="43" t="s">
        <v>10</v>
      </c>
      <c r="F545" s="63" t="s">
        <v>11</v>
      </c>
      <c r="G545" s="36" t="s">
        <v>217</v>
      </c>
      <c r="H545" s="54">
        <v>30.01</v>
      </c>
      <c r="I545" s="35">
        <v>480</v>
      </c>
      <c r="J545" s="54">
        <v>98</v>
      </c>
      <c r="K545" s="39" t="s">
        <v>1327</v>
      </c>
      <c r="L545" s="128" t="s">
        <v>476</v>
      </c>
      <c r="M545" s="39" t="s">
        <v>523</v>
      </c>
      <c r="N545" s="40">
        <v>43388</v>
      </c>
      <c r="O545" s="128" t="s">
        <v>476</v>
      </c>
      <c r="P545" s="63" t="s">
        <v>17</v>
      </c>
      <c r="Q545" s="63" t="s">
        <v>17</v>
      </c>
      <c r="R545" s="65" t="s">
        <v>223</v>
      </c>
      <c r="S545" s="33" t="s">
        <v>10</v>
      </c>
      <c r="T545" s="34" t="s">
        <v>11</v>
      </c>
      <c r="U545" s="35">
        <v>1.22</v>
      </c>
      <c r="V545" s="35"/>
      <c r="W545" s="35"/>
      <c r="X545" s="35">
        <v>500</v>
      </c>
      <c r="Y545" s="35">
        <v>720</v>
      </c>
      <c r="Z545" s="35">
        <v>800</v>
      </c>
      <c r="AA545" s="103">
        <v>3.0010000000000003</v>
      </c>
      <c r="AB545" s="103">
        <v>6.0020000000000007</v>
      </c>
      <c r="AC545" s="103">
        <v>9.0030000000000001</v>
      </c>
      <c r="AD545" s="103">
        <v>15.005000000000001</v>
      </c>
      <c r="AE545" s="103">
        <v>22.5075</v>
      </c>
      <c r="AF545" s="103">
        <v>30.01</v>
      </c>
      <c r="AG545" s="103">
        <v>96.587999999999994</v>
      </c>
      <c r="AH545" s="103">
        <v>97.715999999999994</v>
      </c>
      <c r="AI545" s="103">
        <v>97.926000000000016</v>
      </c>
      <c r="AJ545" s="103">
        <v>97.97999999999999</v>
      </c>
      <c r="AK545" s="103">
        <v>97.838000000000008</v>
      </c>
      <c r="AL545" s="103">
        <v>97.622</v>
      </c>
      <c r="AM545" s="103">
        <v>97.811480000000017</v>
      </c>
      <c r="AN545" s="103">
        <v>97.588000000000008</v>
      </c>
      <c r="AO545" s="103">
        <v>98.448000000000008</v>
      </c>
      <c r="AP545" s="103">
        <v>98.690000000000012</v>
      </c>
      <c r="AQ545" s="103">
        <v>98.602000000000004</v>
      </c>
      <c r="AR545" s="103">
        <v>98.537999999999982</v>
      </c>
      <c r="AS545" s="103">
        <v>98.328000000000003</v>
      </c>
      <c r="AT545" s="103">
        <v>98.516679999999994</v>
      </c>
      <c r="AU545" s="103">
        <v>97.025999999999996</v>
      </c>
      <c r="AV545" s="103">
        <v>98.059999999999988</v>
      </c>
      <c r="AW545" s="103">
        <v>98.451999999999998</v>
      </c>
      <c r="AX545" s="103">
        <v>98.385999999999996</v>
      </c>
      <c r="AY545" s="103">
        <v>98.281999999999996</v>
      </c>
      <c r="AZ545" s="103">
        <v>98.08</v>
      </c>
      <c r="BA545" s="103">
        <v>98.252799999999993</v>
      </c>
      <c r="BB545" s="40">
        <v>42979</v>
      </c>
      <c r="BC545" s="40">
        <v>43388</v>
      </c>
    </row>
    <row r="546" spans="1:55" s="120" customFormat="1" ht="71.25" customHeight="1">
      <c r="A546" s="74" t="s">
        <v>334</v>
      </c>
      <c r="B546" s="74" t="s">
        <v>1218</v>
      </c>
      <c r="C546" s="63" t="s">
        <v>10</v>
      </c>
      <c r="D546" s="63" t="s">
        <v>10</v>
      </c>
      <c r="E546" s="43" t="s">
        <v>10</v>
      </c>
      <c r="F546" s="63" t="s">
        <v>11</v>
      </c>
      <c r="G546" s="74" t="s">
        <v>336</v>
      </c>
      <c r="H546" s="61">
        <v>5.5189199999999996</v>
      </c>
      <c r="I546" s="62">
        <v>240</v>
      </c>
      <c r="J546" s="61">
        <v>94.5</v>
      </c>
      <c r="K546" s="39" t="s">
        <v>1325</v>
      </c>
      <c r="L546" s="129" t="s">
        <v>531</v>
      </c>
      <c r="M546" s="56" t="s">
        <v>538</v>
      </c>
      <c r="N546" s="40">
        <v>43388</v>
      </c>
      <c r="O546" s="129" t="s">
        <v>531</v>
      </c>
      <c r="P546" s="63" t="s">
        <v>17</v>
      </c>
      <c r="Q546" s="63" t="s">
        <v>17</v>
      </c>
      <c r="R546" s="71"/>
      <c r="S546" s="57" t="s">
        <v>11</v>
      </c>
      <c r="T546" s="57" t="s">
        <v>11</v>
      </c>
      <c r="U546" s="61">
        <v>10.1</v>
      </c>
      <c r="V546" s="59"/>
      <c r="W546" s="59"/>
      <c r="X546" s="59">
        <v>240</v>
      </c>
      <c r="Y546" s="59">
        <v>380</v>
      </c>
      <c r="Z546" s="59">
        <v>520</v>
      </c>
      <c r="AA546" s="99">
        <v>0.55188999999999999</v>
      </c>
      <c r="AB546" s="99">
        <v>1.10378</v>
      </c>
      <c r="AC546" s="99">
        <v>1.65568</v>
      </c>
      <c r="AD546" s="99">
        <v>2.7594599999999998</v>
      </c>
      <c r="AE546" s="99">
        <v>4.1391900000000001</v>
      </c>
      <c r="AF546" s="99">
        <v>5.5189199999999996</v>
      </c>
      <c r="AG546" s="99">
        <v>89.3</v>
      </c>
      <c r="AH546" s="99">
        <v>93.3</v>
      </c>
      <c r="AI546" s="99">
        <v>94.3</v>
      </c>
      <c r="AJ546" s="99">
        <v>94.7</v>
      </c>
      <c r="AK546" s="99">
        <v>94.1</v>
      </c>
      <c r="AL546" s="99">
        <v>94.2</v>
      </c>
      <c r="AM546" s="99">
        <v>94</v>
      </c>
      <c r="AN546" s="99">
        <v>89.7</v>
      </c>
      <c r="AO546" s="99">
        <v>93.7</v>
      </c>
      <c r="AP546" s="99">
        <v>94.7</v>
      </c>
      <c r="AQ546" s="99">
        <v>95.4</v>
      </c>
      <c r="AR546" s="99">
        <v>95.5</v>
      </c>
      <c r="AS546" s="99">
        <v>95.4</v>
      </c>
      <c r="AT546" s="99">
        <v>95.1</v>
      </c>
      <c r="AU546" s="99">
        <v>88.8</v>
      </c>
      <c r="AV546" s="99">
        <v>93.1</v>
      </c>
      <c r="AW546" s="99">
        <v>94.3</v>
      </c>
      <c r="AX546" s="99">
        <v>95.1</v>
      </c>
      <c r="AY546" s="99">
        <v>95.2</v>
      </c>
      <c r="AZ546" s="99">
        <v>94.9</v>
      </c>
      <c r="BA546" s="99">
        <v>94.7</v>
      </c>
      <c r="BB546" s="40">
        <v>43084</v>
      </c>
      <c r="BC546" s="40">
        <v>43388</v>
      </c>
    </row>
    <row r="547" spans="1:55" s="120" customFormat="1" ht="71.25" customHeight="1">
      <c r="A547" s="74" t="s">
        <v>334</v>
      </c>
      <c r="B547" s="74" t="s">
        <v>1219</v>
      </c>
      <c r="C547" s="63" t="s">
        <v>10</v>
      </c>
      <c r="D547" s="63" t="s">
        <v>10</v>
      </c>
      <c r="E547" s="43" t="s">
        <v>10</v>
      </c>
      <c r="F547" s="63" t="s">
        <v>11</v>
      </c>
      <c r="G547" s="74" t="s">
        <v>335</v>
      </c>
      <c r="H547" s="61">
        <v>5.5189199999999996</v>
      </c>
      <c r="I547" s="62">
        <v>240</v>
      </c>
      <c r="J547" s="61">
        <v>94.5</v>
      </c>
      <c r="K547" s="39" t="s">
        <v>1325</v>
      </c>
      <c r="L547" s="129" t="s">
        <v>531</v>
      </c>
      <c r="M547" s="56" t="s">
        <v>538</v>
      </c>
      <c r="N547" s="40">
        <v>43388</v>
      </c>
      <c r="O547" s="129" t="s">
        <v>531</v>
      </c>
      <c r="P547" s="63" t="s">
        <v>17</v>
      </c>
      <c r="Q547" s="63" t="s">
        <v>17</v>
      </c>
      <c r="R547" s="71"/>
      <c r="S547" s="57" t="s">
        <v>11</v>
      </c>
      <c r="T547" s="57" t="s">
        <v>11</v>
      </c>
      <c r="U547" s="61">
        <v>10.1</v>
      </c>
      <c r="V547" s="59"/>
      <c r="W547" s="59"/>
      <c r="X547" s="59">
        <v>240</v>
      </c>
      <c r="Y547" s="59">
        <v>380</v>
      </c>
      <c r="Z547" s="59">
        <v>520</v>
      </c>
      <c r="AA547" s="99">
        <v>0.55188999999999999</v>
      </c>
      <c r="AB547" s="99">
        <v>1.10378</v>
      </c>
      <c r="AC547" s="99">
        <v>1.65568</v>
      </c>
      <c r="AD547" s="99">
        <v>2.7594599999999998</v>
      </c>
      <c r="AE547" s="99">
        <v>4.1391900000000001</v>
      </c>
      <c r="AF547" s="99">
        <v>5.5189199999999996</v>
      </c>
      <c r="AG547" s="99">
        <v>89.3</v>
      </c>
      <c r="AH547" s="99">
        <v>93.3</v>
      </c>
      <c r="AI547" s="99">
        <v>94.3</v>
      </c>
      <c r="AJ547" s="99">
        <v>94.7</v>
      </c>
      <c r="AK547" s="99">
        <v>94.1</v>
      </c>
      <c r="AL547" s="99">
        <v>94.2</v>
      </c>
      <c r="AM547" s="99">
        <v>94</v>
      </c>
      <c r="AN547" s="99">
        <v>89.7</v>
      </c>
      <c r="AO547" s="99">
        <v>93.7</v>
      </c>
      <c r="AP547" s="99">
        <v>94.7</v>
      </c>
      <c r="AQ547" s="99">
        <v>95.4</v>
      </c>
      <c r="AR547" s="99">
        <v>95.5</v>
      </c>
      <c r="AS547" s="99">
        <v>95.4</v>
      </c>
      <c r="AT547" s="99">
        <v>95.1</v>
      </c>
      <c r="AU547" s="99">
        <v>88.8</v>
      </c>
      <c r="AV547" s="99">
        <v>93.1</v>
      </c>
      <c r="AW547" s="99">
        <v>94.3</v>
      </c>
      <c r="AX547" s="99">
        <v>95.1</v>
      </c>
      <c r="AY547" s="99">
        <v>95.2</v>
      </c>
      <c r="AZ547" s="99">
        <v>94.9</v>
      </c>
      <c r="BA547" s="99">
        <v>94.7</v>
      </c>
      <c r="BB547" s="40">
        <v>43084</v>
      </c>
      <c r="BC547" s="40">
        <v>43388</v>
      </c>
    </row>
    <row r="548" spans="1:55" s="120" customFormat="1" ht="71.25" customHeight="1">
      <c r="A548" s="41" t="s">
        <v>334</v>
      </c>
      <c r="B548" s="41" t="s">
        <v>1220</v>
      </c>
      <c r="C548" s="43" t="s">
        <v>10</v>
      </c>
      <c r="D548" s="43" t="s">
        <v>10</v>
      </c>
      <c r="E548" s="43" t="s">
        <v>10</v>
      </c>
      <c r="F548" s="63" t="s">
        <v>11</v>
      </c>
      <c r="G548" s="41" t="s">
        <v>737</v>
      </c>
      <c r="H548" s="27">
        <v>5.5189199999999996</v>
      </c>
      <c r="I548" s="109">
        <v>240</v>
      </c>
      <c r="J548" s="27">
        <v>94.5</v>
      </c>
      <c r="K548" s="39" t="s">
        <v>1325</v>
      </c>
      <c r="L548" s="130" t="s">
        <v>738</v>
      </c>
      <c r="M548" s="110" t="s">
        <v>739</v>
      </c>
      <c r="N548" s="40">
        <v>43388</v>
      </c>
      <c r="O548" s="130" t="s">
        <v>738</v>
      </c>
      <c r="P548" s="63" t="s">
        <v>17</v>
      </c>
      <c r="Q548" s="63" t="s">
        <v>17</v>
      </c>
      <c r="R548" s="112"/>
      <c r="S548" s="111" t="s">
        <v>11</v>
      </c>
      <c r="T548" s="111" t="s">
        <v>11</v>
      </c>
      <c r="U548" s="113">
        <v>10.1</v>
      </c>
      <c r="V548" s="113"/>
      <c r="W548" s="113"/>
      <c r="X548" s="113">
        <v>240</v>
      </c>
      <c r="Y548" s="113">
        <v>380</v>
      </c>
      <c r="Z548" s="113">
        <v>520</v>
      </c>
      <c r="AA548" s="114">
        <v>0.55189200000000005</v>
      </c>
      <c r="AB548" s="114">
        <v>1.1037840000000001</v>
      </c>
      <c r="AC548" s="114">
        <v>1.6556759999999999</v>
      </c>
      <c r="AD548" s="114">
        <v>2.7594599999999998</v>
      </c>
      <c r="AE548" s="114">
        <v>4.1391900000000001</v>
      </c>
      <c r="AF548" s="114">
        <v>5.5189199999999996</v>
      </c>
      <c r="AG548" s="114">
        <v>89.325999999999993</v>
      </c>
      <c r="AH548" s="114">
        <v>93.286000000000001</v>
      </c>
      <c r="AI548" s="114">
        <v>94.304000000000002</v>
      </c>
      <c r="AJ548" s="114">
        <v>94.656000000000006</v>
      </c>
      <c r="AK548" s="114">
        <v>94.048000000000002</v>
      </c>
      <c r="AL548" s="114">
        <v>94.174000000000007</v>
      </c>
      <c r="AM548" s="114">
        <v>93.985720000000001</v>
      </c>
      <c r="AN548" s="114">
        <v>89.688000000000002</v>
      </c>
      <c r="AO548" s="114">
        <v>93.665999999999997</v>
      </c>
      <c r="AP548" s="114">
        <v>94.706000000000003</v>
      </c>
      <c r="AQ548" s="114">
        <v>95.44</v>
      </c>
      <c r="AR548" s="114">
        <v>95.498000000000005</v>
      </c>
      <c r="AS548" s="114">
        <v>95.41</v>
      </c>
      <c r="AT548" s="114">
        <v>95.062380000000005</v>
      </c>
      <c r="AU548" s="114">
        <v>88.78</v>
      </c>
      <c r="AV548" s="114">
        <v>93.075999999999993</v>
      </c>
      <c r="AW548" s="114">
        <v>94.275999999999996</v>
      </c>
      <c r="AX548" s="114">
        <v>95.093999999999994</v>
      </c>
      <c r="AY548" s="114">
        <v>95.165999999999997</v>
      </c>
      <c r="AZ548" s="114">
        <v>94.921999999999997</v>
      </c>
      <c r="BA548" s="114">
        <v>94.671940000000006</v>
      </c>
      <c r="BB548" s="40">
        <v>43252</v>
      </c>
      <c r="BC548" s="40">
        <v>43388</v>
      </c>
    </row>
    <row r="549" spans="1:55" s="120" customFormat="1" ht="81.75" customHeight="1">
      <c r="A549" s="41" t="s">
        <v>801</v>
      </c>
      <c r="B549" s="41" t="s">
        <v>1221</v>
      </c>
      <c r="C549" s="43" t="s">
        <v>10</v>
      </c>
      <c r="D549" s="43" t="s">
        <v>10</v>
      </c>
      <c r="E549" s="43" t="s">
        <v>10</v>
      </c>
      <c r="F549" s="63" t="s">
        <v>11</v>
      </c>
      <c r="G549" s="41" t="s">
        <v>772</v>
      </c>
      <c r="H549" s="27">
        <v>4.992</v>
      </c>
      <c r="I549" s="109">
        <v>208</v>
      </c>
      <c r="J549" s="27">
        <v>97</v>
      </c>
      <c r="K549" s="39" t="s">
        <v>1324</v>
      </c>
      <c r="L549" s="130" t="s">
        <v>844</v>
      </c>
      <c r="M549" s="110" t="s">
        <v>629</v>
      </c>
      <c r="N549" s="40">
        <v>43388</v>
      </c>
      <c r="O549" s="130" t="s">
        <v>844</v>
      </c>
      <c r="P549" s="63" t="s">
        <v>17</v>
      </c>
      <c r="Q549" s="63" t="s">
        <v>17</v>
      </c>
      <c r="R549" s="112"/>
      <c r="S549" s="111" t="s">
        <v>11</v>
      </c>
      <c r="T549" s="111" t="s">
        <v>11</v>
      </c>
      <c r="U549" s="113">
        <v>1.86</v>
      </c>
      <c r="V549" s="113"/>
      <c r="W549" s="113"/>
      <c r="X549" s="113">
        <v>200</v>
      </c>
      <c r="Y549" s="113">
        <v>380</v>
      </c>
      <c r="Z549" s="113">
        <v>460</v>
      </c>
      <c r="AA549" s="114">
        <v>0.49920000000000003</v>
      </c>
      <c r="AB549" s="114">
        <v>0.99840000000000007</v>
      </c>
      <c r="AC549" s="114">
        <v>1.4976</v>
      </c>
      <c r="AD549" s="114">
        <v>2.496</v>
      </c>
      <c r="AE549" s="114">
        <v>3.7439999999999998</v>
      </c>
      <c r="AF549" s="114">
        <v>4.992</v>
      </c>
      <c r="AG549" s="114">
        <v>92.956999999999994</v>
      </c>
      <c r="AH549" s="114">
        <v>94.948666666666682</v>
      </c>
      <c r="AI549" s="114">
        <v>95.97671428571428</v>
      </c>
      <c r="AJ549" s="114">
        <v>96.759333333333316</v>
      </c>
      <c r="AK549" s="114">
        <v>96.816285714285712</v>
      </c>
      <c r="AL549" s="114">
        <v>96.580619047619038</v>
      </c>
      <c r="AM549" s="114">
        <v>96.44404142857141</v>
      </c>
      <c r="AN549" s="114">
        <v>95.57180952380952</v>
      </c>
      <c r="AO549" s="114">
        <v>97.207999999999984</v>
      </c>
      <c r="AP549" s="114">
        <v>97.745380952380955</v>
      </c>
      <c r="AQ549" s="114">
        <v>97.944952380952373</v>
      </c>
      <c r="AR549" s="114">
        <v>97.716190476190476</v>
      </c>
      <c r="AS549" s="114">
        <v>97.311761904761894</v>
      </c>
      <c r="AT549" s="114">
        <v>97.636327142857141</v>
      </c>
      <c r="AU549" s="114">
        <v>94.611999999999995</v>
      </c>
      <c r="AV549" s="114">
        <v>96.611142857142866</v>
      </c>
      <c r="AW549" s="114">
        <v>97.398047619047603</v>
      </c>
      <c r="AX549" s="114">
        <v>97.739666666666679</v>
      </c>
      <c r="AY549" s="114">
        <v>97.623999999999995</v>
      </c>
      <c r="AZ549" s="114">
        <v>97.279714285714292</v>
      </c>
      <c r="BA549" s="114">
        <v>97.43283857142859</v>
      </c>
      <c r="BB549" s="40">
        <v>43313</v>
      </c>
      <c r="BC549" s="40">
        <v>43388</v>
      </c>
    </row>
    <row r="550" spans="1:55" s="120" customFormat="1" ht="51" customHeight="1">
      <c r="A550" s="41" t="s">
        <v>801</v>
      </c>
      <c r="B550" s="41" t="s">
        <v>1222</v>
      </c>
      <c r="C550" s="43" t="s">
        <v>10</v>
      </c>
      <c r="D550" s="43" t="s">
        <v>10</v>
      </c>
      <c r="E550" s="43" t="s">
        <v>10</v>
      </c>
      <c r="F550" s="63" t="s">
        <v>11</v>
      </c>
      <c r="G550" s="41" t="s">
        <v>774</v>
      </c>
      <c r="H550" s="27">
        <v>5.76</v>
      </c>
      <c r="I550" s="109">
        <v>240</v>
      </c>
      <c r="J550" s="27">
        <v>97.5</v>
      </c>
      <c r="K550" s="39" t="s">
        <v>1324</v>
      </c>
      <c r="L550" s="130" t="s">
        <v>844</v>
      </c>
      <c r="M550" s="110" t="s">
        <v>629</v>
      </c>
      <c r="N550" s="40">
        <v>43388</v>
      </c>
      <c r="O550" s="130" t="s">
        <v>844</v>
      </c>
      <c r="P550" s="63" t="s">
        <v>17</v>
      </c>
      <c r="Q550" s="63" t="s">
        <v>17</v>
      </c>
      <c r="R550" s="112"/>
      <c r="S550" s="111" t="s">
        <v>11</v>
      </c>
      <c r="T550" s="111" t="s">
        <v>11</v>
      </c>
      <c r="U550" s="113">
        <v>2.25</v>
      </c>
      <c r="V550" s="113"/>
      <c r="W550" s="113"/>
      <c r="X550" s="113">
        <v>200</v>
      </c>
      <c r="Y550" s="113">
        <v>380</v>
      </c>
      <c r="Z550" s="113">
        <v>460</v>
      </c>
      <c r="AA550" s="114">
        <v>0.57599999999999996</v>
      </c>
      <c r="AB550" s="114">
        <v>1.1519999999999999</v>
      </c>
      <c r="AC550" s="114">
        <v>1.728</v>
      </c>
      <c r="AD550" s="114">
        <v>2.88</v>
      </c>
      <c r="AE550" s="114">
        <v>4.32</v>
      </c>
      <c r="AF550" s="114">
        <v>5.76</v>
      </c>
      <c r="AG550" s="114">
        <v>93.648190476190493</v>
      </c>
      <c r="AH550" s="114">
        <v>95.423047619047608</v>
      </c>
      <c r="AI550" s="114">
        <v>96.470714285714294</v>
      </c>
      <c r="AJ550" s="114">
        <v>97.089095238095226</v>
      </c>
      <c r="AK550" s="114">
        <v>97.087285714285713</v>
      </c>
      <c r="AL550" s="114">
        <v>96.810714285714297</v>
      </c>
      <c r="AM550" s="114">
        <v>96.779072857142864</v>
      </c>
      <c r="AN550" s="114">
        <v>96.162285714285716</v>
      </c>
      <c r="AO550" s="114">
        <v>97.584714285714284</v>
      </c>
      <c r="AP550" s="114">
        <v>98.080285714285694</v>
      </c>
      <c r="AQ550" s="114">
        <v>98.165000000000006</v>
      </c>
      <c r="AR550" s="114">
        <v>97.933999999999983</v>
      </c>
      <c r="AS550" s="114">
        <v>97.580333333333328</v>
      </c>
      <c r="AT550" s="114">
        <v>97.894048095238091</v>
      </c>
      <c r="AU550" s="114">
        <v>95.235428571428571</v>
      </c>
      <c r="AV550" s="114">
        <v>97.047761904761927</v>
      </c>
      <c r="AW550" s="114">
        <v>97.773428571428582</v>
      </c>
      <c r="AX550" s="114">
        <v>98.000142857142848</v>
      </c>
      <c r="AY550" s="114">
        <v>97.859285714285733</v>
      </c>
      <c r="AZ550" s="114">
        <v>97.505095238095237</v>
      </c>
      <c r="BA550" s="114">
        <v>97.715322857142866</v>
      </c>
      <c r="BB550" s="40">
        <v>43313</v>
      </c>
      <c r="BC550" s="40">
        <v>43388</v>
      </c>
    </row>
    <row r="551" spans="1:55" s="120" customFormat="1" ht="37.5" customHeight="1">
      <c r="A551" s="41" t="s">
        <v>801</v>
      </c>
      <c r="B551" s="41" t="s">
        <v>1223</v>
      </c>
      <c r="C551" s="43" t="s">
        <v>10</v>
      </c>
      <c r="D551" s="43" t="s">
        <v>10</v>
      </c>
      <c r="E551" s="43" t="s">
        <v>10</v>
      </c>
      <c r="F551" s="63" t="s">
        <v>11</v>
      </c>
      <c r="G551" s="41" t="s">
        <v>775</v>
      </c>
      <c r="H551" s="27">
        <v>6.6559999999999997</v>
      </c>
      <c r="I551" s="109">
        <v>208</v>
      </c>
      <c r="J551" s="27">
        <v>97.5</v>
      </c>
      <c r="K551" s="39" t="s">
        <v>1324</v>
      </c>
      <c r="L551" s="130" t="s">
        <v>844</v>
      </c>
      <c r="M551" s="110" t="s">
        <v>629</v>
      </c>
      <c r="N551" s="40">
        <v>43388</v>
      </c>
      <c r="O551" s="130" t="s">
        <v>844</v>
      </c>
      <c r="P551" s="63" t="s">
        <v>17</v>
      </c>
      <c r="Q551" s="63" t="s">
        <v>17</v>
      </c>
      <c r="R551" s="112"/>
      <c r="S551" s="111" t="s">
        <v>11</v>
      </c>
      <c r="T551" s="111" t="s">
        <v>11</v>
      </c>
      <c r="U551" s="113">
        <v>1.1499999999999999</v>
      </c>
      <c r="V551" s="113"/>
      <c r="W551" s="113"/>
      <c r="X551" s="113">
        <v>270</v>
      </c>
      <c r="Y551" s="113">
        <v>380</v>
      </c>
      <c r="Z551" s="113">
        <v>460</v>
      </c>
      <c r="AA551" s="114">
        <v>0.66559999999999997</v>
      </c>
      <c r="AB551" s="114">
        <v>1.3311999999999999</v>
      </c>
      <c r="AC551" s="114">
        <v>1.9967999999999999</v>
      </c>
      <c r="AD551" s="114">
        <v>3.3279999999999998</v>
      </c>
      <c r="AE551" s="114">
        <v>4.992</v>
      </c>
      <c r="AF551" s="114">
        <v>6.6559999999999997</v>
      </c>
      <c r="AG551" s="114">
        <v>94.577142857142846</v>
      </c>
      <c r="AH551" s="114">
        <v>96.30147619047618</v>
      </c>
      <c r="AI551" s="114">
        <v>96.99633333333334</v>
      </c>
      <c r="AJ551" s="114">
        <v>97.387761904761902</v>
      </c>
      <c r="AK551" s="114">
        <v>97.294809523809505</v>
      </c>
      <c r="AL551" s="114">
        <v>96.929047619047623</v>
      </c>
      <c r="AM551" s="114">
        <v>97.101850952380943</v>
      </c>
      <c r="AN551" s="114">
        <v>95.905285714285696</v>
      </c>
      <c r="AO551" s="114">
        <v>97.331380952380954</v>
      </c>
      <c r="AP551" s="114">
        <v>97.763285714285729</v>
      </c>
      <c r="AQ551" s="114">
        <v>97.861904761904768</v>
      </c>
      <c r="AR551" s="114">
        <v>97.586190476190467</v>
      </c>
      <c r="AS551" s="114">
        <v>97.213761904761895</v>
      </c>
      <c r="AT551" s="114">
        <v>97.566743809523814</v>
      </c>
      <c r="AU551" s="114">
        <v>94.978142857142871</v>
      </c>
      <c r="AV551" s="114">
        <v>96.881095238095227</v>
      </c>
      <c r="AW551" s="114">
        <v>97.418238095238095</v>
      </c>
      <c r="AX551" s="114">
        <v>97.692761904761923</v>
      </c>
      <c r="AY551" s="114">
        <v>97.498619047619044</v>
      </c>
      <c r="AZ551" s="114">
        <v>97.152476190476165</v>
      </c>
      <c r="BA551" s="114">
        <v>97.380740952380961</v>
      </c>
      <c r="BB551" s="40">
        <v>43313</v>
      </c>
      <c r="BC551" s="40">
        <v>43388</v>
      </c>
    </row>
    <row r="552" spans="1:55" s="120" customFormat="1" ht="52.5" customHeight="1">
      <c r="A552" s="41" t="s">
        <v>801</v>
      </c>
      <c r="B552" s="41" t="s">
        <v>1224</v>
      </c>
      <c r="C552" s="43" t="s">
        <v>10</v>
      </c>
      <c r="D552" s="43" t="s">
        <v>10</v>
      </c>
      <c r="E552" s="43" t="s">
        <v>10</v>
      </c>
      <c r="F552" s="63" t="s">
        <v>11</v>
      </c>
      <c r="G552" s="41" t="s">
        <v>776</v>
      </c>
      <c r="H552" s="27">
        <v>7.68</v>
      </c>
      <c r="I552" s="109">
        <v>240</v>
      </c>
      <c r="J552" s="27">
        <v>97.5</v>
      </c>
      <c r="K552" s="39" t="s">
        <v>1324</v>
      </c>
      <c r="L552" s="130" t="s">
        <v>844</v>
      </c>
      <c r="M552" s="110" t="s">
        <v>629</v>
      </c>
      <c r="N552" s="40">
        <v>43388</v>
      </c>
      <c r="O552" s="130" t="s">
        <v>844</v>
      </c>
      <c r="P552" s="63" t="s">
        <v>17</v>
      </c>
      <c r="Q552" s="63" t="s">
        <v>17</v>
      </c>
      <c r="R552" s="112"/>
      <c r="S552" s="111" t="s">
        <v>11</v>
      </c>
      <c r="T552" s="111" t="s">
        <v>11</v>
      </c>
      <c r="U552" s="113">
        <v>1.19</v>
      </c>
      <c r="V552" s="113"/>
      <c r="W552" s="113"/>
      <c r="X552" s="113">
        <v>270</v>
      </c>
      <c r="Y552" s="113">
        <v>380</v>
      </c>
      <c r="Z552" s="113">
        <v>460</v>
      </c>
      <c r="AA552" s="114">
        <v>0.76800000000000002</v>
      </c>
      <c r="AB552" s="114">
        <v>1.536</v>
      </c>
      <c r="AC552" s="114">
        <v>2.3039999999999998</v>
      </c>
      <c r="AD552" s="114">
        <v>3.84</v>
      </c>
      <c r="AE552" s="114">
        <v>5.76</v>
      </c>
      <c r="AF552" s="114">
        <v>7.68</v>
      </c>
      <c r="AG552" s="114">
        <v>95.141761904761907</v>
      </c>
      <c r="AH552" s="114">
        <v>96.556571428571417</v>
      </c>
      <c r="AI552" s="114">
        <v>97.332523809523806</v>
      </c>
      <c r="AJ552" s="114">
        <v>97.597190476190477</v>
      </c>
      <c r="AK552" s="114">
        <v>97.510428571428591</v>
      </c>
      <c r="AL552" s="114">
        <v>97.13038095238096</v>
      </c>
      <c r="AM552" s="114">
        <v>97.345858095238114</v>
      </c>
      <c r="AN552" s="114">
        <v>96.495714285714271</v>
      </c>
      <c r="AO552" s="114">
        <v>97.678238095238086</v>
      </c>
      <c r="AP552" s="114">
        <v>98.032761904761898</v>
      </c>
      <c r="AQ552" s="114">
        <v>98.064428571428579</v>
      </c>
      <c r="AR552" s="114">
        <v>97.776238095238099</v>
      </c>
      <c r="AS552" s="114">
        <v>97.431095238095239</v>
      </c>
      <c r="AT552" s="114">
        <v>97.794162857142865</v>
      </c>
      <c r="AU552" s="114">
        <v>95.663714285714278</v>
      </c>
      <c r="AV552" s="114">
        <v>97.276809523809519</v>
      </c>
      <c r="AW552" s="114">
        <v>97.747523809523798</v>
      </c>
      <c r="AX552" s="114">
        <v>97.93119047619048</v>
      </c>
      <c r="AY552" s="114">
        <v>97.734619047619049</v>
      </c>
      <c r="AZ552" s="114">
        <v>97.423238095238091</v>
      </c>
      <c r="BA552" s="114">
        <v>97.656151904761899</v>
      </c>
      <c r="BB552" s="40">
        <v>43313</v>
      </c>
      <c r="BC552" s="40">
        <v>43388</v>
      </c>
    </row>
    <row r="553" spans="1:55" s="120" customFormat="1" ht="45">
      <c r="A553" s="76" t="s">
        <v>339</v>
      </c>
      <c r="B553" s="76" t="s">
        <v>1225</v>
      </c>
      <c r="C553" s="79" t="s">
        <v>10</v>
      </c>
      <c r="D553" s="79" t="s">
        <v>10</v>
      </c>
      <c r="E553" s="43" t="s">
        <v>10</v>
      </c>
      <c r="F553" s="63" t="s">
        <v>11</v>
      </c>
      <c r="G553" s="76" t="s">
        <v>340</v>
      </c>
      <c r="H553" s="90">
        <v>49.825000000000003</v>
      </c>
      <c r="I553" s="77">
        <v>480</v>
      </c>
      <c r="J553" s="78">
        <v>98</v>
      </c>
      <c r="K553" s="39" t="s">
        <v>1325</v>
      </c>
      <c r="L553" s="131" t="s">
        <v>539</v>
      </c>
      <c r="M553" s="79" t="s">
        <v>540</v>
      </c>
      <c r="N553" s="40">
        <v>43388</v>
      </c>
      <c r="O553" s="131" t="s">
        <v>539</v>
      </c>
      <c r="P553" s="63" t="s">
        <v>17</v>
      </c>
      <c r="Q553" s="63" t="s">
        <v>17</v>
      </c>
      <c r="R553" s="81"/>
      <c r="S553" s="80" t="s">
        <v>11</v>
      </c>
      <c r="T553" s="80" t="s">
        <v>11</v>
      </c>
      <c r="U553" s="82">
        <v>2.8</v>
      </c>
      <c r="V553" s="83"/>
      <c r="W553" s="83"/>
      <c r="X553" s="83">
        <v>540</v>
      </c>
      <c r="Y553" s="83">
        <v>695</v>
      </c>
      <c r="Z553" s="83">
        <v>850</v>
      </c>
      <c r="AA553" s="100">
        <v>4.9829999999999997</v>
      </c>
      <c r="AB553" s="100">
        <v>9.9659999999999993</v>
      </c>
      <c r="AC553" s="100">
        <v>14.949</v>
      </c>
      <c r="AD553" s="100">
        <v>24.914999999999999</v>
      </c>
      <c r="AE553" s="100">
        <v>37.372500000000002</v>
      </c>
      <c r="AF553" s="100">
        <v>49.83</v>
      </c>
      <c r="AG553" s="100">
        <v>96.770330000000001</v>
      </c>
      <c r="AH553" s="100">
        <v>96.972989999999996</v>
      </c>
      <c r="AI553" s="100">
        <v>97.363749999999996</v>
      </c>
      <c r="AJ553" s="100">
        <v>97.680459999999997</v>
      </c>
      <c r="AK553" s="100">
        <v>97.704480000000004</v>
      </c>
      <c r="AL553" s="100">
        <v>97.678489999999996</v>
      </c>
      <c r="AM553" s="100">
        <v>97.583309999999997</v>
      </c>
      <c r="AN553" s="100">
        <v>97.315259999999995</v>
      </c>
      <c r="AO553" s="100">
        <v>98.495379999999997</v>
      </c>
      <c r="AP553" s="100">
        <v>98.618930000000006</v>
      </c>
      <c r="AQ553" s="100">
        <v>98.769819999999996</v>
      </c>
      <c r="AR553" s="100">
        <v>98.661100000000005</v>
      </c>
      <c r="AS553" s="100">
        <v>98.283559999999994</v>
      </c>
      <c r="AT553" s="100">
        <v>98.59787</v>
      </c>
      <c r="AU553" s="100">
        <v>96.552090000000007</v>
      </c>
      <c r="AV553" s="100">
        <v>97.895690000000002</v>
      </c>
      <c r="AW553" s="100">
        <v>98.155159999999995</v>
      </c>
      <c r="AX553" s="100">
        <v>98.330029999999994</v>
      </c>
      <c r="AY553" s="100">
        <v>98.28304</v>
      </c>
      <c r="AZ553" s="100">
        <v>98.088130000000007</v>
      </c>
      <c r="BA553" s="100">
        <v>98.179209999999998</v>
      </c>
      <c r="BB553" s="40">
        <v>43102</v>
      </c>
      <c r="BC553" s="40">
        <v>43388</v>
      </c>
    </row>
    <row r="554" spans="1:55" s="120" customFormat="1" ht="45">
      <c r="A554" s="76" t="s">
        <v>339</v>
      </c>
      <c r="B554" s="76" t="s">
        <v>1226</v>
      </c>
      <c r="C554" s="79" t="s">
        <v>10</v>
      </c>
      <c r="D554" s="79" t="s">
        <v>10</v>
      </c>
      <c r="E554" s="43" t="s">
        <v>10</v>
      </c>
      <c r="F554" s="63" t="s">
        <v>11</v>
      </c>
      <c r="G554" s="76" t="s">
        <v>341</v>
      </c>
      <c r="H554" s="90">
        <v>59.667999999999999</v>
      </c>
      <c r="I554" s="77">
        <v>480</v>
      </c>
      <c r="J554" s="78">
        <v>98</v>
      </c>
      <c r="K554" s="39" t="s">
        <v>1325</v>
      </c>
      <c r="L554" s="131" t="s">
        <v>539</v>
      </c>
      <c r="M554" s="79" t="s">
        <v>540</v>
      </c>
      <c r="N554" s="40">
        <v>43388</v>
      </c>
      <c r="O554" s="131" t="s">
        <v>539</v>
      </c>
      <c r="P554" s="63" t="s">
        <v>17</v>
      </c>
      <c r="Q554" s="63" t="s">
        <v>17</v>
      </c>
      <c r="R554" s="81"/>
      <c r="S554" s="80" t="s">
        <v>11</v>
      </c>
      <c r="T554" s="80" t="s">
        <v>11</v>
      </c>
      <c r="U554" s="82">
        <v>2.8</v>
      </c>
      <c r="V554" s="83"/>
      <c r="W554" s="83"/>
      <c r="X554" s="83">
        <v>540</v>
      </c>
      <c r="Y554" s="83">
        <v>695</v>
      </c>
      <c r="Z554" s="83">
        <v>850</v>
      </c>
      <c r="AA554" s="100">
        <v>5.9670000000000005</v>
      </c>
      <c r="AB554" s="100">
        <v>11.934000000000001</v>
      </c>
      <c r="AC554" s="100">
        <v>17.901</v>
      </c>
      <c r="AD554" s="100">
        <v>29.835000000000001</v>
      </c>
      <c r="AE554" s="100">
        <v>44.752499999999998</v>
      </c>
      <c r="AF554" s="100">
        <v>59.67</v>
      </c>
      <c r="AG554" s="100">
        <v>97.011400860603928</v>
      </c>
      <c r="AH554" s="100">
        <v>97.631529378232045</v>
      </c>
      <c r="AI554" s="100">
        <v>97.640880301858914</v>
      </c>
      <c r="AJ554" s="100">
        <v>97.91217849877566</v>
      </c>
      <c r="AK554" s="100">
        <v>97.592676780514722</v>
      </c>
      <c r="AL554" s="100">
        <v>97.371389602654588</v>
      </c>
      <c r="AM554" s="100">
        <v>97.633183798107254</v>
      </c>
      <c r="AN554" s="100">
        <v>98.571429438759566</v>
      </c>
      <c r="AO554" s="100">
        <v>98.853763236653847</v>
      </c>
      <c r="AP554" s="100">
        <v>98.841635491890969</v>
      </c>
      <c r="AQ554" s="100">
        <v>98.720500594806055</v>
      </c>
      <c r="AR554" s="100">
        <v>98.605791036857624</v>
      </c>
      <c r="AS554" s="100">
        <v>98.347566863262372</v>
      </c>
      <c r="AT554" s="100">
        <v>98.656294316016925</v>
      </c>
      <c r="AU554" s="100">
        <v>97.757887544738608</v>
      </c>
      <c r="AV554" s="100">
        <v>98.375136518373779</v>
      </c>
      <c r="AW554" s="100">
        <v>98.52299435222767</v>
      </c>
      <c r="AX554" s="100">
        <v>98.37578536371538</v>
      </c>
      <c r="AY554" s="100">
        <v>98.164768431150804</v>
      </c>
      <c r="AZ554" s="100">
        <v>97.952672077286579</v>
      </c>
      <c r="BA554" s="100">
        <v>98.235707448730039</v>
      </c>
      <c r="BB554" s="40">
        <v>43102</v>
      </c>
      <c r="BC554" s="40">
        <v>43388</v>
      </c>
    </row>
    <row r="555" spans="1:55" s="120" customFormat="1" ht="75">
      <c r="A555" s="87" t="s">
        <v>591</v>
      </c>
      <c r="B555" s="67" t="s">
        <v>1227</v>
      </c>
      <c r="C555" s="69" t="s">
        <v>10</v>
      </c>
      <c r="D555" s="69" t="s">
        <v>10</v>
      </c>
      <c r="E555" s="63" t="s">
        <v>11</v>
      </c>
      <c r="F555" s="63" t="s">
        <v>11</v>
      </c>
      <c r="G555" s="74" t="s">
        <v>224</v>
      </c>
      <c r="H555" s="54">
        <v>36</v>
      </c>
      <c r="I555" s="25">
        <v>480</v>
      </c>
      <c r="J555" s="26">
        <v>98</v>
      </c>
      <c r="K555" s="39" t="s">
        <v>1324</v>
      </c>
      <c r="L555" s="129" t="s">
        <v>474</v>
      </c>
      <c r="M555" s="33" t="s">
        <v>475</v>
      </c>
      <c r="N555" s="40">
        <v>43388</v>
      </c>
      <c r="O555" s="63" t="s">
        <v>17</v>
      </c>
      <c r="P555" s="63" t="s">
        <v>17</v>
      </c>
      <c r="Q555" s="63" t="s">
        <v>17</v>
      </c>
      <c r="R555" s="60" t="s">
        <v>649</v>
      </c>
      <c r="S555" s="32" t="s">
        <v>11</v>
      </c>
      <c r="T555" s="32" t="s">
        <v>11</v>
      </c>
      <c r="U555" s="25">
        <v>0</v>
      </c>
      <c r="V555" s="25"/>
      <c r="W555" s="25"/>
      <c r="X555" s="25">
        <v>540</v>
      </c>
      <c r="Y555" s="25">
        <v>730</v>
      </c>
      <c r="Z555" s="25">
        <v>800</v>
      </c>
      <c r="AA555" s="95">
        <v>3.6</v>
      </c>
      <c r="AB555" s="95">
        <v>7.2</v>
      </c>
      <c r="AC555" s="95">
        <v>10.8</v>
      </c>
      <c r="AD555" s="95">
        <v>18</v>
      </c>
      <c r="AE555" s="95">
        <v>27</v>
      </c>
      <c r="AF555" s="95">
        <v>36</v>
      </c>
      <c r="AG555" s="95">
        <v>95.5</v>
      </c>
      <c r="AH555" s="95">
        <v>96.8</v>
      </c>
      <c r="AI555" s="95">
        <v>97.2</v>
      </c>
      <c r="AJ555" s="95">
        <v>97.5</v>
      </c>
      <c r="AK555" s="95">
        <v>97.5</v>
      </c>
      <c r="AL555" s="95">
        <v>97.3</v>
      </c>
      <c r="AM555" s="95">
        <v>97.3</v>
      </c>
      <c r="AN555" s="95">
        <v>97.4</v>
      </c>
      <c r="AO555" s="95">
        <v>98.3</v>
      </c>
      <c r="AP555" s="95">
        <v>98.5</v>
      </c>
      <c r="AQ555" s="95">
        <v>98.5</v>
      </c>
      <c r="AR555" s="95">
        <v>98.5</v>
      </c>
      <c r="AS555" s="95">
        <v>98.3</v>
      </c>
      <c r="AT555" s="95">
        <v>98.4</v>
      </c>
      <c r="AU555" s="95">
        <v>97.1</v>
      </c>
      <c r="AV555" s="95">
        <v>98</v>
      </c>
      <c r="AW555" s="95">
        <v>98.3</v>
      </c>
      <c r="AX555" s="95">
        <v>98.4</v>
      </c>
      <c r="AY555" s="95">
        <v>98.3</v>
      </c>
      <c r="AZ555" s="95">
        <v>98.2</v>
      </c>
      <c r="BA555" s="95">
        <v>98.3</v>
      </c>
      <c r="BB555" s="40">
        <v>43009</v>
      </c>
      <c r="BC555" s="40">
        <v>43388</v>
      </c>
    </row>
    <row r="556" spans="1:55" s="120" customFormat="1" ht="75">
      <c r="A556" s="87" t="s">
        <v>591</v>
      </c>
      <c r="B556" s="67" t="s">
        <v>444</v>
      </c>
      <c r="C556" s="69" t="s">
        <v>10</v>
      </c>
      <c r="D556" s="69" t="s">
        <v>10</v>
      </c>
      <c r="E556" s="63" t="s">
        <v>11</v>
      </c>
      <c r="F556" s="63" t="s">
        <v>11</v>
      </c>
      <c r="G556" s="74" t="s">
        <v>225</v>
      </c>
      <c r="H556" s="54">
        <v>50</v>
      </c>
      <c r="I556" s="25">
        <v>480</v>
      </c>
      <c r="J556" s="26">
        <v>98.5</v>
      </c>
      <c r="K556" s="39" t="s">
        <v>1324</v>
      </c>
      <c r="L556" s="129" t="s">
        <v>476</v>
      </c>
      <c r="M556" s="33" t="s">
        <v>477</v>
      </c>
      <c r="N556" s="40">
        <v>43388</v>
      </c>
      <c r="O556" s="63" t="s">
        <v>17</v>
      </c>
      <c r="P556" s="63" t="s">
        <v>17</v>
      </c>
      <c r="Q556" s="63" t="s">
        <v>17</v>
      </c>
      <c r="R556" s="60" t="s">
        <v>650</v>
      </c>
      <c r="S556" s="32" t="s">
        <v>10</v>
      </c>
      <c r="T556" s="32" t="s">
        <v>11</v>
      </c>
      <c r="U556" s="25">
        <v>0.88</v>
      </c>
      <c r="V556" s="25"/>
      <c r="W556" s="25"/>
      <c r="X556" s="25">
        <v>480</v>
      </c>
      <c r="Y556" s="25">
        <v>730</v>
      </c>
      <c r="Z556" s="25">
        <v>850</v>
      </c>
      <c r="AA556" s="95">
        <v>5</v>
      </c>
      <c r="AB556" s="95">
        <v>10</v>
      </c>
      <c r="AC556" s="95">
        <v>15</v>
      </c>
      <c r="AD556" s="95">
        <v>25</v>
      </c>
      <c r="AE556" s="95">
        <v>37.5</v>
      </c>
      <c r="AF556" s="95">
        <v>50</v>
      </c>
      <c r="AG556" s="95">
        <v>95.6</v>
      </c>
      <c r="AH556" s="95">
        <v>96.8</v>
      </c>
      <c r="AI556" s="95">
        <v>97.5</v>
      </c>
      <c r="AJ556" s="95">
        <v>97.9</v>
      </c>
      <c r="AK556" s="95">
        <v>97.8</v>
      </c>
      <c r="AL556" s="95">
        <v>97.7</v>
      </c>
      <c r="AM556" s="95">
        <v>97.6</v>
      </c>
      <c r="AN556" s="95">
        <v>98</v>
      </c>
      <c r="AO556" s="95">
        <v>98.6</v>
      </c>
      <c r="AP556" s="95">
        <v>98.8</v>
      </c>
      <c r="AQ556" s="95">
        <v>98.8</v>
      </c>
      <c r="AR556" s="95">
        <v>98.7</v>
      </c>
      <c r="AS556" s="95">
        <v>98.6</v>
      </c>
      <c r="AT556" s="95">
        <v>98.7</v>
      </c>
      <c r="AU556" s="95">
        <v>97.7</v>
      </c>
      <c r="AV556" s="95">
        <v>98.5</v>
      </c>
      <c r="AW556" s="95">
        <v>98.6</v>
      </c>
      <c r="AX556" s="95">
        <v>98.7</v>
      </c>
      <c r="AY556" s="95">
        <v>98.6</v>
      </c>
      <c r="AZ556" s="95">
        <v>98.5</v>
      </c>
      <c r="BA556" s="95">
        <v>98.6</v>
      </c>
      <c r="BB556" s="40">
        <v>43009</v>
      </c>
      <c r="BC556" s="40">
        <v>43388</v>
      </c>
    </row>
    <row r="557" spans="1:55" s="120" customFormat="1" ht="75">
      <c r="A557" s="87" t="s">
        <v>591</v>
      </c>
      <c r="B557" s="67" t="s">
        <v>445</v>
      </c>
      <c r="C557" s="69" t="s">
        <v>10</v>
      </c>
      <c r="D557" s="69" t="s">
        <v>10</v>
      </c>
      <c r="E557" s="63" t="s">
        <v>11</v>
      </c>
      <c r="F557" s="63" t="s">
        <v>11</v>
      </c>
      <c r="G557" s="74" t="s">
        <v>226</v>
      </c>
      <c r="H557" s="54">
        <v>60</v>
      </c>
      <c r="I557" s="25">
        <v>480</v>
      </c>
      <c r="J557" s="26">
        <v>98.5</v>
      </c>
      <c r="K557" s="39" t="s">
        <v>1324</v>
      </c>
      <c r="L557" s="129" t="s">
        <v>476</v>
      </c>
      <c r="M557" s="33" t="s">
        <v>477</v>
      </c>
      <c r="N557" s="40">
        <v>43388</v>
      </c>
      <c r="O557" s="63" t="s">
        <v>17</v>
      </c>
      <c r="P557" s="63" t="s">
        <v>17</v>
      </c>
      <c r="Q557" s="63" t="s">
        <v>17</v>
      </c>
      <c r="R557" s="60" t="s">
        <v>651</v>
      </c>
      <c r="S557" s="32" t="s">
        <v>10</v>
      </c>
      <c r="T557" s="32" t="s">
        <v>11</v>
      </c>
      <c r="U557" s="25">
        <v>0.88</v>
      </c>
      <c r="V557" s="25"/>
      <c r="W557" s="25"/>
      <c r="X557" s="25">
        <v>540</v>
      </c>
      <c r="Y557" s="25">
        <v>730</v>
      </c>
      <c r="Z557" s="25">
        <v>850</v>
      </c>
      <c r="AA557" s="95">
        <v>6</v>
      </c>
      <c r="AB557" s="95">
        <v>12</v>
      </c>
      <c r="AC557" s="95">
        <v>18</v>
      </c>
      <c r="AD557" s="95">
        <v>30</v>
      </c>
      <c r="AE557" s="95">
        <v>45</v>
      </c>
      <c r="AF557" s="95">
        <v>60</v>
      </c>
      <c r="AG557" s="95">
        <v>96.5</v>
      </c>
      <c r="AH557" s="95">
        <v>97.5</v>
      </c>
      <c r="AI557" s="95">
        <v>97.9</v>
      </c>
      <c r="AJ557" s="95">
        <v>98.1</v>
      </c>
      <c r="AK557" s="95">
        <v>97.9</v>
      </c>
      <c r="AL557" s="95">
        <v>97.7</v>
      </c>
      <c r="AM557" s="95">
        <v>97.9</v>
      </c>
      <c r="AN557" s="95">
        <v>98.2</v>
      </c>
      <c r="AO557" s="95">
        <v>98.7</v>
      </c>
      <c r="AP557" s="95">
        <v>98.8</v>
      </c>
      <c r="AQ557" s="95">
        <v>98.8</v>
      </c>
      <c r="AR557" s="95">
        <v>98.7</v>
      </c>
      <c r="AS557" s="95">
        <v>98.5</v>
      </c>
      <c r="AT557" s="95">
        <v>98.7</v>
      </c>
      <c r="AU557" s="95">
        <v>98</v>
      </c>
      <c r="AV557" s="95">
        <v>98.6</v>
      </c>
      <c r="AW557" s="95">
        <v>98.7</v>
      </c>
      <c r="AX557" s="95">
        <v>98.7</v>
      </c>
      <c r="AY557" s="95">
        <v>98.5</v>
      </c>
      <c r="AZ557" s="95">
        <v>98.4</v>
      </c>
      <c r="BA557" s="95">
        <v>98.5</v>
      </c>
      <c r="BB557" s="40">
        <v>43009</v>
      </c>
      <c r="BC557" s="40">
        <v>43388</v>
      </c>
    </row>
    <row r="558" spans="1:55" ht="45">
      <c r="A558" s="87" t="s">
        <v>591</v>
      </c>
      <c r="B558" s="74" t="s">
        <v>1228</v>
      </c>
      <c r="C558" s="63" t="s">
        <v>10</v>
      </c>
      <c r="D558" s="63" t="s">
        <v>11</v>
      </c>
      <c r="E558" s="63" t="s">
        <v>11</v>
      </c>
      <c r="F558" s="63" t="s">
        <v>11</v>
      </c>
      <c r="G558" s="37" t="s">
        <v>648</v>
      </c>
      <c r="H558" s="143">
        <v>507</v>
      </c>
      <c r="I558" s="35">
        <v>380</v>
      </c>
      <c r="J558" s="35">
        <v>96.5</v>
      </c>
      <c r="K558" s="39" t="s">
        <v>1325</v>
      </c>
      <c r="L558" s="128" t="s">
        <v>593</v>
      </c>
      <c r="M558" s="39" t="s">
        <v>594</v>
      </c>
      <c r="N558" s="63" t="s">
        <v>17</v>
      </c>
      <c r="O558" s="63" t="s">
        <v>17</v>
      </c>
      <c r="P558" s="63" t="s">
        <v>17</v>
      </c>
      <c r="Q558" s="63" t="s">
        <v>17</v>
      </c>
      <c r="R558" s="65" t="s">
        <v>592</v>
      </c>
      <c r="S558" s="34" t="s">
        <v>11</v>
      </c>
      <c r="T558" s="34" t="s">
        <v>11</v>
      </c>
      <c r="U558" s="35">
        <v>88.78</v>
      </c>
      <c r="V558" s="35"/>
      <c r="W558" s="35"/>
      <c r="X558" s="35">
        <v>545</v>
      </c>
      <c r="Y558" s="35">
        <v>615</v>
      </c>
      <c r="Z558" s="35">
        <v>820</v>
      </c>
      <c r="AA558" s="103">
        <v>50.7</v>
      </c>
      <c r="AB558" s="103">
        <v>101.4</v>
      </c>
      <c r="AC558" s="103">
        <v>152.1</v>
      </c>
      <c r="AD558" s="103">
        <v>253.5</v>
      </c>
      <c r="AE558" s="103">
        <v>380.25</v>
      </c>
      <c r="AF558" s="103">
        <v>507</v>
      </c>
      <c r="AG558" s="103">
        <v>93.6</v>
      </c>
      <c r="AH558" s="103">
        <v>96.1</v>
      </c>
      <c r="AI558" s="103">
        <v>96.7</v>
      </c>
      <c r="AJ558" s="103">
        <v>97.1</v>
      </c>
      <c r="AK558" s="103">
        <v>97.2</v>
      </c>
      <c r="AL558" s="103">
        <v>97.1</v>
      </c>
      <c r="AM558" s="103">
        <v>96.9</v>
      </c>
      <c r="AN558" s="103">
        <v>93.2</v>
      </c>
      <c r="AO558" s="103">
        <v>95.8</v>
      </c>
      <c r="AP558" s="103">
        <v>96.5</v>
      </c>
      <c r="AQ558" s="103">
        <v>96.9</v>
      </c>
      <c r="AR558" s="103">
        <v>97</v>
      </c>
      <c r="AS558" s="103">
        <v>97</v>
      </c>
      <c r="AT558" s="103">
        <v>96.7</v>
      </c>
      <c r="AU558" s="103">
        <v>92.1</v>
      </c>
      <c r="AV558" s="103">
        <v>95.3</v>
      </c>
      <c r="AW558" s="103">
        <v>96.1</v>
      </c>
      <c r="AX558" s="103">
        <v>96.6</v>
      </c>
      <c r="AY558" s="103">
        <v>96.8</v>
      </c>
      <c r="AZ558" s="103">
        <v>96.8</v>
      </c>
      <c r="BA558" s="103">
        <v>96.4</v>
      </c>
      <c r="BB558" s="84">
        <v>43146</v>
      </c>
      <c r="BC558" s="70"/>
    </row>
    <row r="559" spans="1:55" ht="45">
      <c r="A559" s="87" t="s">
        <v>591</v>
      </c>
      <c r="B559" s="74" t="s">
        <v>1229</v>
      </c>
      <c r="C559" s="63" t="s">
        <v>10</v>
      </c>
      <c r="D559" s="63" t="s">
        <v>11</v>
      </c>
      <c r="E559" s="63" t="s">
        <v>11</v>
      </c>
      <c r="F559" s="63" t="s">
        <v>11</v>
      </c>
      <c r="G559" s="37" t="s">
        <v>647</v>
      </c>
      <c r="H559" s="143">
        <v>753.2</v>
      </c>
      <c r="I559" s="35">
        <v>380</v>
      </c>
      <c r="J559" s="35">
        <v>96.5</v>
      </c>
      <c r="K559" s="39" t="s">
        <v>1325</v>
      </c>
      <c r="L559" s="128" t="s">
        <v>593</v>
      </c>
      <c r="M559" s="39" t="s">
        <v>594</v>
      </c>
      <c r="N559" s="63" t="s">
        <v>17</v>
      </c>
      <c r="O559" s="63" t="s">
        <v>17</v>
      </c>
      <c r="P559" s="63" t="s">
        <v>17</v>
      </c>
      <c r="Q559" s="63" t="s">
        <v>17</v>
      </c>
      <c r="R559" s="65" t="s">
        <v>592</v>
      </c>
      <c r="S559" s="34" t="s">
        <v>11</v>
      </c>
      <c r="T559" s="34" t="s">
        <v>11</v>
      </c>
      <c r="U559" s="35">
        <v>122.55</v>
      </c>
      <c r="V559" s="35"/>
      <c r="W559" s="35"/>
      <c r="X559" s="35">
        <v>545</v>
      </c>
      <c r="Y559" s="35">
        <v>615</v>
      </c>
      <c r="Z559" s="35">
        <v>820</v>
      </c>
      <c r="AA559" s="103">
        <v>75.319999999999993</v>
      </c>
      <c r="AB559" s="103">
        <v>150.63999999999999</v>
      </c>
      <c r="AC559" s="103">
        <v>225.96</v>
      </c>
      <c r="AD559" s="103">
        <v>376.6</v>
      </c>
      <c r="AE559" s="103">
        <v>564.9</v>
      </c>
      <c r="AF559" s="103">
        <v>753.2</v>
      </c>
      <c r="AG559" s="103">
        <v>94</v>
      </c>
      <c r="AH559" s="103">
        <v>96.2</v>
      </c>
      <c r="AI559" s="103">
        <v>96.7</v>
      </c>
      <c r="AJ559" s="103">
        <v>97</v>
      </c>
      <c r="AK559" s="103">
        <v>97</v>
      </c>
      <c r="AL559" s="103">
        <v>96.9</v>
      </c>
      <c r="AM559" s="103">
        <v>96.8</v>
      </c>
      <c r="AN559" s="103">
        <v>93.7</v>
      </c>
      <c r="AO559" s="103">
        <v>96.2</v>
      </c>
      <c r="AP559" s="103">
        <v>96.7</v>
      </c>
      <c r="AQ559" s="103">
        <v>97.1</v>
      </c>
      <c r="AR559" s="103">
        <v>97.1</v>
      </c>
      <c r="AS559" s="103">
        <v>97</v>
      </c>
      <c r="AT559" s="103">
        <v>96.9</v>
      </c>
      <c r="AU559" s="103">
        <v>91.9</v>
      </c>
      <c r="AV559" s="103">
        <v>95.3</v>
      </c>
      <c r="AW559" s="103">
        <v>96.2</v>
      </c>
      <c r="AX559" s="103">
        <v>96.7</v>
      </c>
      <c r="AY559" s="103">
        <v>96.7</v>
      </c>
      <c r="AZ559" s="103">
        <v>96.8</v>
      </c>
      <c r="BA559" s="103">
        <v>96.4</v>
      </c>
      <c r="BB559" s="84">
        <v>43146</v>
      </c>
      <c r="BC559" s="70"/>
    </row>
  </sheetData>
  <sheetProtection algorithmName="SHA-512" hashValue="VUWUslFytzypAmV+klqcIhxI82s1aUY3MD/laNlNtMPqivU/yhE+ceKFMt0iMTzF56TikOy4NPf4jHoesWhcoA==" saltValue="Sg2FHGt0KbWXRhheGdiNwA==" spinCount="100000" sheet="1" sort="0" autoFilter="0"/>
  <autoFilter ref="A13:BC559"/>
  <sortState ref="A15:BA3278">
    <sortCondition ref="A15:A3278"/>
    <sortCondition ref="H15:H3278"/>
    <sortCondition ref="B15:B3278"/>
  </sortState>
  <conditionalFormatting sqref="B549:B550">
    <cfRule type="duplicateValues" dxfId="4" priority="3"/>
  </conditionalFormatting>
  <conditionalFormatting sqref="B551:B552">
    <cfRule type="duplicateValues" dxfId="3" priority="983"/>
  </conditionalFormatting>
  <conditionalFormatting sqref="B546:B548">
    <cfRule type="duplicateValues" dxfId="2" priority="985"/>
  </conditionalFormatting>
  <conditionalFormatting sqref="B262:B545 B15:B257 B259">
    <cfRule type="duplicateValues" dxfId="1" priority="1087"/>
  </conditionalFormatting>
  <conditionalFormatting sqref="B258">
    <cfRule type="duplicateValues" dxfId="0" priority="1"/>
  </conditionalFormatting>
  <hyperlinks>
    <hyperlink ref="A5" r:id="rId1" display="http://www.gosolarcalifornia.ca.gov/equipment/documents/Prior_List_of_Eligible_Inverters.pdf"/>
    <hyperlink ref="A7" r:id="rId2"/>
  </hyperlinks>
  <pageMargins left="0.7" right="0.7" top="0.75" bottom="0.75" header="0.3" footer="0.3"/>
  <pageSetup scale="12"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e">
        <f>CONCATENATE("'",'Inverter-Full Data'!#REF!,"     ",'Inverter-Full Data'!#REF!,",",'Inverter-Full Data'!#REF!,",",'Inverter-Full Data'!#REF!,",",'Inverter-Full Data'!#REF!,"'")</f>
        <v>#REF!</v>
      </c>
    </row>
    <row r="4" spans="1:1">
      <c r="A4" s="2" t="e">
        <f>CONCATENATE("'",'Inverter-Full Data'!#REF!,"     ",'Inverter-Full Data'!#REF!,",",'Inverter-Full Data'!#REF!,",",'Inverter-Full Data'!#REF!,",",'Inverter-Full Data'!#REF!,"'")</f>
        <v>#REF!</v>
      </c>
    </row>
    <row r="5" spans="1:1">
      <c r="A5" s="2" t="e">
        <f>CONCATENATE("'",'Inverter-Full Data'!#REF!,"     ",'Inverter-Full Data'!#REF!,",",'Inverter-Full Data'!#REF!,",",'Inverter-Full Data'!#REF!,",",'Inverter-Full Data'!#REF!,"'")</f>
        <v>#REF!</v>
      </c>
    </row>
    <row r="6" spans="1:1">
      <c r="A6" s="2" t="e">
        <f>CONCATENATE("'",'Inverter-Full Data'!#REF!,"     ",'Inverter-Full Data'!#REF!,",",'Inverter-Full Data'!#REF!,",",'Inverter-Full Data'!#REF!,",",'Inverter-Full Data'!#REF!,"'")</f>
        <v>#REF!</v>
      </c>
    </row>
    <row r="7" spans="1:1">
      <c r="A7" s="2" t="e">
        <f>CONCATENATE("'",'Inverter-Full Data'!#REF!,"     ",'Inverter-Full Data'!#REF!,",",'Inverter-Full Data'!#REF!,",",'Inverter-Full Data'!#REF!,",",'Inverter-Full Data'!#REF!,"'")</f>
        <v>#REF!</v>
      </c>
    </row>
    <row r="8" spans="1:1">
      <c r="A8" s="2" t="e">
        <f>CONCATENATE("'",'Inverter-Full Data'!#REF!,"     ",'Inverter-Full Data'!#REF!,",",'Inverter-Full Data'!#REF!,",",'Inverter-Full Data'!#REF!,",",'Inverter-Full Data'!#REF!,"'")</f>
        <v>#REF!</v>
      </c>
    </row>
    <row r="9" spans="1:1">
      <c r="A9" s="2" t="e">
        <f>CONCATENATE("'",'Inverter-Full Data'!#REF!,"     ",'Inverter-Full Data'!#REF!,",",'Inverter-Full Data'!#REF!,",",'Inverter-Full Data'!#REF!,",",'Inverter-Full Data'!#REF!,"'")</f>
        <v>#REF!</v>
      </c>
    </row>
    <row r="10" spans="1:1">
      <c r="A10" s="2" t="e">
        <f>CONCATENATE("'",'Inverter-Full Data'!#REF!,"     ",'Inverter-Full Data'!#REF!,",",'Inverter-Full Data'!#REF!,",",'Inverter-Full Data'!#REF!,",",'Inverter-Full Data'!#REF!,"'")</f>
        <v>#REF!</v>
      </c>
    </row>
    <row r="11" spans="1:1">
      <c r="A11" s="2" t="e">
        <f>CONCATENATE("'",'Inverter-Full Data'!#REF!,"     ",'Inverter-Full Data'!#REF!,",",'Inverter-Full Data'!#REF!,",",'Inverter-Full Data'!#REF!,",",'Inverter-Full Data'!#REF!,"'")</f>
        <v>#REF!</v>
      </c>
    </row>
    <row r="12" spans="1:1">
      <c r="A12" s="2" t="e">
        <f>CONCATENATE("'",'Inverter-Full Data'!#REF!,"     ",'Inverter-Full Data'!#REF!,",",'Inverter-Full Data'!#REF!,",",'Inverter-Full Data'!#REF!,",",'Inverter-Full Data'!#REF!,"'")</f>
        <v>#REF!</v>
      </c>
    </row>
    <row r="13" spans="1:1">
      <c r="A13" s="2" t="e">
        <f>CONCATENATE("'",'Inverter-Full Data'!#REF!,"     ",'Inverter-Full Data'!#REF!,",",'Inverter-Full Data'!#REF!,",",'Inverter-Full Data'!#REF!,",",'Inverter-Full Data'!#REF!,"'")</f>
        <v>#REF!</v>
      </c>
    </row>
    <row r="14" spans="1:1">
      <c r="A14" s="2" t="e">
        <f>CONCATENATE("'",'Inverter-Full Data'!#REF!,"     ",'Inverter-Full Data'!#REF!,",",'Inverter-Full Data'!#REF!,",",'Inverter-Full Data'!#REF!,",",'Inverter-Full Data'!#REF!,"'")</f>
        <v>#REF!</v>
      </c>
    </row>
    <row r="15" spans="1:1">
      <c r="A15" s="2" t="e">
        <f>CONCATENATE("'",'Inverter-Full Data'!#REF!,"     ",'Inverter-Full Data'!#REF!,",",'Inverter-Full Data'!#REF!,",",'Inverter-Full Data'!#REF!,",",'Inverter-Full Data'!#REF!,"'")</f>
        <v>#REF!</v>
      </c>
    </row>
    <row r="16" spans="1:1">
      <c r="A16" s="2" t="e">
        <f>CONCATENATE("'",'Inverter-Full Data'!#REF!,"     ",'Inverter-Full Data'!#REF!,",",'Inverter-Full Data'!#REF!,",",'Inverter-Full Data'!#REF!,",",'Inverter-Full Data'!#REF!,"'")</f>
        <v>#REF!</v>
      </c>
    </row>
    <row r="17" spans="1:1">
      <c r="A17" s="2" t="e">
        <f>CONCATENATE("'",'Inverter-Full Data'!#REF!,"     ",'Inverter-Full Data'!#REF!,",",'Inverter-Full Data'!#REF!,",",'Inverter-Full Data'!#REF!,",",'Inverter-Full Data'!#REF!,"'")</f>
        <v>#REF!</v>
      </c>
    </row>
    <row r="18" spans="1:1">
      <c r="A18" s="2" t="e">
        <f>CONCATENATE("'",'Inverter-Full Data'!#REF!,"     ",'Inverter-Full Data'!#REF!,",",'Inverter-Full Data'!#REF!,",",'Inverter-Full Data'!#REF!,",",'Inverter-Full Data'!#REF!,"'")</f>
        <v>#REF!</v>
      </c>
    </row>
    <row r="19" spans="1:1">
      <c r="A19" s="2" t="e">
        <f>CONCATENATE("'",'Inverter-Full Data'!#REF!,"     ",'Inverter-Full Data'!#REF!,",",'Inverter-Full Data'!#REF!,",",'Inverter-Full Data'!#REF!,",",'Inverter-Full Data'!#REF!,"'")</f>
        <v>#REF!</v>
      </c>
    </row>
    <row r="20" spans="1:1">
      <c r="A20" s="2" t="e">
        <f>CONCATENATE("'",'Inverter-Full Data'!#REF!,"     ",'Inverter-Full Data'!#REF!,",",'Inverter-Full Data'!#REF!,",",'Inverter-Full Data'!#REF!,",",'Inverter-Full Data'!#REF!,"'")</f>
        <v>#REF!</v>
      </c>
    </row>
    <row r="21" spans="1:1">
      <c r="A21" s="2" t="e">
        <f>CONCATENATE("'",'Inverter-Full Data'!#REF!,"     ",'Inverter-Full Data'!#REF!,",",'Inverter-Full Data'!#REF!,",",'Inverter-Full Data'!#REF!,",",'Inverter-Full Data'!#REF!,"'")</f>
        <v>#REF!</v>
      </c>
    </row>
    <row r="22" spans="1:1">
      <c r="A22" s="2" t="e">
        <f>CONCATENATE("'",'Inverter-Full Data'!#REF!,"     ",'Inverter-Full Data'!#REF!,",",'Inverter-Full Data'!#REF!,",",'Inverter-Full Data'!#REF!,",",'Inverter-Full Data'!#REF!,"'")</f>
        <v>#REF!</v>
      </c>
    </row>
    <row r="23" spans="1:1">
      <c r="A23" s="2" t="e">
        <f>CONCATENATE("'",'Inverter-Full Data'!#REF!,"     ",'Inverter-Full Data'!#REF!,",",'Inverter-Full Data'!#REF!,",",'Inverter-Full Data'!#REF!,",",'Inverter-Full Data'!#REF!,"'")</f>
        <v>#REF!</v>
      </c>
    </row>
    <row r="24" spans="1:1">
      <c r="A24" s="2" t="e">
        <f>CONCATENATE("'",'Inverter-Full Data'!#REF!,"     ",'Inverter-Full Data'!#REF!,",",'Inverter-Full Data'!#REF!,",",'Inverter-Full Data'!#REF!,",",'Inverter-Full Data'!#REF!,"'")</f>
        <v>#REF!</v>
      </c>
    </row>
    <row r="25" spans="1:1">
      <c r="A25" s="2" t="e">
        <f>CONCATENATE("'",'Inverter-Full Data'!#REF!,"     ",'Inverter-Full Data'!#REF!,",",'Inverter-Full Data'!#REF!,",",'Inverter-Full Data'!#REF!,",",'Inverter-Full Data'!#REF!,"'")</f>
        <v>#REF!</v>
      </c>
    </row>
    <row r="26" spans="1:1">
      <c r="A26" s="2" t="e">
        <f>CONCATENATE("'",'Inverter-Full Data'!#REF!,"     ",'Inverter-Full Data'!#REF!,",",'Inverter-Full Data'!#REF!,",",'Inverter-Full Data'!#REF!,",",'Inverter-Full Data'!#REF!,"'")</f>
        <v>#REF!</v>
      </c>
    </row>
    <row r="27" spans="1:1">
      <c r="A27" s="2" t="e">
        <f>CONCATENATE("'",'Inverter-Full Data'!#REF!,"     ",'Inverter-Full Data'!#REF!,",",'Inverter-Full Data'!#REF!,",",'Inverter-Full Data'!#REF!,",",'Inverter-Full Data'!#REF!,"'")</f>
        <v>#REF!</v>
      </c>
    </row>
    <row r="28" spans="1:1">
      <c r="A28" s="2" t="e">
        <f>CONCATENATE("'",'Inverter-Full Data'!#REF!,"     ",'Inverter-Full Data'!#REF!,",",'Inverter-Full Data'!#REF!,",",'Inverter-Full Data'!#REF!,",",'Inverter-Full Data'!#REF!,"'")</f>
        <v>#REF!</v>
      </c>
    </row>
    <row r="29" spans="1:1">
      <c r="A29" s="2" t="e">
        <f>CONCATENATE("'",'Inverter-Full Data'!#REF!,"     ",'Inverter-Full Data'!#REF!,",",'Inverter-Full Data'!#REF!,",",'Inverter-Full Data'!#REF!,",",'Inverter-Full Data'!#REF!,"'")</f>
        <v>#REF!</v>
      </c>
    </row>
    <row r="30" spans="1:1">
      <c r="A30" s="2" t="e">
        <f>CONCATENATE("'",'Inverter-Full Data'!#REF!,"     ",'Inverter-Full Data'!#REF!,",",'Inverter-Full Data'!#REF!,",",'Inverter-Full Data'!#REF!,",",'Inverter-Full Data'!#REF!,"'")</f>
        <v>#REF!</v>
      </c>
    </row>
    <row r="31" spans="1:1">
      <c r="A31" s="2" t="e">
        <f>CONCATENATE("'",'Inverter-Full Data'!#REF!,"     ",'Inverter-Full Data'!#REF!,",",'Inverter-Full Data'!#REF!,",",'Inverter-Full Data'!#REF!,",",'Inverter-Full Data'!#REF!,"'")</f>
        <v>#REF!</v>
      </c>
    </row>
    <row r="32" spans="1:1">
      <c r="A32" s="2" t="e">
        <f>CONCATENATE("'",'Inverter-Full Data'!#REF!,"     ",'Inverter-Full Data'!#REF!,",",'Inverter-Full Data'!#REF!,",",'Inverter-Full Data'!#REF!,",",'Inverter-Full Data'!#REF!,"'")</f>
        <v>#REF!</v>
      </c>
    </row>
    <row r="33" spans="1:1">
      <c r="A33" s="2" t="e">
        <f>CONCATENATE("'",'Inverter-Full Data'!#REF!,"     ",'Inverter-Full Data'!#REF!,",",'Inverter-Full Data'!#REF!,",",'Inverter-Full Data'!#REF!,",",'Inverter-Full Data'!#REF!,"'")</f>
        <v>#REF!</v>
      </c>
    </row>
    <row r="34" spans="1:1">
      <c r="A34" s="2" t="e">
        <f>CONCATENATE("'",'Inverter-Full Data'!#REF!,"     ",'Inverter-Full Data'!#REF!,",",'Inverter-Full Data'!#REF!,",",'Inverter-Full Data'!#REF!,",",'Inverter-Full Data'!#REF!,"'")</f>
        <v>#REF!</v>
      </c>
    </row>
    <row r="35" spans="1:1">
      <c r="A35" s="2" t="e">
        <f>CONCATENATE("'",'Inverter-Full Data'!#REF!,"     ",'Inverter-Full Data'!#REF!,",",'Inverter-Full Data'!#REF!,",",'Inverter-Full Data'!#REF!,",",'Inverter-Full Data'!#REF!,"'")</f>
        <v>#REF!</v>
      </c>
    </row>
    <row r="36" spans="1:1">
      <c r="A36" s="2" t="e">
        <f>CONCATENATE("'",'Inverter-Full Data'!#REF!,"     ",'Inverter-Full Data'!#REF!,",",'Inverter-Full Data'!#REF!,",",'Inverter-Full Data'!#REF!,",",'Inverter-Full Data'!#REF!,"'")</f>
        <v>#REF!</v>
      </c>
    </row>
    <row r="37" spans="1:1">
      <c r="A37" s="2" t="e">
        <f>CONCATENATE("'",'Inverter-Full Data'!#REF!,"     ",'Inverter-Full Data'!#REF!,",",'Inverter-Full Data'!#REF!,",",'Inverter-Full Data'!#REF!,",",'Inverter-Full Data'!#REF!,"'")</f>
        <v>#REF!</v>
      </c>
    </row>
    <row r="38" spans="1:1">
      <c r="A38" s="2" t="e">
        <f>CONCATENATE("'",'Inverter-Full Data'!#REF!,"     ",'Inverter-Full Data'!#REF!,",",'Inverter-Full Data'!#REF!,",",'Inverter-Full Data'!#REF!,",",'Inverter-Full Data'!#REF!,"'")</f>
        <v>#REF!</v>
      </c>
    </row>
    <row r="39" spans="1:1">
      <c r="A39" s="2" t="e">
        <f>CONCATENATE("'",'Inverter-Full Data'!#REF!,"     ",'Inverter-Full Data'!#REF!,",",'Inverter-Full Data'!#REF!,",",'Inverter-Full Data'!#REF!,",",'Inverter-Full Data'!#REF!,"'")</f>
        <v>#REF!</v>
      </c>
    </row>
    <row r="40" spans="1:1">
      <c r="A40" s="2" t="e">
        <f>CONCATENATE("'",'Inverter-Full Data'!#REF!,"     ",'Inverter-Full Data'!#REF!,",",'Inverter-Full Data'!#REF!,",",'Inverter-Full Data'!#REF!,",",'Inverter-Full Data'!#REF!,"'")</f>
        <v>#REF!</v>
      </c>
    </row>
    <row r="41" spans="1:1">
      <c r="A41" s="2" t="e">
        <f>CONCATENATE("'",'Inverter-Full Data'!#REF!,"     ",'Inverter-Full Data'!#REF!,",",'Inverter-Full Data'!#REF!,",",'Inverter-Full Data'!#REF!,",",'Inverter-Full Data'!#REF!,"'")</f>
        <v>#REF!</v>
      </c>
    </row>
    <row r="42" spans="1:1">
      <c r="A42" s="2" t="e">
        <f>CONCATENATE("'",'Inverter-Full Data'!#REF!,"     ",'Inverter-Full Data'!#REF!,",",'Inverter-Full Data'!#REF!,",",'Inverter-Full Data'!#REF!,",",'Inverter-Full Data'!#REF!,"'")</f>
        <v>#REF!</v>
      </c>
    </row>
    <row r="43" spans="1:1">
      <c r="A43" s="2" t="e">
        <f>CONCATENATE("'",'Inverter-Full Data'!#REF!,"     ",'Inverter-Full Data'!#REF!,",",'Inverter-Full Data'!#REF!,",",'Inverter-Full Data'!#REF!,",",'Inverter-Full Data'!#REF!,"'")</f>
        <v>#REF!</v>
      </c>
    </row>
    <row r="44" spans="1:1">
      <c r="A44" s="2" t="e">
        <f>CONCATENATE("'",'Inverter-Full Data'!#REF!,"     ",'Inverter-Full Data'!#REF!,",",'Inverter-Full Data'!#REF!,",",'Inverter-Full Data'!#REF!,",",'Inverter-Full Data'!#REF!,"'")</f>
        <v>#REF!</v>
      </c>
    </row>
    <row r="45" spans="1:1">
      <c r="A45" s="2" t="e">
        <f>CONCATENATE("'",'Inverter-Full Data'!#REF!,"     ",'Inverter-Full Data'!#REF!,",",'Inverter-Full Data'!#REF!,",",'Inverter-Full Data'!#REF!,",",'Inverter-Full Data'!#REF!,"'")</f>
        <v>#REF!</v>
      </c>
    </row>
    <row r="46" spans="1:1">
      <c r="A46" s="2" t="e">
        <f>CONCATENATE("'",'Inverter-Full Data'!#REF!,"     ",'Inverter-Full Data'!#REF!,",",'Inverter-Full Data'!#REF!,",",'Inverter-Full Data'!#REF!,",",'Inverter-Full Data'!#REF!,"'")</f>
        <v>#REF!</v>
      </c>
    </row>
    <row r="47" spans="1:1">
      <c r="A47" s="2" t="e">
        <f>CONCATENATE("'",'Inverter-Full Data'!#REF!,"     ",'Inverter-Full Data'!#REF!,",",'Inverter-Full Data'!#REF!,",",'Inverter-Full Data'!#REF!,",",'Inverter-Full Data'!#REF!,"'")</f>
        <v>#REF!</v>
      </c>
    </row>
    <row r="48" spans="1:1">
      <c r="A48" s="2" t="str">
        <f>CONCATENATE("'",'Inverter-Full Data'!A15,"     ",'Inverter-Full Data'!B15,",",'Inverter-Full Data'!S15,",",'Inverter-Full Data'!J15,",",'Inverter-Full Data'!T15,"'")</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Data'!A16,"     ",'Inverter-Full Data'!B16,",",'Inverter-Full Data'!S16,",",'Inverter-Full Data'!J16,",",'Inverter-Full Data'!T16,"'")</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Data'!A17,"     ",'Inverter-Full Data'!B17,",",'Inverter-Full Data'!S17,",",'Inverter-Full Data'!J17,",",'Inverter-Full Data'!T17,"'")</f>
        <v>'ABB     PVI-3.0-OUTD-S-US-A [277V],Y,96,N'</v>
      </c>
    </row>
    <row r="55" spans="1:1">
      <c r="A55" s="2" t="e">
        <f>CONCATENATE("'",'Inverter-Full Data'!#REF!,"     ",'Inverter-Full Data'!#REF!,",",'Inverter-Full Data'!#REF!,",",'Inverter-Full Data'!#REF!,",",'Inverter-Full Data'!#REF!,"'")</f>
        <v>#REF!</v>
      </c>
    </row>
    <row r="56" spans="1:1">
      <c r="A56" s="2" t="e">
        <f>CONCATENATE("'",'Inverter-Full Data'!#REF!,"     ",'Inverter-Full Data'!#REF!,",",'Inverter-Full Data'!#REF!,",",'Inverter-Full Data'!#REF!,",",'Inverter-Full Data'!#REF!,"'")</f>
        <v>#REF!</v>
      </c>
    </row>
    <row r="57" spans="1:1">
      <c r="A57" s="2" t="e">
        <f>CONCATENATE("'",'Inverter-Full Data'!#REF!,"     ",'Inverter-Full Data'!#REF!,",",'Inverter-Full Data'!#REF!,",",'Inverter-Full Data'!#REF!,",",'Inverter-Full Data'!#REF!,"'")</f>
        <v>#REF!</v>
      </c>
    </row>
    <row r="58" spans="1:1">
      <c r="A58" s="2" t="e">
        <f>CONCATENATE("'",'Inverter-Full Data'!#REF!,"     ",'Inverter-Full Data'!#REF!,",",'Inverter-Full Data'!#REF!,",",'Inverter-Full Data'!#REF!,",",'Inverter-Full Data'!#REF!,"'")</f>
        <v>#REF!</v>
      </c>
    </row>
    <row r="59" spans="1:1">
      <c r="A59" s="2" t="e">
        <f>CONCATENATE("'",'Inverter-Full Data'!#REF!,"     ",'Inverter-Full Data'!#REF!,",",'Inverter-Full Data'!#REF!,",",'Inverter-Full Data'!#REF!,",",'Inverter-Full Data'!#REF!,"'")</f>
        <v>#REF!</v>
      </c>
    </row>
    <row r="60" spans="1:1">
      <c r="A60" s="2" t="str">
        <f>CONCATENATE("'",'Inverter-Full Data'!A18,"     ",'Inverter-Full Data'!B18,",",'Inverter-Full Data'!S18,",",'Inverter-Full Data'!J18,",",'Inverter-Full Data'!T18,"'")</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Data'!A19,"     ",'Inverter-Full Data'!B19,",",'Inverter-Full Data'!S19,",",'Inverter-Full Data'!J19,",",'Inverter-Full Data'!T19,"'")</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Data'!A20,"     ",'Inverter-Full Data'!B20,",",'Inverter-Full Data'!S20,",",'Inverter-Full Data'!J20,",",'Inverter-Full Data'!T20,"'")</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Data'!A21,"     ",'Inverter-Full Data'!B21,",",'Inverter-Full Data'!S21,",",'Inverter-Full Data'!J21,",",'Inverter-Full Data'!T21,"'")</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Data'!A22,"     ",'Inverter-Full Data'!B22,",",'Inverter-Full Data'!S22,",",'Inverter-Full Data'!J22,",",'Inverter-Full Data'!T22,"'")</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Data'!A23,"     ",'Inverter-Full Data'!B23,",",'Inverter-Full Data'!S23,",",'Inverter-Full Data'!J23,",",'Inverter-Full Data'!T23,"'")</f>
        <v>'ABB     PVI-3.0-OUTD-S-US-Z-M-A [277V],Y,96,N'</v>
      </c>
    </row>
    <row r="76" spans="1:1">
      <c r="A76" s="2" t="e">
        <f>CONCATENATE("'",'Inverter-Full Data'!#REF!,"     ",'Inverter-Full Data'!#REF!,",",'Inverter-Full Data'!#REF!,",",'Inverter-Full Data'!#REF!,",",'Inverter-Full Data'!#REF!,"'")</f>
        <v>#REF!</v>
      </c>
    </row>
    <row r="77" spans="1:1">
      <c r="A77" s="2" t="e">
        <f>CONCATENATE("'",'Inverter-Full Data'!#REF!,"     ",'Inverter-Full Data'!#REF!,",",'Inverter-Full Data'!#REF!,",",'Inverter-Full Data'!#REF!,",",'Inverter-Full Data'!#REF!,"'")</f>
        <v>#REF!</v>
      </c>
    </row>
    <row r="78" spans="1:1">
      <c r="A78" s="2" t="e">
        <f>CONCATENATE("'",'Inverter-Full Data'!#REF!,"     ",'Inverter-Full Data'!#REF!,",",'Inverter-Full Data'!#REF!,",",'Inverter-Full Data'!#REF!,",",'Inverter-Full Data'!#REF!,"'")</f>
        <v>#REF!</v>
      </c>
    </row>
    <row r="79" spans="1:1">
      <c r="A79" s="2" t="e">
        <f>CONCATENATE("'",'Inverter-Full Data'!#REF!,"     ",'Inverter-Full Data'!#REF!,",",'Inverter-Full Data'!#REF!,",",'Inverter-Full Data'!#REF!,",",'Inverter-Full Data'!#REF!,"'")</f>
        <v>#REF!</v>
      </c>
    </row>
    <row r="80" spans="1:1">
      <c r="A80" s="2" t="e">
        <f>CONCATENATE("'",'Inverter-Full Data'!#REF!,"     ",'Inverter-Full Data'!#REF!,",",'Inverter-Full Data'!#REF!,",",'Inverter-Full Data'!#REF!,",",'Inverter-Full Data'!#REF!,"'")</f>
        <v>#REF!</v>
      </c>
    </row>
    <row r="81" spans="1:1">
      <c r="A81" s="2" t="e">
        <f>CONCATENATE("'",'Inverter-Full Data'!#REF!,"     ",'Inverter-Full Data'!#REF!,",",'Inverter-Full Data'!#REF!,",",'Inverter-Full Data'!#REF!,",",'Inverter-Full Data'!#REF!,"'")</f>
        <v>#REF!</v>
      </c>
    </row>
    <row r="82" spans="1:1">
      <c r="A82" s="2" t="e">
        <f>CONCATENATE("'",'Inverter-Full Data'!#REF!,"     ",'Inverter-Full Data'!#REF!,",",'Inverter-Full Data'!#REF!,",",'Inverter-Full Data'!#REF!,",",'Inverter-Full Data'!#REF!,"'")</f>
        <v>#REF!</v>
      </c>
    </row>
    <row r="83" spans="1:1">
      <c r="A83" s="2" t="e">
        <f>CONCATENATE("'",'Inverter-Full Data'!#REF!,"     ",'Inverter-Full Data'!#REF!,",",'Inverter-Full Data'!#REF!,",",'Inverter-Full Data'!#REF!,",",'Inverter-Full Data'!#REF!,"'")</f>
        <v>#REF!</v>
      </c>
    </row>
    <row r="84" spans="1:1">
      <c r="A84" s="2" t="e">
        <f>CONCATENATE("'",'Inverter-Full Data'!#REF!,"     ",'Inverter-Full Data'!#REF!,",",'Inverter-Full Data'!#REF!,",",'Inverter-Full Data'!#REF!,",",'Inverter-Full Data'!#REF!,"'")</f>
        <v>#REF!</v>
      </c>
    </row>
    <row r="85" spans="1:1">
      <c r="A85" s="2" t="e">
        <f>CONCATENATE("'",'Inverter-Full Data'!#REF!,"     ",'Inverter-Full Data'!#REF!,",",'Inverter-Full Data'!#REF!,",",'Inverter-Full Data'!#REF!,",",'Inverter-Full Data'!#REF!,"'")</f>
        <v>#REF!</v>
      </c>
    </row>
    <row r="86" spans="1:1">
      <c r="A86" s="2" t="e">
        <f>CONCATENATE("'",'Inverter-Full Data'!#REF!,"     ",'Inverter-Full Data'!#REF!,",",'Inverter-Full Data'!#REF!,",",'Inverter-Full Data'!#REF!,",",'Inverter-Full Data'!#REF!,"'")</f>
        <v>#REF!</v>
      </c>
    </row>
    <row r="87" spans="1:1">
      <c r="A87" s="2" t="e">
        <f>CONCATENATE("'",'Inverter-Full Data'!#REF!,"     ",'Inverter-Full Data'!#REF!,",",'Inverter-Full Data'!#REF!,",",'Inverter-Full Data'!#REF!,",",'Inverter-Full Data'!#REF!,"'")</f>
        <v>#REF!</v>
      </c>
    </row>
    <row r="88" spans="1:1">
      <c r="A88" s="2" t="e">
        <f>CONCATENATE("'",'Inverter-Full Data'!#REF!,"     ",'Inverter-Full Data'!#REF!,",",'Inverter-Full Data'!#REF!,",",'Inverter-Full Data'!#REF!,",",'Inverter-Full Data'!#REF!,"'")</f>
        <v>#REF!</v>
      </c>
    </row>
    <row r="89" spans="1:1">
      <c r="A89" s="2" t="e">
        <f>CONCATENATE("'",'Inverter-Full Data'!#REF!,"     ",'Inverter-Full Data'!#REF!,",",'Inverter-Full Data'!#REF!,",",'Inverter-Full Data'!#REF!,",",'Inverter-Full Data'!#REF!,"'")</f>
        <v>#REF!</v>
      </c>
    </row>
    <row r="90" spans="1:1">
      <c r="A90" s="2" t="e">
        <f>CONCATENATE("'",'Inverter-Full Data'!#REF!,"     ",'Inverter-Full Data'!#REF!,",",'Inverter-Full Data'!#REF!,",",'Inverter-Full Data'!#REF!,",",'Inverter-Full Data'!#REF!,"'")</f>
        <v>#REF!</v>
      </c>
    </row>
    <row r="91" spans="1:1">
      <c r="A91" s="2" t="e">
        <f>CONCATENATE("'",'Inverter-Full Data'!#REF!,"     ",'Inverter-Full Data'!#REF!,",",'Inverter-Full Data'!#REF!,",",'Inverter-Full Data'!#REF!,",",'Inverter-Full Data'!#REF!,"'")</f>
        <v>#REF!</v>
      </c>
    </row>
    <row r="92" spans="1:1">
      <c r="A92" s="2" t="e">
        <f>CONCATENATE("'",'Inverter-Full Data'!#REF!,"     ",'Inverter-Full Data'!#REF!,",",'Inverter-Full Data'!#REF!,",",'Inverter-Full Data'!#REF!,",",'Inverter-Full Data'!#REF!,"'")</f>
        <v>#REF!</v>
      </c>
    </row>
    <row r="93" spans="1:1">
      <c r="A93" s="2" t="e">
        <f>CONCATENATE("'",'Inverter-Full Data'!#REF!,"     ",'Inverter-Full Data'!#REF!,",",'Inverter-Full Data'!#REF!,",",'Inverter-Full Data'!#REF!,",",'Inverter-Full Data'!#REF!,"'")</f>
        <v>#REF!</v>
      </c>
    </row>
    <row r="94" spans="1:1">
      <c r="A94" s="2" t="e">
        <f>CONCATENATE("'",'Inverter-Full Data'!#REF!,"     ",'Inverter-Full Data'!#REF!,",",'Inverter-Full Data'!#REF!,",",'Inverter-Full Data'!#REF!,",",'Inverter-Full Data'!#REF!,"'")</f>
        <v>#REF!</v>
      </c>
    </row>
    <row r="95" spans="1:1">
      <c r="A95" s="2" t="e">
        <f>CONCATENATE("'",'Inverter-Full Data'!#REF!,"     ",'Inverter-Full Data'!#REF!,",",'Inverter-Full Data'!#REF!,",",'Inverter-Full Data'!#REF!,",",'Inverter-Full Data'!#REF!,"'")</f>
        <v>#REF!</v>
      </c>
    </row>
    <row r="96" spans="1:1">
      <c r="A96" s="2" t="e">
        <f>CONCATENATE("'",'Inverter-Full Data'!#REF!,"     ",'Inverter-Full Data'!#REF!,",",'Inverter-Full Data'!#REF!,",",'Inverter-Full Data'!#REF!,",",'Inverter-Full Data'!#REF!,"'")</f>
        <v>#REF!</v>
      </c>
    </row>
    <row r="97" spans="1:1">
      <c r="A97" s="2" t="e">
        <f>CONCATENATE("'",'Inverter-Full Data'!#REF!,"     ",'Inverter-Full Data'!#REF!,",",'Inverter-Full Data'!#REF!,",",'Inverter-Full Data'!#REF!,",",'Inverter-Full Data'!#REF!,"'")</f>
        <v>#REF!</v>
      </c>
    </row>
    <row r="98" spans="1:1">
      <c r="A98" s="2" t="e">
        <f>CONCATENATE("'",'Inverter-Full Data'!#REF!,"     ",'Inverter-Full Data'!#REF!,",",'Inverter-Full Data'!#REF!,",",'Inverter-Full Data'!#REF!,",",'Inverter-Full Data'!#REF!,"'")</f>
        <v>#REF!</v>
      </c>
    </row>
    <row r="99" spans="1:1">
      <c r="A99" s="2" t="e">
        <f>CONCATENATE("'",'Inverter-Full Data'!#REF!,"     ",'Inverter-Full Data'!#REF!,",",'Inverter-Full Data'!#REF!,",",'Inverter-Full Data'!#REF!,",",'Inverter-Full Data'!#REF!,"'")</f>
        <v>#REF!</v>
      </c>
    </row>
    <row r="100" spans="1:1">
      <c r="A100" s="2" t="e">
        <f>CONCATENATE("'",'Inverter-Full Data'!#REF!,"     ",'Inverter-Full Data'!#REF!,",",'Inverter-Full Data'!#REF!,",",'Inverter-Full Data'!#REF!,",",'Inverter-Full Data'!#REF!,"'")</f>
        <v>#REF!</v>
      </c>
    </row>
    <row r="101" spans="1:1">
      <c r="A101" s="2" t="e">
        <f>CONCATENATE("'",'Inverter-Full Data'!#REF!,"     ",'Inverter-Full Data'!#REF!,",",'Inverter-Full Data'!#REF!,",",'Inverter-Full Data'!#REF!,",",'Inverter-Full Data'!#REF!,"'")</f>
        <v>#REF!</v>
      </c>
    </row>
    <row r="102" spans="1:1">
      <c r="A102" s="2" t="e">
        <f>CONCATENATE("'",'Inverter-Full Data'!#REF!,"     ",'Inverter-Full Data'!#REF!,",",'Inverter-Full Data'!#REF!,",",'Inverter-Full Data'!#REF!,",",'Inverter-Full Data'!#REF!,"'")</f>
        <v>#REF!</v>
      </c>
    </row>
    <row r="103" spans="1:1">
      <c r="A103" s="2" t="e">
        <f>CONCATENATE("'",'Inverter-Full Data'!#REF!,"     ",'Inverter-Full Data'!#REF!,",",'Inverter-Full Data'!#REF!,",",'Inverter-Full Data'!#REF!,",",'Inverter-Full Data'!#REF!,"'")</f>
        <v>#REF!</v>
      </c>
    </row>
    <row r="104" spans="1:1">
      <c r="A104" s="2" t="e">
        <f>CONCATENATE("'",'Inverter-Full Data'!#REF!,"     ",'Inverter-Full Data'!#REF!,",",'Inverter-Full Data'!#REF!,",",'Inverter-Full Data'!#REF!,",",'Inverter-Full Data'!#REF!,"'")</f>
        <v>#REF!</v>
      </c>
    </row>
    <row r="105" spans="1:1">
      <c r="A105" s="2" t="e">
        <f>CONCATENATE("'",'Inverter-Full Data'!#REF!,"     ",'Inverter-Full Data'!#REF!,",",'Inverter-Full Data'!#REF!,",",'Inverter-Full Data'!#REF!,",",'Inverter-Full Data'!#REF!,"'")</f>
        <v>#REF!</v>
      </c>
    </row>
    <row r="106" spans="1:1">
      <c r="A106" s="2" t="e">
        <f>CONCATENATE("'",'Inverter-Full Data'!#REF!,"     ",'Inverter-Full Data'!#REF!,",",'Inverter-Full Data'!#REF!,",",'Inverter-Full Data'!#REF!,",",'Inverter-Full Data'!#REF!,"'")</f>
        <v>#REF!</v>
      </c>
    </row>
    <row r="107" spans="1:1">
      <c r="A107" s="2" t="e">
        <f>CONCATENATE("'",'Inverter-Full Data'!#REF!,"     ",'Inverter-Full Data'!#REF!,",",'Inverter-Full Data'!#REF!,",",'Inverter-Full Data'!#REF!,",",'Inverter-Full Data'!#REF!,"'")</f>
        <v>#REF!</v>
      </c>
    </row>
    <row r="108" spans="1:1">
      <c r="A108" s="2" t="e">
        <f>CONCATENATE("'",'Inverter-Full Data'!#REF!,"     ",'Inverter-Full Data'!#REF!,",",'Inverter-Full Data'!#REF!,",",'Inverter-Full Data'!#REF!,",",'Inverter-Full Data'!#REF!,"'")</f>
        <v>#REF!</v>
      </c>
    </row>
    <row r="109" spans="1:1">
      <c r="A109" s="2" t="e">
        <f>CONCATENATE("'",'Inverter-Full Data'!#REF!,"     ",'Inverter-Full Data'!#REF!,",",'Inverter-Full Data'!#REF!,",",'Inverter-Full Data'!#REF!,",",'Inverter-Full Data'!#REF!,"'")</f>
        <v>#REF!</v>
      </c>
    </row>
    <row r="110" spans="1:1">
      <c r="A110" s="2" t="str">
        <f>CONCATENATE("'",'Inverter-Full Data'!A24,"     ",'Inverter-Full Data'!B24,",",'Inverter-Full Data'!S24,",",'Inverter-Full Data'!J24,",",'Inverter-Full Data'!T24,"'")</f>
        <v>'ABB     UNO-DM-3.3-TL-PLUS-US-SB-RA [208V],Y,96,N'</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str">
        <f>CONCATENATE("'",'Inverter-Full Data'!A25,"     ",'Inverter-Full Data'!B25,",",'Inverter-Full Data'!S25,",",'Inverter-Full Data'!J25,",",'Inverter-Full Data'!T25,"'")</f>
        <v>'ABB     UNO-DM-3.3-TL-PLUS-US-SE-RA [208V],Y,96,N'</v>
      </c>
    </row>
    <row r="115" spans="1:1">
      <c r="A115" s="2" t="str">
        <f>CONCATENATE("'",'Inverter-Full Data'!A26,"     ",'Inverter-Full Data'!B26,",",'Inverter-Full Data'!S26,",",'Inverter-Full Data'!J26,",",'Inverter-Full Data'!T26,"'")</f>
        <v>'ABB     UNO-DM-3.3-TL-PLUS-US-SZM-RA [208V],Y,96,N'</v>
      </c>
    </row>
    <row r="116" spans="1:1">
      <c r="A116" s="2" t="str">
        <f>CONCATENATE("'",'Inverter-Full Data'!A27,"     ",'Inverter-Full Data'!B27,",",'Inverter-Full Data'!S27,",",'Inverter-Full Data'!J27,",",'Inverter-Full Data'!T27,"'")</f>
        <v>'ABB     UNO-DM-3.3-TL-PLUS-US-SZ-RA [208V],Y,96,N'</v>
      </c>
    </row>
    <row r="117" spans="1:1">
      <c r="A117" s="2" t="e">
        <f>CONCATENATE("'",'Inverter-Full Data'!#REF!,"     ",'Inverter-Full Data'!#REF!,",",'Inverter-Full Data'!#REF!,",",'Inverter-Full Data'!#REF!,",",'Inverter-Full Data'!#REF!,"'")</f>
        <v>#REF!</v>
      </c>
    </row>
    <row r="118" spans="1:1">
      <c r="A118" s="2" t="str">
        <f>CONCATENATE("'",'Inverter-Full Data'!A28,"     ",'Inverter-Full Data'!B28,",",'Inverter-Full Data'!S28,",",'Inverter-Full Data'!J28,",",'Inverter-Full Data'!T28,"'")</f>
        <v>'ABB     UNO-DM-3.3-TL-PLUS-US-SB-RA [240V],Y,96.5,N'</v>
      </c>
    </row>
    <row r="119" spans="1:1">
      <c r="A119" s="2" t="e">
        <f>CONCATENATE("'",'Inverter-Full Data'!#REF!,"     ",'Inverter-Full Data'!#REF!,",",'Inverter-Full Data'!#REF!,",",'Inverter-Full Data'!#REF!,",",'Inverter-Full Data'!#REF!,"'")</f>
        <v>#REF!</v>
      </c>
    </row>
    <row r="120" spans="1:1">
      <c r="A120" s="2" t="str">
        <f>CONCATENATE("'",'Inverter-Full Data'!A29,"     ",'Inverter-Full Data'!B29,",",'Inverter-Full Data'!S29,",",'Inverter-Full Data'!J29,",",'Inverter-Full Data'!T29,"'")</f>
        <v>'ABB     UNO-DM-3.3-TL-PLUS-US-SE-RA [240V],Y,96.5,N'</v>
      </c>
    </row>
    <row r="121" spans="1:1">
      <c r="A121" s="2" t="str">
        <f>CONCATENATE("'",'Inverter-Full Data'!A30,"     ",'Inverter-Full Data'!B30,",",'Inverter-Full Data'!S30,",",'Inverter-Full Data'!J30,",",'Inverter-Full Data'!T30,"'")</f>
        <v>'ABB     UNO-DM-3.3-TL-PLUS-US-SZM-RA [240V],Y,96.5,N'</v>
      </c>
    </row>
    <row r="122" spans="1:1">
      <c r="A122" s="2" t="e">
        <f>CONCATENATE("'",'Inverter-Full Data'!#REF!,"     ",'Inverter-Full Data'!#REF!,",",'Inverter-Full Data'!#REF!,",",'Inverter-Full Data'!#REF!,",",'Inverter-Full Data'!#REF!,"'")</f>
        <v>#REF!</v>
      </c>
    </row>
    <row r="123" spans="1:1">
      <c r="A123" s="2" t="str">
        <f>CONCATENATE("'",'Inverter-Full Data'!A31,"     ",'Inverter-Full Data'!B31,",",'Inverter-Full Data'!S31,",",'Inverter-Full Data'!J31,",",'Inverter-Full Data'!T31,"'")</f>
        <v>'ABB     UNO-DM-3.3-TL-PLUS-US-SZ-RA [240V],Y,96.5,N'</v>
      </c>
    </row>
    <row r="124" spans="1:1">
      <c r="A124" s="2" t="str">
        <f>CONCATENATE("'",'Inverter-Full Data'!A32,"     ",'Inverter-Full Data'!B32,",",'Inverter-Full Data'!S32,",",'Inverter-Full Data'!J32,",",'Inverter-Full Data'!T32,"'")</f>
        <v>'ABB     UNO-DM-3.8-TL-PLUS-US-SB-RA [208V],Y,96,N'</v>
      </c>
    </row>
    <row r="125" spans="1:1">
      <c r="A125" s="2" t="e">
        <f>CONCATENATE("'",'Inverter-Full Data'!#REF!,"     ",'Inverter-Full Data'!#REF!,",",'Inverter-Full Data'!#REF!,",",'Inverter-Full Data'!#REF!,",",'Inverter-Full Data'!#REF!,"'")</f>
        <v>#REF!</v>
      </c>
    </row>
    <row r="126" spans="1:1">
      <c r="A126" s="2" t="str">
        <f>CONCATENATE("'",'Inverter-Full Data'!A33,"     ",'Inverter-Full Data'!B33,",",'Inverter-Full Data'!S33,",",'Inverter-Full Data'!J33,",",'Inverter-Full Data'!T33,"'")</f>
        <v>'ABB     UNO-DM-3.8-TL-PLUS-US-SE-RA [208V],Y,96,N'</v>
      </c>
    </row>
    <row r="127" spans="1:1">
      <c r="A127" s="2" t="str">
        <f>CONCATENATE("'",'Inverter-Full Data'!A34,"     ",'Inverter-Full Data'!B34,",",'Inverter-Full Data'!S34,",",'Inverter-Full Data'!J34,",",'Inverter-Full Data'!T34,"'")</f>
        <v>'ABB     UNO-DM-3.8-TL-PLUS-US-SZM-RA [208V],Y,96,N'</v>
      </c>
    </row>
    <row r="128" spans="1:1">
      <c r="A128" s="2" t="str">
        <f>CONCATENATE("'",'Inverter-Full Data'!A35,"     ",'Inverter-Full Data'!B35,",",'Inverter-Full Data'!S35,",",'Inverter-Full Data'!J35,",",'Inverter-Full Data'!T35,"'")</f>
        <v>'ABB     UNO-DM-3.8-TL-PLUS-US-SZ-RA [208V],Y,96,N'</v>
      </c>
    </row>
    <row r="129" spans="1:1">
      <c r="A129" s="2" t="e">
        <f>CONCATENATE("'",'Inverter-Full Data'!#REF!,"     ",'Inverter-Full Data'!#REF!,",",'Inverter-Full Data'!#REF!,",",'Inverter-Full Data'!#REF!,",",'Inverter-Full Data'!#REF!,"'")</f>
        <v>#REF!</v>
      </c>
    </row>
    <row r="130" spans="1:1">
      <c r="A130" s="2" t="e">
        <f>CONCATENATE("'",'Inverter-Full Data'!#REF!,"     ",'Inverter-Full Data'!#REF!,",",'Inverter-Full Data'!#REF!,",",'Inverter-Full Data'!#REF!,",",'Inverter-Full Data'!#REF!,"'")</f>
        <v>#REF!</v>
      </c>
    </row>
    <row r="131" spans="1:1">
      <c r="A131" s="2" t="e">
        <f>CONCATENATE("'",'Inverter-Full Data'!#REF!,"     ",'Inverter-Full Data'!#REF!,",",'Inverter-Full Data'!#REF!,",",'Inverter-Full Data'!#REF!,",",'Inverter-Full Data'!#REF!,"'")</f>
        <v>#REF!</v>
      </c>
    </row>
    <row r="132" spans="1:1">
      <c r="A132" s="2" t="e">
        <f>CONCATENATE("'",'Inverter-Full Data'!#REF!,"     ",'Inverter-Full Data'!#REF!,",",'Inverter-Full Data'!#REF!,",",'Inverter-Full Data'!#REF!,",",'Inverter-Full Data'!#REF!,"'")</f>
        <v>#REF!</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Data'!A36,"     ",'Inverter-Full Data'!B36,",",'Inverter-Full Data'!S36,",",'Inverter-Full Data'!J36,",",'Inverter-Full Data'!T36,"'")</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Data'!A37,"     ",'Inverter-Full Data'!B37,",",'Inverter-Full Data'!S37,",",'Inverter-Full Data'!J37,",",'Inverter-Full Data'!T37,"'")</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Data'!A38,"     ",'Inverter-Full Data'!B38,",",'Inverter-Full Data'!S38,",",'Inverter-Full Data'!J38,",",'Inverter-Full Data'!T38,"'")</f>
        <v>'ABB     PVI-3.6-OUTD-S-US-A [277V],Y,96,N'</v>
      </c>
    </row>
    <row r="142" spans="1:1">
      <c r="A142" s="2" t="e">
        <f>CONCATENATE("'",'Inverter-Full Data'!#REF!,"     ",'Inverter-Full Data'!#REF!,",",'Inverter-Full Data'!#REF!,",",'Inverter-Full Data'!#REF!,",",'Inverter-Full Data'!#REF!,"'")</f>
        <v>#REF!</v>
      </c>
    </row>
    <row r="143" spans="1:1">
      <c r="A143" s="2" t="e">
        <f>CONCATENATE("'",'Inverter-Full Data'!#REF!,"     ",'Inverter-Full Data'!#REF!,",",'Inverter-Full Data'!#REF!,",",'Inverter-Full Data'!#REF!,",",'Inverter-Full Data'!#REF!,"'")</f>
        <v>#REF!</v>
      </c>
    </row>
    <row r="144" spans="1:1">
      <c r="A144" s="2" t="e">
        <f>CONCATENATE("'",'Inverter-Full Data'!#REF!,"     ",'Inverter-Full Data'!#REF!,",",'Inverter-Full Data'!#REF!,",",'Inverter-Full Data'!#REF!,",",'Inverter-Full Data'!#REF!,"'")</f>
        <v>#REF!</v>
      </c>
    </row>
    <row r="145" spans="1:1">
      <c r="A145" s="2" t="e">
        <f>CONCATENATE("'",'Inverter-Full Data'!#REF!,"     ",'Inverter-Full Data'!#REF!,",",'Inverter-Full Data'!#REF!,",",'Inverter-Full Data'!#REF!,",",'Inverter-Full Data'!#REF!,"'")</f>
        <v>#REF!</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Data'!A39,"     ",'Inverter-Full Data'!B39,",",'Inverter-Full Data'!S39,",",'Inverter-Full Data'!J39,",",'Inverter-Full Data'!T39,"'")</f>
        <v>'ABB     PVI-3.6-OUTD-S-US-Z-A [208V],Y,96,N'</v>
      </c>
    </row>
    <row r="149" spans="1:1">
      <c r="A149" s="2" t="e">
        <f>CONCATENATE("'",'Inverter-Full Data'!#REF!,"     ",'Inverter-Full Data'!#REF!,",",'Inverter-Full Data'!#REF!,",",'Inverter-Full Data'!#REF!,",",'Inverter-Full Data'!#REF!,"'")</f>
        <v>#REF!</v>
      </c>
    </row>
    <row r="150" spans="1:1">
      <c r="A150" s="2" t="str">
        <f>CONCATENATE("'",'Inverter-Full Data'!A40,"     ",'Inverter-Full Data'!B40,",",'Inverter-Full Data'!S40,",",'Inverter-Full Data'!J40,",",'Inverter-Full Data'!T40,"'")</f>
        <v>'ABB     PVI-3.6-OUTD-S-US-Z-A [240V],Y,96,N'</v>
      </c>
    </row>
    <row r="151" spans="1:1">
      <c r="A151" s="2" t="e">
        <f>CONCATENATE("'",'Inverter-Full Data'!#REF!,"     ",'Inverter-Full Data'!#REF!,",",'Inverter-Full Data'!#REF!,",",'Inverter-Full Data'!#REF!,",",'Inverter-Full Data'!#REF!,"'")</f>
        <v>#REF!</v>
      </c>
    </row>
    <row r="152" spans="1:1">
      <c r="A152" s="2" t="str">
        <f>CONCATENATE("'",'Inverter-Full Data'!A41,"     ",'Inverter-Full Data'!B41,",",'Inverter-Full Data'!S41,",",'Inverter-Full Data'!J41,",",'Inverter-Full Data'!T41,"'")</f>
        <v>'ABB     PVI-3.6-OUTD-S-US-Z-A [277V],Y,96,N'</v>
      </c>
    </row>
    <row r="153" spans="1:1">
      <c r="A153" s="2" t="e">
        <f>CONCATENATE("'",'Inverter-Full Data'!#REF!,"     ",'Inverter-Full Data'!#REF!,",",'Inverter-Full Data'!#REF!,",",'Inverter-Full Data'!#REF!,",",'Inverter-Full Data'!#REF!,"'")</f>
        <v>#REF!</v>
      </c>
    </row>
    <row r="154" spans="1:1">
      <c r="A154" s="2" t="str">
        <f>CONCATENATE("'",'Inverter-Full Data'!A42,"     ",'Inverter-Full Data'!B42,",",'Inverter-Full Data'!S42,",",'Inverter-Full Data'!J42,",",'Inverter-Full Data'!T42,"'")</f>
        <v>'ABB     PVI-3.6-OUTD-S-US-Z-M-A [208V],Y,96,N'</v>
      </c>
    </row>
    <row r="155" spans="1:1">
      <c r="A155" s="2" t="e">
        <f>CONCATENATE("'",'Inverter-Full Data'!#REF!,"     ",'Inverter-Full Data'!#REF!,",",'Inverter-Full Data'!#REF!,",",'Inverter-Full Data'!#REF!,",",'Inverter-Full Data'!#REF!,"'")</f>
        <v>#REF!</v>
      </c>
    </row>
    <row r="156" spans="1:1">
      <c r="A156" s="2" t="str">
        <f>CONCATENATE("'",'Inverter-Full Data'!A43,"     ",'Inverter-Full Data'!B43,",",'Inverter-Full Data'!S43,",",'Inverter-Full Data'!J43,",",'Inverter-Full Data'!T43,"'")</f>
        <v>'ABB     PVI-3.6-OUTD-S-US-Z-M-A [240V],Y,96,N'</v>
      </c>
    </row>
    <row r="157" spans="1:1">
      <c r="A157" s="2" t="e">
        <f>CONCATENATE("'",'Inverter-Full Data'!#REF!,"     ",'Inverter-Full Data'!#REF!,",",'Inverter-Full Data'!#REF!,",",'Inverter-Full Data'!#REF!,",",'Inverter-Full Data'!#REF!,"'")</f>
        <v>#REF!</v>
      </c>
    </row>
    <row r="158" spans="1:1">
      <c r="A158" s="2" t="str">
        <f>CONCATENATE("'",'Inverter-Full Data'!A44,"     ",'Inverter-Full Data'!B44,",",'Inverter-Full Data'!S44,",",'Inverter-Full Data'!J44,",",'Inverter-Full Data'!T44,"'")</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e">
        <f>CONCATENATE("'",'Inverter-Full Data'!#REF!,"     ",'Inverter-Full Data'!#REF!,",",'Inverter-Full Data'!#REF!,",",'Inverter-Full Data'!#REF!,",",'Inverter-Full Data'!#REF!,"'")</f>
        <v>#REF!</v>
      </c>
    </row>
    <row r="163" spans="1:1">
      <c r="A163" s="2" t="e">
        <f>CONCATENATE("'",'Inverter-Full Data'!#REF!,"     ",'Inverter-Full Data'!#REF!,",",'Inverter-Full Data'!#REF!,",",'Inverter-Full Data'!#REF!,",",'Inverter-Full Data'!#REF!,"'")</f>
        <v>#REF!</v>
      </c>
    </row>
    <row r="164" spans="1:1">
      <c r="A164" s="2" t="e">
        <f>CONCATENATE("'",'Inverter-Full Data'!#REF!,"     ",'Inverter-Full Data'!#REF!,",",'Inverter-Full Data'!#REF!,",",'Inverter-Full Data'!#REF!,",",'Inverter-Full Data'!#REF!,"'")</f>
        <v>#REF!</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e">
        <f>CONCATENATE("'",'Inverter-Full Data'!#REF!,"     ",'Inverter-Full Data'!#REF!,",",'Inverter-Full Data'!#REF!,",",'Inverter-Full Data'!#REF!,",",'Inverter-Full Data'!#REF!,"'")</f>
        <v>#REF!</v>
      </c>
    </row>
    <row r="168" spans="1:1">
      <c r="A168" s="2" t="e">
        <f>CONCATENATE("'",'Inverter-Full Data'!#REF!,"     ",'Inverter-Full Data'!#REF!,",",'Inverter-Full Data'!#REF!,",",'Inverter-Full Data'!#REF!,",",'Inverter-Full Data'!#REF!,"'")</f>
        <v>#REF!</v>
      </c>
    </row>
    <row r="169" spans="1:1">
      <c r="A169" s="2" t="e">
        <f>CONCATENATE("'",'Inverter-Full Data'!#REF!,"     ",'Inverter-Full Data'!#REF!,",",'Inverter-Full Data'!#REF!,",",'Inverter-Full Data'!#REF!,",",'Inverter-Full Data'!#REF!,"'")</f>
        <v>#REF!</v>
      </c>
    </row>
    <row r="170" spans="1:1">
      <c r="A170" s="2" t="e">
        <f>CONCATENATE("'",'Inverter-Full Data'!#REF!,"     ",'Inverter-Full Data'!#REF!,",",'Inverter-Full Data'!#REF!,",",'Inverter-Full Data'!#REF!,",",'Inverter-Full Data'!#REF!,"'")</f>
        <v>#REF!</v>
      </c>
    </row>
    <row r="171" spans="1:1">
      <c r="A171" s="2" t="e">
        <f>CONCATENATE("'",'Inverter-Full Data'!#REF!,"     ",'Inverter-Full Data'!#REF!,",",'Inverter-Full Data'!#REF!,",",'Inverter-Full Data'!#REF!,",",'Inverter-Full Data'!#REF!,"'")</f>
        <v>#REF!</v>
      </c>
    </row>
    <row r="172" spans="1:1">
      <c r="A172" s="2" t="e">
        <f>CONCATENATE("'",'Inverter-Full Data'!#REF!,"     ",'Inverter-Full Data'!#REF!,",",'Inverter-Full Data'!#REF!,",",'Inverter-Full Data'!#REF!,",",'Inverter-Full Data'!#REF!,"'")</f>
        <v>#REF!</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Data'!A45,"     ",'Inverter-Full Data'!B45,",",'Inverter-Full Data'!S45,",",'Inverter-Full Data'!J45,",",'Inverter-Full Data'!T45,"'")</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Data'!A46,"     ",'Inverter-Full Data'!B46,",",'Inverter-Full Data'!S46,",",'Inverter-Full Data'!J46,",",'Inverter-Full Data'!T46,"'")</f>
        <v>'ABB     PVI-3.8-OUTD-S-US-A [240V],Y,96,N'</v>
      </c>
    </row>
    <row r="179" spans="1:1">
      <c r="A179" s="2" t="e">
        <f>CONCATENATE("'",'Inverter-Full Data'!#REF!,"     ",'Inverter-Full Data'!#REF!,",",'Inverter-Full Data'!#REF!,",",'Inverter-Full Data'!#REF!,",",'Inverter-Full Data'!#REF!,"'")</f>
        <v>#REF!</v>
      </c>
    </row>
    <row r="180" spans="1:1">
      <c r="A180" s="2" t="str">
        <f>CONCATENATE("'",'Inverter-Full Data'!A47,"     ",'Inverter-Full Data'!B47,",",'Inverter-Full Data'!S47,",",'Inverter-Full Data'!J47,",",'Inverter-Full Data'!T47,"'")</f>
        <v>'ABB     PVI-3.8-OUTD-S-US-A [277V],Y,96,N'</v>
      </c>
    </row>
    <row r="181" spans="1:1">
      <c r="A181" s="2" t="e">
        <f>CONCATENATE("'",'Inverter-Full Data'!#REF!,"     ",'Inverter-Full Data'!#REF!,",",'Inverter-Full Data'!#REF!,",",'Inverter-Full Data'!#REF!,",",'Inverter-Full Data'!#REF!,"'")</f>
        <v>#REF!</v>
      </c>
    </row>
    <row r="182" spans="1:1">
      <c r="A182" s="2" t="e">
        <f>CONCATENATE("'",'Inverter-Full Data'!#REF!,"     ",'Inverter-Full Data'!#REF!,",",'Inverter-Full Data'!#REF!,",",'Inverter-Full Data'!#REF!,",",'Inverter-Full Data'!#REF!,"'")</f>
        <v>#REF!</v>
      </c>
    </row>
    <row r="183" spans="1:1">
      <c r="A183" s="2" t="e">
        <f>CONCATENATE("'",'Inverter-Full Data'!#REF!,"     ",'Inverter-Full Data'!#REF!,",",'Inverter-Full Data'!#REF!,",",'Inverter-Full Data'!#REF!,",",'Inverter-Full Data'!#REF!,"'")</f>
        <v>#REF!</v>
      </c>
    </row>
    <row r="184" spans="1:1">
      <c r="A184" s="2" t="e">
        <f>CONCATENATE("'",'Inverter-Full Data'!#REF!,"     ",'Inverter-Full Data'!#REF!,",",'Inverter-Full Data'!#REF!,",",'Inverter-Full Data'!#REF!,",",'Inverter-Full Data'!#REF!,"'")</f>
        <v>#REF!</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Data'!A48,"     ",'Inverter-Full Data'!B48,",",'Inverter-Full Data'!S48,",",'Inverter-Full Data'!J48,",",'Inverter-Full Data'!T48,"'")</f>
        <v>'ABB     PVI-3.8-OUTD-S-US-Z-A [208V],Y,95.5,N'</v>
      </c>
    </row>
    <row r="188" spans="1:1">
      <c r="A188" s="2" t="e">
        <f>CONCATENATE("'",'Inverter-Full Data'!#REF!,"     ",'Inverter-Full Data'!#REF!,",",'Inverter-Full Data'!#REF!,",",'Inverter-Full Data'!#REF!,",",'Inverter-Full Data'!#REF!,"'")</f>
        <v>#REF!</v>
      </c>
    </row>
    <row r="189" spans="1:1">
      <c r="A189" s="2" t="str">
        <f>CONCATENATE("'",'Inverter-Full Data'!A49,"     ",'Inverter-Full Data'!B49,",",'Inverter-Full Data'!S49,",",'Inverter-Full Data'!J49,",",'Inverter-Full Data'!T49,"'")</f>
        <v>'ABB     PVI-3.8-OUTD-S-US-Z-A [240V],Y,96,N'</v>
      </c>
    </row>
    <row r="190" spans="1:1">
      <c r="A190" s="2" t="e">
        <f>CONCATENATE("'",'Inverter-Full Data'!#REF!,"     ",'Inverter-Full Data'!#REF!,",",'Inverter-Full Data'!#REF!,",",'Inverter-Full Data'!#REF!,",",'Inverter-Full Data'!#REF!,"'")</f>
        <v>#REF!</v>
      </c>
    </row>
    <row r="191" spans="1:1">
      <c r="A191" s="2" t="str">
        <f>CONCATENATE("'",'Inverter-Full Data'!A50,"     ",'Inverter-Full Data'!B50,",",'Inverter-Full Data'!S50,",",'Inverter-Full Data'!J50,",",'Inverter-Full Data'!T50,"'")</f>
        <v>'ABB     PVI-3.8-OUTD-S-US-Z-A [277V],Y,96,N'</v>
      </c>
    </row>
    <row r="192" spans="1:1">
      <c r="A192" s="2" t="e">
        <f>CONCATENATE("'",'Inverter-Full Data'!#REF!,"     ",'Inverter-Full Data'!#REF!,",",'Inverter-Full Data'!#REF!,",",'Inverter-Full Data'!#REF!,",",'Inverter-Full Data'!#REF!,"'")</f>
        <v>#REF!</v>
      </c>
    </row>
    <row r="193" spans="1:1">
      <c r="A193" s="2" t="str">
        <f>CONCATENATE("'",'Inverter-Full Data'!A51,"     ",'Inverter-Full Data'!B51,",",'Inverter-Full Data'!S51,",",'Inverter-Full Data'!J51,",",'Inverter-Full Data'!T51,"'")</f>
        <v>'ABB     PVI-3.8-OUTD-S-US-Z-M-A [208V],Y,95.5,N'</v>
      </c>
    </row>
    <row r="194" spans="1:1">
      <c r="A194" s="2" t="e">
        <f>CONCATENATE("'",'Inverter-Full Data'!#REF!,"     ",'Inverter-Full Data'!#REF!,",",'Inverter-Full Data'!#REF!,",",'Inverter-Full Data'!#REF!,",",'Inverter-Full Data'!#REF!,"'")</f>
        <v>#REF!</v>
      </c>
    </row>
    <row r="195" spans="1:1">
      <c r="A195" s="2" t="str">
        <f>CONCATENATE("'",'Inverter-Full Data'!A52,"     ",'Inverter-Full Data'!B52,",",'Inverter-Full Data'!S52,",",'Inverter-Full Data'!J52,",",'Inverter-Full Data'!T52,"'")</f>
        <v>'ABB     PVI-3.8-OUTD-S-US-Z-M-A [240V],Y,96,N'</v>
      </c>
    </row>
    <row r="196" spans="1:1">
      <c r="A196" s="2" t="e">
        <f>CONCATENATE("'",'Inverter-Full Data'!#REF!,"     ",'Inverter-Full Data'!#REF!,",",'Inverter-Full Data'!#REF!,",",'Inverter-Full Data'!#REF!,",",'Inverter-Full Data'!#REF!,"'")</f>
        <v>#REF!</v>
      </c>
    </row>
    <row r="197" spans="1:1">
      <c r="A197" s="2" t="str">
        <f>CONCATENATE("'",'Inverter-Full Data'!A53,"     ",'Inverter-Full Data'!B53,",",'Inverter-Full Data'!S53,",",'Inverter-Full Data'!J53,",",'Inverter-Full Data'!T53,"'")</f>
        <v>'ABB     PVI-3.8-OUTD-S-US-Z-M-A [277V],Y,96,N'</v>
      </c>
    </row>
    <row r="198" spans="1:1">
      <c r="A198" s="2" t="e">
        <f>CONCATENATE("'",'Inverter-Full Data'!#REF!,"     ",'Inverter-Full Data'!#REF!,",",'Inverter-Full Data'!#REF!,",",'Inverter-Full Data'!#REF!,",",'Inverter-Full Data'!#REF!,"'")</f>
        <v>#REF!</v>
      </c>
    </row>
    <row r="199" spans="1:1">
      <c r="A199" s="2" t="e">
        <f>CONCATENATE("'",'Inverter-Full Data'!#REF!,"     ",'Inverter-Full Data'!#REF!,",",'Inverter-Full Data'!#REF!,",",'Inverter-Full Data'!#REF!,",",'Inverter-Full Data'!#REF!,"'")</f>
        <v>#REF!</v>
      </c>
    </row>
    <row r="200" spans="1:1">
      <c r="A200" s="2" t="e">
        <f>CONCATENATE("'",'Inverter-Full Data'!#REF!,"     ",'Inverter-Full Data'!#REF!,",",'Inverter-Full Data'!#REF!,",",'Inverter-Full Data'!#REF!,",",'Inverter-Full Data'!#REF!,"'")</f>
        <v>#REF!</v>
      </c>
    </row>
    <row r="201" spans="1:1">
      <c r="A201" s="2" t="e">
        <f>CONCATENATE("'",'Inverter-Full Data'!#REF!,"     ",'Inverter-Full Data'!#REF!,",",'Inverter-Full Data'!#REF!,",",'Inverter-Full Data'!#REF!,",",'Inverter-Full Data'!#REF!,"'")</f>
        <v>#REF!</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Data'!A54,"     ",'Inverter-Full Data'!B54,",",'Inverter-Full Data'!S54,",",'Inverter-Full Data'!J54,",",'Inverter-Full Data'!T54,"'")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Data'!A55,"     ",'Inverter-Full Data'!B55,",",'Inverter-Full Data'!S55,",",'Inverter-Full Data'!J55,",",'Inverter-Full Data'!T55,"'")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Data'!A56,"     ",'Inverter-Full Data'!B56,",",'Inverter-Full Data'!S56,",",'Inverter-Full Data'!J56,",",'Inverter-Full Data'!T56,"'")</f>
        <v>'ABB     UNO-DM-3.8-TL-PLUS-US-SZM-RA [240V],Y,96.5,N'</v>
      </c>
    </row>
    <row r="214" spans="1:1">
      <c r="A214" s="2" t="e">
        <f>CONCATENATE("'",'Inverter-Full Data'!#REF!,"     ",'Inverter-Full Data'!#REF!,",",'Inverter-Full Data'!#REF!,",",'Inverter-Full Data'!#REF!,",",'Inverter-Full Data'!#REF!,"'")</f>
        <v>#REF!</v>
      </c>
    </row>
    <row r="215" spans="1:1">
      <c r="A215" s="2" t="str">
        <f>CONCATENATE("'",'Inverter-Full Data'!A57,"     ",'Inverter-Full Data'!B57,",",'Inverter-Full Data'!S57,",",'Inverter-Full Data'!J57,",",'Inverter-Full Data'!T57,"'")</f>
        <v>'ABB     UNO-DM-3.8-TL-PLUS-US-SZ-RA [240V],Y,96.5,N'</v>
      </c>
    </row>
    <row r="216" spans="1:1">
      <c r="A216" s="2" t="e">
        <f>CONCATENATE("'",'Inverter-Full Data'!#REF!,"     ",'Inverter-Full Data'!#REF!,",",'Inverter-Full Data'!#REF!,",",'Inverter-Full Data'!#REF!,",",'Inverter-Full Data'!#REF!,"'")</f>
        <v>#REF!</v>
      </c>
    </row>
    <row r="217" spans="1:1">
      <c r="A217" s="2" t="e">
        <f>CONCATENATE("'",'Inverter-Full Data'!#REF!,"     ",'Inverter-Full Data'!#REF!,",",'Inverter-Full Data'!#REF!,",",'Inverter-Full Data'!#REF!,",",'Inverter-Full Data'!#REF!,"'")</f>
        <v>#REF!</v>
      </c>
    </row>
    <row r="218" spans="1:1">
      <c r="A218" s="2" t="e">
        <f>CONCATENATE("'",'Inverter-Full Data'!#REF!,"     ",'Inverter-Full Data'!#REF!,",",'Inverter-Full Data'!#REF!,",",'Inverter-Full Data'!#REF!,",",'Inverter-Full Data'!#REF!,"'")</f>
        <v>#REF!</v>
      </c>
    </row>
    <row r="219" spans="1:1">
      <c r="A219" s="2" t="e">
        <f>CONCATENATE("'",'Inverter-Full Data'!#REF!,"     ",'Inverter-Full Data'!#REF!,",",'Inverter-Full Data'!#REF!,",",'Inverter-Full Data'!#REF!,",",'Inverter-Full Data'!#REF!,"'")</f>
        <v>#REF!</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Data'!A58,"     ",'Inverter-Full Data'!B58,",",'Inverter-Full Data'!S58,",",'Inverter-Full Data'!J58,",",'Inverter-Full Data'!T58,"'")</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Data'!A59,"     ",'Inverter-Full Data'!B59,",",'Inverter-Full Data'!S59,",",'Inverter-Full Data'!J59,",",'Inverter-Full Data'!T59,"'")</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Data'!A60,"     ",'Inverter-Full Data'!B60,",",'Inverter-Full Data'!S60,",",'Inverter-Full Data'!J60,",",'Inverter-Full Data'!T60,"'")</f>
        <v>'ABB     PVI-4.2-OUTD-S-US-A [277V],Y,96,N'</v>
      </c>
    </row>
    <row r="229" spans="1:1">
      <c r="A229" s="2" t="e">
        <f>CONCATENATE("'",'Inverter-Full Data'!#REF!,"     ",'Inverter-Full Data'!#REF!,",",'Inverter-Full Data'!#REF!,",",'Inverter-Full Data'!#REF!,",",'Inverter-Full Data'!#REF!,"'")</f>
        <v>#REF!</v>
      </c>
    </row>
    <row r="230" spans="1:1">
      <c r="A230" s="2" t="e">
        <f>CONCATENATE("'",'Inverter-Full Data'!#REF!,"     ",'Inverter-Full Data'!#REF!,",",'Inverter-Full Data'!#REF!,",",'Inverter-Full Data'!#REF!,",",'Inverter-Full Data'!#REF!,"'")</f>
        <v>#REF!</v>
      </c>
    </row>
    <row r="231" spans="1:1">
      <c r="A231" s="2" t="e">
        <f>CONCATENATE("'",'Inverter-Full Data'!#REF!,"     ",'Inverter-Full Data'!#REF!,",",'Inverter-Full Data'!#REF!,",",'Inverter-Full Data'!#REF!,",",'Inverter-Full Data'!#REF!,"'")</f>
        <v>#REF!</v>
      </c>
    </row>
    <row r="232" spans="1:1">
      <c r="A232" s="2" t="e">
        <f>CONCATENATE("'",'Inverter-Full Data'!#REF!,"     ",'Inverter-Full Data'!#REF!,",",'Inverter-Full Data'!#REF!,",",'Inverter-Full Data'!#REF!,",",'Inverter-Full Data'!#REF!,"'")</f>
        <v>#REF!</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Data'!A61,"     ",'Inverter-Full Data'!B61,",",'Inverter-Full Data'!S61,",",'Inverter-Full Data'!J61,",",'Inverter-Full Data'!T61,"'")</f>
        <v>'ABB     PVI-4.2-OUTD-S-US-Z-A [208V],Y,96,N'</v>
      </c>
    </row>
    <row r="236" spans="1:1">
      <c r="A236" s="2" t="e">
        <f>CONCATENATE("'",'Inverter-Full Data'!#REF!,"     ",'Inverter-Full Data'!#REF!,",",'Inverter-Full Data'!#REF!,",",'Inverter-Full Data'!#REF!,",",'Inverter-Full Data'!#REF!,"'")</f>
        <v>#REF!</v>
      </c>
    </row>
    <row r="237" spans="1:1">
      <c r="A237" s="2" t="str">
        <f>CONCATENATE("'",'Inverter-Full Data'!A62,"     ",'Inverter-Full Data'!B62,",",'Inverter-Full Data'!S62,",",'Inverter-Full Data'!J62,",",'Inverter-Full Data'!T62,"'")</f>
        <v>'ABB     PVI-4.2-OUTD-S-US-Z-A [240V],Y,96,N'</v>
      </c>
    </row>
    <row r="238" spans="1:1">
      <c r="A238" s="2" t="e">
        <f>CONCATENATE("'",'Inverter-Full Data'!#REF!,"     ",'Inverter-Full Data'!#REF!,",",'Inverter-Full Data'!#REF!,",",'Inverter-Full Data'!#REF!,",",'Inverter-Full Data'!#REF!,"'")</f>
        <v>#REF!</v>
      </c>
    </row>
    <row r="239" spans="1:1">
      <c r="A239" s="2" t="str">
        <f>CONCATENATE("'",'Inverter-Full Data'!A63,"     ",'Inverter-Full Data'!B63,",",'Inverter-Full Data'!S63,",",'Inverter-Full Data'!J63,",",'Inverter-Full Data'!T63,"'")</f>
        <v>'ABB     PVI-4.2-OUTD-S-US-Z-A [277V],Y,96,N'</v>
      </c>
    </row>
    <row r="240" spans="1:1">
      <c r="A240" s="2" t="e">
        <f>CONCATENATE("'",'Inverter-Full Data'!#REF!,"     ",'Inverter-Full Data'!#REF!,",",'Inverter-Full Data'!#REF!,",",'Inverter-Full Data'!#REF!,",",'Inverter-Full Data'!#REF!,"'")</f>
        <v>#REF!</v>
      </c>
    </row>
    <row r="241" spans="1:1">
      <c r="A241" s="2" t="str">
        <f>CONCATENATE("'",'Inverter-Full Data'!A64,"     ",'Inverter-Full Data'!B64,",",'Inverter-Full Data'!S64,",",'Inverter-Full Data'!J64,",",'Inverter-Full Data'!T64,"'")</f>
        <v>'ABB     PVI-4.2-OUTD-S-US-Z-M-A [208V],Y,96,N'</v>
      </c>
    </row>
    <row r="242" spans="1:1">
      <c r="A242" s="2" t="e">
        <f>CONCATENATE("'",'Inverter-Full Data'!#REF!,"     ",'Inverter-Full Data'!#REF!,",",'Inverter-Full Data'!#REF!,",",'Inverter-Full Data'!#REF!,",",'Inverter-Full Data'!#REF!,"'")</f>
        <v>#REF!</v>
      </c>
    </row>
    <row r="243" spans="1:1">
      <c r="A243" s="2" t="str">
        <f>CONCATENATE("'",'Inverter-Full Data'!A65,"     ",'Inverter-Full Data'!B65,",",'Inverter-Full Data'!S65,",",'Inverter-Full Data'!J65,",",'Inverter-Full Data'!T65,"'")</f>
        <v>'ABB     PVI-4.2-OUTD-S-US-Z-M-A [240V],Y,96,N'</v>
      </c>
    </row>
    <row r="244" spans="1:1">
      <c r="A244" s="2" t="e">
        <f>CONCATENATE("'",'Inverter-Full Data'!#REF!,"     ",'Inverter-Full Data'!#REF!,",",'Inverter-Full Data'!#REF!,",",'Inverter-Full Data'!#REF!,",",'Inverter-Full Data'!#REF!,"'")</f>
        <v>#REF!</v>
      </c>
    </row>
    <row r="245" spans="1:1">
      <c r="A245" s="2" t="str">
        <f>CONCATENATE("'",'Inverter-Full Data'!A66,"     ",'Inverter-Full Data'!B66,",",'Inverter-Full Data'!S66,",",'Inverter-Full Data'!J66,",",'Inverter-Full Data'!T66,"'")</f>
        <v>'ABB     PVI-4.2-OUTD-S-US-Z-M-A [277V],Y,96,N'</v>
      </c>
    </row>
    <row r="246" spans="1:1">
      <c r="A246" s="2" t="e">
        <f>CONCATENATE("'",'Inverter-Full Data'!#REF!,"     ",'Inverter-Full Data'!#REF!,",",'Inverter-Full Data'!#REF!,",",'Inverter-Full Data'!#REF!,",",'Inverter-Full Data'!#REF!,"'")</f>
        <v>#REF!</v>
      </c>
    </row>
    <row r="247" spans="1:1">
      <c r="A247" s="2" t="e">
        <f>CONCATENATE("'",'Inverter-Full Data'!#REF!,"     ",'Inverter-Full Data'!#REF!,",",'Inverter-Full Data'!#REF!,",",'Inverter-Full Data'!#REF!,",",'Inverter-Full Data'!#REF!,"'")</f>
        <v>#REF!</v>
      </c>
    </row>
    <row r="248" spans="1:1">
      <c r="A248" s="2" t="e">
        <f>CONCATENATE("'",'Inverter-Full Data'!#REF!,"     ",'Inverter-Full Data'!#REF!,",",'Inverter-Full Data'!#REF!,",",'Inverter-Full Data'!#REF!,",",'Inverter-Full Data'!#REF!,"'")</f>
        <v>#REF!</v>
      </c>
    </row>
    <row r="249" spans="1:1">
      <c r="A249" s="2" t="str">
        <f>CONCATENATE("'",'Inverter-Full Data'!A67,"     ",'Inverter-Full Data'!B67,",",'Inverter-Full Data'!S67,",",'Inverter-Full Data'!J67,",",'Inverter-Full Data'!T67,"'")</f>
        <v>'ABB     UNO-DM-4.6-TL-PLUS-US-SB-RA [208V],Y,96,N'</v>
      </c>
    </row>
    <row r="250" spans="1:1">
      <c r="A250" s="2" t="str">
        <f>CONCATENATE("'",'Inverter-Full Data'!A68,"     ",'Inverter-Full Data'!B68,",",'Inverter-Full Data'!S68,",",'Inverter-Full Data'!J68,",",'Inverter-Full Data'!T68,"'")</f>
        <v>'ABB     UNO-DM-4.6-TL-PLUS-US-SE-RA [208V],Y,96,N'</v>
      </c>
    </row>
    <row r="251" spans="1:1">
      <c r="A251" s="2" t="str">
        <f>CONCATENATE("'",'Inverter-Full Data'!A69,"     ",'Inverter-Full Data'!B69,",",'Inverter-Full Data'!S69,",",'Inverter-Full Data'!J69,",",'Inverter-Full Data'!T69,"'")</f>
        <v>'ABB     UNO-DM-4.6-TL-PLUS-US-SZM-RA [208V],Y,96,N'</v>
      </c>
    </row>
    <row r="252" spans="1:1">
      <c r="A252" s="2" t="str">
        <f>CONCATENATE("'",'Inverter-Full Data'!A70,"     ",'Inverter-Full Data'!B70,",",'Inverter-Full Data'!S70,",",'Inverter-Full Data'!J70,",",'Inverter-Full Data'!T70,"'")</f>
        <v>'ABB     UNO-DM-4.6-TL-PLUS-US-SZ-RA [208V],Y,96,N'</v>
      </c>
    </row>
    <row r="253" spans="1:1">
      <c r="A253" s="2" t="e">
        <f>CONCATENATE("'",'Inverter-Full Data'!#REF!,"     ",'Inverter-Full Data'!#REF!,",",'Inverter-Full Data'!#REF!,",",'Inverter-Full Data'!#REF!,",",'Inverter-Full Data'!#REF!,"'")</f>
        <v>#REF!</v>
      </c>
    </row>
    <row r="254" spans="1:1">
      <c r="A254" s="2" t="e">
        <f>CONCATENATE("'",'Inverter-Full Data'!#REF!,"     ",'Inverter-Full Data'!#REF!,",",'Inverter-Full Data'!#REF!,",",'Inverter-Full Data'!#REF!,",",'Inverter-Full Data'!#REF!,"'")</f>
        <v>#REF!</v>
      </c>
    </row>
    <row r="255" spans="1:1">
      <c r="A255" s="2" t="e">
        <f>CONCATENATE("'",'Inverter-Full Data'!#REF!,"     ",'Inverter-Full Data'!#REF!,",",'Inverter-Full Data'!#REF!,",",'Inverter-Full Data'!#REF!,",",'Inverter-Full Data'!#REF!,"'")</f>
        <v>#REF!</v>
      </c>
    </row>
    <row r="256" spans="1:1">
      <c r="A256" s="2" t="e">
        <f>CONCATENATE("'",'Inverter-Full Data'!#REF!,"     ",'Inverter-Full Data'!#REF!,",",'Inverter-Full Data'!#REF!,",",'Inverter-Full Data'!#REF!,",",'Inverter-Full Data'!#REF!,"'")</f>
        <v>#REF!</v>
      </c>
    </row>
    <row r="257" spans="1:1">
      <c r="A257" s="2" t="e">
        <f>CONCATENATE("'",'Inverter-Full Data'!#REF!,"     ",'Inverter-Full Data'!#REF!,",",'Inverter-Full Data'!#REF!,",",'Inverter-Full Data'!#REF!,",",'Inverter-Full Data'!#REF!,"'")</f>
        <v>#REF!</v>
      </c>
    </row>
    <row r="258" spans="1:1">
      <c r="A258" s="2" t="e">
        <f>CONCATENATE("'",'Inverter-Full Data'!#REF!,"     ",'Inverter-Full Data'!#REF!,",",'Inverter-Full Data'!#REF!,",",'Inverter-Full Data'!#REF!,",",'Inverter-Full Data'!#REF!,"'")</f>
        <v>#REF!</v>
      </c>
    </row>
    <row r="259" spans="1:1">
      <c r="A259" s="2" t="e">
        <f>CONCATENATE("'",'Inverter-Full Data'!#REF!,"     ",'Inverter-Full Data'!#REF!,",",'Inverter-Full Data'!#REF!,",",'Inverter-Full Data'!#REF!,",",'Inverter-Full Data'!#REF!,"'")</f>
        <v>#REF!</v>
      </c>
    </row>
    <row r="260" spans="1:1">
      <c r="A260" s="2" t="str">
        <f>CONCATENATE("'",'Inverter-Full Data'!A71,"     ",'Inverter-Full Data'!B71,",",'Inverter-Full Data'!S71,",",'Inverter-Full Data'!J71,",",'Inverter-Full Data'!T71,"'")</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Data'!A72,"     ",'Inverter-Full Data'!B72,",",'Inverter-Full Data'!S72,",",'Inverter-Full Data'!J72,",",'Inverter-Full Data'!T72,"'")</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Data'!A73,"     ",'Inverter-Full Data'!B73,",",'Inverter-Full Data'!S73,",",'Inverter-Full Data'!J73,",",'Inverter-Full Data'!T73,"'")</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Data'!A74,"     ",'Inverter-Full Data'!B74,",",'Inverter-Full Data'!S74,",",'Inverter-Full Data'!J74,",",'Inverter-Full Data'!T74,"'")</f>
        <v>'ABB     UNO-DM-4.6-TL-PLUS-US-SZ-RA [240V],Y,96.5,N'</v>
      </c>
    </row>
    <row r="270" spans="1:1">
      <c r="A270" s="2" t="str">
        <f>CONCATENATE("'",'Inverter-Full Data'!A75,"     ",'Inverter-Full Data'!B75,",",'Inverter-Full Data'!S75,",",'Inverter-Full Data'!J75,",",'Inverter-Full Data'!T75,"'")</f>
        <v>'ABB     UNO-DM-5.0-TL-PLUS-US-SB-RA [208V],Y,96.5,N'</v>
      </c>
    </row>
    <row r="271" spans="1:1">
      <c r="A271" s="2" t="str">
        <f>CONCATENATE("'",'Inverter-Full Data'!A76,"     ",'Inverter-Full Data'!B76,",",'Inverter-Full Data'!S76,",",'Inverter-Full Data'!J76,",",'Inverter-Full Data'!T76,"'")</f>
        <v>'ABB     UNO-DM-5.0-TL-PLUS-US-SE-RA [208V],Y,96.5,N'</v>
      </c>
    </row>
    <row r="272" spans="1:1">
      <c r="A272" s="2" t="str">
        <f>CONCATENATE("'",'Inverter-Full Data'!A77,"     ",'Inverter-Full Data'!B77,",",'Inverter-Full Data'!S77,",",'Inverter-Full Data'!J77,",",'Inverter-Full Data'!T77,"'")</f>
        <v>'ABB     UNO-DM-5.0-TL-PLUS-US-SZM-RA [208V],Y,96.5,N'</v>
      </c>
    </row>
    <row r="273" spans="1:1">
      <c r="A273" s="2" t="str">
        <f>CONCATENATE("'",'Inverter-Full Data'!A78,"     ",'Inverter-Full Data'!B78,",",'Inverter-Full Data'!S78,",",'Inverter-Full Data'!J78,",",'Inverter-Full Data'!T78,"'")</f>
        <v>'ABB     UNO-DM-5.0-TL-PLUS-US-SZ-RA [208V],Y,96.5,N'</v>
      </c>
    </row>
    <row r="274" spans="1:1">
      <c r="A274" s="2" t="e">
        <f>CONCATENATE("'",'Inverter-Full Data'!#REF!,"     ",'Inverter-Full Data'!#REF!,",",'Inverter-Full Data'!#REF!,",",'Inverter-Full Data'!#REF!,",",'Inverter-Full Data'!#REF!,"'")</f>
        <v>#REF!</v>
      </c>
    </row>
    <row r="275" spans="1:1">
      <c r="A275" s="2" t="e">
        <f>CONCATENATE("'",'Inverter-Full Data'!#REF!,"     ",'Inverter-Full Data'!#REF!,",",'Inverter-Full Data'!#REF!,",",'Inverter-Full Data'!#REF!,",",'Inverter-Full Data'!#REF!,"'")</f>
        <v>#REF!</v>
      </c>
    </row>
    <row r="276" spans="1:1">
      <c r="A276" s="2" t="e">
        <f>CONCATENATE("'",'Inverter-Full Data'!#REF!,"     ",'Inverter-Full Data'!#REF!,",",'Inverter-Full Data'!#REF!,",",'Inverter-Full Data'!#REF!,",",'Inverter-Full Data'!#REF!,"'")</f>
        <v>#REF!</v>
      </c>
    </row>
    <row r="277" spans="1:1">
      <c r="A277" s="2" t="e">
        <f>CONCATENATE("'",'Inverter-Full Data'!#REF!,"     ",'Inverter-Full Data'!#REF!,",",'Inverter-Full Data'!#REF!,",",'Inverter-Full Data'!#REF!,",",'Inverter-Full Data'!#REF!,"'")</f>
        <v>#REF!</v>
      </c>
    </row>
    <row r="278" spans="1:1">
      <c r="A278" s="2" t="e">
        <f>CONCATENATE("'",'Inverter-Full Data'!#REF!,"     ",'Inverter-Full Data'!#REF!,",",'Inverter-Full Data'!#REF!,",",'Inverter-Full Data'!#REF!,",",'Inverter-Full Data'!#REF!,"'")</f>
        <v>#REF!</v>
      </c>
    </row>
    <row r="279" spans="1:1">
      <c r="A279" s="2" t="e">
        <f>CONCATENATE("'",'Inverter-Full Data'!#REF!,"     ",'Inverter-Full Data'!#REF!,",",'Inverter-Full Data'!#REF!,",",'Inverter-Full Data'!#REF!,",",'Inverter-Full Data'!#REF!,"'")</f>
        <v>#REF!</v>
      </c>
    </row>
    <row r="280" spans="1:1">
      <c r="A280" s="2" t="e">
        <f>CONCATENATE("'",'Inverter-Full Data'!#REF!,"     ",'Inverter-Full Data'!#REF!,",",'Inverter-Full Data'!#REF!,",",'Inverter-Full Data'!#REF!,",",'Inverter-Full Data'!#REF!,"'")</f>
        <v>#REF!</v>
      </c>
    </row>
    <row r="281" spans="1:1">
      <c r="A281" s="2" t="e">
        <f>CONCATENATE("'",'Inverter-Full Data'!#REF!,"     ",'Inverter-Full Data'!#REF!,",",'Inverter-Full Data'!#REF!,",",'Inverter-Full Data'!#REF!,",",'Inverter-Full Data'!#REF!,"'")</f>
        <v>#REF!</v>
      </c>
    </row>
    <row r="282" spans="1:1">
      <c r="A282" s="2" t="e">
        <f>CONCATENATE("'",'Inverter-Full Data'!#REF!,"     ",'Inverter-Full Data'!#REF!,",",'Inverter-Full Data'!#REF!,",",'Inverter-Full Data'!#REF!,",",'Inverter-Full Data'!#REF!,"'")</f>
        <v>#REF!</v>
      </c>
    </row>
    <row r="283" spans="1:1">
      <c r="A283" s="2" t="e">
        <f>CONCATENATE("'",'Inverter-Full Data'!#REF!,"     ",'Inverter-Full Data'!#REF!,",",'Inverter-Full Data'!#REF!,",",'Inverter-Full Data'!#REF!,",",'Inverter-Full Data'!#REF!,"'")</f>
        <v>#REF!</v>
      </c>
    </row>
    <row r="284" spans="1:1">
      <c r="A284" s="2" t="e">
        <f>CONCATENATE("'",'Inverter-Full Data'!#REF!,"     ",'Inverter-Full Data'!#REF!,",",'Inverter-Full Data'!#REF!,",",'Inverter-Full Data'!#REF!,",",'Inverter-Full Data'!#REF!,"'")</f>
        <v>#REF!</v>
      </c>
    </row>
    <row r="285" spans="1:1">
      <c r="A285" s="2" t="e">
        <f>CONCATENATE("'",'Inverter-Full Data'!#REF!,"     ",'Inverter-Full Data'!#REF!,",",'Inverter-Full Data'!#REF!,",",'Inverter-Full Data'!#REF!,",",'Inverter-Full Data'!#REF!,"'")</f>
        <v>#REF!</v>
      </c>
    </row>
    <row r="286" spans="1:1">
      <c r="A286" s="2" t="e">
        <f>CONCATENATE("'",'Inverter-Full Data'!#REF!,"     ",'Inverter-Full Data'!#REF!,",",'Inverter-Full Data'!#REF!,",",'Inverter-Full Data'!#REF!,",",'Inverter-Full Data'!#REF!,"'")</f>
        <v>#REF!</v>
      </c>
    </row>
    <row r="287" spans="1:1">
      <c r="A287" s="2" t="e">
        <f>CONCATENATE("'",'Inverter-Full Data'!#REF!,"     ",'Inverter-Full Data'!#REF!,",",'Inverter-Full Data'!#REF!,",",'Inverter-Full Data'!#REF!,",",'Inverter-Full Data'!#REF!,"'")</f>
        <v>#REF!</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Data'!A79,"     ",'Inverter-Full Data'!B79,",",'Inverter-Full Data'!S79,",",'Inverter-Full Data'!J79,",",'Inverter-Full Data'!T79,"'")</f>
        <v>'ABB     PVI-5000-OUTD-US-A [208V],Y,96,N'</v>
      </c>
    </row>
    <row r="291" spans="1:1">
      <c r="A291" s="2" t="e">
        <f>CONCATENATE("'",'Inverter-Full Data'!#REF!,"     ",'Inverter-Full Data'!#REF!,",",'Inverter-Full Data'!#REF!,",",'Inverter-Full Data'!#REF!,",",'Inverter-Full Data'!#REF!,"'")</f>
        <v>#REF!</v>
      </c>
    </row>
    <row r="292" spans="1:1">
      <c r="A292" s="2" t="str">
        <f>CONCATENATE("'",'Inverter-Full Data'!A80,"     ",'Inverter-Full Data'!B80,",",'Inverter-Full Data'!S80,",",'Inverter-Full Data'!J80,",",'Inverter-Full Data'!T80,"'")</f>
        <v>'ABB     PVI-5000-OUTD-US-A [240V],Y,96.5,N'</v>
      </c>
    </row>
    <row r="293" spans="1:1">
      <c r="A293" s="2" t="e">
        <f>CONCATENATE("'",'Inverter-Full Data'!#REF!,"     ",'Inverter-Full Data'!#REF!,",",'Inverter-Full Data'!#REF!,",",'Inverter-Full Data'!#REF!,",",'Inverter-Full Data'!#REF!,"'")</f>
        <v>#REF!</v>
      </c>
    </row>
    <row r="294" spans="1:1">
      <c r="A294" s="2" t="str">
        <f>CONCATENATE("'",'Inverter-Full Data'!A81,"     ",'Inverter-Full Data'!B81,",",'Inverter-Full Data'!S81,",",'Inverter-Full Data'!J81,",",'Inverter-Full Data'!T81,"'")</f>
        <v>'ABB     PVI-5000-OUTD-US-A [277V],Y,96.5,N'</v>
      </c>
    </row>
    <row r="295" spans="1:1">
      <c r="A295" s="2" t="e">
        <f>CONCATENATE("'",'Inverter-Full Data'!#REF!,"     ",'Inverter-Full Data'!#REF!,",",'Inverter-Full Data'!#REF!,",",'Inverter-Full Data'!#REF!,",",'Inverter-Full Data'!#REF!,"'")</f>
        <v>#REF!</v>
      </c>
    </row>
    <row r="296" spans="1:1">
      <c r="A296" s="2" t="e">
        <f>CONCATENATE("'",'Inverter-Full Data'!#REF!,"     ",'Inverter-Full Data'!#REF!,",",'Inverter-Full Data'!#REF!,",",'Inverter-Full Data'!#REF!,",",'Inverter-Full Data'!#REF!,"'")</f>
        <v>#REF!</v>
      </c>
    </row>
    <row r="297" spans="1:1">
      <c r="A297" s="2" t="e">
        <f>CONCATENATE("'",'Inverter-Full Data'!#REF!,"     ",'Inverter-Full Data'!#REF!,",",'Inverter-Full Data'!#REF!,",",'Inverter-Full Data'!#REF!,",",'Inverter-Full Data'!#REF!,"'")</f>
        <v>#REF!</v>
      </c>
    </row>
    <row r="298" spans="1:1">
      <c r="A298" s="2" t="e">
        <f>CONCATENATE("'",'Inverter-Full Data'!#REF!,"     ",'Inverter-Full Data'!#REF!,",",'Inverter-Full Data'!#REF!,",",'Inverter-Full Data'!#REF!,",",'Inverter-Full Data'!#REF!,"'")</f>
        <v>#REF!</v>
      </c>
    </row>
    <row r="299" spans="1:1">
      <c r="A299" s="2" t="str">
        <f>CONCATENATE("'",'Inverter-Full Data'!A82,"     ",'Inverter-Full Data'!B82,",",'Inverter-Full Data'!S82,",",'Inverter-Full Data'!J82,",",'Inverter-Full Data'!T82,"'")</f>
        <v>'ABB     PVI-5000-OUTD-US-Z-A [208V],Y,96,N'</v>
      </c>
    </row>
    <row r="300" spans="1:1">
      <c r="A300" s="2" t="e">
        <f>CONCATENATE("'",'Inverter-Full Data'!#REF!,"     ",'Inverter-Full Data'!#REF!,",",'Inverter-Full Data'!#REF!,",",'Inverter-Full Data'!#REF!,",",'Inverter-Full Data'!#REF!,"'")</f>
        <v>#REF!</v>
      </c>
    </row>
    <row r="301" spans="1:1">
      <c r="A301" s="2" t="str">
        <f>CONCATENATE("'",'Inverter-Full Data'!A83,"     ",'Inverter-Full Data'!B83,",",'Inverter-Full Data'!S83,",",'Inverter-Full Data'!J83,",",'Inverter-Full Data'!T83,"'")</f>
        <v>'ABB     PVI-5000-OUTD-US-Z-A [240V],Y,96.5,N'</v>
      </c>
    </row>
    <row r="302" spans="1:1">
      <c r="A302" s="2" t="e">
        <f>CONCATENATE("'",'Inverter-Full Data'!#REF!,"     ",'Inverter-Full Data'!#REF!,",",'Inverter-Full Data'!#REF!,",",'Inverter-Full Data'!#REF!,",",'Inverter-Full Data'!#REF!,"'")</f>
        <v>#REF!</v>
      </c>
    </row>
    <row r="303" spans="1:1">
      <c r="A303" s="2" t="str">
        <f>CONCATENATE("'",'Inverter-Full Data'!A84,"     ",'Inverter-Full Data'!B84,",",'Inverter-Full Data'!S84,",",'Inverter-Full Data'!J84,",",'Inverter-Full Data'!T84,"'")</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Data'!A85,"     ",'Inverter-Full Data'!B85,",",'Inverter-Full Data'!S85,",",'Inverter-Full Data'!J85,",",'Inverter-Full Data'!T85,"'")</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Data'!A86,"     ",'Inverter-Full Data'!B86,",",'Inverter-Full Data'!S86,",",'Inverter-Full Data'!J86,",",'Inverter-Full Data'!T86,"'")</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Data'!A87,"     ",'Inverter-Full Data'!B87,",",'Inverter-Full Data'!S87,",",'Inverter-Full Data'!J87,",",'Inverter-Full Data'!T87,"'")</f>
        <v>'ABB     PVI-5000-OUTD-US-Z-M-A [277V],Y,96.5,N'</v>
      </c>
    </row>
    <row r="313" spans="1:1">
      <c r="A313" s="2" t="str">
        <f>CONCATENATE("'",'Inverter-Full Data'!A88,"     ",'Inverter-Full Data'!B88,",",'Inverter-Full Data'!S88,",",'Inverter-Full Data'!J88,",",'Inverter-Full Data'!T88,"'")</f>
        <v>'ABB     UNO-DM-5.0-TL-PLUS-US-SB-RA [240V],Y,96.5,N'</v>
      </c>
    </row>
    <row r="314" spans="1:1">
      <c r="A314" s="2" t="str">
        <f>CONCATENATE("'",'Inverter-Full Data'!A89,"     ",'Inverter-Full Data'!B89,",",'Inverter-Full Data'!S89,",",'Inverter-Full Data'!J89,",",'Inverter-Full Data'!T89,"'")</f>
        <v>'ABB     UNO-DM-5.0-TL-PLUS-US-SE-RA [240V],Y,96.5,N'</v>
      </c>
    </row>
    <row r="315" spans="1:1">
      <c r="A315" s="2" t="str">
        <f>CONCATENATE("'",'Inverter-Full Data'!A90,"     ",'Inverter-Full Data'!B90,",",'Inverter-Full Data'!S90,",",'Inverter-Full Data'!J90,",",'Inverter-Full Data'!T90,"'")</f>
        <v>'ABB     UNO-DM-5.0-TL-PLUS-US-SZM-RA [240V],Y,96.5,N'</v>
      </c>
    </row>
    <row r="316" spans="1:1">
      <c r="A316" s="2" t="e">
        <f>CONCATENATE("'",'Inverter-Full Data'!#REF!,"     ",'Inverter-Full Data'!#REF!,",",'Inverter-Full Data'!#REF!,",",'Inverter-Full Data'!#REF!,",",'Inverter-Full Data'!#REF!,"'")</f>
        <v>#REF!</v>
      </c>
    </row>
    <row r="317" spans="1:1">
      <c r="A317" s="2" t="str">
        <f>CONCATENATE("'",'Inverter-Full Data'!A91,"     ",'Inverter-Full Data'!B91,",",'Inverter-Full Data'!S91,",",'Inverter-Full Data'!J91,",",'Inverter-Full Data'!T91,"'")</f>
        <v>'ABB     UNO-DM-5.0-TL-PLUS-US-SZ-RA [240V],Y,96.5,N'</v>
      </c>
    </row>
    <row r="318" spans="1:1">
      <c r="A318" s="2" t="e">
        <f>CONCATENATE("'",'Inverter-Full Data'!#REF!,"     ",'Inverter-Full Data'!#REF!,",",'Inverter-Full Data'!#REF!,",",'Inverter-Full Data'!#REF!,",",'Inverter-Full Data'!#REF!,"'")</f>
        <v>#REF!</v>
      </c>
    </row>
    <row r="319" spans="1:1">
      <c r="A319" s="2" t="e">
        <f>CONCATENATE("'",'Inverter-Full Data'!#REF!,"     ",'Inverter-Full Data'!#REF!,",",'Inverter-Full Data'!#REF!,",",'Inverter-Full Data'!#REF!,",",'Inverter-Full Data'!#REF!,"'")</f>
        <v>#REF!</v>
      </c>
    </row>
    <row r="320" spans="1:1">
      <c r="A320" s="2" t="e">
        <f>CONCATENATE("'",'Inverter-Full Data'!#REF!,"     ",'Inverter-Full Data'!#REF!,",",'Inverter-Full Data'!#REF!,",",'Inverter-Full Data'!#REF!,",",'Inverter-Full Data'!#REF!,"'")</f>
        <v>#REF!</v>
      </c>
    </row>
    <row r="321" spans="1:1">
      <c r="A321" s="2" t="e">
        <f>CONCATENATE("'",'Inverter-Full Data'!#REF!,"     ",'Inverter-Full Data'!#REF!,",",'Inverter-Full Data'!#REF!,",",'Inverter-Full Data'!#REF!,",",'Inverter-Full Data'!#REF!,"'")</f>
        <v>#REF!</v>
      </c>
    </row>
    <row r="322" spans="1:1">
      <c r="A322" s="2" t="e">
        <f>CONCATENATE("'",'Inverter-Full Data'!#REF!,"     ",'Inverter-Full Data'!#REF!,",",'Inverter-Full Data'!#REF!,",",'Inverter-Full Data'!#REF!,",",'Inverter-Full Data'!#REF!,"'")</f>
        <v>#REF!</v>
      </c>
    </row>
    <row r="323" spans="1:1">
      <c r="A323" s="2" t="e">
        <f>CONCATENATE("'",'Inverter-Full Data'!#REF!,"     ",'Inverter-Full Data'!#REF!,",",'Inverter-Full Data'!#REF!,",",'Inverter-Full Data'!#REF!,",",'Inverter-Full Data'!#REF!,"'")</f>
        <v>#REF!</v>
      </c>
    </row>
    <row r="324" spans="1:1">
      <c r="A324" s="2" t="e">
        <f>CONCATENATE("'",'Inverter-Full Data'!#REF!,"     ",'Inverter-Full Data'!#REF!,",",'Inverter-Full Data'!#REF!,",",'Inverter-Full Data'!#REF!,",",'Inverter-Full Data'!#REF!,"'")</f>
        <v>#REF!</v>
      </c>
    </row>
    <row r="325" spans="1:1">
      <c r="A325" s="2" t="e">
        <f>CONCATENATE("'",'Inverter-Full Data'!#REF!,"     ",'Inverter-Full Data'!#REF!,",",'Inverter-Full Data'!#REF!,",",'Inverter-Full Data'!#REF!,",",'Inverter-Full Data'!#REF!,"'")</f>
        <v>#REF!</v>
      </c>
    </row>
    <row r="326" spans="1:1">
      <c r="A326" s="2" t="e">
        <f>CONCATENATE("'",'Inverter-Full Data'!#REF!,"     ",'Inverter-Full Data'!#REF!,",",'Inverter-Full Data'!#REF!,",",'Inverter-Full Data'!#REF!,",",'Inverter-Full Data'!#REF!,"'")</f>
        <v>#REF!</v>
      </c>
    </row>
    <row r="327" spans="1:1">
      <c r="A327" s="2" t="e">
        <f>CONCATENATE("'",'Inverter-Full Data'!#REF!,"     ",'Inverter-Full Data'!#REF!,",",'Inverter-Full Data'!#REF!,",",'Inverter-Full Data'!#REF!,",",'Inverter-Full Data'!#REF!,"'")</f>
        <v>#REF!</v>
      </c>
    </row>
    <row r="328" spans="1:1">
      <c r="A328" s="2" t="e">
        <f>CONCATENATE("'",'Inverter-Full Data'!#REF!,"     ",'Inverter-Full Data'!#REF!,",",'Inverter-Full Data'!#REF!,",",'Inverter-Full Data'!#REF!,",",'Inverter-Full Data'!#REF!,"'")</f>
        <v>#REF!</v>
      </c>
    </row>
    <row r="329" spans="1:1">
      <c r="A329" s="2" t="e">
        <f>CONCATENATE("'",'Inverter-Full Data'!#REF!,"     ",'Inverter-Full Data'!#REF!,",",'Inverter-Full Data'!#REF!,",",'Inverter-Full Data'!#REF!,",",'Inverter-Full Data'!#REF!,"'")</f>
        <v>#REF!</v>
      </c>
    </row>
    <row r="330" spans="1:1">
      <c r="A330" s="2" t="e">
        <f>CONCATENATE("'",'Inverter-Full Data'!#REF!,"     ",'Inverter-Full Data'!#REF!,",",'Inverter-Full Data'!#REF!,",",'Inverter-Full Data'!#REF!,",",'Inverter-Full Data'!#REF!,"'")</f>
        <v>#REF!</v>
      </c>
    </row>
    <row r="331" spans="1:1">
      <c r="A331" s="2" t="e">
        <f>CONCATENATE("'",'Inverter-Full Data'!#REF!,"     ",'Inverter-Full Data'!#REF!,",",'Inverter-Full Data'!#REF!,",",'Inverter-Full Data'!#REF!,",",'Inverter-Full Data'!#REF!,"'")</f>
        <v>#REF!</v>
      </c>
    </row>
    <row r="332" spans="1:1">
      <c r="A332" s="2" t="e">
        <f>CONCATENATE("'",'Inverter-Full Data'!#REF!,"     ",'Inverter-Full Data'!#REF!,",",'Inverter-Full Data'!#REF!,",",'Inverter-Full Data'!#REF!,",",'Inverter-Full Data'!#REF!,"'")</f>
        <v>#REF!</v>
      </c>
    </row>
    <row r="333" spans="1:1">
      <c r="A333" s="2" t="e">
        <f>CONCATENATE("'",'Inverter-Full Data'!#REF!,"     ",'Inverter-Full Data'!#REF!,",",'Inverter-Full Data'!#REF!,",",'Inverter-Full Data'!#REF!,",",'Inverter-Full Data'!#REF!,"'")</f>
        <v>#REF!</v>
      </c>
    </row>
    <row r="334" spans="1:1">
      <c r="A334" s="2" t="e">
        <f>CONCATENATE("'",'Inverter-Full Data'!#REF!,"     ",'Inverter-Full Data'!#REF!,",",'Inverter-Full Data'!#REF!,",",'Inverter-Full Data'!#REF!,",",'Inverter-Full Data'!#REF!,"'")</f>
        <v>#REF!</v>
      </c>
    </row>
    <row r="335" spans="1:1">
      <c r="A335" s="2" t="e">
        <f>CONCATENATE("'",'Inverter-Full Data'!#REF!,"     ",'Inverter-Full Data'!#REF!,",",'Inverter-Full Data'!#REF!,",",'Inverter-Full Data'!#REF!,",",'Inverter-Full Data'!#REF!,"'")</f>
        <v>#REF!</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Data'!A92,"     ",'Inverter-Full Data'!B92,",",'Inverter-Full Data'!S92,",",'Inverter-Full Data'!J92,",",'Inverter-Full Data'!T92,"'")</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Data'!A93,"     ",'Inverter-Full Data'!B93,",",'Inverter-Full Data'!S93,",",'Inverter-Full Data'!J93,",",'Inverter-Full Data'!T93,"'")</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Data'!A94,"     ",'Inverter-Full Data'!B94,",",'Inverter-Full Data'!S94,",",'Inverter-Full Data'!J94,",",'Inverter-Full Data'!T94,"'")</f>
        <v>'ABB     PVI-6000-OUTD-US-A [277V],Y,96.5,N'</v>
      </c>
    </row>
    <row r="345" spans="1:1">
      <c r="A345" s="2" t="e">
        <f>CONCATENATE("'",'Inverter-Full Data'!#REF!,"     ",'Inverter-Full Data'!#REF!,",",'Inverter-Full Data'!#REF!,",",'Inverter-Full Data'!#REF!,",",'Inverter-Full Data'!#REF!,"'")</f>
        <v>#REF!</v>
      </c>
    </row>
    <row r="346" spans="1:1">
      <c r="A346" s="2" t="e">
        <f>CONCATENATE("'",'Inverter-Full Data'!#REF!,"     ",'Inverter-Full Data'!#REF!,",",'Inverter-Full Data'!#REF!,",",'Inverter-Full Data'!#REF!,",",'Inverter-Full Data'!#REF!,"'")</f>
        <v>#REF!</v>
      </c>
    </row>
    <row r="347" spans="1:1">
      <c r="A347" s="2" t="e">
        <f>CONCATENATE("'",'Inverter-Full Data'!#REF!,"     ",'Inverter-Full Data'!#REF!,",",'Inverter-Full Data'!#REF!,",",'Inverter-Full Data'!#REF!,",",'Inverter-Full Data'!#REF!,"'")</f>
        <v>#REF!</v>
      </c>
    </row>
    <row r="348" spans="1:1">
      <c r="A348" s="2" t="e">
        <f>CONCATENATE("'",'Inverter-Full Data'!#REF!,"     ",'Inverter-Full Data'!#REF!,",",'Inverter-Full Data'!#REF!,",",'Inverter-Full Data'!#REF!,",",'Inverter-Full Data'!#REF!,"'")</f>
        <v>#REF!</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Data'!A95,"     ",'Inverter-Full Data'!B95,",",'Inverter-Full Data'!S95,",",'Inverter-Full Data'!J95,",",'Inverter-Full Data'!T95,"'")</f>
        <v>'ABB     PVI-6000-OUTD-US-Z-A [208V],Y,96,N'</v>
      </c>
    </row>
    <row r="352" spans="1:1">
      <c r="A352" s="2" t="e">
        <f>CONCATENATE("'",'Inverter-Full Data'!#REF!,"     ",'Inverter-Full Data'!#REF!,",",'Inverter-Full Data'!#REF!,",",'Inverter-Full Data'!#REF!,",",'Inverter-Full Data'!#REF!,"'")</f>
        <v>#REF!</v>
      </c>
    </row>
    <row r="353" spans="1:1">
      <c r="A353" s="2" t="str">
        <f>CONCATENATE("'",'Inverter-Full Data'!A96,"     ",'Inverter-Full Data'!B96,",",'Inverter-Full Data'!S96,",",'Inverter-Full Data'!J96,",",'Inverter-Full Data'!T96,"'")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Data'!A97,"     ",'Inverter-Full Data'!B97,",",'Inverter-Full Data'!S97,",",'Inverter-Full Data'!J97,",",'Inverter-Full Data'!T97,"'")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Data'!A98,"     ",'Inverter-Full Data'!B98,",",'Inverter-Full Data'!S98,",",'Inverter-Full Data'!J98,",",'Inverter-Full Data'!T98,"'")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Data'!A99,"     ",'Inverter-Full Data'!B99,",",'Inverter-Full Data'!S99,",",'Inverter-Full Data'!J99,",",'Inverter-Full Data'!T99,"'")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Data'!A100,"     ",'Inverter-Full Data'!B100,",",'Inverter-Full Data'!S100,",",'Inverter-Full Data'!J100,",",'Inverter-Full Data'!T100,"'")</f>
        <v>'ABB     PVI-6000-OUTD-US-Z-M-A [277V],Y,96.5,N'</v>
      </c>
    </row>
    <row r="366" spans="1:1">
      <c r="A366" s="2" t="str">
        <f>CONCATENATE("'",'Inverter-Full Data'!A101,"     ",'Inverter-Full Data'!B101,",",'Inverter-Full Data'!S101,",",'Inverter-Full Data'!J101,",",'Inverter-Full Data'!T101,"'")</f>
        <v>'ABB     UNO-DM-6.0-TL-PLUS-US-SB-RA [208V],Y,97,N'</v>
      </c>
    </row>
    <row r="367" spans="1:1">
      <c r="A367" s="2" t="e">
        <f>CONCATENATE("'",'Inverter-Full Data'!#REF!,"     ",'Inverter-Full Data'!#REF!,",",'Inverter-Full Data'!#REF!,",",'Inverter-Full Data'!#REF!,",",'Inverter-Full Data'!#REF!,"'")</f>
        <v>#REF!</v>
      </c>
    </row>
    <row r="368" spans="1:1">
      <c r="A368" s="2" t="str">
        <f>CONCATENATE("'",'Inverter-Full Data'!A102,"     ",'Inverter-Full Data'!B102,",",'Inverter-Full Data'!S102,",",'Inverter-Full Data'!J102,",",'Inverter-Full Data'!T102,"'")</f>
        <v>'ABB     UNO-DM-6.0-TL-PLUS-US-SB-RA [240V],Y,97,N'</v>
      </c>
    </row>
    <row r="369" spans="1:1">
      <c r="A369" s="2" t="str">
        <f>CONCATENATE("'",'Inverter-Full Data'!A103,"     ",'Inverter-Full Data'!B103,",",'Inverter-Full Data'!S103,",",'Inverter-Full Data'!J103,",",'Inverter-Full Data'!T103,"'")</f>
        <v>'ABB     UNO-DM-6.0-TL-PLUS-US-SC-RA [208V],Y,97,N'</v>
      </c>
    </row>
    <row r="370" spans="1:1">
      <c r="A370" s="2" t="e">
        <f>CONCATENATE("'",'Inverter-Full Data'!#REF!,"     ",'Inverter-Full Data'!#REF!,",",'Inverter-Full Data'!#REF!,",",'Inverter-Full Data'!#REF!,",",'Inverter-Full Data'!#REF!,"'")</f>
        <v>#REF!</v>
      </c>
    </row>
    <row r="371" spans="1:1">
      <c r="A371" s="2" t="str">
        <f>CONCATENATE("'",'Inverter-Full Data'!A104,"     ",'Inverter-Full Data'!B104,",",'Inverter-Full Data'!S104,",",'Inverter-Full Data'!J104,",",'Inverter-Full Data'!T104,"'")</f>
        <v>'ABB     UNO-DM-6.0-TL-PLUS-US-SC-RA [240V],Y,97,N'</v>
      </c>
    </row>
    <row r="372" spans="1:1">
      <c r="A372" s="2" t="str">
        <f>CONCATENATE("'",'Inverter-Full Data'!A105,"     ",'Inverter-Full Data'!B105,",",'Inverter-Full Data'!S105,",",'Inverter-Full Data'!J105,",",'Inverter-Full Data'!T105,"'")</f>
        <v>'ABB     UNO-DM-6.0-TL-PLUS-US-SE-RA [208V],Y,97,N'</v>
      </c>
    </row>
    <row r="373" spans="1:1">
      <c r="A373" s="2" t="e">
        <f>CONCATENATE("'",'Inverter-Full Data'!#REF!,"     ",'Inverter-Full Data'!#REF!,",",'Inverter-Full Data'!#REF!,",",'Inverter-Full Data'!#REF!,",",'Inverter-Full Data'!#REF!,"'")</f>
        <v>#REF!</v>
      </c>
    </row>
    <row r="374" spans="1:1">
      <c r="A374" s="2" t="str">
        <f>CONCATENATE("'",'Inverter-Full Data'!A106,"     ",'Inverter-Full Data'!B106,",",'Inverter-Full Data'!S106,",",'Inverter-Full Data'!J106,",",'Inverter-Full Data'!T106,"'")</f>
        <v>'ABB     UNO-DM-6.0-TL-PLUS-US-SE-RA [240V],Y,97,N'</v>
      </c>
    </row>
    <row r="375" spans="1:1">
      <c r="A375" s="2" t="str">
        <f>CONCATENATE("'",'Inverter-Full Data'!A107,"     ",'Inverter-Full Data'!B107,",",'Inverter-Full Data'!S107,",",'Inverter-Full Data'!J107,",",'Inverter-Full Data'!T107,"'")</f>
        <v>'ABB     UNO-DM-6.0-TL-PLUS-US-S-XRA [208V],Y,97,N'</v>
      </c>
    </row>
    <row r="376" spans="1:1">
      <c r="A376" s="2" t="str">
        <f>CONCATENATE("'",'Inverter-Full Data'!A108,"     ",'Inverter-Full Data'!B108,",",'Inverter-Full Data'!S108,",",'Inverter-Full Data'!J108,",",'Inverter-Full Data'!T108,"'")</f>
        <v>'ABB     UNO-DM-6.0-TL-PLUS-US-S-XRA [240V],Y,97,N'</v>
      </c>
    </row>
    <row r="377" spans="1:1">
      <c r="A377" s="2" t="str">
        <f>CONCATENATE("'",'Inverter-Full Data'!A109,"     ",'Inverter-Full Data'!B109,",",'Inverter-Full Data'!S109,",",'Inverter-Full Data'!J109,",",'Inverter-Full Data'!T109,"'")</f>
        <v>'ABB     UNO-DM-6.0-TL-PLUS-US-SZM-RA [208V],Y,97,N'</v>
      </c>
    </row>
    <row r="378" spans="1:1">
      <c r="A378" s="2" t="e">
        <f>CONCATENATE("'",'Inverter-Full Data'!#REF!,"     ",'Inverter-Full Data'!#REF!,",",'Inverter-Full Data'!#REF!,",",'Inverter-Full Data'!#REF!,",",'Inverter-Full Data'!#REF!,"'")</f>
        <v>#REF!</v>
      </c>
    </row>
    <row r="379" spans="1:1">
      <c r="A379" s="2" t="str">
        <f>CONCATENATE("'",'Inverter-Full Data'!A110,"     ",'Inverter-Full Data'!B110,",",'Inverter-Full Data'!S110,",",'Inverter-Full Data'!J110,",",'Inverter-Full Data'!T110,"'")</f>
        <v>'ABB     UNO-DM-6.0-TL-PLUS-US-SZM-RA [240V],Y,97,N'</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Data'!A111,"     ",'Inverter-Full Data'!B111,",",'Inverter-Full Data'!S111,",",'Inverter-Full Data'!J111,",",'Inverter-Full Data'!T111,"'")</f>
        <v>'ABB     UNO-7.6-TL-OUTD-S-US-A [208V],Y,97,N'</v>
      </c>
    </row>
    <row r="383" spans="1:1">
      <c r="A383" s="2" t="e">
        <f>CONCATENATE("'",'Inverter-Full Data'!#REF!,"     ",'Inverter-Full Data'!#REF!,",",'Inverter-Full Data'!#REF!,",",'Inverter-Full Data'!#REF!,",",'Inverter-Full Data'!#REF!,"'")</f>
        <v>#REF!</v>
      </c>
    </row>
    <row r="384" spans="1:1">
      <c r="A384" s="2" t="str">
        <f>CONCATENATE("'",'Inverter-Full Data'!A112,"     ",'Inverter-Full Data'!B112,",",'Inverter-Full Data'!S112,",",'Inverter-Full Data'!J112,",",'Inverter-Full Data'!T112,"'")</f>
        <v>'ABB     UNO-7.6-TL-OUTD-S-US-A [240V],Y,97,N'</v>
      </c>
    </row>
    <row r="385" spans="1:1">
      <c r="A385" s="2" t="e">
        <f>CONCATENATE("'",'Inverter-Full Data'!#REF!,"     ",'Inverter-Full Data'!#REF!,",",'Inverter-Full Data'!#REF!,",",'Inverter-Full Data'!#REF!,",",'Inverter-Full Data'!#REF!,"'")</f>
        <v>#REF!</v>
      </c>
    </row>
    <row r="386" spans="1:1">
      <c r="A386" s="2" t="str">
        <f>CONCATENATE("'",'Inverter-Full Data'!A113,"     ",'Inverter-Full Data'!B113,",",'Inverter-Full Data'!S113,",",'Inverter-Full Data'!J113,",",'Inverter-Full Data'!T113,"'")</f>
        <v>'ABB     UNO-7.6-TL-OUTD-S-US-A [277V],Y,97,N'</v>
      </c>
    </row>
    <row r="387" spans="1:1">
      <c r="A387" s="2" t="e">
        <f>CONCATENATE("'",'Inverter-Full Data'!#REF!,"     ",'Inverter-Full Data'!#REF!,",",'Inverter-Full Data'!#REF!,",",'Inverter-Full Data'!#REF!,",",'Inverter-Full Data'!#REF!,"'")</f>
        <v>#REF!</v>
      </c>
    </row>
    <row r="388" spans="1:1">
      <c r="A388" s="2" t="str">
        <f>CONCATENATE("'",'Inverter-Full Data'!A114,"     ",'Inverter-Full Data'!B114,",",'Inverter-Full Data'!S114,",",'Inverter-Full Data'!J114,",",'Inverter-Full Data'!T114,"'")</f>
        <v>'ABB     UNO-7.6-TL-OUTD-S-US-Z-A [208V],Y,97,N'</v>
      </c>
    </row>
    <row r="389" spans="1:1">
      <c r="A389" s="2" t="e">
        <f>CONCATENATE("'",'Inverter-Full Data'!#REF!,"     ",'Inverter-Full Data'!#REF!,",",'Inverter-Full Data'!#REF!,",",'Inverter-Full Data'!#REF!,",",'Inverter-Full Data'!#REF!,"'")</f>
        <v>#REF!</v>
      </c>
    </row>
    <row r="390" spans="1:1">
      <c r="A390" s="2" t="str">
        <f>CONCATENATE("'",'Inverter-Full Data'!A115,"     ",'Inverter-Full Data'!B115,",",'Inverter-Full Data'!S115,",",'Inverter-Full Data'!J115,",",'Inverter-Full Data'!T115,"'")</f>
        <v>'ABB     UNO-7.6-TL-OUTD-S-US-Z-A [240V],Y,97,N'</v>
      </c>
    </row>
    <row r="391" spans="1:1">
      <c r="A391" s="2" t="e">
        <f>CONCATENATE("'",'Inverter-Full Data'!#REF!,"     ",'Inverter-Full Data'!#REF!,",",'Inverter-Full Data'!#REF!,",",'Inverter-Full Data'!#REF!,",",'Inverter-Full Data'!#REF!,"'")</f>
        <v>#REF!</v>
      </c>
    </row>
    <row r="392" spans="1:1">
      <c r="A392" s="2" t="str">
        <f>CONCATENATE("'",'Inverter-Full Data'!A116,"     ",'Inverter-Full Data'!B116,",",'Inverter-Full Data'!S116,",",'Inverter-Full Data'!J116,",",'Inverter-Full Data'!T116,"'")</f>
        <v>'ABB     UNO-7.6-TL-OUTD-S-US-Z-A [277V],Y,97,N'</v>
      </c>
    </row>
    <row r="393" spans="1:1">
      <c r="A393" s="2" t="e">
        <f>CONCATENATE("'",'Inverter-Full Data'!#REF!,"     ",'Inverter-Full Data'!#REF!,",",'Inverter-Full Data'!#REF!,",",'Inverter-Full Data'!#REF!,",",'Inverter-Full Data'!#REF!,"'")</f>
        <v>#REF!</v>
      </c>
    </row>
    <row r="394" spans="1:1">
      <c r="A394" s="2" t="e">
        <f>CONCATENATE("'",'Inverter-Full Data'!#REF!,"     ",'Inverter-Full Data'!#REF!,",",'Inverter-Full Data'!#REF!,",",'Inverter-Full Data'!#REF!,",",'Inverter-Full Data'!#REF!,"'")</f>
        <v>#REF!</v>
      </c>
    </row>
    <row r="395" spans="1:1">
      <c r="A395" s="2" t="e">
        <f>CONCATENATE("'",'Inverter-Full Data'!#REF!,"     ",'Inverter-Full Data'!#REF!,",",'Inverter-Full Data'!#REF!,",",'Inverter-Full Data'!#REF!,",",'Inverter-Full Data'!#REF!,"'")</f>
        <v>#REF!</v>
      </c>
    </row>
    <row r="396" spans="1:1">
      <c r="A396" s="2" t="e">
        <f>CONCATENATE("'",'Inverter-Full Data'!#REF!,"     ",'Inverter-Full Data'!#REF!,",",'Inverter-Full Data'!#REF!,",",'Inverter-Full Data'!#REF!,",",'Inverter-Full Data'!#REF!,"'")</f>
        <v>#REF!</v>
      </c>
    </row>
    <row r="397" spans="1:1">
      <c r="A397" s="2" t="str">
        <f>CONCATENATE("'",'Inverter-Full Data'!A117,"     ",'Inverter-Full Data'!B117,",",'Inverter-Full Data'!S117,",",'Inverter-Full Data'!J117,",",'Inverter-Full Data'!T117,"'")</f>
        <v>'ABB     UNO-7.6-TL-OUTD-S-US-Z-M-A [208V],Y,97,N'</v>
      </c>
    </row>
    <row r="398" spans="1:1">
      <c r="A398" s="2" t="e">
        <f>CONCATENATE("'",'Inverter-Full Data'!#REF!,"     ",'Inverter-Full Data'!#REF!,",",'Inverter-Full Data'!#REF!,",",'Inverter-Full Data'!#REF!,",",'Inverter-Full Data'!#REF!,"'")</f>
        <v>#REF!</v>
      </c>
    </row>
    <row r="399" spans="1:1">
      <c r="A399" s="2" t="str">
        <f>CONCATENATE("'",'Inverter-Full Data'!A118,"     ",'Inverter-Full Data'!B118,",",'Inverter-Full Data'!S118,",",'Inverter-Full Data'!J118,",",'Inverter-Full Data'!T118,"'")</f>
        <v>'ABB     UNO-7.6-TL-OUTD-S-US-Z-M-A [240V],Y,97,N'</v>
      </c>
    </row>
    <row r="400" spans="1:1">
      <c r="A400" s="2" t="e">
        <f>CONCATENATE("'",'Inverter-Full Data'!#REF!,"     ",'Inverter-Full Data'!#REF!,",",'Inverter-Full Data'!#REF!,",",'Inverter-Full Data'!#REF!,",",'Inverter-Full Data'!#REF!,"'")</f>
        <v>#REF!</v>
      </c>
    </row>
    <row r="401" spans="1:1">
      <c r="A401" s="2" t="str">
        <f>CONCATENATE("'",'Inverter-Full Data'!A119,"     ",'Inverter-Full Data'!B119,",",'Inverter-Full Data'!S119,",",'Inverter-Full Data'!J119,",",'Inverter-Full Data'!T119,"'")</f>
        <v>'ABB     UNO-7.6-TL-OUTD-S-US-Z-M-A [277V],Y,97,N'</v>
      </c>
    </row>
    <row r="402" spans="1:1">
      <c r="A402" s="2" t="e">
        <f>CONCATENATE("'",'Inverter-Full Data'!#REF!,"     ",'Inverter-Full Data'!#REF!,",",'Inverter-Full Data'!#REF!,",",'Inverter-Full Data'!#REF!,",",'Inverter-Full Data'!#REF!,"'")</f>
        <v>#REF!</v>
      </c>
    </row>
    <row r="403" spans="1:1">
      <c r="A403" s="2" t="str">
        <f>CONCATENATE("'",'Inverter-Full Data'!A120,"     ",'Inverter-Full Data'!B120,",",'Inverter-Full Data'!S120,",",'Inverter-Full Data'!J120,",",'Inverter-Full Data'!T120,"'")</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Data'!A121,"     ",'Inverter-Full Data'!B121,",",'Inverter-Full Data'!S121,",",'Inverter-Full Data'!J121,",",'Inverter-Full Data'!T121,"'")</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Data'!A122,"     ",'Inverter-Full Data'!B122,",",'Inverter-Full Data'!S122,",",'Inverter-Full Data'!J122,",",'Inverter-Full Data'!T122,"'")</f>
        <v>'ABB     UNO-8.6-TL-OUTD-S-US-Z-A [240V],Y,97,N'</v>
      </c>
    </row>
    <row r="410" spans="1:1">
      <c r="A410" s="2" t="e">
        <f>CONCATENATE("'",'Inverter-Full Data'!#REF!,"     ",'Inverter-Full Data'!#REF!,",",'Inverter-Full Data'!#REF!,",",'Inverter-Full Data'!#REF!,",",'Inverter-Full Data'!#REF!,"'")</f>
        <v>#REF!</v>
      </c>
    </row>
    <row r="411" spans="1:1">
      <c r="A411" s="2" t="str">
        <f>CONCATENATE("'",'Inverter-Full Data'!A123,"     ",'Inverter-Full Data'!B123,",",'Inverter-Full Data'!S123,",",'Inverter-Full Data'!J123,",",'Inverter-Full Data'!T123,"'")</f>
        <v>'ABB     UNO-8.6-TL-OUTD-S-US-Z-A [277V],Y,97,N'</v>
      </c>
    </row>
    <row r="412" spans="1:1">
      <c r="A412" s="2" t="e">
        <f>CONCATENATE("'",'Inverter-Full Data'!#REF!,"     ",'Inverter-Full Data'!#REF!,",",'Inverter-Full Data'!#REF!,",",'Inverter-Full Data'!#REF!,",",'Inverter-Full Data'!#REF!,"'")</f>
        <v>#REF!</v>
      </c>
    </row>
    <row r="413" spans="1:1">
      <c r="A413" s="2" t="e">
        <f>CONCATENATE("'",'Inverter-Full Data'!#REF!,"     ",'Inverter-Full Data'!#REF!,",",'Inverter-Full Data'!#REF!,",",'Inverter-Full Data'!#REF!,",",'Inverter-Full Data'!#REF!,"'")</f>
        <v>#REF!</v>
      </c>
    </row>
    <row r="414" spans="1:1">
      <c r="A414" s="2" t="e">
        <f>CONCATENATE("'",'Inverter-Full Data'!#REF!,"     ",'Inverter-Full Data'!#REF!,",",'Inverter-Full Data'!#REF!,",",'Inverter-Full Data'!#REF!,",",'Inverter-Full Data'!#REF!,"'")</f>
        <v>#REF!</v>
      </c>
    </row>
    <row r="415" spans="1:1">
      <c r="A415" s="2" t="str">
        <f>CONCATENATE("'",'Inverter-Full Data'!A124,"     ",'Inverter-Full Data'!B124,",",'Inverter-Full Data'!S124,",",'Inverter-Full Data'!J124,",",'Inverter-Full Data'!T124,"'")</f>
        <v>'ABB     UNO-8.6-TL-OUTD-S-US-Z-M-A [240V],Y,97,N'</v>
      </c>
    </row>
    <row r="416" spans="1:1">
      <c r="A416" s="2" t="e">
        <f>CONCATENATE("'",'Inverter-Full Data'!#REF!,"     ",'Inverter-Full Data'!#REF!,",",'Inverter-Full Data'!#REF!,",",'Inverter-Full Data'!#REF!,",",'Inverter-Full Data'!#REF!,"'")</f>
        <v>#REF!</v>
      </c>
    </row>
    <row r="417" spans="1:1">
      <c r="A417" s="2" t="str">
        <f>CONCATENATE("'",'Inverter-Full Data'!A125,"     ",'Inverter-Full Data'!B125,",",'Inverter-Full Data'!S125,",",'Inverter-Full Data'!J125,",",'Inverter-Full Data'!T125,"'")</f>
        <v>'ABB     UNO-8.6-TL-OUTD-S-US-Z-M-A [277V],Y,97,N'</v>
      </c>
    </row>
    <row r="418" spans="1:1">
      <c r="A418" s="2" t="e">
        <f>CONCATENATE("'",'Inverter-Full Data'!#REF!,"     ",'Inverter-Full Data'!#REF!,",",'Inverter-Full Data'!#REF!,",",'Inverter-Full Data'!#REF!,",",'Inverter-Full Data'!#REF!,"'")</f>
        <v>#REF!</v>
      </c>
    </row>
    <row r="419" spans="1:1">
      <c r="A419" s="2" t="e">
        <f>CONCATENATE("'",'Inverter-Full Data'!#REF!,"     ",'Inverter-Full Data'!#REF!,",",'Inverter-Full Data'!#REF!,",",'Inverter-Full Data'!#REF!,",",'Inverter-Full Data'!#REF!,"'")</f>
        <v>#REF!</v>
      </c>
    </row>
    <row r="420" spans="1:1">
      <c r="A420" s="2" t="e">
        <f>CONCATENATE("'",'Inverter-Full Data'!#REF!,"     ",'Inverter-Full Data'!#REF!,",",'Inverter-Full Data'!#REF!,",",'Inverter-Full Data'!#REF!,",",'Inverter-Full Data'!#REF!,"'")</f>
        <v>#REF!</v>
      </c>
    </row>
    <row r="421" spans="1:1">
      <c r="A421" s="2" t="e">
        <f>CONCATENATE("'",'Inverter-Full Data'!#REF!,"     ",'Inverter-Full Data'!#REF!,",",'Inverter-Full Data'!#REF!,",",'Inverter-Full Data'!#REF!,",",'Inverter-Full Data'!#REF!,"'")</f>
        <v>#REF!</v>
      </c>
    </row>
    <row r="422" spans="1:1">
      <c r="A422" s="2" t="e">
        <f>CONCATENATE("'",'Inverter-Full Data'!#REF!,"     ",'Inverter-Full Data'!#REF!,",",'Inverter-Full Data'!#REF!,",",'Inverter-Full Data'!#REF!,",",'Inverter-Full Data'!#REF!,"'")</f>
        <v>#REF!</v>
      </c>
    </row>
    <row r="423" spans="1:1">
      <c r="A423" s="2" t="e">
        <f>CONCATENATE("'",'Inverter-Full Data'!#REF!,"     ",'Inverter-Full Data'!#REF!,",",'Inverter-Full Data'!#REF!,",",'Inverter-Full Data'!#REF!,",",'Inverter-Full Data'!#REF!,"'")</f>
        <v>#REF!</v>
      </c>
    </row>
    <row r="424" spans="1:1">
      <c r="A424" s="2" t="e">
        <f>CONCATENATE("'",'Inverter-Full Data'!#REF!,"     ",'Inverter-Full Data'!#REF!,",",'Inverter-Full Data'!#REF!,",",'Inverter-Full Data'!#REF!,",",'Inverter-Full Data'!#REF!,"'")</f>
        <v>#REF!</v>
      </c>
    </row>
    <row r="425" spans="1:1">
      <c r="A425" s="2" t="e">
        <f>CONCATENATE("'",'Inverter-Full Data'!#REF!,"     ",'Inverter-Full Data'!#REF!,",",'Inverter-Full Data'!#REF!,",",'Inverter-Full Data'!#REF!,",",'Inverter-Full Data'!#REF!,"'")</f>
        <v>#REF!</v>
      </c>
    </row>
    <row r="426" spans="1:1">
      <c r="A426" s="2" t="e">
        <f>CONCATENATE("'",'Inverter-Full Data'!#REF!,"     ",'Inverter-Full Data'!#REF!,",",'Inverter-Full Data'!#REF!,",",'Inverter-Full Data'!#REF!,",",'Inverter-Full Data'!#REF!,"'")</f>
        <v>#REF!</v>
      </c>
    </row>
    <row r="427" spans="1:1">
      <c r="A427" s="2" t="e">
        <f>CONCATENATE("'",'Inverter-Full Data'!#REF!,"     ",'Inverter-Full Data'!#REF!,",",'Inverter-Full Data'!#REF!,",",'Inverter-Full Data'!#REF!,",",'Inverter-Full Data'!#REF!,"'")</f>
        <v>#REF!</v>
      </c>
    </row>
    <row r="428" spans="1:1">
      <c r="A428" s="2" t="e">
        <f>CONCATENATE("'",'Inverter-Full Data'!#REF!,"     ",'Inverter-Full Data'!#REF!,",",'Inverter-Full Data'!#REF!,",",'Inverter-Full Data'!#REF!,",",'Inverter-Full Data'!#REF!,"'")</f>
        <v>#REF!</v>
      </c>
    </row>
    <row r="429" spans="1:1">
      <c r="A429" s="2" t="e">
        <f>CONCATENATE("'",'Inverter-Full Data'!#REF!,"     ",'Inverter-Full Data'!#REF!,",",'Inverter-Full Data'!#REF!,",",'Inverter-Full Data'!#REF!,",",'Inverter-Full Data'!#REF!,"'")</f>
        <v>#REF!</v>
      </c>
    </row>
    <row r="430" spans="1:1">
      <c r="A430" s="2" t="e">
        <f>CONCATENATE("'",'Inverter-Full Data'!#REF!,"     ",'Inverter-Full Data'!#REF!,",",'Inverter-Full Data'!#REF!,",",'Inverter-Full Data'!#REF!,",",'Inverter-Full Data'!#REF!,"'")</f>
        <v>#REF!</v>
      </c>
    </row>
    <row r="431" spans="1:1">
      <c r="A431" s="2" t="e">
        <f>CONCATENATE("'",'Inverter-Full Data'!#REF!,"     ",'Inverter-Full Data'!#REF!,",",'Inverter-Full Data'!#REF!,",",'Inverter-Full Data'!#REF!,",",'Inverter-Full Data'!#REF!,"'")</f>
        <v>#REF!</v>
      </c>
    </row>
    <row r="432" spans="1:1">
      <c r="A432" s="2" t="str">
        <f>CONCATENATE("'",'Inverter-Full Data'!A126,"     ",'Inverter-Full Data'!B126,",",'Inverter-Full Data'!S126,",",'Inverter-Full Data'!J126,",",'Inverter-Full Data'!T126,"'")</f>
        <v>'ABB     TRIO-50.0-TL-OUTD-US-480 [480V],Y,98,N'</v>
      </c>
    </row>
    <row r="433" spans="1:1">
      <c r="A433" s="2" t="e">
        <f>CONCATENATE("'",'Inverter-Full Data'!#REF!,"     ",'Inverter-Full Data'!#REF!,",",'Inverter-Full Data'!#REF!,",",'Inverter-Full Data'!#REF!,",",'Inverter-Full Data'!#REF!,"'")</f>
        <v>#REF!</v>
      </c>
    </row>
    <row r="434" spans="1:1">
      <c r="A434" s="2" t="str">
        <f>CONCATENATE("'",'Inverter-Full Data'!A127,"     ",'Inverter-Full Data'!B127,",",'Inverter-Full Data'!S127,",",'Inverter-Full Data'!J127,",",'Inverter-Full Data'!T127,"'")</f>
        <v>'ABB     TRIO-60.0-TL-OUTD-US-480 [480V],Y,98,N'</v>
      </c>
    </row>
    <row r="435" spans="1:1">
      <c r="A435" s="2" t="str">
        <f>CONCATENATE("'",'Inverter-Full Data'!A128,"     ",'Inverter-Full Data'!B128,",",'Inverter-Full Data'!S128,",",'Inverter-Full Data'!J128,",",'Inverter-Full Data'!T128,"'")</f>
        <v>'ABB     TRIO-TM-60.0-US-480 [480V],Y,98,N'</v>
      </c>
    </row>
    <row r="436" spans="1:1">
      <c r="A436" s="2" t="e">
        <f>CONCATENATE("'",'Inverter-Full Data'!#REF!,"     ",'Inverter-Full Data'!#REF!,",",'Inverter-Full Data'!#REF!,",",'Inverter-Full Data'!#REF!,",",'Inverter-Full Data'!#REF!,"'")</f>
        <v>#REF!</v>
      </c>
    </row>
    <row r="437" spans="1:1">
      <c r="A437" s="2" t="e">
        <f>CONCATENATE("'",'Inverter-Full Data'!#REF!,"     ",'Inverter-Full Data'!#REF!,",",'Inverter-Full Data'!#REF!,",",'Inverter-Full Data'!#REF!,",",'Inverter-Full Data'!#REF!,"'")</f>
        <v>#REF!</v>
      </c>
    </row>
    <row r="438" spans="1:1">
      <c r="A438" s="2" t="e">
        <f>CONCATENATE("'",'Inverter-Full Data'!#REF!,"     ",'Inverter-Full Data'!#REF!,",",'Inverter-Full Data'!#REF!,",",'Inverter-Full Data'!#REF!,",",'Inverter-Full Data'!#REF!,"'")</f>
        <v>#REF!</v>
      </c>
    </row>
    <row r="439" spans="1:1">
      <c r="A439" s="2" t="e">
        <f>CONCATENATE("'",'Inverter-Full Data'!#REF!,"     ",'Inverter-Full Data'!#REF!,",",'Inverter-Full Data'!#REF!,",",'Inverter-Full Data'!#REF!,",",'Inverter-Full Data'!#REF!,"'")</f>
        <v>#REF!</v>
      </c>
    </row>
    <row r="440" spans="1:1">
      <c r="A440" s="2" t="e">
        <f>CONCATENATE("'",'Inverter-Full Data'!#REF!,"     ",'Inverter-Full Data'!#REF!,",",'Inverter-Full Data'!#REF!,",",'Inverter-Full Data'!#REF!,",",'Inverter-Full Data'!#REF!,"'")</f>
        <v>#REF!</v>
      </c>
    </row>
    <row r="441" spans="1:1">
      <c r="A441" s="2" t="e">
        <f>CONCATENATE("'",'Inverter-Full Data'!#REF!,"     ",'Inverter-Full Data'!#REF!,",",'Inverter-Full Data'!#REF!,",",'Inverter-Full Data'!#REF!,",",'Inverter-Full Data'!#REF!,"'")</f>
        <v>#REF!</v>
      </c>
    </row>
    <row r="442" spans="1:1">
      <c r="A442" s="2" t="e">
        <f>CONCATENATE("'",'Inverter-Full Data'!#REF!,"     ",'Inverter-Full Data'!#REF!,",",'Inverter-Full Data'!#REF!,",",'Inverter-Full Data'!#REF!,",",'Inverter-Full Data'!#REF!,"'")</f>
        <v>#REF!</v>
      </c>
    </row>
    <row r="443" spans="1:1">
      <c r="A443" s="2" t="e">
        <f>CONCATENATE("'",'Inverter-Full Data'!#REF!,"     ",'Inverter-Full Data'!#REF!,",",'Inverter-Full Data'!#REF!,",",'Inverter-Full Data'!#REF!,",",'Inverter-Full Data'!#REF!,"'")</f>
        <v>#REF!</v>
      </c>
    </row>
    <row r="444" spans="1:1">
      <c r="A444" s="2" t="e">
        <f>CONCATENATE("'",'Inverter-Full Data'!#REF!,"     ",'Inverter-Full Data'!#REF!,",",'Inverter-Full Data'!#REF!,",",'Inverter-Full Data'!#REF!,",",'Inverter-Full Data'!#REF!,"'")</f>
        <v>#REF!</v>
      </c>
    </row>
    <row r="445" spans="1:1">
      <c r="A445" s="2" t="e">
        <f>CONCATENATE("'",'Inverter-Full Data'!#REF!,"     ",'Inverter-Full Data'!#REF!,",",'Inverter-Full Data'!#REF!,",",'Inverter-Full Data'!#REF!,",",'Inverter-Full Data'!#REF!,"'")</f>
        <v>#REF!</v>
      </c>
    </row>
    <row r="446" spans="1:1">
      <c r="A446" s="2" t="e">
        <f>CONCATENATE("'",'Inverter-Full Data'!#REF!,"     ",'Inverter-Full Data'!#REF!,",",'Inverter-Full Data'!#REF!,",",'Inverter-Full Data'!#REF!,",",'Inverter-Full Data'!#REF!,"'")</f>
        <v>#REF!</v>
      </c>
    </row>
    <row r="447" spans="1:1">
      <c r="A447" s="2" t="e">
        <f>CONCATENATE("'",'Inverter-Full Data'!#REF!,"     ",'Inverter-Full Data'!#REF!,",",'Inverter-Full Data'!#REF!,",",'Inverter-Full Data'!#REF!,",",'Inverter-Full Data'!#REF!,"'")</f>
        <v>#REF!</v>
      </c>
    </row>
    <row r="448" spans="1:1">
      <c r="A448" s="2" t="e">
        <f>CONCATENATE("'",'Inverter-Full Data'!#REF!,"     ",'Inverter-Full Data'!#REF!,",",'Inverter-Full Data'!#REF!,",",'Inverter-Full Data'!#REF!,",",'Inverter-Full Data'!#REF!,"'")</f>
        <v>#REF!</v>
      </c>
    </row>
    <row r="449" spans="1:1">
      <c r="A449" s="2" t="e">
        <f>CONCATENATE("'",'Inverter-Full Data'!#REF!,"     ",'Inverter-Full Data'!#REF!,",",'Inverter-Full Data'!#REF!,",",'Inverter-Full Data'!#REF!,",",'Inverter-Full Data'!#REF!,"'")</f>
        <v>#REF!</v>
      </c>
    </row>
    <row r="450" spans="1:1">
      <c r="A450" s="2" t="e">
        <f>CONCATENATE("'",'Inverter-Full Data'!#REF!,"     ",'Inverter-Full Data'!#REF!,",",'Inverter-Full Data'!#REF!,",",'Inverter-Full Data'!#REF!,",",'Inverter-Full Data'!#REF!,"'")</f>
        <v>#REF!</v>
      </c>
    </row>
    <row r="451" spans="1:1">
      <c r="A451" s="2" t="e">
        <f>CONCATENATE("'",'Inverter-Full Data'!#REF!,"     ",'Inverter-Full Data'!#REF!,",",'Inverter-Full Data'!#REF!,",",'Inverter-Full Data'!#REF!,",",'Inverter-Full Data'!#REF!,"'")</f>
        <v>#REF!</v>
      </c>
    </row>
    <row r="452" spans="1:1">
      <c r="A452" s="2" t="e">
        <f>CONCATENATE("'",'Inverter-Full Data'!#REF!,"     ",'Inverter-Full Data'!#REF!,",",'Inverter-Full Data'!#REF!,",",'Inverter-Full Data'!#REF!,",",'Inverter-Full Data'!#REF!,"'")</f>
        <v>#REF!</v>
      </c>
    </row>
    <row r="453" spans="1:1">
      <c r="A453" s="2" t="e">
        <f>CONCATENATE("'",'Inverter-Full Data'!#REF!,"     ",'Inverter-Full Data'!#REF!,",",'Inverter-Full Data'!#REF!,",",'Inverter-Full Data'!#REF!,",",'Inverter-Full Data'!#REF!,"'")</f>
        <v>#REF!</v>
      </c>
    </row>
    <row r="454" spans="1:1">
      <c r="A454" s="2" t="e">
        <f>CONCATENATE("'",'Inverter-Full Data'!#REF!,"     ",'Inverter-Full Data'!#REF!,",",'Inverter-Full Data'!#REF!,",",'Inverter-Full Data'!#REF!,",",'Inverter-Full Data'!#REF!,"'")</f>
        <v>#REF!</v>
      </c>
    </row>
    <row r="455" spans="1:1">
      <c r="A455" s="2" t="e">
        <f>CONCATENATE("'",'Inverter-Full Data'!#REF!,"     ",'Inverter-Full Data'!#REF!,",",'Inverter-Full Data'!#REF!,",",'Inverter-Full Data'!#REF!,",",'Inverter-Full Data'!#REF!,"'")</f>
        <v>#REF!</v>
      </c>
    </row>
    <row r="456" spans="1:1">
      <c r="A456" s="2" t="e">
        <f>CONCATENATE("'",'Inverter-Full Data'!#REF!,"     ",'Inverter-Full Data'!#REF!,",",'Inverter-Full Data'!#REF!,",",'Inverter-Full Data'!#REF!,",",'Inverter-Full Data'!#REF!,"'")</f>
        <v>#REF!</v>
      </c>
    </row>
    <row r="457" spans="1:1">
      <c r="A457" s="2" t="e">
        <f>CONCATENATE("'",'Inverter-Full Data'!#REF!,"     ",'Inverter-Full Data'!#REF!,",",'Inverter-Full Data'!#REF!,",",'Inverter-Full Data'!#REF!,",",'Inverter-Full Data'!#REF!,"'")</f>
        <v>#REF!</v>
      </c>
    </row>
    <row r="458" spans="1:1">
      <c r="A458" s="2" t="e">
        <f>CONCATENATE("'",'Inverter-Full Data'!#REF!,"     ",'Inverter-Full Data'!#REF!,",",'Inverter-Full Data'!#REF!,",",'Inverter-Full Data'!#REF!,",",'Inverter-Full Data'!#REF!,"'")</f>
        <v>#REF!</v>
      </c>
    </row>
    <row r="459" spans="1:1">
      <c r="A459" s="2" t="e">
        <f>CONCATENATE("'",'Inverter-Full Data'!#REF!,"     ",'Inverter-Full Data'!#REF!,",",'Inverter-Full Data'!#REF!,",",'Inverter-Full Data'!#REF!,",",'Inverter-Full Data'!#REF!,"'")</f>
        <v>#REF!</v>
      </c>
    </row>
    <row r="460" spans="1:1">
      <c r="A460" s="2" t="e">
        <f>CONCATENATE("'",'Inverter-Full Data'!#REF!,"     ",'Inverter-Full Data'!#REF!,",",'Inverter-Full Data'!#REF!,",",'Inverter-Full Data'!#REF!,",",'Inverter-Full Data'!#REF!,"'")</f>
        <v>#REF!</v>
      </c>
    </row>
    <row r="461" spans="1:1">
      <c r="A461" s="2" t="e">
        <f>CONCATENATE("'",'Inverter-Full Data'!#REF!,"     ",'Inverter-Full Data'!#REF!,",",'Inverter-Full Data'!#REF!,",",'Inverter-Full Data'!#REF!,",",'Inverter-Full Data'!#REF!,"'")</f>
        <v>#REF!</v>
      </c>
    </row>
    <row r="462" spans="1:1">
      <c r="A462" s="2" t="e">
        <f>CONCATENATE("'",'Inverter-Full Data'!#REF!,"     ",'Inverter-Full Data'!#REF!,",",'Inverter-Full Data'!#REF!,",",'Inverter-Full Data'!#REF!,",",'Inverter-Full Data'!#REF!,"'")</f>
        <v>#REF!</v>
      </c>
    </row>
    <row r="463" spans="1:1">
      <c r="A463" s="2" t="e">
        <f>CONCATENATE("'",'Inverter-Full Data'!#REF!,"     ",'Inverter-Full Data'!#REF!,",",'Inverter-Full Data'!#REF!,",",'Inverter-Full Data'!#REF!,",",'Inverter-Full Data'!#REF!,"'")</f>
        <v>#REF!</v>
      </c>
    </row>
    <row r="464" spans="1:1">
      <c r="A464" s="2" t="e">
        <f>CONCATENATE("'",'Inverter-Full Data'!#REF!,"     ",'Inverter-Full Data'!#REF!,",",'Inverter-Full Data'!#REF!,",",'Inverter-Full Data'!#REF!,",",'Inverter-Full Data'!#REF!,"'")</f>
        <v>#REF!</v>
      </c>
    </row>
    <row r="465" spans="1:1">
      <c r="A465" s="2" t="e">
        <f>CONCATENATE("'",'Inverter-Full Data'!#REF!,"     ",'Inverter-Full Data'!#REF!,",",'Inverter-Full Data'!#REF!,",",'Inverter-Full Data'!#REF!,",",'Inverter-Full Data'!#REF!,"'")</f>
        <v>#REF!</v>
      </c>
    </row>
    <row r="466" spans="1:1">
      <c r="A466" s="2" t="e">
        <f>CONCATENATE("'",'Inverter-Full Data'!#REF!,"     ",'Inverter-Full Data'!#REF!,",",'Inverter-Full Data'!#REF!,",",'Inverter-Full Data'!#REF!,",",'Inverter-Full Data'!#REF!,"'")</f>
        <v>#REF!</v>
      </c>
    </row>
    <row r="467" spans="1:1">
      <c r="A467" s="2" t="e">
        <f>CONCATENATE("'",'Inverter-Full Data'!#REF!,"     ",'Inverter-Full Data'!#REF!,",",'Inverter-Full Data'!#REF!,",",'Inverter-Full Data'!#REF!,",",'Inverter-Full Data'!#REF!,"'")</f>
        <v>#REF!</v>
      </c>
    </row>
    <row r="468" spans="1:1">
      <c r="A468" s="2" t="e">
        <f>CONCATENATE("'",'Inverter-Full Data'!#REF!,"     ",'Inverter-Full Data'!#REF!,",",'Inverter-Full Data'!#REF!,",",'Inverter-Full Data'!#REF!,",",'Inverter-Full Data'!#REF!,"'")</f>
        <v>#REF!</v>
      </c>
    </row>
    <row r="469" spans="1:1">
      <c r="A469" s="2" t="e">
        <f>CONCATENATE("'",'Inverter-Full Data'!#REF!,"     ",'Inverter-Full Data'!#REF!,",",'Inverter-Full Data'!#REF!,",",'Inverter-Full Data'!#REF!,",",'Inverter-Full Data'!#REF!,"'")</f>
        <v>#REF!</v>
      </c>
    </row>
    <row r="470" spans="1:1">
      <c r="A470" s="2" t="e">
        <f>CONCATENATE("'",'Inverter-Full Data'!#REF!,"     ",'Inverter-Full Data'!#REF!,",",'Inverter-Full Data'!#REF!,",",'Inverter-Full Data'!#REF!,",",'Inverter-Full Data'!#REF!,"'")</f>
        <v>#REF!</v>
      </c>
    </row>
    <row r="471" spans="1:1">
      <c r="A471" s="2" t="e">
        <f>CONCATENATE("'",'Inverter-Full Data'!#REF!,"     ",'Inverter-Full Data'!#REF!,",",'Inverter-Full Data'!#REF!,",",'Inverter-Full Data'!#REF!,",",'Inverter-Full Data'!#REF!,"'")</f>
        <v>#REF!</v>
      </c>
    </row>
    <row r="472" spans="1:1">
      <c r="A472" s="2" t="e">
        <f>CONCATENATE("'",'Inverter-Full Data'!#REF!,"     ",'Inverter-Full Data'!#REF!,",",'Inverter-Full Data'!#REF!,",",'Inverter-Full Data'!#REF!,",",'Inverter-Full Data'!#REF!,"'")</f>
        <v>#REF!</v>
      </c>
    </row>
    <row r="473" spans="1:1">
      <c r="A473" s="2" t="e">
        <f>CONCATENATE("'",'Inverter-Full Data'!#REF!,"     ",'Inverter-Full Data'!#REF!,",",'Inverter-Full Data'!#REF!,",",'Inverter-Full Data'!#REF!,",",'Inverter-Full Data'!#REF!,"'")</f>
        <v>#REF!</v>
      </c>
    </row>
    <row r="474" spans="1:1">
      <c r="A474" s="2" t="e">
        <f>CONCATENATE("'",'Inverter-Full Data'!#REF!,"     ",'Inverter-Full Data'!#REF!,",",'Inverter-Full Data'!#REF!,",",'Inverter-Full Data'!#REF!,",",'Inverter-Full Data'!#REF!,"'")</f>
        <v>#REF!</v>
      </c>
    </row>
    <row r="475" spans="1:1">
      <c r="A475" s="2" t="e">
        <f>CONCATENATE("'",'Inverter-Full Data'!#REF!,"     ",'Inverter-Full Data'!#REF!,",",'Inverter-Full Data'!#REF!,",",'Inverter-Full Data'!#REF!,",",'Inverter-Full Data'!#REF!,"'")</f>
        <v>#REF!</v>
      </c>
    </row>
    <row r="476" spans="1:1">
      <c r="A476" s="2" t="e">
        <f>CONCATENATE("'",'Inverter-Full Data'!#REF!,"     ",'Inverter-Full Data'!#REF!,",",'Inverter-Full Data'!#REF!,",",'Inverter-Full Data'!#REF!,",",'Inverter-Full Data'!#REF!,"'")</f>
        <v>#REF!</v>
      </c>
    </row>
    <row r="477" spans="1:1">
      <c r="A477" s="2" t="e">
        <f>CONCATENATE("'",'Inverter-Full Data'!#REF!,"     ",'Inverter-Full Data'!#REF!,",",'Inverter-Full Data'!#REF!,",",'Inverter-Full Data'!#REF!,",",'Inverter-Full Data'!#REF!,"'")</f>
        <v>#REF!</v>
      </c>
    </row>
    <row r="478" spans="1:1">
      <c r="A478" s="2" t="e">
        <f>CONCATENATE("'",'Inverter-Full Data'!#REF!,"     ",'Inverter-Full Data'!#REF!,",",'Inverter-Full Data'!#REF!,",",'Inverter-Full Data'!#REF!,",",'Inverter-Full Data'!#REF!,"'")</f>
        <v>#REF!</v>
      </c>
    </row>
    <row r="479" spans="1:1">
      <c r="A479" s="2" t="e">
        <f>CONCATENATE("'",'Inverter-Full Data'!#REF!,"     ",'Inverter-Full Data'!#REF!,",",'Inverter-Full Data'!#REF!,",",'Inverter-Full Data'!#REF!,",",'Inverter-Full Data'!#REF!,"'")</f>
        <v>#REF!</v>
      </c>
    </row>
    <row r="480" spans="1:1">
      <c r="A480" s="2" t="e">
        <f>CONCATENATE("'",'Inverter-Full Data'!#REF!,"     ",'Inverter-Full Data'!#REF!,",",'Inverter-Full Data'!#REF!,",",'Inverter-Full Data'!#REF!,",",'Inverter-Full Data'!#REF!,"'")</f>
        <v>#REF!</v>
      </c>
    </row>
    <row r="481" spans="1:1">
      <c r="A481" s="2" t="e">
        <f>CONCATENATE("'",'Inverter-Full Data'!#REF!,"     ",'Inverter-Full Data'!#REF!,",",'Inverter-Full Data'!#REF!,",",'Inverter-Full Data'!#REF!,",",'Inverter-Full Data'!#REF!,"'")</f>
        <v>#REF!</v>
      </c>
    </row>
    <row r="482" spans="1:1">
      <c r="A482" s="2" t="e">
        <f>CONCATENATE("'",'Inverter-Full Data'!#REF!,"     ",'Inverter-Full Data'!#REF!,",",'Inverter-Full Data'!#REF!,",",'Inverter-Full Data'!#REF!,",",'Inverter-Full Data'!#REF!,"'")</f>
        <v>#REF!</v>
      </c>
    </row>
    <row r="483" spans="1:1">
      <c r="A483" s="2" t="e">
        <f>CONCATENATE("'",'Inverter-Full Data'!#REF!,"     ",'Inverter-Full Data'!#REF!,",",'Inverter-Full Data'!#REF!,",",'Inverter-Full Data'!#REF!,",",'Inverter-Full Data'!#REF!,"'")</f>
        <v>#REF!</v>
      </c>
    </row>
    <row r="484" spans="1:1">
      <c r="A484" s="2" t="e">
        <f>CONCATENATE("'",'Inverter-Full Data'!#REF!,"     ",'Inverter-Full Data'!#REF!,",",'Inverter-Full Data'!#REF!,",",'Inverter-Full Data'!#REF!,",",'Inverter-Full Data'!#REF!,"'")</f>
        <v>#REF!</v>
      </c>
    </row>
    <row r="485" spans="1:1">
      <c r="A485" s="2" t="e">
        <f>CONCATENATE("'",'Inverter-Full Data'!#REF!,"     ",'Inverter-Full Data'!#REF!,",",'Inverter-Full Data'!#REF!,",",'Inverter-Full Data'!#REF!,",",'Inverter-Full Data'!#REF!,"'")</f>
        <v>#REF!</v>
      </c>
    </row>
    <row r="486" spans="1:1">
      <c r="A486" s="2" t="e">
        <f>CONCATENATE("'",'Inverter-Full Data'!#REF!,"     ",'Inverter-Full Data'!#REF!,",",'Inverter-Full Data'!#REF!,",",'Inverter-Full Data'!#REF!,",",'Inverter-Full Data'!#REF!,"'")</f>
        <v>#REF!</v>
      </c>
    </row>
    <row r="487" spans="1:1">
      <c r="A487" s="2" t="e">
        <f>CONCATENATE("'",'Inverter-Full Data'!#REF!,"     ",'Inverter-Full Data'!#REF!,",",'Inverter-Full Data'!#REF!,",",'Inverter-Full Data'!#REF!,",",'Inverter-Full Data'!#REF!,"'")</f>
        <v>#REF!</v>
      </c>
    </row>
    <row r="488" spans="1:1">
      <c r="A488" s="2" t="e">
        <f>CONCATENATE("'",'Inverter-Full Data'!#REF!,"     ",'Inverter-Full Data'!#REF!,",",'Inverter-Full Data'!#REF!,",",'Inverter-Full Data'!#REF!,",",'Inverter-Full Data'!#REF!,"'")</f>
        <v>#REF!</v>
      </c>
    </row>
    <row r="489" spans="1:1">
      <c r="A489" s="2" t="e">
        <f>CONCATENATE("'",'Inverter-Full Data'!#REF!,"     ",'Inverter-Full Data'!#REF!,",",'Inverter-Full Data'!#REF!,",",'Inverter-Full Data'!#REF!,",",'Inverter-Full Data'!#REF!,"'")</f>
        <v>#REF!</v>
      </c>
    </row>
    <row r="490" spans="1:1">
      <c r="A490" s="2" t="e">
        <f>CONCATENATE("'",'Inverter-Full Data'!#REF!,"     ",'Inverter-Full Data'!#REF!,",",'Inverter-Full Data'!#REF!,",",'Inverter-Full Data'!#REF!,",",'Inverter-Full Data'!#REF!,"'")</f>
        <v>#REF!</v>
      </c>
    </row>
    <row r="491" spans="1:1">
      <c r="A491" s="2" t="e">
        <f>CONCATENATE("'",'Inverter-Full Data'!#REF!,"     ",'Inverter-Full Data'!#REF!,",",'Inverter-Full Data'!#REF!,",",'Inverter-Full Data'!#REF!,",",'Inverter-Full Data'!#REF!,"'")</f>
        <v>#REF!</v>
      </c>
    </row>
    <row r="492" spans="1:1">
      <c r="A492" s="2" t="e">
        <f>CONCATENATE("'",'Inverter-Full Data'!#REF!,"     ",'Inverter-Full Data'!#REF!,",",'Inverter-Full Data'!#REF!,",",'Inverter-Full Data'!#REF!,",",'Inverter-Full Data'!#REF!,"'")</f>
        <v>#REF!</v>
      </c>
    </row>
    <row r="493" spans="1:1">
      <c r="A493" s="2" t="e">
        <f>CONCATENATE("'",'Inverter-Full Data'!#REF!,"     ",'Inverter-Full Data'!#REF!,",",'Inverter-Full Data'!#REF!,",",'Inverter-Full Data'!#REF!,",",'Inverter-Full Data'!#REF!,"'")</f>
        <v>#REF!</v>
      </c>
    </row>
    <row r="494" spans="1:1">
      <c r="A494" s="2" t="e">
        <f>CONCATENATE("'",'Inverter-Full Data'!#REF!,"     ",'Inverter-Full Data'!#REF!,",",'Inverter-Full Data'!#REF!,",",'Inverter-Full Data'!#REF!,",",'Inverter-Full Data'!#REF!,"'")</f>
        <v>#REF!</v>
      </c>
    </row>
    <row r="495" spans="1:1">
      <c r="A495" s="2" t="e">
        <f>CONCATENATE("'",'Inverter-Full Data'!#REF!,"     ",'Inverter-Full Data'!#REF!,",",'Inverter-Full Data'!#REF!,",",'Inverter-Full Data'!#REF!,",",'Inverter-Full Data'!#REF!,"'")</f>
        <v>#REF!</v>
      </c>
    </row>
    <row r="496" spans="1:1">
      <c r="A496" s="2" t="e">
        <f>CONCATENATE("'",'Inverter-Full Data'!#REF!,"     ",'Inverter-Full Data'!#REF!,",",'Inverter-Full Data'!#REF!,",",'Inverter-Full Data'!#REF!,",",'Inverter-Full Data'!#REF!,"'")</f>
        <v>#REF!</v>
      </c>
    </row>
    <row r="497" spans="1:1">
      <c r="A497" s="2" t="e">
        <f>CONCATENATE("'",'Inverter-Full Data'!#REF!,"     ",'Inverter-Full Data'!#REF!,",",'Inverter-Full Data'!#REF!,",",'Inverter-Full Data'!#REF!,",",'Inverter-Full Data'!#REF!,"'")</f>
        <v>#REF!</v>
      </c>
    </row>
    <row r="498" spans="1:1">
      <c r="A498" s="2" t="e">
        <f>CONCATENATE("'",'Inverter-Full Data'!#REF!,"     ",'Inverter-Full Data'!#REF!,",",'Inverter-Full Data'!#REF!,",",'Inverter-Full Data'!#REF!,",",'Inverter-Full Data'!#REF!,"'")</f>
        <v>#REF!</v>
      </c>
    </row>
    <row r="499" spans="1:1">
      <c r="A499" s="2" t="e">
        <f>CONCATENATE("'",'Inverter-Full Data'!#REF!,"     ",'Inverter-Full Data'!#REF!,",",'Inverter-Full Data'!#REF!,",",'Inverter-Full Data'!#REF!,",",'Inverter-Full Data'!#REF!,"'")</f>
        <v>#REF!</v>
      </c>
    </row>
    <row r="500" spans="1:1">
      <c r="A500" s="2" t="e">
        <f>CONCATENATE("'",'Inverter-Full Data'!#REF!,"     ",'Inverter-Full Data'!#REF!,",",'Inverter-Full Data'!#REF!,",",'Inverter-Full Data'!#REF!,",",'Inverter-Full Data'!#REF!,"'")</f>
        <v>#REF!</v>
      </c>
    </row>
    <row r="501" spans="1:1">
      <c r="A501" s="2" t="e">
        <f>CONCATENATE("'",'Inverter-Full Data'!#REF!,"     ",'Inverter-Full Data'!#REF!,",",'Inverter-Full Data'!#REF!,",",'Inverter-Full Data'!#REF!,",",'Inverter-Full Data'!#REF!,"'")</f>
        <v>#REF!</v>
      </c>
    </row>
    <row r="502" spans="1:1">
      <c r="A502" s="2" t="e">
        <f>CONCATENATE("'",'Inverter-Full Data'!#REF!,"     ",'Inverter-Full Data'!#REF!,",",'Inverter-Full Data'!#REF!,",",'Inverter-Full Data'!#REF!,",",'Inverter-Full Data'!#REF!,"'")</f>
        <v>#REF!</v>
      </c>
    </row>
    <row r="503" spans="1:1">
      <c r="A503" s="2" t="e">
        <f>CONCATENATE("'",'Inverter-Full Data'!#REF!,"     ",'Inverter-Full Data'!#REF!,",",'Inverter-Full Data'!#REF!,",",'Inverter-Full Data'!#REF!,",",'Inverter-Full Data'!#REF!,"'")</f>
        <v>#REF!</v>
      </c>
    </row>
    <row r="504" spans="1:1">
      <c r="A504" s="2" t="e">
        <f>CONCATENATE("'",'Inverter-Full Data'!#REF!,"     ",'Inverter-Full Data'!#REF!,",",'Inverter-Full Data'!#REF!,",",'Inverter-Full Data'!#REF!,",",'Inverter-Full Data'!#REF!,"'")</f>
        <v>#REF!</v>
      </c>
    </row>
    <row r="505" spans="1:1">
      <c r="A505" s="2" t="e">
        <f>CONCATENATE("'",'Inverter-Full Data'!#REF!,"     ",'Inverter-Full Data'!#REF!,",",'Inverter-Full Data'!#REF!,",",'Inverter-Full Data'!#REF!,",",'Inverter-Full Data'!#REF!,"'")</f>
        <v>#REF!</v>
      </c>
    </row>
    <row r="506" spans="1:1">
      <c r="A506" s="2" t="e">
        <f>CONCATENATE("'",'Inverter-Full Data'!#REF!,"     ",'Inverter-Full Data'!#REF!,",",'Inverter-Full Data'!#REF!,",",'Inverter-Full Data'!#REF!,",",'Inverter-Full Data'!#REF!,"'")</f>
        <v>#REF!</v>
      </c>
    </row>
    <row r="507" spans="1:1">
      <c r="A507" s="2" t="e">
        <f>CONCATENATE("'",'Inverter-Full Data'!#REF!,"     ",'Inverter-Full Data'!#REF!,",",'Inverter-Full Data'!#REF!,",",'Inverter-Full Data'!#REF!,",",'Inverter-Full Data'!#REF!,"'")</f>
        <v>#REF!</v>
      </c>
    </row>
    <row r="508" spans="1:1">
      <c r="A508" s="2" t="e">
        <f>CONCATENATE("'",'Inverter-Full Data'!#REF!,"     ",'Inverter-Full Data'!#REF!,",",'Inverter-Full Data'!#REF!,",",'Inverter-Full Data'!#REF!,",",'Inverter-Full Data'!#REF!,"'")</f>
        <v>#REF!</v>
      </c>
    </row>
    <row r="509" spans="1:1">
      <c r="A509" s="2" t="e">
        <f>CONCATENATE("'",'Inverter-Full Data'!#REF!,"     ",'Inverter-Full Data'!#REF!,",",'Inverter-Full Data'!#REF!,",",'Inverter-Full Data'!#REF!,",",'Inverter-Full Data'!#REF!,"'")</f>
        <v>#REF!</v>
      </c>
    </row>
    <row r="510" spans="1:1">
      <c r="A510" s="2" t="e">
        <f>CONCATENATE("'",'Inverter-Full Data'!#REF!,"     ",'Inverter-Full Data'!#REF!,",",'Inverter-Full Data'!#REF!,",",'Inverter-Full Data'!#REF!,",",'Inverter-Full Data'!#REF!,"'")</f>
        <v>#REF!</v>
      </c>
    </row>
    <row r="511" spans="1:1">
      <c r="A511" s="2" t="e">
        <f>CONCATENATE("'",'Inverter-Full Data'!#REF!,"     ",'Inverter-Full Data'!#REF!,",",'Inverter-Full Data'!#REF!,",",'Inverter-Full Data'!#REF!,",",'Inverter-Full Data'!#REF!,"'")</f>
        <v>#REF!</v>
      </c>
    </row>
    <row r="512" spans="1:1">
      <c r="A512" s="2" t="e">
        <f>CONCATENATE("'",'Inverter-Full Data'!#REF!,"     ",'Inverter-Full Data'!#REF!,",",'Inverter-Full Data'!#REF!,",",'Inverter-Full Data'!#REF!,",",'Inverter-Full Data'!#REF!,"'")</f>
        <v>#REF!</v>
      </c>
    </row>
    <row r="513" spans="1:1">
      <c r="A513" s="2" t="e">
        <f>CONCATENATE("'",'Inverter-Full Data'!#REF!,"     ",'Inverter-Full Data'!#REF!,",",'Inverter-Full Data'!#REF!,",",'Inverter-Full Data'!#REF!,",",'Inverter-Full Data'!#REF!,"'")</f>
        <v>#REF!</v>
      </c>
    </row>
    <row r="514" spans="1:1">
      <c r="A514" s="2" t="e">
        <f>CONCATENATE("'",'Inverter-Full Data'!#REF!,"     ",'Inverter-Full Data'!#REF!,",",'Inverter-Full Data'!#REF!,",",'Inverter-Full Data'!#REF!,",",'Inverter-Full Data'!#REF!,"'")</f>
        <v>#REF!</v>
      </c>
    </row>
    <row r="515" spans="1:1">
      <c r="A515" s="2" t="e">
        <f>CONCATENATE("'",'Inverter-Full Data'!#REF!,"     ",'Inverter-Full Data'!#REF!,",",'Inverter-Full Data'!#REF!,",",'Inverter-Full Data'!#REF!,",",'Inverter-Full Data'!#REF!,"'")</f>
        <v>#REF!</v>
      </c>
    </row>
    <row r="516" spans="1:1">
      <c r="A516" s="2" t="e">
        <f>CONCATENATE("'",'Inverter-Full Data'!#REF!,"     ",'Inverter-Full Data'!#REF!,",",'Inverter-Full Data'!#REF!,",",'Inverter-Full Data'!#REF!,",",'Inverter-Full Data'!#REF!,"'")</f>
        <v>#REF!</v>
      </c>
    </row>
    <row r="517" spans="1:1">
      <c r="A517" s="2" t="e">
        <f>CONCATENATE("'",'Inverter-Full Data'!#REF!,"     ",'Inverter-Full Data'!#REF!,",",'Inverter-Full Data'!#REF!,",",'Inverter-Full Data'!#REF!,",",'Inverter-Full Data'!#REF!,"'")</f>
        <v>#REF!</v>
      </c>
    </row>
    <row r="518" spans="1:1">
      <c r="A518" s="2" t="e">
        <f>CONCATENATE("'",'Inverter-Full Data'!#REF!,"     ",'Inverter-Full Data'!#REF!,",",'Inverter-Full Data'!#REF!,",",'Inverter-Full Data'!#REF!,",",'Inverter-Full Data'!#REF!,"'")</f>
        <v>#REF!</v>
      </c>
    </row>
    <row r="519" spans="1:1">
      <c r="A519" s="2" t="e">
        <f>CONCATENATE("'",'Inverter-Full Data'!#REF!,"     ",'Inverter-Full Data'!#REF!,",",'Inverter-Full Data'!#REF!,",",'Inverter-Full Data'!#REF!,",",'Inverter-Full Data'!#REF!,"'")</f>
        <v>#REF!</v>
      </c>
    </row>
    <row r="520" spans="1:1">
      <c r="A520" s="2" t="e">
        <f>CONCATENATE("'",'Inverter-Full Data'!#REF!,"     ",'Inverter-Full Data'!#REF!,",",'Inverter-Full Data'!#REF!,",",'Inverter-Full Data'!#REF!,",",'Inverter-Full Data'!#REF!,"'")</f>
        <v>#REF!</v>
      </c>
    </row>
    <row r="521" spans="1:1">
      <c r="A521" s="2" t="e">
        <f>CONCATENATE("'",'Inverter-Full Data'!#REF!,"     ",'Inverter-Full Data'!#REF!,",",'Inverter-Full Data'!#REF!,",",'Inverter-Full Data'!#REF!,",",'Inverter-Full Data'!#REF!,"'")</f>
        <v>#REF!</v>
      </c>
    </row>
    <row r="522" spans="1:1">
      <c r="A522" s="2" t="e">
        <f>CONCATENATE("'",'Inverter-Full Data'!#REF!,"     ",'Inverter-Full Data'!#REF!,",",'Inverter-Full Data'!#REF!,",",'Inverter-Full Data'!#REF!,",",'Inverter-Full Data'!#REF!,"'")</f>
        <v>#REF!</v>
      </c>
    </row>
    <row r="523" spans="1:1">
      <c r="A523" s="2" t="e">
        <f>CONCATENATE("'",'Inverter-Full Data'!#REF!,"     ",'Inverter-Full Data'!#REF!,",",'Inverter-Full Data'!#REF!,",",'Inverter-Full Data'!#REF!,",",'Inverter-Full Data'!#REF!,"'")</f>
        <v>#REF!</v>
      </c>
    </row>
    <row r="524" spans="1:1">
      <c r="A524" s="2" t="e">
        <f>CONCATENATE("'",'Inverter-Full Data'!#REF!,"     ",'Inverter-Full Data'!#REF!,",",'Inverter-Full Data'!#REF!,",",'Inverter-Full Data'!#REF!,",",'Inverter-Full Data'!#REF!,"'")</f>
        <v>#REF!</v>
      </c>
    </row>
    <row r="525" spans="1:1">
      <c r="A525" s="2" t="e">
        <f>CONCATENATE("'",'Inverter-Full Data'!#REF!,"     ",'Inverter-Full Data'!#REF!,",",'Inverter-Full Data'!#REF!,",",'Inverter-Full Data'!#REF!,",",'Inverter-Full Data'!#REF!,"'")</f>
        <v>#REF!</v>
      </c>
    </row>
    <row r="526" spans="1:1">
      <c r="A526" s="2" t="e">
        <f>CONCATENATE("'",'Inverter-Full Data'!#REF!,"     ",'Inverter-Full Data'!#REF!,",",'Inverter-Full Data'!#REF!,",",'Inverter-Full Data'!#REF!,",",'Inverter-Full Data'!#REF!,"'")</f>
        <v>#REF!</v>
      </c>
    </row>
    <row r="527" spans="1:1">
      <c r="A527" s="2" t="e">
        <f>CONCATENATE("'",'Inverter-Full Data'!#REF!,"     ",'Inverter-Full Data'!#REF!,",",'Inverter-Full Data'!#REF!,",",'Inverter-Full Data'!#REF!,",",'Inverter-Full Data'!#REF!,"'")</f>
        <v>#REF!</v>
      </c>
    </row>
    <row r="528" spans="1:1">
      <c r="A528" s="2" t="e">
        <f>CONCATENATE("'",'Inverter-Full Data'!#REF!,"     ",'Inverter-Full Data'!#REF!,",",'Inverter-Full Data'!#REF!,",",'Inverter-Full Data'!#REF!,",",'Inverter-Full Data'!#REF!,"'")</f>
        <v>#REF!</v>
      </c>
    </row>
    <row r="529" spans="1:1">
      <c r="A529" s="2" t="e">
        <f>CONCATENATE("'",'Inverter-Full Data'!#REF!,"     ",'Inverter-Full Data'!#REF!,",",'Inverter-Full Data'!#REF!,",",'Inverter-Full Data'!#REF!,",",'Inverter-Full Data'!#REF!,"'")</f>
        <v>#REF!</v>
      </c>
    </row>
    <row r="530" spans="1:1">
      <c r="A530" s="2" t="e">
        <f>CONCATENATE("'",'Inverter-Full Data'!#REF!,"     ",'Inverter-Full Data'!#REF!,",",'Inverter-Full Data'!#REF!,",",'Inverter-Full Data'!#REF!,",",'Inverter-Full Data'!#REF!,"'")</f>
        <v>#REF!</v>
      </c>
    </row>
    <row r="531" spans="1:1">
      <c r="A531" s="2" t="e">
        <f>CONCATENATE("'",'Inverter-Full Data'!#REF!,"     ",'Inverter-Full Data'!#REF!,",",'Inverter-Full Data'!#REF!,",",'Inverter-Full Data'!#REF!,",",'Inverter-Full Data'!#REF!,"'")</f>
        <v>#REF!</v>
      </c>
    </row>
    <row r="532" spans="1:1">
      <c r="A532" s="2" t="e">
        <f>CONCATENATE("'",'Inverter-Full Data'!#REF!,"     ",'Inverter-Full Data'!#REF!,",",'Inverter-Full Data'!#REF!,",",'Inverter-Full Data'!#REF!,",",'Inverter-Full Data'!#REF!,"'")</f>
        <v>#REF!</v>
      </c>
    </row>
    <row r="533" spans="1:1">
      <c r="A533" s="2" t="e">
        <f>CONCATENATE("'",'Inverter-Full Data'!#REF!,"     ",'Inverter-Full Data'!#REF!,",",'Inverter-Full Data'!#REF!,",",'Inverter-Full Data'!#REF!,",",'Inverter-Full Data'!#REF!,"'")</f>
        <v>#REF!</v>
      </c>
    </row>
    <row r="534" spans="1:1">
      <c r="A534" s="2" t="e">
        <f>CONCATENATE("'",'Inverter-Full Data'!#REF!,"     ",'Inverter-Full Data'!#REF!,",",'Inverter-Full Data'!#REF!,",",'Inverter-Full Data'!#REF!,",",'Inverter-Full Data'!#REF!,"'")</f>
        <v>#REF!</v>
      </c>
    </row>
    <row r="535" spans="1:1">
      <c r="A535" s="2" t="e">
        <f>CONCATENATE("'",'Inverter-Full Data'!#REF!,"     ",'Inverter-Full Data'!#REF!,",",'Inverter-Full Data'!#REF!,",",'Inverter-Full Data'!#REF!,",",'Inverter-Full Data'!#REF!,"'")</f>
        <v>#REF!</v>
      </c>
    </row>
    <row r="536" spans="1:1">
      <c r="A536" s="2" t="e">
        <f>CONCATENATE("'",'Inverter-Full Data'!#REF!,"     ",'Inverter-Full Data'!#REF!,",",'Inverter-Full Data'!#REF!,",",'Inverter-Full Data'!#REF!,",",'Inverter-Full Data'!#REF!,"'")</f>
        <v>#REF!</v>
      </c>
    </row>
    <row r="537" spans="1:1">
      <c r="A537" s="2" t="e">
        <f>CONCATENATE("'",'Inverter-Full Data'!#REF!,"     ",'Inverter-Full Data'!#REF!,",",'Inverter-Full Data'!#REF!,",",'Inverter-Full Data'!#REF!,",",'Inverter-Full Data'!#REF!,"'")</f>
        <v>#REF!</v>
      </c>
    </row>
    <row r="538" spans="1:1">
      <c r="A538" s="2" t="e">
        <f>CONCATENATE("'",'Inverter-Full Data'!#REF!,"     ",'Inverter-Full Data'!#REF!,",",'Inverter-Full Data'!#REF!,",",'Inverter-Full Data'!#REF!,",",'Inverter-Full Data'!#REF!,"'")</f>
        <v>#REF!</v>
      </c>
    </row>
    <row r="539" spans="1:1">
      <c r="A539" s="2" t="e">
        <f>CONCATENATE("'",'Inverter-Full Data'!#REF!,"     ",'Inverter-Full Data'!#REF!,",",'Inverter-Full Data'!#REF!,",",'Inverter-Full Data'!#REF!,",",'Inverter-Full Data'!#REF!,"'")</f>
        <v>#REF!</v>
      </c>
    </row>
    <row r="540" spans="1:1">
      <c r="A540" s="2" t="e">
        <f>CONCATENATE("'",'Inverter-Full Data'!#REF!,"     ",'Inverter-Full Data'!#REF!,",",'Inverter-Full Data'!#REF!,",",'Inverter-Full Data'!#REF!,",",'Inverter-Full Data'!#REF!,"'")</f>
        <v>#REF!</v>
      </c>
    </row>
    <row r="541" spans="1:1">
      <c r="A541" s="2" t="e">
        <f>CONCATENATE("'",'Inverter-Full Data'!#REF!,"     ",'Inverter-Full Data'!#REF!,",",'Inverter-Full Data'!#REF!,",",'Inverter-Full Data'!#REF!,",",'Inverter-Full Data'!#REF!,"'")</f>
        <v>#REF!</v>
      </c>
    </row>
    <row r="542" spans="1:1">
      <c r="A542" s="2" t="e">
        <f>CONCATENATE("'",'Inverter-Full Data'!#REF!,"     ",'Inverter-Full Data'!#REF!,",",'Inverter-Full Data'!#REF!,",",'Inverter-Full Data'!#REF!,",",'Inverter-Full Data'!#REF!,"'")</f>
        <v>#REF!</v>
      </c>
    </row>
    <row r="543" spans="1:1">
      <c r="A543" s="2" t="e">
        <f>CONCATENATE("'",'Inverter-Full Data'!#REF!,"     ",'Inverter-Full Data'!#REF!,",",'Inverter-Full Data'!#REF!,",",'Inverter-Full Data'!#REF!,",",'Inverter-Full Data'!#REF!,"'")</f>
        <v>#REF!</v>
      </c>
    </row>
    <row r="544" spans="1:1">
      <c r="A544" s="2" t="e">
        <f>CONCATENATE("'",'Inverter-Full Data'!#REF!,"     ",'Inverter-Full Data'!#REF!,",",'Inverter-Full Data'!#REF!,",",'Inverter-Full Data'!#REF!,",",'Inverter-Full Data'!#REF!,"'")</f>
        <v>#REF!</v>
      </c>
    </row>
    <row r="545" spans="1:1">
      <c r="A545" s="2" t="e">
        <f>CONCATENATE("'",'Inverter-Full Data'!#REF!,"     ",'Inverter-Full Data'!#REF!,",",'Inverter-Full Data'!#REF!,",",'Inverter-Full Data'!#REF!,",",'Inverter-Full Data'!#REF!,"'")</f>
        <v>#REF!</v>
      </c>
    </row>
    <row r="546" spans="1:1">
      <c r="A546" s="2" t="e">
        <f>CONCATENATE("'",'Inverter-Full Data'!#REF!,"     ",'Inverter-Full Data'!#REF!,",",'Inverter-Full Data'!#REF!,",",'Inverter-Full Data'!#REF!,",",'Inverter-Full Data'!#REF!,"'")</f>
        <v>#REF!</v>
      </c>
    </row>
    <row r="547" spans="1:1">
      <c r="A547" s="2" t="e">
        <f>CONCATENATE("'",'Inverter-Full Data'!#REF!,"     ",'Inverter-Full Data'!#REF!,",",'Inverter-Full Data'!#REF!,",",'Inverter-Full Data'!#REF!,",",'Inverter-Full Data'!#REF!,"'")</f>
        <v>#REF!</v>
      </c>
    </row>
    <row r="548" spans="1:1">
      <c r="A548" s="2" t="e">
        <f>CONCATENATE("'",'Inverter-Full Data'!#REF!,"     ",'Inverter-Full Data'!#REF!,",",'Inverter-Full Data'!#REF!,",",'Inverter-Full Data'!#REF!,",",'Inverter-Full Data'!#REF!,"'")</f>
        <v>#REF!</v>
      </c>
    </row>
    <row r="549" spans="1:1">
      <c r="A549" s="2" t="e">
        <f>CONCATENATE("'",'Inverter-Full Data'!#REF!,"     ",'Inverter-Full Data'!#REF!,",",'Inverter-Full Data'!#REF!,",",'Inverter-Full Data'!#REF!,",",'Inverter-Full Data'!#REF!,"'")</f>
        <v>#REF!</v>
      </c>
    </row>
    <row r="550" spans="1:1">
      <c r="A550" s="2" t="e">
        <f>CONCATENATE("'",'Inverter-Full Data'!#REF!,"     ",'Inverter-Full Data'!#REF!,",",'Inverter-Full Data'!#REF!,",",'Inverter-Full Data'!#REF!,",",'Inverter-Full Data'!#REF!,"'")</f>
        <v>#REF!</v>
      </c>
    </row>
    <row r="551" spans="1:1">
      <c r="A551" s="2" t="str">
        <f>CONCATENATE("'",'Inverter-Full Data'!A129,"     ",'Inverter-Full Data'!B129,",",'Inverter-Full Data'!S129,",",'Inverter-Full Data'!J129,",",'Inverter-Full Data'!T129,"'")</f>
        <v>'Altenergy Power System Inc.     YC600 [240V],N,96.5,Y'</v>
      </c>
    </row>
    <row r="552" spans="1:1">
      <c r="A552" s="2" t="e">
        <f>CONCATENATE("'",'Inverter-Full Data'!#REF!,"     ",'Inverter-Full Data'!#REF!,",",'Inverter-Full Data'!#REF!,",",'Inverter-Full Data'!#REF!,",",'Inverter-Full Data'!#REF!,"'")</f>
        <v>#REF!</v>
      </c>
    </row>
    <row r="553" spans="1:1">
      <c r="A553" s="2" t="e">
        <f>CONCATENATE("'",'Inverter-Full Data'!#REF!,"     ",'Inverter-Full Data'!#REF!,",",'Inverter-Full Data'!#REF!,",",'Inverter-Full Data'!#REF!,",",'Inverter-Full Data'!#REF!,"'")</f>
        <v>#REF!</v>
      </c>
    </row>
    <row r="554" spans="1:1">
      <c r="A554" s="2" t="e">
        <f>CONCATENATE("'",'Inverter-Full Data'!#REF!,"     ",'Inverter-Full Data'!#REF!,",",'Inverter-Full Data'!#REF!,",",'Inverter-Full Data'!#REF!,",",'Inverter-Full Data'!#REF!,"'")</f>
        <v>#REF!</v>
      </c>
    </row>
    <row r="555" spans="1:1">
      <c r="A555" s="2" t="e">
        <f>CONCATENATE("'",'Inverter-Full Data'!#REF!,"     ",'Inverter-Full Data'!#REF!,",",'Inverter-Full Data'!#REF!,",",'Inverter-Full Data'!#REF!,",",'Inverter-Full Data'!#REF!,"'")</f>
        <v>#REF!</v>
      </c>
    </row>
    <row r="556" spans="1:1">
      <c r="A556" s="2" t="e">
        <f>CONCATENATE("'",'Inverter-Full Data'!#REF!,"     ",'Inverter-Full Data'!#REF!,",",'Inverter-Full Data'!#REF!,",",'Inverter-Full Data'!#REF!,",",'Inverter-Full Data'!#REF!,"'")</f>
        <v>#REF!</v>
      </c>
    </row>
    <row r="557" spans="1:1">
      <c r="A557" s="2" t="e">
        <f>CONCATENATE("'",'Inverter-Full Data'!#REF!,"     ",'Inverter-Full Data'!#REF!,",",'Inverter-Full Data'!#REF!,",",'Inverter-Full Data'!#REF!,",",'Inverter-Full Data'!#REF!,"'")</f>
        <v>#REF!</v>
      </c>
    </row>
    <row r="558" spans="1:1">
      <c r="A558" s="2" t="e">
        <f>CONCATENATE("'",'Inverter-Full Data'!#REF!,"     ",'Inverter-Full Data'!#REF!,",",'Inverter-Full Data'!#REF!,",",'Inverter-Full Data'!#REF!,",",'Inverter-Full Data'!#REF!,"'")</f>
        <v>#REF!</v>
      </c>
    </row>
    <row r="559" spans="1:1">
      <c r="A559" s="2" t="e">
        <f>CONCATENATE("'",'Inverter-Full Data'!#REF!,"     ",'Inverter-Full Data'!#REF!,",",'Inverter-Full Data'!#REF!,",",'Inverter-Full Data'!#REF!,",",'Inverter-Full Data'!#REF!,"'")</f>
        <v>#REF!</v>
      </c>
    </row>
    <row r="560" spans="1:1">
      <c r="A560" s="2" t="e">
        <f>CONCATENATE("'",'Inverter-Full Data'!#REF!,"     ",'Inverter-Full Data'!#REF!,",",'Inverter-Full Data'!#REF!,",",'Inverter-Full Data'!#REF!,",",'Inverter-Full Data'!#REF!,"'")</f>
        <v>#REF!</v>
      </c>
    </row>
    <row r="561" spans="1:1">
      <c r="A561" s="2" t="e">
        <f>CONCATENATE("'",'Inverter-Full Data'!#REF!,"     ",'Inverter-Full Data'!#REF!,",",'Inverter-Full Data'!#REF!,",",'Inverter-Full Data'!#REF!,",",'Inverter-Full Data'!#REF!,"'")</f>
        <v>#REF!</v>
      </c>
    </row>
    <row r="562" spans="1:1">
      <c r="A562" s="2" t="e">
        <f>CONCATENATE("'",'Inverter-Full Data'!#REF!,"     ",'Inverter-Full Data'!#REF!,",",'Inverter-Full Data'!#REF!,",",'Inverter-Full Data'!#REF!,",",'Inverter-Full Data'!#REF!,"'")</f>
        <v>#REF!</v>
      </c>
    </row>
    <row r="563" spans="1:1">
      <c r="A563" s="2" t="e">
        <f>CONCATENATE("'",'Inverter-Full Data'!#REF!,"     ",'Inverter-Full Data'!#REF!,",",'Inverter-Full Data'!#REF!,",",'Inverter-Full Data'!#REF!,",",'Inverter-Full Data'!#REF!,"'")</f>
        <v>#REF!</v>
      </c>
    </row>
    <row r="564" spans="1:1">
      <c r="A564" s="2" t="e">
        <f>CONCATENATE("'",'Inverter-Full Data'!#REF!,"     ",'Inverter-Full Data'!#REF!,",",'Inverter-Full Data'!#REF!,",",'Inverter-Full Data'!#REF!,",",'Inverter-Full Data'!#REF!,"'")</f>
        <v>#REF!</v>
      </c>
    </row>
    <row r="565" spans="1:1">
      <c r="A565" s="2" t="e">
        <f>CONCATENATE("'",'Inverter-Full Data'!#REF!,"     ",'Inverter-Full Data'!#REF!,",",'Inverter-Full Data'!#REF!,",",'Inverter-Full Data'!#REF!,",",'Inverter-Full Data'!#REF!,"'")</f>
        <v>#REF!</v>
      </c>
    </row>
    <row r="566" spans="1:1">
      <c r="A566" s="2" t="e">
        <f>CONCATENATE("'",'Inverter-Full Data'!#REF!,"     ",'Inverter-Full Data'!#REF!,",",'Inverter-Full Data'!#REF!,",",'Inverter-Full Data'!#REF!,",",'Inverter-Full Data'!#REF!,"'")</f>
        <v>#REF!</v>
      </c>
    </row>
    <row r="567" spans="1:1">
      <c r="A567" s="2" t="e">
        <f>CONCATENATE("'",'Inverter-Full Data'!#REF!,"     ",'Inverter-Full Data'!#REF!,",",'Inverter-Full Data'!#REF!,",",'Inverter-Full Data'!#REF!,",",'Inverter-Full Data'!#REF!,"'")</f>
        <v>#REF!</v>
      </c>
    </row>
    <row r="568" spans="1:1">
      <c r="A568" s="2" t="e">
        <f>CONCATENATE("'",'Inverter-Full Data'!#REF!,"     ",'Inverter-Full Data'!#REF!,",",'Inverter-Full Data'!#REF!,",",'Inverter-Full Data'!#REF!,",",'Inverter-Full Data'!#REF!,"'")</f>
        <v>#REF!</v>
      </c>
    </row>
    <row r="569" spans="1:1">
      <c r="A569" s="2" t="e">
        <f>CONCATENATE("'",'Inverter-Full Data'!#REF!,"     ",'Inverter-Full Data'!#REF!,",",'Inverter-Full Data'!#REF!,",",'Inverter-Full Data'!#REF!,",",'Inverter-Full Data'!#REF!,"'")</f>
        <v>#REF!</v>
      </c>
    </row>
    <row r="570" spans="1:1">
      <c r="A570" s="2" t="e">
        <f>CONCATENATE("'",'Inverter-Full Data'!#REF!,"     ",'Inverter-Full Data'!#REF!,",",'Inverter-Full Data'!#REF!,",",'Inverter-Full Data'!#REF!,",",'Inverter-Full Data'!#REF!,"'")</f>
        <v>#REF!</v>
      </c>
    </row>
    <row r="571" spans="1:1">
      <c r="A571" s="2" t="e">
        <f>CONCATENATE("'",'Inverter-Full Data'!#REF!,"     ",'Inverter-Full Data'!#REF!,",",'Inverter-Full Data'!#REF!,",",'Inverter-Full Data'!#REF!,",",'Inverter-Full Data'!#REF!,"'")</f>
        <v>#REF!</v>
      </c>
    </row>
    <row r="572" spans="1:1">
      <c r="A572" s="2" t="e">
        <f>CONCATENATE("'",'Inverter-Full Data'!#REF!,"     ",'Inverter-Full Data'!#REF!,",",'Inverter-Full Data'!#REF!,",",'Inverter-Full Data'!#REF!,",",'Inverter-Full Data'!#REF!,"'")</f>
        <v>#REF!</v>
      </c>
    </row>
    <row r="573" spans="1:1">
      <c r="A573" s="2" t="e">
        <f>CONCATENATE("'",'Inverter-Full Data'!#REF!,"     ",'Inverter-Full Data'!#REF!,",",'Inverter-Full Data'!#REF!,",",'Inverter-Full Data'!#REF!,",",'Inverter-Full Data'!#REF!,"'")</f>
        <v>#REF!</v>
      </c>
    </row>
    <row r="574" spans="1:1">
      <c r="A574" s="2" t="e">
        <f>CONCATENATE("'",'Inverter-Full Data'!#REF!,"     ",'Inverter-Full Data'!#REF!,",",'Inverter-Full Data'!#REF!,",",'Inverter-Full Data'!#REF!,",",'Inverter-Full Data'!#REF!,"'")</f>
        <v>#REF!</v>
      </c>
    </row>
    <row r="575" spans="1:1">
      <c r="A575" s="2" t="e">
        <f>CONCATENATE("'",'Inverter-Full Data'!#REF!,"     ",'Inverter-Full Data'!#REF!,",",'Inverter-Full Data'!#REF!,",",'Inverter-Full Data'!#REF!,",",'Inverter-Full Data'!#REF!,"'")</f>
        <v>#REF!</v>
      </c>
    </row>
    <row r="576" spans="1:1">
      <c r="A576" s="2" t="e">
        <f>CONCATENATE("'",'Inverter-Full Data'!#REF!,"     ",'Inverter-Full Data'!#REF!,",",'Inverter-Full Data'!#REF!,",",'Inverter-Full Data'!#REF!,",",'Inverter-Full Data'!#REF!,"'")</f>
        <v>#REF!</v>
      </c>
    </row>
    <row r="577" spans="1:1">
      <c r="A577" s="2" t="e">
        <f>CONCATENATE("'",'Inverter-Full Data'!#REF!,"     ",'Inverter-Full Data'!#REF!,",",'Inverter-Full Data'!#REF!,",",'Inverter-Full Data'!#REF!,",",'Inverter-Full Data'!#REF!,"'")</f>
        <v>#REF!</v>
      </c>
    </row>
    <row r="578" spans="1:1">
      <c r="A578" s="2" t="e">
        <f>CONCATENATE("'",'Inverter-Full Data'!#REF!,"     ",'Inverter-Full Data'!#REF!,",",'Inverter-Full Data'!#REF!,",",'Inverter-Full Data'!#REF!,",",'Inverter-Full Data'!#REF!,"'")</f>
        <v>#REF!</v>
      </c>
    </row>
    <row r="579" spans="1:1">
      <c r="A579" s="2" t="e">
        <f>CONCATENATE("'",'Inverter-Full Data'!#REF!,"     ",'Inverter-Full Data'!#REF!,",",'Inverter-Full Data'!#REF!,",",'Inverter-Full Data'!#REF!,",",'Inverter-Full Data'!#REF!,"'")</f>
        <v>#REF!</v>
      </c>
    </row>
    <row r="580" spans="1:1">
      <c r="A580" s="2" t="e">
        <f>CONCATENATE("'",'Inverter-Full Data'!#REF!,"     ",'Inverter-Full Data'!#REF!,",",'Inverter-Full Data'!#REF!,",",'Inverter-Full Data'!#REF!,",",'Inverter-Full Data'!#REF!,"'")</f>
        <v>#REF!</v>
      </c>
    </row>
    <row r="581" spans="1:1">
      <c r="A581" s="2" t="e">
        <f>CONCATENATE("'",'Inverter-Full Data'!#REF!,"     ",'Inverter-Full Data'!#REF!,",",'Inverter-Full Data'!#REF!,",",'Inverter-Full Data'!#REF!,",",'Inverter-Full Data'!#REF!,"'")</f>
        <v>#REF!</v>
      </c>
    </row>
    <row r="582" spans="1:1">
      <c r="A582" s="2" t="e">
        <f>CONCATENATE("'",'Inverter-Full Data'!#REF!,"     ",'Inverter-Full Data'!#REF!,",",'Inverter-Full Data'!#REF!,",",'Inverter-Full Data'!#REF!,",",'Inverter-Full Data'!#REF!,"'")</f>
        <v>#REF!</v>
      </c>
    </row>
    <row r="583" spans="1:1">
      <c r="A583" s="2" t="e">
        <f>CONCATENATE("'",'Inverter-Full Data'!#REF!,"     ",'Inverter-Full Data'!#REF!,",",'Inverter-Full Data'!#REF!,",",'Inverter-Full Data'!#REF!,",",'Inverter-Full Data'!#REF!,"'")</f>
        <v>#REF!</v>
      </c>
    </row>
    <row r="584" spans="1:1">
      <c r="A584" s="2" t="e">
        <f>CONCATENATE("'",'Inverter-Full Data'!#REF!,"     ",'Inverter-Full Data'!#REF!,",",'Inverter-Full Data'!#REF!,",",'Inverter-Full Data'!#REF!,",",'Inverter-Full Data'!#REF!,"'")</f>
        <v>#REF!</v>
      </c>
    </row>
    <row r="585" spans="1:1">
      <c r="A585" s="2" t="e">
        <f>CONCATENATE("'",'Inverter-Full Data'!#REF!,"     ",'Inverter-Full Data'!#REF!,",",'Inverter-Full Data'!#REF!,",",'Inverter-Full Data'!#REF!,",",'Inverter-Full Data'!#REF!,"'")</f>
        <v>#REF!</v>
      </c>
    </row>
    <row r="586" spans="1:1">
      <c r="A586" s="2" t="e">
        <f>CONCATENATE("'",'Inverter-Full Data'!#REF!,"     ",'Inverter-Full Data'!#REF!,",",'Inverter-Full Data'!#REF!,",",'Inverter-Full Data'!#REF!,",",'Inverter-Full Data'!#REF!,"'")</f>
        <v>#REF!</v>
      </c>
    </row>
    <row r="587" spans="1:1">
      <c r="A587" s="2" t="e">
        <f>CONCATENATE("'",'Inverter-Full Data'!#REF!,"     ",'Inverter-Full Data'!#REF!,",",'Inverter-Full Data'!#REF!,",",'Inverter-Full Data'!#REF!,",",'Inverter-Full Data'!#REF!,"'")</f>
        <v>#REF!</v>
      </c>
    </row>
    <row r="588" spans="1:1">
      <c r="A588" s="2" t="e">
        <f>CONCATENATE("'",'Inverter-Full Data'!#REF!,"     ",'Inverter-Full Data'!#REF!,",",'Inverter-Full Data'!#REF!,",",'Inverter-Full Data'!#REF!,",",'Inverter-Full Data'!#REF!,"'")</f>
        <v>#REF!</v>
      </c>
    </row>
    <row r="589" spans="1:1">
      <c r="A589" s="2" t="e">
        <f>CONCATENATE("'",'Inverter-Full Data'!#REF!,"     ",'Inverter-Full Data'!#REF!,",",'Inverter-Full Data'!#REF!,",",'Inverter-Full Data'!#REF!,",",'Inverter-Full Data'!#REF!,"'")</f>
        <v>#REF!</v>
      </c>
    </row>
    <row r="590" spans="1:1">
      <c r="A590" s="2" t="e">
        <f>CONCATENATE("'",'Inverter-Full Data'!#REF!,"     ",'Inverter-Full Data'!#REF!,",",'Inverter-Full Data'!#REF!,",",'Inverter-Full Data'!#REF!,",",'Inverter-Full Data'!#REF!,"'")</f>
        <v>#REF!</v>
      </c>
    </row>
    <row r="591" spans="1:1">
      <c r="A591" s="2" t="e">
        <f>CONCATENATE("'",'Inverter-Full Data'!#REF!,"     ",'Inverter-Full Data'!#REF!,",",'Inverter-Full Data'!#REF!,",",'Inverter-Full Data'!#REF!,",",'Inverter-Full Data'!#REF!,"'")</f>
        <v>#REF!</v>
      </c>
    </row>
    <row r="592" spans="1:1">
      <c r="A592" s="2" t="e">
        <f>CONCATENATE("'",'Inverter-Full Data'!#REF!,"     ",'Inverter-Full Data'!#REF!,",",'Inverter-Full Data'!#REF!,",",'Inverter-Full Data'!#REF!,",",'Inverter-Full Data'!#REF!,"'")</f>
        <v>#REF!</v>
      </c>
    </row>
    <row r="593" spans="1:1">
      <c r="A593" s="2" t="e">
        <f>CONCATENATE("'",'Inverter-Full Data'!#REF!,"     ",'Inverter-Full Data'!#REF!,",",'Inverter-Full Data'!#REF!,",",'Inverter-Full Data'!#REF!,",",'Inverter-Full Data'!#REF!,"'")</f>
        <v>#REF!</v>
      </c>
    </row>
    <row r="594" spans="1:1">
      <c r="A594" s="2" t="e">
        <f>CONCATENATE("'",'Inverter-Full Data'!#REF!,"     ",'Inverter-Full Data'!#REF!,",",'Inverter-Full Data'!#REF!,",",'Inverter-Full Data'!#REF!,",",'Inverter-Full Data'!#REF!,"'")</f>
        <v>#REF!</v>
      </c>
    </row>
    <row r="595" spans="1:1">
      <c r="A595" s="2" t="e">
        <f>CONCATENATE("'",'Inverter-Full Data'!#REF!,"     ",'Inverter-Full Data'!#REF!,",",'Inverter-Full Data'!#REF!,",",'Inverter-Full Data'!#REF!,",",'Inverter-Full Data'!#REF!,"'")</f>
        <v>#REF!</v>
      </c>
    </row>
    <row r="596" spans="1:1">
      <c r="A596" s="2" t="e">
        <f>CONCATENATE("'",'Inverter-Full Data'!#REF!,"     ",'Inverter-Full Data'!#REF!,",",'Inverter-Full Data'!#REF!,",",'Inverter-Full Data'!#REF!,",",'Inverter-Full Data'!#REF!,"'")</f>
        <v>#REF!</v>
      </c>
    </row>
    <row r="597" spans="1:1">
      <c r="A597" s="2" t="e">
        <f>CONCATENATE("'",'Inverter-Full Data'!#REF!,"     ",'Inverter-Full Data'!#REF!,",",'Inverter-Full Data'!#REF!,",",'Inverter-Full Data'!#REF!,",",'Inverter-Full Data'!#REF!,"'")</f>
        <v>#REF!</v>
      </c>
    </row>
    <row r="598" spans="1:1">
      <c r="A598" s="2" t="e">
        <f>CONCATENATE("'",'Inverter-Full Data'!#REF!,"     ",'Inverter-Full Data'!#REF!,",",'Inverter-Full Data'!#REF!,",",'Inverter-Full Data'!#REF!,",",'Inverter-Full Data'!#REF!,"'")</f>
        <v>#REF!</v>
      </c>
    </row>
    <row r="599" spans="1:1">
      <c r="A599" s="2" t="e">
        <f>CONCATENATE("'",'Inverter-Full Data'!#REF!,"     ",'Inverter-Full Data'!#REF!,",",'Inverter-Full Data'!#REF!,",",'Inverter-Full Data'!#REF!,",",'Inverter-Full Data'!#REF!,"'")</f>
        <v>#REF!</v>
      </c>
    </row>
    <row r="600" spans="1:1">
      <c r="A600" s="2" t="e">
        <f>CONCATENATE("'",'Inverter-Full Data'!#REF!,"     ",'Inverter-Full Data'!#REF!,",",'Inverter-Full Data'!#REF!,",",'Inverter-Full Data'!#REF!,",",'Inverter-Full Data'!#REF!,"'")</f>
        <v>#REF!</v>
      </c>
    </row>
    <row r="601" spans="1:1">
      <c r="A601" s="2" t="e">
        <f>CONCATENATE("'",'Inverter-Full Data'!#REF!,"     ",'Inverter-Full Data'!#REF!,",",'Inverter-Full Data'!#REF!,",",'Inverter-Full Data'!#REF!,",",'Inverter-Full Data'!#REF!,"'")</f>
        <v>#REF!</v>
      </c>
    </row>
    <row r="602" spans="1:1">
      <c r="A602" s="2" t="e">
        <f>CONCATENATE("'",'Inverter-Full Data'!#REF!,"     ",'Inverter-Full Data'!#REF!,",",'Inverter-Full Data'!#REF!,",",'Inverter-Full Data'!#REF!,",",'Inverter-Full Data'!#REF!,"'")</f>
        <v>#REF!</v>
      </c>
    </row>
    <row r="603" spans="1:1">
      <c r="A603" s="2" t="e">
        <f>CONCATENATE("'",'Inverter-Full Data'!#REF!,"     ",'Inverter-Full Data'!#REF!,",",'Inverter-Full Data'!#REF!,",",'Inverter-Full Data'!#REF!,",",'Inverter-Full Data'!#REF!,"'")</f>
        <v>#REF!</v>
      </c>
    </row>
    <row r="604" spans="1:1">
      <c r="A604" s="2" t="e">
        <f>CONCATENATE("'",'Inverter-Full Data'!#REF!,"     ",'Inverter-Full Data'!#REF!,",",'Inverter-Full Data'!#REF!,",",'Inverter-Full Data'!#REF!,",",'Inverter-Full Data'!#REF!,"'")</f>
        <v>#REF!</v>
      </c>
    </row>
    <row r="605" spans="1:1">
      <c r="A605" s="2" t="e">
        <f>CONCATENATE("'",'Inverter-Full Data'!#REF!,"     ",'Inverter-Full Data'!#REF!,",",'Inverter-Full Data'!#REF!,",",'Inverter-Full Data'!#REF!,",",'Inverter-Full Data'!#REF!,"'")</f>
        <v>#REF!</v>
      </c>
    </row>
    <row r="606" spans="1:1">
      <c r="A606" s="2" t="e">
        <f>CONCATENATE("'",'Inverter-Full Data'!#REF!,"     ",'Inverter-Full Data'!#REF!,",",'Inverter-Full Data'!#REF!,",",'Inverter-Full Data'!#REF!,",",'Inverter-Full Data'!#REF!,"'")</f>
        <v>#REF!</v>
      </c>
    </row>
    <row r="607" spans="1:1">
      <c r="A607" s="2" t="e">
        <f>CONCATENATE("'",'Inverter-Full Data'!#REF!,"     ",'Inverter-Full Data'!#REF!,",",'Inverter-Full Data'!#REF!,",",'Inverter-Full Data'!#REF!,",",'Inverter-Full Data'!#REF!,"'")</f>
        <v>#REF!</v>
      </c>
    </row>
    <row r="608" spans="1:1">
      <c r="A608" s="2" t="e">
        <f>CONCATENATE("'",'Inverter-Full Data'!#REF!,"     ",'Inverter-Full Data'!#REF!,",",'Inverter-Full Data'!#REF!,",",'Inverter-Full Data'!#REF!,",",'Inverter-Full Data'!#REF!,"'")</f>
        <v>#REF!</v>
      </c>
    </row>
    <row r="609" spans="1:1">
      <c r="A609" s="2" t="e">
        <f>CONCATENATE("'",'Inverter-Full Data'!#REF!,"     ",'Inverter-Full Data'!#REF!,",",'Inverter-Full Data'!#REF!,",",'Inverter-Full Data'!#REF!,",",'Inverter-Full Data'!#REF!,"'")</f>
        <v>#REF!</v>
      </c>
    </row>
    <row r="610" spans="1:1">
      <c r="A610" s="2" t="e">
        <f>CONCATENATE("'",'Inverter-Full Data'!#REF!,"     ",'Inverter-Full Data'!#REF!,",",'Inverter-Full Data'!#REF!,",",'Inverter-Full Data'!#REF!,",",'Inverter-Full Data'!#REF!,"'")</f>
        <v>#REF!</v>
      </c>
    </row>
    <row r="611" spans="1:1">
      <c r="A611" s="2" t="e">
        <f>CONCATENATE("'",'Inverter-Full Data'!#REF!,"     ",'Inverter-Full Data'!#REF!,",",'Inverter-Full Data'!#REF!,",",'Inverter-Full Data'!#REF!,",",'Inverter-Full Data'!#REF!,"'")</f>
        <v>#REF!</v>
      </c>
    </row>
    <row r="612" spans="1:1">
      <c r="A612" s="2" t="e">
        <f>CONCATENATE("'",'Inverter-Full Data'!#REF!,"     ",'Inverter-Full Data'!#REF!,",",'Inverter-Full Data'!#REF!,",",'Inverter-Full Data'!#REF!,",",'Inverter-Full Data'!#REF!,"'")</f>
        <v>#REF!</v>
      </c>
    </row>
    <row r="613" spans="1:1">
      <c r="A613" s="2" t="e">
        <f>CONCATENATE("'",'Inverter-Full Data'!#REF!,"     ",'Inverter-Full Data'!#REF!,",",'Inverter-Full Data'!#REF!,",",'Inverter-Full Data'!#REF!,",",'Inverter-Full Data'!#REF!,"'")</f>
        <v>#REF!</v>
      </c>
    </row>
    <row r="614" spans="1:1">
      <c r="A614" s="2" t="e">
        <f>CONCATENATE("'",'Inverter-Full Data'!#REF!,"     ",'Inverter-Full Data'!#REF!,",",'Inverter-Full Data'!#REF!,",",'Inverter-Full Data'!#REF!,",",'Inverter-Full Data'!#REF!,"'")</f>
        <v>#REF!</v>
      </c>
    </row>
    <row r="615" spans="1:1">
      <c r="A615" s="2" t="e">
        <f>CONCATENATE("'",'Inverter-Full Data'!#REF!,"     ",'Inverter-Full Data'!#REF!,",",'Inverter-Full Data'!#REF!,",",'Inverter-Full Data'!#REF!,",",'Inverter-Full Data'!#REF!,"'")</f>
        <v>#REF!</v>
      </c>
    </row>
    <row r="616" spans="1:1">
      <c r="A616" s="2" t="e">
        <f>CONCATENATE("'",'Inverter-Full Data'!#REF!,"     ",'Inverter-Full Data'!#REF!,",",'Inverter-Full Data'!#REF!,",",'Inverter-Full Data'!#REF!,",",'Inverter-Full Data'!#REF!,"'")</f>
        <v>#REF!</v>
      </c>
    </row>
    <row r="617" spans="1:1">
      <c r="A617" s="2" t="e">
        <f>CONCATENATE("'",'Inverter-Full Data'!#REF!,"     ",'Inverter-Full Data'!#REF!,",",'Inverter-Full Data'!#REF!,",",'Inverter-Full Data'!#REF!,",",'Inverter-Full Data'!#REF!,"'")</f>
        <v>#REF!</v>
      </c>
    </row>
    <row r="618" spans="1:1">
      <c r="A618" s="2" t="e">
        <f>CONCATENATE("'",'Inverter-Full Data'!#REF!,"     ",'Inverter-Full Data'!#REF!,",",'Inverter-Full Data'!#REF!,",",'Inverter-Full Data'!#REF!,",",'Inverter-Full Data'!#REF!,"'")</f>
        <v>#REF!</v>
      </c>
    </row>
    <row r="619" spans="1:1">
      <c r="A619" s="2" t="e">
        <f>CONCATENATE("'",'Inverter-Full Data'!#REF!,"     ",'Inverter-Full Data'!#REF!,",",'Inverter-Full Data'!#REF!,",",'Inverter-Full Data'!#REF!,",",'Inverter-Full Data'!#REF!,"'")</f>
        <v>#REF!</v>
      </c>
    </row>
    <row r="620" spans="1:1">
      <c r="A620" s="2" t="e">
        <f>CONCATENATE("'",'Inverter-Full Data'!#REF!,"     ",'Inverter-Full Data'!#REF!,",",'Inverter-Full Data'!#REF!,",",'Inverter-Full Data'!#REF!,",",'Inverter-Full Data'!#REF!,"'")</f>
        <v>#REF!</v>
      </c>
    </row>
    <row r="621" spans="1:1">
      <c r="A621" s="2" t="e">
        <f>CONCATENATE("'",'Inverter-Full Data'!#REF!,"     ",'Inverter-Full Data'!#REF!,",",'Inverter-Full Data'!#REF!,",",'Inverter-Full Data'!#REF!,",",'Inverter-Full Data'!#REF!,"'")</f>
        <v>#REF!</v>
      </c>
    </row>
    <row r="622" spans="1:1">
      <c r="A622" s="2" t="e">
        <f>CONCATENATE("'",'Inverter-Full Data'!#REF!,"     ",'Inverter-Full Data'!#REF!,",",'Inverter-Full Data'!#REF!,",",'Inverter-Full Data'!#REF!,",",'Inverter-Full Data'!#REF!,"'")</f>
        <v>#REF!</v>
      </c>
    </row>
    <row r="623" spans="1:1">
      <c r="A623" s="2" t="e">
        <f>CONCATENATE("'",'Inverter-Full Data'!#REF!,"     ",'Inverter-Full Data'!#REF!,",",'Inverter-Full Data'!#REF!,",",'Inverter-Full Data'!#REF!,",",'Inverter-Full Data'!#REF!,"'")</f>
        <v>#REF!</v>
      </c>
    </row>
    <row r="624" spans="1:1">
      <c r="A624" s="2" t="e">
        <f>CONCATENATE("'",'Inverter-Full Data'!#REF!,"     ",'Inverter-Full Data'!#REF!,",",'Inverter-Full Data'!#REF!,",",'Inverter-Full Data'!#REF!,",",'Inverter-Full Data'!#REF!,"'")</f>
        <v>#REF!</v>
      </c>
    </row>
    <row r="625" spans="1:1">
      <c r="A625" s="2" t="e">
        <f>CONCATENATE("'",'Inverter-Full Data'!#REF!,"     ",'Inverter-Full Data'!#REF!,",",'Inverter-Full Data'!#REF!,",",'Inverter-Full Data'!#REF!,",",'Inverter-Full Data'!#REF!,"'")</f>
        <v>#REF!</v>
      </c>
    </row>
    <row r="626" spans="1:1">
      <c r="A626" s="2" t="e">
        <f>CONCATENATE("'",'Inverter-Full Data'!#REF!,"     ",'Inverter-Full Data'!#REF!,",",'Inverter-Full Data'!#REF!,",",'Inverter-Full Data'!#REF!,",",'Inverter-Full Data'!#REF!,"'")</f>
        <v>#REF!</v>
      </c>
    </row>
    <row r="627" spans="1:1">
      <c r="A627" s="2" t="e">
        <f>CONCATENATE("'",'Inverter-Full Data'!#REF!,"     ",'Inverter-Full Data'!#REF!,",",'Inverter-Full Data'!#REF!,",",'Inverter-Full Data'!#REF!,",",'Inverter-Full Data'!#REF!,"'")</f>
        <v>#REF!</v>
      </c>
    </row>
    <row r="628" spans="1:1">
      <c r="A628" s="2" t="e">
        <f>CONCATENATE("'",'Inverter-Full Data'!#REF!,"     ",'Inverter-Full Data'!#REF!,",",'Inverter-Full Data'!#REF!,",",'Inverter-Full Data'!#REF!,",",'Inverter-Full Data'!#REF!,"'")</f>
        <v>#REF!</v>
      </c>
    </row>
    <row r="629" spans="1:1">
      <c r="A629" s="2" t="e">
        <f>CONCATENATE("'",'Inverter-Full Data'!#REF!,"     ",'Inverter-Full Data'!#REF!,",",'Inverter-Full Data'!#REF!,",",'Inverter-Full Data'!#REF!,",",'Inverter-Full Data'!#REF!,"'")</f>
        <v>#REF!</v>
      </c>
    </row>
    <row r="630" spans="1:1">
      <c r="A630" s="2" t="e">
        <f>CONCATENATE("'",'Inverter-Full Data'!#REF!,"     ",'Inverter-Full Data'!#REF!,",",'Inverter-Full Data'!#REF!,",",'Inverter-Full Data'!#REF!,",",'Inverter-Full Data'!#REF!,"'")</f>
        <v>#REF!</v>
      </c>
    </row>
    <row r="631" spans="1:1">
      <c r="A631" s="2" t="e">
        <f>CONCATENATE("'",'Inverter-Full Data'!#REF!,"     ",'Inverter-Full Data'!#REF!,",",'Inverter-Full Data'!#REF!,",",'Inverter-Full Data'!#REF!,",",'Inverter-Full Data'!#REF!,"'")</f>
        <v>#REF!</v>
      </c>
    </row>
    <row r="632" spans="1:1">
      <c r="A632" s="2" t="e">
        <f>CONCATENATE("'",'Inverter-Full Data'!#REF!,"     ",'Inverter-Full Data'!#REF!,",",'Inverter-Full Data'!#REF!,",",'Inverter-Full Data'!#REF!,",",'Inverter-Full Data'!#REF!,"'")</f>
        <v>#REF!</v>
      </c>
    </row>
    <row r="633" spans="1:1">
      <c r="A633" s="2" t="e">
        <f>CONCATENATE("'",'Inverter-Full Data'!#REF!,"     ",'Inverter-Full Data'!#REF!,",",'Inverter-Full Data'!#REF!,",",'Inverter-Full Data'!#REF!,",",'Inverter-Full Data'!#REF!,"'")</f>
        <v>#REF!</v>
      </c>
    </row>
    <row r="634" spans="1:1">
      <c r="A634" s="2" t="e">
        <f>CONCATENATE("'",'Inverter-Full Data'!#REF!,"     ",'Inverter-Full Data'!#REF!,",",'Inverter-Full Data'!#REF!,",",'Inverter-Full Data'!#REF!,",",'Inverter-Full Data'!#REF!,"'")</f>
        <v>#REF!</v>
      </c>
    </row>
    <row r="635" spans="1:1">
      <c r="A635" s="2" t="e">
        <f>CONCATENATE("'",'Inverter-Full Data'!#REF!,"     ",'Inverter-Full Data'!#REF!,",",'Inverter-Full Data'!#REF!,",",'Inverter-Full Data'!#REF!,",",'Inverter-Full Data'!#REF!,"'")</f>
        <v>#REF!</v>
      </c>
    </row>
    <row r="636" spans="1:1">
      <c r="A636" s="2" t="e">
        <f>CONCATENATE("'",'Inverter-Full Data'!#REF!,"     ",'Inverter-Full Data'!#REF!,",",'Inverter-Full Data'!#REF!,",",'Inverter-Full Data'!#REF!,",",'Inverter-Full Data'!#REF!,"'")</f>
        <v>#REF!</v>
      </c>
    </row>
    <row r="637" spans="1:1">
      <c r="A637" s="2" t="e">
        <f>CONCATENATE("'",'Inverter-Full Data'!#REF!,"     ",'Inverter-Full Data'!#REF!,",",'Inverter-Full Data'!#REF!,",",'Inverter-Full Data'!#REF!,",",'Inverter-Full Data'!#REF!,"'")</f>
        <v>#REF!</v>
      </c>
    </row>
    <row r="638" spans="1:1">
      <c r="A638" s="2" t="e">
        <f>CONCATENATE("'",'Inverter-Full Data'!#REF!,"     ",'Inverter-Full Data'!#REF!,",",'Inverter-Full Data'!#REF!,",",'Inverter-Full Data'!#REF!,",",'Inverter-Full Data'!#REF!,"'")</f>
        <v>#REF!</v>
      </c>
    </row>
    <row r="639" spans="1:1">
      <c r="A639" s="2" t="e">
        <f>CONCATENATE("'",'Inverter-Full Data'!#REF!,"     ",'Inverter-Full Data'!#REF!,",",'Inverter-Full Data'!#REF!,",",'Inverter-Full Data'!#REF!,",",'Inverter-Full Data'!#REF!,"'")</f>
        <v>#REF!</v>
      </c>
    </row>
    <row r="640" spans="1:1">
      <c r="A640" s="2" t="e">
        <f>CONCATENATE("'",'Inverter-Full Data'!#REF!,"     ",'Inverter-Full Data'!#REF!,",",'Inverter-Full Data'!#REF!,",",'Inverter-Full Data'!#REF!,",",'Inverter-Full Data'!#REF!,"'")</f>
        <v>#REF!</v>
      </c>
    </row>
    <row r="641" spans="1:1">
      <c r="A641" s="2" t="e">
        <f>CONCATENATE("'",'Inverter-Full Data'!#REF!,"     ",'Inverter-Full Data'!#REF!,",",'Inverter-Full Data'!#REF!,",",'Inverter-Full Data'!#REF!,",",'Inverter-Full Data'!#REF!,"'")</f>
        <v>#REF!</v>
      </c>
    </row>
    <row r="642" spans="1:1">
      <c r="A642" s="2" t="e">
        <f>CONCATENATE("'",'Inverter-Full Data'!#REF!,"     ",'Inverter-Full Data'!#REF!,",",'Inverter-Full Data'!#REF!,",",'Inverter-Full Data'!#REF!,",",'Inverter-Full Data'!#REF!,"'")</f>
        <v>#REF!</v>
      </c>
    </row>
    <row r="643" spans="1:1">
      <c r="A643" s="2" t="e">
        <f>CONCATENATE("'",'Inverter-Full Data'!#REF!,"     ",'Inverter-Full Data'!#REF!,",",'Inverter-Full Data'!#REF!,",",'Inverter-Full Data'!#REF!,",",'Inverter-Full Data'!#REF!,"'")</f>
        <v>#REF!</v>
      </c>
    </row>
    <row r="644" spans="1:1">
      <c r="A644" s="2" t="e">
        <f>CONCATENATE("'",'Inverter-Full Data'!#REF!,"     ",'Inverter-Full Data'!#REF!,",",'Inverter-Full Data'!#REF!,",",'Inverter-Full Data'!#REF!,",",'Inverter-Full Data'!#REF!,"'")</f>
        <v>#REF!</v>
      </c>
    </row>
    <row r="645" spans="1:1">
      <c r="A645" s="2" t="e">
        <f>CONCATENATE("'",'Inverter-Full Data'!#REF!,"     ",'Inverter-Full Data'!#REF!,",",'Inverter-Full Data'!#REF!,",",'Inverter-Full Data'!#REF!,",",'Inverter-Full Data'!#REF!,"'")</f>
        <v>#REF!</v>
      </c>
    </row>
    <row r="646" spans="1:1">
      <c r="A646" s="2" t="e">
        <f>CONCATENATE("'",'Inverter-Full Data'!#REF!,"     ",'Inverter-Full Data'!#REF!,",",'Inverter-Full Data'!#REF!,",",'Inverter-Full Data'!#REF!,",",'Inverter-Full Data'!#REF!,"'")</f>
        <v>#REF!</v>
      </c>
    </row>
    <row r="647" spans="1:1">
      <c r="A647" s="2" t="e">
        <f>CONCATENATE("'",'Inverter-Full Data'!#REF!,"     ",'Inverter-Full Data'!#REF!,",",'Inverter-Full Data'!#REF!,",",'Inverter-Full Data'!#REF!,",",'Inverter-Full Data'!#REF!,"'")</f>
        <v>#REF!</v>
      </c>
    </row>
    <row r="648" spans="1:1">
      <c r="A648" s="2" t="e">
        <f>CONCATENATE("'",'Inverter-Full Data'!#REF!,"     ",'Inverter-Full Data'!#REF!,",",'Inverter-Full Data'!#REF!,",",'Inverter-Full Data'!#REF!,",",'Inverter-Full Data'!#REF!,"'")</f>
        <v>#REF!</v>
      </c>
    </row>
    <row r="649" spans="1:1">
      <c r="A649" s="2" t="e">
        <f>CONCATENATE("'",'Inverter-Full Data'!#REF!,"     ",'Inverter-Full Data'!#REF!,",",'Inverter-Full Data'!#REF!,",",'Inverter-Full Data'!#REF!,",",'Inverter-Full Data'!#REF!,"'")</f>
        <v>#REF!</v>
      </c>
    </row>
    <row r="650" spans="1:1">
      <c r="A650" s="2" t="e">
        <f>CONCATENATE("'",'Inverter-Full Data'!#REF!,"     ",'Inverter-Full Data'!#REF!,",",'Inverter-Full Data'!#REF!,",",'Inverter-Full Data'!#REF!,",",'Inverter-Full Data'!#REF!,"'")</f>
        <v>#REF!</v>
      </c>
    </row>
    <row r="651" spans="1:1">
      <c r="A651" s="2" t="e">
        <f>CONCATENATE("'",'Inverter-Full Data'!#REF!,"     ",'Inverter-Full Data'!#REF!,",",'Inverter-Full Data'!#REF!,",",'Inverter-Full Data'!#REF!,",",'Inverter-Full Data'!#REF!,"'")</f>
        <v>#REF!</v>
      </c>
    </row>
    <row r="652" spans="1:1">
      <c r="A652" s="2" t="e">
        <f>CONCATENATE("'",'Inverter-Full Data'!#REF!,"     ",'Inverter-Full Data'!#REF!,",",'Inverter-Full Data'!#REF!,",",'Inverter-Full Data'!#REF!,",",'Inverter-Full Data'!#REF!,"'")</f>
        <v>#REF!</v>
      </c>
    </row>
    <row r="653" spans="1:1">
      <c r="A653" s="2" t="e">
        <f>CONCATENATE("'",'Inverter-Full Data'!#REF!,"     ",'Inverter-Full Data'!#REF!,",",'Inverter-Full Data'!#REF!,",",'Inverter-Full Data'!#REF!,",",'Inverter-Full Data'!#REF!,"'")</f>
        <v>#REF!</v>
      </c>
    </row>
    <row r="654" spans="1:1">
      <c r="A654" s="2" t="e">
        <f>CONCATENATE("'",'Inverter-Full Data'!#REF!,"     ",'Inverter-Full Data'!#REF!,",",'Inverter-Full Data'!#REF!,",",'Inverter-Full Data'!#REF!,",",'Inverter-Full Data'!#REF!,"'")</f>
        <v>#REF!</v>
      </c>
    </row>
    <row r="655" spans="1:1">
      <c r="A655" s="2" t="e">
        <f>CONCATENATE("'",'Inverter-Full Data'!#REF!,"     ",'Inverter-Full Data'!#REF!,",",'Inverter-Full Data'!#REF!,",",'Inverter-Full Data'!#REF!,",",'Inverter-Full Data'!#REF!,"'")</f>
        <v>#REF!</v>
      </c>
    </row>
    <row r="656" spans="1:1">
      <c r="A656" s="2" t="e">
        <f>CONCATENATE("'",'Inverter-Full Data'!#REF!,"     ",'Inverter-Full Data'!#REF!,",",'Inverter-Full Data'!#REF!,",",'Inverter-Full Data'!#REF!,",",'Inverter-Full Data'!#REF!,"'")</f>
        <v>#REF!</v>
      </c>
    </row>
    <row r="657" spans="1:1">
      <c r="A657" s="2" t="e">
        <f>CONCATENATE("'",'Inverter-Full Data'!#REF!,"     ",'Inverter-Full Data'!#REF!,",",'Inverter-Full Data'!#REF!,",",'Inverter-Full Data'!#REF!,",",'Inverter-Full Data'!#REF!,"'")</f>
        <v>#REF!</v>
      </c>
    </row>
    <row r="658" spans="1:1">
      <c r="A658" s="2" t="e">
        <f>CONCATENATE("'",'Inverter-Full Data'!#REF!,"     ",'Inverter-Full Data'!#REF!,",",'Inverter-Full Data'!#REF!,",",'Inverter-Full Data'!#REF!,",",'Inverter-Full Data'!#REF!,"'")</f>
        <v>#REF!</v>
      </c>
    </row>
    <row r="659" spans="1:1">
      <c r="A659" s="2" t="e">
        <f>CONCATENATE("'",'Inverter-Full Data'!#REF!,"     ",'Inverter-Full Data'!#REF!,",",'Inverter-Full Data'!#REF!,",",'Inverter-Full Data'!#REF!,",",'Inverter-Full Data'!#REF!,"'")</f>
        <v>#REF!</v>
      </c>
    </row>
    <row r="660" spans="1:1">
      <c r="A660" s="2" t="e">
        <f>CONCATENATE("'",'Inverter-Full Data'!#REF!,"     ",'Inverter-Full Data'!#REF!,",",'Inverter-Full Data'!#REF!,",",'Inverter-Full Data'!#REF!,",",'Inverter-Full Data'!#REF!,"'")</f>
        <v>#REF!</v>
      </c>
    </row>
    <row r="661" spans="1:1">
      <c r="A661" s="2" t="e">
        <f>CONCATENATE("'",'Inverter-Full Data'!#REF!,"     ",'Inverter-Full Data'!#REF!,",",'Inverter-Full Data'!#REF!,",",'Inverter-Full Data'!#REF!,",",'Inverter-Full Data'!#REF!,"'")</f>
        <v>#REF!</v>
      </c>
    </row>
    <row r="662" spans="1:1">
      <c r="A662" s="2" t="e">
        <f>CONCATENATE("'",'Inverter-Full Data'!#REF!,"     ",'Inverter-Full Data'!#REF!,",",'Inverter-Full Data'!#REF!,",",'Inverter-Full Data'!#REF!,",",'Inverter-Full Data'!#REF!,"'")</f>
        <v>#REF!</v>
      </c>
    </row>
    <row r="663" spans="1:1">
      <c r="A663" s="2" t="e">
        <f>CONCATENATE("'",'Inverter-Full Data'!#REF!,"     ",'Inverter-Full Data'!#REF!,",",'Inverter-Full Data'!#REF!,",",'Inverter-Full Data'!#REF!,",",'Inverter-Full Data'!#REF!,"'")</f>
        <v>#REF!</v>
      </c>
    </row>
    <row r="664" spans="1:1">
      <c r="A664" s="2" t="e">
        <f>CONCATENATE("'",'Inverter-Full Data'!#REF!,"     ",'Inverter-Full Data'!#REF!,",",'Inverter-Full Data'!#REF!,",",'Inverter-Full Data'!#REF!,",",'Inverter-Full Data'!#REF!,"'")</f>
        <v>#REF!</v>
      </c>
    </row>
    <row r="665" spans="1:1">
      <c r="A665" s="2" t="e">
        <f>CONCATENATE("'",'Inverter-Full Data'!#REF!,"     ",'Inverter-Full Data'!#REF!,",",'Inverter-Full Data'!#REF!,",",'Inverter-Full Data'!#REF!,",",'Inverter-Full Data'!#REF!,"'")</f>
        <v>#REF!</v>
      </c>
    </row>
    <row r="666" spans="1:1">
      <c r="A666" s="2" t="e">
        <f>CONCATENATE("'",'Inverter-Full Data'!#REF!,"     ",'Inverter-Full Data'!#REF!,",",'Inverter-Full Data'!#REF!,",",'Inverter-Full Data'!#REF!,",",'Inverter-Full Data'!#REF!,"'")</f>
        <v>#REF!</v>
      </c>
    </row>
    <row r="667" spans="1:1">
      <c r="A667" s="2" t="e">
        <f>CONCATENATE("'",'Inverter-Full Data'!#REF!,"     ",'Inverter-Full Data'!#REF!,",",'Inverter-Full Data'!#REF!,",",'Inverter-Full Data'!#REF!,",",'Inverter-Full Data'!#REF!,"'")</f>
        <v>#REF!</v>
      </c>
    </row>
    <row r="668" spans="1:1">
      <c r="A668" s="2" t="e">
        <f>CONCATENATE("'",'Inverter-Full Data'!#REF!,"     ",'Inverter-Full Data'!#REF!,",",'Inverter-Full Data'!#REF!,",",'Inverter-Full Data'!#REF!,",",'Inverter-Full Data'!#REF!,"'")</f>
        <v>#REF!</v>
      </c>
    </row>
    <row r="669" spans="1:1">
      <c r="A669" s="2" t="e">
        <f>CONCATENATE("'",'Inverter-Full Data'!#REF!,"     ",'Inverter-Full Data'!#REF!,",",'Inverter-Full Data'!#REF!,",",'Inverter-Full Data'!#REF!,",",'Inverter-Full Data'!#REF!,"'")</f>
        <v>#REF!</v>
      </c>
    </row>
    <row r="670" spans="1:1">
      <c r="A670" s="2" t="e">
        <f>CONCATENATE("'",'Inverter-Full Data'!#REF!,"     ",'Inverter-Full Data'!#REF!,",",'Inverter-Full Data'!#REF!,",",'Inverter-Full Data'!#REF!,",",'Inverter-Full Data'!#REF!,"'")</f>
        <v>#REF!</v>
      </c>
    </row>
    <row r="671" spans="1:1">
      <c r="A671" s="2" t="e">
        <f>CONCATENATE("'",'Inverter-Full Data'!#REF!,"     ",'Inverter-Full Data'!#REF!,",",'Inverter-Full Data'!#REF!,",",'Inverter-Full Data'!#REF!,",",'Inverter-Full Data'!#REF!,"'")</f>
        <v>#REF!</v>
      </c>
    </row>
    <row r="672" spans="1:1">
      <c r="A672" s="2" t="e">
        <f>CONCATENATE("'",'Inverter-Full Data'!#REF!,"     ",'Inverter-Full Data'!#REF!,",",'Inverter-Full Data'!#REF!,",",'Inverter-Full Data'!#REF!,",",'Inverter-Full Data'!#REF!,"'")</f>
        <v>#REF!</v>
      </c>
    </row>
    <row r="673" spans="1:1">
      <c r="A673" s="2" t="e">
        <f>CONCATENATE("'",'Inverter-Full Data'!#REF!,"     ",'Inverter-Full Data'!#REF!,",",'Inverter-Full Data'!#REF!,",",'Inverter-Full Data'!#REF!,",",'Inverter-Full Data'!#REF!,"'")</f>
        <v>#REF!</v>
      </c>
    </row>
    <row r="674" spans="1:1">
      <c r="A674" s="2" t="e">
        <f>CONCATENATE("'",'Inverter-Full Data'!#REF!,"     ",'Inverter-Full Data'!#REF!,",",'Inverter-Full Data'!#REF!,",",'Inverter-Full Data'!#REF!,",",'Inverter-Full Data'!#REF!,"'")</f>
        <v>#REF!</v>
      </c>
    </row>
    <row r="675" spans="1:1">
      <c r="A675" s="2" t="e">
        <f>CONCATENATE("'",'Inverter-Full Data'!#REF!,"     ",'Inverter-Full Data'!#REF!,",",'Inverter-Full Data'!#REF!,",",'Inverter-Full Data'!#REF!,",",'Inverter-Full Data'!#REF!,"'")</f>
        <v>#REF!</v>
      </c>
    </row>
    <row r="676" spans="1:1">
      <c r="A676" s="2" t="e">
        <f>CONCATENATE("'",'Inverter-Full Data'!#REF!,"     ",'Inverter-Full Data'!#REF!,",",'Inverter-Full Data'!#REF!,",",'Inverter-Full Data'!#REF!,",",'Inverter-Full Data'!#REF!,"'")</f>
        <v>#REF!</v>
      </c>
    </row>
    <row r="677" spans="1:1">
      <c r="A677" s="2" t="e">
        <f>CONCATENATE("'",'Inverter-Full Data'!#REF!,"     ",'Inverter-Full Data'!#REF!,",",'Inverter-Full Data'!#REF!,",",'Inverter-Full Data'!#REF!,",",'Inverter-Full Data'!#REF!,"'")</f>
        <v>#REF!</v>
      </c>
    </row>
    <row r="678" spans="1:1">
      <c r="A678" s="2" t="e">
        <f>CONCATENATE("'",'Inverter-Full Data'!#REF!,"     ",'Inverter-Full Data'!#REF!,",",'Inverter-Full Data'!#REF!,",",'Inverter-Full Data'!#REF!,",",'Inverter-Full Data'!#REF!,"'")</f>
        <v>#REF!</v>
      </c>
    </row>
    <row r="679" spans="1:1">
      <c r="A679" s="2" t="e">
        <f>CONCATENATE("'",'Inverter-Full Data'!#REF!,"     ",'Inverter-Full Data'!#REF!,",",'Inverter-Full Data'!#REF!,",",'Inverter-Full Data'!#REF!,",",'Inverter-Full Data'!#REF!,"'")</f>
        <v>#REF!</v>
      </c>
    </row>
    <row r="680" spans="1:1">
      <c r="A680" s="2" t="e">
        <f>CONCATENATE("'",'Inverter-Full Data'!#REF!,"     ",'Inverter-Full Data'!#REF!,",",'Inverter-Full Data'!#REF!,",",'Inverter-Full Data'!#REF!,",",'Inverter-Full Data'!#REF!,"'")</f>
        <v>#REF!</v>
      </c>
    </row>
    <row r="681" spans="1:1">
      <c r="A681" s="2" t="e">
        <f>CONCATENATE("'",'Inverter-Full Data'!#REF!,"     ",'Inverter-Full Data'!#REF!,",",'Inverter-Full Data'!#REF!,",",'Inverter-Full Data'!#REF!,",",'Inverter-Full Data'!#REF!,"'")</f>
        <v>#REF!</v>
      </c>
    </row>
    <row r="682" spans="1:1">
      <c r="A682" s="2" t="e">
        <f>CONCATENATE("'",'Inverter-Full Data'!#REF!,"     ",'Inverter-Full Data'!#REF!,",",'Inverter-Full Data'!#REF!,",",'Inverter-Full Data'!#REF!,",",'Inverter-Full Data'!#REF!,"'")</f>
        <v>#REF!</v>
      </c>
    </row>
    <row r="683" spans="1:1">
      <c r="A683" s="2" t="e">
        <f>CONCATENATE("'",'Inverter-Full Data'!#REF!,"     ",'Inverter-Full Data'!#REF!,",",'Inverter-Full Data'!#REF!,",",'Inverter-Full Data'!#REF!,",",'Inverter-Full Data'!#REF!,"'")</f>
        <v>#REF!</v>
      </c>
    </row>
    <row r="684" spans="1:1">
      <c r="A684" s="2" t="e">
        <f>CONCATENATE("'",'Inverter-Full Data'!#REF!,"     ",'Inverter-Full Data'!#REF!,",",'Inverter-Full Data'!#REF!,",",'Inverter-Full Data'!#REF!,",",'Inverter-Full Data'!#REF!,"'")</f>
        <v>#REF!</v>
      </c>
    </row>
    <row r="685" spans="1:1">
      <c r="A685" s="2" t="e">
        <f>CONCATENATE("'",'Inverter-Full Data'!#REF!,"     ",'Inverter-Full Data'!#REF!,",",'Inverter-Full Data'!#REF!,",",'Inverter-Full Data'!#REF!,",",'Inverter-Full Data'!#REF!,"'")</f>
        <v>#REF!</v>
      </c>
    </row>
    <row r="686" spans="1:1">
      <c r="A686" s="2" t="e">
        <f>CONCATENATE("'",'Inverter-Full Data'!#REF!,"     ",'Inverter-Full Data'!#REF!,",",'Inverter-Full Data'!#REF!,",",'Inverter-Full Data'!#REF!,",",'Inverter-Full Data'!#REF!,"'")</f>
        <v>#REF!</v>
      </c>
    </row>
    <row r="687" spans="1:1">
      <c r="A687" s="2" t="e">
        <f>CONCATENATE("'",'Inverter-Full Data'!#REF!,"     ",'Inverter-Full Data'!#REF!,",",'Inverter-Full Data'!#REF!,",",'Inverter-Full Data'!#REF!,",",'Inverter-Full Data'!#REF!,"'")</f>
        <v>#REF!</v>
      </c>
    </row>
    <row r="688" spans="1:1">
      <c r="A688" s="2" t="e">
        <f>CONCATENATE("'",'Inverter-Full Data'!#REF!,"     ",'Inverter-Full Data'!#REF!,",",'Inverter-Full Data'!#REF!,",",'Inverter-Full Data'!#REF!,",",'Inverter-Full Data'!#REF!,"'")</f>
        <v>#REF!</v>
      </c>
    </row>
    <row r="689" spans="1:1">
      <c r="A689" s="2" t="e">
        <f>CONCATENATE("'",'Inverter-Full Data'!#REF!,"     ",'Inverter-Full Data'!#REF!,",",'Inverter-Full Data'!#REF!,",",'Inverter-Full Data'!#REF!,",",'Inverter-Full Data'!#REF!,"'")</f>
        <v>#REF!</v>
      </c>
    </row>
    <row r="690" spans="1:1">
      <c r="A690" s="2" t="e">
        <f>CONCATENATE("'",'Inverter-Full Data'!#REF!,"     ",'Inverter-Full Data'!#REF!,",",'Inverter-Full Data'!#REF!,",",'Inverter-Full Data'!#REF!,",",'Inverter-Full Data'!#REF!,"'")</f>
        <v>#REF!</v>
      </c>
    </row>
    <row r="691" spans="1:1">
      <c r="A691" s="2" t="e">
        <f>CONCATENATE("'",'Inverter-Full Data'!#REF!,"     ",'Inverter-Full Data'!#REF!,",",'Inverter-Full Data'!#REF!,",",'Inverter-Full Data'!#REF!,",",'Inverter-Full Data'!#REF!,"'")</f>
        <v>#REF!</v>
      </c>
    </row>
    <row r="692" spans="1:1">
      <c r="A692" s="2" t="e">
        <f>CONCATENATE("'",'Inverter-Full Data'!#REF!,"     ",'Inverter-Full Data'!#REF!,",",'Inverter-Full Data'!#REF!,",",'Inverter-Full Data'!#REF!,",",'Inverter-Full Data'!#REF!,"'")</f>
        <v>#REF!</v>
      </c>
    </row>
    <row r="693" spans="1:1">
      <c r="A693" s="2" t="e">
        <f>CONCATENATE("'",'Inverter-Full Data'!#REF!,"     ",'Inverter-Full Data'!#REF!,",",'Inverter-Full Data'!#REF!,",",'Inverter-Full Data'!#REF!,",",'Inverter-Full Data'!#REF!,"'")</f>
        <v>#REF!</v>
      </c>
    </row>
    <row r="694" spans="1:1">
      <c r="A694" s="2" t="e">
        <f>CONCATENATE("'",'Inverter-Full Data'!#REF!,"     ",'Inverter-Full Data'!#REF!,",",'Inverter-Full Data'!#REF!,",",'Inverter-Full Data'!#REF!,",",'Inverter-Full Data'!#REF!,"'")</f>
        <v>#REF!</v>
      </c>
    </row>
    <row r="695" spans="1:1">
      <c r="A695" s="2" t="e">
        <f>CONCATENATE("'",'Inverter-Full Data'!#REF!,"     ",'Inverter-Full Data'!#REF!,",",'Inverter-Full Data'!#REF!,",",'Inverter-Full Data'!#REF!,",",'Inverter-Full Data'!#REF!,"'")</f>
        <v>#REF!</v>
      </c>
    </row>
    <row r="696" spans="1:1">
      <c r="A696" s="2" t="e">
        <f>CONCATENATE("'",'Inverter-Full Data'!#REF!,"     ",'Inverter-Full Data'!#REF!,",",'Inverter-Full Data'!#REF!,",",'Inverter-Full Data'!#REF!,",",'Inverter-Full Data'!#REF!,"'")</f>
        <v>#REF!</v>
      </c>
    </row>
    <row r="697" spans="1:1">
      <c r="A697" s="2" t="e">
        <f>CONCATENATE("'",'Inverter-Full Data'!#REF!,"     ",'Inverter-Full Data'!#REF!,",",'Inverter-Full Data'!#REF!,",",'Inverter-Full Data'!#REF!,",",'Inverter-Full Data'!#REF!,"'")</f>
        <v>#REF!</v>
      </c>
    </row>
    <row r="698" spans="1:1">
      <c r="A698" s="2" t="e">
        <f>CONCATENATE("'",'Inverter-Full Data'!#REF!,"     ",'Inverter-Full Data'!#REF!,",",'Inverter-Full Data'!#REF!,",",'Inverter-Full Data'!#REF!,",",'Inverter-Full Data'!#REF!,"'")</f>
        <v>#REF!</v>
      </c>
    </row>
    <row r="699" spans="1:1">
      <c r="A699" s="2" t="e">
        <f>CONCATENATE("'",'Inverter-Full Data'!#REF!,"     ",'Inverter-Full Data'!#REF!,",",'Inverter-Full Data'!#REF!,",",'Inverter-Full Data'!#REF!,",",'Inverter-Full Data'!#REF!,"'")</f>
        <v>#REF!</v>
      </c>
    </row>
    <row r="700" spans="1:1">
      <c r="A700" s="2" t="e">
        <f>CONCATENATE("'",'Inverter-Full Data'!#REF!,"     ",'Inverter-Full Data'!#REF!,",",'Inverter-Full Data'!#REF!,",",'Inverter-Full Data'!#REF!,",",'Inverter-Full Data'!#REF!,"'")</f>
        <v>#REF!</v>
      </c>
    </row>
    <row r="701" spans="1:1">
      <c r="A701" s="2" t="e">
        <f>CONCATENATE("'",'Inverter-Full Data'!#REF!,"     ",'Inverter-Full Data'!#REF!,",",'Inverter-Full Data'!#REF!,",",'Inverter-Full Data'!#REF!,",",'Inverter-Full Data'!#REF!,"'")</f>
        <v>#REF!</v>
      </c>
    </row>
    <row r="702" spans="1:1">
      <c r="A702" s="2" t="e">
        <f>CONCATENATE("'",'Inverter-Full Data'!#REF!,"     ",'Inverter-Full Data'!#REF!,",",'Inverter-Full Data'!#REF!,",",'Inverter-Full Data'!#REF!,",",'Inverter-Full Data'!#REF!,"'")</f>
        <v>#REF!</v>
      </c>
    </row>
    <row r="703" spans="1:1">
      <c r="A703" s="2" t="e">
        <f>CONCATENATE("'",'Inverter-Full Data'!#REF!,"     ",'Inverter-Full Data'!#REF!,",",'Inverter-Full Data'!#REF!,",",'Inverter-Full Data'!#REF!,",",'Inverter-Full Data'!#REF!,"'")</f>
        <v>#REF!</v>
      </c>
    </row>
    <row r="704" spans="1:1">
      <c r="A704" s="2" t="e">
        <f>CONCATENATE("'",'Inverter-Full Data'!#REF!,"     ",'Inverter-Full Data'!#REF!,",",'Inverter-Full Data'!#REF!,",",'Inverter-Full Data'!#REF!,",",'Inverter-Full Data'!#REF!,"'")</f>
        <v>#REF!</v>
      </c>
    </row>
    <row r="705" spans="1:1">
      <c r="A705" s="2" t="e">
        <f>CONCATENATE("'",'Inverter-Full Data'!#REF!,"     ",'Inverter-Full Data'!#REF!,",",'Inverter-Full Data'!#REF!,",",'Inverter-Full Data'!#REF!,",",'Inverter-Full Data'!#REF!,"'")</f>
        <v>#REF!</v>
      </c>
    </row>
    <row r="706" spans="1:1">
      <c r="A706" s="2" t="e">
        <f>CONCATENATE("'",'Inverter-Full Data'!#REF!,"     ",'Inverter-Full Data'!#REF!,",",'Inverter-Full Data'!#REF!,",",'Inverter-Full Data'!#REF!,",",'Inverter-Full Data'!#REF!,"'")</f>
        <v>#REF!</v>
      </c>
    </row>
    <row r="707" spans="1:1">
      <c r="A707" s="2" t="e">
        <f>CONCATENATE("'",'Inverter-Full Data'!#REF!,"     ",'Inverter-Full Data'!#REF!,",",'Inverter-Full Data'!#REF!,",",'Inverter-Full Data'!#REF!,",",'Inverter-Full Data'!#REF!,"'")</f>
        <v>#REF!</v>
      </c>
    </row>
    <row r="708" spans="1:1">
      <c r="A708" s="2" t="e">
        <f>CONCATENATE("'",'Inverter-Full Data'!#REF!,"     ",'Inverter-Full Data'!#REF!,",",'Inverter-Full Data'!#REF!,",",'Inverter-Full Data'!#REF!,",",'Inverter-Full Data'!#REF!,"'")</f>
        <v>#REF!</v>
      </c>
    </row>
    <row r="709" spans="1:1">
      <c r="A709" s="2" t="e">
        <f>CONCATENATE("'",'Inverter-Full Data'!#REF!,"     ",'Inverter-Full Data'!#REF!,",",'Inverter-Full Data'!#REF!,",",'Inverter-Full Data'!#REF!,",",'Inverter-Full Data'!#REF!,"'")</f>
        <v>#REF!</v>
      </c>
    </row>
    <row r="710" spans="1:1">
      <c r="A710" s="2" t="e">
        <f>CONCATENATE("'",'Inverter-Full Data'!#REF!,"     ",'Inverter-Full Data'!#REF!,",",'Inverter-Full Data'!#REF!,",",'Inverter-Full Data'!#REF!,",",'Inverter-Full Data'!#REF!,"'")</f>
        <v>#REF!</v>
      </c>
    </row>
    <row r="711" spans="1:1">
      <c r="A711" s="2" t="e">
        <f>CONCATENATE("'",'Inverter-Full Data'!#REF!,"     ",'Inverter-Full Data'!#REF!,",",'Inverter-Full Data'!#REF!,",",'Inverter-Full Data'!#REF!,",",'Inverter-Full Data'!#REF!,"'")</f>
        <v>#REF!</v>
      </c>
    </row>
    <row r="712" spans="1:1">
      <c r="A712" s="2" t="e">
        <f>CONCATENATE("'",'Inverter-Full Data'!#REF!,"     ",'Inverter-Full Data'!#REF!,",",'Inverter-Full Data'!#REF!,",",'Inverter-Full Data'!#REF!,",",'Inverter-Full Data'!#REF!,"'")</f>
        <v>#REF!</v>
      </c>
    </row>
    <row r="713" spans="1:1">
      <c r="A713" s="2" t="e">
        <f>CONCATENATE("'",'Inverter-Full Data'!#REF!,"     ",'Inverter-Full Data'!#REF!,",",'Inverter-Full Data'!#REF!,",",'Inverter-Full Data'!#REF!,",",'Inverter-Full Data'!#REF!,"'")</f>
        <v>#REF!</v>
      </c>
    </row>
    <row r="714" spans="1:1">
      <c r="A714" s="2" t="e">
        <f>CONCATENATE("'",'Inverter-Full Data'!#REF!,"     ",'Inverter-Full Data'!#REF!,",",'Inverter-Full Data'!#REF!,",",'Inverter-Full Data'!#REF!,",",'Inverter-Full Data'!#REF!,"'")</f>
        <v>#REF!</v>
      </c>
    </row>
    <row r="715" spans="1:1">
      <c r="A715" s="2" t="e">
        <f>CONCATENATE("'",'Inverter-Full Data'!#REF!,"     ",'Inverter-Full Data'!#REF!,",",'Inverter-Full Data'!#REF!,",",'Inverter-Full Data'!#REF!,",",'Inverter-Full Data'!#REF!,"'")</f>
        <v>#REF!</v>
      </c>
    </row>
    <row r="716" spans="1:1">
      <c r="A716" s="2" t="e">
        <f>CONCATENATE("'",'Inverter-Full Data'!#REF!,"     ",'Inverter-Full Data'!#REF!,",",'Inverter-Full Data'!#REF!,",",'Inverter-Full Data'!#REF!,",",'Inverter-Full Data'!#REF!,"'")</f>
        <v>#REF!</v>
      </c>
    </row>
    <row r="717" spans="1:1">
      <c r="A717" s="2" t="e">
        <f>CONCATENATE("'",'Inverter-Full Data'!#REF!,"     ",'Inverter-Full Data'!#REF!,",",'Inverter-Full Data'!#REF!,",",'Inverter-Full Data'!#REF!,",",'Inverter-Full Data'!#REF!,"'")</f>
        <v>#REF!</v>
      </c>
    </row>
    <row r="718" spans="1:1">
      <c r="A718" s="2" t="e">
        <f>CONCATENATE("'",'Inverter-Full Data'!#REF!,"     ",'Inverter-Full Data'!#REF!,",",'Inverter-Full Data'!#REF!,",",'Inverter-Full Data'!#REF!,",",'Inverter-Full Data'!#REF!,"'")</f>
        <v>#REF!</v>
      </c>
    </row>
    <row r="719" spans="1:1">
      <c r="A719" s="2" t="e">
        <f>CONCATENATE("'",'Inverter-Full Data'!#REF!,"     ",'Inverter-Full Data'!#REF!,",",'Inverter-Full Data'!#REF!,",",'Inverter-Full Data'!#REF!,",",'Inverter-Full Data'!#REF!,"'")</f>
        <v>#REF!</v>
      </c>
    </row>
    <row r="720" spans="1:1">
      <c r="A720" s="2" t="e">
        <f>CONCATENATE("'",'Inverter-Full Data'!#REF!,"     ",'Inverter-Full Data'!#REF!,",",'Inverter-Full Data'!#REF!,",",'Inverter-Full Data'!#REF!,",",'Inverter-Full Data'!#REF!,"'")</f>
        <v>#REF!</v>
      </c>
    </row>
    <row r="721" spans="1:1">
      <c r="A721" s="2" t="e">
        <f>CONCATENATE("'",'Inverter-Full Data'!#REF!,"     ",'Inverter-Full Data'!#REF!,",",'Inverter-Full Data'!#REF!,",",'Inverter-Full Data'!#REF!,",",'Inverter-Full Data'!#REF!,"'")</f>
        <v>#REF!</v>
      </c>
    </row>
    <row r="722" spans="1:1">
      <c r="A722" s="2" t="e">
        <f>CONCATENATE("'",'Inverter-Full Data'!#REF!,"     ",'Inverter-Full Data'!#REF!,",",'Inverter-Full Data'!#REF!,",",'Inverter-Full Data'!#REF!,",",'Inverter-Full Data'!#REF!,"'")</f>
        <v>#REF!</v>
      </c>
    </row>
    <row r="723" spans="1:1">
      <c r="A723" s="2" t="e">
        <f>CONCATENATE("'",'Inverter-Full Data'!#REF!,"     ",'Inverter-Full Data'!#REF!,",",'Inverter-Full Data'!#REF!,",",'Inverter-Full Data'!#REF!,",",'Inverter-Full Data'!#REF!,"'")</f>
        <v>#REF!</v>
      </c>
    </row>
    <row r="724" spans="1:1">
      <c r="A724" s="2" t="e">
        <f>CONCATENATE("'",'Inverter-Full Data'!#REF!,"     ",'Inverter-Full Data'!#REF!,",",'Inverter-Full Data'!#REF!,",",'Inverter-Full Data'!#REF!,",",'Inverter-Full Data'!#REF!,"'")</f>
        <v>#REF!</v>
      </c>
    </row>
    <row r="725" spans="1:1">
      <c r="A725" s="2" t="e">
        <f>CONCATENATE("'",'Inverter-Full Data'!#REF!,"     ",'Inverter-Full Data'!#REF!,",",'Inverter-Full Data'!#REF!,",",'Inverter-Full Data'!#REF!,",",'Inverter-Full Data'!#REF!,"'")</f>
        <v>#REF!</v>
      </c>
    </row>
    <row r="726" spans="1:1">
      <c r="A726" s="2" t="e">
        <f>CONCATENATE("'",'Inverter-Full Data'!#REF!,"     ",'Inverter-Full Data'!#REF!,",",'Inverter-Full Data'!#REF!,",",'Inverter-Full Data'!#REF!,",",'Inverter-Full Data'!#REF!,"'")</f>
        <v>#REF!</v>
      </c>
    </row>
    <row r="727" spans="1:1">
      <c r="A727" s="2" t="e">
        <f>CONCATENATE("'",'Inverter-Full Data'!#REF!,"     ",'Inverter-Full Data'!#REF!,",",'Inverter-Full Data'!#REF!,",",'Inverter-Full Data'!#REF!,",",'Inverter-Full Data'!#REF!,"'")</f>
        <v>#REF!</v>
      </c>
    </row>
    <row r="728" spans="1:1">
      <c r="A728" s="2" t="e">
        <f>CONCATENATE("'",'Inverter-Full Data'!#REF!,"     ",'Inverter-Full Data'!#REF!,",",'Inverter-Full Data'!#REF!,",",'Inverter-Full Data'!#REF!,",",'Inverter-Full Data'!#REF!,"'")</f>
        <v>#REF!</v>
      </c>
    </row>
    <row r="729" spans="1:1">
      <c r="A729" s="2" t="e">
        <f>CONCATENATE("'",'Inverter-Full Data'!#REF!,"     ",'Inverter-Full Data'!#REF!,",",'Inverter-Full Data'!#REF!,",",'Inverter-Full Data'!#REF!,",",'Inverter-Full Data'!#REF!,"'")</f>
        <v>#REF!</v>
      </c>
    </row>
    <row r="730" spans="1:1">
      <c r="A730" s="2" t="e">
        <f>CONCATENATE("'",'Inverter-Full Data'!#REF!,"     ",'Inverter-Full Data'!#REF!,",",'Inverter-Full Data'!#REF!,",",'Inverter-Full Data'!#REF!,",",'Inverter-Full Data'!#REF!,"'")</f>
        <v>#REF!</v>
      </c>
    </row>
    <row r="731" spans="1:1">
      <c r="A731" s="2" t="e">
        <f>CONCATENATE("'",'Inverter-Full Data'!#REF!,"     ",'Inverter-Full Data'!#REF!,",",'Inverter-Full Data'!#REF!,",",'Inverter-Full Data'!#REF!,",",'Inverter-Full Data'!#REF!,"'")</f>
        <v>#REF!</v>
      </c>
    </row>
    <row r="732" spans="1:1">
      <c r="A732" s="2" t="e">
        <f>CONCATENATE("'",'Inverter-Full Data'!#REF!,"     ",'Inverter-Full Data'!#REF!,",",'Inverter-Full Data'!#REF!,",",'Inverter-Full Data'!#REF!,",",'Inverter-Full Data'!#REF!,"'")</f>
        <v>#REF!</v>
      </c>
    </row>
    <row r="733" spans="1:1">
      <c r="A733" s="2" t="e">
        <f>CONCATENATE("'",'Inverter-Full Data'!#REF!,"     ",'Inverter-Full Data'!#REF!,",",'Inverter-Full Data'!#REF!,",",'Inverter-Full Data'!#REF!,",",'Inverter-Full Data'!#REF!,"'")</f>
        <v>#REF!</v>
      </c>
    </row>
    <row r="734" spans="1:1">
      <c r="A734" s="2" t="e">
        <f>CONCATENATE("'",'Inverter-Full Data'!#REF!,"     ",'Inverter-Full Data'!#REF!,",",'Inverter-Full Data'!#REF!,",",'Inverter-Full Data'!#REF!,",",'Inverter-Full Data'!#REF!,"'")</f>
        <v>#REF!</v>
      </c>
    </row>
    <row r="735" spans="1:1">
      <c r="A735" s="2" t="e">
        <f>CONCATENATE("'",'Inverter-Full Data'!#REF!,"     ",'Inverter-Full Data'!#REF!,",",'Inverter-Full Data'!#REF!,",",'Inverter-Full Data'!#REF!,",",'Inverter-Full Data'!#REF!,"'")</f>
        <v>#REF!</v>
      </c>
    </row>
    <row r="736" spans="1:1">
      <c r="A736" s="2" t="e">
        <f>CONCATENATE("'",'Inverter-Full Data'!#REF!,"     ",'Inverter-Full Data'!#REF!,",",'Inverter-Full Data'!#REF!,",",'Inverter-Full Data'!#REF!,",",'Inverter-Full Data'!#REF!,"'")</f>
        <v>#REF!</v>
      </c>
    </row>
    <row r="737" spans="1:1">
      <c r="A737" s="2" t="e">
        <f>CONCATENATE("'",'Inverter-Full Data'!#REF!,"     ",'Inverter-Full Data'!#REF!,",",'Inverter-Full Data'!#REF!,",",'Inverter-Full Data'!#REF!,",",'Inverter-Full Data'!#REF!,"'")</f>
        <v>#REF!</v>
      </c>
    </row>
    <row r="738" spans="1:1">
      <c r="A738" s="2" t="e">
        <f>CONCATENATE("'",'Inverter-Full Data'!#REF!,"     ",'Inverter-Full Data'!#REF!,",",'Inverter-Full Data'!#REF!,",",'Inverter-Full Data'!#REF!,",",'Inverter-Full Data'!#REF!,"'")</f>
        <v>#REF!</v>
      </c>
    </row>
    <row r="739" spans="1:1">
      <c r="A739" s="2" t="e">
        <f>CONCATENATE("'",'Inverter-Full Data'!#REF!,"     ",'Inverter-Full Data'!#REF!,",",'Inverter-Full Data'!#REF!,",",'Inverter-Full Data'!#REF!,",",'Inverter-Full Data'!#REF!,"'")</f>
        <v>#REF!</v>
      </c>
    </row>
    <row r="740" spans="1:1">
      <c r="A740" s="2" t="e">
        <f>CONCATENATE("'",'Inverter-Full Data'!#REF!,"     ",'Inverter-Full Data'!#REF!,",",'Inverter-Full Data'!#REF!,",",'Inverter-Full Data'!#REF!,",",'Inverter-Full Data'!#REF!,"'")</f>
        <v>#REF!</v>
      </c>
    </row>
    <row r="741" spans="1:1">
      <c r="A741" s="2" t="e">
        <f>CONCATENATE("'",'Inverter-Full Data'!#REF!,"     ",'Inverter-Full Data'!#REF!,",",'Inverter-Full Data'!#REF!,",",'Inverter-Full Data'!#REF!,",",'Inverter-Full Data'!#REF!,"'")</f>
        <v>#REF!</v>
      </c>
    </row>
    <row r="742" spans="1:1">
      <c r="A742" s="2" t="e">
        <f>CONCATENATE("'",'Inverter-Full Data'!#REF!,"     ",'Inverter-Full Data'!#REF!,",",'Inverter-Full Data'!#REF!,",",'Inverter-Full Data'!#REF!,",",'Inverter-Full Data'!#REF!,"'")</f>
        <v>#REF!</v>
      </c>
    </row>
    <row r="743" spans="1:1">
      <c r="A743" s="2" t="e">
        <f>CONCATENATE("'",'Inverter-Full Data'!#REF!,"     ",'Inverter-Full Data'!#REF!,",",'Inverter-Full Data'!#REF!,",",'Inverter-Full Data'!#REF!,",",'Inverter-Full Data'!#REF!,"'")</f>
        <v>#REF!</v>
      </c>
    </row>
    <row r="744" spans="1:1">
      <c r="A744" s="2" t="e">
        <f>CONCATENATE("'",'Inverter-Full Data'!#REF!,"     ",'Inverter-Full Data'!#REF!,",",'Inverter-Full Data'!#REF!,",",'Inverter-Full Data'!#REF!,",",'Inverter-Full Data'!#REF!,"'")</f>
        <v>#REF!</v>
      </c>
    </row>
    <row r="745" spans="1:1">
      <c r="A745" s="2" t="e">
        <f>CONCATENATE("'",'Inverter-Full Data'!#REF!,"     ",'Inverter-Full Data'!#REF!,",",'Inverter-Full Data'!#REF!,",",'Inverter-Full Data'!#REF!,",",'Inverter-Full Data'!#REF!,"'")</f>
        <v>#REF!</v>
      </c>
    </row>
    <row r="746" spans="1:1">
      <c r="A746" s="2" t="e">
        <f>CONCATENATE("'",'Inverter-Full Data'!#REF!,"     ",'Inverter-Full Data'!#REF!,",",'Inverter-Full Data'!#REF!,",",'Inverter-Full Data'!#REF!,",",'Inverter-Full Data'!#REF!,"'")</f>
        <v>#REF!</v>
      </c>
    </row>
    <row r="747" spans="1:1">
      <c r="A747" s="2" t="e">
        <f>CONCATENATE("'",'Inverter-Full Data'!#REF!,"     ",'Inverter-Full Data'!#REF!,",",'Inverter-Full Data'!#REF!,",",'Inverter-Full Data'!#REF!,",",'Inverter-Full Data'!#REF!,"'")</f>
        <v>#REF!</v>
      </c>
    </row>
    <row r="748" spans="1:1">
      <c r="A748" s="2" t="e">
        <f>CONCATENATE("'",'Inverter-Full Data'!#REF!,"     ",'Inverter-Full Data'!#REF!,",",'Inverter-Full Data'!#REF!,",",'Inverter-Full Data'!#REF!,",",'Inverter-Full Data'!#REF!,"'")</f>
        <v>#REF!</v>
      </c>
    </row>
    <row r="749" spans="1:1">
      <c r="A749" s="2" t="e">
        <f>CONCATENATE("'",'Inverter-Full Data'!#REF!,"     ",'Inverter-Full Data'!#REF!,",",'Inverter-Full Data'!#REF!,",",'Inverter-Full Data'!#REF!,",",'Inverter-Full Data'!#REF!,"'")</f>
        <v>#REF!</v>
      </c>
    </row>
    <row r="750" spans="1:1">
      <c r="A750" s="2" t="e">
        <f>CONCATENATE("'",'Inverter-Full Data'!#REF!,"     ",'Inverter-Full Data'!#REF!,",",'Inverter-Full Data'!#REF!,",",'Inverter-Full Data'!#REF!,",",'Inverter-Full Data'!#REF!,"'")</f>
        <v>#REF!</v>
      </c>
    </row>
    <row r="751" spans="1:1">
      <c r="A751" s="2" t="e">
        <f>CONCATENATE("'",'Inverter-Full Data'!#REF!,"     ",'Inverter-Full Data'!#REF!,",",'Inverter-Full Data'!#REF!,",",'Inverter-Full Data'!#REF!,",",'Inverter-Full Data'!#REF!,"'")</f>
        <v>#REF!</v>
      </c>
    </row>
    <row r="752" spans="1:1">
      <c r="A752" s="2" t="e">
        <f>CONCATENATE("'",'Inverter-Full Data'!#REF!,"     ",'Inverter-Full Data'!#REF!,",",'Inverter-Full Data'!#REF!,",",'Inverter-Full Data'!#REF!,",",'Inverter-Full Data'!#REF!,"'")</f>
        <v>#REF!</v>
      </c>
    </row>
    <row r="753" spans="1:1">
      <c r="A753" s="2" t="e">
        <f>CONCATENATE("'",'Inverter-Full Data'!#REF!,"     ",'Inverter-Full Data'!#REF!,",",'Inverter-Full Data'!#REF!,",",'Inverter-Full Data'!#REF!,",",'Inverter-Full Data'!#REF!,"'")</f>
        <v>#REF!</v>
      </c>
    </row>
    <row r="754" spans="1:1">
      <c r="A754" s="2" t="e">
        <f>CONCATENATE("'",'Inverter-Full Data'!#REF!,"     ",'Inverter-Full Data'!#REF!,",",'Inverter-Full Data'!#REF!,",",'Inverter-Full Data'!#REF!,",",'Inverter-Full Data'!#REF!,"'")</f>
        <v>#REF!</v>
      </c>
    </row>
    <row r="755" spans="1:1">
      <c r="A755" s="2" t="e">
        <f>CONCATENATE("'",'Inverter-Full Data'!#REF!,"     ",'Inverter-Full Data'!#REF!,",",'Inverter-Full Data'!#REF!,",",'Inverter-Full Data'!#REF!,",",'Inverter-Full Data'!#REF!,"'")</f>
        <v>#REF!</v>
      </c>
    </row>
    <row r="756" spans="1:1">
      <c r="A756" s="2" t="e">
        <f>CONCATENATE("'",'Inverter-Full Data'!#REF!,"     ",'Inverter-Full Data'!#REF!,",",'Inverter-Full Data'!#REF!,",",'Inverter-Full Data'!#REF!,",",'Inverter-Full Data'!#REF!,"'")</f>
        <v>#REF!</v>
      </c>
    </row>
    <row r="757" spans="1:1">
      <c r="A757" s="2" t="e">
        <f>CONCATENATE("'",'Inverter-Full Data'!#REF!,"     ",'Inverter-Full Data'!#REF!,",",'Inverter-Full Data'!#REF!,",",'Inverter-Full Data'!#REF!,",",'Inverter-Full Data'!#REF!,"'")</f>
        <v>#REF!</v>
      </c>
    </row>
    <row r="758" spans="1:1">
      <c r="A758" s="2" t="e">
        <f>CONCATENATE("'",'Inverter-Full Data'!#REF!,"     ",'Inverter-Full Data'!#REF!,",",'Inverter-Full Data'!#REF!,",",'Inverter-Full Data'!#REF!,",",'Inverter-Full Data'!#REF!,"'")</f>
        <v>#REF!</v>
      </c>
    </row>
    <row r="759" spans="1:1">
      <c r="A759" s="2" t="e">
        <f>CONCATENATE("'",'Inverter-Full Data'!#REF!,"     ",'Inverter-Full Data'!#REF!,",",'Inverter-Full Data'!#REF!,",",'Inverter-Full Data'!#REF!,",",'Inverter-Full Data'!#REF!,"'")</f>
        <v>#REF!</v>
      </c>
    </row>
    <row r="760" spans="1:1">
      <c r="A760" s="2" t="e">
        <f>CONCATENATE("'",'Inverter-Full Data'!#REF!,"     ",'Inverter-Full Data'!#REF!,",",'Inverter-Full Data'!#REF!,",",'Inverter-Full Data'!#REF!,",",'Inverter-Full Data'!#REF!,"'")</f>
        <v>#REF!</v>
      </c>
    </row>
    <row r="761" spans="1:1">
      <c r="A761" s="2" t="e">
        <f>CONCATENATE("'",'Inverter-Full Data'!#REF!,"     ",'Inverter-Full Data'!#REF!,",",'Inverter-Full Data'!#REF!,",",'Inverter-Full Data'!#REF!,",",'Inverter-Full Data'!#REF!,"'")</f>
        <v>#REF!</v>
      </c>
    </row>
    <row r="762" spans="1:1">
      <c r="A762" s="2" t="e">
        <f>CONCATENATE("'",'Inverter-Full Data'!#REF!,"     ",'Inverter-Full Data'!#REF!,",",'Inverter-Full Data'!#REF!,",",'Inverter-Full Data'!#REF!,",",'Inverter-Full Data'!#REF!,"'")</f>
        <v>#REF!</v>
      </c>
    </row>
    <row r="763" spans="1:1">
      <c r="A763" s="2" t="e">
        <f>CONCATENATE("'",'Inverter-Full Data'!#REF!,"     ",'Inverter-Full Data'!#REF!,",",'Inverter-Full Data'!#REF!,",",'Inverter-Full Data'!#REF!,",",'Inverter-Full Data'!#REF!,"'")</f>
        <v>#REF!</v>
      </c>
    </row>
    <row r="764" spans="1:1">
      <c r="A764" s="2" t="e">
        <f>CONCATENATE("'",'Inverter-Full Data'!#REF!,"     ",'Inverter-Full Data'!#REF!,",",'Inverter-Full Data'!#REF!,",",'Inverter-Full Data'!#REF!,",",'Inverter-Full Data'!#REF!,"'")</f>
        <v>#REF!</v>
      </c>
    </row>
    <row r="765" spans="1:1">
      <c r="A765" s="2" t="e">
        <f>CONCATENATE("'",'Inverter-Full Data'!#REF!,"     ",'Inverter-Full Data'!#REF!,",",'Inverter-Full Data'!#REF!,",",'Inverter-Full Data'!#REF!,",",'Inverter-Full Data'!#REF!,"'")</f>
        <v>#REF!</v>
      </c>
    </row>
    <row r="766" spans="1:1">
      <c r="A766" s="2" t="e">
        <f>CONCATENATE("'",'Inverter-Full Data'!#REF!,"     ",'Inverter-Full Data'!#REF!,",",'Inverter-Full Data'!#REF!,",",'Inverter-Full Data'!#REF!,",",'Inverter-Full Data'!#REF!,"'")</f>
        <v>#REF!</v>
      </c>
    </row>
    <row r="767" spans="1:1">
      <c r="A767" s="2" t="e">
        <f>CONCATENATE("'",'Inverter-Full Data'!#REF!,"     ",'Inverter-Full Data'!#REF!,",",'Inverter-Full Data'!#REF!,",",'Inverter-Full Data'!#REF!,",",'Inverter-Full Data'!#REF!,"'")</f>
        <v>#REF!</v>
      </c>
    </row>
    <row r="768" spans="1:1">
      <c r="A768" s="2" t="e">
        <f>CONCATENATE("'",'Inverter-Full Data'!#REF!,"     ",'Inverter-Full Data'!#REF!,",",'Inverter-Full Data'!#REF!,",",'Inverter-Full Data'!#REF!,",",'Inverter-Full Data'!#REF!,"'")</f>
        <v>#REF!</v>
      </c>
    </row>
    <row r="769" spans="1:1">
      <c r="A769" s="2" t="e">
        <f>CONCATENATE("'",'Inverter-Full Data'!#REF!,"     ",'Inverter-Full Data'!#REF!,",",'Inverter-Full Data'!#REF!,",",'Inverter-Full Data'!#REF!,",",'Inverter-Full Data'!#REF!,"'")</f>
        <v>#REF!</v>
      </c>
    </row>
    <row r="770" spans="1:1">
      <c r="A770" s="2" t="e">
        <f>CONCATENATE("'",'Inverter-Full Data'!#REF!,"     ",'Inverter-Full Data'!#REF!,",",'Inverter-Full Data'!#REF!,",",'Inverter-Full Data'!#REF!,",",'Inverter-Full Data'!#REF!,"'")</f>
        <v>#REF!</v>
      </c>
    </row>
    <row r="771" spans="1:1">
      <c r="A771" s="2" t="e">
        <f>CONCATENATE("'",'Inverter-Full Data'!#REF!,"     ",'Inverter-Full Data'!#REF!,",",'Inverter-Full Data'!#REF!,",",'Inverter-Full Data'!#REF!,",",'Inverter-Full Data'!#REF!,"'")</f>
        <v>#REF!</v>
      </c>
    </row>
    <row r="772" spans="1:1">
      <c r="A772" s="2" t="e">
        <f>CONCATENATE("'",'Inverter-Full Data'!#REF!,"     ",'Inverter-Full Data'!#REF!,",",'Inverter-Full Data'!#REF!,",",'Inverter-Full Data'!#REF!,",",'Inverter-Full Data'!#REF!,"'")</f>
        <v>#REF!</v>
      </c>
    </row>
    <row r="773" spans="1:1">
      <c r="A773" s="2" t="e">
        <f>CONCATENATE("'",'Inverter-Full Data'!#REF!,"     ",'Inverter-Full Data'!#REF!,",",'Inverter-Full Data'!#REF!,",",'Inverter-Full Data'!#REF!,",",'Inverter-Full Data'!#REF!,"'")</f>
        <v>#REF!</v>
      </c>
    </row>
    <row r="774" spans="1:1">
      <c r="A774" s="2" t="e">
        <f>CONCATENATE("'",'Inverter-Full Data'!#REF!,"     ",'Inverter-Full Data'!#REF!,",",'Inverter-Full Data'!#REF!,",",'Inverter-Full Data'!#REF!,",",'Inverter-Full Data'!#REF!,"'")</f>
        <v>#REF!</v>
      </c>
    </row>
    <row r="775" spans="1:1">
      <c r="A775" s="2" t="e">
        <f>CONCATENATE("'",'Inverter-Full Data'!#REF!,"     ",'Inverter-Full Data'!#REF!,",",'Inverter-Full Data'!#REF!,",",'Inverter-Full Data'!#REF!,",",'Inverter-Full Data'!#REF!,"'")</f>
        <v>#REF!</v>
      </c>
    </row>
    <row r="776" spans="1:1">
      <c r="A776" s="2" t="e">
        <f>CONCATENATE("'",'Inverter-Full Data'!#REF!,"     ",'Inverter-Full Data'!#REF!,",",'Inverter-Full Data'!#REF!,",",'Inverter-Full Data'!#REF!,",",'Inverter-Full Data'!#REF!,"'")</f>
        <v>#REF!</v>
      </c>
    </row>
    <row r="777" spans="1:1">
      <c r="A777" s="2" t="e">
        <f>CONCATENATE("'",'Inverter-Full Data'!#REF!,"     ",'Inverter-Full Data'!#REF!,",",'Inverter-Full Data'!#REF!,",",'Inverter-Full Data'!#REF!,",",'Inverter-Full Data'!#REF!,"'")</f>
        <v>#REF!</v>
      </c>
    </row>
    <row r="778" spans="1:1">
      <c r="A778" s="2" t="e">
        <f>CONCATENATE("'",'Inverter-Full Data'!#REF!,"     ",'Inverter-Full Data'!#REF!,",",'Inverter-Full Data'!#REF!,",",'Inverter-Full Data'!#REF!,",",'Inverter-Full Data'!#REF!,"'")</f>
        <v>#REF!</v>
      </c>
    </row>
    <row r="779" spans="1:1">
      <c r="A779" s="2" t="e">
        <f>CONCATENATE("'",'Inverter-Full Data'!#REF!,"     ",'Inverter-Full Data'!#REF!,",",'Inverter-Full Data'!#REF!,",",'Inverter-Full Data'!#REF!,",",'Inverter-Full Data'!#REF!,"'")</f>
        <v>#REF!</v>
      </c>
    </row>
    <row r="780" spans="1:1">
      <c r="A780" s="2" t="e">
        <f>CONCATENATE("'",'Inverter-Full Data'!#REF!,"     ",'Inverter-Full Data'!#REF!,",",'Inverter-Full Data'!#REF!,",",'Inverter-Full Data'!#REF!,",",'Inverter-Full Data'!#REF!,"'")</f>
        <v>#REF!</v>
      </c>
    </row>
    <row r="781" spans="1:1">
      <c r="A781" s="2" t="e">
        <f>CONCATENATE("'",'Inverter-Full Data'!#REF!,"     ",'Inverter-Full Data'!#REF!,",",'Inverter-Full Data'!#REF!,",",'Inverter-Full Data'!#REF!,",",'Inverter-Full Data'!#REF!,"'")</f>
        <v>#REF!</v>
      </c>
    </row>
    <row r="782" spans="1:1">
      <c r="A782" s="2" t="e">
        <f>CONCATENATE("'",'Inverter-Full Data'!#REF!,"     ",'Inverter-Full Data'!#REF!,",",'Inverter-Full Data'!#REF!,",",'Inverter-Full Data'!#REF!,",",'Inverter-Full Data'!#REF!,"'")</f>
        <v>#REF!</v>
      </c>
    </row>
    <row r="783" spans="1:1">
      <c r="A783" s="2" t="e">
        <f>CONCATENATE("'",'Inverter-Full Data'!#REF!,"     ",'Inverter-Full Data'!#REF!,",",'Inverter-Full Data'!#REF!,",",'Inverter-Full Data'!#REF!,",",'Inverter-Full Data'!#REF!,"'")</f>
        <v>#REF!</v>
      </c>
    </row>
    <row r="784" spans="1:1">
      <c r="A784" s="2" t="e">
        <f>CONCATENATE("'",'Inverter-Full Data'!#REF!,"     ",'Inverter-Full Data'!#REF!,",",'Inverter-Full Data'!#REF!,",",'Inverter-Full Data'!#REF!,",",'Inverter-Full Data'!#REF!,"'")</f>
        <v>#REF!</v>
      </c>
    </row>
    <row r="785" spans="1:1">
      <c r="A785" s="2" t="e">
        <f>CONCATENATE("'",'Inverter-Full Data'!#REF!,"     ",'Inverter-Full Data'!#REF!,",",'Inverter-Full Data'!#REF!,",",'Inverter-Full Data'!#REF!,",",'Inverter-Full Data'!#REF!,"'")</f>
        <v>#REF!</v>
      </c>
    </row>
    <row r="786" spans="1:1">
      <c r="A786" s="2" t="str">
        <f>CONCATENATE("'",'Inverter-Full Data'!A130,"     ",'Inverter-Full Data'!B130,",",'Inverter-Full Data'!S130,",",'Inverter-Full Data'!J130,",",'Inverter-Full Data'!T130,"'")</f>
        <v>'Canadian Solar Inc.     CSI-25KTL-GS-FL [480V],N,98,N'</v>
      </c>
    </row>
    <row r="787" spans="1:1">
      <c r="A787" s="2" t="str">
        <f>CONCATENATE("'",'Inverter-Full Data'!A131,"     ",'Inverter-Full Data'!B131,",",'Inverter-Full Data'!S131,",",'Inverter-Full Data'!J131,",",'Inverter-Full Data'!T131,"'")</f>
        <v>'Canadian Solar Inc.     CSI-30KTL-GS-FL [480V],N,98,N'</v>
      </c>
    </row>
    <row r="788" spans="1:1">
      <c r="A788" s="2" t="str">
        <f>CONCATENATE("'",'Inverter-Full Data'!A132,"     ",'Inverter-Full Data'!B132,",",'Inverter-Full Data'!S132,",",'Inverter-Full Data'!J132,",",'Inverter-Full Data'!T132,"'")</f>
        <v>'Canadian Solar Inc.     CSI-36KTL-CT [480V],N,98,N'</v>
      </c>
    </row>
    <row r="789" spans="1:1">
      <c r="A789" s="2" t="e">
        <f>CONCATENATE("'",'Inverter-Full Data'!#REF!,"     ",'Inverter-Full Data'!#REF!,",",'Inverter-Full Data'!#REF!,",",'Inverter-Full Data'!#REF!,",",'Inverter-Full Data'!#REF!,"'")</f>
        <v>#REF!</v>
      </c>
    </row>
    <row r="790" spans="1:1">
      <c r="A790" s="2" t="str">
        <f>CONCATENATE("'",'Inverter-Full Data'!A136,"     ",'Inverter-Full Data'!B136,",",'Inverter-Full Data'!S136,",",'Inverter-Full Data'!J136,",",'Inverter-Full Data'!T136,"'")</f>
        <v>'Canadian Solar Inc.     CSI-50KTL-CT [480V],N,98.5,N'</v>
      </c>
    </row>
    <row r="791" spans="1:1">
      <c r="A791" s="2" t="str">
        <f>CONCATENATE("'",'Inverter-Full Data'!A137,"     ",'Inverter-Full Data'!B137,",",'Inverter-Full Data'!S137,",",'Inverter-Full Data'!J137,",",'Inverter-Full Data'!T137,"'")</f>
        <v>'Canadian Solar Inc.     CSI-60KTL-CT [480V],N,98.5,N'</v>
      </c>
    </row>
    <row r="792" spans="1:1">
      <c r="A792" s="2" t="str">
        <f>CONCATENATE("'",'Inverter-Full Data'!A138,"     ",'Inverter-Full Data'!B138,",",'Inverter-Full Data'!S138,",",'Inverter-Full Data'!J138,",",'Inverter-Full Data'!T138,"'")</f>
        <v>'Canadian Solar Incorporated.     CSI-50KTL-GS [480V]  ,N,98.5,N'</v>
      </c>
    </row>
    <row r="793" spans="1:1">
      <c r="A793" s="2" t="str">
        <f>CONCATENATE("'",'Inverter-Full Data'!A139,"     ",'Inverter-Full Data'!B139,",",'Inverter-Full Data'!S139,",",'Inverter-Full Data'!J139,",",'Inverter-Full Data'!T139,"'")</f>
        <v>'Canadian Solar Incorporated.     CSI-50KTL-GS-B [480V],N,98.5,N'</v>
      </c>
    </row>
    <row r="794" spans="1:1">
      <c r="A794" s="2" t="str">
        <f>CONCATENATE("'",'Inverter-Full Data'!A140,"     ",'Inverter-Full Data'!B140,",",'Inverter-Full Data'!S140,",",'Inverter-Full Data'!J140,",",'Inverter-Full Data'!T140,"'")</f>
        <v>'Canadian Solar Incorporated.     CSI-50KTL-GS-FLB [480V],N,98.5,N'</v>
      </c>
    </row>
    <row r="795" spans="1:1">
      <c r="A795" s="2" t="str">
        <f>CONCATENATE("'",'Inverter-Full Data'!A141,"     ",'Inverter-Full Data'!B141,",",'Inverter-Full Data'!S141,",",'Inverter-Full Data'!J141,",",'Inverter-Full Data'!T141,"'")</f>
        <v>'Canadian Solar Incorporated.     CSI-50KTL-GS-FL [480V] ,N,98.5,N'</v>
      </c>
    </row>
    <row r="796" spans="1:1">
      <c r="A796" s="2" t="str">
        <f>CONCATENATE("'",'Inverter-Full Data'!A142,"     ",'Inverter-Full Data'!B142,",",'Inverter-Full Data'!S142,",",'Inverter-Full Data'!J142,",",'Inverter-Full Data'!T142,"'")</f>
        <v>'Canadian Solar Incorporated.     CSI-60KTL-GS [480V],N,98.5,N'</v>
      </c>
    </row>
    <row r="797" spans="1:1">
      <c r="A797" s="2" t="str">
        <f>CONCATENATE("'",'Inverter-Full Data'!A143,"     ",'Inverter-Full Data'!B143,",",'Inverter-Full Data'!S143,",",'Inverter-Full Data'!J143,",",'Inverter-Full Data'!T143,"'")</f>
        <v>'Canadian Solar Incorporated.     CSI-60KTL-GS-B [480V],N,98.5,N'</v>
      </c>
    </row>
    <row r="798" spans="1:1">
      <c r="A798" s="2" t="str">
        <f>CONCATENATE("'",'Inverter-Full Data'!A144,"     ",'Inverter-Full Data'!B144,",",'Inverter-Full Data'!S144,",",'Inverter-Full Data'!J144,",",'Inverter-Full Data'!T144,"'")</f>
        <v>'Canadian Solar Incorporated.     CSI-66KTL-GS [480V],N,98.5,N'</v>
      </c>
    </row>
    <row r="799" spans="1:1">
      <c r="A799" s="2" t="str">
        <f>CONCATENATE("'",'Inverter-Full Data'!A145,"     ",'Inverter-Full Data'!B145,",",'Inverter-Full Data'!S145,",",'Inverter-Full Data'!J145,",",'Inverter-Full Data'!T145,"'")</f>
        <v>'Canadian Solar Incorporated.     CSI-66KTL-GS-B [480V],N,98.5,N'</v>
      </c>
    </row>
    <row r="800" spans="1:1">
      <c r="A800" s="2" t="e">
        <f>CONCATENATE("'",'Inverter-Full Data'!#REF!,"     ",'Inverter-Full Data'!#REF!,",",'Inverter-Full Data'!#REF!,",",'Inverter-Full Data'!#REF!,",",'Inverter-Full Data'!#REF!,"'")</f>
        <v>#REF!</v>
      </c>
    </row>
    <row r="801" spans="1:1">
      <c r="A801" s="2" t="e">
        <f>CONCATENATE("'",'Inverter-Full Data'!#REF!,"     ",'Inverter-Full Data'!#REF!,",",'Inverter-Full Data'!#REF!,",",'Inverter-Full Data'!#REF!,",",'Inverter-Full Data'!#REF!,"'")</f>
        <v>#REF!</v>
      </c>
    </row>
    <row r="802" spans="1:1">
      <c r="A802" s="2" t="e">
        <f>CONCATENATE("'",'Inverter-Full Data'!#REF!,"     ",'Inverter-Full Data'!#REF!,",",'Inverter-Full Data'!#REF!,",",'Inverter-Full Data'!#REF!,",",'Inverter-Full Data'!#REF!,"'")</f>
        <v>#REF!</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e">
        <f>CONCATENATE("'",'Inverter-Full Data'!#REF!,"     ",'Inverter-Full Data'!#REF!,",",'Inverter-Full Data'!#REF!,",",'Inverter-Full Data'!#REF!,",",'Inverter-Full Data'!#REF!,"'")</f>
        <v>#REF!</v>
      </c>
    </row>
    <row r="806" spans="1:1">
      <c r="A806" s="2" t="e">
        <f>CONCATENATE("'",'Inverter-Full Data'!#REF!,"     ",'Inverter-Full Data'!#REF!,",",'Inverter-Full Data'!#REF!,",",'Inverter-Full Data'!#REF!,",",'Inverter-Full Data'!#REF!,"'")</f>
        <v>#REF!</v>
      </c>
    </row>
    <row r="807" spans="1:1">
      <c r="A807" s="2" t="e">
        <f>CONCATENATE("'",'Inverter-Full Data'!#REF!,"     ",'Inverter-Full Data'!#REF!,",",'Inverter-Full Data'!#REF!,",",'Inverter-Full Data'!#REF!,",",'Inverter-Full Data'!#REF!,"'")</f>
        <v>#REF!</v>
      </c>
    </row>
    <row r="808" spans="1:1">
      <c r="A808" s="2" t="e">
        <f>CONCATENATE("'",'Inverter-Full Data'!#REF!,"     ",'Inverter-Full Data'!#REF!,",",'Inverter-Full Data'!#REF!,",",'Inverter-Full Data'!#REF!,",",'Inverter-Full Data'!#REF!,"'")</f>
        <v>#REF!</v>
      </c>
    </row>
    <row r="809" spans="1:1">
      <c r="A809" s="2" t="e">
        <f>CONCATENATE("'",'Inverter-Full Data'!#REF!,"     ",'Inverter-Full Data'!#REF!,",",'Inverter-Full Data'!#REF!,",",'Inverter-Full Data'!#REF!,",",'Inverter-Full Data'!#REF!,"'")</f>
        <v>#REF!</v>
      </c>
    </row>
    <row r="810" spans="1:1">
      <c r="A810" s="2" t="e">
        <f>CONCATENATE("'",'Inverter-Full Data'!#REF!,"     ",'Inverter-Full Data'!#REF!,",",'Inverter-Full Data'!#REF!,",",'Inverter-Full Data'!#REF!,",",'Inverter-Full Data'!#REF!,"'")</f>
        <v>#REF!</v>
      </c>
    </row>
    <row r="811" spans="1:1">
      <c r="A811" s="2" t="e">
        <f>CONCATENATE("'",'Inverter-Full Data'!#REF!,"     ",'Inverter-Full Data'!#REF!,",",'Inverter-Full Data'!#REF!,",",'Inverter-Full Data'!#REF!,",",'Inverter-Full Data'!#REF!,"'")</f>
        <v>#REF!</v>
      </c>
    </row>
    <row r="812" spans="1:1">
      <c r="A812" s="2" t="e">
        <f>CONCATENATE("'",'Inverter-Full Data'!#REF!,"     ",'Inverter-Full Data'!#REF!,",",'Inverter-Full Data'!#REF!,",",'Inverter-Full Data'!#REF!,",",'Inverter-Full Data'!#REF!,"'")</f>
        <v>#REF!</v>
      </c>
    </row>
    <row r="813" spans="1:1">
      <c r="A813" s="2" t="e">
        <f>CONCATENATE("'",'Inverter-Full Data'!#REF!,"     ",'Inverter-Full Data'!#REF!,",",'Inverter-Full Data'!#REF!,",",'Inverter-Full Data'!#REF!,",",'Inverter-Full Data'!#REF!,"'")</f>
        <v>#REF!</v>
      </c>
    </row>
    <row r="814" spans="1:1">
      <c r="A814" s="2" t="e">
        <f>CONCATENATE("'",'Inverter-Full Data'!#REF!,"     ",'Inverter-Full Data'!#REF!,",",'Inverter-Full Data'!#REF!,",",'Inverter-Full Data'!#REF!,",",'Inverter-Full Data'!#REF!,"'")</f>
        <v>#REF!</v>
      </c>
    </row>
    <row r="815" spans="1:1">
      <c r="A815" s="2" t="e">
        <f>CONCATENATE("'",'Inverter-Full Data'!#REF!,"     ",'Inverter-Full Data'!#REF!,",",'Inverter-Full Data'!#REF!,",",'Inverter-Full Data'!#REF!,",",'Inverter-Full Data'!#REF!,"'")</f>
        <v>#REF!</v>
      </c>
    </row>
    <row r="816" spans="1:1">
      <c r="A816" s="2" t="e">
        <f>CONCATENATE("'",'Inverter-Full Data'!#REF!,"     ",'Inverter-Full Data'!#REF!,",",'Inverter-Full Data'!#REF!,",",'Inverter-Full Data'!#REF!,",",'Inverter-Full Data'!#REF!,"'")</f>
        <v>#REF!</v>
      </c>
    </row>
    <row r="817" spans="1:1">
      <c r="A817" s="2" t="e">
        <f>CONCATENATE("'",'Inverter-Full Data'!#REF!,"     ",'Inverter-Full Data'!#REF!,",",'Inverter-Full Data'!#REF!,",",'Inverter-Full Data'!#REF!,",",'Inverter-Full Data'!#REF!,"'")</f>
        <v>#REF!</v>
      </c>
    </row>
    <row r="818" spans="1:1">
      <c r="A818" s="2" t="e">
        <f>CONCATENATE("'",'Inverter-Full Data'!#REF!,"     ",'Inverter-Full Data'!#REF!,",",'Inverter-Full Data'!#REF!,",",'Inverter-Full Data'!#REF!,",",'Inverter-Full Data'!#REF!,"'")</f>
        <v>#REF!</v>
      </c>
    </row>
    <row r="819" spans="1:1">
      <c r="A819" s="2" t="e">
        <f>CONCATENATE("'",'Inverter-Full Data'!#REF!,"     ",'Inverter-Full Data'!#REF!,",",'Inverter-Full Data'!#REF!,",",'Inverter-Full Data'!#REF!,",",'Inverter-Full Data'!#REF!,"'")</f>
        <v>#REF!</v>
      </c>
    </row>
    <row r="820" spans="1:1">
      <c r="A820" s="2" t="e">
        <f>CONCATENATE("'",'Inverter-Full Data'!#REF!,"     ",'Inverter-Full Data'!#REF!,",",'Inverter-Full Data'!#REF!,",",'Inverter-Full Data'!#REF!,",",'Inverter-Full Data'!#REF!,"'")</f>
        <v>#REF!</v>
      </c>
    </row>
    <row r="821" spans="1:1">
      <c r="A821" s="2" t="e">
        <f>CONCATENATE("'",'Inverter-Full Data'!#REF!,"     ",'Inverter-Full Data'!#REF!,",",'Inverter-Full Data'!#REF!,",",'Inverter-Full Data'!#REF!,",",'Inverter-Full Data'!#REF!,"'")</f>
        <v>#REF!</v>
      </c>
    </row>
    <row r="822" spans="1:1">
      <c r="A822" s="2" t="e">
        <f>CONCATENATE("'",'Inverter-Full Data'!#REF!,"     ",'Inverter-Full Data'!#REF!,",",'Inverter-Full Data'!#REF!,",",'Inverter-Full Data'!#REF!,",",'Inverter-Full Data'!#REF!,"'")</f>
        <v>#REF!</v>
      </c>
    </row>
    <row r="823" spans="1:1">
      <c r="A823" s="2" t="e">
        <f>CONCATENATE("'",'Inverter-Full Data'!#REF!,"     ",'Inverter-Full Data'!#REF!,",",'Inverter-Full Data'!#REF!,",",'Inverter-Full Data'!#REF!,",",'Inverter-Full Data'!#REF!,"'")</f>
        <v>#REF!</v>
      </c>
    </row>
    <row r="824" spans="1:1">
      <c r="A824" s="2" t="e">
        <f>CONCATENATE("'",'Inverter-Full Data'!#REF!,"     ",'Inverter-Full Data'!#REF!,",",'Inverter-Full Data'!#REF!,",",'Inverter-Full Data'!#REF!,",",'Inverter-Full Data'!#REF!,"'")</f>
        <v>#REF!</v>
      </c>
    </row>
    <row r="825" spans="1:1">
      <c r="A825" s="2" t="str">
        <f>CONCATENATE("'",'Inverter-Full Data'!A146,"     ",'Inverter-Full Data'!B146,",",'Inverter-Full Data'!S146,",",'Inverter-Full Data'!J146,",",'Inverter-Full Data'!T146,"'")</f>
        <v>'Chilicon Power LLC     CP-250E-60/72-208/240-MC4 [208V],N,95.5,Y'</v>
      </c>
    </row>
    <row r="826" spans="1:1">
      <c r="A826" s="2" t="str">
        <f>CONCATENATE("'",'Inverter-Full Data'!A147,"     ",'Inverter-Full Data'!B147,",",'Inverter-Full Data'!S147,",",'Inverter-Full Data'!J147,",",'Inverter-Full Data'!T147,"'")</f>
        <v>'Chilicon Power LLC     CP-250E-60/72-208/240-MC4 [240V],N,96,Y'</v>
      </c>
    </row>
    <row r="827" spans="1:1">
      <c r="A827" s="2" t="e">
        <f>CONCATENATE("'",'Inverter-Full Data'!#REF!,"     ",'Inverter-Full Data'!#REF!,",",'Inverter-Full Data'!#REF!,",",'Inverter-Full Data'!#REF!,",",'Inverter-Full Data'!#REF!,"'")</f>
        <v>#REF!</v>
      </c>
    </row>
    <row r="828" spans="1:1">
      <c r="A828" s="2" t="e">
        <f>CONCATENATE("'",'Inverter-Full Data'!#REF!,"     ",'Inverter-Full Data'!#REF!,",",'Inverter-Full Data'!#REF!,",",'Inverter-Full Data'!#REF!,",",'Inverter-Full Data'!#REF!,"'")</f>
        <v>#REF!</v>
      </c>
    </row>
    <row r="829" spans="1:1">
      <c r="A829" s="2" t="e">
        <f>CONCATENATE("'",'Inverter-Full Data'!#REF!,"     ",'Inverter-Full Data'!#REF!,",",'Inverter-Full Data'!#REF!,",",'Inverter-Full Data'!#REF!,",",'Inverter-Full Data'!#REF!,"'")</f>
        <v>#REF!</v>
      </c>
    </row>
    <row r="830" spans="1:1">
      <c r="A830" s="2" t="e">
        <f>CONCATENATE("'",'Inverter-Full Data'!#REF!,"     ",'Inverter-Full Data'!#REF!,",",'Inverter-Full Data'!#REF!,",",'Inverter-Full Data'!#REF!,",",'Inverter-Full Data'!#REF!,"'")</f>
        <v>#REF!</v>
      </c>
    </row>
    <row r="831" spans="1:1">
      <c r="A831" s="2" t="e">
        <f>CONCATENATE("'",'Inverter-Full Data'!#REF!,"     ",'Inverter-Full Data'!#REF!,",",'Inverter-Full Data'!#REF!,",",'Inverter-Full Data'!#REF!,",",'Inverter-Full Data'!#REF!,"'")</f>
        <v>#REF!</v>
      </c>
    </row>
    <row r="832" spans="1:1">
      <c r="A832" s="2" t="e">
        <f>CONCATENATE("'",'Inverter-Full Data'!#REF!,"     ",'Inverter-Full Data'!#REF!,",",'Inverter-Full Data'!#REF!,",",'Inverter-Full Data'!#REF!,",",'Inverter-Full Data'!#REF!,"'")</f>
        <v>#REF!</v>
      </c>
    </row>
    <row r="833" spans="1:1">
      <c r="A833" s="2" t="e">
        <f>CONCATENATE("'",'Inverter-Full Data'!#REF!,"     ",'Inverter-Full Data'!#REF!,",",'Inverter-Full Data'!#REF!,",",'Inverter-Full Data'!#REF!,",",'Inverter-Full Data'!#REF!,"'")</f>
        <v>#REF!</v>
      </c>
    </row>
    <row r="834" spans="1:1">
      <c r="A834" s="2" t="e">
        <f>CONCATENATE("'",'Inverter-Full Data'!#REF!,"     ",'Inverter-Full Data'!#REF!,",",'Inverter-Full Data'!#REF!,",",'Inverter-Full Data'!#REF!,",",'Inverter-Full Data'!#REF!,"'")</f>
        <v>#REF!</v>
      </c>
    </row>
    <row r="835" spans="1:1">
      <c r="A835" s="2" t="e">
        <f>CONCATENATE("'",'Inverter-Full Data'!#REF!,"     ",'Inverter-Full Data'!#REF!,",",'Inverter-Full Data'!#REF!,",",'Inverter-Full Data'!#REF!,",",'Inverter-Full Data'!#REF!,"'")</f>
        <v>#REF!</v>
      </c>
    </row>
    <row r="836" spans="1:1">
      <c r="A836" s="2" t="e">
        <f>CONCATENATE("'",'Inverter-Full Data'!#REF!,"     ",'Inverter-Full Data'!#REF!,",",'Inverter-Full Data'!#REF!,",",'Inverter-Full Data'!#REF!,",",'Inverter-Full Data'!#REF!,"'")</f>
        <v>#REF!</v>
      </c>
    </row>
    <row r="837" spans="1:1">
      <c r="A837" s="2" t="e">
        <f>CONCATENATE("'",'Inverter-Full Data'!#REF!,"     ",'Inverter-Full Data'!#REF!,",",'Inverter-Full Data'!#REF!,",",'Inverter-Full Data'!#REF!,",",'Inverter-Full Data'!#REF!,"'")</f>
        <v>#REF!</v>
      </c>
    </row>
    <row r="838" spans="1:1">
      <c r="A838" s="2" t="e">
        <f>CONCATENATE("'",'Inverter-Full Data'!#REF!,"     ",'Inverter-Full Data'!#REF!,",",'Inverter-Full Data'!#REF!,",",'Inverter-Full Data'!#REF!,",",'Inverter-Full Data'!#REF!,"'")</f>
        <v>#REF!</v>
      </c>
    </row>
    <row r="839" spans="1:1">
      <c r="A839" s="2" t="e">
        <f>CONCATENATE("'",'Inverter-Full Data'!#REF!,"     ",'Inverter-Full Data'!#REF!,",",'Inverter-Full Data'!#REF!,",",'Inverter-Full Data'!#REF!,",",'Inverter-Full Data'!#REF!,"'")</f>
        <v>#REF!</v>
      </c>
    </row>
    <row r="840" spans="1:1">
      <c r="A840" s="2" t="e">
        <f>CONCATENATE("'",'Inverter-Full Data'!#REF!,"     ",'Inverter-Full Data'!#REF!,",",'Inverter-Full Data'!#REF!,",",'Inverter-Full Data'!#REF!,",",'Inverter-Full Data'!#REF!,"'")</f>
        <v>#REF!</v>
      </c>
    </row>
    <row r="841" spans="1:1">
      <c r="A841" s="2" t="e">
        <f>CONCATENATE("'",'Inverter-Full Data'!#REF!,"     ",'Inverter-Full Data'!#REF!,",",'Inverter-Full Data'!#REF!,",",'Inverter-Full Data'!#REF!,",",'Inverter-Full Data'!#REF!,"'")</f>
        <v>#REF!</v>
      </c>
    </row>
    <row r="842" spans="1:1">
      <c r="A842" s="2" t="e">
        <f>CONCATENATE("'",'Inverter-Full Data'!#REF!,"     ",'Inverter-Full Data'!#REF!,",",'Inverter-Full Data'!#REF!,",",'Inverter-Full Data'!#REF!,",",'Inverter-Full Data'!#REF!,"'")</f>
        <v>#REF!</v>
      </c>
    </row>
    <row r="843" spans="1:1">
      <c r="A843" s="2" t="e">
        <f>CONCATENATE("'",'Inverter-Full Data'!#REF!,"     ",'Inverter-Full Data'!#REF!,",",'Inverter-Full Data'!#REF!,",",'Inverter-Full Data'!#REF!,",",'Inverter-Full Data'!#REF!,"'")</f>
        <v>#REF!</v>
      </c>
    </row>
    <row r="844" spans="1:1">
      <c r="A844" s="2" t="e">
        <f>CONCATENATE("'",'Inverter-Full Data'!#REF!,"     ",'Inverter-Full Data'!#REF!,",",'Inverter-Full Data'!#REF!,",",'Inverter-Full Data'!#REF!,",",'Inverter-Full Data'!#REF!,"'")</f>
        <v>#REF!</v>
      </c>
    </row>
    <row r="845" spans="1:1">
      <c r="A845" s="2" t="e">
        <f>CONCATENATE("'",'Inverter-Full Data'!#REF!,"     ",'Inverter-Full Data'!#REF!,",",'Inverter-Full Data'!#REF!,",",'Inverter-Full Data'!#REF!,",",'Inverter-Full Data'!#REF!,"'")</f>
        <v>#REF!</v>
      </c>
    </row>
    <row r="846" spans="1:1">
      <c r="A846" s="2" t="e">
        <f>CONCATENATE("'",'Inverter-Full Data'!#REF!,"     ",'Inverter-Full Data'!#REF!,",",'Inverter-Full Data'!#REF!,",",'Inverter-Full Data'!#REF!,",",'Inverter-Full Data'!#REF!,"'")</f>
        <v>#REF!</v>
      </c>
    </row>
    <row r="847" spans="1:1">
      <c r="A847" s="2" t="e">
        <f>CONCATENATE("'",'Inverter-Full Data'!#REF!,"     ",'Inverter-Full Data'!#REF!,",",'Inverter-Full Data'!#REF!,",",'Inverter-Full Data'!#REF!,",",'Inverter-Full Data'!#REF!,"'")</f>
        <v>#REF!</v>
      </c>
    </row>
    <row r="848" spans="1:1">
      <c r="A848" s="2" t="e">
        <f>CONCATENATE("'",'Inverter-Full Data'!#REF!,"     ",'Inverter-Full Data'!#REF!,",",'Inverter-Full Data'!#REF!,",",'Inverter-Full Data'!#REF!,",",'Inverter-Full Data'!#REF!,"'")</f>
        <v>#REF!</v>
      </c>
    </row>
    <row r="849" spans="1:1">
      <c r="A849" s="2" t="e">
        <f>CONCATENATE("'",'Inverter-Full Data'!#REF!,"     ",'Inverter-Full Data'!#REF!,",",'Inverter-Full Data'!#REF!,",",'Inverter-Full Data'!#REF!,",",'Inverter-Full Data'!#REF!,"'")</f>
        <v>#REF!</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Data'!A148,"     ",'Inverter-Full Data'!B148,",",'Inverter-Full Data'!S148,",",'Inverter-Full Data'!J148,",",'Inverter-Full Data'!T148,"'")</f>
        <v>'Chint Power Systems America     CPS SCA36KTL-DO/US [480V],Y,98,N'</v>
      </c>
    </row>
    <row r="853" spans="1:1">
      <c r="A853" s="2" t="str">
        <f>CONCATENATE("'",'Inverter-Full Data'!A149,"     ",'Inverter-Full Data'!B149,",",'Inverter-Full Data'!S149,",",'Inverter-Full Data'!J149,",",'Inverter-Full Data'!T149,"'")</f>
        <v>'Chint Power Systems America     CPS SCA50KTL-DO/US-480 [480V],Y,98.5,N'</v>
      </c>
    </row>
    <row r="854" spans="1:1">
      <c r="A854" s="2" t="e">
        <f>CONCATENATE("'",'Inverter-Full Data'!#REF!,"     ",'Inverter-Full Data'!#REF!,",",'Inverter-Full Data'!#REF!,",",'Inverter-Full Data'!#REF!,",",'Inverter-Full Data'!#REF!,"'")</f>
        <v>#REF!</v>
      </c>
    </row>
    <row r="855" spans="1:1">
      <c r="A855" s="2" t="str">
        <f>CONCATENATE("'",'Inverter-Full Data'!A150,"     ",'Inverter-Full Data'!B150,",",'Inverter-Full Data'!S150,",",'Inverter-Full Data'!J150,",",'Inverter-Full Data'!T150,"'")</f>
        <v>'Chint Power Systems America     CPS SCA60KTL-DO/US-480 [480V],Y,98.5,N'</v>
      </c>
    </row>
    <row r="856" spans="1:1">
      <c r="A856" s="2" t="e">
        <f>CONCATENATE("'",'Inverter-Full Data'!#REF!,"     ",'Inverter-Full Data'!#REF!,",",'Inverter-Full Data'!#REF!,",",'Inverter-Full Data'!#REF!,",",'Inverter-Full Data'!#REF!,"'")</f>
        <v>#REF!</v>
      </c>
    </row>
    <row r="857" spans="1:1">
      <c r="A857" s="2" t="e">
        <f>CONCATENATE("'",'Inverter-Full Data'!#REF!,"     ",'Inverter-Full Data'!#REF!,",",'Inverter-Full Data'!#REF!,",",'Inverter-Full Data'!#REF!,",",'Inverter-Full Data'!#REF!,"'")</f>
        <v>#REF!</v>
      </c>
    </row>
    <row r="858" spans="1:1">
      <c r="A858" s="2" t="str">
        <f>CONCATENATE("'",'Inverter-Full Data'!A151,"     ",'Inverter-Full Data'!B151,",",'Inverter-Full Data'!S151,",",'Inverter-Full Data'!J151,",",'Inverter-Full Data'!T151,"'")</f>
        <v>'Chint Power Systems America     CPS SCH100KTL-DO/US-600 [600V],N,98.5,N'</v>
      </c>
    </row>
    <row r="859" spans="1:1">
      <c r="A859" s="2" t="str">
        <f>CONCATENATE("'",'Inverter-Full Data'!A152,"     ",'Inverter-Full Data'!B152,",",'Inverter-Full Data'!S152,",",'Inverter-Full Data'!J152,",",'Inverter-Full Data'!T152,"'")</f>
        <v>'Chint Power Systems America     CPS SCH125KTL-DO/US-600 [600V],N,98.5,N'</v>
      </c>
    </row>
    <row r="860" spans="1:1">
      <c r="A860" s="2" t="e">
        <f>CONCATENATE("'",'Inverter-Full Data'!#REF!,"     ",'Inverter-Full Data'!#REF!,",",'Inverter-Full Data'!#REF!,",",'Inverter-Full Data'!#REF!,",",'Inverter-Full Data'!#REF!,"'")</f>
        <v>#REF!</v>
      </c>
    </row>
    <row r="861" spans="1:1">
      <c r="A861" s="2" t="e">
        <f>CONCATENATE("'",'Inverter-Full Data'!#REF!,"     ",'Inverter-Full Data'!#REF!,",",'Inverter-Full Data'!#REF!,",",'Inverter-Full Data'!#REF!,",",'Inverter-Full Data'!#REF!,"'")</f>
        <v>#REF!</v>
      </c>
    </row>
    <row r="862" spans="1:1">
      <c r="A862" s="2" t="e">
        <f>CONCATENATE("'",'Inverter-Full Data'!#REF!,"     ",'Inverter-Full Data'!#REF!,",",'Inverter-Full Data'!#REF!,",",'Inverter-Full Data'!#REF!,",",'Inverter-Full Data'!#REF!,"'")</f>
        <v>#REF!</v>
      </c>
    </row>
    <row r="863" spans="1:1">
      <c r="A863" s="2" t="e">
        <f>CONCATENATE("'",'Inverter-Full Data'!#REF!,"     ",'Inverter-Full Data'!#REF!,",",'Inverter-Full Data'!#REF!,",",'Inverter-Full Data'!#REF!,",",'Inverter-Full Data'!#REF!,"'")</f>
        <v>#REF!</v>
      </c>
    </row>
    <row r="864" spans="1:1">
      <c r="A864" s="2" t="e">
        <f>CONCATENATE("'",'Inverter-Full Data'!#REF!,"     ",'Inverter-Full Data'!#REF!,",",'Inverter-Full Data'!#REF!,",",'Inverter-Full Data'!#REF!,",",'Inverter-Full Data'!#REF!,"'")</f>
        <v>#REF!</v>
      </c>
    </row>
    <row r="865" spans="1:1">
      <c r="A865" s="2" t="e">
        <f>CONCATENATE("'",'Inverter-Full Data'!#REF!,"     ",'Inverter-Full Data'!#REF!,",",'Inverter-Full Data'!#REF!,",",'Inverter-Full Data'!#REF!,",",'Inverter-Full Data'!#REF!,"'")</f>
        <v>#REF!</v>
      </c>
    </row>
    <row r="866" spans="1:1">
      <c r="A866" s="2" t="e">
        <f>CONCATENATE("'",'Inverter-Full Data'!#REF!,"     ",'Inverter-Full Data'!#REF!,",",'Inverter-Full Data'!#REF!,",",'Inverter-Full Data'!#REF!,",",'Inverter-Full Data'!#REF!,"'")</f>
        <v>#REF!</v>
      </c>
    </row>
    <row r="867" spans="1:1">
      <c r="A867" s="2" t="e">
        <f>CONCATENATE("'",'Inverter-Full Data'!#REF!,"     ",'Inverter-Full Data'!#REF!,",",'Inverter-Full Data'!#REF!,",",'Inverter-Full Data'!#REF!,",",'Inverter-Full Data'!#REF!,"'")</f>
        <v>#REF!</v>
      </c>
    </row>
    <row r="868" spans="1:1">
      <c r="A868" s="2" t="e">
        <f>CONCATENATE("'",'Inverter-Full Data'!#REF!,"     ",'Inverter-Full Data'!#REF!,",",'Inverter-Full Data'!#REF!,",",'Inverter-Full Data'!#REF!,",",'Inverter-Full Data'!#REF!,"'")</f>
        <v>#REF!</v>
      </c>
    </row>
    <row r="869" spans="1:1">
      <c r="A869" s="2" t="e">
        <f>CONCATENATE("'",'Inverter-Full Data'!#REF!,"     ",'Inverter-Full Data'!#REF!,",",'Inverter-Full Data'!#REF!,",",'Inverter-Full Data'!#REF!,",",'Inverter-Full Data'!#REF!,"'")</f>
        <v>#REF!</v>
      </c>
    </row>
    <row r="870" spans="1:1">
      <c r="A870" s="2" t="e">
        <f>CONCATENATE("'",'Inverter-Full Data'!#REF!,"     ",'Inverter-Full Data'!#REF!,",",'Inverter-Full Data'!#REF!,",",'Inverter-Full Data'!#REF!,",",'Inverter-Full Data'!#REF!,"'")</f>
        <v>#REF!</v>
      </c>
    </row>
    <row r="871" spans="1:1">
      <c r="A871" s="2" t="e">
        <f>CONCATENATE("'",'Inverter-Full Data'!#REF!,"     ",'Inverter-Full Data'!#REF!,",",'Inverter-Full Data'!#REF!,",",'Inverter-Full Data'!#REF!,",",'Inverter-Full Data'!#REF!,"'")</f>
        <v>#REF!</v>
      </c>
    </row>
    <row r="872" spans="1:1">
      <c r="A872" s="2" t="e">
        <f>CONCATENATE("'",'Inverter-Full Data'!#REF!,"     ",'Inverter-Full Data'!#REF!,",",'Inverter-Full Data'!#REF!,",",'Inverter-Full Data'!#REF!,",",'Inverter-Full Data'!#REF!,"'")</f>
        <v>#REF!</v>
      </c>
    </row>
    <row r="873" spans="1:1">
      <c r="A873" s="2" t="e">
        <f>CONCATENATE("'",'Inverter-Full Data'!#REF!,"     ",'Inverter-Full Data'!#REF!,",",'Inverter-Full Data'!#REF!,",",'Inverter-Full Data'!#REF!,",",'Inverter-Full Data'!#REF!,"'")</f>
        <v>#REF!</v>
      </c>
    </row>
    <row r="874" spans="1:1">
      <c r="A874" s="2" t="e">
        <f>CONCATENATE("'",'Inverter-Full Data'!#REF!,"     ",'Inverter-Full Data'!#REF!,",",'Inverter-Full Data'!#REF!,",",'Inverter-Full Data'!#REF!,",",'Inverter-Full Data'!#REF!,"'")</f>
        <v>#REF!</v>
      </c>
    </row>
    <row r="875" spans="1:1">
      <c r="A875" s="2" t="e">
        <f>CONCATENATE("'",'Inverter-Full Data'!#REF!,"     ",'Inverter-Full Data'!#REF!,",",'Inverter-Full Data'!#REF!,",",'Inverter-Full Data'!#REF!,",",'Inverter-Full Data'!#REF!,"'")</f>
        <v>#REF!</v>
      </c>
    </row>
    <row r="876" spans="1:1">
      <c r="A876" s="2" t="e">
        <f>CONCATENATE("'",'Inverter-Full Data'!#REF!,"     ",'Inverter-Full Data'!#REF!,",",'Inverter-Full Data'!#REF!,",",'Inverter-Full Data'!#REF!,",",'Inverter-Full Data'!#REF!,"'")</f>
        <v>#REF!</v>
      </c>
    </row>
    <row r="877" spans="1:1">
      <c r="A877" s="2" t="e">
        <f>CONCATENATE("'",'Inverter-Full Data'!#REF!,"     ",'Inverter-Full Data'!#REF!,",",'Inverter-Full Data'!#REF!,",",'Inverter-Full Data'!#REF!,",",'Inverter-Full Data'!#REF!,"'")</f>
        <v>#REF!</v>
      </c>
    </row>
    <row r="878" spans="1:1">
      <c r="A878" s="2" t="e">
        <f>CONCATENATE("'",'Inverter-Full Data'!#REF!,"     ",'Inverter-Full Data'!#REF!,",",'Inverter-Full Data'!#REF!,",",'Inverter-Full Data'!#REF!,",",'Inverter-Full Data'!#REF!,"'")</f>
        <v>#REF!</v>
      </c>
    </row>
    <row r="879" spans="1:1">
      <c r="A879" s="2" t="e">
        <f>CONCATENATE("'",'Inverter-Full Data'!#REF!,"     ",'Inverter-Full Data'!#REF!,",",'Inverter-Full Data'!#REF!,",",'Inverter-Full Data'!#REF!,",",'Inverter-Full Data'!#REF!,"'")</f>
        <v>#REF!</v>
      </c>
    </row>
    <row r="880" spans="1:1">
      <c r="A880" s="2" t="e">
        <f>CONCATENATE("'",'Inverter-Full Data'!#REF!,"     ",'Inverter-Full Data'!#REF!,",",'Inverter-Full Data'!#REF!,",",'Inverter-Full Data'!#REF!,",",'Inverter-Full Data'!#REF!,"'")</f>
        <v>#REF!</v>
      </c>
    </row>
    <row r="881" spans="1:1">
      <c r="A881" s="2" t="e">
        <f>CONCATENATE("'",'Inverter-Full Data'!#REF!,"     ",'Inverter-Full Data'!#REF!,",",'Inverter-Full Data'!#REF!,",",'Inverter-Full Data'!#REF!,",",'Inverter-Full Data'!#REF!,"'")</f>
        <v>#REF!</v>
      </c>
    </row>
    <row r="882" spans="1:1">
      <c r="A882" s="2" t="e">
        <f>CONCATENATE("'",'Inverter-Full Data'!#REF!,"     ",'Inverter-Full Data'!#REF!,",",'Inverter-Full Data'!#REF!,",",'Inverter-Full Data'!#REF!,",",'Inverter-Full Data'!#REF!,"'")</f>
        <v>#REF!</v>
      </c>
    </row>
    <row r="883" spans="1:1">
      <c r="A883" s="2" t="e">
        <f>CONCATENATE("'",'Inverter-Full Data'!#REF!,"     ",'Inverter-Full Data'!#REF!,",",'Inverter-Full Data'!#REF!,",",'Inverter-Full Data'!#REF!,",",'Inverter-Full Data'!#REF!,"'")</f>
        <v>#REF!</v>
      </c>
    </row>
    <row r="884" spans="1:1">
      <c r="A884" s="2" t="e">
        <f>CONCATENATE("'",'Inverter-Full Data'!#REF!,"     ",'Inverter-Full Data'!#REF!,",",'Inverter-Full Data'!#REF!,",",'Inverter-Full Data'!#REF!,",",'Inverter-Full Data'!#REF!,"'")</f>
        <v>#REF!</v>
      </c>
    </row>
    <row r="885" spans="1:1">
      <c r="A885" s="2" t="e">
        <f>CONCATENATE("'",'Inverter-Full Data'!#REF!,"     ",'Inverter-Full Data'!#REF!,",",'Inverter-Full Data'!#REF!,",",'Inverter-Full Data'!#REF!,",",'Inverter-Full Data'!#REF!,"'")</f>
        <v>#REF!</v>
      </c>
    </row>
    <row r="886" spans="1:1">
      <c r="A886" s="2" t="e">
        <f>CONCATENATE("'",'Inverter-Full Data'!#REF!,"     ",'Inverter-Full Data'!#REF!,",",'Inverter-Full Data'!#REF!,",",'Inverter-Full Data'!#REF!,",",'Inverter-Full Data'!#REF!,"'")</f>
        <v>#REF!</v>
      </c>
    </row>
    <row r="887" spans="1:1">
      <c r="A887" s="2" t="e">
        <f>CONCATENATE("'",'Inverter-Full Data'!#REF!,"     ",'Inverter-Full Data'!#REF!,",",'Inverter-Full Data'!#REF!,",",'Inverter-Full Data'!#REF!,",",'Inverter-Full Data'!#REF!,"'")</f>
        <v>#REF!</v>
      </c>
    </row>
    <row r="888" spans="1:1">
      <c r="A888" s="2" t="e">
        <f>CONCATENATE("'",'Inverter-Full Data'!#REF!,"     ",'Inverter-Full Data'!#REF!,",",'Inverter-Full Data'!#REF!,",",'Inverter-Full Data'!#REF!,",",'Inverter-Full Data'!#REF!,"'")</f>
        <v>#REF!</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e">
        <f>CONCATENATE("'",'Inverter-Full Data'!#REF!,"     ",'Inverter-Full Data'!#REF!,",",'Inverter-Full Data'!#REF!,",",'Inverter-Full Data'!#REF!,",",'Inverter-Full Data'!#REF!,"'")</f>
        <v>#REF!</v>
      </c>
    </row>
    <row r="897" spans="1:1">
      <c r="A897" s="2" t="e">
        <f>CONCATENATE("'",'Inverter-Full Data'!#REF!,"     ",'Inverter-Full Data'!#REF!,",",'Inverter-Full Data'!#REF!,",",'Inverter-Full Data'!#REF!,",",'Inverter-Full Data'!#REF!,"'")</f>
        <v>#REF!</v>
      </c>
    </row>
    <row r="898" spans="1:1">
      <c r="A898" s="2" t="e">
        <f>CONCATENATE("'",'Inverter-Full Data'!#REF!,"     ",'Inverter-Full Data'!#REF!,",",'Inverter-Full Data'!#REF!,",",'Inverter-Full Data'!#REF!,",",'Inverter-Full Data'!#REF!,"'")</f>
        <v>#REF!</v>
      </c>
    </row>
    <row r="899" spans="1:1">
      <c r="A899" s="2" t="e">
        <f>CONCATENATE("'",'Inverter-Full Data'!#REF!,"     ",'Inverter-Full Data'!#REF!,",",'Inverter-Full Data'!#REF!,",",'Inverter-Full Data'!#REF!,",",'Inverter-Full Data'!#REF!,"'")</f>
        <v>#REF!</v>
      </c>
    </row>
    <row r="900" spans="1:1">
      <c r="A900" s="2" t="e">
        <f>CONCATENATE("'",'Inverter-Full Data'!#REF!,"     ",'Inverter-Full Data'!#REF!,",",'Inverter-Full Data'!#REF!,",",'Inverter-Full Data'!#REF!,",",'Inverter-Full Data'!#REF!,"'")</f>
        <v>#REF!</v>
      </c>
    </row>
    <row r="901" spans="1:1">
      <c r="A901" s="2" t="e">
        <f>CONCATENATE("'",'Inverter-Full Data'!#REF!,"     ",'Inverter-Full Data'!#REF!,",",'Inverter-Full Data'!#REF!,",",'Inverter-Full Data'!#REF!,",",'Inverter-Full Data'!#REF!,"'")</f>
        <v>#REF!</v>
      </c>
    </row>
    <row r="902" spans="1:1">
      <c r="A902" s="2" t="e">
        <f>CONCATENATE("'",'Inverter-Full Data'!#REF!,"     ",'Inverter-Full Data'!#REF!,",",'Inverter-Full Data'!#REF!,",",'Inverter-Full Data'!#REF!,",",'Inverter-Full Data'!#REF!,"'")</f>
        <v>#REF!</v>
      </c>
    </row>
    <row r="903" spans="1:1">
      <c r="A903" s="2" t="e">
        <f>CONCATENATE("'",'Inverter-Full Data'!#REF!,"     ",'Inverter-Full Data'!#REF!,",",'Inverter-Full Data'!#REF!,",",'Inverter-Full Data'!#REF!,",",'Inverter-Full Data'!#REF!,"'")</f>
        <v>#REF!</v>
      </c>
    </row>
    <row r="904" spans="1:1">
      <c r="A904" s="2" t="e">
        <f>CONCATENATE("'",'Inverter-Full Data'!#REF!,"     ",'Inverter-Full Data'!#REF!,",",'Inverter-Full Data'!#REF!,",",'Inverter-Full Data'!#REF!,",",'Inverter-Full Data'!#REF!,"'")</f>
        <v>#REF!</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Data'!A153,"     ",'Inverter-Full Data'!B153,",",'Inverter-Full Data'!S153,",",'Inverter-Full Data'!J153,",",'Inverter-Full Data'!T153,"'")</f>
        <v>'Darfon Electronics Corp.     H5000x [240V],N,95.5,N'</v>
      </c>
    </row>
    <row r="908" spans="1:1">
      <c r="A908" s="2" t="e">
        <f>CONCATENATE("'",'Inverter-Full Data'!#REF!,"     ",'Inverter-Full Data'!#REF!,",",'Inverter-Full Data'!#REF!,",",'Inverter-Full Data'!#REF!,",",'Inverter-Full Data'!#REF!,"'")</f>
        <v>#REF!</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e">
        <f>CONCATENATE("'",'Inverter-Full Data'!#REF!,"     ",'Inverter-Full Data'!#REF!,",",'Inverter-Full Data'!#REF!,",",'Inverter-Full Data'!#REF!,",",'Inverter-Full Data'!#REF!,"'")</f>
        <v>#REF!</v>
      </c>
    </row>
    <row r="912" spans="1:1">
      <c r="A912" s="2" t="str">
        <f>CONCATENATE("'",'Inverter-Full Data'!A154,"     ",'Inverter-Full Data'!B154,",",'Inverter-Full Data'!S154,",",'Inverter-Full Data'!J154,",",'Inverter-Full Data'!T154,"'")</f>
        <v>'Delta Electronics     SOLIVIA 3.8 NA G4 TL [208V],Y,97.5,N'</v>
      </c>
    </row>
    <row r="913" spans="1:1">
      <c r="A913" s="2" t="e">
        <f>CONCATENATE("'",'Inverter-Full Data'!#REF!,"     ",'Inverter-Full Data'!#REF!,",",'Inverter-Full Data'!#REF!,",",'Inverter-Full Data'!#REF!,",",'Inverter-Full Data'!#REF!,"'")</f>
        <v>#REF!</v>
      </c>
    </row>
    <row r="914" spans="1:1">
      <c r="A914" s="2" t="str">
        <f>CONCATENATE("'",'Inverter-Full Data'!A155,"     ",'Inverter-Full Data'!B155,",",'Inverter-Full Data'!S155,",",'Inverter-Full Data'!J155,",",'Inverter-Full Data'!T155,"'")</f>
        <v>'Delta Electronics     M4-TL-US [208V],Y,97,N'</v>
      </c>
    </row>
    <row r="915" spans="1:1">
      <c r="A915" s="2" t="str">
        <f>CONCATENATE("'",'Inverter-Full Data'!A156,"     ",'Inverter-Full Data'!B156,",",'Inverter-Full Data'!S156,",",'Inverter-Full Data'!J156,",",'Inverter-Full Data'!T156,"'")</f>
        <v>'Delta Electronics     SOLIVIA 3.8 NA G4 TL [240V],Y,97.5,N'</v>
      </c>
    </row>
    <row r="916" spans="1:1">
      <c r="A916" s="2" t="str">
        <f>CONCATENATE("'",'Inverter-Full Data'!A157,"     ",'Inverter-Full Data'!B157,",",'Inverter-Full Data'!S157,",",'Inverter-Full Data'!J157,",",'Inverter-Full Data'!T157,"'")</f>
        <v>'Delta Electronics     M4-TL-US [240V],Y,97.5,N'</v>
      </c>
    </row>
    <row r="917" spans="1:1">
      <c r="A917" s="2" t="str">
        <f>CONCATENATE("'",'Inverter-Full Data'!A158,"     ",'Inverter-Full Data'!B158,",",'Inverter-Full Data'!S158,",",'Inverter-Full Data'!J158,",",'Inverter-Full Data'!T158,"'")</f>
        <v>'Delta Electronics     M5-TL-US [208V],Y,97.5,N'</v>
      </c>
    </row>
    <row r="918" spans="1:1">
      <c r="A918" s="2" t="str">
        <f>CONCATENATE("'",'Inverter-Full Data'!A159,"     ",'Inverter-Full Data'!B159,",",'Inverter-Full Data'!S159,",",'Inverter-Full Data'!J159,",",'Inverter-Full Data'!T159,"'")</f>
        <v>'Delta Electronics     M5-TL-US [240V],Y,97.5,N'</v>
      </c>
    </row>
    <row r="919" spans="1:1">
      <c r="A919" s="2" t="str">
        <f>CONCATENATE("'",'Inverter-Full Data'!A160,"     ",'Inverter-Full Data'!B160,",",'Inverter-Full Data'!S160,",",'Inverter-Full Data'!J160,",",'Inverter-Full Data'!T160,"'")</f>
        <v>'Delta Electronics     M6-TL-US [208V],Y,97,N'</v>
      </c>
    </row>
    <row r="920" spans="1:1">
      <c r="A920" s="2" t="e">
        <f>CONCATENATE("'",'Inverter-Full Data'!#REF!,"     ",'Inverter-Full Data'!#REF!,",",'Inverter-Full Data'!#REF!,",",'Inverter-Full Data'!#REF!,",",'Inverter-Full Data'!#REF!,"'")</f>
        <v>#REF!</v>
      </c>
    </row>
    <row r="921" spans="1:1">
      <c r="A921" s="2" t="str">
        <f>CONCATENATE("'",'Inverter-Full Data'!A161,"     ",'Inverter-Full Data'!B161,",",'Inverter-Full Data'!S161,",",'Inverter-Full Data'!J161,",",'Inverter-Full Data'!T161,"'")</f>
        <v>'Delta Electronics     E6-TL-US [208V],Y,97,N'</v>
      </c>
    </row>
    <row r="922" spans="1:1">
      <c r="A922" s="2" t="e">
        <f>CONCATENATE("'",'Inverter-Full Data'!#REF!,"     ",'Inverter-Full Data'!#REF!,",",'Inverter-Full Data'!#REF!,",",'Inverter-Full Data'!#REF!,",",'Inverter-Full Data'!#REF!,"'")</f>
        <v>#REF!</v>
      </c>
    </row>
    <row r="923" spans="1:1">
      <c r="A923" s="2" t="str">
        <f>CONCATENATE("'",'Inverter-Full Data'!A162,"     ",'Inverter-Full Data'!B162,",",'Inverter-Full Data'!S162,",",'Inverter-Full Data'!J162,",",'Inverter-Full Data'!T162,"'")</f>
        <v>'Delta Electronics     E6-TL-US(AC) [208V],Y,98,N'</v>
      </c>
    </row>
    <row r="924" spans="1:1">
      <c r="A924" s="2" t="str">
        <f>CONCATENATE("'",'Inverter-Full Data'!A163,"     ",'Inverter-Full Data'!B163,",",'Inverter-Full Data'!S163,",",'Inverter-Full Data'!J163,",",'Inverter-Full Data'!T163,"'")</f>
        <v>'Delta Electronics     E6-TL-US(AC) [240V],Y,98,N'</v>
      </c>
    </row>
    <row r="925" spans="1:1">
      <c r="A925" s="2" t="str">
        <f>CONCATENATE("'",'Inverter-Full Data'!A164,"     ",'Inverter-Full Data'!B164,",",'Inverter-Full Data'!S164,",",'Inverter-Full Data'!J164,",",'Inverter-Full Data'!T164,"'")</f>
        <v>'Delta Electronics     SOLIVIA 5.2 NA G4 TL [208V],Y,97.5,N'</v>
      </c>
    </row>
    <row r="926" spans="1:1">
      <c r="A926" s="2" t="str">
        <f>CONCATENATE("'",'Inverter-Full Data'!A165,"     ",'Inverter-Full Data'!B165,",",'Inverter-Full Data'!S165,",",'Inverter-Full Data'!J165,",",'Inverter-Full Data'!T165,"'")</f>
        <v>'Delta Electronics     SOLIVIA 5.2 NA G4 TL [240V],Y,97.5,N'</v>
      </c>
    </row>
    <row r="927" spans="1:1">
      <c r="A927" s="2" t="str">
        <f>CONCATENATE("'",'Inverter-Full Data'!A166,"     ",'Inverter-Full Data'!B166,",",'Inverter-Full Data'!S166,",",'Inverter-Full Data'!J166,",",'Inverter-Full Data'!T166,"'")</f>
        <v>'Delta Electronics     E6-TL-US [240V],Y,97.5,N'</v>
      </c>
    </row>
    <row r="928" spans="1:1">
      <c r="A928" s="2" t="str">
        <f>CONCATENATE("'",'Inverter-Full Data'!A167,"     ",'Inverter-Full Data'!B167,",",'Inverter-Full Data'!S167,",",'Inverter-Full Data'!J167,",",'Inverter-Full Data'!T167,"'")</f>
        <v>'Delta Electronics     M6-TL-US [240V],Y,97.5,N'</v>
      </c>
    </row>
    <row r="929" spans="1:1">
      <c r="A929" s="2" t="e">
        <f>CONCATENATE("'",'Inverter-Full Data'!#REF!,"     ",'Inverter-Full Data'!#REF!,",",'Inverter-Full Data'!#REF!,",",'Inverter-Full Data'!#REF!,",",'Inverter-Full Data'!#REF!,"'")</f>
        <v>#REF!</v>
      </c>
    </row>
    <row r="930" spans="1:1">
      <c r="A930" s="2" t="e">
        <f>CONCATENATE("'",'Inverter-Full Data'!#REF!,"     ",'Inverter-Full Data'!#REF!,",",'Inverter-Full Data'!#REF!,",",'Inverter-Full Data'!#REF!,",",'Inverter-Full Data'!#REF!,"'")</f>
        <v>#REF!</v>
      </c>
    </row>
    <row r="931" spans="1:1">
      <c r="A931" s="2" t="e">
        <f>CONCATENATE("'",'Inverter-Full Data'!#REF!,"     ",'Inverter-Full Data'!#REF!,",",'Inverter-Full Data'!#REF!,",",'Inverter-Full Data'!#REF!,",",'Inverter-Full Data'!#REF!,"'")</f>
        <v>#REF!</v>
      </c>
    </row>
    <row r="932" spans="1:1">
      <c r="A932" s="2" t="e">
        <f>CONCATENATE("'",'Inverter-Full Data'!#REF!,"     ",'Inverter-Full Data'!#REF!,",",'Inverter-Full Data'!#REF!,",",'Inverter-Full Data'!#REF!,",",'Inverter-Full Data'!#REF!,"'")</f>
        <v>#REF!</v>
      </c>
    </row>
    <row r="933" spans="1:1">
      <c r="A933" s="2" t="str">
        <f>CONCATENATE("'",'Inverter-Full Data'!A168,"     ",'Inverter-Full Data'!B168,",",'Inverter-Full Data'!S168,",",'Inverter-Full Data'!J168,",",'Inverter-Full Data'!T168,"'")</f>
        <v>'Delta Electronics     E8-TL-US(AC) [240V],Y,98,N'</v>
      </c>
    </row>
    <row r="934" spans="1:1">
      <c r="A934" s="2" t="e">
        <f>CONCATENATE("'",'Inverter-Full Data'!#REF!,"     ",'Inverter-Full Data'!#REF!,",",'Inverter-Full Data'!#REF!,",",'Inverter-Full Data'!#REF!,",",'Inverter-Full Data'!#REF!,"'")</f>
        <v>#REF!</v>
      </c>
    </row>
    <row r="935" spans="1:1">
      <c r="A935" s="2" t="str">
        <f>CONCATENATE("'",'Inverter-Full Data'!A169,"     ",'Inverter-Full Data'!B169,",",'Inverter-Full Data'!S169,",",'Inverter-Full Data'!J169,",",'Inverter-Full Data'!T169,"'")</f>
        <v>'Delta Electronics     E8-TL-US(AC) [208V],Y,98,N'</v>
      </c>
    </row>
    <row r="936" spans="1:1">
      <c r="A936" s="2" t="str">
        <f>CONCATENATE("'",'Inverter-Full Data'!A170,"     ",'Inverter-Full Data'!B170,",",'Inverter-Full Data'!S170,",",'Inverter-Full Data'!J170,",",'Inverter-Full Data'!T170,"'")</f>
        <v>'Delta Electronics     SOLIVIA 6.6 NA G4 TL [208V],Y,97.5,N'</v>
      </c>
    </row>
    <row r="937" spans="1:1">
      <c r="A937" s="2" t="str">
        <f>CONCATENATE("'",'Inverter-Full Data'!A171,"     ",'Inverter-Full Data'!B171,",",'Inverter-Full Data'!S171,",",'Inverter-Full Data'!J171,",",'Inverter-Full Data'!T171,"'")</f>
        <v>'Delta Electronics     SOLIVIA 6.6 NA G4 TL [240V],Y,97.5,N'</v>
      </c>
    </row>
    <row r="938" spans="1:1">
      <c r="A938" s="2" t="str">
        <f>CONCATENATE("'",'Inverter-Full Data'!A172,"     ",'Inverter-Full Data'!B172,",",'Inverter-Full Data'!S172,",",'Inverter-Full Data'!J172,",",'Inverter-Full Data'!T172,"'")</f>
        <v>'Delta Electronics     SOLIVIA 7.6 NA G4 TL [208V],Y,97.5,N'</v>
      </c>
    </row>
    <row r="939" spans="1:1">
      <c r="A939" s="2" t="e">
        <f>CONCATENATE("'",'Inverter-Full Data'!#REF!,"     ",'Inverter-Full Data'!#REF!,",",'Inverter-Full Data'!#REF!,",",'Inverter-Full Data'!#REF!,",",'Inverter-Full Data'!#REF!,"'")</f>
        <v>#REF!</v>
      </c>
    </row>
    <row r="940" spans="1:1">
      <c r="A940" s="2" t="str">
        <f>CONCATENATE("'",'Inverter-Full Data'!A173,"     ",'Inverter-Full Data'!B173,",",'Inverter-Full Data'!S173,",",'Inverter-Full Data'!J173,",",'Inverter-Full Data'!T173,"'")</f>
        <v>'Delta Electronics     E8-TL-US [208V],Y,97.5,N'</v>
      </c>
    </row>
    <row r="941" spans="1:1">
      <c r="A941" s="2" t="str">
        <f>CONCATENATE("'",'Inverter-Full Data'!A174,"     ",'Inverter-Full Data'!B174,",",'Inverter-Full Data'!S174,",",'Inverter-Full Data'!J174,",",'Inverter-Full Data'!T174,"'")</f>
        <v>'Delta Electronics     M8-TL-US [208V],Y,97.5,N'</v>
      </c>
    </row>
    <row r="942" spans="1:1">
      <c r="A942" s="2" t="e">
        <f>CONCATENATE("'",'Inverter-Full Data'!#REF!,"     ",'Inverter-Full Data'!#REF!,",",'Inverter-Full Data'!#REF!,",",'Inverter-Full Data'!#REF!,",",'Inverter-Full Data'!#REF!,"'")</f>
        <v>#REF!</v>
      </c>
    </row>
    <row r="943" spans="1:1">
      <c r="A943" s="2" t="str">
        <f>CONCATENATE("'",'Inverter-Full Data'!A175,"     ",'Inverter-Full Data'!B175,",",'Inverter-Full Data'!S175,",",'Inverter-Full Data'!J175,",",'Inverter-Full Data'!T175,"'")</f>
        <v>'Delta Electronics     SOLIVIA 7.6 NA G4 TL [240V],Y,97.5,N'</v>
      </c>
    </row>
    <row r="944" spans="1:1">
      <c r="A944" s="2" t="str">
        <f>CONCATENATE("'",'Inverter-Full Data'!A176,"     ",'Inverter-Full Data'!B176,",",'Inverter-Full Data'!S176,",",'Inverter-Full Data'!J176,",",'Inverter-Full Data'!T176,"'")</f>
        <v>'Delta Electronics     E8-TL-US [240V],Y,97.5,N'</v>
      </c>
    </row>
    <row r="945" spans="1:1">
      <c r="A945" s="2" t="e">
        <f>CONCATENATE("'",'Inverter-Full Data'!#REF!,"     ",'Inverter-Full Data'!#REF!,",",'Inverter-Full Data'!#REF!,",",'Inverter-Full Data'!#REF!,",",'Inverter-Full Data'!#REF!,"'")</f>
        <v>#REF!</v>
      </c>
    </row>
    <row r="946" spans="1:1">
      <c r="A946" s="2" t="str">
        <f>CONCATENATE("'",'Inverter-Full Data'!A177,"     ",'Inverter-Full Data'!B177,",",'Inverter-Full Data'!S177,",",'Inverter-Full Data'!J177,",",'Inverter-Full Data'!T177,"'")</f>
        <v>'Delta Electronics     M8-TL-US [240V],Y,97.5,N'</v>
      </c>
    </row>
    <row r="947" spans="1:1">
      <c r="A947" s="2" t="e">
        <f>CONCATENATE("'",'Inverter-Full Data'!#REF!,"     ",'Inverter-Full Data'!#REF!,",",'Inverter-Full Data'!#REF!,",",'Inverter-Full Data'!#REF!,",",'Inverter-Full Data'!#REF!,"'")</f>
        <v>#REF!</v>
      </c>
    </row>
    <row r="948" spans="1:1">
      <c r="A948" s="2" t="e">
        <f>CONCATENATE("'",'Inverter-Full Data'!#REF!,"     ",'Inverter-Full Data'!#REF!,",",'Inverter-Full Data'!#REF!,",",'Inverter-Full Data'!#REF!,",",'Inverter-Full Data'!#REF!,"'")</f>
        <v>#REF!</v>
      </c>
    </row>
    <row r="949" spans="1:1">
      <c r="A949" s="2" t="e">
        <f>CONCATENATE("'",'Inverter-Full Data'!#REF!,"     ",'Inverter-Full Data'!#REF!,",",'Inverter-Full Data'!#REF!,",",'Inverter-Full Data'!#REF!,",",'Inverter-Full Data'!#REF!,"'")</f>
        <v>#REF!</v>
      </c>
    </row>
    <row r="950" spans="1:1">
      <c r="A950" s="2" t="e">
        <f>CONCATENATE("'",'Inverter-Full Data'!#REF!,"     ",'Inverter-Full Data'!#REF!,",",'Inverter-Full Data'!#REF!,",",'Inverter-Full Data'!#REF!,",",'Inverter-Full Data'!#REF!,"'")</f>
        <v>#REF!</v>
      </c>
    </row>
    <row r="951" spans="1:1">
      <c r="A951" s="2" t="e">
        <f>CONCATENATE("'",'Inverter-Full Data'!#REF!,"     ",'Inverter-Full Data'!#REF!,",",'Inverter-Full Data'!#REF!,",",'Inverter-Full Data'!#REF!,",",'Inverter-Full Data'!#REF!,"'")</f>
        <v>#REF!</v>
      </c>
    </row>
    <row r="952" spans="1:1">
      <c r="A952" s="2" t="str">
        <f>CONCATENATE("'",'Inverter-Full Data'!A178,"     ",'Inverter-Full Data'!B178,",",'Inverter-Full Data'!S178,",",'Inverter-Full Data'!J178,",",'Inverter-Full Data'!T178,"'")</f>
        <v>'Delta Electronics     M24U_XXX [480V],N,98,N'</v>
      </c>
    </row>
    <row r="953" spans="1:1">
      <c r="A953" s="2" t="e">
        <f>CONCATENATE("'",'Inverter-Full Data'!#REF!,"     ",'Inverter-Full Data'!#REF!,",",'Inverter-Full Data'!#REF!,",",'Inverter-Full Data'!#REF!,",",'Inverter-Full Data'!#REF!,"'")</f>
        <v>#REF!</v>
      </c>
    </row>
    <row r="954" spans="1:1">
      <c r="A954" s="2" t="str">
        <f>CONCATENATE("'",'Inverter-Full Data'!A179,"     ",'Inverter-Full Data'!B179,",",'Inverter-Full Data'!S179,",",'Inverter-Full Data'!J179,",",'Inverter-Full Data'!T179,"'")</f>
        <v>'Delta Electronics     M28U_XXX [480V],N,98,N'</v>
      </c>
    </row>
    <row r="955" spans="1:1">
      <c r="A955" s="2" t="e">
        <f>CONCATENATE("'",'Inverter-Full Data'!#REF!,"     ",'Inverter-Full Data'!#REF!,",",'Inverter-Full Data'!#REF!,",",'Inverter-Full Data'!#REF!,",",'Inverter-Full Data'!#REF!,"'")</f>
        <v>#REF!</v>
      </c>
    </row>
    <row r="956" spans="1:1">
      <c r="A956" s="2" t="str">
        <f>CONCATENATE("'",'Inverter-Full Data'!A180,"     ",'Inverter-Full Data'!B180,",",'Inverter-Full Data'!S180,",",'Inverter-Full Data'!J180,",",'Inverter-Full Data'!T180,"'")</f>
        <v>'Delta Electronics     M36U_XXX [480V],N,98,N'</v>
      </c>
    </row>
    <row r="957" spans="1:1">
      <c r="A957" s="2" t="str">
        <f>CONCATENATE("'",'Inverter-Full Data'!A182,"     ",'Inverter-Full Data'!B182,",",'Inverter-Full Data'!S182,",",'Inverter-Full Data'!J182,",",'Inverter-Full Data'!T182,"'")</f>
        <v>'Delta Electronics     M60U_XXX [480V],N,98.5,N'</v>
      </c>
    </row>
    <row r="958" spans="1:1">
      <c r="A958" s="2" t="str">
        <f>CONCATENATE("'",'Inverter-Full Data'!A183,"     ",'Inverter-Full Data'!B183,",",'Inverter-Full Data'!S183,",",'Inverter-Full Data'!J183,",",'Inverter-Full Data'!T183,"'")</f>
        <v>'Delta Electronics     M80U_XXX [480V],N,98.5,N'</v>
      </c>
    </row>
    <row r="959" spans="1:1">
      <c r="A959" s="2" t="str">
        <f>CONCATENATE("'",'Inverter-Full Data'!A184,"     ",'Inverter-Full Data'!B184,",",'Inverter-Full Data'!S184,",",'Inverter-Full Data'!J184,",",'Inverter-Full Data'!T184,"'")</f>
        <v>'Delta Electronics     DES10JB125K01 [480V],N,97,N'</v>
      </c>
    </row>
    <row r="960" spans="1:1">
      <c r="A960" s="2" t="e">
        <f>CONCATENATE("'",'Inverter-Full Data'!#REF!,"     ",'Inverter-Full Data'!#REF!,",",'Inverter-Full Data'!#REF!,",",'Inverter-Full Data'!#REF!,",",'Inverter-Full Data'!#REF!,"'")</f>
        <v>#REF!</v>
      </c>
    </row>
    <row r="961" spans="1:1">
      <c r="A961" s="2" t="e">
        <f>CONCATENATE("'",'Inverter-Full Data'!#REF!,"     ",'Inverter-Full Data'!#REF!,",",'Inverter-Full Data'!#REF!,",",'Inverter-Full Data'!#REF!,",",'Inverter-Full Data'!#REF!,"'")</f>
        <v>#REF!</v>
      </c>
    </row>
    <row r="962" spans="1:1">
      <c r="A962" s="2" t="e">
        <f>CONCATENATE("'",'Inverter-Full Data'!#REF!,"     ",'Inverter-Full Data'!#REF!,",",'Inverter-Full Data'!#REF!,",",'Inverter-Full Data'!#REF!,",",'Inverter-Full Data'!#REF!,"'")</f>
        <v>#REF!</v>
      </c>
    </row>
    <row r="963" spans="1:1">
      <c r="A963" s="2" t="e">
        <f>CONCATENATE("'",'Inverter-Full Data'!#REF!,"     ",'Inverter-Full Data'!#REF!,",",'Inverter-Full Data'!#REF!,",",'Inverter-Full Data'!#REF!,",",'Inverter-Full Data'!#REF!,"'")</f>
        <v>#REF!</v>
      </c>
    </row>
    <row r="964" spans="1:1">
      <c r="A964" s="2" t="e">
        <f>CONCATENATE("'",'Inverter-Full Data'!#REF!,"     ",'Inverter-Full Data'!#REF!,",",'Inverter-Full Data'!#REF!,",",'Inverter-Full Data'!#REF!,",",'Inverter-Full Data'!#REF!,"'")</f>
        <v>#REF!</v>
      </c>
    </row>
    <row r="965" spans="1:1">
      <c r="A965" s="2" t="e">
        <f>CONCATENATE("'",'Inverter-Full Data'!#REF!,"     ",'Inverter-Full Data'!#REF!,",",'Inverter-Full Data'!#REF!,",",'Inverter-Full Data'!#REF!,",",'Inverter-Full Data'!#REF!,"'")</f>
        <v>#REF!</v>
      </c>
    </row>
    <row r="966" spans="1:1">
      <c r="A966" s="2" t="e">
        <f>CONCATENATE("'",'Inverter-Full Data'!#REF!,"     ",'Inverter-Full Data'!#REF!,",",'Inverter-Full Data'!#REF!,",",'Inverter-Full Data'!#REF!,",",'Inverter-Full Data'!#REF!,"'")</f>
        <v>#REF!</v>
      </c>
    </row>
    <row r="967" spans="1:1">
      <c r="A967" s="2" t="e">
        <f>CONCATENATE("'",'Inverter-Full Data'!#REF!,"     ",'Inverter-Full Data'!#REF!,",",'Inverter-Full Data'!#REF!,",",'Inverter-Full Data'!#REF!,",",'Inverter-Full Data'!#REF!,"'")</f>
        <v>#REF!</v>
      </c>
    </row>
    <row r="968" spans="1:1">
      <c r="A968" s="2" t="e">
        <f>CONCATENATE("'",'Inverter-Full Data'!#REF!,"     ",'Inverter-Full Data'!#REF!,",",'Inverter-Full Data'!#REF!,",",'Inverter-Full Data'!#REF!,",",'Inverter-Full Data'!#REF!,"'")</f>
        <v>#REF!</v>
      </c>
    </row>
    <row r="969" spans="1:1">
      <c r="A969" s="2" t="e">
        <f>CONCATENATE("'",'Inverter-Full Data'!#REF!,"     ",'Inverter-Full Data'!#REF!,",",'Inverter-Full Data'!#REF!,",",'Inverter-Full Data'!#REF!,",",'Inverter-Full Data'!#REF!,"'")</f>
        <v>#REF!</v>
      </c>
    </row>
    <row r="970" spans="1:1">
      <c r="A970" s="2" t="e">
        <f>CONCATENATE("'",'Inverter-Full Data'!#REF!,"     ",'Inverter-Full Data'!#REF!,",",'Inverter-Full Data'!#REF!,",",'Inverter-Full Data'!#REF!,",",'Inverter-Full Data'!#REF!,"'")</f>
        <v>#REF!</v>
      </c>
    </row>
    <row r="971" spans="1:1">
      <c r="A971" s="2" t="e">
        <f>CONCATENATE("'",'Inverter-Full Data'!#REF!,"     ",'Inverter-Full Data'!#REF!,",",'Inverter-Full Data'!#REF!,",",'Inverter-Full Data'!#REF!,",",'Inverter-Full Data'!#REF!,"'")</f>
        <v>#REF!</v>
      </c>
    </row>
    <row r="972" spans="1:1">
      <c r="A972" s="2" t="str">
        <f>CONCATENATE("'",'Inverter-Full Data'!A185,"     ",'Inverter-Full Data'!B185,",",'Inverter-Full Data'!S185,",",'Inverter-Full Data'!J185,",",'Inverter-Full Data'!T185,"'")</f>
        <v>'Destin Power Inc.     SAVEEN1000-ES02H.US [440V],N,98,N'</v>
      </c>
    </row>
    <row r="973" spans="1:1">
      <c r="A973" s="2" t="e">
        <f>CONCATENATE("'",'Inverter-Full Data'!#REF!,"     ",'Inverter-Full Data'!#REF!,",",'Inverter-Full Data'!#REF!,",",'Inverter-Full Data'!#REF!,",",'Inverter-Full Data'!#REF!,"'")</f>
        <v>#REF!</v>
      </c>
    </row>
    <row r="974" spans="1:1">
      <c r="A974" s="2" t="e">
        <f>CONCATENATE("'",'Inverter-Full Data'!#REF!,"     ",'Inverter-Full Data'!#REF!,",",'Inverter-Full Data'!#REF!,",",'Inverter-Full Data'!#REF!,",",'Inverter-Full Data'!#REF!,"'")</f>
        <v>#REF!</v>
      </c>
    </row>
    <row r="975" spans="1:1">
      <c r="A975" s="2" t="e">
        <f>CONCATENATE("'",'Inverter-Full Data'!#REF!,"     ",'Inverter-Full Data'!#REF!,",",'Inverter-Full Data'!#REF!,",",'Inverter-Full Data'!#REF!,",",'Inverter-Full Data'!#REF!,"'")</f>
        <v>#REF!</v>
      </c>
    </row>
    <row r="976" spans="1:1">
      <c r="A976" s="2" t="e">
        <f>CONCATENATE("'",'Inverter-Full Data'!#REF!,"     ",'Inverter-Full Data'!#REF!,",",'Inverter-Full Data'!#REF!,",",'Inverter-Full Data'!#REF!,",",'Inverter-Full Data'!#REF!,"'")</f>
        <v>#REF!</v>
      </c>
    </row>
    <row r="977" spans="1:1">
      <c r="A977" s="2" t="e">
        <f>CONCATENATE("'",'Inverter-Full Data'!#REF!,"     ",'Inverter-Full Data'!#REF!,",",'Inverter-Full Data'!#REF!,",",'Inverter-Full Data'!#REF!,",",'Inverter-Full Data'!#REF!,"'")</f>
        <v>#REF!</v>
      </c>
    </row>
    <row r="978" spans="1:1">
      <c r="A978" s="2" t="e">
        <f>CONCATENATE("'",'Inverter-Full Data'!#REF!,"     ",'Inverter-Full Data'!#REF!,",",'Inverter-Full Data'!#REF!,",",'Inverter-Full Data'!#REF!,",",'Inverter-Full Data'!#REF!,"'")</f>
        <v>#REF!</v>
      </c>
    </row>
    <row r="979" spans="1:1">
      <c r="A979" s="2" t="e">
        <f>CONCATENATE("'",'Inverter-Full Data'!#REF!,"     ",'Inverter-Full Data'!#REF!,",",'Inverter-Full Data'!#REF!,",",'Inverter-Full Data'!#REF!,",",'Inverter-Full Data'!#REF!,"'")</f>
        <v>#REF!</v>
      </c>
    </row>
    <row r="980" spans="1:1">
      <c r="A980" s="2" t="e">
        <f>CONCATENATE("'",'Inverter-Full Data'!#REF!,"     ",'Inverter-Full Data'!#REF!,",",'Inverter-Full Data'!#REF!,",",'Inverter-Full Data'!#REF!,",",'Inverter-Full Data'!#REF!,"'")</f>
        <v>#REF!</v>
      </c>
    </row>
    <row r="981" spans="1:1">
      <c r="A981" s="2" t="e">
        <f>CONCATENATE("'",'Inverter-Full Data'!#REF!,"     ",'Inverter-Full Data'!#REF!,",",'Inverter-Full Data'!#REF!,",",'Inverter-Full Data'!#REF!,",",'Inverter-Full Data'!#REF!,"'")</f>
        <v>#REF!</v>
      </c>
    </row>
    <row r="982" spans="1:1">
      <c r="A982" s="2" t="e">
        <f>CONCATENATE("'",'Inverter-Full Data'!#REF!,"     ",'Inverter-Full Data'!#REF!,",",'Inverter-Full Data'!#REF!,",",'Inverter-Full Data'!#REF!,",",'Inverter-Full Data'!#REF!,"'")</f>
        <v>#REF!</v>
      </c>
    </row>
    <row r="983" spans="1:1">
      <c r="A983" s="2" t="str">
        <f>CONCATENATE("'",'Inverter-Full Data'!A186,"     ",'Inverter-Full Data'!B186,",",'Inverter-Full Data'!S186,",",'Inverter-Full Data'!J186,",",'Inverter-Full Data'!T186,"'")</f>
        <v>'DYNAPOWER COMPANY LLC     MPS-100 [480],N,93,N'</v>
      </c>
    </row>
    <row r="984" spans="1:1">
      <c r="A984" s="2" t="str">
        <f>CONCATENATE("'",'Inverter-Full Data'!A187,"     ",'Inverter-Full Data'!B187,",",'Inverter-Full Data'!S187,",",'Inverter-Full Data'!J187,",",'Inverter-Full Data'!T187,"'")</f>
        <v>'DYNAPOWER COMPANY LLC     MPS-250 [480V],N,95,N'</v>
      </c>
    </row>
    <row r="985" spans="1:1">
      <c r="A985" s="2" t="str">
        <f>CONCATENATE("'",'Inverter-Full Data'!A188,"     ",'Inverter-Full Data'!B188,",",'Inverter-Full Data'!S188,",",'Inverter-Full Data'!J188,",",'Inverter-Full Data'!T188,"'")</f>
        <v>'DYNAPOWER COMPANY LLC     MPS-250HV [480V],N,95.5,N'</v>
      </c>
    </row>
    <row r="986" spans="1:1">
      <c r="A986" s="2" t="e">
        <f>CONCATENATE("'",'Inverter-Full Data'!#REF!,"     ",'Inverter-Full Data'!#REF!,",",'Inverter-Full Data'!#REF!,",",'Inverter-Full Data'!#REF!,",",'Inverter-Full Data'!#REF!,"'")</f>
        <v>#REF!</v>
      </c>
    </row>
    <row r="987" spans="1:1">
      <c r="A987" s="2" t="e">
        <f>CONCATENATE("'",'Inverter-Full Data'!#REF!,"     ",'Inverter-Full Data'!#REF!,",",'Inverter-Full Data'!#REF!,",",'Inverter-Full Data'!#REF!,",",'Inverter-Full Data'!#REF!,"'")</f>
        <v>#REF!</v>
      </c>
    </row>
    <row r="988" spans="1:1">
      <c r="A988" s="2" t="e">
        <f>CONCATENATE("'",'Inverter-Full Data'!#REF!,"     ",'Inverter-Full Data'!#REF!,",",'Inverter-Full Data'!#REF!,",",'Inverter-Full Data'!#REF!,",",'Inverter-Full Data'!#REF!,"'")</f>
        <v>#REF!</v>
      </c>
    </row>
    <row r="989" spans="1:1">
      <c r="A989" s="2" t="e">
        <f>CONCATENATE("'",'Inverter-Full Data'!#REF!,"     ",'Inverter-Full Data'!#REF!,",",'Inverter-Full Data'!#REF!,",",'Inverter-Full Data'!#REF!,",",'Inverter-Full Data'!#REF!,"'")</f>
        <v>#REF!</v>
      </c>
    </row>
    <row r="990" spans="1:1">
      <c r="A990" s="2" t="e">
        <f>CONCATENATE("'",'Inverter-Full Data'!#REF!,"     ",'Inverter-Full Data'!#REF!,",",'Inverter-Full Data'!#REF!,",",'Inverter-Full Data'!#REF!,",",'Inverter-Full Data'!#REF!,"'")</f>
        <v>#REF!</v>
      </c>
    </row>
    <row r="991" spans="1:1">
      <c r="A991" s="2" t="e">
        <f>CONCATENATE("'",'Inverter-Full Data'!#REF!,"     ",'Inverter-Full Data'!#REF!,",",'Inverter-Full Data'!#REF!,",",'Inverter-Full Data'!#REF!,",",'Inverter-Full Data'!#REF!,"'")</f>
        <v>#REF!</v>
      </c>
    </row>
    <row r="992" spans="1:1">
      <c r="A992" s="2" t="e">
        <f>CONCATENATE("'",'Inverter-Full Data'!#REF!,"     ",'Inverter-Full Data'!#REF!,",",'Inverter-Full Data'!#REF!,",",'Inverter-Full Data'!#REF!,",",'Inverter-Full Data'!#REF!,"'")</f>
        <v>#REF!</v>
      </c>
    </row>
    <row r="993" spans="1:1">
      <c r="A993" s="2" t="e">
        <f>CONCATENATE("'",'Inverter-Full Data'!#REF!,"     ",'Inverter-Full Data'!#REF!,",",'Inverter-Full Data'!#REF!,",",'Inverter-Full Data'!#REF!,",",'Inverter-Full Data'!#REF!,"'")</f>
        <v>#REF!</v>
      </c>
    </row>
    <row r="994" spans="1:1">
      <c r="A994" s="2" t="e">
        <f>CONCATENATE("'",'Inverter-Full Data'!#REF!,"     ",'Inverter-Full Data'!#REF!,",",'Inverter-Full Data'!#REF!,",",'Inverter-Full Data'!#REF!,",",'Inverter-Full Data'!#REF!,"'")</f>
        <v>#REF!</v>
      </c>
    </row>
    <row r="995" spans="1:1">
      <c r="A995" s="2" t="e">
        <f>CONCATENATE("'",'Inverter-Full Data'!#REF!,"     ",'Inverter-Full Data'!#REF!,",",'Inverter-Full Data'!#REF!,",",'Inverter-Full Data'!#REF!,",",'Inverter-Full Data'!#REF!,"'")</f>
        <v>#REF!</v>
      </c>
    </row>
    <row r="996" spans="1:1">
      <c r="A996" s="2" t="e">
        <f>CONCATENATE("'",'Inverter-Full Data'!#REF!,"     ",'Inverter-Full Data'!#REF!,",",'Inverter-Full Data'!#REF!,",",'Inverter-Full Data'!#REF!,",",'Inverter-Full Data'!#REF!,"'")</f>
        <v>#REF!</v>
      </c>
    </row>
    <row r="997" spans="1:1">
      <c r="A997" s="2" t="e">
        <f>CONCATENATE("'",'Inverter-Full Data'!#REF!,"     ",'Inverter-Full Data'!#REF!,",",'Inverter-Full Data'!#REF!,",",'Inverter-Full Data'!#REF!,",",'Inverter-Full Data'!#REF!,"'")</f>
        <v>#REF!</v>
      </c>
    </row>
    <row r="998" spans="1:1">
      <c r="A998" s="2" t="e">
        <f>CONCATENATE("'",'Inverter-Full Data'!#REF!,"     ",'Inverter-Full Data'!#REF!,",",'Inverter-Full Data'!#REF!,",",'Inverter-Full Data'!#REF!,",",'Inverter-Full Data'!#REF!,"'")</f>
        <v>#REF!</v>
      </c>
    </row>
    <row r="999" spans="1:1">
      <c r="A999" s="2" t="e">
        <f>CONCATENATE("'",'Inverter-Full Data'!#REF!,"     ",'Inverter-Full Data'!#REF!,",",'Inverter-Full Data'!#REF!,",",'Inverter-Full Data'!#REF!,",",'Inverter-Full Data'!#REF!,"'")</f>
        <v>#REF!</v>
      </c>
    </row>
    <row r="1000" spans="1:1">
      <c r="A1000" s="2" t="e">
        <f>CONCATENATE("'",'Inverter-Full Data'!#REF!,"     ",'Inverter-Full Data'!#REF!,",",'Inverter-Full Data'!#REF!,",",'Inverter-Full Data'!#REF!,",",'Inverter-Full Data'!#REF!,"'")</f>
        <v>#REF!</v>
      </c>
    </row>
    <row r="1001" spans="1:1">
      <c r="A1001" s="2" t="e">
        <f>CONCATENATE("'",'Inverter-Full Data'!#REF!,"     ",'Inverter-Full Data'!#REF!,",",'Inverter-Full Data'!#REF!,",",'Inverter-Full Data'!#REF!,",",'Inverter-Full Data'!#REF!,"'")</f>
        <v>#REF!</v>
      </c>
    </row>
    <row r="1002" spans="1:1">
      <c r="A1002" s="2" t="e">
        <f>CONCATENATE("'",'Inverter-Full Data'!#REF!,"     ",'Inverter-Full Data'!#REF!,",",'Inverter-Full Data'!#REF!,",",'Inverter-Full Data'!#REF!,",",'Inverter-Full Data'!#REF!,"'")</f>
        <v>#REF!</v>
      </c>
    </row>
    <row r="1003" spans="1:1">
      <c r="A1003" s="2" t="e">
        <f>CONCATENATE("'",'Inverter-Full Data'!#REF!,"     ",'Inverter-Full Data'!#REF!,",",'Inverter-Full Data'!#REF!,",",'Inverter-Full Data'!#REF!,",",'Inverter-Full Data'!#REF!,"'")</f>
        <v>#REF!</v>
      </c>
    </row>
    <row r="1004" spans="1:1">
      <c r="A1004" s="2" t="e">
        <f>CONCATENATE("'",'Inverter-Full Data'!#REF!,"     ",'Inverter-Full Data'!#REF!,",",'Inverter-Full Data'!#REF!,",",'Inverter-Full Data'!#REF!,",",'Inverter-Full Data'!#REF!,"'")</f>
        <v>#REF!</v>
      </c>
    </row>
    <row r="1005" spans="1:1">
      <c r="A1005" s="2" t="e">
        <f>CONCATENATE("'",'Inverter-Full Data'!#REF!,"     ",'Inverter-Full Data'!#REF!,",",'Inverter-Full Data'!#REF!,",",'Inverter-Full Data'!#REF!,",",'Inverter-Full Data'!#REF!,"'")</f>
        <v>#REF!</v>
      </c>
    </row>
    <row r="1006" spans="1:1">
      <c r="A1006" s="2" t="e">
        <f>CONCATENATE("'",'Inverter-Full Data'!#REF!,"     ",'Inverter-Full Data'!#REF!,",",'Inverter-Full Data'!#REF!,",",'Inverter-Full Data'!#REF!,",",'Inverter-Full Data'!#REF!,"'")</f>
        <v>#REF!</v>
      </c>
    </row>
    <row r="1007" spans="1:1">
      <c r="A1007" s="2" t="e">
        <f>CONCATENATE("'",'Inverter-Full Data'!#REF!,"     ",'Inverter-Full Data'!#REF!,",",'Inverter-Full Data'!#REF!,",",'Inverter-Full Data'!#REF!,",",'Inverter-Full Data'!#REF!,"'")</f>
        <v>#REF!</v>
      </c>
    </row>
    <row r="1008" spans="1:1">
      <c r="A1008" s="2" t="e">
        <f>CONCATENATE("'",'Inverter-Full Data'!#REF!,"     ",'Inverter-Full Data'!#REF!,",",'Inverter-Full Data'!#REF!,",",'Inverter-Full Data'!#REF!,",",'Inverter-Full Data'!#REF!,"'")</f>
        <v>#REF!</v>
      </c>
    </row>
    <row r="1009" spans="1:1">
      <c r="A1009" s="2" t="e">
        <f>CONCATENATE("'",'Inverter-Full Data'!#REF!,"     ",'Inverter-Full Data'!#REF!,",",'Inverter-Full Data'!#REF!,",",'Inverter-Full Data'!#REF!,",",'Inverter-Full Data'!#REF!,"'")</f>
        <v>#REF!</v>
      </c>
    </row>
    <row r="1010" spans="1:1">
      <c r="A1010" s="2" t="e">
        <f>CONCATENATE("'",'Inverter-Full Data'!#REF!,"     ",'Inverter-Full Data'!#REF!,",",'Inverter-Full Data'!#REF!,",",'Inverter-Full Data'!#REF!,",",'Inverter-Full Data'!#REF!,"'")</f>
        <v>#REF!</v>
      </c>
    </row>
    <row r="1011" spans="1:1">
      <c r="A1011" s="2" t="e">
        <f>CONCATENATE("'",'Inverter-Full Data'!#REF!,"     ",'Inverter-Full Data'!#REF!,",",'Inverter-Full Data'!#REF!,",",'Inverter-Full Data'!#REF!,",",'Inverter-Full Data'!#REF!,"'")</f>
        <v>#REF!</v>
      </c>
    </row>
    <row r="1012" spans="1:1">
      <c r="A1012" s="2" t="e">
        <f>CONCATENATE("'",'Inverter-Full Data'!#REF!,"     ",'Inverter-Full Data'!#REF!,",",'Inverter-Full Data'!#REF!,",",'Inverter-Full Data'!#REF!,",",'Inverter-Full Data'!#REF!,"'")</f>
        <v>#REF!</v>
      </c>
    </row>
    <row r="1013" spans="1:1">
      <c r="A1013" s="2" t="e">
        <f>CONCATENATE("'",'Inverter-Full Data'!#REF!,"     ",'Inverter-Full Data'!#REF!,",",'Inverter-Full Data'!#REF!,",",'Inverter-Full Data'!#REF!,",",'Inverter-Full Data'!#REF!,"'")</f>
        <v>#REF!</v>
      </c>
    </row>
    <row r="1014" spans="1:1">
      <c r="A1014" s="2" t="e">
        <f>CONCATENATE("'",'Inverter-Full Data'!#REF!,"     ",'Inverter-Full Data'!#REF!,",",'Inverter-Full Data'!#REF!,",",'Inverter-Full Data'!#REF!,",",'Inverter-Full Data'!#REF!,"'")</f>
        <v>#REF!</v>
      </c>
    </row>
    <row r="1015" spans="1:1">
      <c r="A1015" s="2" t="e">
        <f>CONCATENATE("'",'Inverter-Full Data'!#REF!,"     ",'Inverter-Full Data'!#REF!,",",'Inverter-Full Data'!#REF!,",",'Inverter-Full Data'!#REF!,",",'Inverter-Full Data'!#REF!,"'")</f>
        <v>#REF!</v>
      </c>
    </row>
    <row r="1016" spans="1:1">
      <c r="A1016" s="2" t="e">
        <f>CONCATENATE("'",'Inverter-Full Data'!#REF!,"     ",'Inverter-Full Data'!#REF!,",",'Inverter-Full Data'!#REF!,",",'Inverter-Full Data'!#REF!,",",'Inverter-Full Data'!#REF!,"'")</f>
        <v>#REF!</v>
      </c>
    </row>
    <row r="1017" spans="1:1">
      <c r="A1017" s="2" t="e">
        <f>CONCATENATE("'",'Inverter-Full Data'!#REF!,"     ",'Inverter-Full Data'!#REF!,",",'Inverter-Full Data'!#REF!,",",'Inverter-Full Data'!#REF!,",",'Inverter-Full Data'!#REF!,"'")</f>
        <v>#REF!</v>
      </c>
    </row>
    <row r="1018" spans="1:1">
      <c r="A1018" s="2" t="e">
        <f>CONCATENATE("'",'Inverter-Full Data'!#REF!,"     ",'Inverter-Full Data'!#REF!,",",'Inverter-Full Data'!#REF!,",",'Inverter-Full Data'!#REF!,",",'Inverter-Full Data'!#REF!,"'")</f>
        <v>#REF!</v>
      </c>
    </row>
    <row r="1019" spans="1:1">
      <c r="A1019" s="2" t="e">
        <f>CONCATENATE("'",'Inverter-Full Data'!#REF!,"     ",'Inverter-Full Data'!#REF!,",",'Inverter-Full Data'!#REF!,",",'Inverter-Full Data'!#REF!,",",'Inverter-Full Data'!#REF!,"'")</f>
        <v>#REF!</v>
      </c>
    </row>
    <row r="1020" spans="1:1">
      <c r="A1020" s="2" t="e">
        <f>CONCATENATE("'",'Inverter-Full Data'!#REF!,"     ",'Inverter-Full Data'!#REF!,",",'Inverter-Full Data'!#REF!,",",'Inverter-Full Data'!#REF!,",",'Inverter-Full Data'!#REF!,"'")</f>
        <v>#REF!</v>
      </c>
    </row>
    <row r="1021" spans="1:1">
      <c r="A1021" s="2" t="e">
        <f>CONCATENATE("'",'Inverter-Full Data'!#REF!,"     ",'Inverter-Full Data'!#REF!,",",'Inverter-Full Data'!#REF!,",",'Inverter-Full Data'!#REF!,",",'Inverter-Full Data'!#REF!,"'")</f>
        <v>#REF!</v>
      </c>
    </row>
    <row r="1022" spans="1:1">
      <c r="A1022" s="2" t="e">
        <f>CONCATENATE("'",'Inverter-Full Data'!#REF!,"     ",'Inverter-Full Data'!#REF!,",",'Inverter-Full Data'!#REF!,",",'Inverter-Full Data'!#REF!,",",'Inverter-Full Data'!#REF!,"'")</f>
        <v>#REF!</v>
      </c>
    </row>
    <row r="1023" spans="1:1">
      <c r="A1023" s="2" t="e">
        <f>CONCATENATE("'",'Inverter-Full Data'!#REF!,"     ",'Inverter-Full Data'!#REF!,",",'Inverter-Full Data'!#REF!,",",'Inverter-Full Data'!#REF!,",",'Inverter-Full Data'!#REF!,"'")</f>
        <v>#REF!</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e">
        <f>CONCATENATE("'",'Inverter-Full Data'!#REF!,"     ",'Inverter-Full Data'!#REF!,",",'Inverter-Full Data'!#REF!,",",'Inverter-Full Data'!#REF!,",",'Inverter-Full Data'!#REF!,"'")</f>
        <v>#REF!</v>
      </c>
    </row>
    <row r="1027" spans="1:1">
      <c r="A1027" s="2" t="e">
        <f>CONCATENATE("'",'Inverter-Full Data'!#REF!,"     ",'Inverter-Full Data'!#REF!,",",'Inverter-Full Data'!#REF!,",",'Inverter-Full Data'!#REF!,",",'Inverter-Full Data'!#REF!,"'")</f>
        <v>#REF!</v>
      </c>
    </row>
    <row r="1028" spans="1:1">
      <c r="A1028" s="2" t="e">
        <f>CONCATENATE("'",'Inverter-Full Data'!#REF!,"     ",'Inverter-Full Data'!#REF!,",",'Inverter-Full Data'!#REF!,",",'Inverter-Full Data'!#REF!,",",'Inverter-Full Data'!#REF!,"'")</f>
        <v>#REF!</v>
      </c>
    </row>
    <row r="1029" spans="1:1">
      <c r="A1029" s="2" t="e">
        <f>CONCATENATE("'",'Inverter-Full Data'!#REF!,"     ",'Inverter-Full Data'!#REF!,",",'Inverter-Full Data'!#REF!,",",'Inverter-Full Data'!#REF!,",",'Inverter-Full Data'!#REF!,"'")</f>
        <v>#REF!</v>
      </c>
    </row>
    <row r="1030" spans="1:1">
      <c r="A1030" s="2" t="e">
        <f>CONCATENATE("'",'Inverter-Full Data'!#REF!,"     ",'Inverter-Full Data'!#REF!,",",'Inverter-Full Data'!#REF!,",",'Inverter-Full Data'!#REF!,",",'Inverter-Full Data'!#REF!,"'")</f>
        <v>#REF!</v>
      </c>
    </row>
    <row r="1031" spans="1:1">
      <c r="A1031" s="2" t="e">
        <f>CONCATENATE("'",'Inverter-Full Data'!#REF!,"     ",'Inverter-Full Data'!#REF!,",",'Inverter-Full Data'!#REF!,",",'Inverter-Full Data'!#REF!,",",'Inverter-Full Data'!#REF!,"'")</f>
        <v>#REF!</v>
      </c>
    </row>
    <row r="1032" spans="1:1">
      <c r="A1032" s="2" t="e">
        <f>CONCATENATE("'",'Inverter-Full Data'!#REF!,"     ",'Inverter-Full Data'!#REF!,",",'Inverter-Full Data'!#REF!,",",'Inverter-Full Data'!#REF!,",",'Inverter-Full Data'!#REF!,"'")</f>
        <v>#REF!</v>
      </c>
    </row>
    <row r="1033" spans="1:1">
      <c r="A1033" s="2" t="e">
        <f>CONCATENATE("'",'Inverter-Full Data'!#REF!,"     ",'Inverter-Full Data'!#REF!,",",'Inverter-Full Data'!#REF!,",",'Inverter-Full Data'!#REF!,",",'Inverter-Full Data'!#REF!,"'")</f>
        <v>#REF!</v>
      </c>
    </row>
    <row r="1034" spans="1:1">
      <c r="A1034" s="2" t="e">
        <f>CONCATENATE("'",'Inverter-Full Data'!#REF!,"     ",'Inverter-Full Data'!#REF!,",",'Inverter-Full Data'!#REF!,",",'Inverter-Full Data'!#REF!,",",'Inverter-Full Data'!#REF!,"'")</f>
        <v>#REF!</v>
      </c>
    </row>
    <row r="1035" spans="1:1">
      <c r="A1035" s="2" t="e">
        <f>CONCATENATE("'",'Inverter-Full Data'!#REF!,"     ",'Inverter-Full Data'!#REF!,",",'Inverter-Full Data'!#REF!,",",'Inverter-Full Data'!#REF!,",",'Inverter-Full Data'!#REF!,"'")</f>
        <v>#REF!</v>
      </c>
    </row>
    <row r="1036" spans="1:1">
      <c r="A1036" s="2" t="e">
        <f>CONCATENATE("'",'Inverter-Full Data'!#REF!,"     ",'Inverter-Full Data'!#REF!,",",'Inverter-Full Data'!#REF!,",",'Inverter-Full Data'!#REF!,",",'Inverter-Full Data'!#REF!,"'")</f>
        <v>#REF!</v>
      </c>
    </row>
    <row r="1037" spans="1:1">
      <c r="A1037" s="2" t="e">
        <f>CONCATENATE("'",'Inverter-Full Data'!#REF!,"     ",'Inverter-Full Data'!#REF!,",",'Inverter-Full Data'!#REF!,",",'Inverter-Full Data'!#REF!,",",'Inverter-Full Data'!#REF!,"'")</f>
        <v>#REF!</v>
      </c>
    </row>
    <row r="1038" spans="1:1">
      <c r="A1038" s="2" t="e">
        <f>CONCATENATE("'",'Inverter-Full Data'!#REF!,"     ",'Inverter-Full Data'!#REF!,",",'Inverter-Full Data'!#REF!,",",'Inverter-Full Data'!#REF!,",",'Inverter-Full Data'!#REF!,"'")</f>
        <v>#REF!</v>
      </c>
    </row>
    <row r="1039" spans="1:1">
      <c r="A1039" s="2" t="e">
        <f>CONCATENATE("'",'Inverter-Full Data'!#REF!,"     ",'Inverter-Full Data'!#REF!,",",'Inverter-Full Data'!#REF!,",",'Inverter-Full Data'!#REF!,",",'Inverter-Full Data'!#REF!,"'")</f>
        <v>#REF!</v>
      </c>
    </row>
    <row r="1040" spans="1:1">
      <c r="A1040" s="2" t="e">
        <f>CONCATENATE("'",'Inverter-Full Data'!#REF!,"     ",'Inverter-Full Data'!#REF!,",",'Inverter-Full Data'!#REF!,",",'Inverter-Full Data'!#REF!,",",'Inverter-Full Data'!#REF!,"'")</f>
        <v>#REF!</v>
      </c>
    </row>
    <row r="1041" spans="1:1">
      <c r="A1041" s="2" t="e">
        <f>CONCATENATE("'",'Inverter-Full Data'!#REF!,"     ",'Inverter-Full Data'!#REF!,",",'Inverter-Full Data'!#REF!,",",'Inverter-Full Data'!#REF!,",",'Inverter-Full Data'!#REF!,"'")</f>
        <v>#REF!</v>
      </c>
    </row>
    <row r="1042" spans="1:1">
      <c r="A1042" s="2" t="e">
        <f>CONCATENATE("'",'Inverter-Full Data'!#REF!,"     ",'Inverter-Full Data'!#REF!,",",'Inverter-Full Data'!#REF!,",",'Inverter-Full Data'!#REF!,",",'Inverter-Full Data'!#REF!,"'")</f>
        <v>#REF!</v>
      </c>
    </row>
    <row r="1043" spans="1:1">
      <c r="A1043" s="2" t="e">
        <f>CONCATENATE("'",'Inverter-Full Data'!#REF!,"     ",'Inverter-Full Data'!#REF!,",",'Inverter-Full Data'!#REF!,",",'Inverter-Full Data'!#REF!,",",'Inverter-Full Data'!#REF!,"'")</f>
        <v>#REF!</v>
      </c>
    </row>
    <row r="1044" spans="1:1">
      <c r="A1044" s="2" t="e">
        <f>CONCATENATE("'",'Inverter-Full Data'!#REF!,"     ",'Inverter-Full Data'!#REF!,",",'Inverter-Full Data'!#REF!,",",'Inverter-Full Data'!#REF!,",",'Inverter-Full Data'!#REF!,"'")</f>
        <v>#REF!</v>
      </c>
    </row>
    <row r="1045" spans="1:1">
      <c r="A1045" s="2" t="e">
        <f>CONCATENATE("'",'Inverter-Full Data'!#REF!,"     ",'Inverter-Full Data'!#REF!,",",'Inverter-Full Data'!#REF!,",",'Inverter-Full Data'!#REF!,",",'Inverter-Full Data'!#REF!,"'")</f>
        <v>#REF!</v>
      </c>
    </row>
    <row r="1046" spans="1:1">
      <c r="A1046" s="2" t="e">
        <f>CONCATENATE("'",'Inverter-Full Data'!#REF!,"     ",'Inverter-Full Data'!#REF!,",",'Inverter-Full Data'!#REF!,",",'Inverter-Full Data'!#REF!,",",'Inverter-Full Data'!#REF!,"'")</f>
        <v>#REF!</v>
      </c>
    </row>
    <row r="1047" spans="1:1">
      <c r="A1047" s="2" t="e">
        <f>CONCATENATE("'",'Inverter-Full Data'!#REF!,"     ",'Inverter-Full Data'!#REF!,",",'Inverter-Full Data'!#REF!,",",'Inverter-Full Data'!#REF!,",",'Inverter-Full Data'!#REF!,"'")</f>
        <v>#REF!</v>
      </c>
    </row>
    <row r="1048" spans="1:1">
      <c r="A1048" s="2" t="e">
        <f>CONCATENATE("'",'Inverter-Full Data'!#REF!,"     ",'Inverter-Full Data'!#REF!,",",'Inverter-Full Data'!#REF!,",",'Inverter-Full Data'!#REF!,",",'Inverter-Full Data'!#REF!,"'")</f>
        <v>#REF!</v>
      </c>
    </row>
    <row r="1049" spans="1:1">
      <c r="A1049" s="2" t="e">
        <f>CONCATENATE("'",'Inverter-Full Data'!#REF!,"     ",'Inverter-Full Data'!#REF!,",",'Inverter-Full Data'!#REF!,",",'Inverter-Full Data'!#REF!,",",'Inverter-Full Data'!#REF!,"'")</f>
        <v>#REF!</v>
      </c>
    </row>
    <row r="1050" spans="1:1">
      <c r="A1050" s="2" t="e">
        <f>CONCATENATE("'",'Inverter-Full Data'!#REF!,"     ",'Inverter-Full Data'!#REF!,",",'Inverter-Full Data'!#REF!,",",'Inverter-Full Data'!#REF!,",",'Inverter-Full Data'!#REF!,"'")</f>
        <v>#REF!</v>
      </c>
    </row>
    <row r="1051" spans="1:1">
      <c r="A1051" s="2" t="e">
        <f>CONCATENATE("'",'Inverter-Full Data'!#REF!,"     ",'Inverter-Full Data'!#REF!,",",'Inverter-Full Data'!#REF!,",",'Inverter-Full Data'!#REF!,",",'Inverter-Full Data'!#REF!,"'")</f>
        <v>#REF!</v>
      </c>
    </row>
    <row r="1052" spans="1:1">
      <c r="A1052" s="2" t="e">
        <f>CONCATENATE("'",'Inverter-Full Data'!#REF!,"     ",'Inverter-Full Data'!#REF!,",",'Inverter-Full Data'!#REF!,",",'Inverter-Full Data'!#REF!,",",'Inverter-Full Data'!#REF!,"'")</f>
        <v>#REF!</v>
      </c>
    </row>
    <row r="1053" spans="1:1">
      <c r="A1053" s="2" t="e">
        <f>CONCATENATE("'",'Inverter-Full Data'!#REF!,"     ",'Inverter-Full Data'!#REF!,",",'Inverter-Full Data'!#REF!,",",'Inverter-Full Data'!#REF!,",",'Inverter-Full Data'!#REF!,"'")</f>
        <v>#REF!</v>
      </c>
    </row>
    <row r="1054" spans="1:1">
      <c r="A1054" s="2" t="e">
        <f>CONCATENATE("'",'Inverter-Full Data'!#REF!,"     ",'Inverter-Full Data'!#REF!,",",'Inverter-Full Data'!#REF!,",",'Inverter-Full Data'!#REF!,",",'Inverter-Full Data'!#REF!,"'")</f>
        <v>#REF!</v>
      </c>
    </row>
    <row r="1055" spans="1:1">
      <c r="A1055" s="2" t="e">
        <f>CONCATENATE("'",'Inverter-Full Data'!#REF!,"     ",'Inverter-Full Data'!#REF!,",",'Inverter-Full Data'!#REF!,",",'Inverter-Full Data'!#REF!,",",'Inverter-Full Data'!#REF!,"'")</f>
        <v>#REF!</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e">
        <f>CONCATENATE("'",'Inverter-Full Data'!#REF!,"     ",'Inverter-Full Data'!#REF!,",",'Inverter-Full Data'!#REF!,",",'Inverter-Full Data'!#REF!,",",'Inverter-Full Data'!#REF!,"'")</f>
        <v>#REF!</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e">
        <f>CONCATENATE("'",'Inverter-Full Data'!#REF!,"     ",'Inverter-Full Data'!#REF!,",",'Inverter-Full Data'!#REF!,",",'Inverter-Full Data'!#REF!,",",'Inverter-Full Data'!#REF!,"'")</f>
        <v>#REF!</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e">
        <f>CONCATENATE("'",'Inverter-Full Data'!#REF!,"     ",'Inverter-Full Data'!#REF!,",",'Inverter-Full Data'!#REF!,",",'Inverter-Full Data'!#REF!,",",'Inverter-Full Data'!#REF!,"'")</f>
        <v>#REF!</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e">
        <f>CONCATENATE("'",'Inverter-Full Data'!#REF!,"     ",'Inverter-Full Data'!#REF!,",",'Inverter-Full Data'!#REF!,",",'Inverter-Full Data'!#REF!,",",'Inverter-Full Data'!#REF!,"'")</f>
        <v>#REF!</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Data'!A189,"     ",'Inverter-Full Data'!B189,",",'Inverter-Full Data'!S189,",",'Inverter-Full Data'!J189,",",'Inverter-Full Data'!T189,"'")</f>
        <v>'Enphase Energy Inc.     S230-60-LL-x [208V],N,97,Y'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Data'!A190,"     ",'Inverter-Full Data'!B190,",",'Inverter-Full Data'!S190,",",'Inverter-Full Data'!J190,",",'Inverter-Full Data'!T190,"'")</f>
        <v>'Enphase Energy Inc.     S230-60-LL-x [240V],N,97,Y'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Data'!A191,"     ",'Inverter-Full Data'!B191,",",'Inverter-Full Data'!S191,",",'Inverter-Full Data'!J191,",",'Inverter-Full Data'!T191,"'")</f>
        <v>'Enphase Energy Inc.     IQ6-60-ACM-US [208V],N,97,Y'</v>
      </c>
    </row>
    <row r="1080" spans="1:1">
      <c r="A1080" s="2" t="e">
        <f>CONCATENATE("'",'Inverter-Full Data'!#REF!,"     ",'Inverter-Full Data'!#REF!,",",'Inverter-Full Data'!#REF!,",",'Inverter-Full Data'!#REF!,",",'Inverter-Full Data'!#REF!,"'")</f>
        <v>#REF!</v>
      </c>
    </row>
    <row r="1081" spans="1:1">
      <c r="A1081" s="2" t="str">
        <f>CONCATENATE("'",'Inverter-Full Data'!A192,"     ",'Inverter-Full Data'!B192,",",'Inverter-Full Data'!S192,",",'Inverter-Full Data'!J192,",",'Inverter-Full Data'!T192,"'")</f>
        <v>'Enphase Energy Inc.     IQ6-60-ACM-US [240V],N,97,Y'</v>
      </c>
    </row>
    <row r="1082" spans="1:1">
      <c r="A1082" s="2" t="e">
        <f>CONCATENATE("'",'Inverter-Full Data'!#REF!,"     ",'Inverter-Full Data'!#REF!,",",'Inverter-Full Data'!#REF!,",",'Inverter-Full Data'!#REF!,",",'Inverter-Full Data'!#REF!,"'")</f>
        <v>#REF!</v>
      </c>
    </row>
    <row r="1083" spans="1:1">
      <c r="A1083" s="2" t="str">
        <f>CONCATENATE("'",'Inverter-Full Data'!A193,"     ",'Inverter-Full Data'!B193,",",'Inverter-Full Data'!S193,",",'Inverter-Full Data'!J193,",",'Inverter-Full Data'!T193,"'")</f>
        <v>'Enphase Energy Inc.     IQ6-60-x-US [208V],N,97,Y'</v>
      </c>
    </row>
    <row r="1084" spans="1:1">
      <c r="A1084" s="2" t="e">
        <f>CONCATENATE("'",'Inverter-Full Data'!#REF!,"     ",'Inverter-Full Data'!#REF!,",",'Inverter-Full Data'!#REF!,",",'Inverter-Full Data'!#REF!,",",'Inverter-Full Data'!#REF!,"'")</f>
        <v>#REF!</v>
      </c>
    </row>
    <row r="1085" spans="1:1">
      <c r="A1085" s="2" t="str">
        <f>CONCATENATE("'",'Inverter-Full Data'!A194,"     ",'Inverter-Full Data'!B194,",",'Inverter-Full Data'!S194,",",'Inverter-Full Data'!J194,",",'Inverter-Full Data'!T194,"'")</f>
        <v>'Enphase Energy Inc.     IQ6-60-x-US [240V],N,97,Y'</v>
      </c>
    </row>
    <row r="1086" spans="1:1">
      <c r="A1086" s="2" t="str">
        <f>CONCATENATE("'",'Inverter-Full Data'!A195,"     ",'Inverter-Full Data'!B195,",",'Inverter-Full Data'!S195,",",'Inverter-Full Data'!J195,",",'Inverter-Full Data'!T195,"'")</f>
        <v>'Enphase Energy Inc.     IQ7-60-x-ACM-US [208V],N,97,Y'</v>
      </c>
    </row>
    <row r="1087" spans="1:1">
      <c r="A1087" s="2" t="str">
        <f>CONCATENATE("'",'Inverter-Full Data'!A196,"     ",'Inverter-Full Data'!B196,",",'Inverter-Full Data'!S196,",",'Inverter-Full Data'!J196,",",'Inverter-Full Data'!T196,"'")</f>
        <v>'Enphase Energy Inc.     IQ7-60-x-ACM-US [240V],N,97,Y'</v>
      </c>
    </row>
    <row r="1088" spans="1:1">
      <c r="A1088" s="2" t="str">
        <f>CONCATENATE("'",'Inverter-Full Data'!A197,"     ",'Inverter-Full Data'!B197,",",'Inverter-Full Data'!S197,",",'Inverter-Full Data'!J197,",",'Inverter-Full Data'!T197,"'")</f>
        <v>'Enphase Energy Inc.     IQ7-60-x-US [208V],N,97,Y'</v>
      </c>
    </row>
    <row r="1089" spans="1:1">
      <c r="A1089" s="2" t="str">
        <f>CONCATENATE("'",'Inverter-Full Data'!A198,"     ",'Inverter-Full Data'!B198,",",'Inverter-Full Data'!S198,",",'Inverter-Full Data'!J198,",",'Inverter-Full Data'!T198,"'")</f>
        <v>'Enphase Energy Inc.     IQ7-60-x-US [240V],N,97,Y'</v>
      </c>
    </row>
    <row r="1090" spans="1:1">
      <c r="A1090" s="2" t="e">
        <f>CONCATENATE("'",'Inverter-Full Data'!#REF!,"     ",'Inverter-Full Data'!#REF!,",",'Inverter-Full Data'!#REF!,",",'Inverter-Full Data'!#REF!,",",'Inverter-Full Data'!#REF!,"'")</f>
        <v>#REF!</v>
      </c>
    </row>
    <row r="1091" spans="1:1">
      <c r="A1091" s="2" t="e">
        <f>CONCATENATE("'",'Inverter-Full Data'!#REF!,"     ",'Inverter-Full Data'!#REF!,",",'Inverter-Full Data'!#REF!,",",'Inverter-Full Data'!#REF!,",",'Inverter-Full Data'!#REF!,"'")</f>
        <v>#REF!</v>
      </c>
    </row>
    <row r="1092" spans="1:1">
      <c r="A1092" s="2" t="e">
        <f>CONCATENATE("'",'Inverter-Full Data'!#REF!,"     ",'Inverter-Full Data'!#REF!,",",'Inverter-Full Data'!#REF!,",",'Inverter-Full Data'!#REF!,",",'Inverter-Full Data'!#REF!,"'")</f>
        <v>#REF!</v>
      </c>
    </row>
    <row r="1093" spans="1:1">
      <c r="A1093" s="2" t="e">
        <f>CONCATENATE("'",'Inverter-Full Data'!#REF!,"     ",'Inverter-Full Data'!#REF!,",",'Inverter-Full Data'!#REF!,",",'Inverter-Full Data'!#REF!,",",'Inverter-Full Data'!#REF!,"'")</f>
        <v>#REF!</v>
      </c>
    </row>
    <row r="1094" spans="1:1">
      <c r="A1094" s="2" t="e">
        <f>CONCATENATE("'",'Inverter-Full Data'!#REF!,"     ",'Inverter-Full Data'!#REF!,",",'Inverter-Full Data'!#REF!,",",'Inverter-Full Data'!#REF!,",",'Inverter-Full Data'!#REF!,"'")</f>
        <v>#REF!</v>
      </c>
    </row>
    <row r="1095" spans="1:1">
      <c r="A1095" s="2" t="e">
        <f>CONCATENATE("'",'Inverter-Full Data'!#REF!,"     ",'Inverter-Full Data'!#REF!,",",'Inverter-Full Data'!#REF!,",",'Inverter-Full Data'!#REF!,",",'Inverter-Full Data'!#REF!,"'")</f>
        <v>#REF!</v>
      </c>
    </row>
    <row r="1096" spans="1:1">
      <c r="A1096" s="2" t="e">
        <f>CONCATENATE("'",'Inverter-Full Data'!#REF!,"     ",'Inverter-Full Data'!#REF!,",",'Inverter-Full Data'!#REF!,",",'Inverter-Full Data'!#REF!,",",'Inverter-Full Data'!#REF!,"'")</f>
        <v>#REF!</v>
      </c>
    </row>
    <row r="1097" spans="1:1">
      <c r="A1097" s="2" t="e">
        <f>CONCATENATE("'",'Inverter-Full Data'!#REF!,"     ",'Inverter-Full Data'!#REF!,",",'Inverter-Full Data'!#REF!,",",'Inverter-Full Data'!#REF!,",",'Inverter-Full Data'!#REF!,"'")</f>
        <v>#REF!</v>
      </c>
    </row>
    <row r="1098" spans="1:1">
      <c r="A1098" s="2" t="e">
        <f>CONCATENATE("'",'Inverter-Full Data'!#REF!,"     ",'Inverter-Full Data'!#REF!,",",'Inverter-Full Data'!#REF!,",",'Inverter-Full Data'!#REF!,",",'Inverter-Full Data'!#REF!,"'")</f>
        <v>#REF!</v>
      </c>
    </row>
    <row r="1099" spans="1:1">
      <c r="A1099" s="2" t="e">
        <f>CONCATENATE("'",'Inverter-Full Data'!#REF!,"     ",'Inverter-Full Data'!#REF!,",",'Inverter-Full Data'!#REF!,",",'Inverter-Full Data'!#REF!,",",'Inverter-Full Data'!#REF!,"'")</f>
        <v>#REF!</v>
      </c>
    </row>
    <row r="1100" spans="1:1">
      <c r="A1100" s="2" t="str">
        <f>CONCATENATE("'",'Inverter-Full Data'!A199,"     ",'Inverter-Full Data'!B199,",",'Inverter-Full Data'!S199,",",'Inverter-Full Data'!J199,",",'Inverter-Full Data'!T199,"'")</f>
        <v>'Enphase Energy Inc.     IQ6PLUS-ACB-LL [240V],N,95.5,Y'</v>
      </c>
    </row>
    <row r="1101" spans="1:1">
      <c r="A1101" s="2" t="e">
        <f>CONCATENATE("'",'Inverter-Full Data'!#REF!,"     ",'Inverter-Full Data'!#REF!,",",'Inverter-Full Data'!#REF!,",",'Inverter-Full Data'!#REF!,",",'Inverter-Full Data'!#REF!,"'")</f>
        <v>#REF!</v>
      </c>
    </row>
    <row r="1102" spans="1:1">
      <c r="A1102" s="2" t="str">
        <f>CONCATENATE("'",'Inverter-Full Data'!A200,"     ",'Inverter-Full Data'!B200,",",'Inverter-Full Data'!S200,",",'Inverter-Full Data'!J200,",",'Inverter-Full Data'!T200,"'")</f>
        <v>'Enphase Energy Inc.     S280-60-LL-x [208V],N,96.5,Y'</v>
      </c>
    </row>
    <row r="1103" spans="1:1">
      <c r="A1103" s="2" t="e">
        <f>CONCATENATE("'",'Inverter-Full Data'!#REF!,"     ",'Inverter-Full Data'!#REF!,",",'Inverter-Full Data'!#REF!,",",'Inverter-Full Data'!#REF!,",",'Inverter-Full Data'!#REF!,"'")</f>
        <v>#REF!</v>
      </c>
    </row>
    <row r="1104" spans="1:1">
      <c r="A1104" s="2" t="str">
        <f>CONCATENATE("'",'Inverter-Full Data'!A201,"     ",'Inverter-Full Data'!B201,",",'Inverter-Full Data'!S201,",",'Inverter-Full Data'!J201,",",'Inverter-Full Data'!T201,"'")</f>
        <v>'Enphase Energy Inc.     S280-60-LL-x [240V],N,97,Y'</v>
      </c>
    </row>
    <row r="1105" spans="1:1">
      <c r="A1105" s="2" t="e">
        <f>CONCATENATE("'",'Inverter-Full Data'!#REF!,"     ",'Inverter-Full Data'!#REF!,",",'Inverter-Full Data'!#REF!,",",'Inverter-Full Data'!#REF!,",",'Inverter-Full Data'!#REF!,"'")</f>
        <v>#REF!</v>
      </c>
    </row>
    <row r="1106" spans="1:1">
      <c r="A1106" s="2" t="str">
        <f>CONCATENATE("'",'Inverter-Full Data'!A202,"     ",'Inverter-Full Data'!B202,",",'Inverter-Full Data'!S202,",",'Inverter-Full Data'!J202,",",'Inverter-Full Data'!T202,"'")</f>
        <v>'Enphase Energy Inc.     IQ6PLUS-72-ACM-US [208V],N,97,Y'</v>
      </c>
    </row>
    <row r="1107" spans="1:1">
      <c r="A1107" s="2" t="e">
        <f>CONCATENATE("'",'Inverter-Full Data'!#REF!,"     ",'Inverter-Full Data'!#REF!,",",'Inverter-Full Data'!#REF!,",",'Inverter-Full Data'!#REF!,",",'Inverter-Full Data'!#REF!,"'")</f>
        <v>#REF!</v>
      </c>
    </row>
    <row r="1108" spans="1:1">
      <c r="A1108" s="2" t="str">
        <f>CONCATENATE("'",'Inverter-Full Data'!A203,"     ",'Inverter-Full Data'!B203,",",'Inverter-Full Data'!S203,",",'Inverter-Full Data'!J203,",",'Inverter-Full Data'!T203,"'")</f>
        <v>'Enphase Energy Inc.     IQ6PLUS-72-ACM-US [240V],N,97,Y'</v>
      </c>
    </row>
    <row r="1109" spans="1:1">
      <c r="A1109" s="2" t="e">
        <f>CONCATENATE("'",'Inverter-Full Data'!#REF!,"     ",'Inverter-Full Data'!#REF!,",",'Inverter-Full Data'!#REF!,",",'Inverter-Full Data'!#REF!,",",'Inverter-Full Data'!#REF!,"'")</f>
        <v>#REF!</v>
      </c>
    </row>
    <row r="1110" spans="1:1">
      <c r="A1110" s="2" t="str">
        <f>CONCATENATE("'",'Inverter-Full Data'!A204,"     ",'Inverter-Full Data'!B204,",",'Inverter-Full Data'!S204,",",'Inverter-Full Data'!J204,",",'Inverter-Full Data'!T204,"'")</f>
        <v>'Enphase Energy Inc.     IQ6PLUS-72-x-US [208V],N,97,Y'</v>
      </c>
    </row>
    <row r="1111" spans="1:1">
      <c r="A1111" s="2" t="e">
        <f>CONCATENATE("'",'Inverter-Full Data'!#REF!,"     ",'Inverter-Full Data'!#REF!,",",'Inverter-Full Data'!#REF!,",",'Inverter-Full Data'!#REF!,",",'Inverter-Full Data'!#REF!,"'")</f>
        <v>#REF!</v>
      </c>
    </row>
    <row r="1112" spans="1:1">
      <c r="A1112" s="2" t="str">
        <f>CONCATENATE("'",'Inverter-Full Data'!A205,"     ",'Inverter-Full Data'!B205,",",'Inverter-Full Data'!S205,",",'Inverter-Full Data'!J205,",",'Inverter-Full Data'!T205,"'")</f>
        <v>'Enphase Energy Inc.     IQ6PLUS-72-x-US [240V],N,97,Y'</v>
      </c>
    </row>
    <row r="1113" spans="1:1">
      <c r="A1113" s="2" t="e">
        <f>CONCATENATE("'",'Inverter-Full Data'!#REF!,"     ",'Inverter-Full Data'!#REF!,",",'Inverter-Full Data'!#REF!,",",'Inverter-Full Data'!#REF!,",",'Inverter-Full Data'!#REF!,"'")</f>
        <v>#REF!</v>
      </c>
    </row>
    <row r="1114" spans="1:1">
      <c r="A1114" s="2" t="str">
        <f>CONCATENATE("'",'Inverter-Full Data'!A206,"     ",'Inverter-Full Data'!B206,",",'Inverter-Full Data'!S206,",",'Inverter-Full Data'!J206,",",'Inverter-Full Data'!T206,"'")</f>
        <v>'Enphase Energy Inc.     IQ7PLUS-72-x-ACM-US [208V],N,96.5,Y'</v>
      </c>
    </row>
    <row r="1115" spans="1:1">
      <c r="A1115" s="2" t="e">
        <f>CONCATENATE("'",'Inverter-Full Data'!#REF!,"     ",'Inverter-Full Data'!#REF!,",",'Inverter-Full Data'!#REF!,",",'Inverter-Full Data'!#REF!,",",'Inverter-Full Data'!#REF!,"'")</f>
        <v>#REF!</v>
      </c>
    </row>
    <row r="1116" spans="1:1">
      <c r="A1116" s="2" t="str">
        <f>CONCATENATE("'",'Inverter-Full Data'!A207,"     ",'Inverter-Full Data'!B207,",",'Inverter-Full Data'!S207,",",'Inverter-Full Data'!J207,",",'Inverter-Full Data'!T207,"'")</f>
        <v>'Enphase Energy Inc.     IQ7PLUS-72-x-ACM-US [240V],N,97,Y'</v>
      </c>
    </row>
    <row r="1117" spans="1:1">
      <c r="A1117" s="2" t="e">
        <f>CONCATENATE("'",'Inverter-Full Data'!#REF!,"     ",'Inverter-Full Data'!#REF!,",",'Inverter-Full Data'!#REF!,",",'Inverter-Full Data'!#REF!,",",'Inverter-Full Data'!#REF!,"'")</f>
        <v>#REF!</v>
      </c>
    </row>
    <row r="1118" spans="1:1">
      <c r="A1118" s="2" t="str">
        <f>CONCATENATE("'",'Inverter-Full Data'!A208,"     ",'Inverter-Full Data'!B208,",",'Inverter-Full Data'!S208,",",'Inverter-Full Data'!J208,",",'Inverter-Full Data'!T208,"'")</f>
        <v>'Enphase Energy Inc.     IQ7PLUS-72-x-US [208V],N,96.5,Y'</v>
      </c>
    </row>
    <row r="1119" spans="1:1">
      <c r="A1119" s="2" t="e">
        <f>CONCATENATE("'",'Inverter-Full Data'!#REF!,"     ",'Inverter-Full Data'!#REF!,",",'Inverter-Full Data'!#REF!,",",'Inverter-Full Data'!#REF!,",",'Inverter-Full Data'!#REF!,"'")</f>
        <v>#REF!</v>
      </c>
    </row>
    <row r="1120" spans="1:1">
      <c r="A1120" s="2" t="str">
        <f>CONCATENATE("'",'Inverter-Full Data'!A209,"     ",'Inverter-Full Data'!B209,",",'Inverter-Full Data'!S209,",",'Inverter-Full Data'!J209,",",'Inverter-Full Data'!T209,"'")</f>
        <v>'Enphase Energy Inc.     IQ7PLUS-72-x-US [240V],N,97,Y'</v>
      </c>
    </row>
    <row r="1121" spans="1:1">
      <c r="A1121" s="2" t="e">
        <f>CONCATENATE("'",'Inverter-Full Data'!#REF!,"     ",'Inverter-Full Data'!#REF!,",",'Inverter-Full Data'!#REF!,",",'Inverter-Full Data'!#REF!,",",'Inverter-Full Data'!#REF!,"'")</f>
        <v>#REF!</v>
      </c>
    </row>
    <row r="1122" spans="1:1">
      <c r="A1122" s="2" t="str">
        <f>CONCATENATE("'",'Inverter-Full Data'!A210,"     ",'Inverter-Full Data'!B210,",",'Inverter-Full Data'!S210,",",'Inverter-Full Data'!J210,",",'Inverter-Full Data'!T210,"'")</f>
        <v>'Enphase Energy Inc.     IQ7X-96-x-ACM-US [208V],N,97,Y'</v>
      </c>
    </row>
    <row r="1123" spans="1:1">
      <c r="A1123" s="2" t="e">
        <f>CONCATENATE("'",'Inverter-Full Data'!#REF!,"     ",'Inverter-Full Data'!#REF!,",",'Inverter-Full Data'!#REF!,",",'Inverter-Full Data'!#REF!,",",'Inverter-Full Data'!#REF!,"'")</f>
        <v>#REF!</v>
      </c>
    </row>
    <row r="1124" spans="1:1">
      <c r="A1124" s="2" t="str">
        <f>CONCATENATE("'",'Inverter-Full Data'!A211,"     ",'Inverter-Full Data'!B211,",",'Inverter-Full Data'!S211,",",'Inverter-Full Data'!J211,",",'Inverter-Full Data'!T211,"'")</f>
        <v>'Enphase Energy Inc.     IQ7X-96-x-ACM-US [240V],N,97.5,Y'</v>
      </c>
    </row>
    <row r="1125" spans="1:1">
      <c r="A1125" s="2" t="str">
        <f>CONCATENATE("'",'Inverter-Full Data'!A212,"     ",'Inverter-Full Data'!B212,",",'Inverter-Full Data'!S212,",",'Inverter-Full Data'!J212,",",'Inverter-Full Data'!T212,"'")</f>
        <v>'Enphase Energy Inc.     IQ7X-96-x-US [208V],N,97,Y'</v>
      </c>
    </row>
    <row r="1126" spans="1:1">
      <c r="A1126" s="2" t="str">
        <f>CONCATENATE("'",'Inverter-Full Data'!A213,"     ",'Inverter-Full Data'!B213,",",'Inverter-Full Data'!S213,",",'Inverter-Full Data'!J213,",",'Inverter-Full Data'!T213,"'")</f>
        <v>'Enphase Energy Inc.     IQ7X-96-x-US [240V],N,97.5,Y'</v>
      </c>
    </row>
    <row r="1127" spans="1:1">
      <c r="A1127" s="2" t="str">
        <f>CONCATENATE("'",'Inverter-Full Data'!A214,"     ",'Inverter-Full Data'!B214,",",'Inverter-Full Data'!S214,",",'Inverter-Full Data'!J214,",",'Inverter-Full Data'!T214,"'")</f>
        <v>'Enphase Energy Inc.     IQ7XS-96-y-ACM-z [208V],N,97,Y'</v>
      </c>
    </row>
    <row r="1128" spans="1:1">
      <c r="A1128" s="2" t="str">
        <f>CONCATENATE("'",'Inverter-Full Data'!A215,"     ",'Inverter-Full Data'!B215,",",'Inverter-Full Data'!S215,",",'Inverter-Full Data'!J215,",",'Inverter-Full Data'!T215,"'")</f>
        <v>'Enphase Energy Inc.     IQ7XS-96-y-ACM-z [240V],N,97.5,Y'</v>
      </c>
    </row>
    <row r="1129" spans="1:1">
      <c r="A1129" s="2" t="e">
        <f>CONCATENATE("'",'Inverter-Full Data'!#REF!,"     ",'Inverter-Full Data'!#REF!,",",'Inverter-Full Data'!#REF!,",",'Inverter-Full Data'!#REF!,",",'Inverter-Full Data'!#REF!,"'")</f>
        <v>#REF!</v>
      </c>
    </row>
    <row r="1130" spans="1:1">
      <c r="A1130" s="2" t="e">
        <f>CONCATENATE("'",'Inverter-Full Data'!#REF!,"     ",'Inverter-Full Data'!#REF!,",",'Inverter-Full Data'!#REF!,",",'Inverter-Full Data'!#REF!,",",'Inverter-Full Data'!#REF!,"'")</f>
        <v>#REF!</v>
      </c>
    </row>
    <row r="1131" spans="1:1">
      <c r="A1131" s="2" t="e">
        <f>CONCATENATE("'",'Inverter-Full Data'!#REF!,"     ",'Inverter-Full Data'!#REF!,",",'Inverter-Full Data'!#REF!,",",'Inverter-Full Data'!#REF!,",",'Inverter-Full Data'!#REF!,"'")</f>
        <v>#REF!</v>
      </c>
    </row>
    <row r="1132" spans="1:1">
      <c r="A1132" s="2" t="e">
        <f>CONCATENATE("'",'Inverter-Full Data'!#REF!,"     ",'Inverter-Full Data'!#REF!,",",'Inverter-Full Data'!#REF!,",",'Inverter-Full Data'!#REF!,",",'Inverter-Full Data'!#REF!,"'")</f>
        <v>#REF!</v>
      </c>
    </row>
    <row r="1133" spans="1:1">
      <c r="A1133" s="2" t="e">
        <f>CONCATENATE("'",'Inverter-Full Data'!#REF!,"     ",'Inverter-Full Data'!#REF!,",",'Inverter-Full Data'!#REF!,",",'Inverter-Full Data'!#REF!,",",'Inverter-Full Data'!#REF!,"'")</f>
        <v>#REF!</v>
      </c>
    </row>
    <row r="1134" spans="1:1">
      <c r="A1134" s="2" t="e">
        <f>CONCATENATE("'",'Inverter-Full Data'!#REF!,"     ",'Inverter-Full Data'!#REF!,",",'Inverter-Full Data'!#REF!,",",'Inverter-Full Data'!#REF!,",",'Inverter-Full Data'!#REF!,"'")</f>
        <v>#REF!</v>
      </c>
    </row>
    <row r="1135" spans="1:1">
      <c r="A1135" s="2" t="e">
        <f>CONCATENATE("'",'Inverter-Full Data'!#REF!,"     ",'Inverter-Full Data'!#REF!,",",'Inverter-Full Data'!#REF!,",",'Inverter-Full Data'!#REF!,",",'Inverter-Full Data'!#REF!,"'")</f>
        <v>#REF!</v>
      </c>
    </row>
    <row r="1136" spans="1:1">
      <c r="A1136" s="2" t="e">
        <f>CONCATENATE("'",'Inverter-Full Data'!#REF!,"     ",'Inverter-Full Data'!#REF!,",",'Inverter-Full Data'!#REF!,",",'Inverter-Full Data'!#REF!,",",'Inverter-Full Data'!#REF!,"'")</f>
        <v>#REF!</v>
      </c>
    </row>
    <row r="1137" spans="1:1">
      <c r="A1137" s="2" t="e">
        <f>CONCATENATE("'",'Inverter-Full Data'!#REF!,"     ",'Inverter-Full Data'!#REF!,",",'Inverter-Full Data'!#REF!,",",'Inverter-Full Data'!#REF!,",",'Inverter-Full Data'!#REF!,"'")</f>
        <v>#REF!</v>
      </c>
    </row>
    <row r="1138" spans="1:1">
      <c r="A1138" s="2" t="e">
        <f>CONCATENATE("'",'Inverter-Full Data'!#REF!,"     ",'Inverter-Full Data'!#REF!,",",'Inverter-Full Data'!#REF!,",",'Inverter-Full Data'!#REF!,",",'Inverter-Full Data'!#REF!,"'")</f>
        <v>#REF!</v>
      </c>
    </row>
    <row r="1139" spans="1:1">
      <c r="A1139" s="2" t="e">
        <f>CONCATENATE("'",'Inverter-Full Data'!#REF!,"     ",'Inverter-Full Data'!#REF!,",",'Inverter-Full Data'!#REF!,",",'Inverter-Full Data'!#REF!,",",'Inverter-Full Data'!#REF!,"'")</f>
        <v>#REF!</v>
      </c>
    </row>
    <row r="1140" spans="1:1">
      <c r="A1140" s="2" t="e">
        <f>CONCATENATE("'",'Inverter-Full Data'!#REF!,"     ",'Inverter-Full Data'!#REF!,",",'Inverter-Full Data'!#REF!,",",'Inverter-Full Data'!#REF!,",",'Inverter-Full Data'!#REF!,"'")</f>
        <v>#REF!</v>
      </c>
    </row>
    <row r="1141" spans="1:1">
      <c r="A1141" s="2" t="e">
        <f>CONCATENATE("'",'Inverter-Full Data'!#REF!,"     ",'Inverter-Full Data'!#REF!,",",'Inverter-Full Data'!#REF!,",",'Inverter-Full Data'!#REF!,",",'Inverter-Full Data'!#REF!,"'")</f>
        <v>#REF!</v>
      </c>
    </row>
    <row r="1142" spans="1:1">
      <c r="A1142" s="2" t="e">
        <f>CONCATENATE("'",'Inverter-Full Data'!#REF!,"     ",'Inverter-Full Data'!#REF!,",",'Inverter-Full Data'!#REF!,",",'Inverter-Full Data'!#REF!,",",'Inverter-Full Data'!#REF!,"'")</f>
        <v>#REF!</v>
      </c>
    </row>
    <row r="1143" spans="1:1">
      <c r="A1143" s="2" t="e">
        <f>CONCATENATE("'",'Inverter-Full Data'!#REF!,"     ",'Inverter-Full Data'!#REF!,",",'Inverter-Full Data'!#REF!,",",'Inverter-Full Data'!#REF!,",",'Inverter-Full Data'!#REF!,"'")</f>
        <v>#REF!</v>
      </c>
    </row>
    <row r="1144" spans="1:1">
      <c r="A1144" s="2" t="e">
        <f>CONCATENATE("'",'Inverter-Full Data'!#REF!,"     ",'Inverter-Full Data'!#REF!,",",'Inverter-Full Data'!#REF!,",",'Inverter-Full Data'!#REF!,",",'Inverter-Full Data'!#REF!,"'")</f>
        <v>#REF!</v>
      </c>
    </row>
    <row r="1145" spans="1:1">
      <c r="A1145" s="2" t="e">
        <f>CONCATENATE("'",'Inverter-Full Data'!#REF!,"     ",'Inverter-Full Data'!#REF!,",",'Inverter-Full Data'!#REF!,",",'Inverter-Full Data'!#REF!,",",'Inverter-Full Data'!#REF!,"'")</f>
        <v>#REF!</v>
      </c>
    </row>
    <row r="1146" spans="1:1">
      <c r="A1146" s="2" t="e">
        <f>CONCATENATE("'",'Inverter-Full Data'!#REF!,"     ",'Inverter-Full Data'!#REF!,",",'Inverter-Full Data'!#REF!,",",'Inverter-Full Data'!#REF!,",",'Inverter-Full Data'!#REF!,"'")</f>
        <v>#REF!</v>
      </c>
    </row>
    <row r="1147" spans="1:1">
      <c r="A1147" s="2" t="e">
        <f>CONCATENATE("'",'Inverter-Full Data'!#REF!,"     ",'Inverter-Full Data'!#REF!,",",'Inverter-Full Data'!#REF!,",",'Inverter-Full Data'!#REF!,",",'Inverter-Full Data'!#REF!,"'")</f>
        <v>#REF!</v>
      </c>
    </row>
    <row r="1148" spans="1:1">
      <c r="A1148" s="2" t="e">
        <f>CONCATENATE("'",'Inverter-Full Data'!#REF!,"     ",'Inverter-Full Data'!#REF!,",",'Inverter-Full Data'!#REF!,",",'Inverter-Full Data'!#REF!,",",'Inverter-Full Data'!#REF!,"'")</f>
        <v>#REF!</v>
      </c>
    </row>
    <row r="1149" spans="1:1">
      <c r="A1149" s="2" t="e">
        <f>CONCATENATE("'",'Inverter-Full Data'!#REF!,"     ",'Inverter-Full Data'!#REF!,",",'Inverter-Full Data'!#REF!,",",'Inverter-Full Data'!#REF!,",",'Inverter-Full Data'!#REF!,"'")</f>
        <v>#REF!</v>
      </c>
    </row>
    <row r="1150" spans="1:1">
      <c r="A1150" s="2" t="e">
        <f>CONCATENATE("'",'Inverter-Full Data'!#REF!,"     ",'Inverter-Full Data'!#REF!,",",'Inverter-Full Data'!#REF!,",",'Inverter-Full Data'!#REF!,",",'Inverter-Full Data'!#REF!,"'")</f>
        <v>#REF!</v>
      </c>
    </row>
    <row r="1151" spans="1:1">
      <c r="A1151" s="2" t="e">
        <f>CONCATENATE("'",'Inverter-Full Data'!#REF!,"     ",'Inverter-Full Data'!#REF!,",",'Inverter-Full Data'!#REF!,",",'Inverter-Full Data'!#REF!,",",'Inverter-Full Data'!#REF!,"'")</f>
        <v>#REF!</v>
      </c>
    </row>
    <row r="1152" spans="1:1">
      <c r="A1152" s="2" t="e">
        <f>CONCATENATE("'",'Inverter-Full Data'!#REF!,"     ",'Inverter-Full Data'!#REF!,",",'Inverter-Full Data'!#REF!,",",'Inverter-Full Data'!#REF!,",",'Inverter-Full Data'!#REF!,"'")</f>
        <v>#REF!</v>
      </c>
    </row>
    <row r="1153" spans="1:1">
      <c r="A1153" s="2" t="e">
        <f>CONCATENATE("'",'Inverter-Full Data'!#REF!,"     ",'Inverter-Full Data'!#REF!,",",'Inverter-Full Data'!#REF!,",",'Inverter-Full Data'!#REF!,",",'Inverter-Full Data'!#REF!,"'")</f>
        <v>#REF!</v>
      </c>
    </row>
    <row r="1154" spans="1:1">
      <c r="A1154" s="2" t="e">
        <f>CONCATENATE("'",'Inverter-Full Data'!#REF!,"     ",'Inverter-Full Data'!#REF!,",",'Inverter-Full Data'!#REF!,",",'Inverter-Full Data'!#REF!,",",'Inverter-Full Data'!#REF!,"'")</f>
        <v>#REF!</v>
      </c>
    </row>
    <row r="1155" spans="1:1">
      <c r="A1155" s="2" t="e">
        <f>CONCATENATE("'",'Inverter-Full Data'!#REF!,"     ",'Inverter-Full Data'!#REF!,",",'Inverter-Full Data'!#REF!,",",'Inverter-Full Data'!#REF!,",",'Inverter-Full Data'!#REF!,"'")</f>
        <v>#REF!</v>
      </c>
    </row>
    <row r="1156" spans="1:1">
      <c r="A1156" s="2" t="e">
        <f>CONCATENATE("'",'Inverter-Full Data'!#REF!,"     ",'Inverter-Full Data'!#REF!,",",'Inverter-Full Data'!#REF!,",",'Inverter-Full Data'!#REF!,",",'Inverter-Full Data'!#REF!,"'")</f>
        <v>#REF!</v>
      </c>
    </row>
    <row r="1157" spans="1:1">
      <c r="A1157" s="2" t="e">
        <f>CONCATENATE("'",'Inverter-Full Data'!#REF!,"     ",'Inverter-Full Data'!#REF!,",",'Inverter-Full Data'!#REF!,",",'Inverter-Full Data'!#REF!,",",'Inverter-Full Data'!#REF!,"'")</f>
        <v>#REF!</v>
      </c>
    </row>
    <row r="1158" spans="1:1">
      <c r="A1158" s="2" t="e">
        <f>CONCATENATE("'",'Inverter-Full Data'!#REF!,"     ",'Inverter-Full Data'!#REF!,",",'Inverter-Full Data'!#REF!,",",'Inverter-Full Data'!#REF!,",",'Inverter-Full Data'!#REF!,"'")</f>
        <v>#REF!</v>
      </c>
    </row>
    <row r="1159" spans="1:1">
      <c r="A1159" s="2" t="e">
        <f>CONCATENATE("'",'Inverter-Full Data'!#REF!,"     ",'Inverter-Full Data'!#REF!,",",'Inverter-Full Data'!#REF!,",",'Inverter-Full Data'!#REF!,",",'Inverter-Full Data'!#REF!,"'")</f>
        <v>#REF!</v>
      </c>
    </row>
    <row r="1160" spans="1:1">
      <c r="A1160" s="2" t="e">
        <f>CONCATENATE("'",'Inverter-Full Data'!#REF!,"     ",'Inverter-Full Data'!#REF!,",",'Inverter-Full Data'!#REF!,",",'Inverter-Full Data'!#REF!,",",'Inverter-Full Data'!#REF!,"'")</f>
        <v>#REF!</v>
      </c>
    </row>
    <row r="1161" spans="1:1">
      <c r="A1161" s="2" t="e">
        <f>CONCATENATE("'",'Inverter-Full Data'!#REF!,"     ",'Inverter-Full Data'!#REF!,",",'Inverter-Full Data'!#REF!,",",'Inverter-Full Data'!#REF!,",",'Inverter-Full Data'!#REF!,"'")</f>
        <v>#REF!</v>
      </c>
    </row>
    <row r="1162" spans="1:1">
      <c r="A1162" s="2" t="e">
        <f>CONCATENATE("'",'Inverter-Full Data'!#REF!,"     ",'Inverter-Full Data'!#REF!,",",'Inverter-Full Data'!#REF!,",",'Inverter-Full Data'!#REF!,",",'Inverter-Full Data'!#REF!,"'")</f>
        <v>#REF!</v>
      </c>
    </row>
    <row r="1163" spans="1:1">
      <c r="A1163" s="2" t="e">
        <f>CONCATENATE("'",'Inverter-Full Data'!#REF!,"     ",'Inverter-Full Data'!#REF!,",",'Inverter-Full Data'!#REF!,",",'Inverter-Full Data'!#REF!,",",'Inverter-Full Data'!#REF!,"'")</f>
        <v>#REF!</v>
      </c>
    </row>
    <row r="1164" spans="1:1">
      <c r="A1164" s="2" t="e">
        <f>CONCATENATE("'",'Inverter-Full Data'!#REF!,"     ",'Inverter-Full Data'!#REF!,",",'Inverter-Full Data'!#REF!,",",'Inverter-Full Data'!#REF!,",",'Inverter-Full Data'!#REF!,"'")</f>
        <v>#REF!</v>
      </c>
    </row>
    <row r="1165" spans="1:1">
      <c r="A1165" s="2" t="e">
        <f>CONCATENATE("'",'Inverter-Full Data'!#REF!,"     ",'Inverter-Full Data'!#REF!,",",'Inverter-Full Data'!#REF!,",",'Inverter-Full Data'!#REF!,",",'Inverter-Full Data'!#REF!,"'")</f>
        <v>#REF!</v>
      </c>
    </row>
    <row r="1166" spans="1:1">
      <c r="A1166" s="2" t="e">
        <f>CONCATENATE("'",'Inverter-Full Data'!#REF!,"     ",'Inverter-Full Data'!#REF!,",",'Inverter-Full Data'!#REF!,",",'Inverter-Full Data'!#REF!,",",'Inverter-Full Data'!#REF!,"'")</f>
        <v>#REF!</v>
      </c>
    </row>
    <row r="1167" spans="1:1">
      <c r="A1167" s="2" t="e">
        <f>CONCATENATE("'",'Inverter-Full Data'!#REF!,"     ",'Inverter-Full Data'!#REF!,",",'Inverter-Full Data'!#REF!,",",'Inverter-Full Data'!#REF!,",",'Inverter-Full Data'!#REF!,"'")</f>
        <v>#REF!</v>
      </c>
    </row>
    <row r="1168" spans="1:1">
      <c r="A1168" s="2" t="e">
        <f>CONCATENATE("'",'Inverter-Full Data'!#REF!,"     ",'Inverter-Full Data'!#REF!,",",'Inverter-Full Data'!#REF!,",",'Inverter-Full Data'!#REF!,",",'Inverter-Full Data'!#REF!,"'")</f>
        <v>#REF!</v>
      </c>
    </row>
    <row r="1169" spans="1:1">
      <c r="A1169" s="2" t="e">
        <f>CONCATENATE("'",'Inverter-Full Data'!#REF!,"     ",'Inverter-Full Data'!#REF!,",",'Inverter-Full Data'!#REF!,",",'Inverter-Full Data'!#REF!,",",'Inverter-Full Data'!#REF!,"'")</f>
        <v>#REF!</v>
      </c>
    </row>
    <row r="1170" spans="1:1">
      <c r="A1170" s="2" t="e">
        <f>CONCATENATE("'",'Inverter-Full Data'!#REF!,"     ",'Inverter-Full Data'!#REF!,",",'Inverter-Full Data'!#REF!,",",'Inverter-Full Data'!#REF!,",",'Inverter-Full Data'!#REF!,"'")</f>
        <v>#REF!</v>
      </c>
    </row>
    <row r="1171" spans="1:1">
      <c r="A1171" s="2" t="e">
        <f>CONCATENATE("'",'Inverter-Full Data'!#REF!,"     ",'Inverter-Full Data'!#REF!,",",'Inverter-Full Data'!#REF!,",",'Inverter-Full Data'!#REF!,",",'Inverter-Full Data'!#REF!,"'")</f>
        <v>#REF!</v>
      </c>
    </row>
    <row r="1172" spans="1:1">
      <c r="A1172" s="2" t="e">
        <f>CONCATENATE("'",'Inverter-Full Data'!#REF!,"     ",'Inverter-Full Data'!#REF!,",",'Inverter-Full Data'!#REF!,",",'Inverter-Full Data'!#REF!,",",'Inverter-Full Data'!#REF!,"'")</f>
        <v>#REF!</v>
      </c>
    </row>
    <row r="1173" spans="1:1">
      <c r="A1173" s="2" t="e">
        <f>CONCATENATE("'",'Inverter-Full Data'!#REF!,"     ",'Inverter-Full Data'!#REF!,",",'Inverter-Full Data'!#REF!,",",'Inverter-Full Data'!#REF!,",",'Inverter-Full Data'!#REF!,"'")</f>
        <v>#REF!</v>
      </c>
    </row>
    <row r="1174" spans="1:1">
      <c r="A1174" s="2" t="e">
        <f>CONCATENATE("'",'Inverter-Full Data'!#REF!,"     ",'Inverter-Full Data'!#REF!,",",'Inverter-Full Data'!#REF!,",",'Inverter-Full Data'!#REF!,",",'Inverter-Full Data'!#REF!,"'")</f>
        <v>#REF!</v>
      </c>
    </row>
    <row r="1175" spans="1:1">
      <c r="A1175" s="2" t="e">
        <f>CONCATENATE("'",'Inverter-Full Data'!#REF!,"     ",'Inverter-Full Data'!#REF!,",",'Inverter-Full Data'!#REF!,",",'Inverter-Full Data'!#REF!,",",'Inverter-Full Data'!#REF!,"'")</f>
        <v>#REF!</v>
      </c>
    </row>
    <row r="1176" spans="1:1">
      <c r="A1176" s="2" t="e">
        <f>CONCATENATE("'",'Inverter-Full Data'!#REF!,"     ",'Inverter-Full Data'!#REF!,",",'Inverter-Full Data'!#REF!,",",'Inverter-Full Data'!#REF!,",",'Inverter-Full Data'!#REF!,"'")</f>
        <v>#REF!</v>
      </c>
    </row>
    <row r="1177" spans="1:1">
      <c r="A1177" s="2" t="e">
        <f>CONCATENATE("'",'Inverter-Full Data'!#REF!,"     ",'Inverter-Full Data'!#REF!,",",'Inverter-Full Data'!#REF!,",",'Inverter-Full Data'!#REF!,",",'Inverter-Full Data'!#REF!,"'")</f>
        <v>#REF!</v>
      </c>
    </row>
    <row r="1178" spans="1:1">
      <c r="A1178" s="2" t="e">
        <f>CONCATENATE("'",'Inverter-Full Data'!#REF!,"     ",'Inverter-Full Data'!#REF!,",",'Inverter-Full Data'!#REF!,",",'Inverter-Full Data'!#REF!,",",'Inverter-Full Data'!#REF!,"'")</f>
        <v>#REF!</v>
      </c>
    </row>
    <row r="1179" spans="1:1">
      <c r="A1179" s="2" t="e">
        <f>CONCATENATE("'",'Inverter-Full Data'!#REF!,"     ",'Inverter-Full Data'!#REF!,",",'Inverter-Full Data'!#REF!,",",'Inverter-Full Data'!#REF!,",",'Inverter-Full Data'!#REF!,"'")</f>
        <v>#REF!</v>
      </c>
    </row>
    <row r="1180" spans="1:1">
      <c r="A1180" s="2" t="e">
        <f>CONCATENATE("'",'Inverter-Full Data'!#REF!,"     ",'Inverter-Full Data'!#REF!,",",'Inverter-Full Data'!#REF!,",",'Inverter-Full Data'!#REF!,",",'Inverter-Full Data'!#REF!,"'")</f>
        <v>#REF!</v>
      </c>
    </row>
    <row r="1181" spans="1:1">
      <c r="A1181" s="2" t="e">
        <f>CONCATENATE("'",'Inverter-Full Data'!#REF!,"     ",'Inverter-Full Data'!#REF!,",",'Inverter-Full Data'!#REF!,",",'Inverter-Full Data'!#REF!,",",'Inverter-Full Data'!#REF!,"'")</f>
        <v>#REF!</v>
      </c>
    </row>
    <row r="1182" spans="1:1">
      <c r="A1182" s="2" t="e">
        <f>CONCATENATE("'",'Inverter-Full Data'!#REF!,"     ",'Inverter-Full Data'!#REF!,",",'Inverter-Full Data'!#REF!,",",'Inverter-Full Data'!#REF!,",",'Inverter-Full Data'!#REF!,"'")</f>
        <v>#REF!</v>
      </c>
    </row>
    <row r="1183" spans="1:1">
      <c r="A1183" s="2" t="e">
        <f>CONCATENATE("'",'Inverter-Full Data'!#REF!,"     ",'Inverter-Full Data'!#REF!,",",'Inverter-Full Data'!#REF!,",",'Inverter-Full Data'!#REF!,",",'Inverter-Full Data'!#REF!,"'")</f>
        <v>#REF!</v>
      </c>
    </row>
    <row r="1184" spans="1:1">
      <c r="A1184" s="2" t="e">
        <f>CONCATENATE("'",'Inverter-Full Data'!#REF!,"     ",'Inverter-Full Data'!#REF!,",",'Inverter-Full Data'!#REF!,",",'Inverter-Full Data'!#REF!,",",'Inverter-Full Data'!#REF!,"'")</f>
        <v>#REF!</v>
      </c>
    </row>
    <row r="1185" spans="1:1">
      <c r="A1185" s="2" t="e">
        <f>CONCATENATE("'",'Inverter-Full Data'!#REF!,"     ",'Inverter-Full Data'!#REF!,",",'Inverter-Full Data'!#REF!,",",'Inverter-Full Data'!#REF!,",",'Inverter-Full Data'!#REF!,"'")</f>
        <v>#REF!</v>
      </c>
    </row>
    <row r="1186" spans="1:1">
      <c r="A1186" s="2" t="e">
        <f>CONCATENATE("'",'Inverter-Full Data'!#REF!,"     ",'Inverter-Full Data'!#REF!,",",'Inverter-Full Data'!#REF!,",",'Inverter-Full Data'!#REF!,",",'Inverter-Full Data'!#REF!,"'")</f>
        <v>#REF!</v>
      </c>
    </row>
    <row r="1187" spans="1:1">
      <c r="A1187" s="2" t="e">
        <f>CONCATENATE("'",'Inverter-Full Data'!#REF!,"     ",'Inverter-Full Data'!#REF!,",",'Inverter-Full Data'!#REF!,",",'Inverter-Full Data'!#REF!,",",'Inverter-Full Data'!#REF!,"'")</f>
        <v>#REF!</v>
      </c>
    </row>
    <row r="1188" spans="1:1">
      <c r="A1188" s="2" t="e">
        <f>CONCATENATE("'",'Inverter-Full Data'!#REF!,"     ",'Inverter-Full Data'!#REF!,",",'Inverter-Full Data'!#REF!,",",'Inverter-Full Data'!#REF!,",",'Inverter-Full Data'!#REF!,"'")</f>
        <v>#REF!</v>
      </c>
    </row>
    <row r="1189" spans="1:1">
      <c r="A1189" s="2" t="e">
        <f>CONCATENATE("'",'Inverter-Full Data'!#REF!,"     ",'Inverter-Full Data'!#REF!,",",'Inverter-Full Data'!#REF!,",",'Inverter-Full Data'!#REF!,",",'Inverter-Full Data'!#REF!,"'")</f>
        <v>#REF!</v>
      </c>
    </row>
    <row r="1190" spans="1:1">
      <c r="A1190" s="2" t="e">
        <f>CONCATENATE("'",'Inverter-Full Data'!#REF!,"     ",'Inverter-Full Data'!#REF!,",",'Inverter-Full Data'!#REF!,",",'Inverter-Full Data'!#REF!,",",'Inverter-Full Data'!#REF!,"'")</f>
        <v>#REF!</v>
      </c>
    </row>
    <row r="1191" spans="1:1">
      <c r="A1191" s="2" t="e">
        <f>CONCATENATE("'",'Inverter-Full Data'!#REF!,"     ",'Inverter-Full Data'!#REF!,",",'Inverter-Full Data'!#REF!,",",'Inverter-Full Data'!#REF!,",",'Inverter-Full Data'!#REF!,"'")</f>
        <v>#REF!</v>
      </c>
    </row>
    <row r="1192" spans="1:1">
      <c r="A1192" s="2" t="e">
        <f>CONCATENATE("'",'Inverter-Full Data'!#REF!,"     ",'Inverter-Full Data'!#REF!,",",'Inverter-Full Data'!#REF!,",",'Inverter-Full Data'!#REF!,",",'Inverter-Full Data'!#REF!,"'")</f>
        <v>#REF!</v>
      </c>
    </row>
    <row r="1193" spans="1:1">
      <c r="A1193" s="2" t="e">
        <f>CONCATENATE("'",'Inverter-Full Data'!#REF!,"     ",'Inverter-Full Data'!#REF!,",",'Inverter-Full Data'!#REF!,",",'Inverter-Full Data'!#REF!,",",'Inverter-Full Data'!#REF!,"'")</f>
        <v>#REF!</v>
      </c>
    </row>
    <row r="1194" spans="1:1">
      <c r="A1194" s="2" t="e">
        <f>CONCATENATE("'",'Inverter-Full Data'!#REF!,"     ",'Inverter-Full Data'!#REF!,",",'Inverter-Full Data'!#REF!,",",'Inverter-Full Data'!#REF!,",",'Inverter-Full Data'!#REF!,"'")</f>
        <v>#REF!</v>
      </c>
    </row>
    <row r="1195" spans="1:1">
      <c r="A1195" s="2" t="e">
        <f>CONCATENATE("'",'Inverter-Full Data'!#REF!,"     ",'Inverter-Full Data'!#REF!,",",'Inverter-Full Data'!#REF!,",",'Inverter-Full Data'!#REF!,",",'Inverter-Full Data'!#REF!,"'")</f>
        <v>#REF!</v>
      </c>
    </row>
    <row r="1196" spans="1:1">
      <c r="A1196" s="2" t="e">
        <f>CONCATENATE("'",'Inverter-Full Data'!#REF!,"     ",'Inverter-Full Data'!#REF!,",",'Inverter-Full Data'!#REF!,",",'Inverter-Full Data'!#REF!,",",'Inverter-Full Data'!#REF!,"'")</f>
        <v>#REF!</v>
      </c>
    </row>
    <row r="1197" spans="1:1">
      <c r="A1197" s="2" t="e">
        <f>CONCATENATE("'",'Inverter-Full Data'!#REF!,"     ",'Inverter-Full Data'!#REF!,",",'Inverter-Full Data'!#REF!,",",'Inverter-Full Data'!#REF!,",",'Inverter-Full Data'!#REF!,"'")</f>
        <v>#REF!</v>
      </c>
    </row>
    <row r="1198" spans="1:1">
      <c r="A1198" s="2" t="e">
        <f>CONCATENATE("'",'Inverter-Full Data'!#REF!,"     ",'Inverter-Full Data'!#REF!,",",'Inverter-Full Data'!#REF!,",",'Inverter-Full Data'!#REF!,",",'Inverter-Full Data'!#REF!,"'")</f>
        <v>#REF!</v>
      </c>
    </row>
    <row r="1199" spans="1:1">
      <c r="A1199" s="2" t="e">
        <f>CONCATENATE("'",'Inverter-Full Data'!#REF!,"     ",'Inverter-Full Data'!#REF!,",",'Inverter-Full Data'!#REF!,",",'Inverter-Full Data'!#REF!,",",'Inverter-Full Data'!#REF!,"'")</f>
        <v>#REF!</v>
      </c>
    </row>
    <row r="1200" spans="1:1">
      <c r="A1200" s="2" t="e">
        <f>CONCATENATE("'",'Inverter-Full Data'!#REF!,"     ",'Inverter-Full Data'!#REF!,",",'Inverter-Full Data'!#REF!,",",'Inverter-Full Data'!#REF!,",",'Inverter-Full Data'!#REF!,"'")</f>
        <v>#REF!</v>
      </c>
    </row>
    <row r="1201" spans="1:1">
      <c r="A1201" s="2" t="e">
        <f>CONCATENATE("'",'Inverter-Full Data'!#REF!,"     ",'Inverter-Full Data'!#REF!,",",'Inverter-Full Data'!#REF!,",",'Inverter-Full Data'!#REF!,",",'Inverter-Full Data'!#REF!,"'")</f>
        <v>#REF!</v>
      </c>
    </row>
    <row r="1202" spans="1:1">
      <c r="A1202" s="2" t="e">
        <f>CONCATENATE("'",'Inverter-Full Data'!#REF!,"     ",'Inverter-Full Data'!#REF!,",",'Inverter-Full Data'!#REF!,",",'Inverter-Full Data'!#REF!,",",'Inverter-Full Data'!#REF!,"'")</f>
        <v>#REF!</v>
      </c>
    </row>
    <row r="1203" spans="1:1">
      <c r="A1203" s="2" t="e">
        <f>CONCATENATE("'",'Inverter-Full Data'!#REF!,"     ",'Inverter-Full Data'!#REF!,",",'Inverter-Full Data'!#REF!,",",'Inverter-Full Data'!#REF!,",",'Inverter-Full Data'!#REF!,"'")</f>
        <v>#REF!</v>
      </c>
    </row>
    <row r="1204" spans="1:1">
      <c r="A1204" s="2" t="e">
        <f>CONCATENATE("'",'Inverter-Full Data'!#REF!,"     ",'Inverter-Full Data'!#REF!,",",'Inverter-Full Data'!#REF!,",",'Inverter-Full Data'!#REF!,",",'Inverter-Full Data'!#REF!,"'")</f>
        <v>#REF!</v>
      </c>
    </row>
    <row r="1205" spans="1:1">
      <c r="A1205" s="2" t="e">
        <f>CONCATENATE("'",'Inverter-Full Data'!#REF!,"     ",'Inverter-Full Data'!#REF!,",",'Inverter-Full Data'!#REF!,",",'Inverter-Full Data'!#REF!,",",'Inverter-Full Data'!#REF!,"'")</f>
        <v>#REF!</v>
      </c>
    </row>
    <row r="1206" spans="1:1">
      <c r="A1206" s="2" t="e">
        <f>CONCATENATE("'",'Inverter-Full Data'!#REF!,"     ",'Inverter-Full Data'!#REF!,",",'Inverter-Full Data'!#REF!,",",'Inverter-Full Data'!#REF!,",",'Inverter-Full Data'!#REF!,"'")</f>
        <v>#REF!</v>
      </c>
    </row>
    <row r="1207" spans="1:1">
      <c r="A1207" s="2" t="e">
        <f>CONCATENATE("'",'Inverter-Full Data'!#REF!,"     ",'Inverter-Full Data'!#REF!,",",'Inverter-Full Data'!#REF!,",",'Inverter-Full Data'!#REF!,",",'Inverter-Full Data'!#REF!,"'")</f>
        <v>#REF!</v>
      </c>
    </row>
    <row r="1208" spans="1:1">
      <c r="A1208" s="2" t="e">
        <f>CONCATENATE("'",'Inverter-Full Data'!#REF!,"     ",'Inverter-Full Data'!#REF!,",",'Inverter-Full Data'!#REF!,",",'Inverter-Full Data'!#REF!,",",'Inverter-Full Data'!#REF!,"'")</f>
        <v>#REF!</v>
      </c>
    </row>
    <row r="1209" spans="1:1">
      <c r="A1209" s="2" t="e">
        <f>CONCATENATE("'",'Inverter-Full Data'!#REF!,"     ",'Inverter-Full Data'!#REF!,",",'Inverter-Full Data'!#REF!,",",'Inverter-Full Data'!#REF!,",",'Inverter-Full Data'!#REF!,"'")</f>
        <v>#REF!</v>
      </c>
    </row>
    <row r="1210" spans="1:1">
      <c r="A1210" s="2" t="e">
        <f>CONCATENATE("'",'Inverter-Full Data'!#REF!,"     ",'Inverter-Full Data'!#REF!,",",'Inverter-Full Data'!#REF!,",",'Inverter-Full Data'!#REF!,",",'Inverter-Full Data'!#REF!,"'")</f>
        <v>#REF!</v>
      </c>
    </row>
    <row r="1211" spans="1:1">
      <c r="A1211" s="2" t="e">
        <f>CONCATENATE("'",'Inverter-Full Data'!#REF!,"     ",'Inverter-Full Data'!#REF!,",",'Inverter-Full Data'!#REF!,",",'Inverter-Full Data'!#REF!,",",'Inverter-Full Data'!#REF!,"'")</f>
        <v>#REF!</v>
      </c>
    </row>
    <row r="1212" spans="1:1">
      <c r="A1212" s="2" t="e">
        <f>CONCATENATE("'",'Inverter-Full Data'!#REF!,"     ",'Inverter-Full Data'!#REF!,",",'Inverter-Full Data'!#REF!,",",'Inverter-Full Data'!#REF!,",",'Inverter-Full Data'!#REF!,"'")</f>
        <v>#REF!</v>
      </c>
    </row>
    <row r="1213" spans="1:1">
      <c r="A1213" s="2" t="e">
        <f>CONCATENATE("'",'Inverter-Full Data'!#REF!,"     ",'Inverter-Full Data'!#REF!,",",'Inverter-Full Data'!#REF!,",",'Inverter-Full Data'!#REF!,",",'Inverter-Full Data'!#REF!,"'")</f>
        <v>#REF!</v>
      </c>
    </row>
    <row r="1214" spans="1:1">
      <c r="A1214" s="2" t="e">
        <f>CONCATENATE("'",'Inverter-Full Data'!#REF!,"     ",'Inverter-Full Data'!#REF!,",",'Inverter-Full Data'!#REF!,",",'Inverter-Full Data'!#REF!,",",'Inverter-Full Data'!#REF!,"'")</f>
        <v>#REF!</v>
      </c>
    </row>
    <row r="1215" spans="1:1">
      <c r="A1215" s="2" t="e">
        <f>CONCATENATE("'",'Inverter-Full Data'!#REF!,"     ",'Inverter-Full Data'!#REF!,",",'Inverter-Full Data'!#REF!,",",'Inverter-Full Data'!#REF!,",",'Inverter-Full Data'!#REF!,"'")</f>
        <v>#REF!</v>
      </c>
    </row>
    <row r="1216" spans="1:1">
      <c r="A1216" s="2" t="e">
        <f>CONCATENATE("'",'Inverter-Full Data'!#REF!,"     ",'Inverter-Full Data'!#REF!,",",'Inverter-Full Data'!#REF!,",",'Inverter-Full Data'!#REF!,",",'Inverter-Full Data'!#REF!,"'")</f>
        <v>#REF!</v>
      </c>
    </row>
    <row r="1217" spans="1:1">
      <c r="A1217" s="2" t="e">
        <f>CONCATENATE("'",'Inverter-Full Data'!#REF!,"     ",'Inverter-Full Data'!#REF!,",",'Inverter-Full Data'!#REF!,",",'Inverter-Full Data'!#REF!,",",'Inverter-Full Data'!#REF!,"'")</f>
        <v>#REF!</v>
      </c>
    </row>
    <row r="1218" spans="1:1">
      <c r="A1218" s="2" t="e">
        <f>CONCATENATE("'",'Inverter-Full Data'!#REF!,"     ",'Inverter-Full Data'!#REF!,",",'Inverter-Full Data'!#REF!,",",'Inverter-Full Data'!#REF!,",",'Inverter-Full Data'!#REF!,"'")</f>
        <v>#REF!</v>
      </c>
    </row>
    <row r="1219" spans="1:1">
      <c r="A1219" s="2" t="e">
        <f>CONCATENATE("'",'Inverter-Full Data'!#REF!,"     ",'Inverter-Full Data'!#REF!,",",'Inverter-Full Data'!#REF!,",",'Inverter-Full Data'!#REF!,",",'Inverter-Full Data'!#REF!,"'")</f>
        <v>#REF!</v>
      </c>
    </row>
    <row r="1220" spans="1:1">
      <c r="A1220" s="2" t="e">
        <f>CONCATENATE("'",'Inverter-Full Data'!#REF!,"     ",'Inverter-Full Data'!#REF!,",",'Inverter-Full Data'!#REF!,",",'Inverter-Full Data'!#REF!,",",'Inverter-Full Data'!#REF!,"'")</f>
        <v>#REF!</v>
      </c>
    </row>
    <row r="1221" spans="1:1">
      <c r="A1221" s="2" t="e">
        <f>CONCATENATE("'",'Inverter-Full Data'!#REF!,"     ",'Inverter-Full Data'!#REF!,",",'Inverter-Full Data'!#REF!,",",'Inverter-Full Data'!#REF!,",",'Inverter-Full Data'!#REF!,"'")</f>
        <v>#REF!</v>
      </c>
    </row>
    <row r="1222" spans="1:1">
      <c r="A1222" s="2" t="e">
        <f>CONCATENATE("'",'Inverter-Full Data'!#REF!,"     ",'Inverter-Full Data'!#REF!,",",'Inverter-Full Data'!#REF!,",",'Inverter-Full Data'!#REF!,",",'Inverter-Full Data'!#REF!,"'")</f>
        <v>#REF!</v>
      </c>
    </row>
    <row r="1223" spans="1:1">
      <c r="A1223" s="2" t="e">
        <f>CONCATENATE("'",'Inverter-Full Data'!#REF!,"     ",'Inverter-Full Data'!#REF!,",",'Inverter-Full Data'!#REF!,",",'Inverter-Full Data'!#REF!,",",'Inverter-Full Data'!#REF!,"'")</f>
        <v>#REF!</v>
      </c>
    </row>
    <row r="1224" spans="1:1">
      <c r="A1224" s="2" t="e">
        <f>CONCATENATE("'",'Inverter-Full Data'!#REF!,"     ",'Inverter-Full Data'!#REF!,",",'Inverter-Full Data'!#REF!,",",'Inverter-Full Data'!#REF!,",",'Inverter-Full Data'!#REF!,"'")</f>
        <v>#REF!</v>
      </c>
    </row>
    <row r="1225" spans="1:1">
      <c r="A1225" s="2" t="e">
        <f>CONCATENATE("'",'Inverter-Full Data'!#REF!,"     ",'Inverter-Full Data'!#REF!,",",'Inverter-Full Data'!#REF!,",",'Inverter-Full Data'!#REF!,",",'Inverter-Full Data'!#REF!,"'")</f>
        <v>#REF!</v>
      </c>
    </row>
    <row r="1226" spans="1:1">
      <c r="A1226" s="2" t="e">
        <f>CONCATENATE("'",'Inverter-Full Data'!#REF!,"     ",'Inverter-Full Data'!#REF!,",",'Inverter-Full Data'!#REF!,",",'Inverter-Full Data'!#REF!,",",'Inverter-Full Data'!#REF!,"'")</f>
        <v>#REF!</v>
      </c>
    </row>
    <row r="1227" spans="1:1">
      <c r="A1227" s="2" t="e">
        <f>CONCATENATE("'",'Inverter-Full Data'!#REF!,"     ",'Inverter-Full Data'!#REF!,",",'Inverter-Full Data'!#REF!,",",'Inverter-Full Data'!#REF!,",",'Inverter-Full Data'!#REF!,"'")</f>
        <v>#REF!</v>
      </c>
    </row>
    <row r="1228" spans="1:1">
      <c r="A1228" s="2" t="e">
        <f>CONCATENATE("'",'Inverter-Full Data'!#REF!,"     ",'Inverter-Full Data'!#REF!,",",'Inverter-Full Data'!#REF!,",",'Inverter-Full Data'!#REF!,",",'Inverter-Full Data'!#REF!,"'")</f>
        <v>#REF!</v>
      </c>
    </row>
    <row r="1229" spans="1:1">
      <c r="A1229" s="2" t="e">
        <f>CONCATENATE("'",'Inverter-Full Data'!#REF!,"     ",'Inverter-Full Data'!#REF!,",",'Inverter-Full Data'!#REF!,",",'Inverter-Full Data'!#REF!,",",'Inverter-Full Data'!#REF!,"'")</f>
        <v>#REF!</v>
      </c>
    </row>
    <row r="1230" spans="1:1">
      <c r="A1230" s="2" t="e">
        <f>CONCATENATE("'",'Inverter-Full Data'!#REF!,"     ",'Inverter-Full Data'!#REF!,",",'Inverter-Full Data'!#REF!,",",'Inverter-Full Data'!#REF!,",",'Inverter-Full Data'!#REF!,"'")</f>
        <v>#REF!</v>
      </c>
    </row>
    <row r="1231" spans="1:1">
      <c r="A1231" s="2" t="e">
        <f>CONCATENATE("'",'Inverter-Full Data'!#REF!,"     ",'Inverter-Full Data'!#REF!,",",'Inverter-Full Data'!#REF!,",",'Inverter-Full Data'!#REF!,",",'Inverter-Full Data'!#REF!,"'")</f>
        <v>#REF!</v>
      </c>
    </row>
    <row r="1232" spans="1:1">
      <c r="A1232" s="2" t="str">
        <f>CONCATENATE("'",'Inverter-Full Data'!A217,"     ",'Inverter-Full Data'!B217,",",'Inverter-Full Data'!S217,",",'Inverter-Full Data'!J217,",",'Inverter-Full Data'!T217,"'")</f>
        <v>'Fronius International GmbH     Fronius Primo 3.8-1 208-240 [208V],Y,96,N'</v>
      </c>
    </row>
    <row r="1233" spans="1:1">
      <c r="A1233" s="2" t="str">
        <f>CONCATENATE("'",'Inverter-Full Data'!A218,"     ",'Inverter-Full Data'!B218,",",'Inverter-Full Data'!S218,",",'Inverter-Full Data'!J218,",",'Inverter-Full Data'!T218,"'")</f>
        <v>'Fronius International GmbH     Fronius Primo 3.8-1 208-240 [240V],Y,95.5,N'</v>
      </c>
    </row>
    <row r="1234" spans="1:1">
      <c r="A1234" s="2" t="str">
        <f>CONCATENATE("'",'Inverter-Full Data'!A219,"     ",'Inverter-Full Data'!B219,",",'Inverter-Full Data'!S219,",",'Inverter-Full Data'!J219,",",'Inverter-Full Data'!T219,"'")</f>
        <v>'Fronius International GmbH     Fronius Primo 5.0-1 208-240 [208V],Y,96.5,N'</v>
      </c>
    </row>
    <row r="1235" spans="1:1">
      <c r="A1235" s="2" t="e">
        <f>CONCATENATE("'",'Inverter-Full Data'!#REF!,"     ",'Inverter-Full Data'!#REF!,",",'Inverter-Full Data'!#REF!,",",'Inverter-Full Data'!#REF!,",",'Inverter-Full Data'!#REF!,"'")</f>
        <v>#REF!</v>
      </c>
    </row>
    <row r="1236" spans="1:1">
      <c r="A1236" s="2" t="str">
        <f>CONCATENATE("'",'Inverter-Full Data'!A220,"     ",'Inverter-Full Data'!B220,",",'Inverter-Full Data'!S220,",",'Inverter-Full Data'!J220,",",'Inverter-Full Data'!T220,"'")</f>
        <v>'Fronius International GmbH     Fronius Primo 5.0-1 208-240 [240V],Y,96.5,N'</v>
      </c>
    </row>
    <row r="1237" spans="1:1">
      <c r="A1237" s="2" t="e">
        <f>CONCATENATE("'",'Inverter-Full Data'!#REF!,"     ",'Inverter-Full Data'!#REF!,",",'Inverter-Full Data'!#REF!,",",'Inverter-Full Data'!#REF!,",",'Inverter-Full Data'!#REF!,"'")</f>
        <v>#REF!</v>
      </c>
    </row>
    <row r="1238" spans="1:1">
      <c r="A1238" s="2" t="str">
        <f>CONCATENATE("'",'Inverter-Full Data'!A221,"     ",'Inverter-Full Data'!B221,",",'Inverter-Full Data'!S221,",",'Inverter-Full Data'!J221,",",'Inverter-Full Data'!T221,"'")</f>
        <v>'Fronius International GmbH     Fronius Primo 6.0-1 208-240 [208V],Y,96.5,N'</v>
      </c>
    </row>
    <row r="1239" spans="1:1">
      <c r="A1239" s="2" t="e">
        <f>CONCATENATE("'",'Inverter-Full Data'!#REF!,"     ",'Inverter-Full Data'!#REF!,",",'Inverter-Full Data'!#REF!,",",'Inverter-Full Data'!#REF!,",",'Inverter-Full Data'!#REF!,"'")</f>
        <v>#REF!</v>
      </c>
    </row>
    <row r="1240" spans="1:1">
      <c r="A1240" s="2" t="str">
        <f>CONCATENATE("'",'Inverter-Full Data'!A222,"     ",'Inverter-Full Data'!B222,",",'Inverter-Full Data'!S222,",",'Inverter-Full Data'!J222,",",'Inverter-Full Data'!T222,"'")</f>
        <v>'Fronius International GmbH     Fronius Primo 6.0-1 208-240 [240V],Y,96.5,N'</v>
      </c>
    </row>
    <row r="1241" spans="1:1">
      <c r="A1241" s="2" t="str">
        <f>CONCATENATE("'",'Inverter-Full Data'!A223,"     ",'Inverter-Full Data'!B223,",",'Inverter-Full Data'!S223,",",'Inverter-Full Data'!J223,",",'Inverter-Full Data'!T223,"'")</f>
        <v>'Fronius International GmbH     Fronius Primo 7.6-1 208-240 [208V],Y,97,N'</v>
      </c>
    </row>
    <row r="1242" spans="1:1">
      <c r="A1242" s="2" t="str">
        <f>CONCATENATE("'",'Inverter-Full Data'!A224,"     ",'Inverter-Full Data'!B224,",",'Inverter-Full Data'!S224,",",'Inverter-Full Data'!J224,",",'Inverter-Full Data'!T224,"'")</f>
        <v>'Fronius International GmbH     Fronius Primo 7.6-1 208-240 [240V],Y,97,N'</v>
      </c>
    </row>
    <row r="1243" spans="1:1">
      <c r="A1243" s="2" t="str">
        <f>CONCATENATE("'",'Inverter-Full Data'!A225,"     ",'Inverter-Full Data'!B225,",",'Inverter-Full Data'!S225,",",'Inverter-Full Data'!J225,",",'Inverter-Full Data'!T225,"'")</f>
        <v>'Fronius International GmbH     Fronius Primo 8.2-1 208-240 [208V],Y,97,N'</v>
      </c>
    </row>
    <row r="1244" spans="1:1">
      <c r="A1244" s="2" t="str">
        <f>CONCATENATE("'",'Inverter-Full Data'!A226,"     ",'Inverter-Full Data'!B226,",",'Inverter-Full Data'!S226,",",'Inverter-Full Data'!J226,",",'Inverter-Full Data'!T226,"'")</f>
        <v>'Fronius International GmbH     Fronius Primo 8.2-1 208-240 [240V],Y,97,N'</v>
      </c>
    </row>
    <row r="1245" spans="1:1">
      <c r="A1245" s="2" t="str">
        <f>CONCATENATE("'",'Inverter-Full Data'!A227,"     ",'Inverter-Full Data'!B227,",",'Inverter-Full Data'!S227,",",'Inverter-Full Data'!J227,",",'Inverter-Full Data'!T227,"'")</f>
        <v>'Fronius International GmbH     Fronius Primo 10.0-1 [208V],Y,96.5,N'</v>
      </c>
    </row>
    <row r="1246" spans="1:1">
      <c r="A1246" s="2" t="str">
        <f>CONCATENATE("'",'Inverter-Full Data'!A228,"     ",'Inverter-Full Data'!B228,",",'Inverter-Full Data'!S228,",",'Inverter-Full Data'!J228,",",'Inverter-Full Data'!T228,"'")</f>
        <v>'Fronius International GmbH     Fronius Primo 10.0-1 [240V],Y,96.5,N'</v>
      </c>
    </row>
    <row r="1247" spans="1:1">
      <c r="A1247" s="2" t="str">
        <f>CONCATENATE("'",'Inverter-Full Data'!A229,"     ",'Inverter-Full Data'!B229,",",'Inverter-Full Data'!S229,",",'Inverter-Full Data'!J229,",",'Inverter-Full Data'!T229,"'")</f>
        <v>'Fronius International GmbH     Fronius Symo 10.0-3 208-240 [208V],Y,96.5,N'</v>
      </c>
    </row>
    <row r="1248" spans="1:1">
      <c r="A1248" s="2" t="str">
        <f>CONCATENATE("'",'Inverter-Full Data'!A230,"     ",'Inverter-Full Data'!B230,",",'Inverter-Full Data'!S230,",",'Inverter-Full Data'!J230,",",'Inverter-Full Data'!T230,"'")</f>
        <v>'Fronius International GmbH     Fronius Symo 10.0-3 208-240 [240V],Y,96.5,N'</v>
      </c>
    </row>
    <row r="1249" spans="1:1">
      <c r="A1249" s="2" t="str">
        <f>CONCATENATE("'",'Inverter-Full Data'!A231,"     ",'Inverter-Full Data'!B231,",",'Inverter-Full Data'!S231,",",'Inverter-Full Data'!J231,",",'Inverter-Full Data'!T231,"'")</f>
        <v>'Fronius International GmbH     Fronius Symo 10.0-3 480 [480V],Y,96.5,N'</v>
      </c>
    </row>
    <row r="1250" spans="1:1">
      <c r="A1250" s="2" t="str">
        <f>CONCATENATE("'",'Inverter-Full Data'!A232,"     ",'Inverter-Full Data'!B232,",",'Inverter-Full Data'!S232,",",'Inverter-Full Data'!J232,",",'Inverter-Full Data'!T232,"'")</f>
        <v>'Fronius International GmbH     Fronius Primo 11.4-1 [208V],Y,96.5,N'</v>
      </c>
    </row>
    <row r="1251" spans="1:1">
      <c r="A1251" s="2" t="str">
        <f>CONCATENATE("'",'Inverter-Full Data'!A233,"     ",'Inverter-Full Data'!B233,",",'Inverter-Full Data'!S233,",",'Inverter-Full Data'!J233,",",'Inverter-Full Data'!T233,"'")</f>
        <v>'Fronius International GmbH     Fronius Primo 11.4-1 [240V],Y,96.5,N'</v>
      </c>
    </row>
    <row r="1252" spans="1:1">
      <c r="A1252" s="2" t="str">
        <f>CONCATENATE("'",'Inverter-Full Data'!A234,"     ",'Inverter-Full Data'!B234,",",'Inverter-Full Data'!S234,",",'Inverter-Full Data'!J234,",",'Inverter-Full Data'!T234,"'")</f>
        <v>'Fronius International GmbH     Fronius Symo 12.0-3 208-240 [208V],Y,96.5,N'</v>
      </c>
    </row>
    <row r="1253" spans="1:1">
      <c r="A1253" s="2" t="str">
        <f>CONCATENATE("'",'Inverter-Full Data'!A235,"     ",'Inverter-Full Data'!B235,",",'Inverter-Full Data'!S235,",",'Inverter-Full Data'!J235,",",'Inverter-Full Data'!T235,"'")</f>
        <v>'Fronius International GmbH     Fronius Symo 12.0-3 208-240 [240V],Y,96.5,N'</v>
      </c>
    </row>
    <row r="1254" spans="1:1">
      <c r="A1254" s="2" t="str">
        <f>CONCATENATE("'",'Inverter-Full Data'!A236,"     ",'Inverter-Full Data'!B236,",",'Inverter-Full Data'!S236,",",'Inverter-Full Data'!J236,",",'Inverter-Full Data'!T236,"'")</f>
        <v>'Fronius International GmbH     Fronius Primo 12.5-1 [208V],Y,96.5,N'</v>
      </c>
    </row>
    <row r="1255" spans="1:1">
      <c r="A1255" s="2" t="str">
        <f>CONCATENATE("'",'Inverter-Full Data'!A237,"     ",'Inverter-Full Data'!B237,",",'Inverter-Full Data'!S237,",",'Inverter-Full Data'!J237,",",'Inverter-Full Data'!T237,"'")</f>
        <v>'Fronius International GmbH     Fronius Primo 12.5-1 [240V],Y,96.5,N'</v>
      </c>
    </row>
    <row r="1256" spans="1:1">
      <c r="A1256" s="2" t="str">
        <f>CONCATENATE("'",'Inverter-Full Data'!A238,"     ",'Inverter-Full Data'!B238,",",'Inverter-Full Data'!S238,",",'Inverter-Full Data'!J238,",",'Inverter-Full Data'!T238,"'")</f>
        <v>'Fronius International GmbH     Fronius Symo 12.5-3 480 [480V],Y,97,N'</v>
      </c>
    </row>
    <row r="1257" spans="1:1">
      <c r="A1257" s="2" t="str">
        <f>CONCATENATE("'",'Inverter-Full Data'!A239,"     ",'Inverter-Full Data'!B239,",",'Inverter-Full Data'!S239,",",'Inverter-Full Data'!J239,",",'Inverter-Full Data'!T239,"'")</f>
        <v>'Fronius International GmbH     Fronius Primo 15.0-1 [208V],Y,97,N'</v>
      </c>
    </row>
    <row r="1258" spans="1:1">
      <c r="A1258" s="2" t="str">
        <f>CONCATENATE("'",'Inverter-Full Data'!A240,"     ",'Inverter-Full Data'!B240,",",'Inverter-Full Data'!S240,",",'Inverter-Full Data'!J240,",",'Inverter-Full Data'!T240,"'")</f>
        <v>'Fronius International GmbH     Fronius Primo 15.0-1 [240V],Y,97,N'</v>
      </c>
    </row>
    <row r="1259" spans="1:1">
      <c r="A1259" s="2" t="str">
        <f>CONCATENATE("'",'Inverter-Full Data'!A241,"     ",'Inverter-Full Data'!B241,",",'Inverter-Full Data'!S241,",",'Inverter-Full Data'!J241,",",'Inverter-Full Data'!T241,"'")</f>
        <v>'Fronius International GmbH     Fronius Symo 15.0-3 [208V],Y,96.5,N'</v>
      </c>
    </row>
    <row r="1260" spans="1:1">
      <c r="A1260" s="2" t="str">
        <f>CONCATENATE("'",'Inverter-Full Data'!A242,"     ",'Inverter-Full Data'!B242,",",'Inverter-Full Data'!S242,",",'Inverter-Full Data'!J242,",",'Inverter-Full Data'!T242,"'")</f>
        <v>'Fronius International GmbH     Fronius Symo 15.0-3 480 [480V],Y,97,N'</v>
      </c>
    </row>
    <row r="1261" spans="1:1">
      <c r="A1261" s="2" t="str">
        <f>CONCATENATE("'",'Inverter-Full Data'!A243,"     ",'Inverter-Full Data'!B243,",",'Inverter-Full Data'!S243,",",'Inverter-Full Data'!J243,",",'Inverter-Full Data'!T243,"'")</f>
        <v>'Fronius International GmbH     Fronius Symo 17.5-3 480 [480V],Y,97.5,N'</v>
      </c>
    </row>
    <row r="1262" spans="1:1">
      <c r="A1262" s="2" t="str">
        <f>CONCATENATE("'",'Inverter-Full Data'!A244,"     ",'Inverter-Full Data'!B244,",",'Inverter-Full Data'!S244,",",'Inverter-Full Data'!J244,",",'Inverter-Full Data'!T244,"'")</f>
        <v>'Fronius International GmbH     Fronius Symo 20.0-3 480 [480V],Y,97.5,N'</v>
      </c>
    </row>
    <row r="1263" spans="1:1">
      <c r="A1263" s="2" t="str">
        <f>CONCATENATE("'",'Inverter-Full Data'!A245,"     ",'Inverter-Full Data'!B245,",",'Inverter-Full Data'!S245,",",'Inverter-Full Data'!J245,",",'Inverter-Full Data'!T245,"'")</f>
        <v>'Fronius International GmbH     Fronius Symo 22.7-3 480 [480V],Y,97.5,N'</v>
      </c>
    </row>
    <row r="1264" spans="1:1">
      <c r="A1264" s="2" t="str">
        <f>CONCATENATE("'",'Inverter-Full Data'!A246,"     ",'Inverter-Full Data'!B246,",",'Inverter-Full Data'!S246,",",'Inverter-Full Data'!J246,",",'Inverter-Full Data'!T246,"'")</f>
        <v>'Fronius International GmbH     Fronius Symo 24.0-3 480 [480V],Y,97.5,N'</v>
      </c>
    </row>
    <row r="1265" spans="1:1">
      <c r="A1265" s="2" t="e">
        <f>CONCATENATE("'",'Inverter-Full Data'!#REF!,"     ",'Inverter-Full Data'!#REF!,",",'Inverter-Full Data'!#REF!,",",'Inverter-Full Data'!#REF!,",",'Inverter-Full Data'!#REF!,"'")</f>
        <v>#REF!</v>
      </c>
    </row>
    <row r="1266" spans="1:1">
      <c r="A1266" s="2" t="e">
        <f>CONCATENATE("'",'Inverter-Full Data'!#REF!,"     ",'Inverter-Full Data'!#REF!,",",'Inverter-Full Data'!#REF!,",",'Inverter-Full Data'!#REF!,",",'Inverter-Full Data'!#REF!,"'")</f>
        <v>#REF!</v>
      </c>
    </row>
    <row r="1267" spans="1:1">
      <c r="A1267" s="2" t="e">
        <f>CONCATENATE("'",'Inverter-Full Data'!#REF!,"     ",'Inverter-Full Data'!#REF!,",",'Inverter-Full Data'!#REF!,",",'Inverter-Full Data'!#REF!,",",'Inverter-Full Data'!#REF!,"'")</f>
        <v>#REF!</v>
      </c>
    </row>
    <row r="1268" spans="1:1">
      <c r="A1268" s="2" t="e">
        <f>CONCATENATE("'",'Inverter-Full Data'!#REF!,"     ",'Inverter-Full Data'!#REF!,",",'Inverter-Full Data'!#REF!,",",'Inverter-Full Data'!#REF!,",",'Inverter-Full Data'!#REF!,"'")</f>
        <v>#REF!</v>
      </c>
    </row>
    <row r="1269" spans="1:1">
      <c r="A1269" s="2" t="e">
        <f>CONCATENATE("'",'Inverter-Full Data'!#REF!,"     ",'Inverter-Full Data'!#REF!,",",'Inverter-Full Data'!#REF!,",",'Inverter-Full Data'!#REF!,",",'Inverter-Full Data'!#REF!,"'")</f>
        <v>#REF!</v>
      </c>
    </row>
    <row r="1270" spans="1:1">
      <c r="A1270" s="2" t="e">
        <f>CONCATENATE("'",'Inverter-Full Data'!#REF!,"     ",'Inverter-Full Data'!#REF!,",",'Inverter-Full Data'!#REF!,",",'Inverter-Full Data'!#REF!,",",'Inverter-Full Data'!#REF!,"'")</f>
        <v>#REF!</v>
      </c>
    </row>
    <row r="1271" spans="1:1">
      <c r="A1271" s="2" t="e">
        <f>CONCATENATE("'",'Inverter-Full Data'!#REF!,"     ",'Inverter-Full Data'!#REF!,",",'Inverter-Full Data'!#REF!,",",'Inverter-Full Data'!#REF!,",",'Inverter-Full Data'!#REF!,"'")</f>
        <v>#REF!</v>
      </c>
    </row>
    <row r="1272" spans="1:1">
      <c r="A1272" s="2" t="e">
        <f>CONCATENATE("'",'Inverter-Full Data'!#REF!,"     ",'Inverter-Full Data'!#REF!,",",'Inverter-Full Data'!#REF!,",",'Inverter-Full Data'!#REF!,",",'Inverter-Full Data'!#REF!,"'")</f>
        <v>#REF!</v>
      </c>
    </row>
    <row r="1273" spans="1:1">
      <c r="A1273" s="2" t="e">
        <f>CONCATENATE("'",'Inverter-Full Data'!#REF!,"     ",'Inverter-Full Data'!#REF!,",",'Inverter-Full Data'!#REF!,",",'Inverter-Full Data'!#REF!,",",'Inverter-Full Data'!#REF!,"'")</f>
        <v>#REF!</v>
      </c>
    </row>
    <row r="1274" spans="1:1">
      <c r="A1274" s="2" t="e">
        <f>CONCATENATE("'",'Inverter-Full Data'!#REF!,"     ",'Inverter-Full Data'!#REF!,",",'Inverter-Full Data'!#REF!,",",'Inverter-Full Data'!#REF!,",",'Inverter-Full Data'!#REF!,"'")</f>
        <v>#REF!</v>
      </c>
    </row>
    <row r="1275" spans="1:1">
      <c r="A1275" s="2" t="e">
        <f>CONCATENATE("'",'Inverter-Full Data'!#REF!,"     ",'Inverter-Full Data'!#REF!,",",'Inverter-Full Data'!#REF!,",",'Inverter-Full Data'!#REF!,",",'Inverter-Full Data'!#REF!,"'")</f>
        <v>#REF!</v>
      </c>
    </row>
    <row r="1276" spans="1:1">
      <c r="A1276" s="2" t="e">
        <f>CONCATENATE("'",'Inverter-Full Data'!#REF!,"     ",'Inverter-Full Data'!#REF!,",",'Inverter-Full Data'!#REF!,",",'Inverter-Full Data'!#REF!,",",'Inverter-Full Data'!#REF!,"'")</f>
        <v>#REF!</v>
      </c>
    </row>
    <row r="1277" spans="1:1">
      <c r="A1277" s="2" t="e">
        <f>CONCATENATE("'",'Inverter-Full Data'!#REF!,"     ",'Inverter-Full Data'!#REF!,",",'Inverter-Full Data'!#REF!,",",'Inverter-Full Data'!#REF!,",",'Inverter-Full Data'!#REF!,"'")</f>
        <v>#REF!</v>
      </c>
    </row>
    <row r="1278" spans="1:1">
      <c r="A1278" s="2" t="e">
        <f>CONCATENATE("'",'Inverter-Full Data'!#REF!,"     ",'Inverter-Full Data'!#REF!,",",'Inverter-Full Data'!#REF!,",",'Inverter-Full Data'!#REF!,",",'Inverter-Full Data'!#REF!,"'")</f>
        <v>#REF!</v>
      </c>
    </row>
    <row r="1279" spans="1:1">
      <c r="A1279" s="2" t="e">
        <f>CONCATENATE("'",'Inverter-Full Data'!#REF!,"     ",'Inverter-Full Data'!#REF!,",",'Inverter-Full Data'!#REF!,",",'Inverter-Full Data'!#REF!,",",'Inverter-Full Data'!#REF!,"'")</f>
        <v>#REF!</v>
      </c>
    </row>
    <row r="1280" spans="1:1">
      <c r="A1280" s="2" t="e">
        <f>CONCATENATE("'",'Inverter-Full Data'!#REF!,"     ",'Inverter-Full Data'!#REF!,",",'Inverter-Full Data'!#REF!,",",'Inverter-Full Data'!#REF!,",",'Inverter-Full Data'!#REF!,"'")</f>
        <v>#REF!</v>
      </c>
    </row>
    <row r="1281" spans="1:1">
      <c r="A1281" s="2" t="e">
        <f>CONCATENATE("'",'Inverter-Full Data'!#REF!,"     ",'Inverter-Full Data'!#REF!,",",'Inverter-Full Data'!#REF!,",",'Inverter-Full Data'!#REF!,",",'Inverter-Full Data'!#REF!,"'")</f>
        <v>#REF!</v>
      </c>
    </row>
    <row r="1282" spans="1:1">
      <c r="A1282" s="2" t="e">
        <f>CONCATENATE("'",'Inverter-Full Data'!#REF!,"     ",'Inverter-Full Data'!#REF!,",",'Inverter-Full Data'!#REF!,",",'Inverter-Full Data'!#REF!,",",'Inverter-Full Data'!#REF!,"'")</f>
        <v>#REF!</v>
      </c>
    </row>
    <row r="1283" spans="1:1">
      <c r="A1283" s="2" t="e">
        <f>CONCATENATE("'",'Inverter-Full Data'!#REF!,"     ",'Inverter-Full Data'!#REF!,",",'Inverter-Full Data'!#REF!,",",'Inverter-Full Data'!#REF!,",",'Inverter-Full Data'!#REF!,"'")</f>
        <v>#REF!</v>
      </c>
    </row>
    <row r="1284" spans="1:1">
      <c r="A1284" s="2" t="e">
        <f>CONCATENATE("'",'Inverter-Full Data'!#REF!,"     ",'Inverter-Full Data'!#REF!,",",'Inverter-Full Data'!#REF!,",",'Inverter-Full Data'!#REF!,",",'Inverter-Full Data'!#REF!,"'")</f>
        <v>#REF!</v>
      </c>
    </row>
    <row r="1285" spans="1:1">
      <c r="A1285" s="2" t="e">
        <f>CONCATENATE("'",'Inverter-Full Data'!#REF!,"     ",'Inverter-Full Data'!#REF!,",",'Inverter-Full Data'!#REF!,",",'Inverter-Full Data'!#REF!,",",'Inverter-Full Data'!#REF!,"'")</f>
        <v>#REF!</v>
      </c>
    </row>
    <row r="1286" spans="1:1">
      <c r="A1286" s="2" t="e">
        <f>CONCATENATE("'",'Inverter-Full Data'!#REF!,"     ",'Inverter-Full Data'!#REF!,",",'Inverter-Full Data'!#REF!,",",'Inverter-Full Data'!#REF!,",",'Inverter-Full Data'!#REF!,"'")</f>
        <v>#REF!</v>
      </c>
    </row>
    <row r="1287" spans="1:1">
      <c r="A1287" s="2" t="e">
        <f>CONCATENATE("'",'Inverter-Full Data'!#REF!,"     ",'Inverter-Full Data'!#REF!,",",'Inverter-Full Data'!#REF!,",",'Inverter-Full Data'!#REF!,",",'Inverter-Full Data'!#REF!,"'")</f>
        <v>#REF!</v>
      </c>
    </row>
    <row r="1288" spans="1:1">
      <c r="A1288" s="2" t="e">
        <f>CONCATENATE("'",'Inverter-Full Data'!#REF!,"     ",'Inverter-Full Data'!#REF!,",",'Inverter-Full Data'!#REF!,",",'Inverter-Full Data'!#REF!,",",'Inverter-Full Data'!#REF!,"'")</f>
        <v>#REF!</v>
      </c>
    </row>
    <row r="1289" spans="1:1">
      <c r="A1289" s="2" t="e">
        <f>CONCATENATE("'",'Inverter-Full Data'!#REF!,"     ",'Inverter-Full Data'!#REF!,",",'Inverter-Full Data'!#REF!,",",'Inverter-Full Data'!#REF!,",",'Inverter-Full Data'!#REF!,"'")</f>
        <v>#REF!</v>
      </c>
    </row>
    <row r="1290" spans="1:1">
      <c r="A1290" s="2" t="e">
        <f>CONCATENATE("'",'Inverter-Full Data'!#REF!,"     ",'Inverter-Full Data'!#REF!,",",'Inverter-Full Data'!#REF!,",",'Inverter-Full Data'!#REF!,",",'Inverter-Full Data'!#REF!,"'")</f>
        <v>#REF!</v>
      </c>
    </row>
    <row r="1291" spans="1:1">
      <c r="A1291" s="2" t="e">
        <f>CONCATENATE("'",'Inverter-Full Data'!#REF!,"     ",'Inverter-Full Data'!#REF!,",",'Inverter-Full Data'!#REF!,",",'Inverter-Full Data'!#REF!,",",'Inverter-Full Data'!#REF!,"'")</f>
        <v>#REF!</v>
      </c>
    </row>
    <row r="1292" spans="1:1">
      <c r="A1292" s="2" t="e">
        <f>CONCATENATE("'",'Inverter-Full Data'!#REF!,"     ",'Inverter-Full Data'!#REF!,",",'Inverter-Full Data'!#REF!,",",'Inverter-Full Data'!#REF!,",",'Inverter-Full Data'!#REF!,"'")</f>
        <v>#REF!</v>
      </c>
    </row>
    <row r="1293" spans="1:1">
      <c r="A1293" s="2" t="e">
        <f>CONCATENATE("'",'Inverter-Full Data'!#REF!,"     ",'Inverter-Full Data'!#REF!,",",'Inverter-Full Data'!#REF!,",",'Inverter-Full Data'!#REF!,",",'Inverter-Full Data'!#REF!,"'")</f>
        <v>#REF!</v>
      </c>
    </row>
    <row r="1294" spans="1:1">
      <c r="A1294" s="2" t="e">
        <f>CONCATENATE("'",'Inverter-Full Data'!#REF!,"     ",'Inverter-Full Data'!#REF!,",",'Inverter-Full Data'!#REF!,",",'Inverter-Full Data'!#REF!,",",'Inverter-Full Data'!#REF!,"'")</f>
        <v>#REF!</v>
      </c>
    </row>
    <row r="1295" spans="1:1">
      <c r="A1295" s="2" t="e">
        <f>CONCATENATE("'",'Inverter-Full Data'!#REF!,"     ",'Inverter-Full Data'!#REF!,",",'Inverter-Full Data'!#REF!,",",'Inverter-Full Data'!#REF!,",",'Inverter-Full Data'!#REF!,"'")</f>
        <v>#REF!</v>
      </c>
    </row>
    <row r="1296" spans="1:1">
      <c r="A1296" s="2" t="e">
        <f>CONCATENATE("'",'Inverter-Full Data'!#REF!,"     ",'Inverter-Full Data'!#REF!,",",'Inverter-Full Data'!#REF!,",",'Inverter-Full Data'!#REF!,",",'Inverter-Full Data'!#REF!,"'")</f>
        <v>#REF!</v>
      </c>
    </row>
    <row r="1297" spans="1:1">
      <c r="A1297" s="2" t="e">
        <f>CONCATENATE("'",'Inverter-Full Data'!#REF!,"     ",'Inverter-Full Data'!#REF!,",",'Inverter-Full Data'!#REF!,",",'Inverter-Full Data'!#REF!,",",'Inverter-Full Data'!#REF!,"'")</f>
        <v>#REF!</v>
      </c>
    </row>
    <row r="1298" spans="1:1">
      <c r="A1298" s="2" t="e">
        <f>CONCATENATE("'",'Inverter-Full Data'!#REF!,"     ",'Inverter-Full Data'!#REF!,",",'Inverter-Full Data'!#REF!,",",'Inverter-Full Data'!#REF!,",",'Inverter-Full Data'!#REF!,"'")</f>
        <v>#REF!</v>
      </c>
    </row>
    <row r="1299" spans="1:1">
      <c r="A1299" s="2" t="e">
        <f>CONCATENATE("'",'Inverter-Full Data'!#REF!,"     ",'Inverter-Full Data'!#REF!,",",'Inverter-Full Data'!#REF!,",",'Inverter-Full Data'!#REF!,",",'Inverter-Full Data'!#REF!,"'")</f>
        <v>#REF!</v>
      </c>
    </row>
    <row r="1300" spans="1:1">
      <c r="A1300" s="2" t="e">
        <f>CONCATENATE("'",'Inverter-Full Data'!#REF!,"     ",'Inverter-Full Data'!#REF!,",",'Inverter-Full Data'!#REF!,",",'Inverter-Full Data'!#REF!,",",'Inverter-Full Data'!#REF!,"'")</f>
        <v>#REF!</v>
      </c>
    </row>
    <row r="1301" spans="1:1">
      <c r="A1301" s="2" t="e">
        <f>CONCATENATE("'",'Inverter-Full Data'!#REF!,"     ",'Inverter-Full Data'!#REF!,",",'Inverter-Full Data'!#REF!,",",'Inverter-Full Data'!#REF!,",",'Inverter-Full Data'!#REF!,"'")</f>
        <v>#REF!</v>
      </c>
    </row>
    <row r="1302" spans="1:1">
      <c r="A1302" s="2" t="e">
        <f>CONCATENATE("'",'Inverter-Full Data'!#REF!,"     ",'Inverter-Full Data'!#REF!,",",'Inverter-Full Data'!#REF!,",",'Inverter-Full Data'!#REF!,",",'Inverter-Full Data'!#REF!,"'")</f>
        <v>#REF!</v>
      </c>
    </row>
    <row r="1303" spans="1:1">
      <c r="A1303" s="2" t="e">
        <f>CONCATENATE("'",'Inverter-Full Data'!#REF!,"     ",'Inverter-Full Data'!#REF!,",",'Inverter-Full Data'!#REF!,",",'Inverter-Full Data'!#REF!,",",'Inverter-Full Data'!#REF!,"'")</f>
        <v>#REF!</v>
      </c>
    </row>
    <row r="1304" spans="1:1">
      <c r="A1304" s="2" t="e">
        <f>CONCATENATE("'",'Inverter-Full Data'!#REF!,"     ",'Inverter-Full Data'!#REF!,",",'Inverter-Full Data'!#REF!,",",'Inverter-Full Data'!#REF!,",",'Inverter-Full Data'!#REF!,"'")</f>
        <v>#REF!</v>
      </c>
    </row>
    <row r="1305" spans="1:1">
      <c r="A1305" s="2" t="e">
        <f>CONCATENATE("'",'Inverter-Full Data'!#REF!,"     ",'Inverter-Full Data'!#REF!,",",'Inverter-Full Data'!#REF!,",",'Inverter-Full Data'!#REF!,",",'Inverter-Full Data'!#REF!,"'")</f>
        <v>#REF!</v>
      </c>
    </row>
    <row r="1306" spans="1:1">
      <c r="A1306" s="2" t="e">
        <f>CONCATENATE("'",'Inverter-Full Data'!#REF!,"     ",'Inverter-Full Data'!#REF!,",",'Inverter-Full Data'!#REF!,",",'Inverter-Full Data'!#REF!,",",'Inverter-Full Data'!#REF!,"'")</f>
        <v>#REF!</v>
      </c>
    </row>
    <row r="1307" spans="1:1">
      <c r="A1307" s="2" t="e">
        <f>CONCATENATE("'",'Inverter-Full Data'!#REF!,"     ",'Inverter-Full Data'!#REF!,",",'Inverter-Full Data'!#REF!,",",'Inverter-Full Data'!#REF!,",",'Inverter-Full Data'!#REF!,"'")</f>
        <v>#REF!</v>
      </c>
    </row>
    <row r="1308" spans="1:1">
      <c r="A1308" s="2" t="e">
        <f>CONCATENATE("'",'Inverter-Full Data'!#REF!,"     ",'Inverter-Full Data'!#REF!,",",'Inverter-Full Data'!#REF!,",",'Inverter-Full Data'!#REF!,",",'Inverter-Full Data'!#REF!,"'")</f>
        <v>#REF!</v>
      </c>
    </row>
    <row r="1309" spans="1:1">
      <c r="A1309" s="2" t="e">
        <f>CONCATENATE("'",'Inverter-Full Data'!#REF!,"     ",'Inverter-Full Data'!#REF!,",",'Inverter-Full Data'!#REF!,",",'Inverter-Full Data'!#REF!,",",'Inverter-Full Data'!#REF!,"'")</f>
        <v>#REF!</v>
      </c>
    </row>
    <row r="1310" spans="1:1">
      <c r="A1310" s="2" t="e">
        <f>CONCATENATE("'",'Inverter-Full Data'!#REF!,"     ",'Inverter-Full Data'!#REF!,",",'Inverter-Full Data'!#REF!,",",'Inverter-Full Data'!#REF!,",",'Inverter-Full Data'!#REF!,"'")</f>
        <v>#REF!</v>
      </c>
    </row>
    <row r="1311" spans="1:1">
      <c r="A1311" s="2" t="e">
        <f>CONCATENATE("'",'Inverter-Full Data'!#REF!,"     ",'Inverter-Full Data'!#REF!,",",'Inverter-Full Data'!#REF!,",",'Inverter-Full Data'!#REF!,",",'Inverter-Full Data'!#REF!,"'")</f>
        <v>#REF!</v>
      </c>
    </row>
    <row r="1312" spans="1:1">
      <c r="A1312" s="2" t="e">
        <f>CONCATENATE("'",'Inverter-Full Data'!#REF!,"     ",'Inverter-Full Data'!#REF!,",",'Inverter-Full Data'!#REF!,",",'Inverter-Full Data'!#REF!,",",'Inverter-Full Data'!#REF!,"'")</f>
        <v>#REF!</v>
      </c>
    </row>
    <row r="1313" spans="1:1">
      <c r="A1313" s="2" t="e">
        <f>CONCATENATE("'",'Inverter-Full Data'!#REF!,"     ",'Inverter-Full Data'!#REF!,",",'Inverter-Full Data'!#REF!,",",'Inverter-Full Data'!#REF!,",",'Inverter-Full Data'!#REF!,"'")</f>
        <v>#REF!</v>
      </c>
    </row>
    <row r="1314" spans="1:1">
      <c r="A1314" s="2" t="e">
        <f>CONCATENATE("'",'Inverter-Full Data'!#REF!,"     ",'Inverter-Full Data'!#REF!,",",'Inverter-Full Data'!#REF!,",",'Inverter-Full Data'!#REF!,",",'Inverter-Full Data'!#REF!,"'")</f>
        <v>#REF!</v>
      </c>
    </row>
    <row r="1315" spans="1:1">
      <c r="A1315" s="2" t="e">
        <f>CONCATENATE("'",'Inverter-Full Data'!#REF!,"     ",'Inverter-Full Data'!#REF!,",",'Inverter-Full Data'!#REF!,",",'Inverter-Full Data'!#REF!,",",'Inverter-Full Data'!#REF!,"'")</f>
        <v>#REF!</v>
      </c>
    </row>
    <row r="1316" spans="1:1">
      <c r="A1316" s="2" t="e">
        <f>CONCATENATE("'",'Inverter-Full Data'!#REF!,"     ",'Inverter-Full Data'!#REF!,",",'Inverter-Full Data'!#REF!,",",'Inverter-Full Data'!#REF!,",",'Inverter-Full Data'!#REF!,"'")</f>
        <v>#REF!</v>
      </c>
    </row>
    <row r="1317" spans="1:1">
      <c r="A1317" s="2" t="e">
        <f>CONCATENATE("'",'Inverter-Full Data'!#REF!,"     ",'Inverter-Full Data'!#REF!,",",'Inverter-Full Data'!#REF!,",",'Inverter-Full Data'!#REF!,",",'Inverter-Full Data'!#REF!,"'")</f>
        <v>#REF!</v>
      </c>
    </row>
    <row r="1318" spans="1:1">
      <c r="A1318" s="2" t="e">
        <f>CONCATENATE("'",'Inverter-Full Data'!#REF!,"     ",'Inverter-Full Data'!#REF!,",",'Inverter-Full Data'!#REF!,",",'Inverter-Full Data'!#REF!,",",'Inverter-Full Data'!#REF!,"'")</f>
        <v>#REF!</v>
      </c>
    </row>
    <row r="1319" spans="1:1">
      <c r="A1319" s="2" t="e">
        <f>CONCATENATE("'",'Inverter-Full Data'!#REF!,"     ",'Inverter-Full Data'!#REF!,",",'Inverter-Full Data'!#REF!,",",'Inverter-Full Data'!#REF!,",",'Inverter-Full Data'!#REF!,"'")</f>
        <v>#REF!</v>
      </c>
    </row>
    <row r="1320" spans="1:1">
      <c r="A1320" s="2" t="e">
        <f>CONCATENATE("'",'Inverter-Full Data'!#REF!,"     ",'Inverter-Full Data'!#REF!,",",'Inverter-Full Data'!#REF!,",",'Inverter-Full Data'!#REF!,",",'Inverter-Full Data'!#REF!,"'")</f>
        <v>#REF!</v>
      </c>
    </row>
    <row r="1321" spans="1:1">
      <c r="A1321" s="2" t="e">
        <f>CONCATENATE("'",'Inverter-Full Data'!#REF!,"     ",'Inverter-Full Data'!#REF!,",",'Inverter-Full Data'!#REF!,",",'Inverter-Full Data'!#REF!,",",'Inverter-Full Data'!#REF!,"'")</f>
        <v>#REF!</v>
      </c>
    </row>
    <row r="1322" spans="1:1">
      <c r="A1322" s="2" t="e">
        <f>CONCATENATE("'",'Inverter-Full Data'!#REF!,"     ",'Inverter-Full Data'!#REF!,",",'Inverter-Full Data'!#REF!,",",'Inverter-Full Data'!#REF!,",",'Inverter-Full Data'!#REF!,"'")</f>
        <v>#REF!</v>
      </c>
    </row>
    <row r="1323" spans="1:1">
      <c r="A1323" s="2" t="e">
        <f>CONCATENATE("'",'Inverter-Full Data'!#REF!,"     ",'Inverter-Full Data'!#REF!,",",'Inverter-Full Data'!#REF!,",",'Inverter-Full Data'!#REF!,",",'Inverter-Full Data'!#REF!,"'")</f>
        <v>#REF!</v>
      </c>
    </row>
    <row r="1324" spans="1:1">
      <c r="A1324" s="2" t="e">
        <f>CONCATENATE("'",'Inverter-Full Data'!#REF!,"     ",'Inverter-Full Data'!#REF!,",",'Inverter-Full Data'!#REF!,",",'Inverter-Full Data'!#REF!,",",'Inverter-Full Data'!#REF!,"'")</f>
        <v>#REF!</v>
      </c>
    </row>
    <row r="1325" spans="1:1">
      <c r="A1325" s="2" t="e">
        <f>CONCATENATE("'",'Inverter-Full Data'!#REF!,"     ",'Inverter-Full Data'!#REF!,",",'Inverter-Full Data'!#REF!,",",'Inverter-Full Data'!#REF!,",",'Inverter-Full Data'!#REF!,"'")</f>
        <v>#REF!</v>
      </c>
    </row>
    <row r="1326" spans="1:1">
      <c r="A1326" s="2" t="e">
        <f>CONCATENATE("'",'Inverter-Full Data'!#REF!,"     ",'Inverter-Full Data'!#REF!,",",'Inverter-Full Data'!#REF!,",",'Inverter-Full Data'!#REF!,",",'Inverter-Full Data'!#REF!,"'")</f>
        <v>#REF!</v>
      </c>
    </row>
    <row r="1327" spans="1:1">
      <c r="A1327" s="2" t="e">
        <f>CONCATENATE("'",'Inverter-Full Data'!#REF!,"     ",'Inverter-Full Data'!#REF!,",",'Inverter-Full Data'!#REF!,",",'Inverter-Full Data'!#REF!,",",'Inverter-Full Data'!#REF!,"'")</f>
        <v>#REF!</v>
      </c>
    </row>
    <row r="1328" spans="1:1">
      <c r="A1328" s="2" t="e">
        <f>CONCATENATE("'",'Inverter-Full Data'!#REF!,"     ",'Inverter-Full Data'!#REF!,",",'Inverter-Full Data'!#REF!,",",'Inverter-Full Data'!#REF!,",",'Inverter-Full Data'!#REF!,"'")</f>
        <v>#REF!</v>
      </c>
    </row>
    <row r="1329" spans="1:1">
      <c r="A1329" s="2" t="e">
        <f>CONCATENATE("'",'Inverter-Full Data'!#REF!,"     ",'Inverter-Full Data'!#REF!,",",'Inverter-Full Data'!#REF!,",",'Inverter-Full Data'!#REF!,",",'Inverter-Full Data'!#REF!,"'")</f>
        <v>#REF!</v>
      </c>
    </row>
    <row r="1330" spans="1:1">
      <c r="A1330" s="2" t="e">
        <f>CONCATENATE("'",'Inverter-Full Data'!#REF!,"     ",'Inverter-Full Data'!#REF!,",",'Inverter-Full Data'!#REF!,",",'Inverter-Full Data'!#REF!,",",'Inverter-Full Data'!#REF!,"'")</f>
        <v>#REF!</v>
      </c>
    </row>
    <row r="1331" spans="1:1">
      <c r="A1331" s="2" t="e">
        <f>CONCATENATE("'",'Inverter-Full Data'!#REF!,"     ",'Inverter-Full Data'!#REF!,",",'Inverter-Full Data'!#REF!,",",'Inverter-Full Data'!#REF!,",",'Inverter-Full Data'!#REF!,"'")</f>
        <v>#REF!</v>
      </c>
    </row>
    <row r="1332" spans="1:1">
      <c r="A1332" s="2" t="e">
        <f>CONCATENATE("'",'Inverter-Full Data'!#REF!,"     ",'Inverter-Full Data'!#REF!,",",'Inverter-Full Data'!#REF!,",",'Inverter-Full Data'!#REF!,",",'Inverter-Full Data'!#REF!,"'")</f>
        <v>#REF!</v>
      </c>
    </row>
    <row r="1333" spans="1:1">
      <c r="A1333" s="2" t="e">
        <f>CONCATENATE("'",'Inverter-Full Data'!#REF!,"     ",'Inverter-Full Data'!#REF!,",",'Inverter-Full Data'!#REF!,",",'Inverter-Full Data'!#REF!,",",'Inverter-Full Data'!#REF!,"'")</f>
        <v>#REF!</v>
      </c>
    </row>
    <row r="1334" spans="1:1">
      <c r="A1334" s="2" t="e">
        <f>CONCATENATE("'",'Inverter-Full Data'!#REF!,"     ",'Inverter-Full Data'!#REF!,",",'Inverter-Full Data'!#REF!,",",'Inverter-Full Data'!#REF!,",",'Inverter-Full Data'!#REF!,"'")</f>
        <v>#REF!</v>
      </c>
    </row>
    <row r="1335" spans="1:1">
      <c r="A1335" s="2" t="e">
        <f>CONCATENATE("'",'Inverter-Full Data'!#REF!,"     ",'Inverter-Full Data'!#REF!,",",'Inverter-Full Data'!#REF!,",",'Inverter-Full Data'!#REF!,",",'Inverter-Full Data'!#REF!,"'")</f>
        <v>#REF!</v>
      </c>
    </row>
    <row r="1336" spans="1:1">
      <c r="A1336" s="2" t="e">
        <f>CONCATENATE("'",'Inverter-Full Data'!#REF!,"     ",'Inverter-Full Data'!#REF!,",",'Inverter-Full Data'!#REF!,",",'Inverter-Full Data'!#REF!,",",'Inverter-Full Data'!#REF!,"'")</f>
        <v>#REF!</v>
      </c>
    </row>
    <row r="1337" spans="1:1">
      <c r="A1337" s="2" t="e">
        <f>CONCATENATE("'",'Inverter-Full Data'!#REF!,"     ",'Inverter-Full Data'!#REF!,",",'Inverter-Full Data'!#REF!,",",'Inverter-Full Data'!#REF!,",",'Inverter-Full Data'!#REF!,"'")</f>
        <v>#REF!</v>
      </c>
    </row>
    <row r="1338" spans="1:1">
      <c r="A1338" s="2" t="e">
        <f>CONCATENATE("'",'Inverter-Full Data'!#REF!,"     ",'Inverter-Full Data'!#REF!,",",'Inverter-Full Data'!#REF!,",",'Inverter-Full Data'!#REF!,",",'Inverter-Full Data'!#REF!,"'")</f>
        <v>#REF!</v>
      </c>
    </row>
    <row r="1339" spans="1:1">
      <c r="A1339" s="2" t="e">
        <f>CONCATENATE("'",'Inverter-Full Data'!#REF!,"     ",'Inverter-Full Data'!#REF!,",",'Inverter-Full Data'!#REF!,",",'Inverter-Full Data'!#REF!,",",'Inverter-Full Data'!#REF!,"'")</f>
        <v>#REF!</v>
      </c>
    </row>
    <row r="1340" spans="1:1">
      <c r="A1340" s="2" t="e">
        <f>CONCATENATE("'",'Inverter-Full Data'!#REF!,"     ",'Inverter-Full Data'!#REF!,",",'Inverter-Full Data'!#REF!,",",'Inverter-Full Data'!#REF!,",",'Inverter-Full Data'!#REF!,"'")</f>
        <v>#REF!</v>
      </c>
    </row>
    <row r="1341" spans="1:1">
      <c r="A1341" s="2" t="e">
        <f>CONCATENATE("'",'Inverter-Full Data'!#REF!,"     ",'Inverter-Full Data'!#REF!,",",'Inverter-Full Data'!#REF!,",",'Inverter-Full Data'!#REF!,",",'Inverter-Full Data'!#REF!,"'")</f>
        <v>#REF!</v>
      </c>
    </row>
    <row r="1342" spans="1:1">
      <c r="A1342" s="2" t="e">
        <f>CONCATENATE("'",'Inverter-Full Data'!#REF!,"     ",'Inverter-Full Data'!#REF!,",",'Inverter-Full Data'!#REF!,",",'Inverter-Full Data'!#REF!,",",'Inverter-Full Data'!#REF!,"'")</f>
        <v>#REF!</v>
      </c>
    </row>
    <row r="1343" spans="1:1">
      <c r="A1343" s="2" t="e">
        <f>CONCATENATE("'",'Inverter-Full Data'!#REF!,"     ",'Inverter-Full Data'!#REF!,",",'Inverter-Full Data'!#REF!,",",'Inverter-Full Data'!#REF!,",",'Inverter-Full Data'!#REF!,"'")</f>
        <v>#REF!</v>
      </c>
    </row>
    <row r="1344" spans="1:1">
      <c r="A1344" s="2" t="e">
        <f>CONCATENATE("'",'Inverter-Full Data'!#REF!,"     ",'Inverter-Full Data'!#REF!,",",'Inverter-Full Data'!#REF!,",",'Inverter-Full Data'!#REF!,",",'Inverter-Full Data'!#REF!,"'")</f>
        <v>#REF!</v>
      </c>
    </row>
    <row r="1345" spans="1:1">
      <c r="A1345" s="2" t="e">
        <f>CONCATENATE("'",'Inverter-Full Data'!#REF!,"     ",'Inverter-Full Data'!#REF!,",",'Inverter-Full Data'!#REF!,",",'Inverter-Full Data'!#REF!,",",'Inverter-Full Data'!#REF!,"'")</f>
        <v>#REF!</v>
      </c>
    </row>
    <row r="1346" spans="1:1">
      <c r="A1346" s="2" t="e">
        <f>CONCATENATE("'",'Inverter-Full Data'!#REF!,"     ",'Inverter-Full Data'!#REF!,",",'Inverter-Full Data'!#REF!,",",'Inverter-Full Data'!#REF!,",",'Inverter-Full Data'!#REF!,"'")</f>
        <v>#REF!</v>
      </c>
    </row>
    <row r="1347" spans="1:1">
      <c r="A1347" s="2" t="e">
        <f>CONCATENATE("'",'Inverter-Full Data'!#REF!,"     ",'Inverter-Full Data'!#REF!,",",'Inverter-Full Data'!#REF!,",",'Inverter-Full Data'!#REF!,",",'Inverter-Full Data'!#REF!,"'")</f>
        <v>#REF!</v>
      </c>
    </row>
    <row r="1348" spans="1:1">
      <c r="A1348" s="2" t="e">
        <f>CONCATENATE("'",'Inverter-Full Data'!#REF!,"     ",'Inverter-Full Data'!#REF!,",",'Inverter-Full Data'!#REF!,",",'Inverter-Full Data'!#REF!,",",'Inverter-Full Data'!#REF!,"'")</f>
        <v>#REF!</v>
      </c>
    </row>
    <row r="1349" spans="1:1">
      <c r="A1349" s="2" t="e">
        <f>CONCATENATE("'",'Inverter-Full Data'!#REF!,"     ",'Inverter-Full Data'!#REF!,",",'Inverter-Full Data'!#REF!,",",'Inverter-Full Data'!#REF!,",",'Inverter-Full Data'!#REF!,"'")</f>
        <v>#REF!</v>
      </c>
    </row>
    <row r="1350" spans="1:1">
      <c r="A1350" s="2" t="e">
        <f>CONCATENATE("'",'Inverter-Full Data'!#REF!,"     ",'Inverter-Full Data'!#REF!,",",'Inverter-Full Data'!#REF!,",",'Inverter-Full Data'!#REF!,",",'Inverter-Full Data'!#REF!,"'")</f>
        <v>#REF!</v>
      </c>
    </row>
    <row r="1351" spans="1:1">
      <c r="A1351" s="2" t="e">
        <f>CONCATENATE("'",'Inverter-Full Data'!#REF!,"     ",'Inverter-Full Data'!#REF!,",",'Inverter-Full Data'!#REF!,",",'Inverter-Full Data'!#REF!,",",'Inverter-Full Data'!#REF!,"'")</f>
        <v>#REF!</v>
      </c>
    </row>
    <row r="1352" spans="1:1">
      <c r="A1352" s="2" t="e">
        <f>CONCATENATE("'",'Inverter-Full Data'!#REF!,"     ",'Inverter-Full Data'!#REF!,",",'Inverter-Full Data'!#REF!,",",'Inverter-Full Data'!#REF!,",",'Inverter-Full Data'!#REF!,"'")</f>
        <v>#REF!</v>
      </c>
    </row>
    <row r="1353" spans="1:1">
      <c r="A1353" s="2" t="e">
        <f>CONCATENATE("'",'Inverter-Full Data'!#REF!,"     ",'Inverter-Full Data'!#REF!,",",'Inverter-Full Data'!#REF!,",",'Inverter-Full Data'!#REF!,",",'Inverter-Full Data'!#REF!,"'")</f>
        <v>#REF!</v>
      </c>
    </row>
    <row r="1354" spans="1:1">
      <c r="A1354" s="2" t="e">
        <f>CONCATENATE("'",'Inverter-Full Data'!#REF!,"     ",'Inverter-Full Data'!#REF!,",",'Inverter-Full Data'!#REF!,",",'Inverter-Full Data'!#REF!,",",'Inverter-Full Data'!#REF!,"'")</f>
        <v>#REF!</v>
      </c>
    </row>
    <row r="1355" spans="1:1">
      <c r="A1355" s="2" t="e">
        <f>CONCATENATE("'",'Inverter-Full Data'!#REF!,"     ",'Inverter-Full Data'!#REF!,",",'Inverter-Full Data'!#REF!,",",'Inverter-Full Data'!#REF!,",",'Inverter-Full Data'!#REF!,"'")</f>
        <v>#REF!</v>
      </c>
    </row>
    <row r="1356" spans="1:1">
      <c r="A1356" s="2" t="e">
        <f>CONCATENATE("'",'Inverter-Full Data'!#REF!,"     ",'Inverter-Full Data'!#REF!,",",'Inverter-Full Data'!#REF!,",",'Inverter-Full Data'!#REF!,",",'Inverter-Full Data'!#REF!,"'")</f>
        <v>#REF!</v>
      </c>
    </row>
    <row r="1357" spans="1:1">
      <c r="A1357" s="2" t="e">
        <f>CONCATENATE("'",'Inverter-Full Data'!#REF!,"     ",'Inverter-Full Data'!#REF!,",",'Inverter-Full Data'!#REF!,",",'Inverter-Full Data'!#REF!,",",'Inverter-Full Data'!#REF!,"'")</f>
        <v>#REF!</v>
      </c>
    </row>
    <row r="1358" spans="1:1">
      <c r="A1358" s="2" t="e">
        <f>CONCATENATE("'",'Inverter-Full Data'!#REF!,"     ",'Inverter-Full Data'!#REF!,",",'Inverter-Full Data'!#REF!,",",'Inverter-Full Data'!#REF!,",",'Inverter-Full Data'!#REF!,"'")</f>
        <v>#REF!</v>
      </c>
    </row>
    <row r="1359" spans="1:1">
      <c r="A1359" s="2" t="e">
        <f>CONCATENATE("'",'Inverter-Full Data'!#REF!,"     ",'Inverter-Full Data'!#REF!,",",'Inverter-Full Data'!#REF!,",",'Inverter-Full Data'!#REF!,",",'Inverter-Full Data'!#REF!,"'")</f>
        <v>#REF!</v>
      </c>
    </row>
    <row r="1360" spans="1:1">
      <c r="A1360" s="2" t="e">
        <f>CONCATENATE("'",'Inverter-Full Data'!#REF!,"     ",'Inverter-Full Data'!#REF!,",",'Inverter-Full Data'!#REF!,",",'Inverter-Full Data'!#REF!,",",'Inverter-Full Data'!#REF!,"'")</f>
        <v>#REF!</v>
      </c>
    </row>
    <row r="1361" spans="1:1">
      <c r="A1361" s="2" t="e">
        <f>CONCATENATE("'",'Inverter-Full Data'!#REF!,"     ",'Inverter-Full Data'!#REF!,",",'Inverter-Full Data'!#REF!,",",'Inverter-Full Data'!#REF!,",",'Inverter-Full Data'!#REF!,"'")</f>
        <v>#REF!</v>
      </c>
    </row>
    <row r="1362" spans="1:1">
      <c r="A1362" s="2" t="e">
        <f>CONCATENATE("'",'Inverter-Full Data'!#REF!,"     ",'Inverter-Full Data'!#REF!,",",'Inverter-Full Data'!#REF!,",",'Inverter-Full Data'!#REF!,",",'Inverter-Full Data'!#REF!,"'")</f>
        <v>#REF!</v>
      </c>
    </row>
    <row r="1363" spans="1:1">
      <c r="A1363" s="2" t="e">
        <f>CONCATENATE("'",'Inverter-Full Data'!#REF!,"     ",'Inverter-Full Data'!#REF!,",",'Inverter-Full Data'!#REF!,",",'Inverter-Full Data'!#REF!,",",'Inverter-Full Data'!#REF!,"'")</f>
        <v>#REF!</v>
      </c>
    </row>
    <row r="1364" spans="1:1">
      <c r="A1364" s="2" t="e">
        <f>CONCATENATE("'",'Inverter-Full Data'!#REF!,"     ",'Inverter-Full Data'!#REF!,",",'Inverter-Full Data'!#REF!,",",'Inverter-Full Data'!#REF!,",",'Inverter-Full Data'!#REF!,"'")</f>
        <v>#REF!</v>
      </c>
    </row>
    <row r="1365" spans="1:1">
      <c r="A1365" s="2" t="e">
        <f>CONCATENATE("'",'Inverter-Full Data'!#REF!,"     ",'Inverter-Full Data'!#REF!,",",'Inverter-Full Data'!#REF!,",",'Inverter-Full Data'!#REF!,",",'Inverter-Full Data'!#REF!,"'")</f>
        <v>#REF!</v>
      </c>
    </row>
    <row r="1366" spans="1:1">
      <c r="A1366" s="2" t="e">
        <f>CONCATENATE("'",'Inverter-Full Data'!#REF!,"     ",'Inverter-Full Data'!#REF!,",",'Inverter-Full Data'!#REF!,",",'Inverter-Full Data'!#REF!,",",'Inverter-Full Data'!#REF!,"'")</f>
        <v>#REF!</v>
      </c>
    </row>
    <row r="1367" spans="1:1">
      <c r="A1367" s="2" t="e">
        <f>CONCATENATE("'",'Inverter-Full Data'!#REF!,"     ",'Inverter-Full Data'!#REF!,",",'Inverter-Full Data'!#REF!,",",'Inverter-Full Data'!#REF!,",",'Inverter-Full Data'!#REF!,"'")</f>
        <v>#REF!</v>
      </c>
    </row>
    <row r="1368" spans="1:1">
      <c r="A1368" s="2" t="e">
        <f>CONCATENATE("'",'Inverter-Full Data'!#REF!,"     ",'Inverter-Full Data'!#REF!,",",'Inverter-Full Data'!#REF!,",",'Inverter-Full Data'!#REF!,",",'Inverter-Full Data'!#REF!,"'")</f>
        <v>#REF!</v>
      </c>
    </row>
    <row r="1369" spans="1:1">
      <c r="A1369" s="2" t="e">
        <f>CONCATENATE("'",'Inverter-Full Data'!#REF!,"     ",'Inverter-Full Data'!#REF!,",",'Inverter-Full Data'!#REF!,",",'Inverter-Full Data'!#REF!,",",'Inverter-Full Data'!#REF!,"'")</f>
        <v>#REF!</v>
      </c>
    </row>
    <row r="1370" spans="1:1">
      <c r="A1370" s="2" t="e">
        <f>CONCATENATE("'",'Inverter-Full Data'!#REF!,"     ",'Inverter-Full Data'!#REF!,",",'Inverter-Full Data'!#REF!,",",'Inverter-Full Data'!#REF!,",",'Inverter-Full Data'!#REF!,"'")</f>
        <v>#REF!</v>
      </c>
    </row>
    <row r="1371" spans="1:1">
      <c r="A1371" s="2" t="e">
        <f>CONCATENATE("'",'Inverter-Full Data'!#REF!,"     ",'Inverter-Full Data'!#REF!,",",'Inverter-Full Data'!#REF!,",",'Inverter-Full Data'!#REF!,",",'Inverter-Full Data'!#REF!,"'")</f>
        <v>#REF!</v>
      </c>
    </row>
    <row r="1372" spans="1:1">
      <c r="A1372" s="2" t="e">
        <f>CONCATENATE("'",'Inverter-Full Data'!#REF!,"     ",'Inverter-Full Data'!#REF!,",",'Inverter-Full Data'!#REF!,",",'Inverter-Full Data'!#REF!,",",'Inverter-Full Data'!#REF!,"'")</f>
        <v>#REF!</v>
      </c>
    </row>
    <row r="1373" spans="1:1">
      <c r="A1373" s="2" t="e">
        <f>CONCATENATE("'",'Inverter-Full Data'!#REF!,"     ",'Inverter-Full Data'!#REF!,",",'Inverter-Full Data'!#REF!,",",'Inverter-Full Data'!#REF!,",",'Inverter-Full Data'!#REF!,"'")</f>
        <v>#REF!</v>
      </c>
    </row>
    <row r="1374" spans="1:1">
      <c r="A1374" s="2" t="e">
        <f>CONCATENATE("'",'Inverter-Full Data'!#REF!,"     ",'Inverter-Full Data'!#REF!,",",'Inverter-Full Data'!#REF!,",",'Inverter-Full Data'!#REF!,",",'Inverter-Full Data'!#REF!,"'")</f>
        <v>#REF!</v>
      </c>
    </row>
    <row r="1375" spans="1:1">
      <c r="A1375" s="2" t="e">
        <f>CONCATENATE("'",'Inverter-Full Data'!#REF!,"     ",'Inverter-Full Data'!#REF!,",",'Inverter-Full Data'!#REF!,",",'Inverter-Full Data'!#REF!,",",'Inverter-Full Data'!#REF!,"'")</f>
        <v>#REF!</v>
      </c>
    </row>
    <row r="1376" spans="1:1">
      <c r="A1376" s="2" t="e">
        <f>CONCATENATE("'",'Inverter-Full Data'!#REF!,"     ",'Inverter-Full Data'!#REF!,",",'Inverter-Full Data'!#REF!,",",'Inverter-Full Data'!#REF!,",",'Inverter-Full Data'!#REF!,"'")</f>
        <v>#REF!</v>
      </c>
    </row>
    <row r="1377" spans="1:1">
      <c r="A1377" s="2" t="e">
        <f>CONCATENATE("'",'Inverter-Full Data'!#REF!,"     ",'Inverter-Full Data'!#REF!,",",'Inverter-Full Data'!#REF!,",",'Inverter-Full Data'!#REF!,",",'Inverter-Full Data'!#REF!,"'")</f>
        <v>#REF!</v>
      </c>
    </row>
    <row r="1378" spans="1:1">
      <c r="A1378" s="2" t="e">
        <f>CONCATENATE("'",'Inverter-Full Data'!#REF!,"     ",'Inverter-Full Data'!#REF!,",",'Inverter-Full Data'!#REF!,",",'Inverter-Full Data'!#REF!,",",'Inverter-Full Data'!#REF!,"'")</f>
        <v>#REF!</v>
      </c>
    </row>
    <row r="1379" spans="1:1">
      <c r="A1379" s="2" t="e">
        <f>CONCATENATE("'",'Inverter-Full Data'!#REF!,"     ",'Inverter-Full Data'!#REF!,",",'Inverter-Full Data'!#REF!,",",'Inverter-Full Data'!#REF!,",",'Inverter-Full Data'!#REF!,"'")</f>
        <v>#REF!</v>
      </c>
    </row>
    <row r="1380" spans="1:1">
      <c r="A1380" s="2" t="e">
        <f>CONCATENATE("'",'Inverter-Full Data'!#REF!,"     ",'Inverter-Full Data'!#REF!,",",'Inverter-Full Data'!#REF!,",",'Inverter-Full Data'!#REF!,",",'Inverter-Full Data'!#REF!,"'")</f>
        <v>#REF!</v>
      </c>
    </row>
    <row r="1381" spans="1:1">
      <c r="A1381" s="2" t="e">
        <f>CONCATENATE("'",'Inverter-Full Data'!#REF!,"     ",'Inverter-Full Data'!#REF!,",",'Inverter-Full Data'!#REF!,",",'Inverter-Full Data'!#REF!,",",'Inverter-Full Data'!#REF!,"'")</f>
        <v>#REF!</v>
      </c>
    </row>
    <row r="1382" spans="1:1">
      <c r="A1382" s="2" t="e">
        <f>CONCATENATE("'",'Inverter-Full Data'!#REF!,"     ",'Inverter-Full Data'!#REF!,",",'Inverter-Full Data'!#REF!,",",'Inverter-Full Data'!#REF!,",",'Inverter-Full Data'!#REF!,"'")</f>
        <v>#REF!</v>
      </c>
    </row>
    <row r="1383" spans="1:1">
      <c r="A1383" s="2" t="e">
        <f>CONCATENATE("'",'Inverter-Full Data'!#REF!,"     ",'Inverter-Full Data'!#REF!,",",'Inverter-Full Data'!#REF!,",",'Inverter-Full Data'!#REF!,",",'Inverter-Full Data'!#REF!,"'")</f>
        <v>#REF!</v>
      </c>
    </row>
    <row r="1384" spans="1:1">
      <c r="A1384" s="2" t="e">
        <f>CONCATENATE("'",'Inverter-Full Data'!#REF!,"     ",'Inverter-Full Data'!#REF!,",",'Inverter-Full Data'!#REF!,",",'Inverter-Full Data'!#REF!,",",'Inverter-Full Data'!#REF!,"'")</f>
        <v>#REF!</v>
      </c>
    </row>
    <row r="1385" spans="1:1">
      <c r="A1385" s="2" t="e">
        <f>CONCATENATE("'",'Inverter-Full Data'!#REF!,"     ",'Inverter-Full Data'!#REF!,",",'Inverter-Full Data'!#REF!,",",'Inverter-Full Data'!#REF!,",",'Inverter-Full Data'!#REF!,"'")</f>
        <v>#REF!</v>
      </c>
    </row>
    <row r="1386" spans="1:1">
      <c r="A1386" s="2" t="e">
        <f>CONCATENATE("'",'Inverter-Full Data'!#REF!,"     ",'Inverter-Full Data'!#REF!,",",'Inverter-Full Data'!#REF!,",",'Inverter-Full Data'!#REF!,",",'Inverter-Full Data'!#REF!,"'")</f>
        <v>#REF!</v>
      </c>
    </row>
    <row r="1387" spans="1:1">
      <c r="A1387" s="2" t="e">
        <f>CONCATENATE("'",'Inverter-Full Data'!#REF!,"     ",'Inverter-Full Data'!#REF!,",",'Inverter-Full Data'!#REF!,",",'Inverter-Full Data'!#REF!,",",'Inverter-Full Data'!#REF!,"'")</f>
        <v>#REF!</v>
      </c>
    </row>
    <row r="1388" spans="1:1">
      <c r="A1388" s="2" t="e">
        <f>CONCATENATE("'",'Inverter-Full Data'!#REF!,"     ",'Inverter-Full Data'!#REF!,",",'Inverter-Full Data'!#REF!,",",'Inverter-Full Data'!#REF!,",",'Inverter-Full Data'!#REF!,"'")</f>
        <v>#REF!</v>
      </c>
    </row>
    <row r="1389" spans="1:1">
      <c r="A1389" s="2" t="e">
        <f>CONCATENATE("'",'Inverter-Full Data'!#REF!,"     ",'Inverter-Full Data'!#REF!,",",'Inverter-Full Data'!#REF!,",",'Inverter-Full Data'!#REF!,",",'Inverter-Full Data'!#REF!,"'")</f>
        <v>#REF!</v>
      </c>
    </row>
    <row r="1390" spans="1:1">
      <c r="A1390" s="2" t="e">
        <f>CONCATENATE("'",'Inverter-Full Data'!#REF!,"     ",'Inverter-Full Data'!#REF!,",",'Inverter-Full Data'!#REF!,",",'Inverter-Full Data'!#REF!,",",'Inverter-Full Data'!#REF!,"'")</f>
        <v>#REF!</v>
      </c>
    </row>
    <row r="1391" spans="1:1">
      <c r="A1391" s="2" t="e">
        <f>CONCATENATE("'",'Inverter-Full Data'!#REF!,"     ",'Inverter-Full Data'!#REF!,",",'Inverter-Full Data'!#REF!,",",'Inverter-Full Data'!#REF!,",",'Inverter-Full Data'!#REF!,"'")</f>
        <v>#REF!</v>
      </c>
    </row>
    <row r="1392" spans="1:1">
      <c r="A1392" s="2" t="e">
        <f>CONCATENATE("'",'Inverter-Full Data'!#REF!,"     ",'Inverter-Full Data'!#REF!,",",'Inverter-Full Data'!#REF!,",",'Inverter-Full Data'!#REF!,",",'Inverter-Full Data'!#REF!,"'")</f>
        <v>#REF!</v>
      </c>
    </row>
    <row r="1393" spans="1:1">
      <c r="A1393" s="2" t="e">
        <f>CONCATENATE("'",'Inverter-Full Data'!#REF!,"     ",'Inverter-Full Data'!#REF!,",",'Inverter-Full Data'!#REF!,",",'Inverter-Full Data'!#REF!,",",'Inverter-Full Data'!#REF!,"'")</f>
        <v>#REF!</v>
      </c>
    </row>
    <row r="1394" spans="1:1">
      <c r="A1394" s="2" t="e">
        <f>CONCATENATE("'",'Inverter-Full Data'!#REF!,"     ",'Inverter-Full Data'!#REF!,",",'Inverter-Full Data'!#REF!,",",'Inverter-Full Data'!#REF!,",",'Inverter-Full Data'!#REF!,"'")</f>
        <v>#REF!</v>
      </c>
    </row>
    <row r="1395" spans="1:1">
      <c r="A1395" s="2" t="e">
        <f>CONCATENATE("'",'Inverter-Full Data'!#REF!,"     ",'Inverter-Full Data'!#REF!,",",'Inverter-Full Data'!#REF!,",",'Inverter-Full Data'!#REF!,",",'Inverter-Full Data'!#REF!,"'")</f>
        <v>#REF!</v>
      </c>
    </row>
    <row r="1396" spans="1:1">
      <c r="A1396" s="2" t="e">
        <f>CONCATENATE("'",'Inverter-Full Data'!#REF!,"     ",'Inverter-Full Data'!#REF!,",",'Inverter-Full Data'!#REF!,",",'Inverter-Full Data'!#REF!,",",'Inverter-Full Data'!#REF!,"'")</f>
        <v>#REF!</v>
      </c>
    </row>
    <row r="1397" spans="1:1">
      <c r="A1397" s="2" t="e">
        <f>CONCATENATE("'",'Inverter-Full Data'!#REF!,"     ",'Inverter-Full Data'!#REF!,",",'Inverter-Full Data'!#REF!,",",'Inverter-Full Data'!#REF!,",",'Inverter-Full Data'!#REF!,"'")</f>
        <v>#REF!</v>
      </c>
    </row>
    <row r="1398" spans="1:1">
      <c r="A1398" s="2" t="e">
        <f>CONCATENATE("'",'Inverter-Full Data'!#REF!,"     ",'Inverter-Full Data'!#REF!,",",'Inverter-Full Data'!#REF!,",",'Inverter-Full Data'!#REF!,",",'Inverter-Full Data'!#REF!,"'")</f>
        <v>#REF!</v>
      </c>
    </row>
    <row r="1399" spans="1:1">
      <c r="A1399" s="2" t="e">
        <f>CONCATENATE("'",'Inverter-Full Data'!#REF!,"     ",'Inverter-Full Data'!#REF!,",",'Inverter-Full Data'!#REF!,",",'Inverter-Full Data'!#REF!,",",'Inverter-Full Data'!#REF!,"'")</f>
        <v>#REF!</v>
      </c>
    </row>
    <row r="1400" spans="1:1">
      <c r="A1400" s="2" t="e">
        <f>CONCATENATE("'",'Inverter-Full Data'!#REF!,"     ",'Inverter-Full Data'!#REF!,",",'Inverter-Full Data'!#REF!,",",'Inverter-Full Data'!#REF!,",",'Inverter-Full Data'!#REF!,"'")</f>
        <v>#REF!</v>
      </c>
    </row>
    <row r="1401" spans="1:1">
      <c r="A1401" s="2" t="e">
        <f>CONCATENATE("'",'Inverter-Full Data'!#REF!,"     ",'Inverter-Full Data'!#REF!,",",'Inverter-Full Data'!#REF!,",",'Inverter-Full Data'!#REF!,",",'Inverter-Full Data'!#REF!,"'")</f>
        <v>#REF!</v>
      </c>
    </row>
    <row r="1402" spans="1:1">
      <c r="A1402" s="2" t="e">
        <f>CONCATENATE("'",'Inverter-Full Data'!#REF!,"     ",'Inverter-Full Data'!#REF!,",",'Inverter-Full Data'!#REF!,",",'Inverter-Full Data'!#REF!,",",'Inverter-Full Data'!#REF!,"'")</f>
        <v>#REF!</v>
      </c>
    </row>
    <row r="1403" spans="1:1">
      <c r="A1403" s="2" t="e">
        <f>CONCATENATE("'",'Inverter-Full Data'!#REF!,"     ",'Inverter-Full Data'!#REF!,",",'Inverter-Full Data'!#REF!,",",'Inverter-Full Data'!#REF!,",",'Inverter-Full Data'!#REF!,"'")</f>
        <v>#REF!</v>
      </c>
    </row>
    <row r="1404" spans="1:1">
      <c r="A1404" s="2" t="e">
        <f>CONCATENATE("'",'Inverter-Full Data'!#REF!,"     ",'Inverter-Full Data'!#REF!,",",'Inverter-Full Data'!#REF!,",",'Inverter-Full Data'!#REF!,",",'Inverter-Full Data'!#REF!,"'")</f>
        <v>#REF!</v>
      </c>
    </row>
    <row r="1405" spans="1:1">
      <c r="A1405" s="2" t="e">
        <f>CONCATENATE("'",'Inverter-Full Data'!#REF!,"     ",'Inverter-Full Data'!#REF!,",",'Inverter-Full Data'!#REF!,",",'Inverter-Full Data'!#REF!,",",'Inverter-Full Data'!#REF!,"'")</f>
        <v>#REF!</v>
      </c>
    </row>
    <row r="1406" spans="1:1">
      <c r="A1406" s="2" t="e">
        <f>CONCATENATE("'",'Inverter-Full Data'!#REF!,"     ",'Inverter-Full Data'!#REF!,",",'Inverter-Full Data'!#REF!,",",'Inverter-Full Data'!#REF!,",",'Inverter-Full Data'!#REF!,"'")</f>
        <v>#REF!</v>
      </c>
    </row>
    <row r="1407" spans="1:1">
      <c r="A1407" s="2" t="e">
        <f>CONCATENATE("'",'Inverter-Full Data'!#REF!,"     ",'Inverter-Full Data'!#REF!,",",'Inverter-Full Data'!#REF!,",",'Inverter-Full Data'!#REF!,",",'Inverter-Full Data'!#REF!,"'")</f>
        <v>#REF!</v>
      </c>
    </row>
    <row r="1408" spans="1:1">
      <c r="A1408" s="2" t="e">
        <f>CONCATENATE("'",'Inverter-Full Data'!#REF!,"     ",'Inverter-Full Data'!#REF!,",",'Inverter-Full Data'!#REF!,",",'Inverter-Full Data'!#REF!,",",'Inverter-Full Data'!#REF!,"'")</f>
        <v>#REF!</v>
      </c>
    </row>
    <row r="1409" spans="1:1">
      <c r="A1409" s="2" t="e">
        <f>CONCATENATE("'",'Inverter-Full Data'!#REF!,"     ",'Inverter-Full Data'!#REF!,",",'Inverter-Full Data'!#REF!,",",'Inverter-Full Data'!#REF!,",",'Inverter-Full Data'!#REF!,"'")</f>
        <v>#REF!</v>
      </c>
    </row>
    <row r="1410" spans="1:1">
      <c r="A1410" s="2" t="e">
        <f>CONCATENATE("'",'Inverter-Full Data'!#REF!,"     ",'Inverter-Full Data'!#REF!,",",'Inverter-Full Data'!#REF!,",",'Inverter-Full Data'!#REF!,",",'Inverter-Full Data'!#REF!,"'")</f>
        <v>#REF!</v>
      </c>
    </row>
    <row r="1411" spans="1:1">
      <c r="A1411" s="2" t="e">
        <f>CONCATENATE("'",'Inverter-Full Data'!#REF!,"     ",'Inverter-Full Data'!#REF!,",",'Inverter-Full Data'!#REF!,",",'Inverter-Full Data'!#REF!,",",'Inverter-Full Data'!#REF!,"'")</f>
        <v>#REF!</v>
      </c>
    </row>
    <row r="1412" spans="1:1">
      <c r="A1412" s="2" t="e">
        <f>CONCATENATE("'",'Inverter-Full Data'!#REF!,"     ",'Inverter-Full Data'!#REF!,",",'Inverter-Full Data'!#REF!,",",'Inverter-Full Data'!#REF!,",",'Inverter-Full Data'!#REF!,"'")</f>
        <v>#REF!</v>
      </c>
    </row>
    <row r="1413" spans="1:1">
      <c r="A1413" s="2" t="e">
        <f>CONCATENATE("'",'Inverter-Full Data'!#REF!,"     ",'Inverter-Full Data'!#REF!,",",'Inverter-Full Data'!#REF!,",",'Inverter-Full Data'!#REF!,",",'Inverter-Full Data'!#REF!,"'")</f>
        <v>#REF!</v>
      </c>
    </row>
    <row r="1414" spans="1:1">
      <c r="A1414" s="2" t="e">
        <f>CONCATENATE("'",'Inverter-Full Data'!#REF!,"     ",'Inverter-Full Data'!#REF!,",",'Inverter-Full Data'!#REF!,",",'Inverter-Full Data'!#REF!,",",'Inverter-Full Data'!#REF!,"'")</f>
        <v>#REF!</v>
      </c>
    </row>
    <row r="1415" spans="1:1">
      <c r="A1415" s="2" t="e">
        <f>CONCATENATE("'",'Inverter-Full Data'!#REF!,"     ",'Inverter-Full Data'!#REF!,",",'Inverter-Full Data'!#REF!,",",'Inverter-Full Data'!#REF!,",",'Inverter-Full Data'!#REF!,"'")</f>
        <v>#REF!</v>
      </c>
    </row>
    <row r="1416" spans="1:1">
      <c r="A1416" s="2" t="e">
        <f>CONCATENATE("'",'Inverter-Full Data'!#REF!,"     ",'Inverter-Full Data'!#REF!,",",'Inverter-Full Data'!#REF!,",",'Inverter-Full Data'!#REF!,",",'Inverter-Full Data'!#REF!,"'")</f>
        <v>#REF!</v>
      </c>
    </row>
    <row r="1417" spans="1:1">
      <c r="A1417" s="2" t="e">
        <f>CONCATENATE("'",'Inverter-Full Data'!#REF!,"     ",'Inverter-Full Data'!#REF!,",",'Inverter-Full Data'!#REF!,",",'Inverter-Full Data'!#REF!,",",'Inverter-Full Data'!#REF!,"'")</f>
        <v>#REF!</v>
      </c>
    </row>
    <row r="1418" spans="1:1">
      <c r="A1418" s="2" t="e">
        <f>CONCATENATE("'",'Inverter-Full Data'!#REF!,"     ",'Inverter-Full Data'!#REF!,",",'Inverter-Full Data'!#REF!,",",'Inverter-Full Data'!#REF!,",",'Inverter-Full Data'!#REF!,"'")</f>
        <v>#REF!</v>
      </c>
    </row>
    <row r="1419" spans="1:1">
      <c r="A1419" s="2" t="e">
        <f>CONCATENATE("'",'Inverter-Full Data'!#REF!,"     ",'Inverter-Full Data'!#REF!,",",'Inverter-Full Data'!#REF!,",",'Inverter-Full Data'!#REF!,",",'Inverter-Full Data'!#REF!,"'")</f>
        <v>#REF!</v>
      </c>
    </row>
    <row r="1420" spans="1:1">
      <c r="A1420" s="2" t="e">
        <f>CONCATENATE("'",'Inverter-Full Data'!#REF!,"     ",'Inverter-Full Data'!#REF!,",",'Inverter-Full Data'!#REF!,",",'Inverter-Full Data'!#REF!,",",'Inverter-Full Data'!#REF!,"'")</f>
        <v>#REF!</v>
      </c>
    </row>
    <row r="1421" spans="1:1">
      <c r="A1421" s="2" t="e">
        <f>CONCATENATE("'",'Inverter-Full Data'!#REF!,"     ",'Inverter-Full Data'!#REF!,",",'Inverter-Full Data'!#REF!,",",'Inverter-Full Data'!#REF!,",",'Inverter-Full Data'!#REF!,"'")</f>
        <v>#REF!</v>
      </c>
    </row>
    <row r="1422" spans="1:1">
      <c r="A1422" s="2" t="e">
        <f>CONCATENATE("'",'Inverter-Full Data'!#REF!,"     ",'Inverter-Full Data'!#REF!,",",'Inverter-Full Data'!#REF!,",",'Inverter-Full Data'!#REF!,",",'Inverter-Full Data'!#REF!,"'")</f>
        <v>#REF!</v>
      </c>
    </row>
    <row r="1423" spans="1:1">
      <c r="A1423" s="2" t="e">
        <f>CONCATENATE("'",'Inverter-Full Data'!#REF!,"     ",'Inverter-Full Data'!#REF!,",",'Inverter-Full Data'!#REF!,",",'Inverter-Full Data'!#REF!,",",'Inverter-Full Data'!#REF!,"'")</f>
        <v>#REF!</v>
      </c>
    </row>
    <row r="1424" spans="1:1">
      <c r="A1424" s="2" t="e">
        <f>CONCATENATE("'",'Inverter-Full Data'!#REF!,"     ",'Inverter-Full Data'!#REF!,",",'Inverter-Full Data'!#REF!,",",'Inverter-Full Data'!#REF!,",",'Inverter-Full Data'!#REF!,"'")</f>
        <v>#REF!</v>
      </c>
    </row>
    <row r="1425" spans="1:1">
      <c r="A1425" s="2" t="e">
        <f>CONCATENATE("'",'Inverter-Full Data'!#REF!,"     ",'Inverter-Full Data'!#REF!,",",'Inverter-Full Data'!#REF!,",",'Inverter-Full Data'!#REF!,",",'Inverter-Full Data'!#REF!,"'")</f>
        <v>#REF!</v>
      </c>
    </row>
    <row r="1426" spans="1:1">
      <c r="A1426" s="2" t="e">
        <f>CONCATENATE("'",'Inverter-Full Data'!#REF!,"     ",'Inverter-Full Data'!#REF!,",",'Inverter-Full Data'!#REF!,",",'Inverter-Full Data'!#REF!,",",'Inverter-Full Data'!#REF!,"'")</f>
        <v>#REF!</v>
      </c>
    </row>
    <row r="1427" spans="1:1">
      <c r="A1427" s="2" t="e">
        <f>CONCATENATE("'",'Inverter-Full Data'!#REF!,"     ",'Inverter-Full Data'!#REF!,",",'Inverter-Full Data'!#REF!,",",'Inverter-Full Data'!#REF!,",",'Inverter-Full Data'!#REF!,"'")</f>
        <v>#REF!</v>
      </c>
    </row>
    <row r="1428" spans="1:1">
      <c r="A1428" s="2" t="e">
        <f>CONCATENATE("'",'Inverter-Full Data'!#REF!,"     ",'Inverter-Full Data'!#REF!,",",'Inverter-Full Data'!#REF!,",",'Inverter-Full Data'!#REF!,",",'Inverter-Full Data'!#REF!,"'")</f>
        <v>#REF!</v>
      </c>
    </row>
    <row r="1429" spans="1:1">
      <c r="A1429" s="2" t="e">
        <f>CONCATENATE("'",'Inverter-Full Data'!#REF!,"     ",'Inverter-Full Data'!#REF!,",",'Inverter-Full Data'!#REF!,",",'Inverter-Full Data'!#REF!,",",'Inverter-Full Data'!#REF!,"'")</f>
        <v>#REF!</v>
      </c>
    </row>
    <row r="1430" spans="1:1">
      <c r="A1430" s="2" t="e">
        <f>CONCATENATE("'",'Inverter-Full Data'!#REF!,"     ",'Inverter-Full Data'!#REF!,",",'Inverter-Full Data'!#REF!,",",'Inverter-Full Data'!#REF!,",",'Inverter-Full Data'!#REF!,"'")</f>
        <v>#REF!</v>
      </c>
    </row>
    <row r="1431" spans="1:1">
      <c r="A1431" s="2" t="e">
        <f>CONCATENATE("'",'Inverter-Full Data'!#REF!,"     ",'Inverter-Full Data'!#REF!,",",'Inverter-Full Data'!#REF!,",",'Inverter-Full Data'!#REF!,",",'Inverter-Full Data'!#REF!,"'")</f>
        <v>#REF!</v>
      </c>
    </row>
    <row r="1432" spans="1:1">
      <c r="A1432" s="2" t="e">
        <f>CONCATENATE("'",'Inverter-Full Data'!#REF!,"     ",'Inverter-Full Data'!#REF!,",",'Inverter-Full Data'!#REF!,",",'Inverter-Full Data'!#REF!,",",'Inverter-Full Data'!#REF!,"'")</f>
        <v>#REF!</v>
      </c>
    </row>
    <row r="1433" spans="1:1">
      <c r="A1433" s="2" t="e">
        <f>CONCATENATE("'",'Inverter-Full Data'!#REF!,"     ",'Inverter-Full Data'!#REF!,",",'Inverter-Full Data'!#REF!,",",'Inverter-Full Data'!#REF!,",",'Inverter-Full Data'!#REF!,"'")</f>
        <v>#REF!</v>
      </c>
    </row>
    <row r="1434" spans="1:1">
      <c r="A1434" s="2" t="e">
        <f>CONCATENATE("'",'Inverter-Full Data'!#REF!,"     ",'Inverter-Full Data'!#REF!,",",'Inverter-Full Data'!#REF!,",",'Inverter-Full Data'!#REF!,",",'Inverter-Full Data'!#REF!,"'")</f>
        <v>#REF!</v>
      </c>
    </row>
    <row r="1435" spans="1:1">
      <c r="A1435" s="2" t="e">
        <f>CONCATENATE("'",'Inverter-Full Data'!#REF!,"     ",'Inverter-Full Data'!#REF!,",",'Inverter-Full Data'!#REF!,",",'Inverter-Full Data'!#REF!,",",'Inverter-Full Data'!#REF!,"'")</f>
        <v>#REF!</v>
      </c>
    </row>
    <row r="1436" spans="1:1">
      <c r="A1436" s="2" t="e">
        <f>CONCATENATE("'",'Inverter-Full Data'!#REF!,"     ",'Inverter-Full Data'!#REF!,",",'Inverter-Full Data'!#REF!,",",'Inverter-Full Data'!#REF!,",",'Inverter-Full Data'!#REF!,"'")</f>
        <v>#REF!</v>
      </c>
    </row>
    <row r="1437" spans="1:1">
      <c r="A1437" s="2" t="e">
        <f>CONCATENATE("'",'Inverter-Full Data'!#REF!,"     ",'Inverter-Full Data'!#REF!,",",'Inverter-Full Data'!#REF!,",",'Inverter-Full Data'!#REF!,",",'Inverter-Full Data'!#REF!,"'")</f>
        <v>#REF!</v>
      </c>
    </row>
    <row r="1438" spans="1:1">
      <c r="A1438" s="2" t="e">
        <f>CONCATENATE("'",'Inverter-Full Data'!#REF!,"     ",'Inverter-Full Data'!#REF!,",",'Inverter-Full Data'!#REF!,",",'Inverter-Full Data'!#REF!,",",'Inverter-Full Data'!#REF!,"'")</f>
        <v>#REF!</v>
      </c>
    </row>
    <row r="1439" spans="1:1">
      <c r="A1439" s="2" t="e">
        <f>CONCATENATE("'",'Inverter-Full Data'!#REF!,"     ",'Inverter-Full Data'!#REF!,",",'Inverter-Full Data'!#REF!,",",'Inverter-Full Data'!#REF!,",",'Inverter-Full Data'!#REF!,"'")</f>
        <v>#REF!</v>
      </c>
    </row>
    <row r="1440" spans="1:1">
      <c r="A1440" s="2" t="e">
        <f>CONCATENATE("'",'Inverter-Full Data'!#REF!,"     ",'Inverter-Full Data'!#REF!,",",'Inverter-Full Data'!#REF!,",",'Inverter-Full Data'!#REF!,",",'Inverter-Full Data'!#REF!,"'")</f>
        <v>#REF!</v>
      </c>
    </row>
    <row r="1441" spans="1:1">
      <c r="A1441" s="2" t="e">
        <f>CONCATENATE("'",'Inverter-Full Data'!#REF!,"     ",'Inverter-Full Data'!#REF!,",",'Inverter-Full Data'!#REF!,",",'Inverter-Full Data'!#REF!,",",'Inverter-Full Data'!#REF!,"'")</f>
        <v>#REF!</v>
      </c>
    </row>
    <row r="1442" spans="1:1">
      <c r="A1442" s="2" t="e">
        <f>CONCATENATE("'",'Inverter-Full Data'!#REF!,"     ",'Inverter-Full Data'!#REF!,",",'Inverter-Full Data'!#REF!,",",'Inverter-Full Data'!#REF!,",",'Inverter-Full Data'!#REF!,"'")</f>
        <v>#REF!</v>
      </c>
    </row>
    <row r="1443" spans="1:1">
      <c r="A1443" s="2" t="e">
        <f>CONCATENATE("'",'Inverter-Full Data'!#REF!,"     ",'Inverter-Full Data'!#REF!,",",'Inverter-Full Data'!#REF!,",",'Inverter-Full Data'!#REF!,",",'Inverter-Full Data'!#REF!,"'")</f>
        <v>#REF!</v>
      </c>
    </row>
    <row r="1444" spans="1:1">
      <c r="A1444" s="2" t="e">
        <f>CONCATENATE("'",'Inverter-Full Data'!#REF!,"     ",'Inverter-Full Data'!#REF!,",",'Inverter-Full Data'!#REF!,",",'Inverter-Full Data'!#REF!,",",'Inverter-Full Data'!#REF!,"'")</f>
        <v>#REF!</v>
      </c>
    </row>
    <row r="1445" spans="1:1">
      <c r="A1445" s="2" t="e">
        <f>CONCATENATE("'",'Inverter-Full Data'!#REF!,"     ",'Inverter-Full Data'!#REF!,",",'Inverter-Full Data'!#REF!,",",'Inverter-Full Data'!#REF!,",",'Inverter-Full Data'!#REF!,"'")</f>
        <v>#REF!</v>
      </c>
    </row>
    <row r="1446" spans="1:1">
      <c r="A1446" s="2" t="e">
        <f>CONCATENATE("'",'Inverter-Full Data'!#REF!,"     ",'Inverter-Full Data'!#REF!,",",'Inverter-Full Data'!#REF!,",",'Inverter-Full Data'!#REF!,",",'Inverter-Full Data'!#REF!,"'")</f>
        <v>#REF!</v>
      </c>
    </row>
    <row r="1447" spans="1:1">
      <c r="A1447" s="2" t="e">
        <f>CONCATENATE("'",'Inverter-Full Data'!#REF!,"     ",'Inverter-Full Data'!#REF!,",",'Inverter-Full Data'!#REF!,",",'Inverter-Full Data'!#REF!,",",'Inverter-Full Data'!#REF!,"'")</f>
        <v>#REF!</v>
      </c>
    </row>
    <row r="1448" spans="1:1">
      <c r="A1448" s="2" t="e">
        <f>CONCATENATE("'",'Inverter-Full Data'!#REF!,"     ",'Inverter-Full Data'!#REF!,",",'Inverter-Full Data'!#REF!,",",'Inverter-Full Data'!#REF!,",",'Inverter-Full Data'!#REF!,"'")</f>
        <v>#REF!</v>
      </c>
    </row>
    <row r="1449" spans="1:1">
      <c r="A1449" s="2" t="e">
        <f>CONCATENATE("'",'Inverter-Full Data'!#REF!,"     ",'Inverter-Full Data'!#REF!,",",'Inverter-Full Data'!#REF!,",",'Inverter-Full Data'!#REF!,",",'Inverter-Full Data'!#REF!,"'")</f>
        <v>#REF!</v>
      </c>
    </row>
    <row r="1450" spans="1:1">
      <c r="A1450" s="2" t="e">
        <f>CONCATENATE("'",'Inverter-Full Data'!#REF!,"     ",'Inverter-Full Data'!#REF!,",",'Inverter-Full Data'!#REF!,",",'Inverter-Full Data'!#REF!,",",'Inverter-Full Data'!#REF!,"'")</f>
        <v>#REF!</v>
      </c>
    </row>
    <row r="1451" spans="1:1">
      <c r="A1451" s="2" t="e">
        <f>CONCATENATE("'",'Inverter-Full Data'!#REF!,"     ",'Inverter-Full Data'!#REF!,",",'Inverter-Full Data'!#REF!,",",'Inverter-Full Data'!#REF!,",",'Inverter-Full Data'!#REF!,"'")</f>
        <v>#REF!</v>
      </c>
    </row>
    <row r="1452" spans="1:1">
      <c r="A1452" s="2" t="e">
        <f>CONCATENATE("'",'Inverter-Full Data'!#REF!,"     ",'Inverter-Full Data'!#REF!,",",'Inverter-Full Data'!#REF!,",",'Inverter-Full Data'!#REF!,",",'Inverter-Full Data'!#REF!,"'")</f>
        <v>#REF!</v>
      </c>
    </row>
    <row r="1453" spans="1:1">
      <c r="A1453" s="2" t="e">
        <f>CONCATENATE("'",'Inverter-Full Data'!#REF!,"     ",'Inverter-Full Data'!#REF!,",",'Inverter-Full Data'!#REF!,",",'Inverter-Full Data'!#REF!,",",'Inverter-Full Data'!#REF!,"'")</f>
        <v>#REF!</v>
      </c>
    </row>
    <row r="1454" spans="1:1">
      <c r="A1454" s="2" t="e">
        <f>CONCATENATE("'",'Inverter-Full Data'!#REF!,"     ",'Inverter-Full Data'!#REF!,",",'Inverter-Full Data'!#REF!,",",'Inverter-Full Data'!#REF!,",",'Inverter-Full Data'!#REF!,"'")</f>
        <v>#REF!</v>
      </c>
    </row>
    <row r="1455" spans="1:1">
      <c r="A1455" s="2" t="e">
        <f>CONCATENATE("'",'Inverter-Full Data'!#REF!,"     ",'Inverter-Full Data'!#REF!,",",'Inverter-Full Data'!#REF!,",",'Inverter-Full Data'!#REF!,",",'Inverter-Full Data'!#REF!,"'")</f>
        <v>#REF!</v>
      </c>
    </row>
    <row r="1456" spans="1:1">
      <c r="A1456" s="2" t="e">
        <f>CONCATENATE("'",'Inverter-Full Data'!#REF!,"     ",'Inverter-Full Data'!#REF!,",",'Inverter-Full Data'!#REF!,",",'Inverter-Full Data'!#REF!,",",'Inverter-Full Data'!#REF!,"'")</f>
        <v>#REF!</v>
      </c>
    </row>
    <row r="1457" spans="1:1">
      <c r="A1457" s="2" t="e">
        <f>CONCATENATE("'",'Inverter-Full Data'!#REF!,"     ",'Inverter-Full Data'!#REF!,",",'Inverter-Full Data'!#REF!,",",'Inverter-Full Data'!#REF!,",",'Inverter-Full Data'!#REF!,"'")</f>
        <v>#REF!</v>
      </c>
    </row>
    <row r="1458" spans="1:1">
      <c r="A1458" s="2" t="e">
        <f>CONCATENATE("'",'Inverter-Full Data'!#REF!,"     ",'Inverter-Full Data'!#REF!,",",'Inverter-Full Data'!#REF!,",",'Inverter-Full Data'!#REF!,",",'Inverter-Full Data'!#REF!,"'")</f>
        <v>#REF!</v>
      </c>
    </row>
    <row r="1459" spans="1:1">
      <c r="A1459" s="2" t="e">
        <f>CONCATENATE("'",'Inverter-Full Data'!#REF!,"     ",'Inverter-Full Data'!#REF!,",",'Inverter-Full Data'!#REF!,",",'Inverter-Full Data'!#REF!,",",'Inverter-Full Data'!#REF!,"'")</f>
        <v>#REF!</v>
      </c>
    </row>
    <row r="1460" spans="1:1">
      <c r="A1460" s="2" t="e">
        <f>CONCATENATE("'",'Inverter-Full Data'!#REF!,"     ",'Inverter-Full Data'!#REF!,",",'Inverter-Full Data'!#REF!,",",'Inverter-Full Data'!#REF!,",",'Inverter-Full Data'!#REF!,"'")</f>
        <v>#REF!</v>
      </c>
    </row>
    <row r="1461" spans="1:1">
      <c r="A1461" s="2" t="str">
        <f>CONCATENATE("'",'Inverter-Full Data'!A247,"     ",'Inverter-Full Data'!B247,",",'Inverter-Full Data'!S247,",",'Inverter-Full Data'!J247,",",'Inverter-Full Data'!T247,"'")</f>
        <v>'HiQ Solar     TSXL480-10k [480V],N,97.5,N'</v>
      </c>
    </row>
    <row r="1462" spans="1:1">
      <c r="A1462" s="2" t="e">
        <f>CONCATENATE("'",'Inverter-Full Data'!#REF!,"     ",'Inverter-Full Data'!#REF!,",",'Inverter-Full Data'!#REF!,",",'Inverter-Full Data'!#REF!,",",'Inverter-Full Data'!#REF!,"'")</f>
        <v>#REF!</v>
      </c>
    </row>
    <row r="1463" spans="1:1">
      <c r="A1463" s="2" t="e">
        <f>CONCATENATE("'",'Inverter-Full Data'!#REF!,"     ",'Inverter-Full Data'!#REF!,",",'Inverter-Full Data'!#REF!,",",'Inverter-Full Data'!#REF!,",",'Inverter-Full Data'!#REF!,"'")</f>
        <v>#REF!</v>
      </c>
    </row>
    <row r="1464" spans="1:1">
      <c r="A1464" s="2" t="e">
        <f>CONCATENATE("'",'Inverter-Full Data'!#REF!,"     ",'Inverter-Full Data'!#REF!,",",'Inverter-Full Data'!#REF!,",",'Inverter-Full Data'!#REF!,",",'Inverter-Full Data'!#REF!,"'")</f>
        <v>#REF!</v>
      </c>
    </row>
    <row r="1465" spans="1:1">
      <c r="A1465" s="2" t="e">
        <f>CONCATENATE("'",'Inverter-Full Data'!#REF!,"     ",'Inverter-Full Data'!#REF!,",",'Inverter-Full Data'!#REF!,",",'Inverter-Full Data'!#REF!,",",'Inverter-Full Data'!#REF!,"'")</f>
        <v>#REF!</v>
      </c>
    </row>
    <row r="1466" spans="1:1">
      <c r="A1466" s="2" t="e">
        <f>CONCATENATE("'",'Inverter-Full Data'!#REF!,"     ",'Inverter-Full Data'!#REF!,",",'Inverter-Full Data'!#REF!,",",'Inverter-Full Data'!#REF!,",",'Inverter-Full Data'!#REF!,"'")</f>
        <v>#REF!</v>
      </c>
    </row>
    <row r="1467" spans="1:1">
      <c r="A1467" s="2" t="e">
        <f>CONCATENATE("'",'Inverter-Full Data'!#REF!,"     ",'Inverter-Full Data'!#REF!,",",'Inverter-Full Data'!#REF!,",",'Inverter-Full Data'!#REF!,",",'Inverter-Full Data'!#REF!,"'")</f>
        <v>#REF!</v>
      </c>
    </row>
    <row r="1468" spans="1:1">
      <c r="A1468" s="2" t="e">
        <f>CONCATENATE("'",'Inverter-Full Data'!#REF!,"     ",'Inverter-Full Data'!#REF!,",",'Inverter-Full Data'!#REF!,",",'Inverter-Full Data'!#REF!,",",'Inverter-Full Data'!#REF!,"'")</f>
        <v>#REF!</v>
      </c>
    </row>
    <row r="1469" spans="1:1">
      <c r="A1469" s="2" t="e">
        <f>CONCATENATE("'",'Inverter-Full Data'!#REF!,"     ",'Inverter-Full Data'!#REF!,",",'Inverter-Full Data'!#REF!,",",'Inverter-Full Data'!#REF!,",",'Inverter-Full Data'!#REF!,"'")</f>
        <v>#REF!</v>
      </c>
    </row>
    <row r="1470" spans="1:1">
      <c r="A1470" s="2" t="e">
        <f>CONCATENATE("'",'Inverter-Full Data'!#REF!,"     ",'Inverter-Full Data'!#REF!,",",'Inverter-Full Data'!#REF!,",",'Inverter-Full Data'!#REF!,",",'Inverter-Full Data'!#REF!,"'")</f>
        <v>#REF!</v>
      </c>
    </row>
    <row r="1471" spans="1:1">
      <c r="A1471" s="2" t="e">
        <f>CONCATENATE("'",'Inverter-Full Data'!#REF!,"     ",'Inverter-Full Data'!#REF!,",",'Inverter-Full Data'!#REF!,",",'Inverter-Full Data'!#REF!,",",'Inverter-Full Data'!#REF!,"'")</f>
        <v>#REF!</v>
      </c>
    </row>
    <row r="1472" spans="1:1">
      <c r="A1472" s="2" t="e">
        <f>CONCATENATE("'",'Inverter-Full Data'!#REF!,"     ",'Inverter-Full Data'!#REF!,",",'Inverter-Full Data'!#REF!,",",'Inverter-Full Data'!#REF!,",",'Inverter-Full Data'!#REF!,"'")</f>
        <v>#REF!</v>
      </c>
    </row>
    <row r="1473" spans="1:1">
      <c r="A1473" s="2" t="e">
        <f>CONCATENATE("'",'Inverter-Full Data'!#REF!,"     ",'Inverter-Full Data'!#REF!,",",'Inverter-Full Data'!#REF!,",",'Inverter-Full Data'!#REF!,",",'Inverter-Full Data'!#REF!,"'")</f>
        <v>#REF!</v>
      </c>
    </row>
    <row r="1474" spans="1:1">
      <c r="A1474" s="2" t="e">
        <f>CONCATENATE("'",'Inverter-Full Data'!#REF!,"     ",'Inverter-Full Data'!#REF!,",",'Inverter-Full Data'!#REF!,",",'Inverter-Full Data'!#REF!,",",'Inverter-Full Data'!#REF!,"'")</f>
        <v>#REF!</v>
      </c>
    </row>
    <row r="1475" spans="1:1">
      <c r="A1475" s="2" t="e">
        <f>CONCATENATE("'",'Inverter-Full Data'!#REF!,"     ",'Inverter-Full Data'!#REF!,",",'Inverter-Full Data'!#REF!,",",'Inverter-Full Data'!#REF!,",",'Inverter-Full Data'!#REF!,"'")</f>
        <v>#REF!</v>
      </c>
    </row>
    <row r="1476" spans="1:1">
      <c r="A1476" s="2" t="e">
        <f>CONCATENATE("'",'Inverter-Full Data'!#REF!,"     ",'Inverter-Full Data'!#REF!,",",'Inverter-Full Data'!#REF!,",",'Inverter-Full Data'!#REF!,",",'Inverter-Full Data'!#REF!,"'")</f>
        <v>#REF!</v>
      </c>
    </row>
    <row r="1477" spans="1:1">
      <c r="A1477" s="2" t="e">
        <f>CONCATENATE("'",'Inverter-Full Data'!#REF!,"     ",'Inverter-Full Data'!#REF!,",",'Inverter-Full Data'!#REF!,",",'Inverter-Full Data'!#REF!,",",'Inverter-Full Data'!#REF!,"'")</f>
        <v>#REF!</v>
      </c>
    </row>
    <row r="1478" spans="1:1">
      <c r="A1478" s="2" t="e">
        <f>CONCATENATE("'",'Inverter-Full Data'!#REF!,"     ",'Inverter-Full Data'!#REF!,",",'Inverter-Full Data'!#REF!,",",'Inverter-Full Data'!#REF!,",",'Inverter-Full Data'!#REF!,"'")</f>
        <v>#REF!</v>
      </c>
    </row>
    <row r="1479" spans="1:1">
      <c r="A1479" s="2" t="e">
        <f>CONCATENATE("'",'Inverter-Full Data'!#REF!,"     ",'Inverter-Full Data'!#REF!,",",'Inverter-Full Data'!#REF!,",",'Inverter-Full Data'!#REF!,",",'Inverter-Full Data'!#REF!,"'")</f>
        <v>#REF!</v>
      </c>
    </row>
    <row r="1480" spans="1:1">
      <c r="A1480" s="2" t="e">
        <f>CONCATENATE("'",'Inverter-Full Data'!#REF!,"     ",'Inverter-Full Data'!#REF!,",",'Inverter-Full Data'!#REF!,",",'Inverter-Full Data'!#REF!,",",'Inverter-Full Data'!#REF!,"'")</f>
        <v>#REF!</v>
      </c>
    </row>
    <row r="1481" spans="1:1">
      <c r="A1481" s="2" t="str">
        <f>CONCATENATE("'",'Inverter-Full Data'!A248,"     ",'Inverter-Full Data'!B248,",",'Inverter-Full Data'!S248,",",'Inverter-Full Data'!J248,",",'Inverter-Full Data'!T248,"'")</f>
        <v>'Huawei Technologies Co., Ltd.     SUN2000-3.8KTL-USL0 [240V],Y,99,N'</v>
      </c>
    </row>
    <row r="1482" spans="1:1">
      <c r="A1482" s="2" t="str">
        <f>CONCATENATE("'",'Inverter-Full Data'!A249,"     ",'Inverter-Full Data'!B249,",",'Inverter-Full Data'!S249,",",'Inverter-Full Data'!J249,",",'Inverter-Full Data'!T249,"'")</f>
        <v>'Huawei Technologies Co., Ltd.     SUN2000-5KTL-USL0 [240V],Y,99,N'</v>
      </c>
    </row>
    <row r="1483" spans="1:1">
      <c r="A1483" s="2" t="str">
        <f>CONCATENATE("'",'Inverter-Full Data'!A250,"     ",'Inverter-Full Data'!B250,",",'Inverter-Full Data'!S250,",",'Inverter-Full Data'!J250,",",'Inverter-Full Data'!T250,"'")</f>
        <v>'Huawei Technologies Co., Ltd.     SUN2000-7.6KTL-USL0 [240V],Y,99,N'</v>
      </c>
    </row>
    <row r="1484" spans="1:1">
      <c r="A1484" s="2" t="str">
        <f>CONCATENATE("'",'Inverter-Full Data'!A251,"     ",'Inverter-Full Data'!B251,",",'Inverter-Full Data'!S251,",",'Inverter-Full Data'!J251,",",'Inverter-Full Data'!T251,"'")</f>
        <v>'Huawei Technologies Co., Ltd.     SUN2000-9KTL-USL0 [240V],Y,99,N'</v>
      </c>
    </row>
    <row r="1485" spans="1:1">
      <c r="A1485" s="2" t="str">
        <f>CONCATENATE("'",'Inverter-Full Data'!A252,"     ",'Inverter-Full Data'!B252,",",'Inverter-Full Data'!S252,",",'Inverter-Full Data'!J252,",",'Inverter-Full Data'!T252,"'")</f>
        <v>'Huawei Technologies Co., Ltd.     SUN2000-10KTL-USL0 [240V],Y,99,N'</v>
      </c>
    </row>
    <row r="1486" spans="1:1">
      <c r="A1486" s="2" t="str">
        <f>CONCATENATE("'",'Inverter-Full Data'!A253,"     ",'Inverter-Full Data'!B253,",",'Inverter-Full Data'!S253,",",'Inverter-Full Data'!J253,",",'Inverter-Full Data'!T253,"'")</f>
        <v>'Huawei Technologies Co., Ltd.     SUN2000-11.4KTL-USL0 [240V],Y,99,N'</v>
      </c>
    </row>
    <row r="1487" spans="1:1">
      <c r="A1487" s="2" t="e">
        <f>CONCATENATE("'",'Inverter-Full Data'!#REF!,"     ",'Inverter-Full Data'!#REF!,",",'Inverter-Full Data'!#REF!,",",'Inverter-Full Data'!#REF!,",",'Inverter-Full Data'!#REF!,"'")</f>
        <v>#REF!</v>
      </c>
    </row>
    <row r="1488" spans="1:1">
      <c r="A1488" s="2" t="e">
        <f>CONCATENATE("'",'Inverter-Full Data'!#REF!,"     ",'Inverter-Full Data'!#REF!,",",'Inverter-Full Data'!#REF!,",",'Inverter-Full Data'!#REF!,",",'Inverter-Full Data'!#REF!,"'")</f>
        <v>#REF!</v>
      </c>
    </row>
    <row r="1489" spans="1:1">
      <c r="A1489" s="2" t="e">
        <f>CONCATENATE("'",'Inverter-Full Data'!#REF!,"     ",'Inverter-Full Data'!#REF!,",",'Inverter-Full Data'!#REF!,",",'Inverter-Full Data'!#REF!,",",'Inverter-Full Data'!#REF!,"'")</f>
        <v>#REF!</v>
      </c>
    </row>
    <row r="1490" spans="1:1">
      <c r="A1490" s="2" t="e">
        <f>CONCATENATE("'",'Inverter-Full Data'!#REF!,"     ",'Inverter-Full Data'!#REF!,",",'Inverter-Full Data'!#REF!,",",'Inverter-Full Data'!#REF!,",",'Inverter-Full Data'!#REF!,"'")</f>
        <v>#REF!</v>
      </c>
    </row>
    <row r="1491" spans="1:1">
      <c r="A1491" s="2" t="str">
        <f>CONCATENATE("'",'Inverter-Full Data'!A254,"     ",'Inverter-Full Data'!B254,",",'Inverter-Full Data'!S254,",",'Inverter-Full Data'!J254,",",'Inverter-Full Data'!T254,"'")</f>
        <v>'Huawei Technologies Co., Ltd.     SUN2000-33KTL-US [480V],N,98.5,N'</v>
      </c>
    </row>
    <row r="1492" spans="1:1">
      <c r="A1492" s="2" t="e">
        <f>CONCATENATE("'",'Inverter-Full Data'!#REF!,"     ",'Inverter-Full Data'!#REF!,",",'Inverter-Full Data'!#REF!,",",'Inverter-Full Data'!#REF!,",",'Inverter-Full Data'!#REF!,"'")</f>
        <v>#REF!</v>
      </c>
    </row>
    <row r="1493" spans="1:1">
      <c r="A1493" s="2" t="str">
        <f>CONCATENATE("'",'Inverter-Full Data'!A255,"     ",'Inverter-Full Data'!B255,",",'Inverter-Full Data'!S255,",",'Inverter-Full Data'!J255,",",'Inverter-Full Data'!T255,"'")</f>
        <v>'Huawei Technologies Co., Ltd.     SUN2000-36KTL-US [480V],N,98.5,N'</v>
      </c>
    </row>
    <row r="1494" spans="1:1">
      <c r="A1494" s="2" t="e">
        <f>CONCATENATE("'",'Inverter-Full Data'!#REF!,"     ",'Inverter-Full Data'!#REF!,",",'Inverter-Full Data'!#REF!,",",'Inverter-Full Data'!#REF!,",",'Inverter-Full Data'!#REF!,"'")</f>
        <v>#REF!</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str">
        <f>CONCATENATE("'",'Inverter-Full Data'!A256,"     ",'Inverter-Full Data'!B256,",",'Inverter-Full Data'!S256,",",'Inverter-Full Data'!J256,",",'Inverter-Full Data'!T256,"'")</f>
        <v>'Huawei Technologies Co., Ltd.     SUN2000-40KTL-US [480V],N,98.5,N'</v>
      </c>
    </row>
    <row r="1498" spans="1:1">
      <c r="A1498" s="2" t="e">
        <f>CONCATENATE("'",'Inverter-Full Data'!#REF!,"     ",'Inverter-Full Data'!#REF!,",",'Inverter-Full Data'!#REF!,",",'Inverter-Full Data'!#REF!,",",'Inverter-Full Data'!#REF!,"'")</f>
        <v>#REF!</v>
      </c>
    </row>
    <row r="1499" spans="1:1">
      <c r="A1499" s="2" t="e">
        <f>CONCATENATE("'",'Inverter-Full Data'!#REF!,"     ",'Inverter-Full Data'!#REF!,",",'Inverter-Full Data'!#REF!,",",'Inverter-Full Data'!#REF!,",",'Inverter-Full Data'!#REF!,"'")</f>
        <v>#REF!</v>
      </c>
    </row>
    <row r="1500" spans="1:1">
      <c r="A1500" s="2" t="e">
        <f>CONCATENATE("'",'Inverter-Full Data'!#REF!,"     ",'Inverter-Full Data'!#REF!,",",'Inverter-Full Data'!#REF!,",",'Inverter-Full Data'!#REF!,",",'Inverter-Full Data'!#REF!,"'")</f>
        <v>#REF!</v>
      </c>
    </row>
    <row r="1501" spans="1:1">
      <c r="A1501" s="2" t="str">
        <f>CONCATENATE("'",'Inverter-Full Data'!A257,"     ",'Inverter-Full Data'!B257,",",'Inverter-Full Data'!S257,",",'Inverter-Full Data'!J257,",",'Inverter-Full Data'!T257,"'")</f>
        <v>'Huawei Technologies Co., Ltd.     SUN2000-45KTL-US-HV-D0 [600V],N,98.5,N'</v>
      </c>
    </row>
    <row r="1502" spans="1:1">
      <c r="A1502" s="2" t="e">
        <f>CONCATENATE("'",'Inverter-Full Data'!#REF!,"     ",'Inverter-Full Data'!#REF!,",",'Inverter-Full Data'!#REF!,",",'Inverter-Full Data'!#REF!,",",'Inverter-Full Data'!#REF!,"'")</f>
        <v>#REF!</v>
      </c>
    </row>
    <row r="1503" spans="1:1">
      <c r="A1503" s="2" t="e">
        <f>CONCATENATE("'",'Inverter-Full Data'!#REF!,"     ",'Inverter-Full Data'!#REF!,",",'Inverter-Full Data'!#REF!,",",'Inverter-Full Data'!#REF!,",",'Inverter-Full Data'!#REF!,"'")</f>
        <v>#REF!</v>
      </c>
    </row>
    <row r="1504" spans="1:1">
      <c r="A1504" s="2" t="str">
        <f>CONCATENATE("'",'Inverter-Full Data'!A259,"     ",'Inverter-Full Data'!B259,",",'Inverter-Full Data'!S259,",",'Inverter-Full Data'!J259,",",'Inverter-Full Data'!T259,"'")</f>
        <v>'Ideal Power Inc.     30C [480V],N,95,N'</v>
      </c>
    </row>
    <row r="1505" spans="1:1">
      <c r="A1505" s="2" t="str">
        <f>CONCATENATE("'",'Inverter-Full Data'!A260,"     ",'Inverter-Full Data'!B260,",",'Inverter-Full Data'!S260,",",'Inverter-Full Data'!J260,",",'Inverter-Full Data'!T260,"'")</f>
        <v>'Ideal Power Inc.     30C3 [480V],N,95,N'</v>
      </c>
    </row>
    <row r="1506" spans="1:1">
      <c r="A1506" s="2" t="e">
        <f>CONCATENATE("'",'Inverter-Full Data'!#REF!,"     ",'Inverter-Full Data'!#REF!,",",'Inverter-Full Data'!#REF!,",",'Inverter-Full Data'!#REF!,",",'Inverter-Full Data'!#REF!,"'")</f>
        <v>#REF!</v>
      </c>
    </row>
    <row r="1507" spans="1:1">
      <c r="A1507" s="2" t="str">
        <f>CONCATENATE("'",'Inverter-Full Data'!A261,"     ",'Inverter-Full Data'!B261,",",'Inverter-Full Data'!S261,",",'Inverter-Full Data'!J261,",",'Inverter-Full Data'!T261,"'")</f>
        <v>'Ideal Power Inc.     30PV+S [480V],N,95,N'</v>
      </c>
    </row>
    <row r="1508" spans="1:1">
      <c r="A1508" s="2" t="e">
        <f>CONCATENATE("'",'Inverter-Full Data'!#REF!,"     ",'Inverter-Full Data'!#REF!,",",'Inverter-Full Data'!#REF!,",",'Inverter-Full Data'!#REF!,",",'Inverter-Full Data'!#REF!,"'")</f>
        <v>#REF!</v>
      </c>
    </row>
    <row r="1509" spans="1:1">
      <c r="A1509" s="2" t="str">
        <f>CONCATENATE("'",'Inverter-Full Data'!A262,"     ",'Inverter-Full Data'!B262,",",'Inverter-Full Data'!S262,",",'Inverter-Full Data'!J262,",",'Inverter-Full Data'!T262,"'")</f>
        <v>'Ideal Power Inc.     30PVF+S [480V],N,95,N'</v>
      </c>
    </row>
    <row r="1510" spans="1:1">
      <c r="A1510" s="2" t="e">
        <f>CONCATENATE("'",'Inverter-Full Data'!#REF!,"     ",'Inverter-Full Data'!#REF!,",",'Inverter-Full Data'!#REF!,",",'Inverter-Full Data'!#REF!,",",'Inverter-Full Data'!#REF!,"'")</f>
        <v>#REF!</v>
      </c>
    </row>
    <row r="1511" spans="1:1">
      <c r="A1511" s="2" t="e">
        <f>CONCATENATE("'",'Inverter-Full Data'!#REF!,"     ",'Inverter-Full Data'!#REF!,",",'Inverter-Full Data'!#REF!,",",'Inverter-Full Data'!#REF!,",",'Inverter-Full Data'!#REF!,"'")</f>
        <v>#REF!</v>
      </c>
    </row>
    <row r="1512" spans="1:1">
      <c r="A1512" s="2" t="e">
        <f>CONCATENATE("'",'Inverter-Full Data'!#REF!,"     ",'Inverter-Full Data'!#REF!,",",'Inverter-Full Data'!#REF!,",",'Inverter-Full Data'!#REF!,",",'Inverter-Full Data'!#REF!,"'")</f>
        <v>#REF!</v>
      </c>
    </row>
    <row r="1513" spans="1:1">
      <c r="A1513" s="2" t="e">
        <f>CONCATENATE("'",'Inverter-Full Data'!#REF!,"     ",'Inverter-Full Data'!#REF!,",",'Inverter-Full Data'!#REF!,",",'Inverter-Full Data'!#REF!,",",'Inverter-Full Data'!#REF!,"'")</f>
        <v>#REF!</v>
      </c>
    </row>
    <row r="1514" spans="1:1">
      <c r="A1514" s="2" t="e">
        <f>CONCATENATE("'",'Inverter-Full Data'!#REF!,"     ",'Inverter-Full Data'!#REF!,",",'Inverter-Full Data'!#REF!,",",'Inverter-Full Data'!#REF!,",",'Inverter-Full Data'!#REF!,"'")</f>
        <v>#REF!</v>
      </c>
    </row>
    <row r="1515" spans="1:1">
      <c r="A1515" s="2" t="e">
        <f>CONCATENATE("'",'Inverter-Full Data'!#REF!,"     ",'Inverter-Full Data'!#REF!,",",'Inverter-Full Data'!#REF!,",",'Inverter-Full Data'!#REF!,",",'Inverter-Full Data'!#REF!,"'")</f>
        <v>#REF!</v>
      </c>
    </row>
    <row r="1516" spans="1:1">
      <c r="A1516" s="2" t="e">
        <f>CONCATENATE("'",'Inverter-Full Data'!#REF!,"     ",'Inverter-Full Data'!#REF!,",",'Inverter-Full Data'!#REF!,",",'Inverter-Full Data'!#REF!,",",'Inverter-Full Data'!#REF!,"'")</f>
        <v>#REF!</v>
      </c>
    </row>
    <row r="1517" spans="1:1">
      <c r="A1517" s="2" t="e">
        <f>CONCATENATE("'",'Inverter-Full Data'!#REF!,"     ",'Inverter-Full Data'!#REF!,",",'Inverter-Full Data'!#REF!,",",'Inverter-Full Data'!#REF!,",",'Inverter-Full Data'!#REF!,"'")</f>
        <v>#REF!</v>
      </c>
    </row>
    <row r="1518" spans="1:1">
      <c r="A1518" s="2" t="e">
        <f>CONCATENATE("'",'Inverter-Full Data'!#REF!,"     ",'Inverter-Full Data'!#REF!,",",'Inverter-Full Data'!#REF!,",",'Inverter-Full Data'!#REF!,",",'Inverter-Full Data'!#REF!,"'")</f>
        <v>#REF!</v>
      </c>
    </row>
    <row r="1519" spans="1:1">
      <c r="A1519" s="2" t="e">
        <f>CONCATENATE("'",'Inverter-Full Data'!#REF!,"     ",'Inverter-Full Data'!#REF!,",",'Inverter-Full Data'!#REF!,",",'Inverter-Full Data'!#REF!,",",'Inverter-Full Data'!#REF!,"'")</f>
        <v>#REF!</v>
      </c>
    </row>
    <row r="1520" spans="1:1">
      <c r="A1520" s="2" t="e">
        <f>CONCATENATE("'",'Inverter-Full Data'!#REF!,"     ",'Inverter-Full Data'!#REF!,",",'Inverter-Full Data'!#REF!,",",'Inverter-Full Data'!#REF!,",",'Inverter-Full Data'!#REF!,"'")</f>
        <v>#REF!</v>
      </c>
    </row>
    <row r="1521" spans="1:1">
      <c r="A1521" s="2" t="e">
        <f>CONCATENATE("'",'Inverter-Full Data'!#REF!,"     ",'Inverter-Full Data'!#REF!,",",'Inverter-Full Data'!#REF!,",",'Inverter-Full Data'!#REF!,",",'Inverter-Full Data'!#REF!,"'")</f>
        <v>#REF!</v>
      </c>
    </row>
    <row r="1522" spans="1:1">
      <c r="A1522" s="2" t="e">
        <f>CONCATENATE("'",'Inverter-Full Data'!#REF!,"     ",'Inverter-Full Data'!#REF!,",",'Inverter-Full Data'!#REF!,",",'Inverter-Full Data'!#REF!,",",'Inverter-Full Data'!#REF!,"'")</f>
        <v>#REF!</v>
      </c>
    </row>
    <row r="1523" spans="1:1">
      <c r="A1523" s="2" t="e">
        <f>CONCATENATE("'",'Inverter-Full Data'!#REF!,"     ",'Inverter-Full Data'!#REF!,",",'Inverter-Full Data'!#REF!,",",'Inverter-Full Data'!#REF!,",",'Inverter-Full Data'!#REF!,"'")</f>
        <v>#REF!</v>
      </c>
    </row>
    <row r="1524" spans="1:1">
      <c r="A1524" s="2" t="e">
        <f>CONCATENATE("'",'Inverter-Full Data'!#REF!,"     ",'Inverter-Full Data'!#REF!,",",'Inverter-Full Data'!#REF!,",",'Inverter-Full Data'!#REF!,",",'Inverter-Full Data'!#REF!,"'")</f>
        <v>#REF!</v>
      </c>
    </row>
    <row r="1525" spans="1:1">
      <c r="A1525" s="2" t="e">
        <f>CONCATENATE("'",'Inverter-Full Data'!#REF!,"     ",'Inverter-Full Data'!#REF!,",",'Inverter-Full Data'!#REF!,",",'Inverter-Full Data'!#REF!,",",'Inverter-Full Data'!#REF!,"'")</f>
        <v>#REF!</v>
      </c>
    </row>
    <row r="1526" spans="1:1">
      <c r="A1526" s="2" t="e">
        <f>CONCATENATE("'",'Inverter-Full Data'!#REF!,"     ",'Inverter-Full Data'!#REF!,",",'Inverter-Full Data'!#REF!,",",'Inverter-Full Data'!#REF!,",",'Inverter-Full Data'!#REF!,"'")</f>
        <v>#REF!</v>
      </c>
    </row>
    <row r="1527" spans="1:1">
      <c r="A1527" s="2" t="e">
        <f>CONCATENATE("'",'Inverter-Full Data'!#REF!,"     ",'Inverter-Full Data'!#REF!,",",'Inverter-Full Data'!#REF!,",",'Inverter-Full Data'!#REF!,",",'Inverter-Full Data'!#REF!,"'")</f>
        <v>#REF!</v>
      </c>
    </row>
    <row r="1528" spans="1:1">
      <c r="A1528" s="2" t="e">
        <f>CONCATENATE("'",'Inverter-Full Data'!#REF!,"     ",'Inverter-Full Data'!#REF!,",",'Inverter-Full Data'!#REF!,",",'Inverter-Full Data'!#REF!,",",'Inverter-Full Data'!#REF!,"'")</f>
        <v>#REF!</v>
      </c>
    </row>
    <row r="1529" spans="1:1">
      <c r="A1529" s="2" t="e">
        <f>CONCATENATE("'",'Inverter-Full Data'!#REF!,"     ",'Inverter-Full Data'!#REF!,",",'Inverter-Full Data'!#REF!,",",'Inverter-Full Data'!#REF!,",",'Inverter-Full Data'!#REF!,"'")</f>
        <v>#REF!</v>
      </c>
    </row>
    <row r="1530" spans="1:1">
      <c r="A1530" s="2" t="e">
        <f>CONCATENATE("'",'Inverter-Full Data'!#REF!,"     ",'Inverter-Full Data'!#REF!,",",'Inverter-Full Data'!#REF!,",",'Inverter-Full Data'!#REF!,",",'Inverter-Full Data'!#REF!,"'")</f>
        <v>#REF!</v>
      </c>
    </row>
    <row r="1531" spans="1:1">
      <c r="A1531" s="2" t="e">
        <f>CONCATENATE("'",'Inverter-Full Data'!#REF!,"     ",'Inverter-Full Data'!#REF!,",",'Inverter-Full Data'!#REF!,",",'Inverter-Full Data'!#REF!,",",'Inverter-Full Data'!#REF!,"'")</f>
        <v>#REF!</v>
      </c>
    </row>
    <row r="1532" spans="1:1">
      <c r="A1532" s="2" t="e">
        <f>CONCATENATE("'",'Inverter-Full Data'!#REF!,"     ",'Inverter-Full Data'!#REF!,",",'Inverter-Full Data'!#REF!,",",'Inverter-Full Data'!#REF!,",",'Inverter-Full Data'!#REF!,"'")</f>
        <v>#REF!</v>
      </c>
    </row>
    <row r="1533" spans="1:1">
      <c r="A1533" s="2" t="e">
        <f>CONCATENATE("'",'Inverter-Full Data'!#REF!,"     ",'Inverter-Full Data'!#REF!,",",'Inverter-Full Data'!#REF!,",",'Inverter-Full Data'!#REF!,",",'Inverter-Full Data'!#REF!,"'")</f>
        <v>#REF!</v>
      </c>
    </row>
    <row r="1534" spans="1:1">
      <c r="A1534" s="2" t="e">
        <f>CONCATENATE("'",'Inverter-Full Data'!#REF!,"     ",'Inverter-Full Data'!#REF!,",",'Inverter-Full Data'!#REF!,",",'Inverter-Full Data'!#REF!,",",'Inverter-Full Data'!#REF!,"'")</f>
        <v>#REF!</v>
      </c>
    </row>
    <row r="1535" spans="1:1">
      <c r="A1535" s="2" t="e">
        <f>CONCATENATE("'",'Inverter-Full Data'!#REF!,"     ",'Inverter-Full Data'!#REF!,",",'Inverter-Full Data'!#REF!,",",'Inverter-Full Data'!#REF!,",",'Inverter-Full Data'!#REF!,"'")</f>
        <v>#REF!</v>
      </c>
    </row>
    <row r="1536" spans="1:1">
      <c r="A1536" s="2" t="e">
        <f>CONCATENATE("'",'Inverter-Full Data'!#REF!,"     ",'Inverter-Full Data'!#REF!,",",'Inverter-Full Data'!#REF!,",",'Inverter-Full Data'!#REF!,",",'Inverter-Full Data'!#REF!,"'")</f>
        <v>#REF!</v>
      </c>
    </row>
    <row r="1537" spans="1:1">
      <c r="A1537" s="2" t="e">
        <f>CONCATENATE("'",'Inverter-Full Data'!#REF!,"     ",'Inverter-Full Data'!#REF!,",",'Inverter-Full Data'!#REF!,",",'Inverter-Full Data'!#REF!,",",'Inverter-Full Data'!#REF!,"'")</f>
        <v>#REF!</v>
      </c>
    </row>
    <row r="1538" spans="1:1">
      <c r="A1538" s="2" t="e">
        <f>CONCATENATE("'",'Inverter-Full Data'!#REF!,"     ",'Inverter-Full Data'!#REF!,",",'Inverter-Full Data'!#REF!,",",'Inverter-Full Data'!#REF!,",",'Inverter-Full Data'!#REF!,"'")</f>
        <v>#REF!</v>
      </c>
    </row>
    <row r="1539" spans="1:1">
      <c r="A1539" s="2" t="e">
        <f>CONCATENATE("'",'Inverter-Full Data'!#REF!,"     ",'Inverter-Full Data'!#REF!,",",'Inverter-Full Data'!#REF!,",",'Inverter-Full Data'!#REF!,",",'Inverter-Full Data'!#REF!,"'")</f>
        <v>#REF!</v>
      </c>
    </row>
    <row r="1540" spans="1:1">
      <c r="A1540" s="2" t="e">
        <f>CONCATENATE("'",'Inverter-Full Data'!#REF!,"     ",'Inverter-Full Data'!#REF!,",",'Inverter-Full Data'!#REF!,",",'Inverter-Full Data'!#REF!,",",'Inverter-Full Data'!#REF!,"'")</f>
        <v>#REF!</v>
      </c>
    </row>
    <row r="1541" spans="1:1">
      <c r="A1541" s="2" t="e">
        <f>CONCATENATE("'",'Inverter-Full Data'!#REF!,"     ",'Inverter-Full Data'!#REF!,",",'Inverter-Full Data'!#REF!,",",'Inverter-Full Data'!#REF!,",",'Inverter-Full Data'!#REF!,"'")</f>
        <v>#REF!</v>
      </c>
    </row>
    <row r="1542" spans="1:1">
      <c r="A1542" s="2" t="e">
        <f>CONCATENATE("'",'Inverter-Full Data'!#REF!,"     ",'Inverter-Full Data'!#REF!,",",'Inverter-Full Data'!#REF!,",",'Inverter-Full Data'!#REF!,",",'Inverter-Full Data'!#REF!,"'")</f>
        <v>#REF!</v>
      </c>
    </row>
    <row r="1543" spans="1:1">
      <c r="A1543" s="2" t="e">
        <f>CONCATENATE("'",'Inverter-Full Data'!#REF!,"     ",'Inverter-Full Data'!#REF!,",",'Inverter-Full Data'!#REF!,",",'Inverter-Full Data'!#REF!,",",'Inverter-Full Data'!#REF!,"'")</f>
        <v>#REF!</v>
      </c>
    </row>
    <row r="1544" spans="1:1">
      <c r="A1544" s="2" t="e">
        <f>CONCATENATE("'",'Inverter-Full Data'!#REF!,"     ",'Inverter-Full Data'!#REF!,",",'Inverter-Full Data'!#REF!,",",'Inverter-Full Data'!#REF!,",",'Inverter-Full Data'!#REF!,"'")</f>
        <v>#REF!</v>
      </c>
    </row>
    <row r="1545" spans="1:1">
      <c r="A1545" s="2" t="e">
        <f>CONCATENATE("'",'Inverter-Full Data'!#REF!,"     ",'Inverter-Full Data'!#REF!,",",'Inverter-Full Data'!#REF!,",",'Inverter-Full Data'!#REF!,",",'Inverter-Full Data'!#REF!,"'")</f>
        <v>#REF!</v>
      </c>
    </row>
    <row r="1546" spans="1:1">
      <c r="A1546" s="2" t="e">
        <f>CONCATENATE("'",'Inverter-Full Data'!#REF!,"     ",'Inverter-Full Data'!#REF!,",",'Inverter-Full Data'!#REF!,",",'Inverter-Full Data'!#REF!,",",'Inverter-Full Data'!#REF!,"'")</f>
        <v>#REF!</v>
      </c>
    </row>
    <row r="1547" spans="1:1">
      <c r="A1547" s="2" t="e">
        <f>CONCATENATE("'",'Inverter-Full Data'!#REF!,"     ",'Inverter-Full Data'!#REF!,",",'Inverter-Full Data'!#REF!,",",'Inverter-Full Data'!#REF!,",",'Inverter-Full Data'!#REF!,"'")</f>
        <v>#REF!</v>
      </c>
    </row>
    <row r="1548" spans="1:1">
      <c r="A1548" s="2" t="e">
        <f>CONCATENATE("'",'Inverter-Full Data'!#REF!,"     ",'Inverter-Full Data'!#REF!,",",'Inverter-Full Data'!#REF!,",",'Inverter-Full Data'!#REF!,",",'Inverter-Full Data'!#REF!,"'")</f>
        <v>#REF!</v>
      </c>
    </row>
    <row r="1549" spans="1:1">
      <c r="A1549" s="2" t="e">
        <f>CONCATENATE("'",'Inverter-Full Data'!#REF!,"     ",'Inverter-Full Data'!#REF!,",",'Inverter-Full Data'!#REF!,",",'Inverter-Full Data'!#REF!,",",'Inverter-Full Data'!#REF!,"'")</f>
        <v>#REF!</v>
      </c>
    </row>
    <row r="1550" spans="1:1">
      <c r="A1550" s="2" t="e">
        <f>CONCATENATE("'",'Inverter-Full Data'!#REF!,"     ",'Inverter-Full Data'!#REF!,",",'Inverter-Full Data'!#REF!,",",'Inverter-Full Data'!#REF!,",",'Inverter-Full Data'!#REF!,"'")</f>
        <v>#REF!</v>
      </c>
    </row>
    <row r="1551" spans="1:1">
      <c r="A1551" s="2" t="e">
        <f>CONCATENATE("'",'Inverter-Full Data'!#REF!,"     ",'Inverter-Full Data'!#REF!,",",'Inverter-Full Data'!#REF!,",",'Inverter-Full Data'!#REF!,",",'Inverter-Full Data'!#REF!,"'")</f>
        <v>#REF!</v>
      </c>
    </row>
    <row r="1552" spans="1:1">
      <c r="A1552" s="2" t="e">
        <f>CONCATENATE("'",'Inverter-Full Data'!#REF!,"     ",'Inverter-Full Data'!#REF!,",",'Inverter-Full Data'!#REF!,",",'Inverter-Full Data'!#REF!,",",'Inverter-Full Data'!#REF!,"'")</f>
        <v>#REF!</v>
      </c>
    </row>
    <row r="1553" spans="1:1">
      <c r="A1553" s="2" t="e">
        <f>CONCATENATE("'",'Inverter-Full Data'!#REF!,"     ",'Inverter-Full Data'!#REF!,",",'Inverter-Full Data'!#REF!,",",'Inverter-Full Data'!#REF!,",",'Inverter-Full Data'!#REF!,"'")</f>
        <v>#REF!</v>
      </c>
    </row>
    <row r="1554" spans="1:1">
      <c r="A1554" s="2" t="e">
        <f>CONCATENATE("'",'Inverter-Full Data'!#REF!,"     ",'Inverter-Full Data'!#REF!,",",'Inverter-Full Data'!#REF!,",",'Inverter-Full Data'!#REF!,",",'Inverter-Full Data'!#REF!,"'")</f>
        <v>#REF!</v>
      </c>
    </row>
    <row r="1555" spans="1:1">
      <c r="A1555" s="2" t="e">
        <f>CONCATENATE("'",'Inverter-Full Data'!#REF!,"     ",'Inverter-Full Data'!#REF!,",",'Inverter-Full Data'!#REF!,",",'Inverter-Full Data'!#REF!,",",'Inverter-Full Data'!#REF!,"'")</f>
        <v>#REF!</v>
      </c>
    </row>
    <row r="1556" spans="1:1">
      <c r="A1556" s="2" t="e">
        <f>CONCATENATE("'",'Inverter-Full Data'!#REF!,"     ",'Inverter-Full Data'!#REF!,",",'Inverter-Full Data'!#REF!,",",'Inverter-Full Data'!#REF!,",",'Inverter-Full Data'!#REF!,"'")</f>
        <v>#REF!</v>
      </c>
    </row>
    <row r="1557" spans="1:1">
      <c r="A1557" s="2" t="e">
        <f>CONCATENATE("'",'Inverter-Full Data'!#REF!,"     ",'Inverter-Full Data'!#REF!,",",'Inverter-Full Data'!#REF!,",",'Inverter-Full Data'!#REF!,",",'Inverter-Full Data'!#REF!,"'")</f>
        <v>#REF!</v>
      </c>
    </row>
    <row r="1558" spans="1:1">
      <c r="A1558" s="2" t="e">
        <f>CONCATENATE("'",'Inverter-Full Data'!#REF!,"     ",'Inverter-Full Data'!#REF!,",",'Inverter-Full Data'!#REF!,",",'Inverter-Full Data'!#REF!,",",'Inverter-Full Data'!#REF!,"'")</f>
        <v>#REF!</v>
      </c>
    </row>
    <row r="1559" spans="1:1">
      <c r="A1559" s="2" t="e">
        <f>CONCATENATE("'",'Inverter-Full Data'!#REF!,"     ",'Inverter-Full Data'!#REF!,",",'Inverter-Full Data'!#REF!,",",'Inverter-Full Data'!#REF!,",",'Inverter-Full Data'!#REF!,"'")</f>
        <v>#REF!</v>
      </c>
    </row>
    <row r="1560" spans="1:1">
      <c r="A1560" s="2" t="e">
        <f>CONCATENATE("'",'Inverter-Full Data'!#REF!,"     ",'Inverter-Full Data'!#REF!,",",'Inverter-Full Data'!#REF!,",",'Inverter-Full Data'!#REF!,",",'Inverter-Full Data'!#REF!,"'")</f>
        <v>#REF!</v>
      </c>
    </row>
    <row r="1561" spans="1:1">
      <c r="A1561" s="2" t="e">
        <f>CONCATENATE("'",'Inverter-Full Data'!#REF!,"     ",'Inverter-Full Data'!#REF!,",",'Inverter-Full Data'!#REF!,",",'Inverter-Full Data'!#REF!,",",'Inverter-Full Data'!#REF!,"'")</f>
        <v>#REF!</v>
      </c>
    </row>
    <row r="1562" spans="1:1">
      <c r="A1562" s="2" t="e">
        <f>CONCATENATE("'",'Inverter-Full Data'!#REF!,"     ",'Inverter-Full Data'!#REF!,",",'Inverter-Full Data'!#REF!,",",'Inverter-Full Data'!#REF!,",",'Inverter-Full Data'!#REF!,"'")</f>
        <v>#REF!</v>
      </c>
    </row>
    <row r="1563" spans="1:1">
      <c r="A1563" s="2" t="e">
        <f>CONCATENATE("'",'Inverter-Full Data'!#REF!,"     ",'Inverter-Full Data'!#REF!,",",'Inverter-Full Data'!#REF!,",",'Inverter-Full Data'!#REF!,",",'Inverter-Full Data'!#REF!,"'")</f>
        <v>#REF!</v>
      </c>
    </row>
    <row r="1564" spans="1:1">
      <c r="A1564" s="2" t="e">
        <f>CONCATENATE("'",'Inverter-Full Data'!#REF!,"     ",'Inverter-Full Data'!#REF!,",",'Inverter-Full Data'!#REF!,",",'Inverter-Full Data'!#REF!,",",'Inverter-Full Data'!#REF!,"'")</f>
        <v>#REF!</v>
      </c>
    </row>
    <row r="1565" spans="1:1">
      <c r="A1565" s="2" t="e">
        <f>CONCATENATE("'",'Inverter-Full Data'!#REF!,"     ",'Inverter-Full Data'!#REF!,",",'Inverter-Full Data'!#REF!,",",'Inverter-Full Data'!#REF!,",",'Inverter-Full Data'!#REF!,"'")</f>
        <v>#REF!</v>
      </c>
    </row>
    <row r="1566" spans="1:1">
      <c r="A1566" s="2" t="e">
        <f>CONCATENATE("'",'Inverter-Full Data'!#REF!,"     ",'Inverter-Full Data'!#REF!,",",'Inverter-Full Data'!#REF!,",",'Inverter-Full Data'!#REF!,",",'Inverter-Full Data'!#REF!,"'")</f>
        <v>#REF!</v>
      </c>
    </row>
    <row r="1567" spans="1:1">
      <c r="A1567" s="2" t="e">
        <f>CONCATENATE("'",'Inverter-Full Data'!#REF!,"     ",'Inverter-Full Data'!#REF!,",",'Inverter-Full Data'!#REF!,",",'Inverter-Full Data'!#REF!,",",'Inverter-Full Data'!#REF!,"'")</f>
        <v>#REF!</v>
      </c>
    </row>
    <row r="1568" spans="1:1">
      <c r="A1568" s="2" t="e">
        <f>CONCATENATE("'",'Inverter-Full Data'!#REF!,"     ",'Inverter-Full Data'!#REF!,",",'Inverter-Full Data'!#REF!,",",'Inverter-Full Data'!#REF!,",",'Inverter-Full Data'!#REF!,"'")</f>
        <v>#REF!</v>
      </c>
    </row>
    <row r="1569" spans="1:1">
      <c r="A1569" s="2" t="e">
        <f>CONCATENATE("'",'Inverter-Full Data'!#REF!,"     ",'Inverter-Full Data'!#REF!,",",'Inverter-Full Data'!#REF!,",",'Inverter-Full Data'!#REF!,",",'Inverter-Full Data'!#REF!,"'")</f>
        <v>#REF!</v>
      </c>
    </row>
    <row r="1570" spans="1:1">
      <c r="A1570" s="2" t="e">
        <f>CONCATENATE("'",'Inverter-Full Data'!#REF!,"     ",'Inverter-Full Data'!#REF!,",",'Inverter-Full Data'!#REF!,",",'Inverter-Full Data'!#REF!,",",'Inverter-Full Data'!#REF!,"'")</f>
        <v>#REF!</v>
      </c>
    </row>
    <row r="1571" spans="1:1">
      <c r="A1571" s="2" t="e">
        <f>CONCATENATE("'",'Inverter-Full Data'!#REF!,"     ",'Inverter-Full Data'!#REF!,",",'Inverter-Full Data'!#REF!,",",'Inverter-Full Data'!#REF!,",",'Inverter-Full Data'!#REF!,"'")</f>
        <v>#REF!</v>
      </c>
    </row>
    <row r="1572" spans="1:1">
      <c r="A1572" s="2" t="e">
        <f>CONCATENATE("'",'Inverter-Full Data'!#REF!,"     ",'Inverter-Full Data'!#REF!,",",'Inverter-Full Data'!#REF!,",",'Inverter-Full Data'!#REF!,",",'Inverter-Full Data'!#REF!,"'")</f>
        <v>#REF!</v>
      </c>
    </row>
    <row r="1573" spans="1:1">
      <c r="A1573" s="2" t="e">
        <f>CONCATENATE("'",'Inverter-Full Data'!#REF!,"     ",'Inverter-Full Data'!#REF!,",",'Inverter-Full Data'!#REF!,",",'Inverter-Full Data'!#REF!,",",'Inverter-Full Data'!#REF!,"'")</f>
        <v>#REF!</v>
      </c>
    </row>
    <row r="1574" spans="1:1">
      <c r="A1574" s="2" t="e">
        <f>CONCATENATE("'",'Inverter-Full Data'!#REF!,"     ",'Inverter-Full Data'!#REF!,",",'Inverter-Full Data'!#REF!,",",'Inverter-Full Data'!#REF!,",",'Inverter-Full Data'!#REF!,"'")</f>
        <v>#REF!</v>
      </c>
    </row>
    <row r="1575" spans="1:1">
      <c r="A1575" s="2" t="e">
        <f>CONCATENATE("'",'Inverter-Full Data'!#REF!,"     ",'Inverter-Full Data'!#REF!,",",'Inverter-Full Data'!#REF!,",",'Inverter-Full Data'!#REF!,",",'Inverter-Full Data'!#REF!,"'")</f>
        <v>#REF!</v>
      </c>
    </row>
    <row r="1576" spans="1:1">
      <c r="A1576" s="2" t="e">
        <f>CONCATENATE("'",'Inverter-Full Data'!#REF!,"     ",'Inverter-Full Data'!#REF!,",",'Inverter-Full Data'!#REF!,",",'Inverter-Full Data'!#REF!,",",'Inverter-Full Data'!#REF!,"'")</f>
        <v>#REF!</v>
      </c>
    </row>
    <row r="1577" spans="1:1">
      <c r="A1577" s="2" t="e">
        <f>CONCATENATE("'",'Inverter-Full Data'!#REF!,"     ",'Inverter-Full Data'!#REF!,",",'Inverter-Full Data'!#REF!,",",'Inverter-Full Data'!#REF!,",",'Inverter-Full Data'!#REF!,"'")</f>
        <v>#REF!</v>
      </c>
    </row>
    <row r="1578" spans="1:1">
      <c r="A1578" s="2" t="e">
        <f>CONCATENATE("'",'Inverter-Full Data'!#REF!,"     ",'Inverter-Full Data'!#REF!,",",'Inverter-Full Data'!#REF!,",",'Inverter-Full Data'!#REF!,",",'Inverter-Full Data'!#REF!,"'")</f>
        <v>#REF!</v>
      </c>
    </row>
    <row r="1579" spans="1:1">
      <c r="A1579" s="2" t="e">
        <f>CONCATENATE("'",'Inverter-Full Data'!#REF!,"     ",'Inverter-Full Data'!#REF!,",",'Inverter-Full Data'!#REF!,",",'Inverter-Full Data'!#REF!,",",'Inverter-Full Data'!#REF!,"'")</f>
        <v>#REF!</v>
      </c>
    </row>
    <row r="1580" spans="1:1">
      <c r="A1580" s="2" t="e">
        <f>CONCATENATE("'",'Inverter-Full Data'!#REF!,"     ",'Inverter-Full Data'!#REF!,",",'Inverter-Full Data'!#REF!,",",'Inverter-Full Data'!#REF!,",",'Inverter-Full Data'!#REF!,"'")</f>
        <v>#REF!</v>
      </c>
    </row>
    <row r="1581" spans="1:1">
      <c r="A1581" s="2" t="e">
        <f>CONCATENATE("'",'Inverter-Full Data'!#REF!,"     ",'Inverter-Full Data'!#REF!,",",'Inverter-Full Data'!#REF!,",",'Inverter-Full Data'!#REF!,",",'Inverter-Full Data'!#REF!,"'")</f>
        <v>#REF!</v>
      </c>
    </row>
    <row r="1582" spans="1:1">
      <c r="A1582" s="2" t="e">
        <f>CONCATENATE("'",'Inverter-Full Data'!#REF!,"     ",'Inverter-Full Data'!#REF!,",",'Inverter-Full Data'!#REF!,",",'Inverter-Full Data'!#REF!,",",'Inverter-Full Data'!#REF!,"'")</f>
        <v>#REF!</v>
      </c>
    </row>
    <row r="1583" spans="1:1">
      <c r="A1583" s="2" t="e">
        <f>CONCATENATE("'",'Inverter-Full Data'!#REF!,"     ",'Inverter-Full Data'!#REF!,",",'Inverter-Full Data'!#REF!,",",'Inverter-Full Data'!#REF!,",",'Inverter-Full Data'!#REF!,"'")</f>
        <v>#REF!</v>
      </c>
    </row>
    <row r="1584" spans="1:1">
      <c r="A1584" s="2" t="e">
        <f>CONCATENATE("'",'Inverter-Full Data'!#REF!,"     ",'Inverter-Full Data'!#REF!,",",'Inverter-Full Data'!#REF!,",",'Inverter-Full Data'!#REF!,",",'Inverter-Full Data'!#REF!,"'")</f>
        <v>#REF!</v>
      </c>
    </row>
    <row r="1585" spans="1:1">
      <c r="A1585" s="2" t="e">
        <f>CONCATENATE("'",'Inverter-Full Data'!#REF!,"     ",'Inverter-Full Data'!#REF!,",",'Inverter-Full Data'!#REF!,",",'Inverter-Full Data'!#REF!,",",'Inverter-Full Data'!#REF!,"'")</f>
        <v>#REF!</v>
      </c>
    </row>
    <row r="1586" spans="1:1">
      <c r="A1586" s="2" t="e">
        <f>CONCATENATE("'",'Inverter-Full Data'!#REF!,"     ",'Inverter-Full Data'!#REF!,",",'Inverter-Full Data'!#REF!,",",'Inverter-Full Data'!#REF!,",",'Inverter-Full Data'!#REF!,"'")</f>
        <v>#REF!</v>
      </c>
    </row>
    <row r="1587" spans="1:1">
      <c r="A1587" s="2" t="e">
        <f>CONCATENATE("'",'Inverter-Full Data'!#REF!,"     ",'Inverter-Full Data'!#REF!,",",'Inverter-Full Data'!#REF!,",",'Inverter-Full Data'!#REF!,",",'Inverter-Full Data'!#REF!,"'")</f>
        <v>#REF!</v>
      </c>
    </row>
    <row r="1588" spans="1:1">
      <c r="A1588" s="2" t="e">
        <f>CONCATENATE("'",'Inverter-Full Data'!#REF!,"     ",'Inverter-Full Data'!#REF!,",",'Inverter-Full Data'!#REF!,",",'Inverter-Full Data'!#REF!,",",'Inverter-Full Data'!#REF!,"'")</f>
        <v>#REF!</v>
      </c>
    </row>
    <row r="1589" spans="1:1">
      <c r="A1589" s="2" t="e">
        <f>CONCATENATE("'",'Inverter-Full Data'!#REF!,"     ",'Inverter-Full Data'!#REF!,",",'Inverter-Full Data'!#REF!,",",'Inverter-Full Data'!#REF!,",",'Inverter-Full Data'!#REF!,"'")</f>
        <v>#REF!</v>
      </c>
    </row>
    <row r="1590" spans="1:1">
      <c r="A1590" s="2" t="e">
        <f>CONCATENATE("'",'Inverter-Full Data'!#REF!,"     ",'Inverter-Full Data'!#REF!,",",'Inverter-Full Data'!#REF!,",",'Inverter-Full Data'!#REF!,",",'Inverter-Full Data'!#REF!,"'")</f>
        <v>#REF!</v>
      </c>
    </row>
    <row r="1591" spans="1:1">
      <c r="A1591" s="2" t="e">
        <f>CONCATENATE("'",'Inverter-Full Data'!#REF!,"     ",'Inverter-Full Data'!#REF!,",",'Inverter-Full Data'!#REF!,",",'Inverter-Full Data'!#REF!,",",'Inverter-Full Data'!#REF!,"'")</f>
        <v>#REF!</v>
      </c>
    </row>
    <row r="1592" spans="1:1">
      <c r="A1592" s="2" t="e">
        <f>CONCATENATE("'",'Inverter-Full Data'!#REF!,"     ",'Inverter-Full Data'!#REF!,",",'Inverter-Full Data'!#REF!,",",'Inverter-Full Data'!#REF!,",",'Inverter-Full Data'!#REF!,"'")</f>
        <v>#REF!</v>
      </c>
    </row>
    <row r="1593" spans="1:1">
      <c r="A1593" s="2" t="e">
        <f>CONCATENATE("'",'Inverter-Full Data'!#REF!,"     ",'Inverter-Full Data'!#REF!,",",'Inverter-Full Data'!#REF!,",",'Inverter-Full Data'!#REF!,",",'Inverter-Full Data'!#REF!,"'")</f>
        <v>#REF!</v>
      </c>
    </row>
    <row r="1594" spans="1:1">
      <c r="A1594" s="2" t="e">
        <f>CONCATENATE("'",'Inverter-Full Data'!#REF!,"     ",'Inverter-Full Data'!#REF!,",",'Inverter-Full Data'!#REF!,",",'Inverter-Full Data'!#REF!,",",'Inverter-Full Data'!#REF!,"'")</f>
        <v>#REF!</v>
      </c>
    </row>
    <row r="1595" spans="1:1">
      <c r="A1595" s="2" t="e">
        <f>CONCATENATE("'",'Inverter-Full Data'!#REF!,"     ",'Inverter-Full Data'!#REF!,",",'Inverter-Full Data'!#REF!,",",'Inverter-Full Data'!#REF!,",",'Inverter-Full Data'!#REF!,"'")</f>
        <v>#REF!</v>
      </c>
    </row>
    <row r="1596" spans="1:1">
      <c r="A1596" s="2" t="e">
        <f>CONCATENATE("'",'Inverter-Full Data'!#REF!,"     ",'Inverter-Full Data'!#REF!,",",'Inverter-Full Data'!#REF!,",",'Inverter-Full Data'!#REF!,",",'Inverter-Full Data'!#REF!,"'")</f>
        <v>#REF!</v>
      </c>
    </row>
    <row r="1597" spans="1:1">
      <c r="A1597" s="2" t="e">
        <f>CONCATENATE("'",'Inverter-Full Data'!#REF!,"     ",'Inverter-Full Data'!#REF!,",",'Inverter-Full Data'!#REF!,",",'Inverter-Full Data'!#REF!,",",'Inverter-Full Data'!#REF!,"'")</f>
        <v>#REF!</v>
      </c>
    </row>
    <row r="1598" spans="1:1">
      <c r="A1598" s="2" t="e">
        <f>CONCATENATE("'",'Inverter-Full Data'!#REF!,"     ",'Inverter-Full Data'!#REF!,",",'Inverter-Full Data'!#REF!,",",'Inverter-Full Data'!#REF!,",",'Inverter-Full Data'!#REF!,"'")</f>
        <v>#REF!</v>
      </c>
    </row>
    <row r="1599" spans="1:1">
      <c r="A1599" s="2" t="e">
        <f>CONCATENATE("'",'Inverter-Full Data'!#REF!,"     ",'Inverter-Full Data'!#REF!,",",'Inverter-Full Data'!#REF!,",",'Inverter-Full Data'!#REF!,",",'Inverter-Full Data'!#REF!,"'")</f>
        <v>#REF!</v>
      </c>
    </row>
    <row r="1600" spans="1:1">
      <c r="A1600" s="2" t="e">
        <f>CONCATENATE("'",'Inverter-Full Data'!#REF!,"     ",'Inverter-Full Data'!#REF!,",",'Inverter-Full Data'!#REF!,",",'Inverter-Full Data'!#REF!,",",'Inverter-Full Data'!#REF!,"'")</f>
        <v>#REF!</v>
      </c>
    </row>
    <row r="1601" spans="1:1">
      <c r="A1601" s="2" t="e">
        <f>CONCATENATE("'",'Inverter-Full Data'!#REF!,"     ",'Inverter-Full Data'!#REF!,",",'Inverter-Full Data'!#REF!,",",'Inverter-Full Data'!#REF!,",",'Inverter-Full Data'!#REF!,"'")</f>
        <v>#REF!</v>
      </c>
    </row>
    <row r="1602" spans="1:1">
      <c r="A1602" s="2" t="e">
        <f>CONCATENATE("'",'Inverter-Full Data'!#REF!,"     ",'Inverter-Full Data'!#REF!,",",'Inverter-Full Data'!#REF!,",",'Inverter-Full Data'!#REF!,",",'Inverter-Full Data'!#REF!,"'")</f>
        <v>#REF!</v>
      </c>
    </row>
    <row r="1603" spans="1:1">
      <c r="A1603" s="2" t="e">
        <f>CONCATENATE("'",'Inverter-Full Data'!#REF!,"     ",'Inverter-Full Data'!#REF!,",",'Inverter-Full Data'!#REF!,",",'Inverter-Full Data'!#REF!,",",'Inverter-Full Data'!#REF!,"'")</f>
        <v>#REF!</v>
      </c>
    </row>
    <row r="1604" spans="1:1">
      <c r="A1604" s="2" t="e">
        <f>CONCATENATE("'",'Inverter-Full Data'!#REF!,"     ",'Inverter-Full Data'!#REF!,",",'Inverter-Full Data'!#REF!,",",'Inverter-Full Data'!#REF!,",",'Inverter-Full Data'!#REF!,"'")</f>
        <v>#REF!</v>
      </c>
    </row>
    <row r="1605" spans="1:1">
      <c r="A1605" s="2" t="e">
        <f>CONCATENATE("'",'Inverter-Full Data'!#REF!,"     ",'Inverter-Full Data'!#REF!,",",'Inverter-Full Data'!#REF!,",",'Inverter-Full Data'!#REF!,",",'Inverter-Full Data'!#REF!,"'")</f>
        <v>#REF!</v>
      </c>
    </row>
    <row r="1606" spans="1:1">
      <c r="A1606" s="2" t="e">
        <f>CONCATENATE("'",'Inverter-Full Data'!#REF!,"     ",'Inverter-Full Data'!#REF!,",",'Inverter-Full Data'!#REF!,",",'Inverter-Full Data'!#REF!,",",'Inverter-Full Data'!#REF!,"'")</f>
        <v>#REF!</v>
      </c>
    </row>
    <row r="1607" spans="1:1">
      <c r="A1607" s="2" t="e">
        <f>CONCATENATE("'",'Inverter-Full Data'!#REF!,"     ",'Inverter-Full Data'!#REF!,",",'Inverter-Full Data'!#REF!,",",'Inverter-Full Data'!#REF!,",",'Inverter-Full Data'!#REF!,"'")</f>
        <v>#REF!</v>
      </c>
    </row>
    <row r="1608" spans="1:1">
      <c r="A1608" s="2" t="e">
        <f>CONCATENATE("'",'Inverter-Full Data'!#REF!,"     ",'Inverter-Full Data'!#REF!,",",'Inverter-Full Data'!#REF!,",",'Inverter-Full Data'!#REF!,",",'Inverter-Full Data'!#REF!,"'")</f>
        <v>#REF!</v>
      </c>
    </row>
    <row r="1609" spans="1:1">
      <c r="A1609" s="2" t="e">
        <f>CONCATENATE("'",'Inverter-Full Data'!#REF!,"     ",'Inverter-Full Data'!#REF!,",",'Inverter-Full Data'!#REF!,",",'Inverter-Full Data'!#REF!,",",'Inverter-Full Data'!#REF!,"'")</f>
        <v>#REF!</v>
      </c>
    </row>
    <row r="1610" spans="1:1">
      <c r="A1610" s="2" t="e">
        <f>CONCATENATE("'",'Inverter-Full Data'!#REF!,"     ",'Inverter-Full Data'!#REF!,",",'Inverter-Full Data'!#REF!,",",'Inverter-Full Data'!#REF!,",",'Inverter-Full Data'!#REF!,"'")</f>
        <v>#REF!</v>
      </c>
    </row>
    <row r="1611" spans="1:1">
      <c r="A1611" s="2" t="e">
        <f>CONCATENATE("'",'Inverter-Full Data'!#REF!,"     ",'Inverter-Full Data'!#REF!,",",'Inverter-Full Data'!#REF!,",",'Inverter-Full Data'!#REF!,",",'Inverter-Full Data'!#REF!,"'")</f>
        <v>#REF!</v>
      </c>
    </row>
    <row r="1612" spans="1:1">
      <c r="A1612" s="2" t="e">
        <f>CONCATENATE("'",'Inverter-Full Data'!#REF!,"     ",'Inverter-Full Data'!#REF!,",",'Inverter-Full Data'!#REF!,",",'Inverter-Full Data'!#REF!,",",'Inverter-Full Data'!#REF!,"'")</f>
        <v>#REF!</v>
      </c>
    </row>
    <row r="1613" spans="1:1">
      <c r="A1613" s="2" t="e">
        <f>CONCATENATE("'",'Inverter-Full Data'!#REF!,"     ",'Inverter-Full Data'!#REF!,",",'Inverter-Full Data'!#REF!,",",'Inverter-Full Data'!#REF!,",",'Inverter-Full Data'!#REF!,"'")</f>
        <v>#REF!</v>
      </c>
    </row>
    <row r="1614" spans="1:1">
      <c r="A1614" s="2" t="e">
        <f>CONCATENATE("'",'Inverter-Full Data'!#REF!,"     ",'Inverter-Full Data'!#REF!,",",'Inverter-Full Data'!#REF!,",",'Inverter-Full Data'!#REF!,",",'Inverter-Full Data'!#REF!,"'")</f>
        <v>#REF!</v>
      </c>
    </row>
    <row r="1615" spans="1:1">
      <c r="A1615" s="2" t="e">
        <f>CONCATENATE("'",'Inverter-Full Data'!#REF!,"     ",'Inverter-Full Data'!#REF!,",",'Inverter-Full Data'!#REF!,",",'Inverter-Full Data'!#REF!,",",'Inverter-Full Data'!#REF!,"'")</f>
        <v>#REF!</v>
      </c>
    </row>
    <row r="1616" spans="1:1">
      <c r="A1616" s="2" t="e">
        <f>CONCATENATE("'",'Inverter-Full Data'!#REF!,"     ",'Inverter-Full Data'!#REF!,",",'Inverter-Full Data'!#REF!,",",'Inverter-Full Data'!#REF!,",",'Inverter-Full Data'!#REF!,"'")</f>
        <v>#REF!</v>
      </c>
    </row>
    <row r="1617" spans="1:1">
      <c r="A1617" s="2" t="e">
        <f>CONCATENATE("'",'Inverter-Full Data'!#REF!,"     ",'Inverter-Full Data'!#REF!,",",'Inverter-Full Data'!#REF!,",",'Inverter-Full Data'!#REF!,",",'Inverter-Full Data'!#REF!,"'")</f>
        <v>#REF!</v>
      </c>
    </row>
    <row r="1618" spans="1:1">
      <c r="A1618" s="2" t="e">
        <f>CONCATENATE("'",'Inverter-Full Data'!#REF!,"     ",'Inverter-Full Data'!#REF!,",",'Inverter-Full Data'!#REF!,",",'Inverter-Full Data'!#REF!,",",'Inverter-Full Data'!#REF!,"'")</f>
        <v>#REF!</v>
      </c>
    </row>
    <row r="1619" spans="1:1">
      <c r="A1619" s="2" t="e">
        <f>CONCATENATE("'",'Inverter-Full Data'!#REF!,"     ",'Inverter-Full Data'!#REF!,",",'Inverter-Full Data'!#REF!,",",'Inverter-Full Data'!#REF!,",",'Inverter-Full Data'!#REF!,"'")</f>
        <v>#REF!</v>
      </c>
    </row>
    <row r="1620" spans="1:1">
      <c r="A1620" s="2" t="e">
        <f>CONCATENATE("'",'Inverter-Full Data'!#REF!,"     ",'Inverter-Full Data'!#REF!,",",'Inverter-Full Data'!#REF!,",",'Inverter-Full Data'!#REF!,",",'Inverter-Full Data'!#REF!,"'")</f>
        <v>#REF!</v>
      </c>
    </row>
    <row r="1621" spans="1:1">
      <c r="A1621" s="2" t="e">
        <f>CONCATENATE("'",'Inverter-Full Data'!#REF!,"     ",'Inverter-Full Data'!#REF!,",",'Inverter-Full Data'!#REF!,",",'Inverter-Full Data'!#REF!,",",'Inverter-Full Data'!#REF!,"'")</f>
        <v>#REF!</v>
      </c>
    </row>
    <row r="1622" spans="1:1">
      <c r="A1622" s="2" t="e">
        <f>CONCATENATE("'",'Inverter-Full Data'!#REF!,"     ",'Inverter-Full Data'!#REF!,",",'Inverter-Full Data'!#REF!,",",'Inverter-Full Data'!#REF!,",",'Inverter-Full Data'!#REF!,"'")</f>
        <v>#REF!</v>
      </c>
    </row>
    <row r="1623" spans="1:1">
      <c r="A1623" s="2" t="e">
        <f>CONCATENATE("'",'Inverter-Full Data'!#REF!,"     ",'Inverter-Full Data'!#REF!,",",'Inverter-Full Data'!#REF!,",",'Inverter-Full Data'!#REF!,",",'Inverter-Full Data'!#REF!,"'")</f>
        <v>#REF!</v>
      </c>
    </row>
    <row r="1624" spans="1:1">
      <c r="A1624" s="2" t="e">
        <f>CONCATENATE("'",'Inverter-Full Data'!#REF!,"     ",'Inverter-Full Data'!#REF!,",",'Inverter-Full Data'!#REF!,",",'Inverter-Full Data'!#REF!,",",'Inverter-Full Data'!#REF!,"'")</f>
        <v>#REF!</v>
      </c>
    </row>
    <row r="1625" spans="1:1">
      <c r="A1625" s="2" t="e">
        <f>CONCATENATE("'",'Inverter-Full Data'!#REF!,"     ",'Inverter-Full Data'!#REF!,",",'Inverter-Full Data'!#REF!,",",'Inverter-Full Data'!#REF!,",",'Inverter-Full Data'!#REF!,"'")</f>
        <v>#REF!</v>
      </c>
    </row>
    <row r="1626" spans="1:1">
      <c r="A1626" s="2" t="e">
        <f>CONCATENATE("'",'Inverter-Full Data'!#REF!,"     ",'Inverter-Full Data'!#REF!,",",'Inverter-Full Data'!#REF!,",",'Inverter-Full Data'!#REF!,",",'Inverter-Full Data'!#REF!,"'")</f>
        <v>#REF!</v>
      </c>
    </row>
    <row r="1627" spans="1:1">
      <c r="A1627" s="2" t="e">
        <f>CONCATENATE("'",'Inverter-Full Data'!#REF!,"     ",'Inverter-Full Data'!#REF!,",",'Inverter-Full Data'!#REF!,",",'Inverter-Full Data'!#REF!,",",'Inverter-Full Data'!#REF!,"'")</f>
        <v>#REF!</v>
      </c>
    </row>
    <row r="1628" spans="1:1">
      <c r="A1628" s="2" t="e">
        <f>CONCATENATE("'",'Inverter-Full Data'!#REF!,"     ",'Inverter-Full Data'!#REF!,",",'Inverter-Full Data'!#REF!,",",'Inverter-Full Data'!#REF!,",",'Inverter-Full Data'!#REF!,"'")</f>
        <v>#REF!</v>
      </c>
    </row>
    <row r="1629" spans="1:1">
      <c r="A1629" s="2" t="e">
        <f>CONCATENATE("'",'Inverter-Full Data'!#REF!,"     ",'Inverter-Full Data'!#REF!,",",'Inverter-Full Data'!#REF!,",",'Inverter-Full Data'!#REF!,",",'Inverter-Full Data'!#REF!,"'")</f>
        <v>#REF!</v>
      </c>
    </row>
    <row r="1630" spans="1:1">
      <c r="A1630" s="2" t="e">
        <f>CONCATENATE("'",'Inverter-Full Data'!#REF!,"     ",'Inverter-Full Data'!#REF!,",",'Inverter-Full Data'!#REF!,",",'Inverter-Full Data'!#REF!,",",'Inverter-Full Data'!#REF!,"'")</f>
        <v>#REF!</v>
      </c>
    </row>
    <row r="1631" spans="1:1">
      <c r="A1631" s="2" t="e">
        <f>CONCATENATE("'",'Inverter-Full Data'!#REF!,"     ",'Inverter-Full Data'!#REF!,",",'Inverter-Full Data'!#REF!,",",'Inverter-Full Data'!#REF!,",",'Inverter-Full Data'!#REF!,"'")</f>
        <v>#REF!</v>
      </c>
    </row>
    <row r="1632" spans="1:1">
      <c r="A1632" s="2" t="e">
        <f>CONCATENATE("'",'Inverter-Full Data'!#REF!,"     ",'Inverter-Full Data'!#REF!,",",'Inverter-Full Data'!#REF!,",",'Inverter-Full Data'!#REF!,",",'Inverter-Full Data'!#REF!,"'")</f>
        <v>#REF!</v>
      </c>
    </row>
    <row r="1633" spans="1:1">
      <c r="A1633" s="2" t="e">
        <f>CONCATENATE("'",'Inverter-Full Data'!#REF!,"     ",'Inverter-Full Data'!#REF!,",",'Inverter-Full Data'!#REF!,",",'Inverter-Full Data'!#REF!,",",'Inverter-Full Data'!#REF!,"'")</f>
        <v>#REF!</v>
      </c>
    </row>
    <row r="1634" spans="1:1">
      <c r="A1634" s="2" t="e">
        <f>CONCATENATE("'",'Inverter-Full Data'!#REF!,"     ",'Inverter-Full Data'!#REF!,",",'Inverter-Full Data'!#REF!,",",'Inverter-Full Data'!#REF!,",",'Inverter-Full Data'!#REF!,"'")</f>
        <v>#REF!</v>
      </c>
    </row>
    <row r="1635" spans="1:1">
      <c r="A1635" s="2" t="e">
        <f>CONCATENATE("'",'Inverter-Full Data'!#REF!,"     ",'Inverter-Full Data'!#REF!,",",'Inverter-Full Data'!#REF!,",",'Inverter-Full Data'!#REF!,",",'Inverter-Full Data'!#REF!,"'")</f>
        <v>#REF!</v>
      </c>
    </row>
    <row r="1636" spans="1:1">
      <c r="A1636" s="2" t="e">
        <f>CONCATENATE("'",'Inverter-Full Data'!#REF!,"     ",'Inverter-Full Data'!#REF!,",",'Inverter-Full Data'!#REF!,",",'Inverter-Full Data'!#REF!,",",'Inverter-Full Data'!#REF!,"'")</f>
        <v>#REF!</v>
      </c>
    </row>
    <row r="1637" spans="1:1">
      <c r="A1637" s="2" t="e">
        <f>CONCATENATE("'",'Inverter-Full Data'!#REF!,"     ",'Inverter-Full Data'!#REF!,",",'Inverter-Full Data'!#REF!,",",'Inverter-Full Data'!#REF!,",",'Inverter-Full Data'!#REF!,"'")</f>
        <v>#REF!</v>
      </c>
    </row>
    <row r="1638" spans="1:1">
      <c r="A1638" s="2" t="e">
        <f>CONCATENATE("'",'Inverter-Full Data'!#REF!,"     ",'Inverter-Full Data'!#REF!,",",'Inverter-Full Data'!#REF!,",",'Inverter-Full Data'!#REF!,",",'Inverter-Full Data'!#REF!,"'")</f>
        <v>#REF!</v>
      </c>
    </row>
    <row r="1639" spans="1:1">
      <c r="A1639" s="2" t="e">
        <f>CONCATENATE("'",'Inverter-Full Data'!#REF!,"     ",'Inverter-Full Data'!#REF!,",",'Inverter-Full Data'!#REF!,",",'Inverter-Full Data'!#REF!,",",'Inverter-Full Data'!#REF!,"'")</f>
        <v>#REF!</v>
      </c>
    </row>
    <row r="1640" spans="1:1">
      <c r="A1640" s="2" t="e">
        <f>CONCATENATE("'",'Inverter-Full Data'!#REF!,"     ",'Inverter-Full Data'!#REF!,",",'Inverter-Full Data'!#REF!,",",'Inverter-Full Data'!#REF!,",",'Inverter-Full Data'!#REF!,"'")</f>
        <v>#REF!</v>
      </c>
    </row>
    <row r="1641" spans="1:1">
      <c r="A1641" s="2" t="e">
        <f>CONCATENATE("'",'Inverter-Full Data'!#REF!,"     ",'Inverter-Full Data'!#REF!,",",'Inverter-Full Data'!#REF!,",",'Inverter-Full Data'!#REF!,",",'Inverter-Full Data'!#REF!,"'")</f>
        <v>#REF!</v>
      </c>
    </row>
    <row r="1642" spans="1:1">
      <c r="A1642" s="2" t="e">
        <f>CONCATENATE("'",'Inverter-Full Data'!#REF!,"     ",'Inverter-Full Data'!#REF!,",",'Inverter-Full Data'!#REF!,",",'Inverter-Full Data'!#REF!,",",'Inverter-Full Data'!#REF!,"'")</f>
        <v>#REF!</v>
      </c>
    </row>
    <row r="1643" spans="1:1">
      <c r="A1643" s="2" t="e">
        <f>CONCATENATE("'",'Inverter-Full Data'!#REF!,"     ",'Inverter-Full Data'!#REF!,",",'Inverter-Full Data'!#REF!,",",'Inverter-Full Data'!#REF!,",",'Inverter-Full Data'!#REF!,"'")</f>
        <v>#REF!</v>
      </c>
    </row>
    <row r="1644" spans="1:1">
      <c r="A1644" s="2" t="e">
        <f>CONCATENATE("'",'Inverter-Full Data'!#REF!,"     ",'Inverter-Full Data'!#REF!,",",'Inverter-Full Data'!#REF!,",",'Inverter-Full Data'!#REF!,",",'Inverter-Full Data'!#REF!,"'")</f>
        <v>#REF!</v>
      </c>
    </row>
    <row r="1645" spans="1:1">
      <c r="A1645" s="2" t="e">
        <f>CONCATENATE("'",'Inverter-Full Data'!#REF!,"     ",'Inverter-Full Data'!#REF!,",",'Inverter-Full Data'!#REF!,",",'Inverter-Full Data'!#REF!,",",'Inverter-Full Data'!#REF!,"'")</f>
        <v>#REF!</v>
      </c>
    </row>
    <row r="1646" spans="1:1">
      <c r="A1646" s="2" t="e">
        <f>CONCATENATE("'",'Inverter-Full Data'!#REF!,"     ",'Inverter-Full Data'!#REF!,",",'Inverter-Full Data'!#REF!,",",'Inverter-Full Data'!#REF!,",",'Inverter-Full Data'!#REF!,"'")</f>
        <v>#REF!</v>
      </c>
    </row>
    <row r="1647" spans="1:1">
      <c r="A1647" s="2" t="e">
        <f>CONCATENATE("'",'Inverter-Full Data'!#REF!,"     ",'Inverter-Full Data'!#REF!,",",'Inverter-Full Data'!#REF!,",",'Inverter-Full Data'!#REF!,",",'Inverter-Full Data'!#REF!,"'")</f>
        <v>#REF!</v>
      </c>
    </row>
    <row r="1648" spans="1:1">
      <c r="A1648" s="2" t="e">
        <f>CONCATENATE("'",'Inverter-Full Data'!#REF!,"     ",'Inverter-Full Data'!#REF!,",",'Inverter-Full Data'!#REF!,",",'Inverter-Full Data'!#REF!,",",'Inverter-Full Data'!#REF!,"'")</f>
        <v>#REF!</v>
      </c>
    </row>
    <row r="1649" spans="1:1">
      <c r="A1649" s="2" t="e">
        <f>CONCATENATE("'",'Inverter-Full Data'!#REF!,"     ",'Inverter-Full Data'!#REF!,",",'Inverter-Full Data'!#REF!,",",'Inverter-Full Data'!#REF!,",",'Inverter-Full Data'!#REF!,"'")</f>
        <v>#REF!</v>
      </c>
    </row>
    <row r="1650" spans="1:1">
      <c r="A1650" s="2" t="e">
        <f>CONCATENATE("'",'Inverter-Full Data'!#REF!,"     ",'Inverter-Full Data'!#REF!,",",'Inverter-Full Data'!#REF!,",",'Inverter-Full Data'!#REF!,",",'Inverter-Full Data'!#REF!,"'")</f>
        <v>#REF!</v>
      </c>
    </row>
    <row r="1651" spans="1:1">
      <c r="A1651" s="2" t="e">
        <f>CONCATENATE("'",'Inverter-Full Data'!#REF!,"     ",'Inverter-Full Data'!#REF!,",",'Inverter-Full Data'!#REF!,",",'Inverter-Full Data'!#REF!,",",'Inverter-Full Data'!#REF!,"'")</f>
        <v>#REF!</v>
      </c>
    </row>
    <row r="1652" spans="1:1">
      <c r="A1652" s="2" t="e">
        <f>CONCATENATE("'",'Inverter-Full Data'!#REF!,"     ",'Inverter-Full Data'!#REF!,",",'Inverter-Full Data'!#REF!,",",'Inverter-Full Data'!#REF!,",",'Inverter-Full Data'!#REF!,"'")</f>
        <v>#REF!</v>
      </c>
    </row>
    <row r="1653" spans="1:1">
      <c r="A1653" s="2" t="e">
        <f>CONCATENATE("'",'Inverter-Full Data'!#REF!,"     ",'Inverter-Full Data'!#REF!,",",'Inverter-Full Data'!#REF!,",",'Inverter-Full Data'!#REF!,",",'Inverter-Full Data'!#REF!,"'")</f>
        <v>#REF!</v>
      </c>
    </row>
    <row r="1654" spans="1:1">
      <c r="A1654" s="2" t="e">
        <f>CONCATENATE("'",'Inverter-Full Data'!#REF!,"     ",'Inverter-Full Data'!#REF!,",",'Inverter-Full Data'!#REF!,",",'Inverter-Full Data'!#REF!,",",'Inverter-Full Data'!#REF!,"'")</f>
        <v>#REF!</v>
      </c>
    </row>
    <row r="1655" spans="1:1">
      <c r="A1655" s="2" t="e">
        <f>CONCATENATE("'",'Inverter-Full Data'!#REF!,"     ",'Inverter-Full Data'!#REF!,",",'Inverter-Full Data'!#REF!,",",'Inverter-Full Data'!#REF!,",",'Inverter-Full Data'!#REF!,"'")</f>
        <v>#REF!</v>
      </c>
    </row>
    <row r="1656" spans="1:1">
      <c r="A1656" s="2" t="e">
        <f>CONCATENATE("'",'Inverter-Full Data'!#REF!,"     ",'Inverter-Full Data'!#REF!,",",'Inverter-Full Data'!#REF!,",",'Inverter-Full Data'!#REF!,",",'Inverter-Full Data'!#REF!,"'")</f>
        <v>#REF!</v>
      </c>
    </row>
    <row r="1657" spans="1:1">
      <c r="A1657" s="2" t="e">
        <f>CONCATENATE("'",'Inverter-Full Data'!#REF!,"     ",'Inverter-Full Data'!#REF!,",",'Inverter-Full Data'!#REF!,",",'Inverter-Full Data'!#REF!,",",'Inverter-Full Data'!#REF!,"'")</f>
        <v>#REF!</v>
      </c>
    </row>
    <row r="1658" spans="1:1">
      <c r="A1658" s="2" t="e">
        <f>CONCATENATE("'",'Inverter-Full Data'!#REF!,"     ",'Inverter-Full Data'!#REF!,",",'Inverter-Full Data'!#REF!,",",'Inverter-Full Data'!#REF!,",",'Inverter-Full Data'!#REF!,"'")</f>
        <v>#REF!</v>
      </c>
    </row>
    <row r="1659" spans="1:1">
      <c r="A1659" s="2" t="e">
        <f>CONCATENATE("'",'Inverter-Full Data'!#REF!,"     ",'Inverter-Full Data'!#REF!,",",'Inverter-Full Data'!#REF!,",",'Inverter-Full Data'!#REF!,",",'Inverter-Full Data'!#REF!,"'")</f>
        <v>#REF!</v>
      </c>
    </row>
    <row r="1660" spans="1:1">
      <c r="A1660" s="2" t="e">
        <f>CONCATENATE("'",'Inverter-Full Data'!#REF!,"     ",'Inverter-Full Data'!#REF!,",",'Inverter-Full Data'!#REF!,",",'Inverter-Full Data'!#REF!,",",'Inverter-Full Data'!#REF!,"'")</f>
        <v>#REF!</v>
      </c>
    </row>
    <row r="1661" spans="1:1">
      <c r="A1661" s="2" t="e">
        <f>CONCATENATE("'",'Inverter-Full Data'!#REF!,"     ",'Inverter-Full Data'!#REF!,",",'Inverter-Full Data'!#REF!,",",'Inverter-Full Data'!#REF!,",",'Inverter-Full Data'!#REF!,"'")</f>
        <v>#REF!</v>
      </c>
    </row>
    <row r="1662" spans="1:1">
      <c r="A1662" s="2" t="e">
        <f>CONCATENATE("'",'Inverter-Full Data'!#REF!,"     ",'Inverter-Full Data'!#REF!,",",'Inverter-Full Data'!#REF!,",",'Inverter-Full Data'!#REF!,",",'Inverter-Full Data'!#REF!,"'")</f>
        <v>#REF!</v>
      </c>
    </row>
    <row r="1663" spans="1:1">
      <c r="A1663" s="2" t="e">
        <f>CONCATENATE("'",'Inverter-Full Data'!#REF!,"     ",'Inverter-Full Data'!#REF!,",",'Inverter-Full Data'!#REF!,",",'Inverter-Full Data'!#REF!,",",'Inverter-Full Data'!#REF!,"'")</f>
        <v>#REF!</v>
      </c>
    </row>
    <row r="1664" spans="1:1">
      <c r="A1664" s="2" t="e">
        <f>CONCATENATE("'",'Inverter-Full Data'!#REF!,"     ",'Inverter-Full Data'!#REF!,",",'Inverter-Full Data'!#REF!,",",'Inverter-Full Data'!#REF!,",",'Inverter-Full Data'!#REF!,"'")</f>
        <v>#REF!</v>
      </c>
    </row>
    <row r="1665" spans="1:1">
      <c r="A1665" s="2" t="e">
        <f>CONCATENATE("'",'Inverter-Full Data'!#REF!,"     ",'Inverter-Full Data'!#REF!,",",'Inverter-Full Data'!#REF!,",",'Inverter-Full Data'!#REF!,",",'Inverter-Full Data'!#REF!,"'")</f>
        <v>#REF!</v>
      </c>
    </row>
    <row r="1666" spans="1:1">
      <c r="A1666" s="2" t="e">
        <f>CONCATENATE("'",'Inverter-Full Data'!#REF!,"     ",'Inverter-Full Data'!#REF!,",",'Inverter-Full Data'!#REF!,",",'Inverter-Full Data'!#REF!,",",'Inverter-Full Data'!#REF!,"'")</f>
        <v>#REF!</v>
      </c>
    </row>
    <row r="1667" spans="1:1">
      <c r="A1667" s="2" t="str">
        <f>CONCATENATE("'",'Inverter-Full Data'!A263,"     ",'Inverter-Full Data'!B263,",",'Inverter-Full Data'!S263,",",'Inverter-Full Data'!J263,",",'Inverter-Full Data'!T263,"'")</f>
        <v>'Jinko Solar Co.,Ltd.     JKMS260M-60B-EP [240V],N,97,Y'</v>
      </c>
    </row>
    <row r="1668" spans="1:1">
      <c r="A1668" s="2" t="str">
        <f>CONCATENATE("'",'Inverter-Full Data'!A264,"     ",'Inverter-Full Data'!B264,",",'Inverter-Full Data'!S264,",",'Inverter-Full Data'!J264,",",'Inverter-Full Data'!T264,"'")</f>
        <v>'Jinko Solar Co.,Ltd.     JKMS265M-60B-EP [240V],N,97,Y'</v>
      </c>
    </row>
    <row r="1669" spans="1:1">
      <c r="A1669" s="2" t="str">
        <f>CONCATENATE("'",'Inverter-Full Data'!A265,"     ",'Inverter-Full Data'!B265,",",'Inverter-Full Data'!S265,",",'Inverter-Full Data'!J265,",",'Inverter-Full Data'!T265,"'")</f>
        <v>'Jinko Solar Co.,Ltd.     JKMS270M-60B-EP [240V],N,97,Y'</v>
      </c>
    </row>
    <row r="1670" spans="1:1">
      <c r="A1670" s="2" t="str">
        <f>CONCATENATE("'",'Inverter-Full Data'!A266,"     ",'Inverter-Full Data'!B266,",",'Inverter-Full Data'!S266,",",'Inverter-Full Data'!J266,",",'Inverter-Full Data'!T266,"'")</f>
        <v>'Jinko Solar Co.,Ltd.     JKMS275M-60B-EP [240V],N,97,Y'</v>
      </c>
    </row>
    <row r="1671" spans="1:1">
      <c r="A1671" s="2" t="str">
        <f>CONCATENATE("'",'Inverter-Full Data'!A267,"     ",'Inverter-Full Data'!B267,",",'Inverter-Full Data'!S267,",",'Inverter-Full Data'!J267,",",'Inverter-Full Data'!T267,"'")</f>
        <v>'Jinko Solar Co.,Ltd.     JKMS275M-60-EP [240V],N,97,Y'</v>
      </c>
    </row>
    <row r="1672" spans="1:1">
      <c r="A1672" s="2" t="str">
        <f>CONCATENATE("'",'Inverter-Full Data'!A268,"     ",'Inverter-Full Data'!B268,",",'Inverter-Full Data'!S268,",",'Inverter-Full Data'!J268,",",'Inverter-Full Data'!T268,"'")</f>
        <v>'Jinko Solar Co.,Ltd.     JKMS280M-60B-EP [240V],N,97,Y'</v>
      </c>
    </row>
    <row r="1673" spans="1:1">
      <c r="A1673" s="2" t="str">
        <f>CONCATENATE("'",'Inverter-Full Data'!A269,"     ",'Inverter-Full Data'!B269,",",'Inverter-Full Data'!S269,",",'Inverter-Full Data'!J269,",",'Inverter-Full Data'!T269,"'")</f>
        <v>'Jinko Solar Co.,Ltd.     JKMS280M-60-EP [240V],N,97,Y'</v>
      </c>
    </row>
    <row r="1674" spans="1:1">
      <c r="A1674" s="2" t="str">
        <f>CONCATENATE("'",'Inverter-Full Data'!A270,"     ",'Inverter-Full Data'!B270,",",'Inverter-Full Data'!S270,",",'Inverter-Full Data'!J270,",",'Inverter-Full Data'!T270,"'")</f>
        <v>'Jinko Solar Co.,Ltd.     JKMS285M-60B-EP [240V],N,97,Y'</v>
      </c>
    </row>
    <row r="1675" spans="1:1">
      <c r="A1675" s="2" t="str">
        <f>CONCATENATE("'",'Inverter-Full Data'!A271,"     ",'Inverter-Full Data'!B271,",",'Inverter-Full Data'!S271,",",'Inverter-Full Data'!J271,",",'Inverter-Full Data'!T271,"'")</f>
        <v>'Jinko Solar Co.,Ltd.     JKMS285M-60-EP [240V],N,97,Y'</v>
      </c>
    </row>
    <row r="1676" spans="1:1">
      <c r="A1676" s="2" t="str">
        <f>CONCATENATE("'",'Inverter-Full Data'!A272,"     ",'Inverter-Full Data'!B272,",",'Inverter-Full Data'!S272,",",'Inverter-Full Data'!J272,",",'Inverter-Full Data'!T272,"'")</f>
        <v>'Jinko Solar Co.,Ltd.     JKMS290M-60B-EP [240V],N,97,Y'</v>
      </c>
    </row>
    <row r="1677" spans="1:1">
      <c r="A1677" s="2" t="str">
        <f>CONCATENATE("'",'Inverter-Full Data'!A273,"     ",'Inverter-Full Data'!B273,",",'Inverter-Full Data'!S273,",",'Inverter-Full Data'!J273,",",'Inverter-Full Data'!T273,"'")</f>
        <v>'Jinko Solar Co.,Ltd.     JKMS290M-60-EP [240V],N,97,Y'</v>
      </c>
    </row>
    <row r="1678" spans="1:1">
      <c r="A1678" s="2" t="str">
        <f>CONCATENATE("'",'Inverter-Full Data'!A274,"     ",'Inverter-Full Data'!B274,",",'Inverter-Full Data'!S274,",",'Inverter-Full Data'!J274,",",'Inverter-Full Data'!T274,"'")</f>
        <v>'Jinko Solar Co.,Ltd.     JKMS295M-60B-EP [240V],N,97,Y'</v>
      </c>
    </row>
    <row r="1679" spans="1:1">
      <c r="A1679" s="2" t="str">
        <f>CONCATENATE("'",'Inverter-Full Data'!A275,"     ",'Inverter-Full Data'!B275,",",'Inverter-Full Data'!S275,",",'Inverter-Full Data'!J275,",",'Inverter-Full Data'!T275,"'")</f>
        <v>'Jinko Solar Co.,Ltd.     JKMS295M-60-EP [240V],N,97,Y'</v>
      </c>
    </row>
    <row r="1680" spans="1:1">
      <c r="A1680" s="2" t="str">
        <f>CONCATENATE("'",'Inverter-Full Data'!A276,"     ",'Inverter-Full Data'!B276,",",'Inverter-Full Data'!S276,",",'Inverter-Full Data'!J276,",",'Inverter-Full Data'!T276,"'")</f>
        <v>'Jinko Solar Co.,Ltd.     JKMS300M-60-EP [240V],N,97,Y'</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e">
        <f>CONCATENATE("'",'Inverter-Full Data'!#REF!,"     ",'Inverter-Full Data'!#REF!,",",'Inverter-Full Data'!#REF!,",",'Inverter-Full Data'!#REF!,",",'Inverter-Full Data'!#REF!,"'")</f>
        <v>#REF!</v>
      </c>
    </row>
    <row r="1696" spans="1:1">
      <c r="A1696" s="2" t="e">
        <f>CONCATENATE("'",'Inverter-Full Data'!#REF!,"     ",'Inverter-Full Data'!#REF!,",",'Inverter-Full Data'!#REF!,",",'Inverter-Full Data'!#REF!,",",'Inverter-Full Data'!#REF!,"'")</f>
        <v>#REF!</v>
      </c>
    </row>
    <row r="1697" spans="1:1">
      <c r="A1697" s="2" t="e">
        <f>CONCATENATE("'",'Inverter-Full Data'!#REF!,"     ",'Inverter-Full Data'!#REF!,",",'Inverter-Full Data'!#REF!,",",'Inverter-Full Data'!#REF!,",",'Inverter-Full Data'!#REF!,"'")</f>
        <v>#REF!</v>
      </c>
    </row>
    <row r="1698" spans="1:1">
      <c r="A1698" s="2" t="e">
        <f>CONCATENATE("'",'Inverter-Full Data'!#REF!,"     ",'Inverter-Full Data'!#REF!,",",'Inverter-Full Data'!#REF!,",",'Inverter-Full Data'!#REF!,",",'Inverter-Full Data'!#REF!,"'")</f>
        <v>#REF!</v>
      </c>
    </row>
    <row r="1699" spans="1:1">
      <c r="A1699" s="2" t="e">
        <f>CONCATENATE("'",'Inverter-Full Data'!#REF!,"     ",'Inverter-Full Data'!#REF!,",",'Inverter-Full Data'!#REF!,",",'Inverter-Full Data'!#REF!,",",'Inverter-Full Data'!#REF!,"'")</f>
        <v>#REF!</v>
      </c>
    </row>
    <row r="1700" spans="1:1">
      <c r="A1700" s="2" t="e">
        <f>CONCATENATE("'",'Inverter-Full Data'!#REF!,"     ",'Inverter-Full Data'!#REF!,",",'Inverter-Full Data'!#REF!,",",'Inverter-Full Data'!#REF!,",",'Inverter-Full Data'!#REF!,"'")</f>
        <v>#REF!</v>
      </c>
    </row>
    <row r="1701" spans="1:1">
      <c r="A1701" s="2" t="e">
        <f>CONCATENATE("'",'Inverter-Full Data'!#REF!,"     ",'Inverter-Full Data'!#REF!,",",'Inverter-Full Data'!#REF!,",",'Inverter-Full Data'!#REF!,",",'Inverter-Full Data'!#REF!,"'")</f>
        <v>#REF!</v>
      </c>
    </row>
    <row r="1702" spans="1:1">
      <c r="A1702" s="2" t="e">
        <f>CONCATENATE("'",'Inverter-Full Data'!#REF!,"     ",'Inverter-Full Data'!#REF!,",",'Inverter-Full Data'!#REF!,",",'Inverter-Full Data'!#REF!,",",'Inverter-Full Data'!#REF!,"'")</f>
        <v>#REF!</v>
      </c>
    </row>
    <row r="1703" spans="1:1">
      <c r="A1703" s="2" t="e">
        <f>CONCATENATE("'",'Inverter-Full Data'!#REF!,"     ",'Inverter-Full Data'!#REF!,",",'Inverter-Full Data'!#REF!,",",'Inverter-Full Data'!#REF!,",",'Inverter-Full Data'!#REF!,"'")</f>
        <v>#REF!</v>
      </c>
    </row>
    <row r="1704" spans="1:1">
      <c r="A1704" s="2" t="e">
        <f>CONCATENATE("'",'Inverter-Full Data'!#REF!,"     ",'Inverter-Full Data'!#REF!,",",'Inverter-Full Data'!#REF!,",",'Inverter-Full Data'!#REF!,",",'Inverter-Full Data'!#REF!,"'")</f>
        <v>#REF!</v>
      </c>
    </row>
    <row r="1705" spans="1:1">
      <c r="A1705" s="2" t="e">
        <f>CONCATENATE("'",'Inverter-Full Data'!#REF!,"     ",'Inverter-Full Data'!#REF!,",",'Inverter-Full Data'!#REF!,",",'Inverter-Full Data'!#REF!,",",'Inverter-Full Data'!#REF!,"'")</f>
        <v>#REF!</v>
      </c>
    </row>
    <row r="1706" spans="1:1">
      <c r="A1706" s="2" t="e">
        <f>CONCATENATE("'",'Inverter-Full Data'!#REF!,"     ",'Inverter-Full Data'!#REF!,",",'Inverter-Full Data'!#REF!,",",'Inverter-Full Data'!#REF!,",",'Inverter-Full Data'!#REF!,"'")</f>
        <v>#REF!</v>
      </c>
    </row>
    <row r="1707" spans="1:1">
      <c r="A1707" s="2" t="e">
        <f>CONCATENATE("'",'Inverter-Full Data'!#REF!,"     ",'Inverter-Full Data'!#REF!,",",'Inverter-Full Data'!#REF!,",",'Inverter-Full Data'!#REF!,",",'Inverter-Full Data'!#REF!,"'")</f>
        <v>#REF!</v>
      </c>
    </row>
    <row r="1708" spans="1:1">
      <c r="A1708" s="2" t="e">
        <f>CONCATENATE("'",'Inverter-Full Data'!#REF!,"     ",'Inverter-Full Data'!#REF!,",",'Inverter-Full Data'!#REF!,",",'Inverter-Full Data'!#REF!,",",'Inverter-Full Data'!#REF!,"'")</f>
        <v>#REF!</v>
      </c>
    </row>
    <row r="1709" spans="1:1">
      <c r="A1709" s="2" t="e">
        <f>CONCATENATE("'",'Inverter-Full Data'!#REF!,"     ",'Inverter-Full Data'!#REF!,",",'Inverter-Full Data'!#REF!,",",'Inverter-Full Data'!#REF!,",",'Inverter-Full Data'!#REF!,"'")</f>
        <v>#REF!</v>
      </c>
    </row>
    <row r="1710" spans="1:1">
      <c r="A1710" s="2" t="e">
        <f>CONCATENATE("'",'Inverter-Full Data'!#REF!,"     ",'Inverter-Full Data'!#REF!,",",'Inverter-Full Data'!#REF!,",",'Inverter-Full Data'!#REF!,",",'Inverter-Full Data'!#REF!,"'")</f>
        <v>#REF!</v>
      </c>
    </row>
    <row r="1711" spans="1:1">
      <c r="A1711" s="2" t="e">
        <f>CONCATENATE("'",'Inverter-Full Data'!#REF!,"     ",'Inverter-Full Data'!#REF!,",",'Inverter-Full Data'!#REF!,",",'Inverter-Full Data'!#REF!,",",'Inverter-Full Data'!#REF!,"'")</f>
        <v>#REF!</v>
      </c>
    </row>
    <row r="1712" spans="1:1">
      <c r="A1712" s="2" t="e">
        <f>CONCATENATE("'",'Inverter-Full Data'!#REF!,"     ",'Inverter-Full Data'!#REF!,",",'Inverter-Full Data'!#REF!,",",'Inverter-Full Data'!#REF!,",",'Inverter-Full Data'!#REF!,"'")</f>
        <v>#REF!</v>
      </c>
    </row>
    <row r="1713" spans="1:1">
      <c r="A1713" s="2" t="e">
        <f>CONCATENATE("'",'Inverter-Full Data'!#REF!,"     ",'Inverter-Full Data'!#REF!,",",'Inverter-Full Data'!#REF!,",",'Inverter-Full Data'!#REF!,",",'Inverter-Full Data'!#REF!,"'")</f>
        <v>#REF!</v>
      </c>
    </row>
    <row r="1714" spans="1:1">
      <c r="A1714" s="2" t="e">
        <f>CONCATENATE("'",'Inverter-Full Data'!#REF!,"     ",'Inverter-Full Data'!#REF!,",",'Inverter-Full Data'!#REF!,",",'Inverter-Full Data'!#REF!,",",'Inverter-Full Data'!#REF!,"'")</f>
        <v>#REF!</v>
      </c>
    </row>
    <row r="1715" spans="1:1">
      <c r="A1715" s="2" t="e">
        <f>CONCATENATE("'",'Inverter-Full Data'!#REF!,"     ",'Inverter-Full Data'!#REF!,",",'Inverter-Full Data'!#REF!,",",'Inverter-Full Data'!#REF!,",",'Inverter-Full Data'!#REF!,"'")</f>
        <v>#REF!</v>
      </c>
    </row>
    <row r="1716" spans="1:1">
      <c r="A1716" s="2" t="e">
        <f>CONCATENATE("'",'Inverter-Full Data'!#REF!,"     ",'Inverter-Full Data'!#REF!,",",'Inverter-Full Data'!#REF!,",",'Inverter-Full Data'!#REF!,",",'Inverter-Full Data'!#REF!,"'")</f>
        <v>#REF!</v>
      </c>
    </row>
    <row r="1717" spans="1:1">
      <c r="A1717" s="2" t="e">
        <f>CONCATENATE("'",'Inverter-Full Data'!#REF!,"     ",'Inverter-Full Data'!#REF!,",",'Inverter-Full Data'!#REF!,",",'Inverter-Full Data'!#REF!,",",'Inverter-Full Data'!#REF!,"'")</f>
        <v>#REF!</v>
      </c>
    </row>
    <row r="1718" spans="1:1">
      <c r="A1718" s="2" t="e">
        <f>CONCATENATE("'",'Inverter-Full Data'!#REF!,"     ",'Inverter-Full Data'!#REF!,",",'Inverter-Full Data'!#REF!,",",'Inverter-Full Data'!#REF!,",",'Inverter-Full Data'!#REF!,"'")</f>
        <v>#REF!</v>
      </c>
    </row>
    <row r="1719" spans="1:1">
      <c r="A1719" s="2" t="e">
        <f>CONCATENATE("'",'Inverter-Full Data'!#REF!,"     ",'Inverter-Full Data'!#REF!,",",'Inverter-Full Data'!#REF!,",",'Inverter-Full Data'!#REF!,",",'Inverter-Full Data'!#REF!,"'")</f>
        <v>#REF!</v>
      </c>
    </row>
    <row r="1720" spans="1:1">
      <c r="A1720" s="2" t="e">
        <f>CONCATENATE("'",'Inverter-Full Data'!#REF!,"     ",'Inverter-Full Data'!#REF!,",",'Inverter-Full Data'!#REF!,",",'Inverter-Full Data'!#REF!,",",'Inverter-Full Data'!#REF!,"'")</f>
        <v>#REF!</v>
      </c>
    </row>
    <row r="1721" spans="1:1">
      <c r="A1721" s="2" t="e">
        <f>CONCATENATE("'",'Inverter-Full Data'!#REF!,"     ",'Inverter-Full Data'!#REF!,",",'Inverter-Full Data'!#REF!,",",'Inverter-Full Data'!#REF!,",",'Inverter-Full Data'!#REF!,"'")</f>
        <v>#REF!</v>
      </c>
    </row>
    <row r="1722" spans="1:1">
      <c r="A1722" s="2" t="e">
        <f>CONCATENATE("'",'Inverter-Full Data'!#REF!,"     ",'Inverter-Full Data'!#REF!,",",'Inverter-Full Data'!#REF!,",",'Inverter-Full Data'!#REF!,",",'Inverter-Full Data'!#REF!,"'")</f>
        <v>#REF!</v>
      </c>
    </row>
    <row r="1723" spans="1:1">
      <c r="A1723" s="2" t="e">
        <f>CONCATENATE("'",'Inverter-Full Data'!#REF!,"     ",'Inverter-Full Data'!#REF!,",",'Inverter-Full Data'!#REF!,",",'Inverter-Full Data'!#REF!,",",'Inverter-Full Data'!#REF!,"'")</f>
        <v>#REF!</v>
      </c>
    </row>
    <row r="1724" spans="1:1">
      <c r="A1724" s="2" t="e">
        <f>CONCATENATE("'",'Inverter-Full Data'!#REF!,"     ",'Inverter-Full Data'!#REF!,",",'Inverter-Full Data'!#REF!,",",'Inverter-Full Data'!#REF!,",",'Inverter-Full Data'!#REF!,"'")</f>
        <v>#REF!</v>
      </c>
    </row>
    <row r="1725" spans="1:1">
      <c r="A1725" s="2" t="e">
        <f>CONCATENATE("'",'Inverter-Full Data'!#REF!,"     ",'Inverter-Full Data'!#REF!,",",'Inverter-Full Data'!#REF!,",",'Inverter-Full Data'!#REF!,",",'Inverter-Full Data'!#REF!,"'")</f>
        <v>#REF!</v>
      </c>
    </row>
    <row r="1726" spans="1:1">
      <c r="A1726" s="2" t="e">
        <f>CONCATENATE("'",'Inverter-Full Data'!#REF!,"     ",'Inverter-Full Data'!#REF!,",",'Inverter-Full Data'!#REF!,",",'Inverter-Full Data'!#REF!,",",'Inverter-Full Data'!#REF!,"'")</f>
        <v>#REF!</v>
      </c>
    </row>
    <row r="1727" spans="1:1">
      <c r="A1727" s="2" t="e">
        <f>CONCATENATE("'",'Inverter-Full Data'!#REF!,"     ",'Inverter-Full Data'!#REF!,",",'Inverter-Full Data'!#REF!,",",'Inverter-Full Data'!#REF!,",",'Inverter-Full Data'!#REF!,"'")</f>
        <v>#REF!</v>
      </c>
    </row>
    <row r="1728" spans="1:1">
      <c r="A1728" s="2" t="e">
        <f>CONCATENATE("'",'Inverter-Full Data'!#REF!,"     ",'Inverter-Full Data'!#REF!,",",'Inverter-Full Data'!#REF!,",",'Inverter-Full Data'!#REF!,",",'Inverter-Full Data'!#REF!,"'")</f>
        <v>#REF!</v>
      </c>
    </row>
    <row r="1729" spans="1:1">
      <c r="A1729" s="2" t="e">
        <f>CONCATENATE("'",'Inverter-Full Data'!#REF!,"     ",'Inverter-Full Data'!#REF!,",",'Inverter-Full Data'!#REF!,",",'Inverter-Full Data'!#REF!,",",'Inverter-Full Data'!#REF!,"'")</f>
        <v>#REF!</v>
      </c>
    </row>
    <row r="1730" spans="1:1">
      <c r="A1730" s="2" t="e">
        <f>CONCATENATE("'",'Inverter-Full Data'!#REF!,"     ",'Inverter-Full Data'!#REF!,",",'Inverter-Full Data'!#REF!,",",'Inverter-Full Data'!#REF!,",",'Inverter-Full Data'!#REF!,"'")</f>
        <v>#REF!</v>
      </c>
    </row>
    <row r="1731" spans="1:1">
      <c r="A1731" s="2" t="e">
        <f>CONCATENATE("'",'Inverter-Full Data'!#REF!,"     ",'Inverter-Full Data'!#REF!,",",'Inverter-Full Data'!#REF!,",",'Inverter-Full Data'!#REF!,",",'Inverter-Full Data'!#REF!,"'")</f>
        <v>#REF!</v>
      </c>
    </row>
    <row r="1732" spans="1:1">
      <c r="A1732" s="2" t="e">
        <f>CONCATENATE("'",'Inverter-Full Data'!#REF!,"     ",'Inverter-Full Data'!#REF!,",",'Inverter-Full Data'!#REF!,",",'Inverter-Full Data'!#REF!,",",'Inverter-Full Data'!#REF!,"'")</f>
        <v>#REF!</v>
      </c>
    </row>
    <row r="1733" spans="1:1">
      <c r="A1733" s="2" t="e">
        <f>CONCATENATE("'",'Inverter-Full Data'!#REF!,"     ",'Inverter-Full Data'!#REF!,",",'Inverter-Full Data'!#REF!,",",'Inverter-Full Data'!#REF!,",",'Inverter-Full Data'!#REF!,"'")</f>
        <v>#REF!</v>
      </c>
    </row>
    <row r="1734" spans="1:1">
      <c r="A1734" s="2" t="e">
        <f>CONCATENATE("'",'Inverter-Full Data'!#REF!,"     ",'Inverter-Full Data'!#REF!,",",'Inverter-Full Data'!#REF!,",",'Inverter-Full Data'!#REF!,",",'Inverter-Full Data'!#REF!,"'")</f>
        <v>#REF!</v>
      </c>
    </row>
    <row r="1735" spans="1:1">
      <c r="A1735" s="2" t="e">
        <f>CONCATENATE("'",'Inverter-Full Data'!#REF!,"     ",'Inverter-Full Data'!#REF!,",",'Inverter-Full Data'!#REF!,",",'Inverter-Full Data'!#REF!,",",'Inverter-Full Data'!#REF!,"'")</f>
        <v>#REF!</v>
      </c>
    </row>
    <row r="1736" spans="1:1">
      <c r="A1736" s="2" t="e">
        <f>CONCATENATE("'",'Inverter-Full Data'!#REF!,"     ",'Inverter-Full Data'!#REF!,",",'Inverter-Full Data'!#REF!,",",'Inverter-Full Data'!#REF!,",",'Inverter-Full Data'!#REF!,"'")</f>
        <v>#REF!</v>
      </c>
    </row>
    <row r="1737" spans="1:1">
      <c r="A1737" s="2" t="e">
        <f>CONCATENATE("'",'Inverter-Full Data'!#REF!,"     ",'Inverter-Full Data'!#REF!,",",'Inverter-Full Data'!#REF!,",",'Inverter-Full Data'!#REF!,",",'Inverter-Full Data'!#REF!,"'")</f>
        <v>#REF!</v>
      </c>
    </row>
    <row r="1738" spans="1:1">
      <c r="A1738" s="2" t="e">
        <f>CONCATENATE("'",'Inverter-Full Data'!#REF!,"     ",'Inverter-Full Data'!#REF!,",",'Inverter-Full Data'!#REF!,",",'Inverter-Full Data'!#REF!,",",'Inverter-Full Data'!#REF!,"'")</f>
        <v>#REF!</v>
      </c>
    </row>
    <row r="1739" spans="1:1">
      <c r="A1739" s="2" t="e">
        <f>CONCATENATE("'",'Inverter-Full Data'!#REF!,"     ",'Inverter-Full Data'!#REF!,",",'Inverter-Full Data'!#REF!,",",'Inverter-Full Data'!#REF!,",",'Inverter-Full Data'!#REF!,"'")</f>
        <v>#REF!</v>
      </c>
    </row>
    <row r="1740" spans="1:1">
      <c r="A1740" s="2" t="e">
        <f>CONCATENATE("'",'Inverter-Full Data'!#REF!,"     ",'Inverter-Full Data'!#REF!,",",'Inverter-Full Data'!#REF!,",",'Inverter-Full Data'!#REF!,",",'Inverter-Full Data'!#REF!,"'")</f>
        <v>#REF!</v>
      </c>
    </row>
    <row r="1741" spans="1:1">
      <c r="A1741" s="2" t="e">
        <f>CONCATENATE("'",'Inverter-Full Data'!#REF!,"     ",'Inverter-Full Data'!#REF!,",",'Inverter-Full Data'!#REF!,",",'Inverter-Full Data'!#REF!,",",'Inverter-Full Data'!#REF!,"'")</f>
        <v>#REF!</v>
      </c>
    </row>
    <row r="1742" spans="1:1">
      <c r="A1742" s="2" t="e">
        <f>CONCATENATE("'",'Inverter-Full Data'!#REF!,"     ",'Inverter-Full Data'!#REF!,",",'Inverter-Full Data'!#REF!,",",'Inverter-Full Data'!#REF!,",",'Inverter-Full Data'!#REF!,"'")</f>
        <v>#REF!</v>
      </c>
    </row>
    <row r="1743" spans="1:1">
      <c r="A1743" s="2" t="e">
        <f>CONCATENATE("'",'Inverter-Full Data'!#REF!,"     ",'Inverter-Full Data'!#REF!,",",'Inverter-Full Data'!#REF!,",",'Inverter-Full Data'!#REF!,",",'Inverter-Full Data'!#REF!,"'")</f>
        <v>#REF!</v>
      </c>
    </row>
    <row r="1744" spans="1:1">
      <c r="A1744" s="2" t="e">
        <f>CONCATENATE("'",'Inverter-Full Data'!#REF!,"     ",'Inverter-Full Data'!#REF!,",",'Inverter-Full Data'!#REF!,",",'Inverter-Full Data'!#REF!,",",'Inverter-Full Data'!#REF!,"'")</f>
        <v>#REF!</v>
      </c>
    </row>
    <row r="1745" spans="1:1">
      <c r="A1745" s="2" t="e">
        <f>CONCATENATE("'",'Inverter-Full Data'!#REF!,"     ",'Inverter-Full Data'!#REF!,",",'Inverter-Full Data'!#REF!,",",'Inverter-Full Data'!#REF!,",",'Inverter-Full Data'!#REF!,"'")</f>
        <v>#REF!</v>
      </c>
    </row>
    <row r="1746" spans="1:1">
      <c r="A1746" s="2" t="e">
        <f>CONCATENATE("'",'Inverter-Full Data'!#REF!,"     ",'Inverter-Full Data'!#REF!,",",'Inverter-Full Data'!#REF!,",",'Inverter-Full Data'!#REF!,",",'Inverter-Full Data'!#REF!,"'")</f>
        <v>#REF!</v>
      </c>
    </row>
    <row r="1747" spans="1:1">
      <c r="A1747" s="2" t="e">
        <f>CONCATENATE("'",'Inverter-Full Data'!#REF!,"     ",'Inverter-Full Data'!#REF!,",",'Inverter-Full Data'!#REF!,",",'Inverter-Full Data'!#REF!,",",'Inverter-Full Data'!#REF!,"'")</f>
        <v>#REF!</v>
      </c>
    </row>
    <row r="1748" spans="1:1">
      <c r="A1748" s="2" t="e">
        <f>CONCATENATE("'",'Inverter-Full Data'!#REF!,"     ",'Inverter-Full Data'!#REF!,",",'Inverter-Full Data'!#REF!,",",'Inverter-Full Data'!#REF!,",",'Inverter-Full Data'!#REF!,"'")</f>
        <v>#REF!</v>
      </c>
    </row>
    <row r="1749" spans="1:1">
      <c r="A1749" s="2" t="e">
        <f>CONCATENATE("'",'Inverter-Full Data'!#REF!,"     ",'Inverter-Full Data'!#REF!,",",'Inverter-Full Data'!#REF!,",",'Inverter-Full Data'!#REF!,",",'Inverter-Full Data'!#REF!,"'")</f>
        <v>#REF!</v>
      </c>
    </row>
    <row r="1750" spans="1:1">
      <c r="A1750" s="2" t="e">
        <f>CONCATENATE("'",'Inverter-Full Data'!#REF!,"     ",'Inverter-Full Data'!#REF!,",",'Inverter-Full Data'!#REF!,",",'Inverter-Full Data'!#REF!,",",'Inverter-Full Data'!#REF!,"'")</f>
        <v>#REF!</v>
      </c>
    </row>
    <row r="1751" spans="1:1">
      <c r="A1751" s="2" t="e">
        <f>CONCATENATE("'",'Inverter-Full Data'!#REF!,"     ",'Inverter-Full Data'!#REF!,",",'Inverter-Full Data'!#REF!,",",'Inverter-Full Data'!#REF!,",",'Inverter-Full Data'!#REF!,"'")</f>
        <v>#REF!</v>
      </c>
    </row>
    <row r="1752" spans="1:1">
      <c r="A1752" s="2" t="e">
        <f>CONCATENATE("'",'Inverter-Full Data'!#REF!,"     ",'Inverter-Full Data'!#REF!,",",'Inverter-Full Data'!#REF!,",",'Inverter-Full Data'!#REF!,",",'Inverter-Full Data'!#REF!,"'")</f>
        <v>#REF!</v>
      </c>
    </row>
    <row r="1753" spans="1:1">
      <c r="A1753" s="2" t="e">
        <f>CONCATENATE("'",'Inverter-Full Data'!#REF!,"     ",'Inverter-Full Data'!#REF!,",",'Inverter-Full Data'!#REF!,",",'Inverter-Full Data'!#REF!,",",'Inverter-Full Data'!#REF!,"'")</f>
        <v>#REF!</v>
      </c>
    </row>
    <row r="1754" spans="1:1">
      <c r="A1754" s="2" t="e">
        <f>CONCATENATE("'",'Inverter-Full Data'!#REF!,"     ",'Inverter-Full Data'!#REF!,",",'Inverter-Full Data'!#REF!,",",'Inverter-Full Data'!#REF!,",",'Inverter-Full Data'!#REF!,"'")</f>
        <v>#REF!</v>
      </c>
    </row>
    <row r="1755" spans="1:1">
      <c r="A1755" s="2" t="e">
        <f>CONCATENATE("'",'Inverter-Full Data'!#REF!,"     ",'Inverter-Full Data'!#REF!,",",'Inverter-Full Data'!#REF!,",",'Inverter-Full Data'!#REF!,",",'Inverter-Full Data'!#REF!,"'")</f>
        <v>#REF!</v>
      </c>
    </row>
    <row r="1756" spans="1:1">
      <c r="A1756" s="2" t="str">
        <f>CONCATENATE("'",'Inverter-Full Data'!A277,"     ",'Inverter-Full Data'!B277,",",'Inverter-Full Data'!S277,",",'Inverter-Full Data'!J277,",",'Inverter-Full Data'!T277,"'")</f>
        <v>'LeadSolar Energy Co., Ltd     LS600 [240V],N,95.5,Y'</v>
      </c>
    </row>
    <row r="1757" spans="1:1">
      <c r="A1757" s="2" t="e">
        <f>CONCATENATE("'",'Inverter-Full Data'!#REF!,"     ",'Inverter-Full Data'!#REF!,",",'Inverter-Full Data'!#REF!,",",'Inverter-Full Data'!#REF!,",",'Inverter-Full Data'!#REF!,"'")</f>
        <v>#REF!</v>
      </c>
    </row>
    <row r="1758" spans="1:1">
      <c r="A1758" s="2" t="e">
        <f>CONCATENATE("'",'Inverter-Full Data'!#REF!,"     ",'Inverter-Full Data'!#REF!,",",'Inverter-Full Data'!#REF!,",",'Inverter-Full Data'!#REF!,",",'Inverter-Full Data'!#REF!,"'")</f>
        <v>#REF!</v>
      </c>
    </row>
    <row r="1759" spans="1:1">
      <c r="A1759" s="2" t="e">
        <f>CONCATENATE("'",'Inverter-Full Data'!#REF!,"     ",'Inverter-Full Data'!#REF!,",",'Inverter-Full Data'!#REF!,",",'Inverter-Full Data'!#REF!,",",'Inverter-Full Data'!#REF!,"'")</f>
        <v>#REF!</v>
      </c>
    </row>
    <row r="1760" spans="1:1">
      <c r="A1760" s="2" t="e">
        <f>CONCATENATE("'",'Inverter-Full Data'!#REF!,"     ",'Inverter-Full Data'!#REF!,",",'Inverter-Full Data'!#REF!,",",'Inverter-Full Data'!#REF!,",",'Inverter-Full Data'!#REF!,"'")</f>
        <v>#REF!</v>
      </c>
    </row>
    <row r="1761" spans="1:1">
      <c r="A1761" s="2" t="e">
        <f>CONCATENATE("'",'Inverter-Full Data'!#REF!,"     ",'Inverter-Full Data'!#REF!,",",'Inverter-Full Data'!#REF!,",",'Inverter-Full Data'!#REF!,",",'Inverter-Full Data'!#REF!,"'")</f>
        <v>#REF!</v>
      </c>
    </row>
    <row r="1762" spans="1:1">
      <c r="A1762" s="2" t="e">
        <f>CONCATENATE("'",'Inverter-Full Data'!#REF!,"     ",'Inverter-Full Data'!#REF!,",",'Inverter-Full Data'!#REF!,",",'Inverter-Full Data'!#REF!,",",'Inverter-Full Data'!#REF!,"'")</f>
        <v>#REF!</v>
      </c>
    </row>
    <row r="1763" spans="1:1">
      <c r="A1763" s="2" t="str">
        <f>CONCATENATE("'",'Inverter-Full Data'!A278,"     ",'Inverter-Full Data'!B278,",",'Inverter-Full Data'!S278,",",'Inverter-Full Data'!J278,",",'Inverter-Full Data'!T278,"'")</f>
        <v>'LeadSolar Energy Co., Ltd     LS600X [240V],N,96,Y'</v>
      </c>
    </row>
    <row r="1764" spans="1:1">
      <c r="A1764" s="2" t="e">
        <f>CONCATENATE("'",'Inverter-Full Data'!#REF!,"     ",'Inverter-Full Data'!#REF!,",",'Inverter-Full Data'!#REF!,",",'Inverter-Full Data'!#REF!,",",'Inverter-Full Data'!#REF!,"'")</f>
        <v>#REF!</v>
      </c>
    </row>
    <row r="1765" spans="1:1">
      <c r="A1765" s="2" t="e">
        <f>CONCATENATE("'",'Inverter-Full Data'!#REF!,"     ",'Inverter-Full Data'!#REF!,",",'Inverter-Full Data'!#REF!,",",'Inverter-Full Data'!#REF!,",",'Inverter-Full Data'!#REF!,"'")</f>
        <v>#REF!</v>
      </c>
    </row>
    <row r="1766" spans="1:1">
      <c r="A1766" s="2" t="str">
        <f>CONCATENATE("'",'Inverter-Full Data'!A279,"     ",'Inverter-Full Data'!B279,",",'Inverter-Full Data'!S279,",",'Inverter-Full Data'!J279,",",'Inverter-Full Data'!T279,"'")</f>
        <v>'LG Electronics Inc.     LG315E1K-A5 [208V],N,97,Y'</v>
      </c>
    </row>
    <row r="1767" spans="1:1">
      <c r="A1767" s="2" t="str">
        <f>CONCATENATE("'",'Inverter-Full Data'!A280,"     ",'Inverter-Full Data'!B280,",",'Inverter-Full Data'!S280,",",'Inverter-Full Data'!J280,",",'Inverter-Full Data'!T280,"'")</f>
        <v>'LG Electronics Inc.     LG315E1K-A5 [240V],N,97,Y'</v>
      </c>
    </row>
    <row r="1768" spans="1:1">
      <c r="A1768" s="2" t="str">
        <f>CONCATENATE("'",'Inverter-Full Data'!A281,"     ",'Inverter-Full Data'!B281,",",'Inverter-Full Data'!S281,",",'Inverter-Full Data'!J281,",",'Inverter-Full Data'!T281,"'")</f>
        <v>'LG Electronics Inc.     LG320E1K-A5 [208V],N,97,Y'</v>
      </c>
    </row>
    <row r="1769" spans="1:1">
      <c r="A1769" s="2" t="str">
        <f>CONCATENATE("'",'Inverter-Full Data'!A282,"     ",'Inverter-Full Data'!B282,",",'Inverter-Full Data'!S282,",",'Inverter-Full Data'!J282,",",'Inverter-Full Data'!T282,"'")</f>
        <v>'LG Electronics Inc.     LG320E1K-A5 [240V],N,97,Y'</v>
      </c>
    </row>
    <row r="1770" spans="1:1">
      <c r="A1770" s="2" t="str">
        <f>CONCATENATE("'",'Inverter-Full Data'!A283,"     ",'Inverter-Full Data'!B283,",",'Inverter-Full Data'!S283,",",'Inverter-Full Data'!J283,",",'Inverter-Full Data'!T283,"'")</f>
        <v>'LG Electronics Inc.     LG325E1C-A5 [208V],N,97,Y'</v>
      </c>
    </row>
    <row r="1771" spans="1:1">
      <c r="A1771" s="2" t="str">
        <f>CONCATENATE("'",'Inverter-Full Data'!A284,"     ",'Inverter-Full Data'!B284,",",'Inverter-Full Data'!S284,",",'Inverter-Full Data'!J284,",",'Inverter-Full Data'!T284,"'")</f>
        <v>'LG Electronics Inc.     LG325E1C-A5 [240V],N,97,Y'</v>
      </c>
    </row>
    <row r="1772" spans="1:1">
      <c r="A1772" s="2" t="str">
        <f>CONCATENATE("'",'Inverter-Full Data'!A285,"     ",'Inverter-Full Data'!B285,",",'Inverter-Full Data'!S285,",",'Inverter-Full Data'!J285,",",'Inverter-Full Data'!T285,"'")</f>
        <v>'LG Electronics Inc.     LG325E1K-A5 [208V],N,97,Y'</v>
      </c>
    </row>
    <row r="1773" spans="1:1">
      <c r="A1773" s="2" t="str">
        <f>CONCATENATE("'",'Inverter-Full Data'!A286,"     ",'Inverter-Full Data'!B286,",",'Inverter-Full Data'!S286,",",'Inverter-Full Data'!J286,",",'Inverter-Full Data'!T286,"'")</f>
        <v>'LG Electronics Inc.     LG325E1K-A5 [240V],N,97,Y'</v>
      </c>
    </row>
    <row r="1774" spans="1:1">
      <c r="A1774" s="2" t="str">
        <f>CONCATENATE("'",'Inverter-Full Data'!A287,"     ",'Inverter-Full Data'!B287,",",'Inverter-Full Data'!S287,",",'Inverter-Full Data'!J287,",",'Inverter-Full Data'!T287,"'")</f>
        <v>'LG Electronics Inc.     LG330E1C-A5 [208V],N,97,Y'</v>
      </c>
    </row>
    <row r="1775" spans="1:1">
      <c r="A1775" s="2" t="str">
        <f>CONCATENATE("'",'Inverter-Full Data'!A288,"     ",'Inverter-Full Data'!B288,",",'Inverter-Full Data'!S288,",",'Inverter-Full Data'!J288,",",'Inverter-Full Data'!T288,"'")</f>
        <v>'LG Electronics Inc.     LG330E1C-A5 [240V],N,97,Y'</v>
      </c>
    </row>
    <row r="1776" spans="1:1">
      <c r="A1776" s="2" t="str">
        <f>CONCATENATE("'",'Inverter-Full Data'!A289,"     ",'Inverter-Full Data'!B289,",",'Inverter-Full Data'!S289,",",'Inverter-Full Data'!J289,",",'Inverter-Full Data'!T289,"'")</f>
        <v>'LG Electronics Inc.     LG335E1C-A5 [208V],N,97,Y'</v>
      </c>
    </row>
    <row r="1777" spans="1:1">
      <c r="A1777" s="2" t="str">
        <f>CONCATENATE("'",'Inverter-Full Data'!A290,"     ",'Inverter-Full Data'!B290,",",'Inverter-Full Data'!S290,",",'Inverter-Full Data'!J290,",",'Inverter-Full Data'!T290,"'")</f>
        <v>'LG Electronics Inc.     LG335E1C-A5 [240V],N,97,Y'</v>
      </c>
    </row>
    <row r="1778" spans="1:1">
      <c r="A1778" s="2" t="e">
        <f>CONCATENATE("'",'Inverter-Full Data'!#REF!,"     ",'Inverter-Full Data'!#REF!,",",'Inverter-Full Data'!#REF!,",",'Inverter-Full Data'!#REF!,",",'Inverter-Full Data'!#REF!,"'")</f>
        <v>#REF!</v>
      </c>
    </row>
    <row r="1779" spans="1:1">
      <c r="A1779" s="2" t="e">
        <f>CONCATENATE("'",'Inverter-Full Data'!#REF!,"     ",'Inverter-Full Data'!#REF!,",",'Inverter-Full Data'!#REF!,",",'Inverter-Full Data'!#REF!,",",'Inverter-Full Data'!#REF!,"'")</f>
        <v>#REF!</v>
      </c>
    </row>
    <row r="1780" spans="1:1">
      <c r="A1780" s="2" t="e">
        <f>CONCATENATE("'",'Inverter-Full Data'!#REF!,"     ",'Inverter-Full Data'!#REF!,",",'Inverter-Full Data'!#REF!,",",'Inverter-Full Data'!#REF!,",",'Inverter-Full Data'!#REF!,"'")</f>
        <v>#REF!</v>
      </c>
    </row>
    <row r="1781" spans="1:1">
      <c r="A1781" s="2" t="e">
        <f>CONCATENATE("'",'Inverter-Full Data'!#REF!,"     ",'Inverter-Full Data'!#REF!,",",'Inverter-Full Data'!#REF!,",",'Inverter-Full Data'!#REF!,",",'Inverter-Full Data'!#REF!,"'")</f>
        <v>#REF!</v>
      </c>
    </row>
    <row r="1782" spans="1:1">
      <c r="A1782" s="2" t="e">
        <f>CONCATENATE("'",'Inverter-Full Data'!#REF!,"     ",'Inverter-Full Data'!#REF!,",",'Inverter-Full Data'!#REF!,",",'Inverter-Full Data'!#REF!,",",'Inverter-Full Data'!#REF!,"'")</f>
        <v>#REF!</v>
      </c>
    </row>
    <row r="1783" spans="1:1">
      <c r="A1783" s="2" t="e">
        <f>CONCATENATE("'",'Inverter-Full Data'!#REF!,"     ",'Inverter-Full Data'!#REF!,",",'Inverter-Full Data'!#REF!,",",'Inverter-Full Data'!#REF!,",",'Inverter-Full Data'!#REF!,"'")</f>
        <v>#REF!</v>
      </c>
    </row>
    <row r="1784" spans="1:1">
      <c r="A1784" s="2" t="e">
        <f>CONCATENATE("'",'Inverter-Full Data'!#REF!,"     ",'Inverter-Full Data'!#REF!,",",'Inverter-Full Data'!#REF!,",",'Inverter-Full Data'!#REF!,",",'Inverter-Full Data'!#REF!,"'")</f>
        <v>#REF!</v>
      </c>
    </row>
    <row r="1785" spans="1:1">
      <c r="A1785" s="2" t="e">
        <f>CONCATENATE("'",'Inverter-Full Data'!#REF!,"     ",'Inverter-Full Data'!#REF!,",",'Inverter-Full Data'!#REF!,",",'Inverter-Full Data'!#REF!,",",'Inverter-Full Data'!#REF!,"'")</f>
        <v>#REF!</v>
      </c>
    </row>
    <row r="1786" spans="1:1">
      <c r="A1786" s="2" t="e">
        <f>CONCATENATE("'",'Inverter-Full Data'!#REF!,"     ",'Inverter-Full Data'!#REF!,",",'Inverter-Full Data'!#REF!,",",'Inverter-Full Data'!#REF!,",",'Inverter-Full Data'!#REF!,"'")</f>
        <v>#REF!</v>
      </c>
    </row>
    <row r="1787" spans="1:1">
      <c r="A1787" s="2" t="e">
        <f>CONCATENATE("'",'Inverter-Full Data'!#REF!,"     ",'Inverter-Full Data'!#REF!,",",'Inverter-Full Data'!#REF!,",",'Inverter-Full Data'!#REF!,",",'Inverter-Full Data'!#REF!,"'")</f>
        <v>#REF!</v>
      </c>
    </row>
    <row r="1788" spans="1:1">
      <c r="A1788" s="2" t="e">
        <f>CONCATENATE("'",'Inverter-Full Data'!#REF!,"     ",'Inverter-Full Data'!#REF!,",",'Inverter-Full Data'!#REF!,",",'Inverter-Full Data'!#REF!,",",'Inverter-Full Data'!#REF!,"'")</f>
        <v>#REF!</v>
      </c>
    </row>
    <row r="1789" spans="1:1">
      <c r="A1789" s="2" t="e">
        <f>CONCATENATE("'",'Inverter-Full Data'!#REF!,"     ",'Inverter-Full Data'!#REF!,",",'Inverter-Full Data'!#REF!,",",'Inverter-Full Data'!#REF!,",",'Inverter-Full Data'!#REF!,"'")</f>
        <v>#REF!</v>
      </c>
    </row>
    <row r="1790" spans="1:1">
      <c r="A1790" s="2" t="e">
        <f>CONCATENATE("'",'Inverter-Full Data'!#REF!,"     ",'Inverter-Full Data'!#REF!,",",'Inverter-Full Data'!#REF!,",",'Inverter-Full Data'!#REF!,",",'Inverter-Full Data'!#REF!,"'")</f>
        <v>#REF!</v>
      </c>
    </row>
    <row r="1791" spans="1:1">
      <c r="A1791" s="2" t="e">
        <f>CONCATENATE("'",'Inverter-Full Data'!#REF!,"     ",'Inverter-Full Data'!#REF!,",",'Inverter-Full Data'!#REF!,",",'Inverter-Full Data'!#REF!,",",'Inverter-Full Data'!#REF!,"'")</f>
        <v>#REF!</v>
      </c>
    </row>
    <row r="1792" spans="1:1">
      <c r="A1792" s="2" t="str">
        <f>CONCATENATE("'",'Inverter-Full Data'!A291,"     ",'Inverter-Full Data'!B291,",",'Inverter-Full Data'!S291,",",'Inverter-Full Data'!J291,",",'Inverter-Full Data'!T291,"'")</f>
        <v>'LG Electronics Inc.     LG355A1C-A5  [208V],N,96,Y'</v>
      </c>
    </row>
    <row r="1793" spans="1:1">
      <c r="A1793" s="2" t="str">
        <f>CONCATENATE("'",'Inverter-Full Data'!A292,"     ",'Inverter-Full Data'!B292,",",'Inverter-Full Data'!S292,",",'Inverter-Full Data'!J292,",",'Inverter-Full Data'!T292,"'")</f>
        <v>'LG Electronics Inc.     LG355A1C-A5 [240V],N,97,Y'</v>
      </c>
    </row>
    <row r="1794" spans="1:1">
      <c r="A1794" s="2" t="str">
        <f>CONCATENATE("'",'Inverter-Full Data'!A293,"     ",'Inverter-Full Data'!B293,",",'Inverter-Full Data'!S293,",",'Inverter-Full Data'!J293,",",'Inverter-Full Data'!T293,"'")</f>
        <v>'LG Electronics Inc.     LG360A1C-A5 [208V],N,96,Y'</v>
      </c>
    </row>
    <row r="1795" spans="1:1">
      <c r="A1795" s="2" t="str">
        <f>CONCATENATE("'",'Inverter-Full Data'!A294,"     ",'Inverter-Full Data'!B294,",",'Inverter-Full Data'!S294,",",'Inverter-Full Data'!J294,",",'Inverter-Full Data'!T294,"'")</f>
        <v>'LG Electronics Inc.     LG360A1C-A5 [240V],N,97,Y'</v>
      </c>
    </row>
    <row r="1796" spans="1:1">
      <c r="A1796" s="2" t="str">
        <f>CONCATENATE("'",'Inverter-Full Data'!A295,"     ",'Inverter-Full Data'!B295,",",'Inverter-Full Data'!S295,",",'Inverter-Full Data'!J295,",",'Inverter-Full Data'!T295,"'")</f>
        <v>'LG Electronics Inc.     LG365A1C-A5 [208V],N,96,Y'</v>
      </c>
    </row>
    <row r="1797" spans="1:1">
      <c r="A1797" s="2" t="str">
        <f>CONCATENATE("'",'Inverter-Full Data'!A296,"     ",'Inverter-Full Data'!B296,",",'Inverter-Full Data'!S296,",",'Inverter-Full Data'!J296,",",'Inverter-Full Data'!T296,"'")</f>
        <v>'LG Electronics Inc.     LG365A1C-A5 [240V],N,97,Y'</v>
      </c>
    </row>
    <row r="1798" spans="1:1">
      <c r="A1798" s="2" t="str">
        <f>CONCATENATE("'",'Inverter-Full Data'!A297,"     ",'Inverter-Full Data'!B297,",",'Inverter-Full Data'!S297,",",'Inverter-Full Data'!J297,",",'Inverter-Full Data'!T297,"'")</f>
        <v>'LG Electronics Inc.     LG370A1C-A5 [208V],N,96,Y'</v>
      </c>
    </row>
    <row r="1799" spans="1:1">
      <c r="A1799" s="2" t="str">
        <f>CONCATENATE("'",'Inverter-Full Data'!A298,"     ",'Inverter-Full Data'!B298,",",'Inverter-Full Data'!S298,",",'Inverter-Full Data'!J298,",",'Inverter-Full Data'!T298,"'")</f>
        <v>'LG Electronics Inc.     LG370A1C-A5 [240V],N,97,Y'</v>
      </c>
    </row>
    <row r="1800" spans="1:1">
      <c r="A1800" s="2" t="str">
        <f>CONCATENATE("'",'Inverter-Full Data'!A299,"     ",'Inverter-Full Data'!B299,",",'Inverter-Full Data'!S299,",",'Inverter-Full Data'!J299,",",'Inverter-Full Data'!T299,"'")</f>
        <v>'LG Electronics Inc.     LM320UE-A2 [208V],N,96,Y'</v>
      </c>
    </row>
    <row r="1801" spans="1:1">
      <c r="A1801" s="2" t="str">
        <f>CONCATENATE("'",'Inverter-Full Data'!A300,"     ",'Inverter-Full Data'!B300,",",'Inverter-Full Data'!S300,",",'Inverter-Full Data'!J300,",",'Inverter-Full Data'!T300,"'")</f>
        <v>'LG Electronics Inc.     LM320UE-A2 [240V],N,97,Y'</v>
      </c>
    </row>
    <row r="1802" spans="1:1">
      <c r="A1802" s="2" t="str">
        <f>CONCATENATE("'",'Inverter-Full Data'!A301,"     ",'Inverter-Full Data'!B301,",",'Inverter-Full Data'!S301,",",'Inverter-Full Data'!J301,",",'Inverter-Full Data'!T301,"'")</f>
        <v>'LG Electronics Inc.     A005KEEN261 [208V],N,98,N'</v>
      </c>
    </row>
    <row r="1803" spans="1:1">
      <c r="A1803" s="2" t="e">
        <f>CONCATENATE("'",'Inverter-Full Data'!#REF!,"     ",'Inverter-Full Data'!#REF!,",",'Inverter-Full Data'!#REF!,",",'Inverter-Full Data'!#REF!,",",'Inverter-Full Data'!#REF!,"'")</f>
        <v>#REF!</v>
      </c>
    </row>
    <row r="1804" spans="1:1">
      <c r="A1804" s="2" t="str">
        <f>CONCATENATE("'",'Inverter-Full Data'!A302,"     ",'Inverter-Full Data'!B302,",",'Inverter-Full Data'!S302,",",'Inverter-Full Data'!J302,",",'Inverter-Full Data'!T302,"'")</f>
        <v>'LG Electronics Inc.     A005KEEN261 [240V],N,98,N'</v>
      </c>
    </row>
    <row r="1805" spans="1:1">
      <c r="A1805" s="2" t="str">
        <f>CONCATENATE("'",'Inverter-Full Data'!A303,"     ",'Inverter-Full Data'!B303,",",'Inverter-Full Data'!S303,",",'Inverter-Full Data'!J303,",",'Inverter-Full Data'!T303,"'")</f>
        <v>'LG Electronics Inc.     D007KEEN261 [208V],N,97.5,N'</v>
      </c>
    </row>
    <row r="1806" spans="1:1">
      <c r="A1806" s="2" t="str">
        <f>CONCATENATE("'",'Inverter-Full Data'!A304,"     ",'Inverter-Full Data'!B304,",",'Inverter-Full Data'!S304,",",'Inverter-Full Data'!J304,",",'Inverter-Full Data'!T304,"'")</f>
        <v>'LG Electronics Inc.     D007KEEN261 [240V],N,97.5,N'</v>
      </c>
    </row>
    <row r="1807" spans="1:1">
      <c r="A1807" s="2" t="e">
        <f>CONCATENATE("'",'Inverter-Full Data'!#REF!,"     ",'Inverter-Full Data'!#REF!,",",'Inverter-Full Data'!#REF!,",",'Inverter-Full Data'!#REF!,",",'Inverter-Full Data'!#REF!,"'")</f>
        <v>#REF!</v>
      </c>
    </row>
    <row r="1808" spans="1:1">
      <c r="A1808" s="2" t="e">
        <f>CONCATENATE("'",'Inverter-Full Data'!#REF!,"     ",'Inverter-Full Data'!#REF!,",",'Inverter-Full Data'!#REF!,",",'Inverter-Full Data'!#REF!,",",'Inverter-Full Data'!#REF!,"'")</f>
        <v>#REF!</v>
      </c>
    </row>
    <row r="1809" spans="1:1">
      <c r="A1809" s="2" t="e">
        <f>CONCATENATE("'",'Inverter-Full Data'!#REF!,"     ",'Inverter-Full Data'!#REF!,",",'Inverter-Full Data'!#REF!,",",'Inverter-Full Data'!#REF!,",",'Inverter-Full Data'!#REF!,"'")</f>
        <v>#REF!</v>
      </c>
    </row>
    <row r="1810" spans="1:1">
      <c r="A1810" s="2" t="e">
        <f>CONCATENATE("'",'Inverter-Full Data'!#REF!,"     ",'Inverter-Full Data'!#REF!,",",'Inverter-Full Data'!#REF!,",",'Inverter-Full Data'!#REF!,",",'Inverter-Full Data'!#REF!,"'")</f>
        <v>#REF!</v>
      </c>
    </row>
    <row r="1811" spans="1:1">
      <c r="A1811" s="2" t="e">
        <f>CONCATENATE("'",'Inverter-Full Data'!#REF!,"     ",'Inverter-Full Data'!#REF!,",",'Inverter-Full Data'!#REF!,",",'Inverter-Full Data'!#REF!,",",'Inverter-Full Data'!#REF!,"'")</f>
        <v>#REF!</v>
      </c>
    </row>
    <row r="1812" spans="1:1">
      <c r="A1812" s="2" t="e">
        <f>CONCATENATE("'",'Inverter-Full Data'!#REF!,"     ",'Inverter-Full Data'!#REF!,",",'Inverter-Full Data'!#REF!,",",'Inverter-Full Data'!#REF!,",",'Inverter-Full Data'!#REF!,"'")</f>
        <v>#REF!</v>
      </c>
    </row>
    <row r="1813" spans="1:1">
      <c r="A1813" s="2" t="e">
        <f>CONCATENATE("'",'Inverter-Full Data'!#REF!,"     ",'Inverter-Full Data'!#REF!,",",'Inverter-Full Data'!#REF!,",",'Inverter-Full Data'!#REF!,",",'Inverter-Full Data'!#REF!,"'")</f>
        <v>#REF!</v>
      </c>
    </row>
    <row r="1814" spans="1:1">
      <c r="A1814" s="2" t="e">
        <f>CONCATENATE("'",'Inverter-Full Data'!#REF!,"     ",'Inverter-Full Data'!#REF!,",",'Inverter-Full Data'!#REF!,",",'Inverter-Full Data'!#REF!,",",'Inverter-Full Data'!#REF!,"'")</f>
        <v>#REF!</v>
      </c>
    </row>
    <row r="1815" spans="1:1">
      <c r="A1815" s="2" t="e">
        <f>CONCATENATE("'",'Inverter-Full Data'!#REF!,"     ",'Inverter-Full Data'!#REF!,",",'Inverter-Full Data'!#REF!,",",'Inverter-Full Data'!#REF!,",",'Inverter-Full Data'!#REF!,"'")</f>
        <v>#REF!</v>
      </c>
    </row>
    <row r="1816" spans="1:1">
      <c r="A1816" s="2" t="e">
        <f>CONCATENATE("'",'Inverter-Full Data'!#REF!,"     ",'Inverter-Full Data'!#REF!,",",'Inverter-Full Data'!#REF!,",",'Inverter-Full Data'!#REF!,",",'Inverter-Full Data'!#REF!,"'")</f>
        <v>#REF!</v>
      </c>
    </row>
    <row r="1817" spans="1:1">
      <c r="A1817" s="2" t="e">
        <f>CONCATENATE("'",'Inverter-Full Data'!#REF!,"     ",'Inverter-Full Data'!#REF!,",",'Inverter-Full Data'!#REF!,",",'Inverter-Full Data'!#REF!,",",'Inverter-Full Data'!#REF!,"'")</f>
        <v>#REF!</v>
      </c>
    </row>
    <row r="1818" spans="1:1">
      <c r="A1818" s="2" t="e">
        <f>CONCATENATE("'",'Inverter-Full Data'!#REF!,"     ",'Inverter-Full Data'!#REF!,",",'Inverter-Full Data'!#REF!,",",'Inverter-Full Data'!#REF!,",",'Inverter-Full Data'!#REF!,"'")</f>
        <v>#REF!</v>
      </c>
    </row>
    <row r="1819" spans="1:1">
      <c r="A1819" s="2" t="e">
        <f>CONCATENATE("'",'Inverter-Full Data'!#REF!,"     ",'Inverter-Full Data'!#REF!,",",'Inverter-Full Data'!#REF!,",",'Inverter-Full Data'!#REF!,",",'Inverter-Full Data'!#REF!,"'")</f>
        <v>#REF!</v>
      </c>
    </row>
    <row r="1820" spans="1:1">
      <c r="A1820" s="2" t="e">
        <f>CONCATENATE("'",'Inverter-Full Data'!#REF!,"     ",'Inverter-Full Data'!#REF!,",",'Inverter-Full Data'!#REF!,",",'Inverter-Full Data'!#REF!,",",'Inverter-Full Data'!#REF!,"'")</f>
        <v>#REF!</v>
      </c>
    </row>
    <row r="1821" spans="1:1">
      <c r="A1821" s="2" t="e">
        <f>CONCATENATE("'",'Inverter-Full Data'!#REF!,"     ",'Inverter-Full Data'!#REF!,",",'Inverter-Full Data'!#REF!,",",'Inverter-Full Data'!#REF!,",",'Inverter-Full Data'!#REF!,"'")</f>
        <v>#REF!</v>
      </c>
    </row>
    <row r="1822" spans="1:1">
      <c r="A1822" s="2" t="e">
        <f>CONCATENATE("'",'Inverter-Full Data'!#REF!,"     ",'Inverter-Full Data'!#REF!,",",'Inverter-Full Data'!#REF!,",",'Inverter-Full Data'!#REF!,",",'Inverter-Full Data'!#REF!,"'")</f>
        <v>#REF!</v>
      </c>
    </row>
    <row r="1823" spans="1:1">
      <c r="A1823" s="2" t="e">
        <f>CONCATENATE("'",'Inverter-Full Data'!#REF!,"     ",'Inverter-Full Data'!#REF!,",",'Inverter-Full Data'!#REF!,",",'Inverter-Full Data'!#REF!,",",'Inverter-Full Data'!#REF!,"'")</f>
        <v>#REF!</v>
      </c>
    </row>
    <row r="1824" spans="1:1">
      <c r="A1824" s="2" t="e">
        <f>CONCATENATE("'",'Inverter-Full Data'!#REF!,"     ",'Inverter-Full Data'!#REF!,",",'Inverter-Full Data'!#REF!,",",'Inverter-Full Data'!#REF!,",",'Inverter-Full Data'!#REF!,"'")</f>
        <v>#REF!</v>
      </c>
    </row>
    <row r="1825" spans="1:1">
      <c r="A1825" s="2" t="e">
        <f>CONCATENATE("'",'Inverter-Full Data'!#REF!,"     ",'Inverter-Full Data'!#REF!,",",'Inverter-Full Data'!#REF!,",",'Inverter-Full Data'!#REF!,",",'Inverter-Full Data'!#REF!,"'")</f>
        <v>#REF!</v>
      </c>
    </row>
    <row r="1826" spans="1:1">
      <c r="A1826" s="2" t="e">
        <f>CONCATENATE("'",'Inverter-Full Data'!#REF!,"     ",'Inverter-Full Data'!#REF!,",",'Inverter-Full Data'!#REF!,",",'Inverter-Full Data'!#REF!,",",'Inverter-Full Data'!#REF!,"'")</f>
        <v>#REF!</v>
      </c>
    </row>
    <row r="1827" spans="1:1">
      <c r="A1827" s="2" t="e">
        <f>CONCATENATE("'",'Inverter-Full Data'!#REF!,"     ",'Inverter-Full Data'!#REF!,",",'Inverter-Full Data'!#REF!,",",'Inverter-Full Data'!#REF!,",",'Inverter-Full Data'!#REF!,"'")</f>
        <v>#REF!</v>
      </c>
    </row>
    <row r="1828" spans="1:1">
      <c r="A1828" s="2" t="e">
        <f>CONCATENATE("'",'Inverter-Full Data'!#REF!,"     ",'Inverter-Full Data'!#REF!,",",'Inverter-Full Data'!#REF!,",",'Inverter-Full Data'!#REF!,",",'Inverter-Full Data'!#REF!,"'")</f>
        <v>#REF!</v>
      </c>
    </row>
    <row r="1829" spans="1:1">
      <c r="A1829" s="2" t="e">
        <f>CONCATENATE("'",'Inverter-Full Data'!#REF!,"     ",'Inverter-Full Data'!#REF!,",",'Inverter-Full Data'!#REF!,",",'Inverter-Full Data'!#REF!,",",'Inverter-Full Data'!#REF!,"'")</f>
        <v>#REF!</v>
      </c>
    </row>
    <row r="1830" spans="1:1">
      <c r="A1830" s="2" t="e">
        <f>CONCATENATE("'",'Inverter-Full Data'!#REF!,"     ",'Inverter-Full Data'!#REF!,",",'Inverter-Full Data'!#REF!,",",'Inverter-Full Data'!#REF!,",",'Inverter-Full Data'!#REF!,"'")</f>
        <v>#REF!</v>
      </c>
    </row>
    <row r="1831" spans="1:1">
      <c r="A1831" s="2" t="e">
        <f>CONCATENATE("'",'Inverter-Full Data'!#REF!,"     ",'Inverter-Full Data'!#REF!,",",'Inverter-Full Data'!#REF!,",",'Inverter-Full Data'!#REF!,",",'Inverter-Full Data'!#REF!,"'")</f>
        <v>#REF!</v>
      </c>
    </row>
    <row r="1832" spans="1:1">
      <c r="A1832" s="2" t="e">
        <f>CONCATENATE("'",'Inverter-Full Data'!#REF!,"     ",'Inverter-Full Data'!#REF!,",",'Inverter-Full Data'!#REF!,",",'Inverter-Full Data'!#REF!,",",'Inverter-Full Data'!#REF!,"'")</f>
        <v>#REF!</v>
      </c>
    </row>
    <row r="1833" spans="1:1">
      <c r="A1833" s="2" t="e">
        <f>CONCATENATE("'",'Inverter-Full Data'!#REF!,"     ",'Inverter-Full Data'!#REF!,",",'Inverter-Full Data'!#REF!,",",'Inverter-Full Data'!#REF!,",",'Inverter-Full Data'!#REF!,"'")</f>
        <v>#REF!</v>
      </c>
    </row>
    <row r="1834" spans="1:1">
      <c r="A1834" s="2" t="e">
        <f>CONCATENATE("'",'Inverter-Full Data'!#REF!,"     ",'Inverter-Full Data'!#REF!,",",'Inverter-Full Data'!#REF!,",",'Inverter-Full Data'!#REF!,",",'Inverter-Full Data'!#REF!,"'")</f>
        <v>#REF!</v>
      </c>
    </row>
    <row r="1835" spans="1:1">
      <c r="A1835" s="2" t="e">
        <f>CONCATENATE("'",'Inverter-Full Data'!#REF!,"     ",'Inverter-Full Data'!#REF!,",",'Inverter-Full Data'!#REF!,",",'Inverter-Full Data'!#REF!,",",'Inverter-Full Data'!#REF!,"'")</f>
        <v>#REF!</v>
      </c>
    </row>
    <row r="1836" spans="1:1">
      <c r="A1836" s="2" t="e">
        <f>CONCATENATE("'",'Inverter-Full Data'!#REF!,"     ",'Inverter-Full Data'!#REF!,",",'Inverter-Full Data'!#REF!,",",'Inverter-Full Data'!#REF!,",",'Inverter-Full Data'!#REF!,"'")</f>
        <v>#REF!</v>
      </c>
    </row>
    <row r="1837" spans="1:1">
      <c r="A1837" s="2" t="e">
        <f>CONCATENATE("'",'Inverter-Full Data'!#REF!,"     ",'Inverter-Full Data'!#REF!,",",'Inverter-Full Data'!#REF!,",",'Inverter-Full Data'!#REF!,",",'Inverter-Full Data'!#REF!,"'")</f>
        <v>#REF!</v>
      </c>
    </row>
    <row r="1838" spans="1:1">
      <c r="A1838" s="2" t="e">
        <f>CONCATENATE("'",'Inverter-Full Data'!#REF!,"     ",'Inverter-Full Data'!#REF!,",",'Inverter-Full Data'!#REF!,",",'Inverter-Full Data'!#REF!,",",'Inverter-Full Data'!#REF!,"'")</f>
        <v>#REF!</v>
      </c>
    </row>
    <row r="1839" spans="1:1">
      <c r="A1839" s="2" t="e">
        <f>CONCATENATE("'",'Inverter-Full Data'!#REF!,"     ",'Inverter-Full Data'!#REF!,",",'Inverter-Full Data'!#REF!,",",'Inverter-Full Data'!#REF!,",",'Inverter-Full Data'!#REF!,"'")</f>
        <v>#REF!</v>
      </c>
    </row>
    <row r="1840" spans="1:1">
      <c r="A1840" s="2" t="e">
        <f>CONCATENATE("'",'Inverter-Full Data'!#REF!,"     ",'Inverter-Full Data'!#REF!,",",'Inverter-Full Data'!#REF!,",",'Inverter-Full Data'!#REF!,",",'Inverter-Full Data'!#REF!,"'")</f>
        <v>#REF!</v>
      </c>
    </row>
    <row r="1841" spans="1:1">
      <c r="A1841" s="2" t="e">
        <f>CONCATENATE("'",'Inverter-Full Data'!#REF!,"     ",'Inverter-Full Data'!#REF!,",",'Inverter-Full Data'!#REF!,",",'Inverter-Full Data'!#REF!,",",'Inverter-Full Data'!#REF!,"'")</f>
        <v>#REF!</v>
      </c>
    </row>
    <row r="1842" spans="1:1">
      <c r="A1842" s="2" t="e">
        <f>CONCATENATE("'",'Inverter-Full Data'!#REF!,"     ",'Inverter-Full Data'!#REF!,",",'Inverter-Full Data'!#REF!,",",'Inverter-Full Data'!#REF!,",",'Inverter-Full Data'!#REF!,"'")</f>
        <v>#REF!</v>
      </c>
    </row>
    <row r="1843" spans="1:1">
      <c r="A1843" s="2" t="e">
        <f>CONCATENATE("'",'Inverter-Full Data'!#REF!,"     ",'Inverter-Full Data'!#REF!,",",'Inverter-Full Data'!#REF!,",",'Inverter-Full Data'!#REF!,",",'Inverter-Full Data'!#REF!,"'")</f>
        <v>#REF!</v>
      </c>
    </row>
    <row r="1844" spans="1:1">
      <c r="A1844" s="2" t="e">
        <f>CONCATENATE("'",'Inverter-Full Data'!#REF!,"     ",'Inverter-Full Data'!#REF!,",",'Inverter-Full Data'!#REF!,",",'Inverter-Full Data'!#REF!,",",'Inverter-Full Data'!#REF!,"'")</f>
        <v>#REF!</v>
      </c>
    </row>
    <row r="1845" spans="1:1">
      <c r="A1845" s="2" t="e">
        <f>CONCATENATE("'",'Inverter-Full Data'!#REF!,"     ",'Inverter-Full Data'!#REF!,",",'Inverter-Full Data'!#REF!,",",'Inverter-Full Data'!#REF!,",",'Inverter-Full Data'!#REF!,"'")</f>
        <v>#REF!</v>
      </c>
    </row>
    <row r="1846" spans="1:1">
      <c r="A1846" s="2" t="e">
        <f>CONCATENATE("'",'Inverter-Full Data'!#REF!,"     ",'Inverter-Full Data'!#REF!,",",'Inverter-Full Data'!#REF!,",",'Inverter-Full Data'!#REF!,",",'Inverter-Full Data'!#REF!,"'")</f>
        <v>#REF!</v>
      </c>
    </row>
    <row r="1847" spans="1:1">
      <c r="A1847" s="2" t="e">
        <f>CONCATENATE("'",'Inverter-Full Data'!#REF!,"     ",'Inverter-Full Data'!#REF!,",",'Inverter-Full Data'!#REF!,",",'Inverter-Full Data'!#REF!,",",'Inverter-Full Data'!#REF!,"'")</f>
        <v>#REF!</v>
      </c>
    </row>
    <row r="1848" spans="1:1">
      <c r="A1848" s="2" t="e">
        <f>CONCATENATE("'",'Inverter-Full Data'!#REF!,"     ",'Inverter-Full Data'!#REF!,",",'Inverter-Full Data'!#REF!,",",'Inverter-Full Data'!#REF!,",",'Inverter-Full Data'!#REF!,"'")</f>
        <v>#REF!</v>
      </c>
    </row>
    <row r="1849" spans="1:1">
      <c r="A1849" s="2" t="e">
        <f>CONCATENATE("'",'Inverter-Full Data'!#REF!,"     ",'Inverter-Full Data'!#REF!,",",'Inverter-Full Data'!#REF!,",",'Inverter-Full Data'!#REF!,",",'Inverter-Full Data'!#REF!,"'")</f>
        <v>#REF!</v>
      </c>
    </row>
    <row r="1850" spans="1:1">
      <c r="A1850" s="2" t="e">
        <f>CONCATENATE("'",'Inverter-Full Data'!#REF!,"     ",'Inverter-Full Data'!#REF!,",",'Inverter-Full Data'!#REF!,",",'Inverter-Full Data'!#REF!,",",'Inverter-Full Data'!#REF!,"'")</f>
        <v>#REF!</v>
      </c>
    </row>
    <row r="1851" spans="1:1">
      <c r="A1851" s="2" t="e">
        <f>CONCATENATE("'",'Inverter-Full Data'!#REF!,"     ",'Inverter-Full Data'!#REF!,",",'Inverter-Full Data'!#REF!,",",'Inverter-Full Data'!#REF!,",",'Inverter-Full Data'!#REF!,"'")</f>
        <v>#REF!</v>
      </c>
    </row>
    <row r="1852" spans="1:1">
      <c r="A1852" s="2" t="e">
        <f>CONCATENATE("'",'Inverter-Full Data'!#REF!,"     ",'Inverter-Full Data'!#REF!,",",'Inverter-Full Data'!#REF!,",",'Inverter-Full Data'!#REF!,",",'Inverter-Full Data'!#REF!,"'")</f>
        <v>#REF!</v>
      </c>
    </row>
    <row r="1853" spans="1:1">
      <c r="A1853" s="2" t="e">
        <f>CONCATENATE("'",'Inverter-Full Data'!#REF!,"     ",'Inverter-Full Data'!#REF!,",",'Inverter-Full Data'!#REF!,",",'Inverter-Full Data'!#REF!,",",'Inverter-Full Data'!#REF!,"'")</f>
        <v>#REF!</v>
      </c>
    </row>
    <row r="1854" spans="1:1">
      <c r="A1854" s="2" t="e">
        <f>CONCATENATE("'",'Inverter-Full Data'!#REF!,"     ",'Inverter-Full Data'!#REF!,",",'Inverter-Full Data'!#REF!,",",'Inverter-Full Data'!#REF!,",",'Inverter-Full Data'!#REF!,"'")</f>
        <v>#REF!</v>
      </c>
    </row>
    <row r="1855" spans="1:1">
      <c r="A1855" s="2" t="e">
        <f>CONCATENATE("'",'Inverter-Full Data'!#REF!,"     ",'Inverter-Full Data'!#REF!,",",'Inverter-Full Data'!#REF!,",",'Inverter-Full Data'!#REF!,",",'Inverter-Full Data'!#REF!,"'")</f>
        <v>#REF!</v>
      </c>
    </row>
    <row r="1856" spans="1:1">
      <c r="A1856" s="2" t="e">
        <f>CONCATENATE("'",'Inverter-Full Data'!#REF!,"     ",'Inverter-Full Data'!#REF!,",",'Inverter-Full Data'!#REF!,",",'Inverter-Full Data'!#REF!,",",'Inverter-Full Data'!#REF!,"'")</f>
        <v>#REF!</v>
      </c>
    </row>
    <row r="1857" spans="1:1">
      <c r="A1857" s="2" t="e">
        <f>CONCATENATE("'",'Inverter-Full Data'!#REF!,"     ",'Inverter-Full Data'!#REF!,",",'Inverter-Full Data'!#REF!,",",'Inverter-Full Data'!#REF!,",",'Inverter-Full Data'!#REF!,"'")</f>
        <v>#REF!</v>
      </c>
    </row>
    <row r="1858" spans="1:1">
      <c r="A1858" s="2" t="e">
        <f>CONCATENATE("'",'Inverter-Full Data'!#REF!,"     ",'Inverter-Full Data'!#REF!,",",'Inverter-Full Data'!#REF!,",",'Inverter-Full Data'!#REF!,",",'Inverter-Full Data'!#REF!,"'")</f>
        <v>#REF!</v>
      </c>
    </row>
    <row r="1859" spans="1:1">
      <c r="A1859" s="2" t="e">
        <f>CONCATENATE("'",'Inverter-Full Data'!#REF!,"     ",'Inverter-Full Data'!#REF!,",",'Inverter-Full Data'!#REF!,",",'Inverter-Full Data'!#REF!,",",'Inverter-Full Data'!#REF!,"'")</f>
        <v>#REF!</v>
      </c>
    </row>
    <row r="1860" spans="1:1">
      <c r="A1860" s="2" t="e">
        <f>CONCATENATE("'",'Inverter-Full Data'!#REF!,"     ",'Inverter-Full Data'!#REF!,",",'Inverter-Full Data'!#REF!,",",'Inverter-Full Data'!#REF!,",",'Inverter-Full Data'!#REF!,"'")</f>
        <v>#REF!</v>
      </c>
    </row>
    <row r="1861" spans="1:1">
      <c r="A1861" s="2" t="e">
        <f>CONCATENATE("'",'Inverter-Full Data'!#REF!,"     ",'Inverter-Full Data'!#REF!,",",'Inverter-Full Data'!#REF!,",",'Inverter-Full Data'!#REF!,",",'Inverter-Full Data'!#REF!,"'")</f>
        <v>#REF!</v>
      </c>
    </row>
    <row r="1862" spans="1:1">
      <c r="A1862" s="2" t="e">
        <f>CONCATENATE("'",'Inverter-Full Data'!#REF!,"     ",'Inverter-Full Data'!#REF!,",",'Inverter-Full Data'!#REF!,",",'Inverter-Full Data'!#REF!,",",'Inverter-Full Data'!#REF!,"'")</f>
        <v>#REF!</v>
      </c>
    </row>
    <row r="1863" spans="1:1">
      <c r="A1863" s="2" t="e">
        <f>CONCATENATE("'",'Inverter-Full Data'!#REF!,"     ",'Inverter-Full Data'!#REF!,",",'Inverter-Full Data'!#REF!,",",'Inverter-Full Data'!#REF!,",",'Inverter-Full Data'!#REF!,"'")</f>
        <v>#REF!</v>
      </c>
    </row>
    <row r="1864" spans="1:1">
      <c r="A1864" s="2" t="e">
        <f>CONCATENATE("'",'Inverter-Full Data'!#REF!,"     ",'Inverter-Full Data'!#REF!,",",'Inverter-Full Data'!#REF!,",",'Inverter-Full Data'!#REF!,",",'Inverter-Full Data'!#REF!,"'")</f>
        <v>#REF!</v>
      </c>
    </row>
    <row r="1865" spans="1:1">
      <c r="A1865" s="2" t="e">
        <f>CONCATENATE("'",'Inverter-Full Data'!#REF!,"     ",'Inverter-Full Data'!#REF!,",",'Inverter-Full Data'!#REF!,",",'Inverter-Full Data'!#REF!,",",'Inverter-Full Data'!#REF!,"'")</f>
        <v>#REF!</v>
      </c>
    </row>
    <row r="1866" spans="1:1">
      <c r="A1866" s="2" t="e">
        <f>CONCATENATE("'",'Inverter-Full Data'!#REF!,"     ",'Inverter-Full Data'!#REF!,",",'Inverter-Full Data'!#REF!,",",'Inverter-Full Data'!#REF!,",",'Inverter-Full Data'!#REF!,"'")</f>
        <v>#REF!</v>
      </c>
    </row>
    <row r="1867" spans="1:1">
      <c r="A1867" s="2" t="e">
        <f>CONCATENATE("'",'Inverter-Full Data'!#REF!,"     ",'Inverter-Full Data'!#REF!,",",'Inverter-Full Data'!#REF!,",",'Inverter-Full Data'!#REF!,",",'Inverter-Full Data'!#REF!,"'")</f>
        <v>#REF!</v>
      </c>
    </row>
    <row r="1868" spans="1:1">
      <c r="A1868" s="2" t="e">
        <f>CONCATENATE("'",'Inverter-Full Data'!#REF!,"     ",'Inverter-Full Data'!#REF!,",",'Inverter-Full Data'!#REF!,",",'Inverter-Full Data'!#REF!,",",'Inverter-Full Data'!#REF!,"'")</f>
        <v>#REF!</v>
      </c>
    </row>
    <row r="1869" spans="1:1">
      <c r="A1869" s="2" t="e">
        <f>CONCATENATE("'",'Inverter-Full Data'!#REF!,"     ",'Inverter-Full Data'!#REF!,",",'Inverter-Full Data'!#REF!,",",'Inverter-Full Data'!#REF!,",",'Inverter-Full Data'!#REF!,"'")</f>
        <v>#REF!</v>
      </c>
    </row>
    <row r="1870" spans="1:1">
      <c r="A1870" s="2" t="e">
        <f>CONCATENATE("'",'Inverter-Full Data'!#REF!,"     ",'Inverter-Full Data'!#REF!,",",'Inverter-Full Data'!#REF!,",",'Inverter-Full Data'!#REF!,",",'Inverter-Full Data'!#REF!,"'")</f>
        <v>#REF!</v>
      </c>
    </row>
    <row r="1871" spans="1:1">
      <c r="A1871" s="2" t="e">
        <f>CONCATENATE("'",'Inverter-Full Data'!#REF!,"     ",'Inverter-Full Data'!#REF!,",",'Inverter-Full Data'!#REF!,",",'Inverter-Full Data'!#REF!,",",'Inverter-Full Data'!#REF!,"'")</f>
        <v>#REF!</v>
      </c>
    </row>
    <row r="1872" spans="1:1">
      <c r="A1872" s="2" t="e">
        <f>CONCATENATE("'",'Inverter-Full Data'!#REF!,"     ",'Inverter-Full Data'!#REF!,",",'Inverter-Full Data'!#REF!,",",'Inverter-Full Data'!#REF!,",",'Inverter-Full Data'!#REF!,"'")</f>
        <v>#REF!</v>
      </c>
    </row>
    <row r="1873" spans="1:1">
      <c r="A1873" s="2" t="e">
        <f>CONCATENATE("'",'Inverter-Full Data'!#REF!,"     ",'Inverter-Full Data'!#REF!,",",'Inverter-Full Data'!#REF!,",",'Inverter-Full Data'!#REF!,",",'Inverter-Full Data'!#REF!,"'")</f>
        <v>#REF!</v>
      </c>
    </row>
    <row r="1874" spans="1:1">
      <c r="A1874" s="2" t="e">
        <f>CONCATENATE("'",'Inverter-Full Data'!#REF!,"     ",'Inverter-Full Data'!#REF!,",",'Inverter-Full Data'!#REF!,",",'Inverter-Full Data'!#REF!,",",'Inverter-Full Data'!#REF!,"'")</f>
        <v>#REF!</v>
      </c>
    </row>
    <row r="1875" spans="1:1">
      <c r="A1875" s="2" t="e">
        <f>CONCATENATE("'",'Inverter-Full Data'!#REF!,"     ",'Inverter-Full Data'!#REF!,",",'Inverter-Full Data'!#REF!,",",'Inverter-Full Data'!#REF!,",",'Inverter-Full Data'!#REF!,"'")</f>
        <v>#REF!</v>
      </c>
    </row>
    <row r="1876" spans="1:1">
      <c r="A1876" s="2" t="e">
        <f>CONCATENATE("'",'Inverter-Full Data'!#REF!,"     ",'Inverter-Full Data'!#REF!,",",'Inverter-Full Data'!#REF!,",",'Inverter-Full Data'!#REF!,",",'Inverter-Full Data'!#REF!,"'")</f>
        <v>#REF!</v>
      </c>
    </row>
    <row r="1877" spans="1:1">
      <c r="A1877" s="2" t="e">
        <f>CONCATENATE("'",'Inverter-Full Data'!#REF!,"     ",'Inverter-Full Data'!#REF!,",",'Inverter-Full Data'!#REF!,",",'Inverter-Full Data'!#REF!,",",'Inverter-Full Data'!#REF!,"'")</f>
        <v>#REF!</v>
      </c>
    </row>
    <row r="1878" spans="1:1">
      <c r="A1878" s="2" t="e">
        <f>CONCATENATE("'",'Inverter-Full Data'!#REF!,"     ",'Inverter-Full Data'!#REF!,",",'Inverter-Full Data'!#REF!,",",'Inverter-Full Data'!#REF!,",",'Inverter-Full Data'!#REF!,"'")</f>
        <v>#REF!</v>
      </c>
    </row>
    <row r="1879" spans="1:1">
      <c r="A1879" s="2" t="e">
        <f>CONCATENATE("'",'Inverter-Full Data'!#REF!,"     ",'Inverter-Full Data'!#REF!,",",'Inverter-Full Data'!#REF!,",",'Inverter-Full Data'!#REF!,",",'Inverter-Full Data'!#REF!,"'")</f>
        <v>#REF!</v>
      </c>
    </row>
    <row r="1880" spans="1:1">
      <c r="A1880" s="2" t="e">
        <f>CONCATENATE("'",'Inverter-Full Data'!#REF!,"     ",'Inverter-Full Data'!#REF!,",",'Inverter-Full Data'!#REF!,",",'Inverter-Full Data'!#REF!,",",'Inverter-Full Data'!#REF!,"'")</f>
        <v>#REF!</v>
      </c>
    </row>
    <row r="1881" spans="1:1">
      <c r="A1881" s="2" t="e">
        <f>CONCATENATE("'",'Inverter-Full Data'!#REF!,"     ",'Inverter-Full Data'!#REF!,",",'Inverter-Full Data'!#REF!,",",'Inverter-Full Data'!#REF!,",",'Inverter-Full Data'!#REF!,"'")</f>
        <v>#REF!</v>
      </c>
    </row>
    <row r="1882" spans="1:1">
      <c r="A1882" s="2" t="e">
        <f>CONCATENATE("'",'Inverter-Full Data'!#REF!,"     ",'Inverter-Full Data'!#REF!,",",'Inverter-Full Data'!#REF!,",",'Inverter-Full Data'!#REF!,",",'Inverter-Full Data'!#REF!,"'")</f>
        <v>#REF!</v>
      </c>
    </row>
    <row r="1883" spans="1:1">
      <c r="A1883" s="2" t="e">
        <f>CONCATENATE("'",'Inverter-Full Data'!#REF!,"     ",'Inverter-Full Data'!#REF!,",",'Inverter-Full Data'!#REF!,",",'Inverter-Full Data'!#REF!,",",'Inverter-Full Data'!#REF!,"'")</f>
        <v>#REF!</v>
      </c>
    </row>
    <row r="1884" spans="1:1">
      <c r="A1884" s="2" t="e">
        <f>CONCATENATE("'",'Inverter-Full Data'!#REF!,"     ",'Inverter-Full Data'!#REF!,",",'Inverter-Full Data'!#REF!,",",'Inverter-Full Data'!#REF!,",",'Inverter-Full Data'!#REF!,"'")</f>
        <v>#REF!</v>
      </c>
    </row>
    <row r="1885" spans="1:1">
      <c r="A1885" s="2" t="e">
        <f>CONCATENATE("'",'Inverter-Full Data'!#REF!,"     ",'Inverter-Full Data'!#REF!,",",'Inverter-Full Data'!#REF!,",",'Inverter-Full Data'!#REF!,",",'Inverter-Full Data'!#REF!,"'")</f>
        <v>#REF!</v>
      </c>
    </row>
    <row r="1886" spans="1:1">
      <c r="A1886" s="2" t="e">
        <f>CONCATENATE("'",'Inverter-Full Data'!#REF!,"     ",'Inverter-Full Data'!#REF!,",",'Inverter-Full Data'!#REF!,",",'Inverter-Full Data'!#REF!,",",'Inverter-Full Data'!#REF!,"'")</f>
        <v>#REF!</v>
      </c>
    </row>
    <row r="1887" spans="1:1">
      <c r="A1887" s="2" t="e">
        <f>CONCATENATE("'",'Inverter-Full Data'!#REF!,"     ",'Inverter-Full Data'!#REF!,",",'Inverter-Full Data'!#REF!,",",'Inverter-Full Data'!#REF!,",",'Inverter-Full Data'!#REF!,"'")</f>
        <v>#REF!</v>
      </c>
    </row>
    <row r="1888" spans="1:1">
      <c r="A1888" s="2" t="e">
        <f>CONCATENATE("'",'Inverter-Full Data'!#REF!,"     ",'Inverter-Full Data'!#REF!,",",'Inverter-Full Data'!#REF!,",",'Inverter-Full Data'!#REF!,",",'Inverter-Full Data'!#REF!,"'")</f>
        <v>#REF!</v>
      </c>
    </row>
    <row r="1889" spans="1:1">
      <c r="A1889" s="2" t="e">
        <f>CONCATENATE("'",'Inverter-Full Data'!#REF!,"     ",'Inverter-Full Data'!#REF!,",",'Inverter-Full Data'!#REF!,",",'Inverter-Full Data'!#REF!,",",'Inverter-Full Data'!#REF!,"'")</f>
        <v>#REF!</v>
      </c>
    </row>
    <row r="1890" spans="1:1">
      <c r="A1890" s="2" t="e">
        <f>CONCATENATE("'",'Inverter-Full Data'!#REF!,"     ",'Inverter-Full Data'!#REF!,",",'Inverter-Full Data'!#REF!,",",'Inverter-Full Data'!#REF!,",",'Inverter-Full Data'!#REF!,"'")</f>
        <v>#REF!</v>
      </c>
    </row>
    <row r="1891" spans="1:1">
      <c r="A1891" s="2" t="e">
        <f>CONCATENATE("'",'Inverter-Full Data'!#REF!,"     ",'Inverter-Full Data'!#REF!,",",'Inverter-Full Data'!#REF!,",",'Inverter-Full Data'!#REF!,",",'Inverter-Full Data'!#REF!,"'")</f>
        <v>#REF!</v>
      </c>
    </row>
    <row r="1892" spans="1:1">
      <c r="A1892" s="2" t="e">
        <f>CONCATENATE("'",'Inverter-Full Data'!#REF!,"     ",'Inverter-Full Data'!#REF!,",",'Inverter-Full Data'!#REF!,",",'Inverter-Full Data'!#REF!,",",'Inverter-Full Data'!#REF!,"'")</f>
        <v>#REF!</v>
      </c>
    </row>
    <row r="1893" spans="1:1">
      <c r="A1893" s="2" t="e">
        <f>CONCATENATE("'",'Inverter-Full Data'!#REF!,"     ",'Inverter-Full Data'!#REF!,",",'Inverter-Full Data'!#REF!,",",'Inverter-Full Data'!#REF!,",",'Inverter-Full Data'!#REF!,"'")</f>
        <v>#REF!</v>
      </c>
    </row>
    <row r="1894" spans="1:1">
      <c r="A1894" s="2" t="e">
        <f>CONCATENATE("'",'Inverter-Full Data'!#REF!,"     ",'Inverter-Full Data'!#REF!,",",'Inverter-Full Data'!#REF!,",",'Inverter-Full Data'!#REF!,",",'Inverter-Full Data'!#REF!,"'")</f>
        <v>#REF!</v>
      </c>
    </row>
    <row r="1895" spans="1:1">
      <c r="A1895" s="2" t="e">
        <f>CONCATENATE("'",'Inverter-Full Data'!#REF!,"     ",'Inverter-Full Data'!#REF!,",",'Inverter-Full Data'!#REF!,",",'Inverter-Full Data'!#REF!,",",'Inverter-Full Data'!#REF!,"'")</f>
        <v>#REF!</v>
      </c>
    </row>
    <row r="1896" spans="1:1">
      <c r="A1896" s="2" t="e">
        <f>CONCATENATE("'",'Inverter-Full Data'!#REF!,"     ",'Inverter-Full Data'!#REF!,",",'Inverter-Full Data'!#REF!,",",'Inverter-Full Data'!#REF!,",",'Inverter-Full Data'!#REF!,"'")</f>
        <v>#REF!</v>
      </c>
    </row>
    <row r="1897" spans="1:1">
      <c r="A1897" s="2" t="e">
        <f>CONCATENATE("'",'Inverter-Full Data'!#REF!,"     ",'Inverter-Full Data'!#REF!,",",'Inverter-Full Data'!#REF!,",",'Inverter-Full Data'!#REF!,",",'Inverter-Full Data'!#REF!,"'")</f>
        <v>#REF!</v>
      </c>
    </row>
    <row r="1898" spans="1:1">
      <c r="A1898" s="2" t="str">
        <f>CONCATENATE("'",'Inverter-Full Data'!A305,"     ",'Inverter-Full Data'!B305,",",'Inverter-Full Data'!S305,",",'Inverter-Full Data'!J305,",",'Inverter-Full Data'!T305,"'")</f>
        <v>'Ningbo Ginlong Technologies Co.,Ltd.     Solis-1P2.5K-4G-US [240V],N,97,N'</v>
      </c>
    </row>
    <row r="1899" spans="1:1">
      <c r="A1899" s="2" t="e">
        <f>CONCATENATE("'",'Inverter-Full Data'!#REF!,"     ",'Inverter-Full Data'!#REF!,",",'Inverter-Full Data'!#REF!,",",'Inverter-Full Data'!#REF!,",",'Inverter-Full Data'!#REF!,"'")</f>
        <v>#REF!</v>
      </c>
    </row>
    <row r="1900" spans="1:1">
      <c r="A1900" s="2" t="e">
        <f>CONCATENATE("'",'Inverter-Full Data'!#REF!,"     ",'Inverter-Full Data'!#REF!,",",'Inverter-Full Data'!#REF!,",",'Inverter-Full Data'!#REF!,",",'Inverter-Full Data'!#REF!,"'")</f>
        <v>#REF!</v>
      </c>
    </row>
    <row r="1901" spans="1:1">
      <c r="A1901" s="2" t="e">
        <f>CONCATENATE("'",'Inverter-Full Data'!#REF!,"     ",'Inverter-Full Data'!#REF!,",",'Inverter-Full Data'!#REF!,",",'Inverter-Full Data'!#REF!,",",'Inverter-Full Data'!#REF!,"'")</f>
        <v>#REF!</v>
      </c>
    </row>
    <row r="1902" spans="1:1">
      <c r="A1902" s="2" t="e">
        <f>CONCATENATE("'",'Inverter-Full Data'!#REF!,"     ",'Inverter-Full Data'!#REF!,",",'Inverter-Full Data'!#REF!,",",'Inverter-Full Data'!#REF!,",",'Inverter-Full Data'!#REF!,"'")</f>
        <v>#REF!</v>
      </c>
    </row>
    <row r="1903" spans="1:1">
      <c r="A1903" s="2" t="e">
        <f>CONCATENATE("'",'Inverter-Full Data'!#REF!,"     ",'Inverter-Full Data'!#REF!,",",'Inverter-Full Data'!#REF!,",",'Inverter-Full Data'!#REF!,",",'Inverter-Full Data'!#REF!,"'")</f>
        <v>#REF!</v>
      </c>
    </row>
    <row r="1904" spans="1:1">
      <c r="A1904" s="2" t="e">
        <f>CONCATENATE("'",'Inverter-Full Data'!#REF!,"     ",'Inverter-Full Data'!#REF!,",",'Inverter-Full Data'!#REF!,",",'Inverter-Full Data'!#REF!,",",'Inverter-Full Data'!#REF!,"'")</f>
        <v>#REF!</v>
      </c>
    </row>
    <row r="1905" spans="1:1">
      <c r="A1905" s="2" t="str">
        <f>CONCATENATE("'",'Inverter-Full Data'!A306,"     ",'Inverter-Full Data'!B306,",",'Inverter-Full Data'!S306,",",'Inverter-Full Data'!J306,",",'Inverter-Full Data'!T306,"'")</f>
        <v>'Ningbo Ginlong Technologies Co.,Ltd.     Solis-1P3K-4G-US [240V],N,97,N'</v>
      </c>
    </row>
    <row r="1906" spans="1:1">
      <c r="A1906" s="2" t="e">
        <f>CONCATENATE("'",'Inverter-Full Data'!#REF!,"     ",'Inverter-Full Data'!#REF!,",",'Inverter-Full Data'!#REF!,",",'Inverter-Full Data'!#REF!,",",'Inverter-Full Data'!#REF!,"'")</f>
        <v>#REF!</v>
      </c>
    </row>
    <row r="1907" spans="1:1">
      <c r="A1907" s="2" t="e">
        <f>CONCATENATE("'",'Inverter-Full Data'!#REF!,"     ",'Inverter-Full Data'!#REF!,",",'Inverter-Full Data'!#REF!,",",'Inverter-Full Data'!#REF!,",",'Inverter-Full Data'!#REF!,"'")</f>
        <v>#REF!</v>
      </c>
    </row>
    <row r="1908" spans="1:1">
      <c r="A1908" s="2" t="e">
        <f>CONCATENATE("'",'Inverter-Full Data'!#REF!,"     ",'Inverter-Full Data'!#REF!,",",'Inverter-Full Data'!#REF!,",",'Inverter-Full Data'!#REF!,",",'Inverter-Full Data'!#REF!,"'")</f>
        <v>#REF!</v>
      </c>
    </row>
    <row r="1909" spans="1:1">
      <c r="A1909" s="2" t="e">
        <f>CONCATENATE("'",'Inverter-Full Data'!#REF!,"     ",'Inverter-Full Data'!#REF!,",",'Inverter-Full Data'!#REF!,",",'Inverter-Full Data'!#REF!,",",'Inverter-Full Data'!#REF!,"'")</f>
        <v>#REF!</v>
      </c>
    </row>
    <row r="1910" spans="1:1">
      <c r="A1910" s="2" t="e">
        <f>CONCATENATE("'",'Inverter-Full Data'!#REF!,"     ",'Inverter-Full Data'!#REF!,",",'Inverter-Full Data'!#REF!,",",'Inverter-Full Data'!#REF!,",",'Inverter-Full Data'!#REF!,"'")</f>
        <v>#REF!</v>
      </c>
    </row>
    <row r="1911" spans="1:1">
      <c r="A1911" s="2" t="e">
        <f>CONCATENATE("'",'Inverter-Full Data'!#REF!,"     ",'Inverter-Full Data'!#REF!,",",'Inverter-Full Data'!#REF!,",",'Inverter-Full Data'!#REF!,",",'Inverter-Full Data'!#REF!,"'")</f>
        <v>#REF!</v>
      </c>
    </row>
    <row r="1912" spans="1:1">
      <c r="A1912" s="2" t="str">
        <f>CONCATENATE("'",'Inverter-Full Data'!A307,"     ",'Inverter-Full Data'!B307,",",'Inverter-Full Data'!S307,",",'Inverter-Full Data'!J307,",",'Inverter-Full Data'!T307,"'")</f>
        <v>'Ningbo Ginlong Technologies Co.,Ltd.     Solis-1P3.6K-4G-US [240V],N,97,N'</v>
      </c>
    </row>
    <row r="1913" spans="1:1">
      <c r="A1913" s="2" t="e">
        <f>CONCATENATE("'",'Inverter-Full Data'!#REF!,"     ",'Inverter-Full Data'!#REF!,",",'Inverter-Full Data'!#REF!,",",'Inverter-Full Data'!#REF!,",",'Inverter-Full Data'!#REF!,"'")</f>
        <v>#REF!</v>
      </c>
    </row>
    <row r="1914" spans="1:1">
      <c r="A1914" s="2" t="e">
        <f>CONCATENATE("'",'Inverter-Full Data'!#REF!,"     ",'Inverter-Full Data'!#REF!,",",'Inverter-Full Data'!#REF!,",",'Inverter-Full Data'!#REF!,",",'Inverter-Full Data'!#REF!,"'")</f>
        <v>#REF!</v>
      </c>
    </row>
    <row r="1915" spans="1:1">
      <c r="A1915" s="2" t="e">
        <f>CONCATENATE("'",'Inverter-Full Data'!#REF!,"     ",'Inverter-Full Data'!#REF!,",",'Inverter-Full Data'!#REF!,",",'Inverter-Full Data'!#REF!,",",'Inverter-Full Data'!#REF!,"'")</f>
        <v>#REF!</v>
      </c>
    </row>
    <row r="1916" spans="1:1">
      <c r="A1916" s="2" t="e">
        <f>CONCATENATE("'",'Inverter-Full Data'!#REF!,"     ",'Inverter-Full Data'!#REF!,",",'Inverter-Full Data'!#REF!,",",'Inverter-Full Data'!#REF!,",",'Inverter-Full Data'!#REF!,"'")</f>
        <v>#REF!</v>
      </c>
    </row>
    <row r="1917" spans="1:1">
      <c r="A1917" s="2" t="e">
        <f>CONCATENATE("'",'Inverter-Full Data'!#REF!,"     ",'Inverter-Full Data'!#REF!,",",'Inverter-Full Data'!#REF!,",",'Inverter-Full Data'!#REF!,",",'Inverter-Full Data'!#REF!,"'")</f>
        <v>#REF!</v>
      </c>
    </row>
    <row r="1918" spans="1:1">
      <c r="A1918" s="2" t="e">
        <f>CONCATENATE("'",'Inverter-Full Data'!#REF!,"     ",'Inverter-Full Data'!#REF!,",",'Inverter-Full Data'!#REF!,",",'Inverter-Full Data'!#REF!,",",'Inverter-Full Data'!#REF!,"'")</f>
        <v>#REF!</v>
      </c>
    </row>
    <row r="1919" spans="1:1">
      <c r="A1919" s="2" t="str">
        <f>CONCATENATE("'",'Inverter-Full Data'!A308,"     ",'Inverter-Full Data'!B308,",",'Inverter-Full Data'!S308,",",'Inverter-Full Data'!J308,",",'Inverter-Full Data'!T308,"'")</f>
        <v>'Ningbo Ginlong Technologies Co.,Ltd.     Solis-1P4K-4G-US [240V],N,97,N'</v>
      </c>
    </row>
    <row r="1920" spans="1:1">
      <c r="A1920" s="2" t="e">
        <f>CONCATENATE("'",'Inverter-Full Data'!#REF!,"     ",'Inverter-Full Data'!#REF!,",",'Inverter-Full Data'!#REF!,",",'Inverter-Full Data'!#REF!,",",'Inverter-Full Data'!#REF!,"'")</f>
        <v>#REF!</v>
      </c>
    </row>
    <row r="1921" spans="1:1">
      <c r="A1921" s="2" t="e">
        <f>CONCATENATE("'",'Inverter-Full Data'!#REF!,"     ",'Inverter-Full Data'!#REF!,",",'Inverter-Full Data'!#REF!,",",'Inverter-Full Data'!#REF!,",",'Inverter-Full Data'!#REF!,"'")</f>
        <v>#REF!</v>
      </c>
    </row>
    <row r="1922" spans="1:1">
      <c r="A1922" s="2" t="e">
        <f>CONCATENATE("'",'Inverter-Full Data'!#REF!,"     ",'Inverter-Full Data'!#REF!,",",'Inverter-Full Data'!#REF!,",",'Inverter-Full Data'!#REF!,",",'Inverter-Full Data'!#REF!,"'")</f>
        <v>#REF!</v>
      </c>
    </row>
    <row r="1923" spans="1:1">
      <c r="A1923" s="2" t="e">
        <f>CONCATENATE("'",'Inverter-Full Data'!#REF!,"     ",'Inverter-Full Data'!#REF!,",",'Inverter-Full Data'!#REF!,",",'Inverter-Full Data'!#REF!,",",'Inverter-Full Data'!#REF!,"'")</f>
        <v>#REF!</v>
      </c>
    </row>
    <row r="1924" spans="1:1">
      <c r="A1924" s="2" t="e">
        <f>CONCATENATE("'",'Inverter-Full Data'!#REF!,"     ",'Inverter-Full Data'!#REF!,",",'Inverter-Full Data'!#REF!,",",'Inverter-Full Data'!#REF!,",",'Inverter-Full Data'!#REF!,"'")</f>
        <v>#REF!</v>
      </c>
    </row>
    <row r="1925" spans="1:1">
      <c r="A1925" s="2" t="e">
        <f>CONCATENATE("'",'Inverter-Full Data'!#REF!,"     ",'Inverter-Full Data'!#REF!,",",'Inverter-Full Data'!#REF!,",",'Inverter-Full Data'!#REF!,",",'Inverter-Full Data'!#REF!,"'")</f>
        <v>#REF!</v>
      </c>
    </row>
    <row r="1926" spans="1:1">
      <c r="A1926" s="2" t="str">
        <f>CONCATENATE("'",'Inverter-Full Data'!A309,"     ",'Inverter-Full Data'!B309,",",'Inverter-Full Data'!S309,",",'Inverter-Full Data'!J309,",",'Inverter-Full Data'!T309,"'")</f>
        <v>'Ningbo Ginlong Technologies Co.,Ltd.     Solis-1P4.6K-4G-US [240V],N,97,N'</v>
      </c>
    </row>
    <row r="1927" spans="1:1">
      <c r="A1927" s="2" t="e">
        <f>CONCATENATE("'",'Inverter-Full Data'!#REF!,"     ",'Inverter-Full Data'!#REF!,",",'Inverter-Full Data'!#REF!,",",'Inverter-Full Data'!#REF!,",",'Inverter-Full Data'!#REF!,"'")</f>
        <v>#REF!</v>
      </c>
    </row>
    <row r="1928" spans="1:1">
      <c r="A1928" s="2" t="e">
        <f>CONCATENATE("'",'Inverter-Full Data'!#REF!,"     ",'Inverter-Full Data'!#REF!,",",'Inverter-Full Data'!#REF!,",",'Inverter-Full Data'!#REF!,",",'Inverter-Full Data'!#REF!,"'")</f>
        <v>#REF!</v>
      </c>
    </row>
    <row r="1929" spans="1:1">
      <c r="A1929" s="2" t="e">
        <f>CONCATENATE("'",'Inverter-Full Data'!#REF!,"     ",'Inverter-Full Data'!#REF!,",",'Inverter-Full Data'!#REF!,",",'Inverter-Full Data'!#REF!,",",'Inverter-Full Data'!#REF!,"'")</f>
        <v>#REF!</v>
      </c>
    </row>
    <row r="1930" spans="1:1">
      <c r="A1930" s="2" t="e">
        <f>CONCATENATE("'",'Inverter-Full Data'!#REF!,"     ",'Inverter-Full Data'!#REF!,",",'Inverter-Full Data'!#REF!,",",'Inverter-Full Data'!#REF!,",",'Inverter-Full Data'!#REF!,"'")</f>
        <v>#REF!</v>
      </c>
    </row>
    <row r="1931" spans="1:1">
      <c r="A1931" s="2" t="e">
        <f>CONCATENATE("'",'Inverter-Full Data'!#REF!,"     ",'Inverter-Full Data'!#REF!,",",'Inverter-Full Data'!#REF!,",",'Inverter-Full Data'!#REF!,",",'Inverter-Full Data'!#REF!,"'")</f>
        <v>#REF!</v>
      </c>
    </row>
    <row r="1932" spans="1:1">
      <c r="A1932" s="2" t="e">
        <f>CONCATENATE("'",'Inverter-Full Data'!#REF!,"     ",'Inverter-Full Data'!#REF!,",",'Inverter-Full Data'!#REF!,",",'Inverter-Full Data'!#REF!,",",'Inverter-Full Data'!#REF!,"'")</f>
        <v>#REF!</v>
      </c>
    </row>
    <row r="1933" spans="1:1">
      <c r="A1933" s="2" t="e">
        <f>CONCATENATE("'",'Inverter-Full Data'!#REF!,"     ",'Inverter-Full Data'!#REF!,",",'Inverter-Full Data'!#REF!,",",'Inverter-Full Data'!#REF!,",",'Inverter-Full Data'!#REF!,"'")</f>
        <v>#REF!</v>
      </c>
    </row>
    <row r="1934" spans="1:1">
      <c r="A1934" s="2" t="e">
        <f>CONCATENATE("'",'Inverter-Full Data'!#REF!,"     ",'Inverter-Full Data'!#REF!,",",'Inverter-Full Data'!#REF!,",",'Inverter-Full Data'!#REF!,",",'Inverter-Full Data'!#REF!,"'")</f>
        <v>#REF!</v>
      </c>
    </row>
    <row r="1935" spans="1:1">
      <c r="A1935" s="2" t="e">
        <f>CONCATENATE("'",'Inverter-Full Data'!#REF!,"     ",'Inverter-Full Data'!#REF!,",",'Inverter-Full Data'!#REF!,",",'Inverter-Full Data'!#REF!,",",'Inverter-Full Data'!#REF!,"'")</f>
        <v>#REF!</v>
      </c>
    </row>
    <row r="1936" spans="1:1">
      <c r="A1936" s="2" t="e">
        <f>CONCATENATE("'",'Inverter-Full Data'!#REF!,"     ",'Inverter-Full Data'!#REF!,",",'Inverter-Full Data'!#REF!,",",'Inverter-Full Data'!#REF!,",",'Inverter-Full Data'!#REF!,"'")</f>
        <v>#REF!</v>
      </c>
    </row>
    <row r="1937" spans="1:1">
      <c r="A1937" s="2" t="str">
        <f>CONCATENATE("'",'Inverter-Full Data'!A310,"     ",'Inverter-Full Data'!B310,",",'Inverter-Full Data'!S310,",",'Inverter-Full Data'!J310,",",'Inverter-Full Data'!T310,"'")</f>
        <v>'Ningbo Ginlong Technologies Co.,Ltd.     Solis-1P5K-4G-US [240V],N,97,N'</v>
      </c>
    </row>
    <row r="1938" spans="1:1">
      <c r="A1938" s="2" t="str">
        <f>CONCATENATE("'",'Inverter-Full Data'!A311,"     ",'Inverter-Full Data'!B311,",",'Inverter-Full Data'!S311,",",'Inverter-Full Data'!J311,",",'Inverter-Full Data'!T311,"'")</f>
        <v>'Ningbo Ginlong Technologies Co.,Ltd.     Solis-1P6K2-4G-US [240V],N,97,N'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e">
        <f>CONCATENATE("'",'Inverter-Full Data'!#REF!,"     ",'Inverter-Full Data'!#REF!,",",'Inverter-Full Data'!#REF!,",",'Inverter-Full Data'!#REF!,",",'Inverter-Full Data'!#REF!,"'")</f>
        <v>#REF!</v>
      </c>
    </row>
    <row r="1946" spans="1:1">
      <c r="A1946" s="2" t="str">
        <f>CONCATENATE("'",'Inverter-Full Data'!A312,"     ",'Inverter-Full Data'!B312,",",'Inverter-Full Data'!S312,",",'Inverter-Full Data'!J312,",",'Inverter-Full Data'!T312,"'")</f>
        <v>'Ningbo Ginlong Technologies Co.,Ltd.     Solis-1P6K-4G-US [240V],N,97.5,N'</v>
      </c>
    </row>
    <row r="1947" spans="1:1">
      <c r="A1947" s="2" t="e">
        <f>CONCATENATE("'",'Inverter-Full Data'!#REF!,"     ",'Inverter-Full Data'!#REF!,",",'Inverter-Full Data'!#REF!,",",'Inverter-Full Data'!#REF!,",",'Inverter-Full Data'!#REF!,"'")</f>
        <v>#REF!</v>
      </c>
    </row>
    <row r="1948" spans="1:1">
      <c r="A1948" s="2" t="str">
        <f>CONCATENATE("'",'Inverter-Full Data'!A313,"     ",'Inverter-Full Data'!B313,",",'Inverter-Full Data'!S313,",",'Inverter-Full Data'!J313,",",'Inverter-Full Data'!T313,"'")</f>
        <v>'Ningbo Ginlong Technologies Co.,Ltd.     Solis-1P7K-4G-US [240V],Y,97.5,N'</v>
      </c>
    </row>
    <row r="1949" spans="1:1">
      <c r="A1949" s="2" t="e">
        <f>CONCATENATE("'",'Inverter-Full Data'!#REF!,"     ",'Inverter-Full Data'!#REF!,",",'Inverter-Full Data'!#REF!,",",'Inverter-Full Data'!#REF!,",",'Inverter-Full Data'!#REF!,"'")</f>
        <v>#REF!</v>
      </c>
    </row>
    <row r="1950" spans="1:1">
      <c r="A1950" s="2" t="str">
        <f>CONCATENATE("'",'Inverter-Full Data'!A314,"     ",'Inverter-Full Data'!B314,",",'Inverter-Full Data'!S314,",",'Inverter-Full Data'!J314,",",'Inverter-Full Data'!T314,"'")</f>
        <v>'Ningbo Ginlong Technologies Co.,Ltd.     Solis-1P7.6K-4G-US [240V],N,97.5,N'</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str">
        <f>CONCATENATE("'",'Inverter-Full Data'!A315,"     ",'Inverter-Full Data'!B315,",",'Inverter-Full Data'!S315,",",'Inverter-Full Data'!J315,",",'Inverter-Full Data'!T315,"'")</f>
        <v>'Ningbo Ginlong Technologies Co.,Ltd.     Solis-1P8K-4G-US [240V],N,97.5,N'</v>
      </c>
    </row>
    <row r="1954" spans="1:1">
      <c r="A1954" s="2" t="e">
        <f>CONCATENATE("'",'Inverter-Full Data'!#REF!,"     ",'Inverter-Full Data'!#REF!,",",'Inverter-Full Data'!#REF!,",",'Inverter-Full Data'!#REF!,",",'Inverter-Full Data'!#REF!,"'")</f>
        <v>#REF!</v>
      </c>
    </row>
    <row r="1955" spans="1:1">
      <c r="A1955" s="2" t="str">
        <f>CONCATENATE("'",'Inverter-Full Data'!A316,"     ",'Inverter-Full Data'!B316,",",'Inverter-Full Data'!S316,",",'Inverter-Full Data'!J316,",",'Inverter-Full Data'!T316,"'")</f>
        <v>'Ningbo Ginlong Technologies Co.,Ltd.     Solis-1P9K-4G-US [240V],N,97.5,N'</v>
      </c>
    </row>
    <row r="1956" spans="1:1">
      <c r="A1956" s="2" t="e">
        <f>CONCATENATE("'",'Inverter-Full Data'!#REF!,"     ",'Inverter-Full Data'!#REF!,",",'Inverter-Full Data'!#REF!,",",'Inverter-Full Data'!#REF!,",",'Inverter-Full Data'!#REF!,"'")</f>
        <v>#REF!</v>
      </c>
    </row>
    <row r="1957" spans="1:1">
      <c r="A1957" s="2" t="e">
        <f>CONCATENATE("'",'Inverter-Full Data'!#REF!,"     ",'Inverter-Full Data'!#REF!,",",'Inverter-Full Data'!#REF!,",",'Inverter-Full Data'!#REF!,",",'Inverter-Full Data'!#REF!,"'")</f>
        <v>#REF!</v>
      </c>
    </row>
    <row r="1958" spans="1:1">
      <c r="A1958" s="2" t="str">
        <f>CONCATENATE("'",'Inverter-Full Data'!A317,"     ",'Inverter-Full Data'!B317,",",'Inverter-Full Data'!S317,",",'Inverter-Full Data'!J317,",",'Inverter-Full Data'!T317,"'")</f>
        <v>'Ningbo Ginlong Technologies Co.,Ltd.     Solis-1P10K-4G-US [240V],N,97.5,N'</v>
      </c>
    </row>
    <row r="1959" spans="1:1">
      <c r="A1959" s="2" t="e">
        <f>CONCATENATE("'",'Inverter-Full Data'!#REF!,"     ",'Inverter-Full Data'!#REF!,",",'Inverter-Full Data'!#REF!,",",'Inverter-Full Data'!#REF!,",",'Inverter-Full Data'!#REF!,"'")</f>
        <v>#REF!</v>
      </c>
    </row>
    <row r="1960" spans="1:1">
      <c r="A1960" s="2" t="e">
        <f>CONCATENATE("'",'Inverter-Full Data'!#REF!,"     ",'Inverter-Full Data'!#REF!,",",'Inverter-Full Data'!#REF!,",",'Inverter-Full Data'!#REF!,",",'Inverter-Full Data'!#REF!,"'")</f>
        <v>#REF!</v>
      </c>
    </row>
    <row r="1961" spans="1:1">
      <c r="A1961" s="2" t="e">
        <f>CONCATENATE("'",'Inverter-Full Data'!#REF!,"     ",'Inverter-Full Data'!#REF!,",",'Inverter-Full Data'!#REF!,",",'Inverter-Full Data'!#REF!,",",'Inverter-Full Data'!#REF!,"'")</f>
        <v>#REF!</v>
      </c>
    </row>
    <row r="1962" spans="1:1">
      <c r="A1962" s="2" t="str">
        <f>CONCATENATE("'",'Inverter-Full Data'!A318,"     ",'Inverter-Full Data'!B318,",",'Inverter-Full Data'!S318,",",'Inverter-Full Data'!J318,",",'Inverter-Full Data'!T318,"'")</f>
        <v>'Ningbo Ginlong Technologies Co.,Ltd.     Solis-25K-US [480V],N,98,N'</v>
      </c>
    </row>
    <row r="1963" spans="1:1">
      <c r="A1963" s="2" t="str">
        <f>CONCATENATE("'",'Inverter-Full Data'!A319,"     ",'Inverter-Full Data'!B319,",",'Inverter-Full Data'!S319,",",'Inverter-Full Data'!J319,",",'Inverter-Full Data'!T319,"'")</f>
        <v>'Ningbo Ginlong Technologies Co.,Ltd.     Solis-30K-US [480V],N,98,N'</v>
      </c>
    </row>
    <row r="1964" spans="1:1">
      <c r="A1964" s="2" t="str">
        <f>CONCATENATE("'",'Inverter-Full Data'!A320,"     ",'Inverter-Full Data'!B320,",",'Inverter-Full Data'!S320,",",'Inverter-Full Data'!J320,",",'Inverter-Full Data'!T320,"'")</f>
        <v>'Ningbo Ginlong Technologies Co.,Ltd.     Solis-36K-US [480V],N,98,N'</v>
      </c>
    </row>
    <row r="1965" spans="1:1">
      <c r="A1965" s="2" t="e">
        <f>CONCATENATE("'",'Inverter-Full Data'!#REF!,"     ",'Inverter-Full Data'!#REF!,",",'Inverter-Full Data'!#REF!,",",'Inverter-Full Data'!#REF!,",",'Inverter-Full Data'!#REF!,"'")</f>
        <v>#REF!</v>
      </c>
    </row>
    <row r="1966" spans="1:1">
      <c r="A1966" s="2" t="str">
        <f>CONCATENATE("'",'Inverter-Full Data'!A321,"     ",'Inverter-Full Data'!B321,",",'Inverter-Full Data'!S321,",",'Inverter-Full Data'!J321,",",'Inverter-Full Data'!T321,"'")</f>
        <v>'Ningbo Ginlong Technologies Co.,Ltd.     Solis-40K-US [480V],N,98.5,N'</v>
      </c>
    </row>
    <row r="1967" spans="1:1">
      <c r="A1967" s="2" t="e">
        <f>CONCATENATE("'",'Inverter-Full Data'!#REF!,"     ",'Inverter-Full Data'!#REF!,",",'Inverter-Full Data'!#REF!,",",'Inverter-Full Data'!#REF!,",",'Inverter-Full Data'!#REF!,"'")</f>
        <v>#REF!</v>
      </c>
    </row>
    <row r="1968" spans="1:1">
      <c r="A1968" s="2" t="str">
        <f>CONCATENATE("'",'Inverter-Full Data'!A322,"     ",'Inverter-Full Data'!B322,",",'Inverter-Full Data'!S322,",",'Inverter-Full Data'!J322,",",'Inverter-Full Data'!T322,"'")</f>
        <v>'Ningbo Ginlong Technologies Co.,Ltd.     Solis-40K-US-F [480V],N,98.5,N'</v>
      </c>
    </row>
    <row r="1969" spans="1:1">
      <c r="A1969" s="2" t="e">
        <f>CONCATENATE("'",'Inverter-Full Data'!#REF!,"     ",'Inverter-Full Data'!#REF!,",",'Inverter-Full Data'!#REF!,",",'Inverter-Full Data'!#REF!,",",'Inverter-Full Data'!#REF!,"'")</f>
        <v>#REF!</v>
      </c>
    </row>
    <row r="1970" spans="1:1">
      <c r="A1970" s="2" t="str">
        <f>CONCATENATE("'",'Inverter-Full Data'!A323,"     ",'Inverter-Full Data'!B323,",",'Inverter-Full Data'!S323,",",'Inverter-Full Data'!J323,",",'Inverter-Full Data'!T323,"'")</f>
        <v>'Ningbo Ginlong Technologies Co.,Ltd.     Solis-50K-US-F [480V],N,98.5,N'</v>
      </c>
    </row>
    <row r="1971" spans="1:1">
      <c r="A1971" s="2" t="str">
        <f>CONCATENATE("'",'Inverter-Full Data'!A324,"     ",'Inverter-Full Data'!B324,",",'Inverter-Full Data'!S324,",",'Inverter-Full Data'!J324,",",'Inverter-Full Data'!T324,"'")</f>
        <v>'Ningbo Ginlong Technologies Co.,Ltd.     Solis-50K-US-F-SW [480V],N,98.5,N'</v>
      </c>
    </row>
    <row r="1972" spans="1:1">
      <c r="A1972" s="2" t="str">
        <f>CONCATENATE("'",'Inverter-Full Data'!A325,"     ",'Inverter-Full Data'!B325,",",'Inverter-Full Data'!S325,",",'Inverter-Full Data'!J325,",",'Inverter-Full Data'!T325,"'")</f>
        <v>'Ningbo Ginlong Technologies Co.,Ltd.     Solis-50K-US-SW [480V],N,98.5,N'</v>
      </c>
    </row>
    <row r="1973" spans="1:1">
      <c r="A1973" s="2" t="str">
        <f>CONCATENATE("'",'Inverter-Full Data'!A326,"     ",'Inverter-Full Data'!B326,",",'Inverter-Full Data'!S326,",",'Inverter-Full Data'!J326,",",'Inverter-Full Data'!T326,"'")</f>
        <v>'Ningbo Ginlong Technologies Co.,Ltd.     Solis-50K-US [480V],N,98.5,N'</v>
      </c>
    </row>
    <row r="1974" spans="1:1">
      <c r="A1974" s="2" t="str">
        <f>CONCATENATE("'",'Inverter-Full Data'!A327,"     ",'Inverter-Full Data'!B327,",",'Inverter-Full Data'!S327,",",'Inverter-Full Data'!J327,",",'Inverter-Full Data'!T327,"'")</f>
        <v>'Ningbo Ginlong Technologies Co.,Ltd.     Solis-60K-US-F [480V],N,98.5,N'</v>
      </c>
    </row>
    <row r="1975" spans="1:1">
      <c r="A1975" s="2" t="e">
        <f>CONCATENATE("'",'Inverter-Full Data'!#REF!,"     ",'Inverter-Full Data'!#REF!,",",'Inverter-Full Data'!#REF!,",",'Inverter-Full Data'!#REF!,",",'Inverter-Full Data'!#REF!,"'")</f>
        <v>#REF!</v>
      </c>
    </row>
    <row r="1976" spans="1:1">
      <c r="A1976" s="2" t="str">
        <f>CONCATENATE("'",'Inverter-Full Data'!A328,"     ",'Inverter-Full Data'!B328,",",'Inverter-Full Data'!S328,",",'Inverter-Full Data'!J328,",",'Inverter-Full Data'!T328,"'")</f>
        <v>'Ningbo Ginlong Technologies Co.,Ltd.     Solis-60K-US-F-SW [480V],N,98.5,N'</v>
      </c>
    </row>
    <row r="1977" spans="1:1">
      <c r="A1977" s="2" t="str">
        <f>CONCATENATE("'",'Inverter-Full Data'!A329,"     ",'Inverter-Full Data'!B329,",",'Inverter-Full Data'!S329,",",'Inverter-Full Data'!J329,",",'Inverter-Full Data'!T329,"'")</f>
        <v>'Ningbo Ginlong Technologies Co.,Ltd.     Solis-66K-US-F [480V],N,98.5,N'</v>
      </c>
    </row>
    <row r="1978" spans="1:1">
      <c r="A1978" s="2" t="str">
        <f>CONCATENATE("'",'Inverter-Full Data'!A330,"     ",'Inverter-Full Data'!B330,",",'Inverter-Full Data'!S330,",",'Inverter-Full Data'!J330,",",'Inverter-Full Data'!T330,"'")</f>
        <v>'Ningbo Ginlong Technologies Co.,Ltd.     Solis-66K-US-F-SW [480V],N,98.5,N'</v>
      </c>
    </row>
    <row r="1979" spans="1:1">
      <c r="A1979" s="2" t="e">
        <f>CONCATENATE("'",'Inverter-Full Data'!#REF!,"     ",'Inverter-Full Data'!#REF!,",",'Inverter-Full Data'!#REF!,",",'Inverter-Full Data'!#REF!,",",'Inverter-Full Data'!#REF!,"'")</f>
        <v>#REF!</v>
      </c>
    </row>
    <row r="1980" spans="1:1">
      <c r="A1980" s="2" t="e">
        <f>CONCATENATE("'",'Inverter-Full Data'!#REF!,"     ",'Inverter-Full Data'!#REF!,",",'Inverter-Full Data'!#REF!,",",'Inverter-Full Data'!#REF!,",",'Inverter-Full Data'!#REF!,"'")</f>
        <v>#REF!</v>
      </c>
    </row>
    <row r="1981" spans="1:1">
      <c r="A1981" s="2" t="e">
        <f>CONCATENATE("'",'Inverter-Full Data'!#REF!,"     ",'Inverter-Full Data'!#REF!,",",'Inverter-Full Data'!#REF!,",",'Inverter-Full Data'!#REF!,",",'Inverter-Full Data'!#REF!,"'")</f>
        <v>#REF!</v>
      </c>
    </row>
    <row r="1982" spans="1:1">
      <c r="A1982" s="2" t="e">
        <f>CONCATENATE("'",'Inverter-Full Data'!#REF!,"     ",'Inverter-Full Data'!#REF!,",",'Inverter-Full Data'!#REF!,",",'Inverter-Full Data'!#REF!,",",'Inverter-Full Data'!#REF!,"'")</f>
        <v>#REF!</v>
      </c>
    </row>
    <row r="1983" spans="1:1">
      <c r="A1983" s="2" t="e">
        <f>CONCATENATE("'",'Inverter-Full Data'!#REF!,"     ",'Inverter-Full Data'!#REF!,",",'Inverter-Full Data'!#REF!,",",'Inverter-Full Data'!#REF!,",",'Inverter-Full Data'!#REF!,"'")</f>
        <v>#REF!</v>
      </c>
    </row>
    <row r="1984" spans="1:1">
      <c r="A1984" s="2" t="e">
        <f>CONCATENATE("'",'Inverter-Full Data'!#REF!,"     ",'Inverter-Full Data'!#REF!,",",'Inverter-Full Data'!#REF!,",",'Inverter-Full Data'!#REF!,",",'Inverter-Full Data'!#REF!,"'")</f>
        <v>#REF!</v>
      </c>
    </row>
    <row r="1985" spans="1:1">
      <c r="A1985" s="2" t="e">
        <f>CONCATENATE("'",'Inverter-Full Data'!#REF!,"     ",'Inverter-Full Data'!#REF!,",",'Inverter-Full Data'!#REF!,",",'Inverter-Full Data'!#REF!,",",'Inverter-Full Data'!#REF!,"'")</f>
        <v>#REF!</v>
      </c>
    </row>
    <row r="1986" spans="1:1">
      <c r="A1986" s="2" t="str">
        <f>CONCATENATE("'",'Inverter-Full Data'!A331,"     ",'Inverter-Full Data'!B331,",",'Inverter-Full Data'!S331,",",'Inverter-Full Data'!J331,",",'Inverter-Full Data'!T331,"'")</f>
        <v>'ONE SUN, MEXICO S.A. DE C.V.     1S480-10k [480V],N,97.5,N'</v>
      </c>
    </row>
    <row r="1987" spans="1:1">
      <c r="A1987" s="2" t="e">
        <f>CONCATENATE("'",'Inverter-Full Data'!#REF!,"     ",'Inverter-Full Data'!#REF!,",",'Inverter-Full Data'!#REF!,",",'Inverter-Full Data'!#REF!,",",'Inverter-Full Data'!#REF!,"'")</f>
        <v>#REF!</v>
      </c>
    </row>
    <row r="1988" spans="1:1">
      <c r="A1988" s="2" t="e">
        <f>CONCATENATE("'",'Inverter-Full Data'!#REF!,"     ",'Inverter-Full Data'!#REF!,",",'Inverter-Full Data'!#REF!,",",'Inverter-Full Data'!#REF!,",",'Inverter-Full Data'!#REF!,"'")</f>
        <v>#REF!</v>
      </c>
    </row>
    <row r="1989" spans="1:1">
      <c r="A1989" s="2" t="e">
        <f>CONCATENATE("'",'Inverter-Full Data'!#REF!,"     ",'Inverter-Full Data'!#REF!,",",'Inverter-Full Data'!#REF!,",",'Inverter-Full Data'!#REF!,",",'Inverter-Full Data'!#REF!,"'")</f>
        <v>#REF!</v>
      </c>
    </row>
    <row r="1990" spans="1:1">
      <c r="A1990" s="2" t="e">
        <f>CONCATENATE("'",'Inverter-Full Data'!#REF!,"     ",'Inverter-Full Data'!#REF!,",",'Inverter-Full Data'!#REF!,",",'Inverter-Full Data'!#REF!,",",'Inverter-Full Data'!#REF!,"'")</f>
        <v>#REF!</v>
      </c>
    </row>
    <row r="1991" spans="1:1">
      <c r="A1991" s="2" t="e">
        <f>CONCATENATE("'",'Inverter-Full Data'!#REF!,"     ",'Inverter-Full Data'!#REF!,",",'Inverter-Full Data'!#REF!,",",'Inverter-Full Data'!#REF!,",",'Inverter-Full Data'!#REF!,"'")</f>
        <v>#REF!</v>
      </c>
    </row>
    <row r="1992" spans="1:1">
      <c r="A1992" s="2" t="e">
        <f>CONCATENATE("'",'Inverter-Full Data'!#REF!,"     ",'Inverter-Full Data'!#REF!,",",'Inverter-Full Data'!#REF!,",",'Inverter-Full Data'!#REF!,",",'Inverter-Full Data'!#REF!,"'")</f>
        <v>#REF!</v>
      </c>
    </row>
    <row r="1993" spans="1:1">
      <c r="A1993" s="2" t="e">
        <f>CONCATENATE("'",'Inverter-Full Data'!#REF!,"     ",'Inverter-Full Data'!#REF!,",",'Inverter-Full Data'!#REF!,",",'Inverter-Full Data'!#REF!,",",'Inverter-Full Data'!#REF!,"'")</f>
        <v>#REF!</v>
      </c>
    </row>
    <row r="1994" spans="1:1">
      <c r="A1994" s="2" t="e">
        <f>CONCATENATE("'",'Inverter-Full Data'!#REF!,"     ",'Inverter-Full Data'!#REF!,",",'Inverter-Full Data'!#REF!,",",'Inverter-Full Data'!#REF!,",",'Inverter-Full Data'!#REF!,"'")</f>
        <v>#REF!</v>
      </c>
    </row>
    <row r="1995" spans="1:1">
      <c r="A1995" s="2" t="e">
        <f>CONCATENATE("'",'Inverter-Full Data'!#REF!,"     ",'Inverter-Full Data'!#REF!,",",'Inverter-Full Data'!#REF!,",",'Inverter-Full Data'!#REF!,",",'Inverter-Full Data'!#REF!,"'")</f>
        <v>#REF!</v>
      </c>
    </row>
    <row r="1996" spans="1:1">
      <c r="A1996" s="2" t="e">
        <f>CONCATENATE("'",'Inverter-Full Data'!#REF!,"     ",'Inverter-Full Data'!#REF!,",",'Inverter-Full Data'!#REF!,",",'Inverter-Full Data'!#REF!,",",'Inverter-Full Data'!#REF!,"'")</f>
        <v>#REF!</v>
      </c>
    </row>
    <row r="1997" spans="1:1">
      <c r="A1997" s="2" t="e">
        <f>CONCATENATE("'",'Inverter-Full Data'!#REF!,"     ",'Inverter-Full Data'!#REF!,",",'Inverter-Full Data'!#REF!,",",'Inverter-Full Data'!#REF!,",",'Inverter-Full Data'!#REF!,"'")</f>
        <v>#REF!</v>
      </c>
    </row>
    <row r="1998" spans="1:1">
      <c r="A1998" s="2" t="e">
        <f>CONCATENATE("'",'Inverter-Full Data'!#REF!,"     ",'Inverter-Full Data'!#REF!,",",'Inverter-Full Data'!#REF!,",",'Inverter-Full Data'!#REF!,",",'Inverter-Full Data'!#REF!,"'")</f>
        <v>#REF!</v>
      </c>
    </row>
    <row r="1999" spans="1:1">
      <c r="A1999" s="2" t="e">
        <f>CONCATENATE("'",'Inverter-Full Data'!#REF!,"     ",'Inverter-Full Data'!#REF!,",",'Inverter-Full Data'!#REF!,",",'Inverter-Full Data'!#REF!,",",'Inverter-Full Data'!#REF!,"'")</f>
        <v>#REF!</v>
      </c>
    </row>
    <row r="2000" spans="1:1">
      <c r="A2000" s="2" t="e">
        <f>CONCATENATE("'",'Inverter-Full Data'!#REF!,"     ",'Inverter-Full Data'!#REF!,",",'Inverter-Full Data'!#REF!,",",'Inverter-Full Data'!#REF!,",",'Inverter-Full Data'!#REF!,"'")</f>
        <v>#REF!</v>
      </c>
    </row>
    <row r="2001" spans="1:1">
      <c r="A2001" s="2" t="e">
        <f>CONCATENATE("'",'Inverter-Full Data'!#REF!,"     ",'Inverter-Full Data'!#REF!,",",'Inverter-Full Data'!#REF!,",",'Inverter-Full Data'!#REF!,",",'Inverter-Full Data'!#REF!,"'")</f>
        <v>#REF!</v>
      </c>
    </row>
    <row r="2002" spans="1:1">
      <c r="A2002" s="2" t="e">
        <f>CONCATENATE("'",'Inverter-Full Data'!#REF!,"     ",'Inverter-Full Data'!#REF!,",",'Inverter-Full Data'!#REF!,",",'Inverter-Full Data'!#REF!,",",'Inverter-Full Data'!#REF!,"'")</f>
        <v>#REF!</v>
      </c>
    </row>
    <row r="2003" spans="1:1">
      <c r="A2003" s="2" t="e">
        <f>CONCATENATE("'",'Inverter-Full Data'!#REF!,"     ",'Inverter-Full Data'!#REF!,",",'Inverter-Full Data'!#REF!,",",'Inverter-Full Data'!#REF!,",",'Inverter-Full Data'!#REF!,"'")</f>
        <v>#REF!</v>
      </c>
    </row>
    <row r="2004" spans="1:1">
      <c r="A2004" s="2" t="e">
        <f>CONCATENATE("'",'Inverter-Full Data'!#REF!,"     ",'Inverter-Full Data'!#REF!,",",'Inverter-Full Data'!#REF!,",",'Inverter-Full Data'!#REF!,",",'Inverter-Full Data'!#REF!,"'")</f>
        <v>#REF!</v>
      </c>
    </row>
    <row r="2005" spans="1:1">
      <c r="A2005" s="2" t="e">
        <f>CONCATENATE("'",'Inverter-Full Data'!#REF!,"     ",'Inverter-Full Data'!#REF!,",",'Inverter-Full Data'!#REF!,",",'Inverter-Full Data'!#REF!,",",'Inverter-Full Data'!#REF!,"'")</f>
        <v>#REF!</v>
      </c>
    </row>
    <row r="2006" spans="1:1">
      <c r="A2006" s="2" t="str">
        <f>CONCATENATE("'",'Inverter-Full Data'!A332,"     ",'Inverter-Full Data'!B332,",",'Inverter-Full Data'!S332,",",'Inverter-Full Data'!J332,",",'Inverter-Full Data'!T332,"'")</f>
        <v>'OutBack Power Technologies, Inc.     FXR3048A [120V],Y,91,N'</v>
      </c>
    </row>
    <row r="2007" spans="1:1">
      <c r="A2007" s="2" t="e">
        <f>CONCATENATE("'",'Inverter-Full Data'!#REF!,"     ",'Inverter-Full Data'!#REF!,",",'Inverter-Full Data'!#REF!,",",'Inverter-Full Data'!#REF!,",",'Inverter-Full Data'!#REF!,"'")</f>
        <v>#REF!</v>
      </c>
    </row>
    <row r="2008" spans="1:1">
      <c r="A2008" s="2" t="e">
        <f>CONCATENATE("'",'Inverter-Full Data'!#REF!,"     ",'Inverter-Full Data'!#REF!,",",'Inverter-Full Data'!#REF!,",",'Inverter-Full Data'!#REF!,",",'Inverter-Full Data'!#REF!,"'")</f>
        <v>#REF!</v>
      </c>
    </row>
    <row r="2009" spans="1:1">
      <c r="A2009" s="2" t="e">
        <f>CONCATENATE("'",'Inverter-Full Data'!#REF!,"     ",'Inverter-Full Data'!#REF!,",",'Inverter-Full Data'!#REF!,",",'Inverter-Full Data'!#REF!,",",'Inverter-Full Data'!#REF!,"'")</f>
        <v>#REF!</v>
      </c>
    </row>
    <row r="2010" spans="1:1">
      <c r="A2010" s="2" t="str">
        <f>CONCATENATE("'",'Inverter-Full Data'!A333,"     ",'Inverter-Full Data'!B333,",",'Inverter-Full Data'!S333,",",'Inverter-Full Data'!J333,",",'Inverter-Full Data'!T333,"'")</f>
        <v>'OutBack Power Technologies, Inc.     VFXR3524A [120V],Y,90.5,N'</v>
      </c>
    </row>
    <row r="2011" spans="1:1">
      <c r="A2011" s="2" t="e">
        <f>CONCATENATE("'",'Inverter-Full Data'!#REF!,"     ",'Inverter-Full Data'!#REF!,",",'Inverter-Full Data'!#REF!,",",'Inverter-Full Data'!#REF!,",",'Inverter-Full Data'!#REF!,"'")</f>
        <v>#REF!</v>
      </c>
    </row>
    <row r="2012" spans="1:1">
      <c r="A2012" s="2" t="e">
        <f>CONCATENATE("'",'Inverter-Full Data'!#REF!,"     ",'Inverter-Full Data'!#REF!,",",'Inverter-Full Data'!#REF!,",",'Inverter-Full Data'!#REF!,",",'Inverter-Full Data'!#REF!,"'")</f>
        <v>#REF!</v>
      </c>
    </row>
    <row r="2013" spans="1:1">
      <c r="A2013" s="2" t="str">
        <f>CONCATENATE("'",'Inverter-Full Data'!A334,"     ",'Inverter-Full Data'!B334,",",'Inverter-Full Data'!S334,",",'Inverter-Full Data'!J334,",",'Inverter-Full Data'!T334,"'")</f>
        <v>'OutBack Power Technologies, Inc.     VFXR3648A [120V],Y,91,N'</v>
      </c>
    </row>
    <row r="2014" spans="1:1">
      <c r="A2014" s="2" t="e">
        <f>CONCATENATE("'",'Inverter-Full Data'!#REF!,"     ",'Inverter-Full Data'!#REF!,",",'Inverter-Full Data'!#REF!,",",'Inverter-Full Data'!#REF!,",",'Inverter-Full Data'!#REF!,"'")</f>
        <v>#REF!</v>
      </c>
    </row>
    <row r="2015" spans="1:1">
      <c r="A2015" s="2" t="e">
        <f>CONCATENATE("'",'Inverter-Full Data'!#REF!,"     ",'Inverter-Full Data'!#REF!,",",'Inverter-Full Data'!#REF!,",",'Inverter-Full Data'!#REF!,",",'Inverter-Full Data'!#REF!,"'")</f>
        <v>#REF!</v>
      </c>
    </row>
    <row r="2016" spans="1:1">
      <c r="A2016" s="2" t="e">
        <f>CONCATENATE("'",'Inverter-Full Data'!#REF!,"     ",'Inverter-Full Data'!#REF!,",",'Inverter-Full Data'!#REF!,",",'Inverter-Full Data'!#REF!,",",'Inverter-Full Data'!#REF!,"'")</f>
        <v>#REF!</v>
      </c>
    </row>
    <row r="2017" spans="1:1">
      <c r="A2017" s="2" t="str">
        <f>CONCATENATE("'",'Inverter-Full Data'!A335,"     ",'Inverter-Full Data'!B335,",",'Inverter-Full Data'!S335,",",'Inverter-Full Data'!J335,",",'Inverter-Full Data'!T335,"'")</f>
        <v>'OutBack Power Technologies, Inc.     GS4048A [240V],Y,92.5,N'</v>
      </c>
    </row>
    <row r="2018" spans="1:1">
      <c r="A2018" s="2" t="e">
        <f>CONCATENATE("'",'Inverter-Full Data'!#REF!,"     ",'Inverter-Full Data'!#REF!,",",'Inverter-Full Data'!#REF!,",",'Inverter-Full Data'!#REF!,",",'Inverter-Full Data'!#REF!,"'")</f>
        <v>#REF!</v>
      </c>
    </row>
    <row r="2019" spans="1:1">
      <c r="A2019" s="2" t="str">
        <f>CONCATENATE("'",'Inverter-Full Data'!A336,"     ",'Inverter-Full Data'!B336,",",'Inverter-Full Data'!S336,",",'Inverter-Full Data'!J336,",",'Inverter-Full Data'!T336,"'")</f>
        <v>'OutBack Power Technologies, Inc.     SBX5048-120/240 [240V],Y,94,N'</v>
      </c>
    </row>
    <row r="2020" spans="1:1">
      <c r="A2020" s="2" t="e">
        <f>CONCATENATE("'",'Inverter-Full Data'!#REF!,"     ",'Inverter-Full Data'!#REF!,",",'Inverter-Full Data'!#REF!,",",'Inverter-Full Data'!#REF!,",",'Inverter-Full Data'!#REF!,"'")</f>
        <v>#REF!</v>
      </c>
    </row>
    <row r="2021" spans="1:1">
      <c r="A2021" s="2" t="e">
        <f>CONCATENATE("'",'Inverter-Full Data'!#REF!,"     ",'Inverter-Full Data'!#REF!,",",'Inverter-Full Data'!#REF!,",",'Inverter-Full Data'!#REF!,",",'Inverter-Full Data'!#REF!,"'")</f>
        <v>#REF!</v>
      </c>
    </row>
    <row r="2022" spans="1:1">
      <c r="A2022" s="2" t="str">
        <f>CONCATENATE("'",'Inverter-Full Data'!A337,"     ",'Inverter-Full Data'!B337,",",'Inverter-Full Data'!S337,",",'Inverter-Full Data'!J337,",",'Inverter-Full Data'!T337,"'")</f>
        <v>'OutBack Power Technologies, Inc.     GS8048A [240V],Y,92.5,N'</v>
      </c>
    </row>
    <row r="2023" spans="1:1">
      <c r="A2023" s="2" t="e">
        <f>CONCATENATE("'",'Inverter-Full Data'!#REF!,"     ",'Inverter-Full Data'!#REF!,",",'Inverter-Full Data'!#REF!,",",'Inverter-Full Data'!#REF!,",",'Inverter-Full Data'!#REF!,"'")</f>
        <v>#REF!</v>
      </c>
    </row>
    <row r="2024" spans="1:1">
      <c r="A2024" s="2" t="e">
        <f>CONCATENATE("'",'Inverter-Full Data'!#REF!,"     ",'Inverter-Full Data'!#REF!,",",'Inverter-Full Data'!#REF!,",",'Inverter-Full Data'!#REF!,",",'Inverter-Full Data'!#REF!,"'")</f>
        <v>#REF!</v>
      </c>
    </row>
    <row r="2025" spans="1:1">
      <c r="A2025" s="2" t="e">
        <f>CONCATENATE("'",'Inverter-Full Data'!#REF!,"     ",'Inverter-Full Data'!#REF!,",",'Inverter-Full Data'!#REF!,",",'Inverter-Full Data'!#REF!,",",'Inverter-Full Data'!#REF!,"'")</f>
        <v>#REF!</v>
      </c>
    </row>
    <row r="2026" spans="1:1">
      <c r="A2026" s="2" t="e">
        <f>CONCATENATE("'",'Inverter-Full Data'!#REF!,"     ",'Inverter-Full Data'!#REF!,",",'Inverter-Full Data'!#REF!,",",'Inverter-Full Data'!#REF!,",",'Inverter-Full Data'!#REF!,"'")</f>
        <v>#REF!</v>
      </c>
    </row>
    <row r="2027" spans="1:1">
      <c r="A2027" s="2" t="e">
        <f>CONCATENATE("'",'Inverter-Full Data'!#REF!,"     ",'Inverter-Full Data'!#REF!,",",'Inverter-Full Data'!#REF!,",",'Inverter-Full Data'!#REF!,",",'Inverter-Full Data'!#REF!,"'")</f>
        <v>#REF!</v>
      </c>
    </row>
    <row r="2028" spans="1:1">
      <c r="A2028" s="2" t="e">
        <f>CONCATENATE("'",'Inverter-Full Data'!#REF!,"     ",'Inverter-Full Data'!#REF!,",",'Inverter-Full Data'!#REF!,",",'Inverter-Full Data'!#REF!,",",'Inverter-Full Data'!#REF!,"'")</f>
        <v>#REF!</v>
      </c>
    </row>
    <row r="2029" spans="1:1">
      <c r="A2029" s="2" t="e">
        <f>CONCATENATE("'",'Inverter-Full Data'!#REF!,"     ",'Inverter-Full Data'!#REF!,",",'Inverter-Full Data'!#REF!,",",'Inverter-Full Data'!#REF!,",",'Inverter-Full Data'!#REF!,"'")</f>
        <v>#REF!</v>
      </c>
    </row>
    <row r="2030" spans="1:1">
      <c r="A2030" s="2" t="e">
        <f>CONCATENATE("'",'Inverter-Full Data'!#REF!,"     ",'Inverter-Full Data'!#REF!,",",'Inverter-Full Data'!#REF!,",",'Inverter-Full Data'!#REF!,",",'Inverter-Full Data'!#REF!,"'")</f>
        <v>#REF!</v>
      </c>
    </row>
    <row r="2031" spans="1:1">
      <c r="A2031" s="2" t="e">
        <f>CONCATENATE("'",'Inverter-Full Data'!#REF!,"     ",'Inverter-Full Data'!#REF!,",",'Inverter-Full Data'!#REF!,",",'Inverter-Full Data'!#REF!,",",'Inverter-Full Data'!#REF!,"'")</f>
        <v>#REF!</v>
      </c>
    </row>
    <row r="2032" spans="1:1">
      <c r="A2032" s="2" t="e">
        <f>CONCATENATE("'",'Inverter-Full Data'!#REF!,"     ",'Inverter-Full Data'!#REF!,",",'Inverter-Full Data'!#REF!,",",'Inverter-Full Data'!#REF!,",",'Inverter-Full Data'!#REF!,"'")</f>
        <v>#REF!</v>
      </c>
    </row>
    <row r="2033" spans="1:1">
      <c r="A2033" s="2" t="e">
        <f>CONCATENATE("'",'Inverter-Full Data'!#REF!,"     ",'Inverter-Full Data'!#REF!,",",'Inverter-Full Data'!#REF!,",",'Inverter-Full Data'!#REF!,",",'Inverter-Full Data'!#REF!,"'")</f>
        <v>#REF!</v>
      </c>
    </row>
    <row r="2034" spans="1:1">
      <c r="A2034" s="2" t="e">
        <f>CONCATENATE("'",'Inverter-Full Data'!#REF!,"     ",'Inverter-Full Data'!#REF!,",",'Inverter-Full Data'!#REF!,",",'Inverter-Full Data'!#REF!,",",'Inverter-Full Data'!#REF!,"'")</f>
        <v>#REF!</v>
      </c>
    </row>
    <row r="2035" spans="1:1">
      <c r="A2035" s="2" t="e">
        <f>CONCATENATE("'",'Inverter-Full Data'!#REF!,"     ",'Inverter-Full Data'!#REF!,",",'Inverter-Full Data'!#REF!,",",'Inverter-Full Data'!#REF!,",",'Inverter-Full Data'!#REF!,"'")</f>
        <v>#REF!</v>
      </c>
    </row>
    <row r="2036" spans="1:1">
      <c r="A2036" s="2" t="e">
        <f>CONCATENATE("'",'Inverter-Full Data'!#REF!,"     ",'Inverter-Full Data'!#REF!,",",'Inverter-Full Data'!#REF!,",",'Inverter-Full Data'!#REF!,",",'Inverter-Full Data'!#REF!,"'")</f>
        <v>#REF!</v>
      </c>
    </row>
    <row r="2037" spans="1:1">
      <c r="A2037" s="2" t="e">
        <f>CONCATENATE("'",'Inverter-Full Data'!#REF!,"     ",'Inverter-Full Data'!#REF!,",",'Inverter-Full Data'!#REF!,",",'Inverter-Full Data'!#REF!,",",'Inverter-Full Data'!#REF!,"'")</f>
        <v>#REF!</v>
      </c>
    </row>
    <row r="2038" spans="1:1">
      <c r="A2038" s="2" t="e">
        <f>CONCATENATE("'",'Inverter-Full Data'!#REF!,"     ",'Inverter-Full Data'!#REF!,",",'Inverter-Full Data'!#REF!,",",'Inverter-Full Data'!#REF!,",",'Inverter-Full Data'!#REF!,"'")</f>
        <v>#REF!</v>
      </c>
    </row>
    <row r="2039" spans="1:1">
      <c r="A2039" s="2" t="e">
        <f>CONCATENATE("'",'Inverter-Full Data'!#REF!,"     ",'Inverter-Full Data'!#REF!,",",'Inverter-Full Data'!#REF!,",",'Inverter-Full Data'!#REF!,",",'Inverter-Full Data'!#REF!,"'")</f>
        <v>#REF!</v>
      </c>
    </row>
    <row r="2040" spans="1:1">
      <c r="A2040" s="2" t="e">
        <f>CONCATENATE("'",'Inverter-Full Data'!#REF!,"     ",'Inverter-Full Data'!#REF!,",",'Inverter-Full Data'!#REF!,",",'Inverter-Full Data'!#REF!,",",'Inverter-Full Data'!#REF!,"'")</f>
        <v>#REF!</v>
      </c>
    </row>
    <row r="2041" spans="1:1">
      <c r="A2041" s="2" t="e">
        <f>CONCATENATE("'",'Inverter-Full Data'!#REF!,"     ",'Inverter-Full Data'!#REF!,",",'Inverter-Full Data'!#REF!,",",'Inverter-Full Data'!#REF!,",",'Inverter-Full Data'!#REF!,"'")</f>
        <v>#REF!</v>
      </c>
    </row>
    <row r="2042" spans="1:1">
      <c r="A2042" s="2" t="e">
        <f>CONCATENATE("'",'Inverter-Full Data'!#REF!,"     ",'Inverter-Full Data'!#REF!,",",'Inverter-Full Data'!#REF!,",",'Inverter-Full Data'!#REF!,",",'Inverter-Full Data'!#REF!,"'")</f>
        <v>#REF!</v>
      </c>
    </row>
    <row r="2043" spans="1:1">
      <c r="A2043" s="2" t="e">
        <f>CONCATENATE("'",'Inverter-Full Data'!#REF!,"     ",'Inverter-Full Data'!#REF!,",",'Inverter-Full Data'!#REF!,",",'Inverter-Full Data'!#REF!,",",'Inverter-Full Data'!#REF!,"'")</f>
        <v>#REF!</v>
      </c>
    </row>
    <row r="2044" spans="1:1">
      <c r="A2044" s="2" t="e">
        <f>CONCATENATE("'",'Inverter-Full Data'!#REF!,"     ",'Inverter-Full Data'!#REF!,",",'Inverter-Full Data'!#REF!,",",'Inverter-Full Data'!#REF!,",",'Inverter-Full Data'!#REF!,"'")</f>
        <v>#REF!</v>
      </c>
    </row>
    <row r="2045" spans="1:1">
      <c r="A2045" s="2" t="e">
        <f>CONCATENATE("'",'Inverter-Full Data'!#REF!,"     ",'Inverter-Full Data'!#REF!,",",'Inverter-Full Data'!#REF!,",",'Inverter-Full Data'!#REF!,",",'Inverter-Full Data'!#REF!,"'")</f>
        <v>#REF!</v>
      </c>
    </row>
    <row r="2046" spans="1:1">
      <c r="A2046" s="2" t="e">
        <f>CONCATENATE("'",'Inverter-Full Data'!#REF!,"     ",'Inverter-Full Data'!#REF!,",",'Inverter-Full Data'!#REF!,",",'Inverter-Full Data'!#REF!,",",'Inverter-Full Data'!#REF!,"'")</f>
        <v>#REF!</v>
      </c>
    </row>
    <row r="2047" spans="1:1">
      <c r="A2047" s="2" t="e">
        <f>CONCATENATE("'",'Inverter-Full Data'!#REF!,"     ",'Inverter-Full Data'!#REF!,",",'Inverter-Full Data'!#REF!,",",'Inverter-Full Data'!#REF!,",",'Inverter-Full Data'!#REF!,"'")</f>
        <v>#REF!</v>
      </c>
    </row>
    <row r="2048" spans="1:1">
      <c r="A2048" s="2" t="e">
        <f>CONCATENATE("'",'Inverter-Full Data'!#REF!,"     ",'Inverter-Full Data'!#REF!,",",'Inverter-Full Data'!#REF!,",",'Inverter-Full Data'!#REF!,",",'Inverter-Full Data'!#REF!,"'")</f>
        <v>#REF!</v>
      </c>
    </row>
    <row r="2049" spans="1:1">
      <c r="A2049" s="2" t="e">
        <f>CONCATENATE("'",'Inverter-Full Data'!#REF!,"     ",'Inverter-Full Data'!#REF!,",",'Inverter-Full Data'!#REF!,",",'Inverter-Full Data'!#REF!,",",'Inverter-Full Data'!#REF!,"'")</f>
        <v>#REF!</v>
      </c>
    </row>
    <row r="2050" spans="1:1">
      <c r="A2050" s="2" t="e">
        <f>CONCATENATE("'",'Inverter-Full Data'!#REF!,"     ",'Inverter-Full Data'!#REF!,",",'Inverter-Full Data'!#REF!,",",'Inverter-Full Data'!#REF!,",",'Inverter-Full Data'!#REF!,"'")</f>
        <v>#REF!</v>
      </c>
    </row>
    <row r="2051" spans="1:1">
      <c r="A2051" s="2" t="e">
        <f>CONCATENATE("'",'Inverter-Full Data'!#REF!,"     ",'Inverter-Full Data'!#REF!,",",'Inverter-Full Data'!#REF!,",",'Inverter-Full Data'!#REF!,",",'Inverter-Full Data'!#REF!,"'")</f>
        <v>#REF!</v>
      </c>
    </row>
    <row r="2052" spans="1:1">
      <c r="A2052" s="2" t="e">
        <f>CONCATENATE("'",'Inverter-Full Data'!#REF!,"     ",'Inverter-Full Data'!#REF!,",",'Inverter-Full Data'!#REF!,",",'Inverter-Full Data'!#REF!,",",'Inverter-Full Data'!#REF!,"'")</f>
        <v>#REF!</v>
      </c>
    </row>
    <row r="2053" spans="1:1">
      <c r="A2053" s="2" t="e">
        <f>CONCATENATE("'",'Inverter-Full Data'!#REF!,"     ",'Inverter-Full Data'!#REF!,",",'Inverter-Full Data'!#REF!,",",'Inverter-Full Data'!#REF!,",",'Inverter-Full Data'!#REF!,"'")</f>
        <v>#REF!</v>
      </c>
    </row>
    <row r="2054" spans="1:1">
      <c r="A2054" s="2" t="e">
        <f>CONCATENATE("'",'Inverter-Full Data'!#REF!,"     ",'Inverter-Full Data'!#REF!,",",'Inverter-Full Data'!#REF!,",",'Inverter-Full Data'!#REF!,",",'Inverter-Full Data'!#REF!,"'")</f>
        <v>#REF!</v>
      </c>
    </row>
    <row r="2055" spans="1:1">
      <c r="A2055" s="2" t="e">
        <f>CONCATENATE("'",'Inverter-Full Data'!#REF!,"     ",'Inverter-Full Data'!#REF!,",",'Inverter-Full Data'!#REF!,",",'Inverter-Full Data'!#REF!,",",'Inverter-Full Data'!#REF!,"'")</f>
        <v>#REF!</v>
      </c>
    </row>
    <row r="2056" spans="1:1">
      <c r="A2056" s="2" t="e">
        <f>CONCATENATE("'",'Inverter-Full Data'!#REF!,"     ",'Inverter-Full Data'!#REF!,",",'Inverter-Full Data'!#REF!,",",'Inverter-Full Data'!#REF!,",",'Inverter-Full Data'!#REF!,"'")</f>
        <v>#REF!</v>
      </c>
    </row>
    <row r="2057" spans="1:1">
      <c r="A2057" s="2" t="e">
        <f>CONCATENATE("'",'Inverter-Full Data'!#REF!,"     ",'Inverter-Full Data'!#REF!,",",'Inverter-Full Data'!#REF!,",",'Inverter-Full Data'!#REF!,",",'Inverter-Full Data'!#REF!,"'")</f>
        <v>#REF!</v>
      </c>
    </row>
    <row r="2058" spans="1:1">
      <c r="A2058" s="2" t="e">
        <f>CONCATENATE("'",'Inverter-Full Data'!#REF!,"     ",'Inverter-Full Data'!#REF!,",",'Inverter-Full Data'!#REF!,",",'Inverter-Full Data'!#REF!,",",'Inverter-Full Data'!#REF!,"'")</f>
        <v>#REF!</v>
      </c>
    </row>
    <row r="2059" spans="1:1">
      <c r="A2059" s="2" t="e">
        <f>CONCATENATE("'",'Inverter-Full Data'!#REF!,"     ",'Inverter-Full Data'!#REF!,",",'Inverter-Full Data'!#REF!,",",'Inverter-Full Data'!#REF!,",",'Inverter-Full Data'!#REF!,"'")</f>
        <v>#REF!</v>
      </c>
    </row>
    <row r="2060" spans="1:1">
      <c r="A2060" s="2" t="e">
        <f>CONCATENATE("'",'Inverter-Full Data'!#REF!,"     ",'Inverter-Full Data'!#REF!,",",'Inverter-Full Data'!#REF!,",",'Inverter-Full Data'!#REF!,",",'Inverter-Full Data'!#REF!,"'")</f>
        <v>#REF!</v>
      </c>
    </row>
    <row r="2061" spans="1:1">
      <c r="A2061" s="2" t="e">
        <f>CONCATENATE("'",'Inverter-Full Data'!#REF!,"     ",'Inverter-Full Data'!#REF!,",",'Inverter-Full Data'!#REF!,",",'Inverter-Full Data'!#REF!,",",'Inverter-Full Data'!#REF!,"'")</f>
        <v>#REF!</v>
      </c>
    </row>
    <row r="2062" spans="1:1">
      <c r="A2062" s="2" t="e">
        <f>CONCATENATE("'",'Inverter-Full Data'!#REF!,"     ",'Inverter-Full Data'!#REF!,",",'Inverter-Full Data'!#REF!,",",'Inverter-Full Data'!#REF!,",",'Inverter-Full Data'!#REF!,"'")</f>
        <v>#REF!</v>
      </c>
    </row>
    <row r="2063" spans="1:1">
      <c r="A2063" s="2" t="e">
        <f>CONCATENATE("'",'Inverter-Full Data'!#REF!,"     ",'Inverter-Full Data'!#REF!,",",'Inverter-Full Data'!#REF!,",",'Inverter-Full Data'!#REF!,",",'Inverter-Full Data'!#REF!,"'")</f>
        <v>#REF!</v>
      </c>
    </row>
    <row r="2064" spans="1:1">
      <c r="A2064" s="2" t="e">
        <f>CONCATENATE("'",'Inverter-Full Data'!#REF!,"     ",'Inverter-Full Data'!#REF!,",",'Inverter-Full Data'!#REF!,",",'Inverter-Full Data'!#REF!,",",'Inverter-Full Data'!#REF!,"'")</f>
        <v>#REF!</v>
      </c>
    </row>
    <row r="2065" spans="1:1">
      <c r="A2065" s="2" t="e">
        <f>CONCATENATE("'",'Inverter-Full Data'!#REF!,"     ",'Inverter-Full Data'!#REF!,",",'Inverter-Full Data'!#REF!,",",'Inverter-Full Data'!#REF!,",",'Inverter-Full Data'!#REF!,"'")</f>
        <v>#REF!</v>
      </c>
    </row>
    <row r="2066" spans="1:1">
      <c r="A2066" s="2" t="e">
        <f>CONCATENATE("'",'Inverter-Full Data'!#REF!,"     ",'Inverter-Full Data'!#REF!,",",'Inverter-Full Data'!#REF!,",",'Inverter-Full Data'!#REF!,",",'Inverter-Full Data'!#REF!,"'")</f>
        <v>#REF!</v>
      </c>
    </row>
    <row r="2067" spans="1:1">
      <c r="A2067" s="2" t="e">
        <f>CONCATENATE("'",'Inverter-Full Data'!#REF!,"     ",'Inverter-Full Data'!#REF!,",",'Inverter-Full Data'!#REF!,",",'Inverter-Full Data'!#REF!,",",'Inverter-Full Data'!#REF!,"'")</f>
        <v>#REF!</v>
      </c>
    </row>
    <row r="2068" spans="1:1">
      <c r="A2068" s="2" t="e">
        <f>CONCATENATE("'",'Inverter-Full Data'!#REF!,"     ",'Inverter-Full Data'!#REF!,",",'Inverter-Full Data'!#REF!,",",'Inverter-Full Data'!#REF!,",",'Inverter-Full Data'!#REF!,"'")</f>
        <v>#REF!</v>
      </c>
    </row>
    <row r="2069" spans="1:1">
      <c r="A2069" s="2" t="e">
        <f>CONCATENATE("'",'Inverter-Full Data'!#REF!,"     ",'Inverter-Full Data'!#REF!,",",'Inverter-Full Data'!#REF!,",",'Inverter-Full Data'!#REF!,",",'Inverter-Full Data'!#REF!,"'")</f>
        <v>#REF!</v>
      </c>
    </row>
    <row r="2070" spans="1:1">
      <c r="A2070" s="2" t="e">
        <f>CONCATENATE("'",'Inverter-Full Data'!#REF!,"     ",'Inverter-Full Data'!#REF!,",",'Inverter-Full Data'!#REF!,",",'Inverter-Full Data'!#REF!,",",'Inverter-Full Data'!#REF!,"'")</f>
        <v>#REF!</v>
      </c>
    </row>
    <row r="2071" spans="1:1">
      <c r="A2071" s="2" t="e">
        <f>CONCATENATE("'",'Inverter-Full Data'!#REF!,"     ",'Inverter-Full Data'!#REF!,",",'Inverter-Full Data'!#REF!,",",'Inverter-Full Data'!#REF!,",",'Inverter-Full Data'!#REF!,"'")</f>
        <v>#REF!</v>
      </c>
    </row>
    <row r="2072" spans="1:1">
      <c r="A2072" s="2" t="e">
        <f>CONCATENATE("'",'Inverter-Full Data'!#REF!,"     ",'Inverter-Full Data'!#REF!,",",'Inverter-Full Data'!#REF!,",",'Inverter-Full Data'!#REF!,",",'Inverter-Full Data'!#REF!,"'")</f>
        <v>#REF!</v>
      </c>
    </row>
    <row r="2073" spans="1:1">
      <c r="A2073" s="2" t="e">
        <f>CONCATENATE("'",'Inverter-Full Data'!#REF!,"     ",'Inverter-Full Data'!#REF!,",",'Inverter-Full Data'!#REF!,",",'Inverter-Full Data'!#REF!,",",'Inverter-Full Data'!#REF!,"'")</f>
        <v>#REF!</v>
      </c>
    </row>
    <row r="2074" spans="1:1">
      <c r="A2074" s="2" t="e">
        <f>CONCATENATE("'",'Inverter-Full Data'!#REF!,"     ",'Inverter-Full Data'!#REF!,",",'Inverter-Full Data'!#REF!,",",'Inverter-Full Data'!#REF!,",",'Inverter-Full Data'!#REF!,"'")</f>
        <v>#REF!</v>
      </c>
    </row>
    <row r="2075" spans="1:1">
      <c r="A2075" s="2" t="e">
        <f>CONCATENATE("'",'Inverter-Full Data'!#REF!,"     ",'Inverter-Full Data'!#REF!,",",'Inverter-Full Data'!#REF!,",",'Inverter-Full Data'!#REF!,",",'Inverter-Full Data'!#REF!,"'")</f>
        <v>#REF!</v>
      </c>
    </row>
    <row r="2076" spans="1:1">
      <c r="A2076" s="2" t="e">
        <f>CONCATENATE("'",'Inverter-Full Data'!#REF!,"     ",'Inverter-Full Data'!#REF!,",",'Inverter-Full Data'!#REF!,",",'Inverter-Full Data'!#REF!,",",'Inverter-Full Data'!#REF!,"'")</f>
        <v>#REF!</v>
      </c>
    </row>
    <row r="2077" spans="1:1">
      <c r="A2077" s="2" t="e">
        <f>CONCATENATE("'",'Inverter-Full Data'!#REF!,"     ",'Inverter-Full Data'!#REF!,",",'Inverter-Full Data'!#REF!,",",'Inverter-Full Data'!#REF!,",",'Inverter-Full Data'!#REF!,"'")</f>
        <v>#REF!</v>
      </c>
    </row>
    <row r="2078" spans="1:1">
      <c r="A2078" s="2" t="e">
        <f>CONCATENATE("'",'Inverter-Full Data'!#REF!,"     ",'Inverter-Full Data'!#REF!,",",'Inverter-Full Data'!#REF!,",",'Inverter-Full Data'!#REF!,",",'Inverter-Full Data'!#REF!,"'")</f>
        <v>#REF!</v>
      </c>
    </row>
    <row r="2079" spans="1:1">
      <c r="A2079" s="2" t="e">
        <f>CONCATENATE("'",'Inverter-Full Data'!#REF!,"     ",'Inverter-Full Data'!#REF!,",",'Inverter-Full Data'!#REF!,",",'Inverter-Full Data'!#REF!,",",'Inverter-Full Data'!#REF!,"'")</f>
        <v>#REF!</v>
      </c>
    </row>
    <row r="2080" spans="1:1">
      <c r="A2080" s="2" t="e">
        <f>CONCATENATE("'",'Inverter-Full Data'!#REF!,"     ",'Inverter-Full Data'!#REF!,",",'Inverter-Full Data'!#REF!,",",'Inverter-Full Data'!#REF!,",",'Inverter-Full Data'!#REF!,"'")</f>
        <v>#REF!</v>
      </c>
    </row>
    <row r="2081" spans="1:1">
      <c r="A2081" s="2" t="e">
        <f>CONCATENATE("'",'Inverter-Full Data'!#REF!,"     ",'Inverter-Full Data'!#REF!,",",'Inverter-Full Data'!#REF!,",",'Inverter-Full Data'!#REF!,",",'Inverter-Full Data'!#REF!,"'")</f>
        <v>#REF!</v>
      </c>
    </row>
    <row r="2082" spans="1:1">
      <c r="A2082" s="2" t="e">
        <f>CONCATENATE("'",'Inverter-Full Data'!#REF!,"     ",'Inverter-Full Data'!#REF!,",",'Inverter-Full Data'!#REF!,",",'Inverter-Full Data'!#REF!,",",'Inverter-Full Data'!#REF!,"'")</f>
        <v>#REF!</v>
      </c>
    </row>
    <row r="2083" spans="1:1">
      <c r="A2083" s="2" t="e">
        <f>CONCATENATE("'",'Inverter-Full Data'!#REF!,"     ",'Inverter-Full Data'!#REF!,",",'Inverter-Full Data'!#REF!,",",'Inverter-Full Data'!#REF!,",",'Inverter-Full Data'!#REF!,"'")</f>
        <v>#REF!</v>
      </c>
    </row>
    <row r="2084" spans="1:1">
      <c r="A2084" s="2" t="e">
        <f>CONCATENATE("'",'Inverter-Full Data'!#REF!,"     ",'Inverter-Full Data'!#REF!,",",'Inverter-Full Data'!#REF!,",",'Inverter-Full Data'!#REF!,",",'Inverter-Full Data'!#REF!,"'")</f>
        <v>#REF!</v>
      </c>
    </row>
    <row r="2085" spans="1:1">
      <c r="A2085" s="2" t="e">
        <f>CONCATENATE("'",'Inverter-Full Data'!#REF!,"     ",'Inverter-Full Data'!#REF!,",",'Inverter-Full Data'!#REF!,",",'Inverter-Full Data'!#REF!,",",'Inverter-Full Data'!#REF!,"'")</f>
        <v>#REF!</v>
      </c>
    </row>
    <row r="2086" spans="1:1">
      <c r="A2086" s="2" t="e">
        <f>CONCATENATE("'",'Inverter-Full Data'!#REF!,"     ",'Inverter-Full Data'!#REF!,",",'Inverter-Full Data'!#REF!,",",'Inverter-Full Data'!#REF!,",",'Inverter-Full Data'!#REF!,"'")</f>
        <v>#REF!</v>
      </c>
    </row>
    <row r="2087" spans="1:1">
      <c r="A2087" s="2" t="e">
        <f>CONCATENATE("'",'Inverter-Full Data'!#REF!,"     ",'Inverter-Full Data'!#REF!,",",'Inverter-Full Data'!#REF!,",",'Inverter-Full Data'!#REF!,",",'Inverter-Full Data'!#REF!,"'")</f>
        <v>#REF!</v>
      </c>
    </row>
    <row r="2088" spans="1:1">
      <c r="A2088" s="2" t="e">
        <f>CONCATENATE("'",'Inverter-Full Data'!#REF!,"     ",'Inverter-Full Data'!#REF!,",",'Inverter-Full Data'!#REF!,",",'Inverter-Full Data'!#REF!,",",'Inverter-Full Data'!#REF!,"'")</f>
        <v>#REF!</v>
      </c>
    </row>
    <row r="2089" spans="1:1">
      <c r="A2089" s="2" t="e">
        <f>CONCATENATE("'",'Inverter-Full Data'!#REF!,"     ",'Inverter-Full Data'!#REF!,",",'Inverter-Full Data'!#REF!,",",'Inverter-Full Data'!#REF!,",",'Inverter-Full Data'!#REF!,"'")</f>
        <v>#REF!</v>
      </c>
    </row>
    <row r="2090" spans="1:1">
      <c r="A2090" s="2" t="e">
        <f>CONCATENATE("'",'Inverter-Full Data'!#REF!,"     ",'Inverter-Full Data'!#REF!,",",'Inverter-Full Data'!#REF!,",",'Inverter-Full Data'!#REF!,",",'Inverter-Full Data'!#REF!,"'")</f>
        <v>#REF!</v>
      </c>
    </row>
    <row r="2091" spans="1:1">
      <c r="A2091" s="2" t="e">
        <f>CONCATENATE("'",'Inverter-Full Data'!#REF!,"     ",'Inverter-Full Data'!#REF!,",",'Inverter-Full Data'!#REF!,",",'Inverter-Full Data'!#REF!,",",'Inverter-Full Data'!#REF!,"'")</f>
        <v>#REF!</v>
      </c>
    </row>
    <row r="2092" spans="1:1">
      <c r="A2092" s="2" t="e">
        <f>CONCATENATE("'",'Inverter-Full Data'!#REF!,"     ",'Inverter-Full Data'!#REF!,",",'Inverter-Full Data'!#REF!,",",'Inverter-Full Data'!#REF!,",",'Inverter-Full Data'!#REF!,"'")</f>
        <v>#REF!</v>
      </c>
    </row>
    <row r="2093" spans="1:1">
      <c r="A2093" s="2" t="e">
        <f>CONCATENATE("'",'Inverter-Full Data'!#REF!,"     ",'Inverter-Full Data'!#REF!,",",'Inverter-Full Data'!#REF!,",",'Inverter-Full Data'!#REF!,",",'Inverter-Full Data'!#REF!,"'")</f>
        <v>#REF!</v>
      </c>
    </row>
    <row r="2094" spans="1:1">
      <c r="A2094" s="2" t="e">
        <f>CONCATENATE("'",'Inverter-Full Data'!#REF!,"     ",'Inverter-Full Data'!#REF!,",",'Inverter-Full Data'!#REF!,",",'Inverter-Full Data'!#REF!,",",'Inverter-Full Data'!#REF!,"'")</f>
        <v>#REF!</v>
      </c>
    </row>
    <row r="2095" spans="1:1">
      <c r="A2095" s="2" t="e">
        <f>CONCATENATE("'",'Inverter-Full Data'!#REF!,"     ",'Inverter-Full Data'!#REF!,",",'Inverter-Full Data'!#REF!,",",'Inverter-Full Data'!#REF!,",",'Inverter-Full Data'!#REF!,"'")</f>
        <v>#REF!</v>
      </c>
    </row>
    <row r="2096" spans="1:1">
      <c r="A2096" s="2" t="e">
        <f>CONCATENATE("'",'Inverter-Full Data'!#REF!,"     ",'Inverter-Full Data'!#REF!,",",'Inverter-Full Data'!#REF!,",",'Inverter-Full Data'!#REF!,",",'Inverter-Full Data'!#REF!,"'")</f>
        <v>#REF!</v>
      </c>
    </row>
    <row r="2097" spans="1:1">
      <c r="A2097" s="2" t="e">
        <f>CONCATENATE("'",'Inverter-Full Data'!#REF!,"     ",'Inverter-Full Data'!#REF!,",",'Inverter-Full Data'!#REF!,",",'Inverter-Full Data'!#REF!,",",'Inverter-Full Data'!#REF!,"'")</f>
        <v>#REF!</v>
      </c>
    </row>
    <row r="2098" spans="1:1">
      <c r="A2098" s="2" t="e">
        <f>CONCATENATE("'",'Inverter-Full Data'!#REF!,"     ",'Inverter-Full Data'!#REF!,",",'Inverter-Full Data'!#REF!,",",'Inverter-Full Data'!#REF!,",",'Inverter-Full Data'!#REF!,"'")</f>
        <v>#REF!</v>
      </c>
    </row>
    <row r="2099" spans="1:1">
      <c r="A2099" s="2" t="e">
        <f>CONCATENATE("'",'Inverter-Full Data'!#REF!,"     ",'Inverter-Full Data'!#REF!,",",'Inverter-Full Data'!#REF!,",",'Inverter-Full Data'!#REF!,",",'Inverter-Full Data'!#REF!,"'")</f>
        <v>#REF!</v>
      </c>
    </row>
    <row r="2100" spans="1:1">
      <c r="A2100" s="2" t="e">
        <f>CONCATENATE("'",'Inverter-Full Data'!#REF!,"     ",'Inverter-Full Data'!#REF!,",",'Inverter-Full Data'!#REF!,",",'Inverter-Full Data'!#REF!,",",'Inverter-Full Data'!#REF!,"'")</f>
        <v>#REF!</v>
      </c>
    </row>
    <row r="2101" spans="1:1">
      <c r="A2101" s="2" t="e">
        <f>CONCATENATE("'",'Inverter-Full Data'!#REF!,"     ",'Inverter-Full Data'!#REF!,",",'Inverter-Full Data'!#REF!,",",'Inverter-Full Data'!#REF!,",",'Inverter-Full Data'!#REF!,"'")</f>
        <v>#REF!</v>
      </c>
    </row>
    <row r="2102" spans="1:1">
      <c r="A2102" s="2" t="e">
        <f>CONCATENATE("'",'Inverter-Full Data'!#REF!,"     ",'Inverter-Full Data'!#REF!,",",'Inverter-Full Data'!#REF!,",",'Inverter-Full Data'!#REF!,",",'Inverter-Full Data'!#REF!,"'")</f>
        <v>#REF!</v>
      </c>
    </row>
    <row r="2103" spans="1:1">
      <c r="A2103" s="2" t="e">
        <f>CONCATENATE("'",'Inverter-Full Data'!#REF!,"     ",'Inverter-Full Data'!#REF!,",",'Inverter-Full Data'!#REF!,",",'Inverter-Full Data'!#REF!,",",'Inverter-Full Data'!#REF!,"'")</f>
        <v>#REF!</v>
      </c>
    </row>
    <row r="2104" spans="1:1">
      <c r="A2104" s="2" t="e">
        <f>CONCATENATE("'",'Inverter-Full Data'!#REF!,"     ",'Inverter-Full Data'!#REF!,",",'Inverter-Full Data'!#REF!,",",'Inverter-Full Data'!#REF!,",",'Inverter-Full Data'!#REF!,"'")</f>
        <v>#REF!</v>
      </c>
    </row>
    <row r="2105" spans="1:1">
      <c r="A2105" s="2" t="e">
        <f>CONCATENATE("'",'Inverter-Full Data'!#REF!,"     ",'Inverter-Full Data'!#REF!,",",'Inverter-Full Data'!#REF!,",",'Inverter-Full Data'!#REF!,",",'Inverter-Full Data'!#REF!,"'")</f>
        <v>#REF!</v>
      </c>
    </row>
    <row r="2106" spans="1:1">
      <c r="A2106" s="2" t="e">
        <f>CONCATENATE("'",'Inverter-Full Data'!#REF!,"     ",'Inverter-Full Data'!#REF!,",",'Inverter-Full Data'!#REF!,",",'Inverter-Full Data'!#REF!,",",'Inverter-Full Data'!#REF!,"'")</f>
        <v>#REF!</v>
      </c>
    </row>
    <row r="2107" spans="1:1">
      <c r="A2107" s="2" t="e">
        <f>CONCATENATE("'",'Inverter-Full Data'!#REF!,"     ",'Inverter-Full Data'!#REF!,",",'Inverter-Full Data'!#REF!,",",'Inverter-Full Data'!#REF!,",",'Inverter-Full Data'!#REF!,"'")</f>
        <v>#REF!</v>
      </c>
    </row>
    <row r="2108" spans="1:1">
      <c r="A2108" s="2" t="e">
        <f>CONCATENATE("'",'Inverter-Full Data'!#REF!,"     ",'Inverter-Full Data'!#REF!,",",'Inverter-Full Data'!#REF!,",",'Inverter-Full Data'!#REF!,",",'Inverter-Full Data'!#REF!,"'")</f>
        <v>#REF!</v>
      </c>
    </row>
    <row r="2109" spans="1:1">
      <c r="A2109" s="2" t="e">
        <f>CONCATENATE("'",'Inverter-Full Data'!#REF!,"     ",'Inverter-Full Data'!#REF!,",",'Inverter-Full Data'!#REF!,",",'Inverter-Full Data'!#REF!,",",'Inverter-Full Data'!#REF!,"'")</f>
        <v>#REF!</v>
      </c>
    </row>
    <row r="2110" spans="1:1">
      <c r="A2110" s="2" t="e">
        <f>CONCATENATE("'",'Inverter-Full Data'!#REF!,"     ",'Inverter-Full Data'!#REF!,",",'Inverter-Full Data'!#REF!,",",'Inverter-Full Data'!#REF!,",",'Inverter-Full Data'!#REF!,"'")</f>
        <v>#REF!</v>
      </c>
    </row>
    <row r="2111" spans="1:1">
      <c r="A2111" s="2" t="e">
        <f>CONCATENATE("'",'Inverter-Full Data'!#REF!,"     ",'Inverter-Full Data'!#REF!,",",'Inverter-Full Data'!#REF!,",",'Inverter-Full Data'!#REF!,",",'Inverter-Full Data'!#REF!,"'")</f>
        <v>#REF!</v>
      </c>
    </row>
    <row r="2112" spans="1:1">
      <c r="A2112" s="2" t="e">
        <f>CONCATENATE("'",'Inverter-Full Data'!#REF!,"     ",'Inverter-Full Data'!#REF!,",",'Inverter-Full Data'!#REF!,",",'Inverter-Full Data'!#REF!,",",'Inverter-Full Data'!#REF!,"'")</f>
        <v>#REF!</v>
      </c>
    </row>
    <row r="2113" spans="1:1">
      <c r="A2113" s="2" t="e">
        <f>CONCATENATE("'",'Inverter-Full Data'!#REF!,"     ",'Inverter-Full Data'!#REF!,",",'Inverter-Full Data'!#REF!,",",'Inverter-Full Data'!#REF!,",",'Inverter-Full Data'!#REF!,"'")</f>
        <v>#REF!</v>
      </c>
    </row>
    <row r="2114" spans="1:1">
      <c r="A2114" s="2" t="e">
        <f>CONCATENATE("'",'Inverter-Full Data'!#REF!,"     ",'Inverter-Full Data'!#REF!,",",'Inverter-Full Data'!#REF!,",",'Inverter-Full Data'!#REF!,",",'Inverter-Full Data'!#REF!,"'")</f>
        <v>#REF!</v>
      </c>
    </row>
    <row r="2115" spans="1:1">
      <c r="A2115" s="2" t="e">
        <f>CONCATENATE("'",'Inverter-Full Data'!#REF!,"     ",'Inverter-Full Data'!#REF!,",",'Inverter-Full Data'!#REF!,",",'Inverter-Full Data'!#REF!,",",'Inverter-Full Data'!#REF!,"'")</f>
        <v>#REF!</v>
      </c>
    </row>
    <row r="2116" spans="1:1">
      <c r="A2116" s="2" t="e">
        <f>CONCATENATE("'",'Inverter-Full Data'!#REF!,"     ",'Inverter-Full Data'!#REF!,",",'Inverter-Full Data'!#REF!,",",'Inverter-Full Data'!#REF!,",",'Inverter-Full Data'!#REF!,"'")</f>
        <v>#REF!</v>
      </c>
    </row>
    <row r="2117" spans="1:1">
      <c r="A2117" s="2" t="e">
        <f>CONCATENATE("'",'Inverter-Full Data'!#REF!,"     ",'Inverter-Full Data'!#REF!,",",'Inverter-Full Data'!#REF!,",",'Inverter-Full Data'!#REF!,",",'Inverter-Full Data'!#REF!,"'")</f>
        <v>#REF!</v>
      </c>
    </row>
    <row r="2118" spans="1:1">
      <c r="A2118" s="2" t="e">
        <f>CONCATENATE("'",'Inverter-Full Data'!#REF!,"     ",'Inverter-Full Data'!#REF!,",",'Inverter-Full Data'!#REF!,",",'Inverter-Full Data'!#REF!,",",'Inverter-Full Data'!#REF!,"'")</f>
        <v>#REF!</v>
      </c>
    </row>
    <row r="2119" spans="1:1">
      <c r="A2119" s="2" t="e">
        <f>CONCATENATE("'",'Inverter-Full Data'!#REF!,"     ",'Inverter-Full Data'!#REF!,",",'Inverter-Full Data'!#REF!,",",'Inverter-Full Data'!#REF!,",",'Inverter-Full Data'!#REF!,"'")</f>
        <v>#REF!</v>
      </c>
    </row>
    <row r="2120" spans="1:1">
      <c r="A2120" s="2" t="e">
        <f>CONCATENATE("'",'Inverter-Full Data'!#REF!,"     ",'Inverter-Full Data'!#REF!,",",'Inverter-Full Data'!#REF!,",",'Inverter-Full Data'!#REF!,",",'Inverter-Full Data'!#REF!,"'")</f>
        <v>#REF!</v>
      </c>
    </row>
    <row r="2121" spans="1:1">
      <c r="A2121" s="2" t="e">
        <f>CONCATENATE("'",'Inverter-Full Data'!#REF!,"     ",'Inverter-Full Data'!#REF!,",",'Inverter-Full Data'!#REF!,",",'Inverter-Full Data'!#REF!,",",'Inverter-Full Data'!#REF!,"'")</f>
        <v>#REF!</v>
      </c>
    </row>
    <row r="2122" spans="1:1">
      <c r="A2122" s="2" t="e">
        <f>CONCATENATE("'",'Inverter-Full Data'!#REF!,"     ",'Inverter-Full Data'!#REF!,",",'Inverter-Full Data'!#REF!,",",'Inverter-Full Data'!#REF!,",",'Inverter-Full Data'!#REF!,"'")</f>
        <v>#REF!</v>
      </c>
    </row>
    <row r="2123" spans="1:1">
      <c r="A2123" s="2" t="str">
        <f>CONCATENATE("'",'Inverter-Full Data'!A338,"     ",'Inverter-Full Data'!B338,",",'Inverter-Full Data'!S338,",",'Inverter-Full Data'!J338,",",'Inverter-Full Data'!T338,"'")</f>
        <v>'Pika Energy     X7603 [240V],N,96.5,N'</v>
      </c>
    </row>
    <row r="2124" spans="1:1">
      <c r="A2124" s="2" t="str">
        <f>CONCATENATE("'",'Inverter-Full Data'!A339,"     ",'Inverter-Full Data'!B339,",",'Inverter-Full Data'!S339,",",'Inverter-Full Data'!J339,",",'Inverter-Full Data'!T339,"'")</f>
        <v>'Pika Energy     X7601 [240V],Y,96.5,N'</v>
      </c>
    </row>
    <row r="2125" spans="1:1">
      <c r="A2125" s="2" t="e">
        <f>CONCATENATE("'",'Inverter-Full Data'!#REF!,"     ",'Inverter-Full Data'!#REF!,",",'Inverter-Full Data'!#REF!,",",'Inverter-Full Data'!#REF!,",",'Inverter-Full Data'!#REF!,"'")</f>
        <v>#REF!</v>
      </c>
    </row>
    <row r="2126" spans="1:1">
      <c r="A2126" s="2" t="str">
        <f>CONCATENATE("'",'Inverter-Full Data'!A340,"     ",'Inverter-Full Data'!B340,",",'Inverter-Full Data'!S340,",",'Inverter-Full Data'!J340,",",'Inverter-Full Data'!T340,"'")</f>
        <v>'Pika Energy     X7602 [240V],Y,96.5,N'</v>
      </c>
    </row>
    <row r="2127" spans="1:1">
      <c r="A2127" s="2" t="str">
        <f>CONCATENATE("'",'Inverter-Full Data'!A341,"     ",'Inverter-Full Data'!B341,",",'Inverter-Full Data'!S341,",",'Inverter-Full Data'!J341,",",'Inverter-Full Data'!T341,"'")</f>
        <v>'Pika Energy     X11403 [208V],N,97.5,N'</v>
      </c>
    </row>
    <row r="2128" spans="1:1">
      <c r="A2128" s="2" t="str">
        <f>CONCATENATE("'",'Inverter-Full Data'!A342,"     ",'Inverter-Full Data'!B342,",",'Inverter-Full Data'!S342,",",'Inverter-Full Data'!J342,",",'Inverter-Full Data'!T342,"'")</f>
        <v>'Pika Energy     X11402 [208V],Y,97.5,N'</v>
      </c>
    </row>
    <row r="2129" spans="1:1">
      <c r="A2129" s="2" t="e">
        <f>CONCATENATE("'",'Inverter-Full Data'!#REF!,"     ",'Inverter-Full Data'!#REF!,",",'Inverter-Full Data'!#REF!,",",'Inverter-Full Data'!#REF!,",",'Inverter-Full Data'!#REF!,"'")</f>
        <v>#REF!</v>
      </c>
    </row>
    <row r="2130" spans="1:1">
      <c r="A2130" s="2" t="e">
        <f>CONCATENATE("'",'Inverter-Full Data'!#REF!,"     ",'Inverter-Full Data'!#REF!,",",'Inverter-Full Data'!#REF!,",",'Inverter-Full Data'!#REF!,",",'Inverter-Full Data'!#REF!,"'")</f>
        <v>#REF!</v>
      </c>
    </row>
    <row r="2131" spans="1:1">
      <c r="A2131" s="2" t="e">
        <f>CONCATENATE("'",'Inverter-Full Data'!#REF!,"     ",'Inverter-Full Data'!#REF!,",",'Inverter-Full Data'!#REF!,",",'Inverter-Full Data'!#REF!,",",'Inverter-Full Data'!#REF!,"'")</f>
        <v>#REF!</v>
      </c>
    </row>
    <row r="2132" spans="1:1">
      <c r="A2132" s="2" t="e">
        <f>CONCATENATE("'",'Inverter-Full Data'!#REF!,"     ",'Inverter-Full Data'!#REF!,",",'Inverter-Full Data'!#REF!,",",'Inverter-Full Data'!#REF!,",",'Inverter-Full Data'!#REF!,"'")</f>
        <v>#REF!</v>
      </c>
    </row>
    <row r="2133" spans="1:1">
      <c r="A2133" s="2" t="e">
        <f>CONCATENATE("'",'Inverter-Full Data'!#REF!,"     ",'Inverter-Full Data'!#REF!,",",'Inverter-Full Data'!#REF!,",",'Inverter-Full Data'!#REF!,",",'Inverter-Full Data'!#REF!,"'")</f>
        <v>#REF!</v>
      </c>
    </row>
    <row r="2134" spans="1:1">
      <c r="A2134" s="2" t="e">
        <f>CONCATENATE("'",'Inverter-Full Data'!#REF!,"     ",'Inverter-Full Data'!#REF!,",",'Inverter-Full Data'!#REF!,",",'Inverter-Full Data'!#REF!,",",'Inverter-Full Data'!#REF!,"'")</f>
        <v>#REF!</v>
      </c>
    </row>
    <row r="2135" spans="1:1">
      <c r="A2135" s="2" t="e">
        <f>CONCATENATE("'",'Inverter-Full Data'!#REF!,"     ",'Inverter-Full Data'!#REF!,",",'Inverter-Full Data'!#REF!,",",'Inverter-Full Data'!#REF!,",",'Inverter-Full Data'!#REF!,"'")</f>
        <v>#REF!</v>
      </c>
    </row>
    <row r="2136" spans="1:1">
      <c r="A2136" s="2" t="e">
        <f>CONCATENATE("'",'Inverter-Full Data'!#REF!,"     ",'Inverter-Full Data'!#REF!,",",'Inverter-Full Data'!#REF!,",",'Inverter-Full Data'!#REF!,",",'Inverter-Full Data'!#REF!,"'")</f>
        <v>#REF!</v>
      </c>
    </row>
    <row r="2137" spans="1:1">
      <c r="A2137" s="2" t="e">
        <f>CONCATENATE("'",'Inverter-Full Data'!#REF!,"     ",'Inverter-Full Data'!#REF!,",",'Inverter-Full Data'!#REF!,",",'Inverter-Full Data'!#REF!,",",'Inverter-Full Data'!#REF!,"'")</f>
        <v>#REF!</v>
      </c>
    </row>
    <row r="2138" spans="1:1">
      <c r="A2138" s="2" t="e">
        <f>CONCATENATE("'",'Inverter-Full Data'!#REF!,"     ",'Inverter-Full Data'!#REF!,",",'Inverter-Full Data'!#REF!,",",'Inverter-Full Data'!#REF!,",",'Inverter-Full Data'!#REF!,"'")</f>
        <v>#REF!</v>
      </c>
    </row>
    <row r="2139" spans="1:1">
      <c r="A2139" s="2" t="e">
        <f>CONCATENATE("'",'Inverter-Full Data'!#REF!,"     ",'Inverter-Full Data'!#REF!,",",'Inverter-Full Data'!#REF!,",",'Inverter-Full Data'!#REF!,",",'Inverter-Full Data'!#REF!,"'")</f>
        <v>#REF!</v>
      </c>
    </row>
    <row r="2140" spans="1:1">
      <c r="A2140" s="2" t="e">
        <f>CONCATENATE("'",'Inverter-Full Data'!#REF!,"     ",'Inverter-Full Data'!#REF!,",",'Inverter-Full Data'!#REF!,",",'Inverter-Full Data'!#REF!,",",'Inverter-Full Data'!#REF!,"'")</f>
        <v>#REF!</v>
      </c>
    </row>
    <row r="2141" spans="1:1">
      <c r="A2141" s="2" t="e">
        <f>CONCATENATE("'",'Inverter-Full Data'!#REF!,"     ",'Inverter-Full Data'!#REF!,",",'Inverter-Full Data'!#REF!,",",'Inverter-Full Data'!#REF!,",",'Inverter-Full Data'!#REF!,"'")</f>
        <v>#REF!</v>
      </c>
    </row>
    <row r="2142" spans="1:1">
      <c r="A2142" s="2" t="e">
        <f>CONCATENATE("'",'Inverter-Full Data'!#REF!,"     ",'Inverter-Full Data'!#REF!,",",'Inverter-Full Data'!#REF!,",",'Inverter-Full Data'!#REF!,",",'Inverter-Full Data'!#REF!,"'")</f>
        <v>#REF!</v>
      </c>
    </row>
    <row r="2143" spans="1:1">
      <c r="A2143" s="2" t="e">
        <f>CONCATENATE("'",'Inverter-Full Data'!#REF!,"     ",'Inverter-Full Data'!#REF!,",",'Inverter-Full Data'!#REF!,",",'Inverter-Full Data'!#REF!,",",'Inverter-Full Data'!#REF!,"'")</f>
        <v>#REF!</v>
      </c>
    </row>
    <row r="2144" spans="1:1">
      <c r="A2144" s="2" t="e">
        <f>CONCATENATE("'",'Inverter-Full Data'!#REF!,"     ",'Inverter-Full Data'!#REF!,",",'Inverter-Full Data'!#REF!,",",'Inverter-Full Data'!#REF!,",",'Inverter-Full Data'!#REF!,"'")</f>
        <v>#REF!</v>
      </c>
    </row>
    <row r="2145" spans="1:1">
      <c r="A2145" s="2" t="e">
        <f>CONCATENATE("'",'Inverter-Full Data'!#REF!,"     ",'Inverter-Full Data'!#REF!,",",'Inverter-Full Data'!#REF!,",",'Inverter-Full Data'!#REF!,",",'Inverter-Full Data'!#REF!,"'")</f>
        <v>#REF!</v>
      </c>
    </row>
    <row r="2146" spans="1:1">
      <c r="A2146" s="2" t="e">
        <f>CONCATENATE("'",'Inverter-Full Data'!#REF!,"     ",'Inverter-Full Data'!#REF!,",",'Inverter-Full Data'!#REF!,",",'Inverter-Full Data'!#REF!,",",'Inverter-Full Data'!#REF!,"'")</f>
        <v>#REF!</v>
      </c>
    </row>
    <row r="2147" spans="1:1">
      <c r="A2147" s="2" t="e">
        <f>CONCATENATE("'",'Inverter-Full Data'!#REF!,"     ",'Inverter-Full Data'!#REF!,",",'Inverter-Full Data'!#REF!,",",'Inverter-Full Data'!#REF!,",",'Inverter-Full Data'!#REF!,"'")</f>
        <v>#REF!</v>
      </c>
    </row>
    <row r="2148" spans="1:1">
      <c r="A2148" s="2" t="e">
        <f>CONCATENATE("'",'Inverter-Full Data'!#REF!,"     ",'Inverter-Full Data'!#REF!,",",'Inverter-Full Data'!#REF!,",",'Inverter-Full Data'!#REF!,",",'Inverter-Full Data'!#REF!,"'")</f>
        <v>#REF!</v>
      </c>
    </row>
    <row r="2149" spans="1:1">
      <c r="A2149" s="2" t="e">
        <f>CONCATENATE("'",'Inverter-Full Data'!#REF!,"     ",'Inverter-Full Data'!#REF!,",",'Inverter-Full Data'!#REF!,",",'Inverter-Full Data'!#REF!,",",'Inverter-Full Data'!#REF!,"'")</f>
        <v>#REF!</v>
      </c>
    </row>
    <row r="2150" spans="1:1">
      <c r="A2150" s="2" t="e">
        <f>CONCATENATE("'",'Inverter-Full Data'!#REF!,"     ",'Inverter-Full Data'!#REF!,",",'Inverter-Full Data'!#REF!,",",'Inverter-Full Data'!#REF!,",",'Inverter-Full Data'!#REF!,"'")</f>
        <v>#REF!</v>
      </c>
    </row>
    <row r="2151" spans="1:1">
      <c r="A2151" s="2" t="e">
        <f>CONCATENATE("'",'Inverter-Full Data'!#REF!,"     ",'Inverter-Full Data'!#REF!,",",'Inverter-Full Data'!#REF!,",",'Inverter-Full Data'!#REF!,",",'Inverter-Full Data'!#REF!,"'")</f>
        <v>#REF!</v>
      </c>
    </row>
    <row r="2152" spans="1:1">
      <c r="A2152" s="2" t="e">
        <f>CONCATENATE("'",'Inverter-Full Data'!#REF!,"     ",'Inverter-Full Data'!#REF!,",",'Inverter-Full Data'!#REF!,",",'Inverter-Full Data'!#REF!,",",'Inverter-Full Data'!#REF!,"'")</f>
        <v>#REF!</v>
      </c>
    </row>
    <row r="2153" spans="1:1">
      <c r="A2153" s="2" t="e">
        <f>CONCATENATE("'",'Inverter-Full Data'!#REF!,"     ",'Inverter-Full Data'!#REF!,",",'Inverter-Full Data'!#REF!,",",'Inverter-Full Data'!#REF!,",",'Inverter-Full Data'!#REF!,"'")</f>
        <v>#REF!</v>
      </c>
    </row>
    <row r="2154" spans="1:1">
      <c r="A2154" s="2" t="e">
        <f>CONCATENATE("'",'Inverter-Full Data'!#REF!,"     ",'Inverter-Full Data'!#REF!,",",'Inverter-Full Data'!#REF!,",",'Inverter-Full Data'!#REF!,",",'Inverter-Full Data'!#REF!,"'")</f>
        <v>#REF!</v>
      </c>
    </row>
    <row r="2155" spans="1:1">
      <c r="A2155" s="2" t="e">
        <f>CONCATENATE("'",'Inverter-Full Data'!#REF!,"     ",'Inverter-Full Data'!#REF!,",",'Inverter-Full Data'!#REF!,",",'Inverter-Full Data'!#REF!,",",'Inverter-Full Data'!#REF!,"'")</f>
        <v>#REF!</v>
      </c>
    </row>
    <row r="2156" spans="1:1">
      <c r="A2156" s="2" t="e">
        <f>CONCATENATE("'",'Inverter-Full Data'!#REF!,"     ",'Inverter-Full Data'!#REF!,",",'Inverter-Full Data'!#REF!,",",'Inverter-Full Data'!#REF!,",",'Inverter-Full Data'!#REF!,"'")</f>
        <v>#REF!</v>
      </c>
    </row>
    <row r="2157" spans="1:1">
      <c r="A2157" s="2" t="e">
        <f>CONCATENATE("'",'Inverter-Full Data'!#REF!,"     ",'Inverter-Full Data'!#REF!,",",'Inverter-Full Data'!#REF!,",",'Inverter-Full Data'!#REF!,",",'Inverter-Full Data'!#REF!,"'")</f>
        <v>#REF!</v>
      </c>
    </row>
    <row r="2158" spans="1:1">
      <c r="A2158" s="2" t="e">
        <f>CONCATENATE("'",'Inverter-Full Data'!#REF!,"     ",'Inverter-Full Data'!#REF!,",",'Inverter-Full Data'!#REF!,",",'Inverter-Full Data'!#REF!,",",'Inverter-Full Data'!#REF!,"'")</f>
        <v>#REF!</v>
      </c>
    </row>
    <row r="2159" spans="1:1">
      <c r="A2159" s="2" t="e">
        <f>CONCATENATE("'",'Inverter-Full Data'!#REF!,"     ",'Inverter-Full Data'!#REF!,",",'Inverter-Full Data'!#REF!,",",'Inverter-Full Data'!#REF!,",",'Inverter-Full Data'!#REF!,"'")</f>
        <v>#REF!</v>
      </c>
    </row>
    <row r="2160" spans="1:1">
      <c r="A2160" s="2" t="e">
        <f>CONCATENATE("'",'Inverter-Full Data'!#REF!,"     ",'Inverter-Full Data'!#REF!,",",'Inverter-Full Data'!#REF!,",",'Inverter-Full Data'!#REF!,",",'Inverter-Full Data'!#REF!,"'")</f>
        <v>#REF!</v>
      </c>
    </row>
    <row r="2161" spans="1:1">
      <c r="A2161" s="2" t="str">
        <f>CONCATENATE("'",'Inverter-Full Data'!A343,"     ",'Inverter-Full Data'!B343,",",'Inverter-Full Data'!S343,",",'Inverter-Full Data'!J343,",",'Inverter-Full Data'!T343,"'")</f>
        <v>'Power Electronics     FS1050CU15 [565V],N,97,N'</v>
      </c>
    </row>
    <row r="2162" spans="1:1">
      <c r="A2162" s="2" t="e">
        <f>CONCATENATE("'",'Inverter-Full Data'!#REF!,"     ",'Inverter-Full Data'!#REF!,",",'Inverter-Full Data'!#REF!,",",'Inverter-Full Data'!#REF!,",",'Inverter-Full Data'!#REF!,"'")</f>
        <v>#REF!</v>
      </c>
    </row>
    <row r="2163" spans="1:1">
      <c r="A2163" s="2" t="str">
        <f>CONCATENATE("'",'Inverter-Full Data'!A344,"     ",'Inverter-Full Data'!B344,",",'Inverter-Full Data'!S344,",",'Inverter-Full Data'!J344,",",'Inverter-Full Data'!T344,"'")</f>
        <v>'Power Electronics     FS1100CU15O3 [600V],N,98,N'</v>
      </c>
    </row>
    <row r="2164" spans="1:1">
      <c r="A2164" s="2" t="e">
        <f>CONCATENATE("'",'Inverter-Full Data'!#REF!,"     ",'Inverter-Full Data'!#REF!,",",'Inverter-Full Data'!#REF!,",",'Inverter-Full Data'!#REF!,",",'Inverter-Full Data'!#REF!,"'")</f>
        <v>#REF!</v>
      </c>
    </row>
    <row r="2165" spans="1:1">
      <c r="A2165" s="2" t="e">
        <f>CONCATENATE("'",'Inverter-Full Data'!#REF!,"     ",'Inverter-Full Data'!#REF!,",",'Inverter-Full Data'!#REF!,",",'Inverter-Full Data'!#REF!,",",'Inverter-Full Data'!#REF!,"'")</f>
        <v>#REF!</v>
      </c>
    </row>
    <row r="2166" spans="1:1">
      <c r="A2166" s="2" t="e">
        <f>CONCATENATE("'",'Inverter-Full Data'!#REF!,"     ",'Inverter-Full Data'!#REF!,",",'Inverter-Full Data'!#REF!,",",'Inverter-Full Data'!#REF!,",",'Inverter-Full Data'!#REF!,"'")</f>
        <v>#REF!</v>
      </c>
    </row>
    <row r="2167" spans="1:1">
      <c r="A2167" s="2" t="e">
        <f>CONCATENATE("'",'Inverter-Full Data'!#REF!,"     ",'Inverter-Full Data'!#REF!,",",'Inverter-Full Data'!#REF!,",",'Inverter-Full Data'!#REF!,",",'Inverter-Full Data'!#REF!,"'")</f>
        <v>#REF!</v>
      </c>
    </row>
    <row r="2168" spans="1:1">
      <c r="A2168" s="2" t="e">
        <f>CONCATENATE("'",'Inverter-Full Data'!#REF!,"     ",'Inverter-Full Data'!#REF!,",",'Inverter-Full Data'!#REF!,",",'Inverter-Full Data'!#REF!,",",'Inverter-Full Data'!#REF!,"'")</f>
        <v>#REF!</v>
      </c>
    </row>
    <row r="2169" spans="1:1">
      <c r="A2169" s="2" t="e">
        <f>CONCATENATE("'",'Inverter-Full Data'!#REF!,"     ",'Inverter-Full Data'!#REF!,",",'Inverter-Full Data'!#REF!,",",'Inverter-Full Data'!#REF!,",",'Inverter-Full Data'!#REF!,"'")</f>
        <v>#REF!</v>
      </c>
    </row>
    <row r="2170" spans="1:1">
      <c r="A2170" s="2" t="e">
        <f>CONCATENATE("'",'Inverter-Full Data'!#REF!,"     ",'Inverter-Full Data'!#REF!,",",'Inverter-Full Data'!#REF!,",",'Inverter-Full Data'!#REF!,",",'Inverter-Full Data'!#REF!,"'")</f>
        <v>#REF!</v>
      </c>
    </row>
    <row r="2171" spans="1:1">
      <c r="A2171" s="2" t="e">
        <f>CONCATENATE("'",'Inverter-Full Data'!#REF!,"     ",'Inverter-Full Data'!#REF!,",",'Inverter-Full Data'!#REF!,",",'Inverter-Full Data'!#REF!,",",'Inverter-Full Data'!#REF!,"'")</f>
        <v>#REF!</v>
      </c>
    </row>
    <row r="2172" spans="1:1">
      <c r="A2172" s="2" t="str">
        <f>CONCATENATE("'",'Inverter-Full Data'!A345,"     ",'Inverter-Full Data'!B345,",",'Inverter-Full Data'!S345,",",'Inverter-Full Data'!J345,",",'Inverter-Full Data'!T345,"'")</f>
        <v>'Power Electronics     FS1100CU15 [600V],N,97,N'</v>
      </c>
    </row>
    <row r="2173" spans="1:1">
      <c r="A2173" s="2" t="e">
        <f>CONCATENATE("'",'Inverter-Full Data'!#REF!,"     ",'Inverter-Full Data'!#REF!,",",'Inverter-Full Data'!#REF!,",",'Inverter-Full Data'!#REF!,",",'Inverter-Full Data'!#REF!,"'")</f>
        <v>#REF!</v>
      </c>
    </row>
    <row r="2174" spans="1:1">
      <c r="A2174" s="2" t="e">
        <f>CONCATENATE("'",'Inverter-Full Data'!#REF!,"     ",'Inverter-Full Data'!#REF!,",",'Inverter-Full Data'!#REF!,",",'Inverter-Full Data'!#REF!,",",'Inverter-Full Data'!#REF!,"'")</f>
        <v>#REF!</v>
      </c>
    </row>
    <row r="2175" spans="1:1">
      <c r="A2175" s="2" t="e">
        <f>CONCATENATE("'",'Inverter-Full Data'!#REF!,"     ",'Inverter-Full Data'!#REF!,",",'Inverter-Full Data'!#REF!,",",'Inverter-Full Data'!#REF!,",",'Inverter-Full Data'!#REF!,"'")</f>
        <v>#REF!</v>
      </c>
    </row>
    <row r="2176" spans="1:1">
      <c r="A2176" s="2" t="e">
        <f>CONCATENATE("'",'Inverter-Full Data'!#REF!,"     ",'Inverter-Full Data'!#REF!,",",'Inverter-Full Data'!#REF!,",",'Inverter-Full Data'!#REF!,",",'Inverter-Full Data'!#REF!,"'")</f>
        <v>#REF!</v>
      </c>
    </row>
    <row r="2177" spans="1:1">
      <c r="A2177" s="2" t="e">
        <f>CONCATENATE("'",'Inverter-Full Data'!#REF!,"     ",'Inverter-Full Data'!#REF!,",",'Inverter-Full Data'!#REF!,",",'Inverter-Full Data'!#REF!,",",'Inverter-Full Data'!#REF!,"'")</f>
        <v>#REF!</v>
      </c>
    </row>
    <row r="2178" spans="1:1">
      <c r="A2178" s="2" t="e">
        <f>CONCATENATE("'",'Inverter-Full Data'!#REF!,"     ",'Inverter-Full Data'!#REF!,",",'Inverter-Full Data'!#REF!,",",'Inverter-Full Data'!#REF!,",",'Inverter-Full Data'!#REF!,"'")</f>
        <v>#REF!</v>
      </c>
    </row>
    <row r="2179" spans="1:1">
      <c r="A2179" s="2" t="e">
        <f>CONCATENATE("'",'Inverter-Full Data'!#REF!,"     ",'Inverter-Full Data'!#REF!,",",'Inverter-Full Data'!#REF!,",",'Inverter-Full Data'!#REF!,",",'Inverter-Full Data'!#REF!,"'")</f>
        <v>#REF!</v>
      </c>
    </row>
    <row r="2180" spans="1:1">
      <c r="A2180" s="2" t="e">
        <f>CONCATENATE("'",'Inverter-Full Data'!#REF!,"     ",'Inverter-Full Data'!#REF!,",",'Inverter-Full Data'!#REF!,",",'Inverter-Full Data'!#REF!,",",'Inverter-Full Data'!#REF!,"'")</f>
        <v>#REF!</v>
      </c>
    </row>
    <row r="2181" spans="1:1">
      <c r="A2181" s="2" t="e">
        <f>CONCATENATE("'",'Inverter-Full Data'!#REF!,"     ",'Inverter-Full Data'!#REF!,",",'Inverter-Full Data'!#REF!,",",'Inverter-Full Data'!#REF!,",",'Inverter-Full Data'!#REF!,"'")</f>
        <v>#REF!</v>
      </c>
    </row>
    <row r="2182" spans="1:1">
      <c r="A2182" s="2" t="e">
        <f>CONCATENATE("'",'Inverter-Full Data'!#REF!,"     ",'Inverter-Full Data'!#REF!,",",'Inverter-Full Data'!#REF!,",",'Inverter-Full Data'!#REF!,",",'Inverter-Full Data'!#REF!,"'")</f>
        <v>#REF!</v>
      </c>
    </row>
    <row r="2183" spans="1:1">
      <c r="A2183" s="2" t="str">
        <f>CONCATENATE("'",'Inverter-Full Data'!A346,"     ",'Inverter-Full Data'!B346,",",'Inverter-Full Data'!S346,",",'Inverter-Full Data'!J346,",",'Inverter-Full Data'!T346,"'")</f>
        <v>'Power Electronics     FS1200CU15 [645V],N,97.5,N'</v>
      </c>
    </row>
    <row r="2184" spans="1:1">
      <c r="A2184" s="2" t="e">
        <f>CONCATENATE("'",'Inverter-Full Data'!#REF!,"     ",'Inverter-Full Data'!#REF!,",",'Inverter-Full Data'!#REF!,",",'Inverter-Full Data'!#REF!,",",'Inverter-Full Data'!#REF!,"'")</f>
        <v>#REF!</v>
      </c>
    </row>
    <row r="2185" spans="1:1">
      <c r="A2185" s="2" t="e">
        <f>CONCATENATE("'",'Inverter-Full Data'!#REF!,"     ",'Inverter-Full Data'!#REF!,",",'Inverter-Full Data'!#REF!,",",'Inverter-Full Data'!#REF!,",",'Inverter-Full Data'!#REF!,"'")</f>
        <v>#REF!</v>
      </c>
    </row>
    <row r="2186" spans="1:1">
      <c r="A2186" s="2" t="e">
        <f>CONCATENATE("'",'Inverter-Full Data'!#REF!,"     ",'Inverter-Full Data'!#REF!,",",'Inverter-Full Data'!#REF!,",",'Inverter-Full Data'!#REF!,",",'Inverter-Full Data'!#REF!,"'")</f>
        <v>#REF!</v>
      </c>
    </row>
    <row r="2187" spans="1:1">
      <c r="A2187" s="2" t="str">
        <f>CONCATENATE("'",'Inverter-Full Data'!A347,"     ",'Inverter-Full Data'!B347,",",'Inverter-Full Data'!S347,",",'Inverter-Full Data'!J347,",",'Inverter-Full Data'!T347,"'")</f>
        <v>'Power Electronics     FS1275CU15 [690V],N,97,N'</v>
      </c>
    </row>
    <row r="2188" spans="1:1">
      <c r="A2188" s="2" t="e">
        <f>CONCATENATE("'",'Inverter-Full Data'!#REF!,"     ",'Inverter-Full Data'!#REF!,",",'Inverter-Full Data'!#REF!,",",'Inverter-Full Data'!#REF!,",",'Inverter-Full Data'!#REF!,"'")</f>
        <v>#REF!</v>
      </c>
    </row>
    <row r="2189" spans="1:1">
      <c r="A2189" s="2" t="e">
        <f>CONCATENATE("'",'Inverter-Full Data'!#REF!,"     ",'Inverter-Full Data'!#REF!,",",'Inverter-Full Data'!#REF!,",",'Inverter-Full Data'!#REF!,",",'Inverter-Full Data'!#REF!,"'")</f>
        <v>#REF!</v>
      </c>
    </row>
    <row r="2190" spans="1:1">
      <c r="A2190" s="2" t="e">
        <f>CONCATENATE("'",'Inverter-Full Data'!#REF!,"     ",'Inverter-Full Data'!#REF!,",",'Inverter-Full Data'!#REF!,",",'Inverter-Full Data'!#REF!,",",'Inverter-Full Data'!#REF!,"'")</f>
        <v>#REF!</v>
      </c>
    </row>
    <row r="2191" spans="1:1">
      <c r="A2191" s="2" t="e">
        <f>CONCATENATE("'",'Inverter-Full Data'!#REF!,"     ",'Inverter-Full Data'!#REF!,",",'Inverter-Full Data'!#REF!,",",'Inverter-Full Data'!#REF!,",",'Inverter-Full Data'!#REF!,"'")</f>
        <v>#REF!</v>
      </c>
    </row>
    <row r="2192" spans="1:1">
      <c r="A2192" s="2" t="e">
        <f>CONCATENATE("'",'Inverter-Full Data'!#REF!,"     ",'Inverter-Full Data'!#REF!,",",'Inverter-Full Data'!#REF!,",",'Inverter-Full Data'!#REF!,",",'Inverter-Full Data'!#REF!,"'")</f>
        <v>#REF!</v>
      </c>
    </row>
    <row r="2193" spans="1:1">
      <c r="A2193" s="2" t="str">
        <f>CONCATENATE("'",'Inverter-Full Data'!A348,"     ",'Inverter-Full Data'!B348,",",'Inverter-Full Data'!S348,",",'Inverter-Full Data'!J348,",",'Inverter-Full Data'!T348,"'")</f>
        <v>'Power Electronics     FS1400CU15 [565V],N,97.5,N'</v>
      </c>
    </row>
    <row r="2194" spans="1:1">
      <c r="A2194" s="2" t="e">
        <f>CONCATENATE("'",'Inverter-Full Data'!#REF!,"     ",'Inverter-Full Data'!#REF!,",",'Inverter-Full Data'!#REF!,",",'Inverter-Full Data'!#REF!,",",'Inverter-Full Data'!#REF!,"'")</f>
        <v>#REF!</v>
      </c>
    </row>
    <row r="2195" spans="1:1">
      <c r="A2195" s="2" t="e">
        <f>CONCATENATE("'",'Inverter-Full Data'!#REF!,"     ",'Inverter-Full Data'!#REF!,",",'Inverter-Full Data'!#REF!,",",'Inverter-Full Data'!#REF!,",",'Inverter-Full Data'!#REF!,"'")</f>
        <v>#REF!</v>
      </c>
    </row>
    <row r="2196" spans="1:1">
      <c r="A2196" s="2" t="e">
        <f>CONCATENATE("'",'Inverter-Full Data'!#REF!,"     ",'Inverter-Full Data'!#REF!,",",'Inverter-Full Data'!#REF!,",",'Inverter-Full Data'!#REF!,",",'Inverter-Full Data'!#REF!,"'")</f>
        <v>#REF!</v>
      </c>
    </row>
    <row r="2197" spans="1:1">
      <c r="A2197" s="2" t="str">
        <f>CONCATENATE("'",'Inverter-Full Data'!A349,"     ",'Inverter-Full Data'!B349,",",'Inverter-Full Data'!S349,",",'Inverter-Full Data'!J349,",",'Inverter-Full Data'!T349,"'")</f>
        <v>'Power Electronics     FS1500CU15O3 [600V],N,98,N'</v>
      </c>
    </row>
    <row r="2198" spans="1:1">
      <c r="A2198" s="2" t="e">
        <f>CONCATENATE("'",'Inverter-Full Data'!#REF!,"     ",'Inverter-Full Data'!#REF!,",",'Inverter-Full Data'!#REF!,",",'Inverter-Full Data'!#REF!,",",'Inverter-Full Data'!#REF!,"'")</f>
        <v>#REF!</v>
      </c>
    </row>
    <row r="2199" spans="1:1">
      <c r="A2199" s="2" t="e">
        <f>CONCATENATE("'",'Inverter-Full Data'!#REF!,"     ",'Inverter-Full Data'!#REF!,",",'Inverter-Full Data'!#REF!,",",'Inverter-Full Data'!#REF!,",",'Inverter-Full Data'!#REF!,"'")</f>
        <v>#REF!</v>
      </c>
    </row>
    <row r="2200" spans="1:1">
      <c r="A2200" s="2" t="str">
        <f>CONCATENATE("'",'Inverter-Full Data'!A350,"     ",'Inverter-Full Data'!B350,",",'Inverter-Full Data'!S350,",",'Inverter-Full Data'!J350,",",'Inverter-Full Data'!T350,"'")</f>
        <v>'Power Electronics     FS1475CU15 [600V],N,97.5,N'</v>
      </c>
    </row>
    <row r="2201" spans="1:1">
      <c r="A2201" s="2" t="e">
        <f>CONCATENATE("'",'Inverter-Full Data'!#REF!,"     ",'Inverter-Full Data'!#REF!,",",'Inverter-Full Data'!#REF!,",",'Inverter-Full Data'!#REF!,",",'Inverter-Full Data'!#REF!,"'")</f>
        <v>#REF!</v>
      </c>
    </row>
    <row r="2202" spans="1:1">
      <c r="A2202" s="2" t="e">
        <f>CONCATENATE("'",'Inverter-Full Data'!#REF!,"     ",'Inverter-Full Data'!#REF!,",",'Inverter-Full Data'!#REF!,",",'Inverter-Full Data'!#REF!,",",'Inverter-Full Data'!#REF!,"'")</f>
        <v>#REF!</v>
      </c>
    </row>
    <row r="2203" spans="1:1">
      <c r="A2203" s="2" t="e">
        <f>CONCATENATE("'",'Inverter-Full Data'!#REF!,"     ",'Inverter-Full Data'!#REF!,",",'Inverter-Full Data'!#REF!,",",'Inverter-Full Data'!#REF!,",",'Inverter-Full Data'!#REF!,"'")</f>
        <v>#REF!</v>
      </c>
    </row>
    <row r="2204" spans="1:1">
      <c r="A2204" s="2" t="e">
        <f>CONCATENATE("'",'Inverter-Full Data'!#REF!,"     ",'Inverter-Full Data'!#REF!,",",'Inverter-Full Data'!#REF!,",",'Inverter-Full Data'!#REF!,",",'Inverter-Full Data'!#REF!,"'")</f>
        <v>#REF!</v>
      </c>
    </row>
    <row r="2205" spans="1:1">
      <c r="A2205" s="2" t="str">
        <f>CONCATENATE("'",'Inverter-Full Data'!A351,"     ",'Inverter-Full Data'!B351,",",'Inverter-Full Data'!S351,",",'Inverter-Full Data'!J351,",",'Inverter-Full Data'!T351,"'")</f>
        <v>'Power Electronics     FS1600CU15 [645V],N,97.5,N'</v>
      </c>
    </row>
    <row r="2206" spans="1:1">
      <c r="A2206" s="2" t="e">
        <f>CONCATENATE("'",'Inverter-Full Data'!#REF!,"     ",'Inverter-Full Data'!#REF!,",",'Inverter-Full Data'!#REF!,",",'Inverter-Full Data'!#REF!,",",'Inverter-Full Data'!#REF!,"'")</f>
        <v>#REF!</v>
      </c>
    </row>
    <row r="2207" spans="1:1">
      <c r="A2207" s="2" t="e">
        <f>CONCATENATE("'",'Inverter-Full Data'!#REF!,"     ",'Inverter-Full Data'!#REF!,",",'Inverter-Full Data'!#REF!,",",'Inverter-Full Data'!#REF!,",",'Inverter-Full Data'!#REF!,"'")</f>
        <v>#REF!</v>
      </c>
    </row>
    <row r="2208" spans="1:1">
      <c r="A2208" s="2" t="e">
        <f>CONCATENATE("'",'Inverter-Full Data'!#REF!,"     ",'Inverter-Full Data'!#REF!,",",'Inverter-Full Data'!#REF!,",",'Inverter-Full Data'!#REF!,",",'Inverter-Full Data'!#REF!,"'")</f>
        <v>#REF!</v>
      </c>
    </row>
    <row r="2209" spans="1:1">
      <c r="A2209" s="2" t="str">
        <f>CONCATENATE("'",'Inverter-Full Data'!A352,"     ",'Inverter-Full Data'!B352,",",'Inverter-Full Data'!S352,",",'Inverter-Full Data'!J352,",",'Inverter-Full Data'!T352,"'")</f>
        <v>'Power Electronics     FS1700CU15 [690V],N,98,N'</v>
      </c>
    </row>
    <row r="2210" spans="1:1">
      <c r="A2210" s="2" t="str">
        <f>CONCATENATE("'",'Inverter-Full Data'!A353,"     ",'Inverter-Full Data'!B353,",",'Inverter-Full Data'!S353,",",'Inverter-Full Data'!J353,",",'Inverter-Full Data'!T353,"'")</f>
        <v>'Power Electronics     FS1750CU15 [565V],N,97.5,N'</v>
      </c>
    </row>
    <row r="2211" spans="1:1">
      <c r="A2211" s="2" t="e">
        <f>CONCATENATE("'",'Inverter-Full Data'!#REF!,"     ",'Inverter-Full Data'!#REF!,",",'Inverter-Full Data'!#REF!,",",'Inverter-Full Data'!#REF!,",",'Inverter-Full Data'!#REF!,"'")</f>
        <v>#REF!</v>
      </c>
    </row>
    <row r="2212" spans="1:1">
      <c r="A2212" s="2" t="e">
        <f>CONCATENATE("'",'Inverter-Full Data'!#REF!,"     ",'Inverter-Full Data'!#REF!,",",'Inverter-Full Data'!#REF!,",",'Inverter-Full Data'!#REF!,",",'Inverter-Full Data'!#REF!,"'")</f>
        <v>#REF!</v>
      </c>
    </row>
    <row r="2213" spans="1:1">
      <c r="A2213" s="2" t="str">
        <f>CONCATENATE("'",'Inverter-Full Data'!A354,"     ",'Inverter-Full Data'!B354,",",'Inverter-Full Data'!S354,",",'Inverter-Full Data'!J354,",",'Inverter-Full Data'!T354,"'")</f>
        <v>'Power Electronics     FS1850CU15O3 [600V],N,98,N'</v>
      </c>
    </row>
    <row r="2214" spans="1:1">
      <c r="A2214" s="2" t="e">
        <f>CONCATENATE("'",'Inverter-Full Data'!#REF!,"     ",'Inverter-Full Data'!#REF!,",",'Inverter-Full Data'!#REF!,",",'Inverter-Full Data'!#REF!,",",'Inverter-Full Data'!#REF!,"'")</f>
        <v>#REF!</v>
      </c>
    </row>
    <row r="2215" spans="1:1">
      <c r="A2215" s="2" t="e">
        <f>CONCATENATE("'",'Inverter-Full Data'!#REF!,"     ",'Inverter-Full Data'!#REF!,",",'Inverter-Full Data'!#REF!,",",'Inverter-Full Data'!#REF!,",",'Inverter-Full Data'!#REF!,"'")</f>
        <v>#REF!</v>
      </c>
    </row>
    <row r="2216" spans="1:1">
      <c r="A2216" s="2" t="e">
        <f>CONCATENATE("'",'Inverter-Full Data'!#REF!,"     ",'Inverter-Full Data'!#REF!,",",'Inverter-Full Data'!#REF!,",",'Inverter-Full Data'!#REF!,",",'Inverter-Full Data'!#REF!,"'")</f>
        <v>#REF!</v>
      </c>
    </row>
    <row r="2217" spans="1:1">
      <c r="A2217" s="2" t="e">
        <f>CONCATENATE("'",'Inverter-Full Data'!#REF!,"     ",'Inverter-Full Data'!#REF!,",",'Inverter-Full Data'!#REF!,",",'Inverter-Full Data'!#REF!,",",'Inverter-Full Data'!#REF!,"'")</f>
        <v>#REF!</v>
      </c>
    </row>
    <row r="2218" spans="1:1">
      <c r="A2218" s="2" t="e">
        <f>CONCATENATE("'",'Inverter-Full Data'!#REF!,"     ",'Inverter-Full Data'!#REF!,",",'Inverter-Full Data'!#REF!,",",'Inverter-Full Data'!#REF!,",",'Inverter-Full Data'!#REF!,"'")</f>
        <v>#REF!</v>
      </c>
    </row>
    <row r="2219" spans="1:1">
      <c r="A2219" s="2" t="e">
        <f>CONCATENATE("'",'Inverter-Full Data'!#REF!,"     ",'Inverter-Full Data'!#REF!,",",'Inverter-Full Data'!#REF!,",",'Inverter-Full Data'!#REF!,",",'Inverter-Full Data'!#REF!,"'")</f>
        <v>#REF!</v>
      </c>
    </row>
    <row r="2220" spans="1:1">
      <c r="A2220" s="2" t="str">
        <f>CONCATENATE("'",'Inverter-Full Data'!A355,"     ",'Inverter-Full Data'!B355,",",'Inverter-Full Data'!S355,",",'Inverter-Full Data'!J355,",",'Inverter-Full Data'!T355,"'")</f>
        <v>'Power Electronics     FS1850CU15 [600V],N,97.5,N'</v>
      </c>
    </row>
    <row r="2221" spans="1:1">
      <c r="A2221" s="2" t="e">
        <f>CONCATENATE("'",'Inverter-Full Data'!#REF!,"     ",'Inverter-Full Data'!#REF!,",",'Inverter-Full Data'!#REF!,",",'Inverter-Full Data'!#REF!,",",'Inverter-Full Data'!#REF!,"'")</f>
        <v>#REF!</v>
      </c>
    </row>
    <row r="2222" spans="1:1">
      <c r="A2222" s="2" t="e">
        <f>CONCATENATE("'",'Inverter-Full Data'!#REF!,"     ",'Inverter-Full Data'!#REF!,",",'Inverter-Full Data'!#REF!,",",'Inverter-Full Data'!#REF!,",",'Inverter-Full Data'!#REF!,"'")</f>
        <v>#REF!</v>
      </c>
    </row>
    <row r="2223" spans="1:1">
      <c r="A2223" s="2" t="str">
        <f>CONCATENATE("'",'Inverter-Full Data'!A356,"     ",'Inverter-Full Data'!B356,",",'Inverter-Full Data'!S356,",",'Inverter-Full Data'!J356,",",'Inverter-Full Data'!T356,"'")</f>
        <v>'Power Electronics     FS2000CU15 [645V],N,98,N'</v>
      </c>
    </row>
    <row r="2224" spans="1:1">
      <c r="A2224" s="2" t="e">
        <f>CONCATENATE("'",'Inverter-Full Data'!#REF!,"     ",'Inverter-Full Data'!#REF!,",",'Inverter-Full Data'!#REF!,",",'Inverter-Full Data'!#REF!,",",'Inverter-Full Data'!#REF!,"'")</f>
        <v>#REF!</v>
      </c>
    </row>
    <row r="2225" spans="1:1">
      <c r="A2225" s="2" t="e">
        <f>CONCATENATE("'",'Inverter-Full Data'!#REF!,"     ",'Inverter-Full Data'!#REF!,",",'Inverter-Full Data'!#REF!,",",'Inverter-Full Data'!#REF!,",",'Inverter-Full Data'!#REF!,"'")</f>
        <v>#REF!</v>
      </c>
    </row>
    <row r="2226" spans="1:1">
      <c r="A2226" s="2" t="e">
        <f>CONCATENATE("'",'Inverter-Full Data'!#REF!,"     ",'Inverter-Full Data'!#REF!,",",'Inverter-Full Data'!#REF!,",",'Inverter-Full Data'!#REF!,",",'Inverter-Full Data'!#REF!,"'")</f>
        <v>#REF!</v>
      </c>
    </row>
    <row r="2227" spans="1:1">
      <c r="A2227" s="2" t="str">
        <f>CONCATENATE("'",'Inverter-Full Data'!A357,"     ",'Inverter-Full Data'!B357,",",'Inverter-Full Data'!S357,",",'Inverter-Full Data'!J357,",",'Inverter-Full Data'!T357,"'")</f>
        <v>'Power Electronics     FS2100CU15 [565V],N,97.5,N'</v>
      </c>
    </row>
    <row r="2228" spans="1:1">
      <c r="A2228" s="2" t="str">
        <f>CONCATENATE("'",'Inverter-Full Data'!A358,"     ",'Inverter-Full Data'!B358,",",'Inverter-Full Data'!S358,",",'Inverter-Full Data'!J358,",",'Inverter-Full Data'!T358,"'")</f>
        <v>'Power Electronics     FS2125CU15 [690V],N,98,N'</v>
      </c>
    </row>
    <row r="2229" spans="1:1">
      <c r="A2229" s="2" t="str">
        <f>CONCATENATE("'",'Inverter-Full Data'!A359,"     ",'Inverter-Full Data'!B359,",",'Inverter-Full Data'!S359,",",'Inverter-Full Data'!J359,",",'Inverter-Full Data'!T359,"'")</f>
        <v>'Power Electronics     FS2225CU15 [600V],N,97.5,N'</v>
      </c>
    </row>
    <row r="2230" spans="1:1">
      <c r="A2230" s="2" t="str">
        <f>CONCATENATE("'",'Inverter-Full Data'!A360,"     ",'Inverter-Full Data'!B360,",",'Inverter-Full Data'!S360,",",'Inverter-Full Data'!J360,",",'Inverter-Full Data'!T360,"'")</f>
        <v>'Power Electronics     FS2250CU15O3 [600V],N,98,N'</v>
      </c>
    </row>
    <row r="2231" spans="1:1">
      <c r="A2231" s="2" t="e">
        <f>CONCATENATE("'",'Inverter-Full Data'!#REF!,"     ",'Inverter-Full Data'!#REF!,",",'Inverter-Full Data'!#REF!,",",'Inverter-Full Data'!#REF!,",",'Inverter-Full Data'!#REF!,"'")</f>
        <v>#REF!</v>
      </c>
    </row>
    <row r="2232" spans="1:1">
      <c r="A2232" s="2" t="str">
        <f>CONCATENATE("'",'Inverter-Full Data'!A361,"     ",'Inverter-Full Data'!B361,",",'Inverter-Full Data'!S361,",",'Inverter-Full Data'!J361,",",'Inverter-Full Data'!T361,"'")</f>
        <v>'Power Electronics     FS2150CU15 [645V],N,98,N'</v>
      </c>
    </row>
    <row r="2233" spans="1:1">
      <c r="A2233" s="2" t="str">
        <f>CONCATENATE("'",'Inverter-Full Data'!A362,"     ",'Inverter-Full Data'!B362,",",'Inverter-Full Data'!S362,",",'Inverter-Full Data'!J362,",",'Inverter-Full Data'!T362,"'")</f>
        <v>'Power Electronics     FS2400CU15 [645V],N,98,N'</v>
      </c>
    </row>
    <row r="2234" spans="1:1">
      <c r="A2234" s="2" t="str">
        <f>CONCATENATE("'",'Inverter-Full Data'!A363,"     ",'Inverter-Full Data'!B363,",",'Inverter-Full Data'!S363,",",'Inverter-Full Data'!J363,",",'Inverter-Full Data'!T363,"'")</f>
        <v>'Power Electronics     FS2450CU15 [565V],N,97.5,N'</v>
      </c>
    </row>
    <row r="2235" spans="1:1">
      <c r="A2235" s="2" t="str">
        <f>CONCATENATE("'",'Inverter-Full Data'!A364,"     ",'Inverter-Full Data'!B364,",",'Inverter-Full Data'!S364,",",'Inverter-Full Data'!J364,",",'Inverter-Full Data'!T364,"'")</f>
        <v>'Power Electronics     FS2550CU15 [690V],N,98,N'</v>
      </c>
    </row>
    <row r="2236" spans="1:1">
      <c r="A2236" s="2" t="e">
        <f>CONCATENATE("'",'Inverter-Full Data'!#REF!,"     ",'Inverter-Full Data'!#REF!,",",'Inverter-Full Data'!#REF!,",",'Inverter-Full Data'!#REF!,",",'Inverter-Full Data'!#REF!,"'")</f>
        <v>#REF!</v>
      </c>
    </row>
    <row r="2237" spans="1:1">
      <c r="A2237" s="2" t="str">
        <f>CONCATENATE("'",'Inverter-Full Data'!A365,"     ",'Inverter-Full Data'!B365,",",'Inverter-Full Data'!S365,",",'Inverter-Full Data'!J365,",",'Inverter-Full Data'!T365,"'")</f>
        <v>'Power Electronics     FS2300CU15 [690V],N,98,N'</v>
      </c>
    </row>
    <row r="2238" spans="1:1">
      <c r="A2238" s="2" t="str">
        <f>CONCATENATE("'",'Inverter-Full Data'!A366,"     ",'Inverter-Full Data'!B366,",",'Inverter-Full Data'!S366,",",'Inverter-Full Data'!J366,",",'Inverter-Full Data'!T366,"'")</f>
        <v>'Power Electronics     FS2600CU15O3 [600V],N,98,N'</v>
      </c>
    </row>
    <row r="2239" spans="1:1">
      <c r="A2239" s="2" t="str">
        <f>CONCATENATE("'",'Inverter-Full Data'!A367,"     ",'Inverter-Full Data'!B367,",",'Inverter-Full Data'!S367,",",'Inverter-Full Data'!J367,",",'Inverter-Full Data'!T367,"'")</f>
        <v>'Power Electronics     FS2600CU15 [600V],N,98,N'</v>
      </c>
    </row>
    <row r="2240" spans="1:1">
      <c r="A2240" s="2" t="str">
        <f>CONCATENATE("'",'Inverter-Full Data'!A368,"     ",'Inverter-Full Data'!B368,",",'Inverter-Full Data'!S368,",",'Inverter-Full Data'!J368,",",'Inverter-Full Data'!T368,"'")</f>
        <v>'Power Electronics     FS2800CU15 [645V],N,98,N'</v>
      </c>
    </row>
    <row r="2241" spans="1:1">
      <c r="A2241" s="2" t="str">
        <f>CONCATENATE("'",'Inverter-Full Data'!A369,"     ",'Inverter-Full Data'!B369,",",'Inverter-Full Data'!S369,",",'Inverter-Full Data'!J369,",",'Inverter-Full Data'!T369,"'")</f>
        <v>'Power Electronics     FS3000CU15 [690V],N,98,N'</v>
      </c>
    </row>
    <row r="2242" spans="1:1">
      <c r="A2242" s="2" t="e">
        <f>CONCATENATE("'",'Inverter-Full Data'!#REF!,"     ",'Inverter-Full Data'!#REF!,",",'Inverter-Full Data'!#REF!,",",'Inverter-Full Data'!#REF!,",",'Inverter-Full Data'!#REF!,"'")</f>
        <v>#REF!</v>
      </c>
    </row>
    <row r="2243" spans="1:1">
      <c r="A2243" s="2" t="e">
        <f>CONCATENATE("'",'Inverter-Full Data'!#REF!,"     ",'Inverter-Full Data'!#REF!,",",'Inverter-Full Data'!#REF!,",",'Inverter-Full Data'!#REF!,",",'Inverter-Full Data'!#REF!,"'")</f>
        <v>#REF!</v>
      </c>
    </row>
    <row r="2244" spans="1:1">
      <c r="A2244" s="2" t="e">
        <f>CONCATENATE("'",'Inverter-Full Data'!#REF!,"     ",'Inverter-Full Data'!#REF!,",",'Inverter-Full Data'!#REF!,",",'Inverter-Full Data'!#REF!,",",'Inverter-Full Data'!#REF!,"'")</f>
        <v>#REF!</v>
      </c>
    </row>
    <row r="2245" spans="1:1">
      <c r="A2245" s="2" t="e">
        <f>CONCATENATE("'",'Inverter-Full Data'!#REF!,"     ",'Inverter-Full Data'!#REF!,",",'Inverter-Full Data'!#REF!,",",'Inverter-Full Data'!#REF!,",",'Inverter-Full Data'!#REF!,"'")</f>
        <v>#REF!</v>
      </c>
    </row>
    <row r="2246" spans="1:1">
      <c r="A2246" s="2" t="e">
        <f>CONCATENATE("'",'Inverter-Full Data'!#REF!,"     ",'Inverter-Full Data'!#REF!,",",'Inverter-Full Data'!#REF!,",",'Inverter-Full Data'!#REF!,",",'Inverter-Full Data'!#REF!,"'")</f>
        <v>#REF!</v>
      </c>
    </row>
    <row r="2247" spans="1:1">
      <c r="A2247" s="2" t="e">
        <f>CONCATENATE("'",'Inverter-Full Data'!#REF!,"     ",'Inverter-Full Data'!#REF!,",",'Inverter-Full Data'!#REF!,",",'Inverter-Full Data'!#REF!,",",'Inverter-Full Data'!#REF!,"'")</f>
        <v>#REF!</v>
      </c>
    </row>
    <row r="2248" spans="1:1">
      <c r="A2248" s="2" t="e">
        <f>CONCATENATE("'",'Inverter-Full Data'!#REF!,"     ",'Inverter-Full Data'!#REF!,",",'Inverter-Full Data'!#REF!,",",'Inverter-Full Data'!#REF!,",",'Inverter-Full Data'!#REF!,"'")</f>
        <v>#REF!</v>
      </c>
    </row>
    <row r="2249" spans="1:1">
      <c r="A2249" s="2" t="e">
        <f>CONCATENATE("'",'Inverter-Full Data'!#REF!,"     ",'Inverter-Full Data'!#REF!,",",'Inverter-Full Data'!#REF!,",",'Inverter-Full Data'!#REF!,",",'Inverter-Full Data'!#REF!,"'")</f>
        <v>#REF!</v>
      </c>
    </row>
    <row r="2250" spans="1:1">
      <c r="A2250" s="2" t="e">
        <f>CONCATENATE("'",'Inverter-Full Data'!#REF!,"     ",'Inverter-Full Data'!#REF!,",",'Inverter-Full Data'!#REF!,",",'Inverter-Full Data'!#REF!,",",'Inverter-Full Data'!#REF!,"'")</f>
        <v>#REF!</v>
      </c>
    </row>
    <row r="2251" spans="1:1">
      <c r="A2251" s="2" t="e">
        <f>CONCATENATE("'",'Inverter-Full Data'!#REF!,"     ",'Inverter-Full Data'!#REF!,",",'Inverter-Full Data'!#REF!,",",'Inverter-Full Data'!#REF!,",",'Inverter-Full Data'!#REF!,"'")</f>
        <v>#REF!</v>
      </c>
    </row>
    <row r="2252" spans="1:1">
      <c r="A2252" s="2" t="e">
        <f>CONCATENATE("'",'Inverter-Full Data'!#REF!,"     ",'Inverter-Full Data'!#REF!,",",'Inverter-Full Data'!#REF!,",",'Inverter-Full Data'!#REF!,",",'Inverter-Full Data'!#REF!,"'")</f>
        <v>#REF!</v>
      </c>
    </row>
    <row r="2253" spans="1:1">
      <c r="A2253" s="2" t="e">
        <f>CONCATENATE("'",'Inverter-Full Data'!#REF!,"     ",'Inverter-Full Data'!#REF!,",",'Inverter-Full Data'!#REF!,",",'Inverter-Full Data'!#REF!,",",'Inverter-Full Data'!#REF!,"'")</f>
        <v>#REF!</v>
      </c>
    </row>
    <row r="2254" spans="1:1">
      <c r="A2254" s="2" t="e">
        <f>CONCATENATE("'",'Inverter-Full Data'!#REF!,"     ",'Inverter-Full Data'!#REF!,",",'Inverter-Full Data'!#REF!,",",'Inverter-Full Data'!#REF!,",",'Inverter-Full Data'!#REF!,"'")</f>
        <v>#REF!</v>
      </c>
    </row>
    <row r="2255" spans="1:1">
      <c r="A2255" s="2" t="e">
        <f>CONCATENATE("'",'Inverter-Full Data'!#REF!,"     ",'Inverter-Full Data'!#REF!,",",'Inverter-Full Data'!#REF!,",",'Inverter-Full Data'!#REF!,",",'Inverter-Full Data'!#REF!,"'")</f>
        <v>#REF!</v>
      </c>
    </row>
    <row r="2256" spans="1:1">
      <c r="A2256" s="2" t="e">
        <f>CONCATENATE("'",'Inverter-Full Data'!#REF!,"     ",'Inverter-Full Data'!#REF!,",",'Inverter-Full Data'!#REF!,",",'Inverter-Full Data'!#REF!,",",'Inverter-Full Data'!#REF!,"'")</f>
        <v>#REF!</v>
      </c>
    </row>
    <row r="2257" spans="1:1">
      <c r="A2257" s="2" t="e">
        <f>CONCATENATE("'",'Inverter-Full Data'!#REF!,"     ",'Inverter-Full Data'!#REF!,",",'Inverter-Full Data'!#REF!,",",'Inverter-Full Data'!#REF!,",",'Inverter-Full Data'!#REF!,"'")</f>
        <v>#REF!</v>
      </c>
    </row>
    <row r="2258" spans="1:1">
      <c r="A2258" s="2" t="e">
        <f>CONCATENATE("'",'Inverter-Full Data'!#REF!,"     ",'Inverter-Full Data'!#REF!,",",'Inverter-Full Data'!#REF!,",",'Inverter-Full Data'!#REF!,",",'Inverter-Full Data'!#REF!,"'")</f>
        <v>#REF!</v>
      </c>
    </row>
    <row r="2259" spans="1:1">
      <c r="A2259" s="2" t="e">
        <f>CONCATENATE("'",'Inverter-Full Data'!#REF!,"     ",'Inverter-Full Data'!#REF!,",",'Inverter-Full Data'!#REF!,",",'Inverter-Full Data'!#REF!,",",'Inverter-Full Data'!#REF!,"'")</f>
        <v>#REF!</v>
      </c>
    </row>
    <row r="2260" spans="1:1">
      <c r="A2260" s="2" t="e">
        <f>CONCATENATE("'",'Inverter-Full Data'!#REF!,"     ",'Inverter-Full Data'!#REF!,",",'Inverter-Full Data'!#REF!,",",'Inverter-Full Data'!#REF!,",",'Inverter-Full Data'!#REF!,"'")</f>
        <v>#REF!</v>
      </c>
    </row>
    <row r="2261" spans="1:1">
      <c r="A2261" s="2" t="e">
        <f>CONCATENATE("'",'Inverter-Full Data'!#REF!,"     ",'Inverter-Full Data'!#REF!,",",'Inverter-Full Data'!#REF!,",",'Inverter-Full Data'!#REF!,",",'Inverter-Full Data'!#REF!,"'")</f>
        <v>#REF!</v>
      </c>
    </row>
    <row r="2262" spans="1:1">
      <c r="A2262" s="2" t="e">
        <f>CONCATENATE("'",'Inverter-Full Data'!#REF!,"     ",'Inverter-Full Data'!#REF!,",",'Inverter-Full Data'!#REF!,",",'Inverter-Full Data'!#REF!,",",'Inverter-Full Data'!#REF!,"'")</f>
        <v>#REF!</v>
      </c>
    </row>
    <row r="2263" spans="1:1">
      <c r="A2263" s="2" t="e">
        <f>CONCATENATE("'",'Inverter-Full Data'!#REF!,"     ",'Inverter-Full Data'!#REF!,",",'Inverter-Full Data'!#REF!,",",'Inverter-Full Data'!#REF!,",",'Inverter-Full Data'!#REF!,"'")</f>
        <v>#REF!</v>
      </c>
    </row>
    <row r="2264" spans="1:1">
      <c r="A2264" s="2" t="e">
        <f>CONCATENATE("'",'Inverter-Full Data'!#REF!,"     ",'Inverter-Full Data'!#REF!,",",'Inverter-Full Data'!#REF!,",",'Inverter-Full Data'!#REF!,",",'Inverter-Full Data'!#REF!,"'")</f>
        <v>#REF!</v>
      </c>
    </row>
    <row r="2265" spans="1:1">
      <c r="A2265" s="2" t="e">
        <f>CONCATENATE("'",'Inverter-Full Data'!#REF!,"     ",'Inverter-Full Data'!#REF!,",",'Inverter-Full Data'!#REF!,",",'Inverter-Full Data'!#REF!,",",'Inverter-Full Data'!#REF!,"'")</f>
        <v>#REF!</v>
      </c>
    </row>
    <row r="2266" spans="1:1">
      <c r="A2266" s="2" t="e">
        <f>CONCATENATE("'",'Inverter-Full Data'!#REF!,"     ",'Inverter-Full Data'!#REF!,",",'Inverter-Full Data'!#REF!,",",'Inverter-Full Data'!#REF!,",",'Inverter-Full Data'!#REF!,"'")</f>
        <v>#REF!</v>
      </c>
    </row>
    <row r="2267" spans="1:1">
      <c r="A2267" s="2" t="e">
        <f>CONCATENATE("'",'Inverter-Full Data'!#REF!,"     ",'Inverter-Full Data'!#REF!,",",'Inverter-Full Data'!#REF!,",",'Inverter-Full Data'!#REF!,",",'Inverter-Full Data'!#REF!,"'")</f>
        <v>#REF!</v>
      </c>
    </row>
    <row r="2268" spans="1:1">
      <c r="A2268" s="2" t="e">
        <f>CONCATENATE("'",'Inverter-Full Data'!#REF!,"     ",'Inverter-Full Data'!#REF!,",",'Inverter-Full Data'!#REF!,",",'Inverter-Full Data'!#REF!,",",'Inverter-Full Data'!#REF!,"'")</f>
        <v>#REF!</v>
      </c>
    </row>
    <row r="2269" spans="1:1">
      <c r="A2269" s="2" t="e">
        <f>CONCATENATE("'",'Inverter-Full Data'!#REF!,"     ",'Inverter-Full Data'!#REF!,",",'Inverter-Full Data'!#REF!,",",'Inverter-Full Data'!#REF!,",",'Inverter-Full Data'!#REF!,"'")</f>
        <v>#REF!</v>
      </c>
    </row>
    <row r="2270" spans="1:1">
      <c r="A2270" s="2" t="e">
        <f>CONCATENATE("'",'Inverter-Full Data'!#REF!,"     ",'Inverter-Full Data'!#REF!,",",'Inverter-Full Data'!#REF!,",",'Inverter-Full Data'!#REF!,",",'Inverter-Full Data'!#REF!,"'")</f>
        <v>#REF!</v>
      </c>
    </row>
    <row r="2271" spans="1:1">
      <c r="A2271" s="2" t="e">
        <f>CONCATENATE("'",'Inverter-Full Data'!#REF!,"     ",'Inverter-Full Data'!#REF!,",",'Inverter-Full Data'!#REF!,",",'Inverter-Full Data'!#REF!,",",'Inverter-Full Data'!#REF!,"'")</f>
        <v>#REF!</v>
      </c>
    </row>
    <row r="2272" spans="1:1">
      <c r="A2272" s="2" t="e">
        <f>CONCATENATE("'",'Inverter-Full Data'!#REF!,"     ",'Inverter-Full Data'!#REF!,",",'Inverter-Full Data'!#REF!,",",'Inverter-Full Data'!#REF!,",",'Inverter-Full Data'!#REF!,"'")</f>
        <v>#REF!</v>
      </c>
    </row>
    <row r="2273" spans="1:1">
      <c r="A2273" s="2" t="e">
        <f>CONCATENATE("'",'Inverter-Full Data'!#REF!,"     ",'Inverter-Full Data'!#REF!,",",'Inverter-Full Data'!#REF!,",",'Inverter-Full Data'!#REF!,",",'Inverter-Full Data'!#REF!,"'")</f>
        <v>#REF!</v>
      </c>
    </row>
    <row r="2274" spans="1:1">
      <c r="A2274" s="2" t="e">
        <f>CONCATENATE("'",'Inverter-Full Data'!#REF!,"     ",'Inverter-Full Data'!#REF!,",",'Inverter-Full Data'!#REF!,",",'Inverter-Full Data'!#REF!,",",'Inverter-Full Data'!#REF!,"'")</f>
        <v>#REF!</v>
      </c>
    </row>
    <row r="2275" spans="1:1">
      <c r="A2275" s="2" t="e">
        <f>CONCATENATE("'",'Inverter-Full Data'!#REF!,"     ",'Inverter-Full Data'!#REF!,",",'Inverter-Full Data'!#REF!,",",'Inverter-Full Data'!#REF!,",",'Inverter-Full Data'!#REF!,"'")</f>
        <v>#REF!</v>
      </c>
    </row>
    <row r="2276" spans="1:1">
      <c r="A2276" s="2" t="e">
        <f>CONCATENATE("'",'Inverter-Full Data'!#REF!,"     ",'Inverter-Full Data'!#REF!,",",'Inverter-Full Data'!#REF!,",",'Inverter-Full Data'!#REF!,",",'Inverter-Full Data'!#REF!,"'")</f>
        <v>#REF!</v>
      </c>
    </row>
    <row r="2277" spans="1:1">
      <c r="A2277" s="2" t="e">
        <f>CONCATENATE("'",'Inverter-Full Data'!#REF!,"     ",'Inverter-Full Data'!#REF!,",",'Inverter-Full Data'!#REF!,",",'Inverter-Full Data'!#REF!,",",'Inverter-Full Data'!#REF!,"'")</f>
        <v>#REF!</v>
      </c>
    </row>
    <row r="2278" spans="1:1">
      <c r="A2278" s="2" t="e">
        <f>CONCATENATE("'",'Inverter-Full Data'!#REF!,"     ",'Inverter-Full Data'!#REF!,",",'Inverter-Full Data'!#REF!,",",'Inverter-Full Data'!#REF!,",",'Inverter-Full Data'!#REF!,"'")</f>
        <v>#REF!</v>
      </c>
    </row>
    <row r="2279" spans="1:1">
      <c r="A2279" s="2" t="e">
        <f>CONCATENATE("'",'Inverter-Full Data'!#REF!,"     ",'Inverter-Full Data'!#REF!,",",'Inverter-Full Data'!#REF!,",",'Inverter-Full Data'!#REF!,",",'Inverter-Full Data'!#REF!,"'")</f>
        <v>#REF!</v>
      </c>
    </row>
    <row r="2280" spans="1:1">
      <c r="A2280" s="2" t="e">
        <f>CONCATENATE("'",'Inverter-Full Data'!#REF!,"     ",'Inverter-Full Data'!#REF!,",",'Inverter-Full Data'!#REF!,",",'Inverter-Full Data'!#REF!,",",'Inverter-Full Data'!#REF!,"'")</f>
        <v>#REF!</v>
      </c>
    </row>
    <row r="2281" spans="1:1">
      <c r="A2281" s="2" t="e">
        <f>CONCATENATE("'",'Inverter-Full Data'!#REF!,"     ",'Inverter-Full Data'!#REF!,",",'Inverter-Full Data'!#REF!,",",'Inverter-Full Data'!#REF!,",",'Inverter-Full Data'!#REF!,"'")</f>
        <v>#REF!</v>
      </c>
    </row>
    <row r="2282" spans="1:1">
      <c r="A2282" s="2" t="e">
        <f>CONCATENATE("'",'Inverter-Full Data'!#REF!,"     ",'Inverter-Full Data'!#REF!,",",'Inverter-Full Data'!#REF!,",",'Inverter-Full Data'!#REF!,",",'Inverter-Full Data'!#REF!,"'")</f>
        <v>#REF!</v>
      </c>
    </row>
    <row r="2283" spans="1:1">
      <c r="A2283" s="2" t="e">
        <f>CONCATENATE("'",'Inverter-Full Data'!#REF!,"     ",'Inverter-Full Data'!#REF!,",",'Inverter-Full Data'!#REF!,",",'Inverter-Full Data'!#REF!,",",'Inverter-Full Data'!#REF!,"'")</f>
        <v>#REF!</v>
      </c>
    </row>
    <row r="2284" spans="1:1">
      <c r="A2284" s="2" t="e">
        <f>CONCATENATE("'",'Inverter-Full Data'!#REF!,"     ",'Inverter-Full Data'!#REF!,",",'Inverter-Full Data'!#REF!,",",'Inverter-Full Data'!#REF!,",",'Inverter-Full Data'!#REF!,"'")</f>
        <v>#REF!</v>
      </c>
    </row>
    <row r="2285" spans="1:1">
      <c r="A2285" s="2" t="e">
        <f>CONCATENATE("'",'Inverter-Full Data'!#REF!,"     ",'Inverter-Full Data'!#REF!,",",'Inverter-Full Data'!#REF!,",",'Inverter-Full Data'!#REF!,",",'Inverter-Full Data'!#REF!,"'")</f>
        <v>#REF!</v>
      </c>
    </row>
    <row r="2286" spans="1:1">
      <c r="A2286" s="2" t="e">
        <f>CONCATENATE("'",'Inverter-Full Data'!#REF!,"     ",'Inverter-Full Data'!#REF!,",",'Inverter-Full Data'!#REF!,",",'Inverter-Full Data'!#REF!,",",'Inverter-Full Data'!#REF!,"'")</f>
        <v>#REF!</v>
      </c>
    </row>
    <row r="2287" spans="1:1">
      <c r="A2287" s="2" t="e">
        <f>CONCATENATE("'",'Inverter-Full Data'!#REF!,"     ",'Inverter-Full Data'!#REF!,",",'Inverter-Full Data'!#REF!,",",'Inverter-Full Data'!#REF!,",",'Inverter-Full Data'!#REF!,"'")</f>
        <v>#REF!</v>
      </c>
    </row>
    <row r="2288" spans="1:1">
      <c r="A2288" s="2" t="e">
        <f>CONCATENATE("'",'Inverter-Full Data'!#REF!,"     ",'Inverter-Full Data'!#REF!,",",'Inverter-Full Data'!#REF!,",",'Inverter-Full Data'!#REF!,",",'Inverter-Full Data'!#REF!,"'")</f>
        <v>#REF!</v>
      </c>
    </row>
    <row r="2289" spans="1:1">
      <c r="A2289" s="2" t="e">
        <f>CONCATENATE("'",'Inverter-Full Data'!#REF!,"     ",'Inverter-Full Data'!#REF!,",",'Inverter-Full Data'!#REF!,",",'Inverter-Full Data'!#REF!,",",'Inverter-Full Data'!#REF!,"'")</f>
        <v>#REF!</v>
      </c>
    </row>
    <row r="2290" spans="1:1">
      <c r="A2290" s="2" t="e">
        <f>CONCATENATE("'",'Inverter-Full Data'!#REF!,"     ",'Inverter-Full Data'!#REF!,",",'Inverter-Full Data'!#REF!,",",'Inverter-Full Data'!#REF!,",",'Inverter-Full Data'!#REF!,"'")</f>
        <v>#REF!</v>
      </c>
    </row>
    <row r="2291" spans="1:1">
      <c r="A2291" s="2" t="e">
        <f>CONCATENATE("'",'Inverter-Full Data'!#REF!,"     ",'Inverter-Full Data'!#REF!,",",'Inverter-Full Data'!#REF!,",",'Inverter-Full Data'!#REF!,",",'Inverter-Full Data'!#REF!,"'")</f>
        <v>#REF!</v>
      </c>
    </row>
    <row r="2292" spans="1:1">
      <c r="A2292" s="2" t="e">
        <f>CONCATENATE("'",'Inverter-Full Data'!#REF!,"     ",'Inverter-Full Data'!#REF!,",",'Inverter-Full Data'!#REF!,",",'Inverter-Full Data'!#REF!,",",'Inverter-Full Data'!#REF!,"'")</f>
        <v>#REF!</v>
      </c>
    </row>
    <row r="2293" spans="1:1">
      <c r="A2293" s="2" t="e">
        <f>CONCATENATE("'",'Inverter-Full Data'!#REF!,"     ",'Inverter-Full Data'!#REF!,",",'Inverter-Full Data'!#REF!,",",'Inverter-Full Data'!#REF!,",",'Inverter-Full Data'!#REF!,"'")</f>
        <v>#REF!</v>
      </c>
    </row>
    <row r="2294" spans="1:1">
      <c r="A2294" s="2" t="e">
        <f>CONCATENATE("'",'Inverter-Full Data'!#REF!,"     ",'Inverter-Full Data'!#REF!,",",'Inverter-Full Data'!#REF!,",",'Inverter-Full Data'!#REF!,",",'Inverter-Full Data'!#REF!,"'")</f>
        <v>#REF!</v>
      </c>
    </row>
    <row r="2295" spans="1:1">
      <c r="A2295" s="2" t="e">
        <f>CONCATENATE("'",'Inverter-Full Data'!#REF!,"     ",'Inverter-Full Data'!#REF!,",",'Inverter-Full Data'!#REF!,",",'Inverter-Full Data'!#REF!,",",'Inverter-Full Data'!#REF!,"'")</f>
        <v>#REF!</v>
      </c>
    </row>
    <row r="2296" spans="1:1">
      <c r="A2296" s="2" t="e">
        <f>CONCATENATE("'",'Inverter-Full Data'!#REF!,"     ",'Inverter-Full Data'!#REF!,",",'Inverter-Full Data'!#REF!,",",'Inverter-Full Data'!#REF!,",",'Inverter-Full Data'!#REF!,"'")</f>
        <v>#REF!</v>
      </c>
    </row>
    <row r="2297" spans="1:1">
      <c r="A2297" s="2" t="e">
        <f>CONCATENATE("'",'Inverter-Full Data'!#REF!,"     ",'Inverter-Full Data'!#REF!,",",'Inverter-Full Data'!#REF!,",",'Inverter-Full Data'!#REF!,",",'Inverter-Full Data'!#REF!,"'")</f>
        <v>#REF!</v>
      </c>
    </row>
    <row r="2298" spans="1:1">
      <c r="A2298" s="2" t="e">
        <f>CONCATENATE("'",'Inverter-Full Data'!#REF!,"     ",'Inverter-Full Data'!#REF!,",",'Inverter-Full Data'!#REF!,",",'Inverter-Full Data'!#REF!,",",'Inverter-Full Data'!#REF!,"'")</f>
        <v>#REF!</v>
      </c>
    </row>
    <row r="2299" spans="1:1">
      <c r="A2299" s="2" t="e">
        <f>CONCATENATE("'",'Inverter-Full Data'!#REF!,"     ",'Inverter-Full Data'!#REF!,",",'Inverter-Full Data'!#REF!,",",'Inverter-Full Data'!#REF!,",",'Inverter-Full Data'!#REF!,"'")</f>
        <v>#REF!</v>
      </c>
    </row>
    <row r="2300" spans="1:1">
      <c r="A2300" s="2" t="e">
        <f>CONCATENATE("'",'Inverter-Full Data'!#REF!,"     ",'Inverter-Full Data'!#REF!,",",'Inverter-Full Data'!#REF!,",",'Inverter-Full Data'!#REF!,",",'Inverter-Full Data'!#REF!,"'")</f>
        <v>#REF!</v>
      </c>
    </row>
    <row r="2301" spans="1:1">
      <c r="A2301" s="2" t="e">
        <f>CONCATENATE("'",'Inverter-Full Data'!#REF!,"     ",'Inverter-Full Data'!#REF!,",",'Inverter-Full Data'!#REF!,",",'Inverter-Full Data'!#REF!,",",'Inverter-Full Data'!#REF!,"'")</f>
        <v>#REF!</v>
      </c>
    </row>
    <row r="2302" spans="1:1">
      <c r="A2302" s="2" t="e">
        <f>CONCATENATE("'",'Inverter-Full Data'!#REF!,"     ",'Inverter-Full Data'!#REF!,",",'Inverter-Full Data'!#REF!,",",'Inverter-Full Data'!#REF!,",",'Inverter-Full Data'!#REF!,"'")</f>
        <v>#REF!</v>
      </c>
    </row>
    <row r="2303" spans="1:1">
      <c r="A2303" s="2" t="e">
        <f>CONCATENATE("'",'Inverter-Full Data'!#REF!,"     ",'Inverter-Full Data'!#REF!,",",'Inverter-Full Data'!#REF!,",",'Inverter-Full Data'!#REF!,",",'Inverter-Full Data'!#REF!,"'")</f>
        <v>#REF!</v>
      </c>
    </row>
    <row r="2304" spans="1:1">
      <c r="A2304" s="2" t="e">
        <f>CONCATENATE("'",'Inverter-Full Data'!#REF!,"     ",'Inverter-Full Data'!#REF!,",",'Inverter-Full Data'!#REF!,",",'Inverter-Full Data'!#REF!,",",'Inverter-Full Data'!#REF!,"'")</f>
        <v>#REF!</v>
      </c>
    </row>
    <row r="2305" spans="1:1">
      <c r="A2305" s="2" t="e">
        <f>CONCATENATE("'",'Inverter-Full Data'!#REF!,"     ",'Inverter-Full Data'!#REF!,",",'Inverter-Full Data'!#REF!,",",'Inverter-Full Data'!#REF!,",",'Inverter-Full Data'!#REF!,"'")</f>
        <v>#REF!</v>
      </c>
    </row>
    <row r="2306" spans="1:1">
      <c r="A2306" s="2" t="e">
        <f>CONCATENATE("'",'Inverter-Full Data'!#REF!,"     ",'Inverter-Full Data'!#REF!,",",'Inverter-Full Data'!#REF!,",",'Inverter-Full Data'!#REF!,",",'Inverter-Full Data'!#REF!,"'")</f>
        <v>#REF!</v>
      </c>
    </row>
    <row r="2307" spans="1:1">
      <c r="A2307" s="2" t="e">
        <f>CONCATENATE("'",'Inverter-Full Data'!#REF!,"     ",'Inverter-Full Data'!#REF!,",",'Inverter-Full Data'!#REF!,",",'Inverter-Full Data'!#REF!,",",'Inverter-Full Data'!#REF!,"'")</f>
        <v>#REF!</v>
      </c>
    </row>
    <row r="2308" spans="1:1">
      <c r="A2308" s="2" t="e">
        <f>CONCATENATE("'",'Inverter-Full Data'!#REF!,"     ",'Inverter-Full Data'!#REF!,",",'Inverter-Full Data'!#REF!,",",'Inverter-Full Data'!#REF!,",",'Inverter-Full Data'!#REF!,"'")</f>
        <v>#REF!</v>
      </c>
    </row>
    <row r="2309" spans="1:1">
      <c r="A2309" s="2" t="e">
        <f>CONCATENATE("'",'Inverter-Full Data'!#REF!,"     ",'Inverter-Full Data'!#REF!,",",'Inverter-Full Data'!#REF!,",",'Inverter-Full Data'!#REF!,",",'Inverter-Full Data'!#REF!,"'")</f>
        <v>#REF!</v>
      </c>
    </row>
    <row r="2310" spans="1:1">
      <c r="A2310" s="2" t="e">
        <f>CONCATENATE("'",'Inverter-Full Data'!#REF!,"     ",'Inverter-Full Data'!#REF!,",",'Inverter-Full Data'!#REF!,",",'Inverter-Full Data'!#REF!,",",'Inverter-Full Data'!#REF!,"'")</f>
        <v>#REF!</v>
      </c>
    </row>
    <row r="2311" spans="1:1">
      <c r="A2311" s="2" t="e">
        <f>CONCATENATE("'",'Inverter-Full Data'!#REF!,"     ",'Inverter-Full Data'!#REF!,",",'Inverter-Full Data'!#REF!,",",'Inverter-Full Data'!#REF!,",",'Inverter-Full Data'!#REF!,"'")</f>
        <v>#REF!</v>
      </c>
    </row>
    <row r="2312" spans="1:1">
      <c r="A2312" s="2" t="e">
        <f>CONCATENATE("'",'Inverter-Full Data'!#REF!,"     ",'Inverter-Full Data'!#REF!,",",'Inverter-Full Data'!#REF!,",",'Inverter-Full Data'!#REF!,",",'Inverter-Full Data'!#REF!,"'")</f>
        <v>#REF!</v>
      </c>
    </row>
    <row r="2313" spans="1:1">
      <c r="A2313" s="2" t="e">
        <f>CONCATENATE("'",'Inverter-Full Data'!#REF!,"     ",'Inverter-Full Data'!#REF!,",",'Inverter-Full Data'!#REF!,",",'Inverter-Full Data'!#REF!,",",'Inverter-Full Data'!#REF!,"'")</f>
        <v>#REF!</v>
      </c>
    </row>
    <row r="2314" spans="1:1">
      <c r="A2314" s="2" t="e">
        <f>CONCATENATE("'",'Inverter-Full Data'!#REF!,"     ",'Inverter-Full Data'!#REF!,",",'Inverter-Full Data'!#REF!,",",'Inverter-Full Data'!#REF!,",",'Inverter-Full Data'!#REF!,"'")</f>
        <v>#REF!</v>
      </c>
    </row>
    <row r="2315" spans="1:1">
      <c r="A2315" s="2" t="e">
        <f>CONCATENATE("'",'Inverter-Full Data'!#REF!,"     ",'Inverter-Full Data'!#REF!,",",'Inverter-Full Data'!#REF!,",",'Inverter-Full Data'!#REF!,",",'Inverter-Full Data'!#REF!,"'")</f>
        <v>#REF!</v>
      </c>
    </row>
    <row r="2316" spans="1:1">
      <c r="A2316" s="2" t="e">
        <f>CONCATENATE("'",'Inverter-Full Data'!#REF!,"     ",'Inverter-Full Data'!#REF!,",",'Inverter-Full Data'!#REF!,",",'Inverter-Full Data'!#REF!,",",'Inverter-Full Data'!#REF!,"'")</f>
        <v>#REF!</v>
      </c>
    </row>
    <row r="2317" spans="1:1">
      <c r="A2317" s="2" t="e">
        <f>CONCATENATE("'",'Inverter-Full Data'!#REF!,"     ",'Inverter-Full Data'!#REF!,",",'Inverter-Full Data'!#REF!,",",'Inverter-Full Data'!#REF!,",",'Inverter-Full Data'!#REF!,"'")</f>
        <v>#REF!</v>
      </c>
    </row>
    <row r="2318" spans="1:1">
      <c r="A2318" s="2" t="e">
        <f>CONCATENATE("'",'Inverter-Full Data'!#REF!,"     ",'Inverter-Full Data'!#REF!,",",'Inverter-Full Data'!#REF!,",",'Inverter-Full Data'!#REF!,",",'Inverter-Full Data'!#REF!,"'")</f>
        <v>#REF!</v>
      </c>
    </row>
    <row r="2319" spans="1:1">
      <c r="A2319" s="2" t="e">
        <f>CONCATENATE("'",'Inverter-Full Data'!#REF!,"     ",'Inverter-Full Data'!#REF!,",",'Inverter-Full Data'!#REF!,",",'Inverter-Full Data'!#REF!,",",'Inverter-Full Data'!#REF!,"'")</f>
        <v>#REF!</v>
      </c>
    </row>
    <row r="2320" spans="1:1">
      <c r="A2320" s="2" t="e">
        <f>CONCATENATE("'",'Inverter-Full Data'!#REF!,"     ",'Inverter-Full Data'!#REF!,",",'Inverter-Full Data'!#REF!,",",'Inverter-Full Data'!#REF!,",",'Inverter-Full Data'!#REF!,"'")</f>
        <v>#REF!</v>
      </c>
    </row>
    <row r="2321" spans="1:1">
      <c r="A2321" s="2" t="e">
        <f>CONCATENATE("'",'Inverter-Full Data'!#REF!,"     ",'Inverter-Full Data'!#REF!,",",'Inverter-Full Data'!#REF!,",",'Inverter-Full Data'!#REF!,",",'Inverter-Full Data'!#REF!,"'")</f>
        <v>#REF!</v>
      </c>
    </row>
    <row r="2322" spans="1:1">
      <c r="A2322" s="2" t="e">
        <f>CONCATENATE("'",'Inverter-Full Data'!#REF!,"     ",'Inverter-Full Data'!#REF!,",",'Inverter-Full Data'!#REF!,",",'Inverter-Full Data'!#REF!,",",'Inverter-Full Data'!#REF!,"'")</f>
        <v>#REF!</v>
      </c>
    </row>
    <row r="2323" spans="1:1">
      <c r="A2323" s="2" t="e">
        <f>CONCATENATE("'",'Inverter-Full Data'!#REF!,"     ",'Inverter-Full Data'!#REF!,",",'Inverter-Full Data'!#REF!,",",'Inverter-Full Data'!#REF!,",",'Inverter-Full Data'!#REF!,"'")</f>
        <v>#REF!</v>
      </c>
    </row>
    <row r="2324" spans="1:1">
      <c r="A2324" s="2" t="e">
        <f>CONCATENATE("'",'Inverter-Full Data'!#REF!,"     ",'Inverter-Full Data'!#REF!,",",'Inverter-Full Data'!#REF!,",",'Inverter-Full Data'!#REF!,",",'Inverter-Full Data'!#REF!,"'")</f>
        <v>#REF!</v>
      </c>
    </row>
    <row r="2325" spans="1:1">
      <c r="A2325" s="2" t="e">
        <f>CONCATENATE("'",'Inverter-Full Data'!#REF!,"     ",'Inverter-Full Data'!#REF!,",",'Inverter-Full Data'!#REF!,",",'Inverter-Full Data'!#REF!,",",'Inverter-Full Data'!#REF!,"'")</f>
        <v>#REF!</v>
      </c>
    </row>
    <row r="2326" spans="1:1">
      <c r="A2326" s="2" t="e">
        <f>CONCATENATE("'",'Inverter-Full Data'!#REF!,"     ",'Inverter-Full Data'!#REF!,",",'Inverter-Full Data'!#REF!,",",'Inverter-Full Data'!#REF!,",",'Inverter-Full Data'!#REF!,"'")</f>
        <v>#REF!</v>
      </c>
    </row>
    <row r="2327" spans="1:1">
      <c r="A2327" s="2" t="e">
        <f>CONCATENATE("'",'Inverter-Full Data'!#REF!,"     ",'Inverter-Full Data'!#REF!,",",'Inverter-Full Data'!#REF!,",",'Inverter-Full Data'!#REF!,",",'Inverter-Full Data'!#REF!,"'")</f>
        <v>#REF!</v>
      </c>
    </row>
    <row r="2328" spans="1:1">
      <c r="A2328" s="2" t="e">
        <f>CONCATENATE("'",'Inverter-Full Data'!#REF!,"     ",'Inverter-Full Data'!#REF!,",",'Inverter-Full Data'!#REF!,",",'Inverter-Full Data'!#REF!,",",'Inverter-Full Data'!#REF!,"'")</f>
        <v>#REF!</v>
      </c>
    </row>
    <row r="2329" spans="1:1">
      <c r="A2329" s="2" t="e">
        <f>CONCATENATE("'",'Inverter-Full Data'!#REF!,"     ",'Inverter-Full Data'!#REF!,",",'Inverter-Full Data'!#REF!,",",'Inverter-Full Data'!#REF!,",",'Inverter-Full Data'!#REF!,"'")</f>
        <v>#REF!</v>
      </c>
    </row>
    <row r="2330" spans="1:1">
      <c r="A2330" s="2" t="e">
        <f>CONCATENATE("'",'Inverter-Full Data'!#REF!,"     ",'Inverter-Full Data'!#REF!,",",'Inverter-Full Data'!#REF!,",",'Inverter-Full Data'!#REF!,",",'Inverter-Full Data'!#REF!,"'")</f>
        <v>#REF!</v>
      </c>
    </row>
    <row r="2331" spans="1:1">
      <c r="A2331" s="2" t="e">
        <f>CONCATENATE("'",'Inverter-Full Data'!#REF!,"     ",'Inverter-Full Data'!#REF!,",",'Inverter-Full Data'!#REF!,",",'Inverter-Full Data'!#REF!,",",'Inverter-Full Data'!#REF!,"'")</f>
        <v>#REF!</v>
      </c>
    </row>
    <row r="2332" spans="1:1">
      <c r="A2332" s="2" t="e">
        <f>CONCATENATE("'",'Inverter-Full Data'!#REF!,"     ",'Inverter-Full Data'!#REF!,",",'Inverter-Full Data'!#REF!,",",'Inverter-Full Data'!#REF!,",",'Inverter-Full Data'!#REF!,"'")</f>
        <v>#REF!</v>
      </c>
    </row>
    <row r="2333" spans="1:1">
      <c r="A2333" s="2" t="e">
        <f>CONCATENATE("'",'Inverter-Full Data'!#REF!,"     ",'Inverter-Full Data'!#REF!,",",'Inverter-Full Data'!#REF!,",",'Inverter-Full Data'!#REF!,",",'Inverter-Full Data'!#REF!,"'")</f>
        <v>#REF!</v>
      </c>
    </row>
    <row r="2334" spans="1:1">
      <c r="A2334" s="2" t="e">
        <f>CONCATENATE("'",'Inverter-Full Data'!#REF!,"     ",'Inverter-Full Data'!#REF!,",",'Inverter-Full Data'!#REF!,",",'Inverter-Full Data'!#REF!,",",'Inverter-Full Data'!#REF!,"'")</f>
        <v>#REF!</v>
      </c>
    </row>
    <row r="2335" spans="1:1">
      <c r="A2335" s="2" t="e">
        <f>CONCATENATE("'",'Inverter-Full Data'!#REF!,"     ",'Inverter-Full Data'!#REF!,",",'Inverter-Full Data'!#REF!,",",'Inverter-Full Data'!#REF!,",",'Inverter-Full Data'!#REF!,"'")</f>
        <v>#REF!</v>
      </c>
    </row>
    <row r="2336" spans="1:1">
      <c r="A2336" s="2" t="e">
        <f>CONCATENATE("'",'Inverter-Full Data'!#REF!,"     ",'Inverter-Full Data'!#REF!,",",'Inverter-Full Data'!#REF!,",",'Inverter-Full Data'!#REF!,",",'Inverter-Full Data'!#REF!,"'")</f>
        <v>#REF!</v>
      </c>
    </row>
    <row r="2337" spans="1:1">
      <c r="A2337" s="2" t="e">
        <f>CONCATENATE("'",'Inverter-Full Data'!#REF!,"     ",'Inverter-Full Data'!#REF!,",",'Inverter-Full Data'!#REF!,",",'Inverter-Full Data'!#REF!,",",'Inverter-Full Data'!#REF!,"'")</f>
        <v>#REF!</v>
      </c>
    </row>
    <row r="2338" spans="1:1">
      <c r="A2338" s="2" t="e">
        <f>CONCATENATE("'",'Inverter-Full Data'!#REF!,"     ",'Inverter-Full Data'!#REF!,",",'Inverter-Full Data'!#REF!,",",'Inverter-Full Data'!#REF!,",",'Inverter-Full Data'!#REF!,"'")</f>
        <v>#REF!</v>
      </c>
    </row>
    <row r="2339" spans="1:1">
      <c r="A2339" s="2" t="e">
        <f>CONCATENATE("'",'Inverter-Full Data'!#REF!,"     ",'Inverter-Full Data'!#REF!,",",'Inverter-Full Data'!#REF!,",",'Inverter-Full Data'!#REF!,",",'Inverter-Full Data'!#REF!,"'")</f>
        <v>#REF!</v>
      </c>
    </row>
    <row r="2340" spans="1:1">
      <c r="A2340" s="2" t="e">
        <f>CONCATENATE("'",'Inverter-Full Data'!#REF!,"     ",'Inverter-Full Data'!#REF!,",",'Inverter-Full Data'!#REF!,",",'Inverter-Full Data'!#REF!,",",'Inverter-Full Data'!#REF!,"'")</f>
        <v>#REF!</v>
      </c>
    </row>
    <row r="2341" spans="1:1">
      <c r="A2341" s="2" t="e">
        <f>CONCATENATE("'",'Inverter-Full Data'!#REF!,"     ",'Inverter-Full Data'!#REF!,",",'Inverter-Full Data'!#REF!,",",'Inverter-Full Data'!#REF!,",",'Inverter-Full Data'!#REF!,"'")</f>
        <v>#REF!</v>
      </c>
    </row>
    <row r="2342" spans="1:1">
      <c r="A2342" s="2" t="e">
        <f>CONCATENATE("'",'Inverter-Full Data'!#REF!,"     ",'Inverter-Full Data'!#REF!,",",'Inverter-Full Data'!#REF!,",",'Inverter-Full Data'!#REF!,",",'Inverter-Full Data'!#REF!,"'")</f>
        <v>#REF!</v>
      </c>
    </row>
    <row r="2343" spans="1:1">
      <c r="A2343" s="2" t="e">
        <f>CONCATENATE("'",'Inverter-Full Data'!#REF!,"     ",'Inverter-Full Data'!#REF!,",",'Inverter-Full Data'!#REF!,",",'Inverter-Full Data'!#REF!,",",'Inverter-Full Data'!#REF!,"'")</f>
        <v>#REF!</v>
      </c>
    </row>
    <row r="2344" spans="1:1">
      <c r="A2344" s="2" t="e">
        <f>CONCATENATE("'",'Inverter-Full Data'!#REF!,"     ",'Inverter-Full Data'!#REF!,",",'Inverter-Full Data'!#REF!,",",'Inverter-Full Data'!#REF!,",",'Inverter-Full Data'!#REF!,"'")</f>
        <v>#REF!</v>
      </c>
    </row>
    <row r="2345" spans="1:1">
      <c r="A2345" s="2" t="e">
        <f>CONCATENATE("'",'Inverter-Full Data'!#REF!,"     ",'Inverter-Full Data'!#REF!,",",'Inverter-Full Data'!#REF!,",",'Inverter-Full Data'!#REF!,",",'Inverter-Full Data'!#REF!,"'")</f>
        <v>#REF!</v>
      </c>
    </row>
    <row r="2346" spans="1:1">
      <c r="A2346" s="2" t="e">
        <f>CONCATENATE("'",'Inverter-Full Data'!#REF!,"     ",'Inverter-Full Data'!#REF!,",",'Inverter-Full Data'!#REF!,",",'Inverter-Full Data'!#REF!,",",'Inverter-Full Data'!#REF!,"'")</f>
        <v>#REF!</v>
      </c>
    </row>
    <row r="2347" spans="1:1">
      <c r="A2347" s="2" t="e">
        <f>CONCATENATE("'",'Inverter-Full Data'!#REF!,"     ",'Inverter-Full Data'!#REF!,",",'Inverter-Full Data'!#REF!,",",'Inverter-Full Data'!#REF!,",",'Inverter-Full Data'!#REF!,"'")</f>
        <v>#REF!</v>
      </c>
    </row>
    <row r="2348" spans="1:1">
      <c r="A2348" s="2" t="e">
        <f>CONCATENATE("'",'Inverter-Full Data'!#REF!,"     ",'Inverter-Full Data'!#REF!,",",'Inverter-Full Data'!#REF!,",",'Inverter-Full Data'!#REF!,",",'Inverter-Full Data'!#REF!,"'")</f>
        <v>#REF!</v>
      </c>
    </row>
    <row r="2349" spans="1:1">
      <c r="A2349" s="2" t="e">
        <f>CONCATENATE("'",'Inverter-Full Data'!#REF!,"     ",'Inverter-Full Data'!#REF!,",",'Inverter-Full Data'!#REF!,",",'Inverter-Full Data'!#REF!,",",'Inverter-Full Data'!#REF!,"'")</f>
        <v>#REF!</v>
      </c>
    </row>
    <row r="2350" spans="1:1">
      <c r="A2350" s="2" t="e">
        <f>CONCATENATE("'",'Inverter-Full Data'!#REF!,"     ",'Inverter-Full Data'!#REF!,",",'Inverter-Full Data'!#REF!,",",'Inverter-Full Data'!#REF!,",",'Inverter-Full Data'!#REF!,"'")</f>
        <v>#REF!</v>
      </c>
    </row>
    <row r="2351" spans="1:1">
      <c r="A2351" s="2" t="e">
        <f>CONCATENATE("'",'Inverter-Full Data'!#REF!,"     ",'Inverter-Full Data'!#REF!,",",'Inverter-Full Data'!#REF!,",",'Inverter-Full Data'!#REF!,",",'Inverter-Full Data'!#REF!,"'")</f>
        <v>#REF!</v>
      </c>
    </row>
    <row r="2352" spans="1:1">
      <c r="A2352" s="2" t="e">
        <f>CONCATENATE("'",'Inverter-Full Data'!#REF!,"     ",'Inverter-Full Data'!#REF!,",",'Inverter-Full Data'!#REF!,",",'Inverter-Full Data'!#REF!,",",'Inverter-Full Data'!#REF!,"'")</f>
        <v>#REF!</v>
      </c>
    </row>
    <row r="2353" spans="1:1">
      <c r="A2353" s="2" t="e">
        <f>CONCATENATE("'",'Inverter-Full Data'!#REF!,"     ",'Inverter-Full Data'!#REF!,",",'Inverter-Full Data'!#REF!,",",'Inverter-Full Data'!#REF!,",",'Inverter-Full Data'!#REF!,"'")</f>
        <v>#REF!</v>
      </c>
    </row>
    <row r="2354" spans="1:1">
      <c r="A2354" s="2" t="e">
        <f>CONCATENATE("'",'Inverter-Full Data'!#REF!,"     ",'Inverter-Full Data'!#REF!,",",'Inverter-Full Data'!#REF!,",",'Inverter-Full Data'!#REF!,",",'Inverter-Full Data'!#REF!,"'")</f>
        <v>#REF!</v>
      </c>
    </row>
    <row r="2355" spans="1:1">
      <c r="A2355" s="2" t="e">
        <f>CONCATENATE("'",'Inverter-Full Data'!#REF!,"     ",'Inverter-Full Data'!#REF!,",",'Inverter-Full Data'!#REF!,",",'Inverter-Full Data'!#REF!,",",'Inverter-Full Data'!#REF!,"'")</f>
        <v>#REF!</v>
      </c>
    </row>
    <row r="2356" spans="1:1">
      <c r="A2356" s="2" t="e">
        <f>CONCATENATE("'",'Inverter-Full Data'!#REF!,"     ",'Inverter-Full Data'!#REF!,",",'Inverter-Full Data'!#REF!,",",'Inverter-Full Data'!#REF!,",",'Inverter-Full Data'!#REF!,"'")</f>
        <v>#REF!</v>
      </c>
    </row>
    <row r="2357" spans="1:1">
      <c r="A2357" s="2" t="e">
        <f>CONCATENATE("'",'Inverter-Full Data'!#REF!,"     ",'Inverter-Full Data'!#REF!,",",'Inverter-Full Data'!#REF!,",",'Inverter-Full Data'!#REF!,",",'Inverter-Full Data'!#REF!,"'")</f>
        <v>#REF!</v>
      </c>
    </row>
    <row r="2358" spans="1:1">
      <c r="A2358" s="2" t="e">
        <f>CONCATENATE("'",'Inverter-Full Data'!#REF!,"     ",'Inverter-Full Data'!#REF!,",",'Inverter-Full Data'!#REF!,",",'Inverter-Full Data'!#REF!,",",'Inverter-Full Data'!#REF!,"'")</f>
        <v>#REF!</v>
      </c>
    </row>
    <row r="2359" spans="1:1">
      <c r="A2359" s="2" t="e">
        <f>CONCATENATE("'",'Inverter-Full Data'!#REF!,"     ",'Inverter-Full Data'!#REF!,",",'Inverter-Full Data'!#REF!,",",'Inverter-Full Data'!#REF!,",",'Inverter-Full Data'!#REF!,"'")</f>
        <v>#REF!</v>
      </c>
    </row>
    <row r="2360" spans="1:1">
      <c r="A2360" s="2" t="e">
        <f>CONCATENATE("'",'Inverter-Full Data'!#REF!,"     ",'Inverter-Full Data'!#REF!,",",'Inverter-Full Data'!#REF!,",",'Inverter-Full Data'!#REF!,",",'Inverter-Full Data'!#REF!,"'")</f>
        <v>#REF!</v>
      </c>
    </row>
    <row r="2361" spans="1:1">
      <c r="A2361" s="2" t="e">
        <f>CONCATENATE("'",'Inverter-Full Data'!#REF!,"     ",'Inverter-Full Data'!#REF!,",",'Inverter-Full Data'!#REF!,",",'Inverter-Full Data'!#REF!,",",'Inverter-Full Data'!#REF!,"'")</f>
        <v>#REF!</v>
      </c>
    </row>
    <row r="2362" spans="1:1">
      <c r="A2362" s="2" t="e">
        <f>CONCATENATE("'",'Inverter-Full Data'!#REF!,"     ",'Inverter-Full Data'!#REF!,",",'Inverter-Full Data'!#REF!,",",'Inverter-Full Data'!#REF!,",",'Inverter-Full Data'!#REF!,"'")</f>
        <v>#REF!</v>
      </c>
    </row>
    <row r="2363" spans="1:1">
      <c r="A2363" s="2" t="e">
        <f>CONCATENATE("'",'Inverter-Full Data'!#REF!,"     ",'Inverter-Full Data'!#REF!,",",'Inverter-Full Data'!#REF!,",",'Inverter-Full Data'!#REF!,",",'Inverter-Full Data'!#REF!,"'")</f>
        <v>#REF!</v>
      </c>
    </row>
    <row r="2364" spans="1:1">
      <c r="A2364" s="2" t="e">
        <f>CONCATENATE("'",'Inverter-Full Data'!#REF!,"     ",'Inverter-Full Data'!#REF!,",",'Inverter-Full Data'!#REF!,",",'Inverter-Full Data'!#REF!,",",'Inverter-Full Data'!#REF!,"'")</f>
        <v>#REF!</v>
      </c>
    </row>
    <row r="2365" spans="1:1">
      <c r="A2365" s="2" t="e">
        <f>CONCATENATE("'",'Inverter-Full Data'!#REF!,"     ",'Inverter-Full Data'!#REF!,",",'Inverter-Full Data'!#REF!,",",'Inverter-Full Data'!#REF!,",",'Inverter-Full Data'!#REF!,"'")</f>
        <v>#REF!</v>
      </c>
    </row>
    <row r="2366" spans="1:1">
      <c r="A2366" s="2" t="e">
        <f>CONCATENATE("'",'Inverter-Full Data'!#REF!,"     ",'Inverter-Full Data'!#REF!,",",'Inverter-Full Data'!#REF!,",",'Inverter-Full Data'!#REF!,",",'Inverter-Full Data'!#REF!,"'")</f>
        <v>#REF!</v>
      </c>
    </row>
    <row r="2367" spans="1:1">
      <c r="A2367" s="2" t="e">
        <f>CONCATENATE("'",'Inverter-Full Data'!#REF!,"     ",'Inverter-Full Data'!#REF!,",",'Inverter-Full Data'!#REF!,",",'Inverter-Full Data'!#REF!,",",'Inverter-Full Data'!#REF!,"'")</f>
        <v>#REF!</v>
      </c>
    </row>
    <row r="2368" spans="1:1">
      <c r="A2368" s="2" t="e">
        <f>CONCATENATE("'",'Inverter-Full Data'!#REF!,"     ",'Inverter-Full Data'!#REF!,",",'Inverter-Full Data'!#REF!,",",'Inverter-Full Data'!#REF!,",",'Inverter-Full Data'!#REF!,"'")</f>
        <v>#REF!</v>
      </c>
    </row>
    <row r="2369" spans="1:1">
      <c r="A2369" s="2" t="e">
        <f>CONCATENATE("'",'Inverter-Full Data'!#REF!,"     ",'Inverter-Full Data'!#REF!,",",'Inverter-Full Data'!#REF!,",",'Inverter-Full Data'!#REF!,",",'Inverter-Full Data'!#REF!,"'")</f>
        <v>#REF!</v>
      </c>
    </row>
    <row r="2370" spans="1:1">
      <c r="A2370" s="2" t="e">
        <f>CONCATENATE("'",'Inverter-Full Data'!#REF!,"     ",'Inverter-Full Data'!#REF!,",",'Inverter-Full Data'!#REF!,",",'Inverter-Full Data'!#REF!,",",'Inverter-Full Data'!#REF!,"'")</f>
        <v>#REF!</v>
      </c>
    </row>
    <row r="2371" spans="1:1">
      <c r="A2371" s="2" t="e">
        <f>CONCATENATE("'",'Inverter-Full Data'!#REF!,"     ",'Inverter-Full Data'!#REF!,",",'Inverter-Full Data'!#REF!,",",'Inverter-Full Data'!#REF!,",",'Inverter-Full Data'!#REF!,"'")</f>
        <v>#REF!</v>
      </c>
    </row>
    <row r="2372" spans="1:1">
      <c r="A2372" s="2" t="e">
        <f>CONCATENATE("'",'Inverter-Full Data'!#REF!,"     ",'Inverter-Full Data'!#REF!,",",'Inverter-Full Data'!#REF!,",",'Inverter-Full Data'!#REF!,",",'Inverter-Full Data'!#REF!,"'")</f>
        <v>#REF!</v>
      </c>
    </row>
    <row r="2373" spans="1:1">
      <c r="A2373" s="2" t="e">
        <f>CONCATENATE("'",'Inverter-Full Data'!#REF!,"     ",'Inverter-Full Data'!#REF!,",",'Inverter-Full Data'!#REF!,",",'Inverter-Full Data'!#REF!,",",'Inverter-Full Data'!#REF!,"'")</f>
        <v>#REF!</v>
      </c>
    </row>
    <row r="2374" spans="1:1">
      <c r="A2374" s="2" t="e">
        <f>CONCATENATE("'",'Inverter-Full Data'!#REF!,"     ",'Inverter-Full Data'!#REF!,",",'Inverter-Full Data'!#REF!,",",'Inverter-Full Data'!#REF!,",",'Inverter-Full Data'!#REF!,"'")</f>
        <v>#REF!</v>
      </c>
    </row>
    <row r="2375" spans="1:1">
      <c r="A2375" s="2" t="e">
        <f>CONCATENATE("'",'Inverter-Full Data'!#REF!,"     ",'Inverter-Full Data'!#REF!,",",'Inverter-Full Data'!#REF!,",",'Inverter-Full Data'!#REF!,",",'Inverter-Full Data'!#REF!,"'")</f>
        <v>#REF!</v>
      </c>
    </row>
    <row r="2376" spans="1:1">
      <c r="A2376" s="2" t="e">
        <f>CONCATENATE("'",'Inverter-Full Data'!#REF!,"     ",'Inverter-Full Data'!#REF!,",",'Inverter-Full Data'!#REF!,",",'Inverter-Full Data'!#REF!,",",'Inverter-Full Data'!#REF!,"'")</f>
        <v>#REF!</v>
      </c>
    </row>
    <row r="2377" spans="1:1">
      <c r="A2377" s="2" t="e">
        <f>CONCATENATE("'",'Inverter-Full Data'!#REF!,"     ",'Inverter-Full Data'!#REF!,",",'Inverter-Full Data'!#REF!,",",'Inverter-Full Data'!#REF!,",",'Inverter-Full Data'!#REF!,"'")</f>
        <v>#REF!</v>
      </c>
    </row>
    <row r="2378" spans="1:1">
      <c r="A2378" s="2" t="e">
        <f>CONCATENATE("'",'Inverter-Full Data'!#REF!,"     ",'Inverter-Full Data'!#REF!,",",'Inverter-Full Data'!#REF!,",",'Inverter-Full Data'!#REF!,",",'Inverter-Full Data'!#REF!,"'")</f>
        <v>#REF!</v>
      </c>
    </row>
    <row r="2379" spans="1:1">
      <c r="A2379" s="2" t="e">
        <f>CONCATENATE("'",'Inverter-Full Data'!#REF!,"     ",'Inverter-Full Data'!#REF!,",",'Inverter-Full Data'!#REF!,",",'Inverter-Full Data'!#REF!,",",'Inverter-Full Data'!#REF!,"'")</f>
        <v>#REF!</v>
      </c>
    </row>
    <row r="2380" spans="1:1">
      <c r="A2380" s="2" t="e">
        <f>CONCATENATE("'",'Inverter-Full Data'!#REF!,"     ",'Inverter-Full Data'!#REF!,",",'Inverter-Full Data'!#REF!,",",'Inverter-Full Data'!#REF!,",",'Inverter-Full Data'!#REF!,"'")</f>
        <v>#REF!</v>
      </c>
    </row>
    <row r="2381" spans="1:1">
      <c r="A2381" s="2" t="e">
        <f>CONCATENATE("'",'Inverter-Full Data'!#REF!,"     ",'Inverter-Full Data'!#REF!,",",'Inverter-Full Data'!#REF!,",",'Inverter-Full Data'!#REF!,",",'Inverter-Full Data'!#REF!,"'")</f>
        <v>#REF!</v>
      </c>
    </row>
    <row r="2382" spans="1:1">
      <c r="A2382" s="2" t="e">
        <f>CONCATENATE("'",'Inverter-Full Data'!#REF!,"     ",'Inverter-Full Data'!#REF!,",",'Inverter-Full Data'!#REF!,",",'Inverter-Full Data'!#REF!,",",'Inverter-Full Data'!#REF!,"'")</f>
        <v>#REF!</v>
      </c>
    </row>
    <row r="2383" spans="1:1">
      <c r="A2383" s="2" t="e">
        <f>CONCATENATE("'",'Inverter-Full Data'!#REF!,"     ",'Inverter-Full Data'!#REF!,",",'Inverter-Full Data'!#REF!,",",'Inverter-Full Data'!#REF!,",",'Inverter-Full Data'!#REF!,"'")</f>
        <v>#REF!</v>
      </c>
    </row>
    <row r="2384" spans="1:1">
      <c r="A2384" s="2" t="e">
        <f>CONCATENATE("'",'Inverter-Full Data'!#REF!,"     ",'Inverter-Full Data'!#REF!,",",'Inverter-Full Data'!#REF!,",",'Inverter-Full Data'!#REF!,",",'Inverter-Full Data'!#REF!,"'")</f>
        <v>#REF!</v>
      </c>
    </row>
    <row r="2385" spans="1:1">
      <c r="A2385" s="2" t="e">
        <f>CONCATENATE("'",'Inverter-Full Data'!#REF!,"     ",'Inverter-Full Data'!#REF!,",",'Inverter-Full Data'!#REF!,",",'Inverter-Full Data'!#REF!,",",'Inverter-Full Data'!#REF!,"'")</f>
        <v>#REF!</v>
      </c>
    </row>
    <row r="2386" spans="1:1">
      <c r="A2386" s="2" t="e">
        <f>CONCATENATE("'",'Inverter-Full Data'!#REF!,"     ",'Inverter-Full Data'!#REF!,",",'Inverter-Full Data'!#REF!,",",'Inverter-Full Data'!#REF!,",",'Inverter-Full Data'!#REF!,"'")</f>
        <v>#REF!</v>
      </c>
    </row>
    <row r="2387" spans="1:1">
      <c r="A2387" s="2" t="e">
        <f>CONCATENATE("'",'Inverter-Full Data'!#REF!,"     ",'Inverter-Full Data'!#REF!,",",'Inverter-Full Data'!#REF!,",",'Inverter-Full Data'!#REF!,",",'Inverter-Full Data'!#REF!,"'")</f>
        <v>#REF!</v>
      </c>
    </row>
    <row r="2388" spans="1:1">
      <c r="A2388" s="2" t="e">
        <f>CONCATENATE("'",'Inverter-Full Data'!#REF!,"     ",'Inverter-Full Data'!#REF!,",",'Inverter-Full Data'!#REF!,",",'Inverter-Full Data'!#REF!,",",'Inverter-Full Data'!#REF!,"'")</f>
        <v>#REF!</v>
      </c>
    </row>
    <row r="2389" spans="1:1">
      <c r="A2389" s="2" t="e">
        <f>CONCATENATE("'",'Inverter-Full Data'!#REF!,"     ",'Inverter-Full Data'!#REF!,",",'Inverter-Full Data'!#REF!,",",'Inverter-Full Data'!#REF!,",",'Inverter-Full Data'!#REF!,"'")</f>
        <v>#REF!</v>
      </c>
    </row>
    <row r="2390" spans="1:1">
      <c r="A2390" s="2" t="e">
        <f>CONCATENATE("'",'Inverter-Full Data'!#REF!,"     ",'Inverter-Full Data'!#REF!,",",'Inverter-Full Data'!#REF!,",",'Inverter-Full Data'!#REF!,",",'Inverter-Full Data'!#REF!,"'")</f>
        <v>#REF!</v>
      </c>
    </row>
    <row r="2391" spans="1:1">
      <c r="A2391" s="2" t="e">
        <f>CONCATENATE("'",'Inverter-Full Data'!#REF!,"     ",'Inverter-Full Data'!#REF!,",",'Inverter-Full Data'!#REF!,",",'Inverter-Full Data'!#REF!,",",'Inverter-Full Data'!#REF!,"'")</f>
        <v>#REF!</v>
      </c>
    </row>
    <row r="2392" spans="1:1">
      <c r="A2392" s="2" t="e">
        <f>CONCATENATE("'",'Inverter-Full Data'!#REF!,"     ",'Inverter-Full Data'!#REF!,",",'Inverter-Full Data'!#REF!,",",'Inverter-Full Data'!#REF!,",",'Inverter-Full Data'!#REF!,"'")</f>
        <v>#REF!</v>
      </c>
    </row>
    <row r="2393" spans="1:1">
      <c r="A2393" s="2" t="e">
        <f>CONCATENATE("'",'Inverter-Full Data'!#REF!,"     ",'Inverter-Full Data'!#REF!,",",'Inverter-Full Data'!#REF!,",",'Inverter-Full Data'!#REF!,",",'Inverter-Full Data'!#REF!,"'")</f>
        <v>#REF!</v>
      </c>
    </row>
    <row r="2394" spans="1:1">
      <c r="A2394" s="2" t="e">
        <f>CONCATENATE("'",'Inverter-Full Data'!#REF!,"     ",'Inverter-Full Data'!#REF!,",",'Inverter-Full Data'!#REF!,",",'Inverter-Full Data'!#REF!,",",'Inverter-Full Data'!#REF!,"'")</f>
        <v>#REF!</v>
      </c>
    </row>
    <row r="2395" spans="1:1">
      <c r="A2395" s="2" t="e">
        <f>CONCATENATE("'",'Inverter-Full Data'!#REF!,"     ",'Inverter-Full Data'!#REF!,",",'Inverter-Full Data'!#REF!,",",'Inverter-Full Data'!#REF!,",",'Inverter-Full Data'!#REF!,"'")</f>
        <v>#REF!</v>
      </c>
    </row>
    <row r="2396" spans="1:1">
      <c r="A2396" s="2" t="e">
        <f>CONCATENATE("'",'Inverter-Full Data'!#REF!,"     ",'Inverter-Full Data'!#REF!,",",'Inverter-Full Data'!#REF!,",",'Inverter-Full Data'!#REF!,",",'Inverter-Full Data'!#REF!,"'")</f>
        <v>#REF!</v>
      </c>
    </row>
    <row r="2397" spans="1:1">
      <c r="A2397" s="2" t="e">
        <f>CONCATENATE("'",'Inverter-Full Data'!#REF!,"     ",'Inverter-Full Data'!#REF!,",",'Inverter-Full Data'!#REF!,",",'Inverter-Full Data'!#REF!,",",'Inverter-Full Data'!#REF!,"'")</f>
        <v>#REF!</v>
      </c>
    </row>
    <row r="2398" spans="1:1">
      <c r="A2398" s="2" t="e">
        <f>CONCATENATE("'",'Inverter-Full Data'!#REF!,"     ",'Inverter-Full Data'!#REF!,",",'Inverter-Full Data'!#REF!,",",'Inverter-Full Data'!#REF!,",",'Inverter-Full Data'!#REF!,"'")</f>
        <v>#REF!</v>
      </c>
    </row>
    <row r="2399" spans="1:1">
      <c r="A2399" s="2" t="e">
        <f>CONCATENATE("'",'Inverter-Full Data'!#REF!,"     ",'Inverter-Full Data'!#REF!,",",'Inverter-Full Data'!#REF!,",",'Inverter-Full Data'!#REF!,",",'Inverter-Full Data'!#REF!,"'")</f>
        <v>#REF!</v>
      </c>
    </row>
    <row r="2400" spans="1:1">
      <c r="A2400" s="2" t="e">
        <f>CONCATENATE("'",'Inverter-Full Data'!#REF!,"     ",'Inverter-Full Data'!#REF!,",",'Inverter-Full Data'!#REF!,",",'Inverter-Full Data'!#REF!,",",'Inverter-Full Data'!#REF!,"'")</f>
        <v>#REF!</v>
      </c>
    </row>
    <row r="2401" spans="1:1">
      <c r="A2401" s="2" t="e">
        <f>CONCATENATE("'",'Inverter-Full Data'!#REF!,"     ",'Inverter-Full Data'!#REF!,",",'Inverter-Full Data'!#REF!,",",'Inverter-Full Data'!#REF!,",",'Inverter-Full Data'!#REF!,"'")</f>
        <v>#REF!</v>
      </c>
    </row>
    <row r="2402" spans="1:1">
      <c r="A2402" s="2" t="e">
        <f>CONCATENATE("'",'Inverter-Full Data'!#REF!,"     ",'Inverter-Full Data'!#REF!,",",'Inverter-Full Data'!#REF!,",",'Inverter-Full Data'!#REF!,",",'Inverter-Full Data'!#REF!,"'")</f>
        <v>#REF!</v>
      </c>
    </row>
    <row r="2403" spans="1:1">
      <c r="A2403" s="2" t="e">
        <f>CONCATENATE("'",'Inverter-Full Data'!#REF!,"     ",'Inverter-Full Data'!#REF!,",",'Inverter-Full Data'!#REF!,",",'Inverter-Full Data'!#REF!,",",'Inverter-Full Data'!#REF!,"'")</f>
        <v>#REF!</v>
      </c>
    </row>
    <row r="2404" spans="1:1">
      <c r="A2404" s="2" t="e">
        <f>CONCATENATE("'",'Inverter-Full Data'!#REF!,"     ",'Inverter-Full Data'!#REF!,",",'Inverter-Full Data'!#REF!,",",'Inverter-Full Data'!#REF!,",",'Inverter-Full Data'!#REF!,"'")</f>
        <v>#REF!</v>
      </c>
    </row>
    <row r="2405" spans="1:1">
      <c r="A2405" s="2" t="e">
        <f>CONCATENATE("'",'Inverter-Full Data'!#REF!,"     ",'Inverter-Full Data'!#REF!,",",'Inverter-Full Data'!#REF!,",",'Inverter-Full Data'!#REF!,",",'Inverter-Full Data'!#REF!,"'")</f>
        <v>#REF!</v>
      </c>
    </row>
    <row r="2406" spans="1:1">
      <c r="A2406" s="2" t="e">
        <f>CONCATENATE("'",'Inverter-Full Data'!#REF!,"     ",'Inverter-Full Data'!#REF!,",",'Inverter-Full Data'!#REF!,",",'Inverter-Full Data'!#REF!,",",'Inverter-Full Data'!#REF!,"'")</f>
        <v>#REF!</v>
      </c>
    </row>
    <row r="2407" spans="1:1">
      <c r="A2407" s="2" t="e">
        <f>CONCATENATE("'",'Inverter-Full Data'!#REF!,"     ",'Inverter-Full Data'!#REF!,",",'Inverter-Full Data'!#REF!,",",'Inverter-Full Data'!#REF!,",",'Inverter-Full Data'!#REF!,"'")</f>
        <v>#REF!</v>
      </c>
    </row>
    <row r="2408" spans="1:1">
      <c r="A2408" s="2" t="e">
        <f>CONCATENATE("'",'Inverter-Full Data'!#REF!,"     ",'Inverter-Full Data'!#REF!,",",'Inverter-Full Data'!#REF!,",",'Inverter-Full Data'!#REF!,",",'Inverter-Full Data'!#REF!,"'")</f>
        <v>#REF!</v>
      </c>
    </row>
    <row r="2409" spans="1:1">
      <c r="A2409" s="2" t="e">
        <f>CONCATENATE("'",'Inverter-Full Data'!#REF!,"     ",'Inverter-Full Data'!#REF!,",",'Inverter-Full Data'!#REF!,",",'Inverter-Full Data'!#REF!,",",'Inverter-Full Data'!#REF!,"'")</f>
        <v>#REF!</v>
      </c>
    </row>
    <row r="2410" spans="1:1">
      <c r="A2410" s="2" t="e">
        <f>CONCATENATE("'",'Inverter-Full Data'!#REF!,"     ",'Inverter-Full Data'!#REF!,",",'Inverter-Full Data'!#REF!,",",'Inverter-Full Data'!#REF!,",",'Inverter-Full Data'!#REF!,"'")</f>
        <v>#REF!</v>
      </c>
    </row>
    <row r="2411" spans="1:1">
      <c r="A2411" s="2" t="e">
        <f>CONCATENATE("'",'Inverter-Full Data'!#REF!,"     ",'Inverter-Full Data'!#REF!,",",'Inverter-Full Data'!#REF!,",",'Inverter-Full Data'!#REF!,",",'Inverter-Full Data'!#REF!,"'")</f>
        <v>#REF!</v>
      </c>
    </row>
    <row r="2412" spans="1:1">
      <c r="A2412" s="2" t="e">
        <f>CONCATENATE("'",'Inverter-Full Data'!#REF!,"     ",'Inverter-Full Data'!#REF!,",",'Inverter-Full Data'!#REF!,",",'Inverter-Full Data'!#REF!,",",'Inverter-Full Data'!#REF!,"'")</f>
        <v>#REF!</v>
      </c>
    </row>
    <row r="2413" spans="1:1">
      <c r="A2413" s="2" t="e">
        <f>CONCATENATE("'",'Inverter-Full Data'!#REF!,"     ",'Inverter-Full Data'!#REF!,",",'Inverter-Full Data'!#REF!,",",'Inverter-Full Data'!#REF!,",",'Inverter-Full Data'!#REF!,"'")</f>
        <v>#REF!</v>
      </c>
    </row>
    <row r="2414" spans="1:1">
      <c r="A2414" s="2" t="e">
        <f>CONCATENATE("'",'Inverter-Full Data'!#REF!,"     ",'Inverter-Full Data'!#REF!,",",'Inverter-Full Data'!#REF!,",",'Inverter-Full Data'!#REF!,",",'Inverter-Full Data'!#REF!,"'")</f>
        <v>#REF!</v>
      </c>
    </row>
    <row r="2415" spans="1:1">
      <c r="A2415" s="2" t="e">
        <f>CONCATENATE("'",'Inverter-Full Data'!#REF!,"     ",'Inverter-Full Data'!#REF!,",",'Inverter-Full Data'!#REF!,",",'Inverter-Full Data'!#REF!,",",'Inverter-Full Data'!#REF!,"'")</f>
        <v>#REF!</v>
      </c>
    </row>
    <row r="2416" spans="1:1">
      <c r="A2416" s="2" t="e">
        <f>CONCATENATE("'",'Inverter-Full Data'!#REF!,"     ",'Inverter-Full Data'!#REF!,",",'Inverter-Full Data'!#REF!,",",'Inverter-Full Data'!#REF!,",",'Inverter-Full Data'!#REF!,"'")</f>
        <v>#REF!</v>
      </c>
    </row>
    <row r="2417" spans="1:1">
      <c r="A2417" s="2" t="e">
        <f>CONCATENATE("'",'Inverter-Full Data'!#REF!,"     ",'Inverter-Full Data'!#REF!,",",'Inverter-Full Data'!#REF!,",",'Inverter-Full Data'!#REF!,",",'Inverter-Full Data'!#REF!,"'")</f>
        <v>#REF!</v>
      </c>
    </row>
    <row r="2418" spans="1:1">
      <c r="A2418" s="2" t="e">
        <f>CONCATENATE("'",'Inverter-Full Data'!#REF!,"     ",'Inverter-Full Data'!#REF!,",",'Inverter-Full Data'!#REF!,",",'Inverter-Full Data'!#REF!,",",'Inverter-Full Data'!#REF!,"'")</f>
        <v>#REF!</v>
      </c>
    </row>
    <row r="2419" spans="1:1">
      <c r="A2419" s="2" t="e">
        <f>CONCATENATE("'",'Inverter-Full Data'!#REF!,"     ",'Inverter-Full Data'!#REF!,",",'Inverter-Full Data'!#REF!,",",'Inverter-Full Data'!#REF!,",",'Inverter-Full Data'!#REF!,"'")</f>
        <v>#REF!</v>
      </c>
    </row>
    <row r="2420" spans="1:1">
      <c r="A2420" s="2" t="e">
        <f>CONCATENATE("'",'Inverter-Full Data'!#REF!,"     ",'Inverter-Full Data'!#REF!,",",'Inverter-Full Data'!#REF!,",",'Inverter-Full Data'!#REF!,",",'Inverter-Full Data'!#REF!,"'")</f>
        <v>#REF!</v>
      </c>
    </row>
    <row r="2421" spans="1:1">
      <c r="A2421" s="2" t="e">
        <f>CONCATENATE("'",'Inverter-Full Data'!#REF!,"     ",'Inverter-Full Data'!#REF!,",",'Inverter-Full Data'!#REF!,",",'Inverter-Full Data'!#REF!,",",'Inverter-Full Data'!#REF!,"'")</f>
        <v>#REF!</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e">
        <f>CONCATENATE("'",'Inverter-Full Data'!#REF!,"     ",'Inverter-Full Data'!#REF!,",",'Inverter-Full Data'!#REF!,",",'Inverter-Full Data'!#REF!,",",'Inverter-Full Data'!#REF!,"'")</f>
        <v>#REF!</v>
      </c>
    </row>
    <row r="2425" spans="1:1">
      <c r="A2425" s="2" t="e">
        <f>CONCATENATE("'",'Inverter-Full Data'!#REF!,"     ",'Inverter-Full Data'!#REF!,",",'Inverter-Full Data'!#REF!,",",'Inverter-Full Data'!#REF!,",",'Inverter-Full Data'!#REF!,"'")</f>
        <v>#REF!</v>
      </c>
    </row>
    <row r="2426" spans="1:1">
      <c r="A2426" s="2" t="e">
        <f>CONCATENATE("'",'Inverter-Full Data'!#REF!,"     ",'Inverter-Full Data'!#REF!,",",'Inverter-Full Data'!#REF!,",",'Inverter-Full Data'!#REF!,",",'Inverter-Full Data'!#REF!,"'")</f>
        <v>#REF!</v>
      </c>
    </row>
    <row r="2427" spans="1:1">
      <c r="A2427" s="2" t="e">
        <f>CONCATENATE("'",'Inverter-Full Data'!#REF!,"     ",'Inverter-Full Data'!#REF!,",",'Inverter-Full Data'!#REF!,",",'Inverter-Full Data'!#REF!,",",'Inverter-Full Data'!#REF!,"'")</f>
        <v>#REF!</v>
      </c>
    </row>
    <row r="2428" spans="1:1">
      <c r="A2428" s="2" t="e">
        <f>CONCATENATE("'",'Inverter-Full Data'!#REF!,"     ",'Inverter-Full Data'!#REF!,",",'Inverter-Full Data'!#REF!,",",'Inverter-Full Data'!#REF!,",",'Inverter-Full Data'!#REF!,"'")</f>
        <v>#REF!</v>
      </c>
    </row>
    <row r="2429" spans="1:1">
      <c r="A2429" s="2" t="e">
        <f>CONCATENATE("'",'Inverter-Full Data'!#REF!,"     ",'Inverter-Full Data'!#REF!,",",'Inverter-Full Data'!#REF!,",",'Inverter-Full Data'!#REF!,",",'Inverter-Full Data'!#REF!,"'")</f>
        <v>#REF!</v>
      </c>
    </row>
    <row r="2430" spans="1:1">
      <c r="A2430" s="2" t="e">
        <f>CONCATENATE("'",'Inverter-Full Data'!#REF!,"     ",'Inverter-Full Data'!#REF!,",",'Inverter-Full Data'!#REF!,",",'Inverter-Full Data'!#REF!,",",'Inverter-Full Data'!#REF!,"'")</f>
        <v>#REF!</v>
      </c>
    </row>
    <row r="2431" spans="1:1">
      <c r="A2431" s="2" t="e">
        <f>CONCATENATE("'",'Inverter-Full Data'!#REF!,"     ",'Inverter-Full Data'!#REF!,",",'Inverter-Full Data'!#REF!,",",'Inverter-Full Data'!#REF!,",",'Inverter-Full Data'!#REF!,"'")</f>
        <v>#REF!</v>
      </c>
    </row>
    <row r="2432" spans="1:1">
      <c r="A2432" s="2" t="e">
        <f>CONCATENATE("'",'Inverter-Full Data'!#REF!,"     ",'Inverter-Full Data'!#REF!,",",'Inverter-Full Data'!#REF!,",",'Inverter-Full Data'!#REF!,",",'Inverter-Full Data'!#REF!,"'")</f>
        <v>#REF!</v>
      </c>
    </row>
    <row r="2433" spans="1:1">
      <c r="A2433" s="2" t="e">
        <f>CONCATENATE("'",'Inverter-Full Data'!#REF!,"     ",'Inverter-Full Data'!#REF!,",",'Inverter-Full Data'!#REF!,",",'Inverter-Full Data'!#REF!,",",'Inverter-Full Data'!#REF!,"'")</f>
        <v>#REF!</v>
      </c>
    </row>
    <row r="2434" spans="1:1">
      <c r="A2434" s="2" t="e">
        <f>CONCATENATE("'",'Inverter-Full Data'!#REF!,"     ",'Inverter-Full Data'!#REF!,",",'Inverter-Full Data'!#REF!,",",'Inverter-Full Data'!#REF!,",",'Inverter-Full Data'!#REF!,"'")</f>
        <v>#REF!</v>
      </c>
    </row>
    <row r="2435" spans="1:1">
      <c r="A2435" s="2" t="e">
        <f>CONCATENATE("'",'Inverter-Full Data'!#REF!,"     ",'Inverter-Full Data'!#REF!,",",'Inverter-Full Data'!#REF!,",",'Inverter-Full Data'!#REF!,",",'Inverter-Full Data'!#REF!,"'")</f>
        <v>#REF!</v>
      </c>
    </row>
    <row r="2436" spans="1:1">
      <c r="A2436" s="2" t="e">
        <f>CONCATENATE("'",'Inverter-Full Data'!#REF!,"     ",'Inverter-Full Data'!#REF!,",",'Inverter-Full Data'!#REF!,",",'Inverter-Full Data'!#REF!,",",'Inverter-Full Data'!#REF!,"'")</f>
        <v>#REF!</v>
      </c>
    </row>
    <row r="2437" spans="1:1">
      <c r="A2437" s="2" t="e">
        <f>CONCATENATE("'",'Inverter-Full Data'!#REF!,"     ",'Inverter-Full Data'!#REF!,",",'Inverter-Full Data'!#REF!,",",'Inverter-Full Data'!#REF!,",",'Inverter-Full Data'!#REF!,"'")</f>
        <v>#REF!</v>
      </c>
    </row>
    <row r="2438" spans="1:1">
      <c r="A2438" s="2" t="e">
        <f>CONCATENATE("'",'Inverter-Full Data'!#REF!,"     ",'Inverter-Full Data'!#REF!,",",'Inverter-Full Data'!#REF!,",",'Inverter-Full Data'!#REF!,",",'Inverter-Full Data'!#REF!,"'")</f>
        <v>#REF!</v>
      </c>
    </row>
    <row r="2439" spans="1:1">
      <c r="A2439" s="2" t="e">
        <f>CONCATENATE("'",'Inverter-Full Data'!#REF!,"     ",'Inverter-Full Data'!#REF!,",",'Inverter-Full Data'!#REF!,",",'Inverter-Full Data'!#REF!,",",'Inverter-Full Data'!#REF!,"'")</f>
        <v>#REF!</v>
      </c>
    </row>
    <row r="2440" spans="1:1">
      <c r="A2440" s="2" t="e">
        <f>CONCATENATE("'",'Inverter-Full Data'!#REF!,"     ",'Inverter-Full Data'!#REF!,",",'Inverter-Full Data'!#REF!,",",'Inverter-Full Data'!#REF!,",",'Inverter-Full Data'!#REF!,"'")</f>
        <v>#REF!</v>
      </c>
    </row>
    <row r="2441" spans="1:1">
      <c r="A2441" s="2" t="e">
        <f>CONCATENATE("'",'Inverter-Full Data'!#REF!,"     ",'Inverter-Full Data'!#REF!,",",'Inverter-Full Data'!#REF!,",",'Inverter-Full Data'!#REF!,",",'Inverter-Full Data'!#REF!,"'")</f>
        <v>#REF!</v>
      </c>
    </row>
    <row r="2442" spans="1:1">
      <c r="A2442" s="2" t="e">
        <f>CONCATENATE("'",'Inverter-Full Data'!#REF!,"     ",'Inverter-Full Data'!#REF!,",",'Inverter-Full Data'!#REF!,",",'Inverter-Full Data'!#REF!,",",'Inverter-Full Data'!#REF!,"'")</f>
        <v>#REF!</v>
      </c>
    </row>
    <row r="2443" spans="1:1">
      <c r="A2443" s="2" t="e">
        <f>CONCATENATE("'",'Inverter-Full Data'!#REF!,"     ",'Inverter-Full Data'!#REF!,",",'Inverter-Full Data'!#REF!,",",'Inverter-Full Data'!#REF!,",",'Inverter-Full Data'!#REF!,"'")</f>
        <v>#REF!</v>
      </c>
    </row>
    <row r="2444" spans="1:1">
      <c r="A2444" s="2" t="e">
        <f>CONCATENATE("'",'Inverter-Full Data'!#REF!,"     ",'Inverter-Full Data'!#REF!,",",'Inverter-Full Data'!#REF!,",",'Inverter-Full Data'!#REF!,",",'Inverter-Full Data'!#REF!,"'")</f>
        <v>#REF!</v>
      </c>
    </row>
    <row r="2445" spans="1:1">
      <c r="A2445" s="2" t="e">
        <f>CONCATENATE("'",'Inverter-Full Data'!#REF!,"     ",'Inverter-Full Data'!#REF!,",",'Inverter-Full Data'!#REF!,",",'Inverter-Full Data'!#REF!,",",'Inverter-Full Data'!#REF!,"'")</f>
        <v>#REF!</v>
      </c>
    </row>
    <row r="2446" spans="1:1">
      <c r="A2446" s="2" t="e">
        <f>CONCATENATE("'",'Inverter-Full Data'!#REF!,"     ",'Inverter-Full Data'!#REF!,",",'Inverter-Full Data'!#REF!,",",'Inverter-Full Data'!#REF!,",",'Inverter-Full Data'!#REF!,"'")</f>
        <v>#REF!</v>
      </c>
    </row>
    <row r="2447" spans="1:1">
      <c r="A2447" s="2" t="e">
        <f>CONCATENATE("'",'Inverter-Full Data'!#REF!,"     ",'Inverter-Full Data'!#REF!,",",'Inverter-Full Data'!#REF!,",",'Inverter-Full Data'!#REF!,",",'Inverter-Full Data'!#REF!,"'")</f>
        <v>#REF!</v>
      </c>
    </row>
    <row r="2448" spans="1:1">
      <c r="A2448" s="2" t="e">
        <f>CONCATENATE("'",'Inverter-Full Data'!#REF!,"     ",'Inverter-Full Data'!#REF!,",",'Inverter-Full Data'!#REF!,",",'Inverter-Full Data'!#REF!,",",'Inverter-Full Data'!#REF!,"'")</f>
        <v>#REF!</v>
      </c>
    </row>
    <row r="2449" spans="1:1">
      <c r="A2449" s="2" t="e">
        <f>CONCATENATE("'",'Inverter-Full Data'!#REF!,"     ",'Inverter-Full Data'!#REF!,",",'Inverter-Full Data'!#REF!,",",'Inverter-Full Data'!#REF!,",",'Inverter-Full Data'!#REF!,"'")</f>
        <v>#REF!</v>
      </c>
    </row>
    <row r="2450" spans="1:1">
      <c r="A2450" s="2" t="e">
        <f>CONCATENATE("'",'Inverter-Full Data'!#REF!,"     ",'Inverter-Full Data'!#REF!,",",'Inverter-Full Data'!#REF!,",",'Inverter-Full Data'!#REF!,",",'Inverter-Full Data'!#REF!,"'")</f>
        <v>#REF!</v>
      </c>
    </row>
    <row r="2451" spans="1:1">
      <c r="A2451" s="2" t="e">
        <f>CONCATENATE("'",'Inverter-Full Data'!#REF!,"     ",'Inverter-Full Data'!#REF!,",",'Inverter-Full Data'!#REF!,",",'Inverter-Full Data'!#REF!,",",'Inverter-Full Data'!#REF!,"'")</f>
        <v>#REF!</v>
      </c>
    </row>
    <row r="2452" spans="1:1">
      <c r="A2452" s="2" t="e">
        <f>CONCATENATE("'",'Inverter-Full Data'!#REF!,"     ",'Inverter-Full Data'!#REF!,",",'Inverter-Full Data'!#REF!,",",'Inverter-Full Data'!#REF!,",",'Inverter-Full Data'!#REF!,"'")</f>
        <v>#REF!</v>
      </c>
    </row>
    <row r="2453" spans="1:1">
      <c r="A2453" s="2" t="e">
        <f>CONCATENATE("'",'Inverter-Full Data'!#REF!,"     ",'Inverter-Full Data'!#REF!,",",'Inverter-Full Data'!#REF!,",",'Inverter-Full Data'!#REF!,",",'Inverter-Full Data'!#REF!,"'")</f>
        <v>#REF!</v>
      </c>
    </row>
    <row r="2454" spans="1:1">
      <c r="A2454" s="2" t="e">
        <f>CONCATENATE("'",'Inverter-Full Data'!#REF!,"     ",'Inverter-Full Data'!#REF!,",",'Inverter-Full Data'!#REF!,",",'Inverter-Full Data'!#REF!,",",'Inverter-Full Data'!#REF!,"'")</f>
        <v>#REF!</v>
      </c>
    </row>
    <row r="2455" spans="1:1">
      <c r="A2455" s="2" t="e">
        <f>CONCATENATE("'",'Inverter-Full Data'!#REF!,"     ",'Inverter-Full Data'!#REF!,",",'Inverter-Full Data'!#REF!,",",'Inverter-Full Data'!#REF!,",",'Inverter-Full Data'!#REF!,"'")</f>
        <v>#REF!</v>
      </c>
    </row>
    <row r="2456" spans="1:1">
      <c r="A2456" s="2" t="e">
        <f>CONCATENATE("'",'Inverter-Full Data'!#REF!,"     ",'Inverter-Full Data'!#REF!,",",'Inverter-Full Data'!#REF!,",",'Inverter-Full Data'!#REF!,",",'Inverter-Full Data'!#REF!,"'")</f>
        <v>#REF!</v>
      </c>
    </row>
    <row r="2457" spans="1:1">
      <c r="A2457" s="2" t="e">
        <f>CONCATENATE("'",'Inverter-Full Data'!#REF!,"     ",'Inverter-Full Data'!#REF!,",",'Inverter-Full Data'!#REF!,",",'Inverter-Full Data'!#REF!,",",'Inverter-Full Data'!#REF!,"'")</f>
        <v>#REF!</v>
      </c>
    </row>
    <row r="2458" spans="1:1">
      <c r="A2458" s="2" t="e">
        <f>CONCATENATE("'",'Inverter-Full Data'!#REF!,"     ",'Inverter-Full Data'!#REF!,",",'Inverter-Full Data'!#REF!,",",'Inverter-Full Data'!#REF!,",",'Inverter-Full Data'!#REF!,"'")</f>
        <v>#REF!</v>
      </c>
    </row>
    <row r="2459" spans="1:1">
      <c r="A2459" s="2" t="e">
        <f>CONCATENATE("'",'Inverter-Full Data'!#REF!,"     ",'Inverter-Full Data'!#REF!,",",'Inverter-Full Data'!#REF!,",",'Inverter-Full Data'!#REF!,",",'Inverter-Full Data'!#REF!,"'")</f>
        <v>#REF!</v>
      </c>
    </row>
    <row r="2460" spans="1:1">
      <c r="A2460" s="2" t="e">
        <f>CONCATENATE("'",'Inverter-Full Data'!#REF!,"     ",'Inverter-Full Data'!#REF!,",",'Inverter-Full Data'!#REF!,",",'Inverter-Full Data'!#REF!,",",'Inverter-Full Data'!#REF!,"'")</f>
        <v>#REF!</v>
      </c>
    </row>
    <row r="2461" spans="1:1">
      <c r="A2461" s="2" t="e">
        <f>CONCATENATE("'",'Inverter-Full Data'!#REF!,"     ",'Inverter-Full Data'!#REF!,",",'Inverter-Full Data'!#REF!,",",'Inverter-Full Data'!#REF!,",",'Inverter-Full Data'!#REF!,"'")</f>
        <v>#REF!</v>
      </c>
    </row>
    <row r="2462" spans="1:1">
      <c r="A2462" s="2" t="e">
        <f>CONCATENATE("'",'Inverter-Full Data'!#REF!,"     ",'Inverter-Full Data'!#REF!,",",'Inverter-Full Data'!#REF!,",",'Inverter-Full Data'!#REF!,",",'Inverter-Full Data'!#REF!,"'")</f>
        <v>#REF!</v>
      </c>
    </row>
    <row r="2463" spans="1:1">
      <c r="A2463" s="2" t="e">
        <f>CONCATENATE("'",'Inverter-Full Data'!#REF!,"     ",'Inverter-Full Data'!#REF!,",",'Inverter-Full Data'!#REF!,",",'Inverter-Full Data'!#REF!,",",'Inverter-Full Data'!#REF!,"'")</f>
        <v>#REF!</v>
      </c>
    </row>
    <row r="2464" spans="1:1">
      <c r="A2464" s="2" t="e">
        <f>CONCATENATE("'",'Inverter-Full Data'!#REF!,"     ",'Inverter-Full Data'!#REF!,",",'Inverter-Full Data'!#REF!,",",'Inverter-Full Data'!#REF!,",",'Inverter-Full Data'!#REF!,"'")</f>
        <v>#REF!</v>
      </c>
    </row>
    <row r="2465" spans="1:1">
      <c r="A2465" s="2" t="e">
        <f>CONCATENATE("'",'Inverter-Full Data'!#REF!,"     ",'Inverter-Full Data'!#REF!,",",'Inverter-Full Data'!#REF!,",",'Inverter-Full Data'!#REF!,",",'Inverter-Full Data'!#REF!,"'")</f>
        <v>#REF!</v>
      </c>
    </row>
    <row r="2466" spans="1:1">
      <c r="A2466" s="2" t="e">
        <f>CONCATENATE("'",'Inverter-Full Data'!#REF!,"     ",'Inverter-Full Data'!#REF!,",",'Inverter-Full Data'!#REF!,",",'Inverter-Full Data'!#REF!,",",'Inverter-Full Data'!#REF!,"'")</f>
        <v>#REF!</v>
      </c>
    </row>
    <row r="2467" spans="1:1">
      <c r="A2467" s="2" t="e">
        <f>CONCATENATE("'",'Inverter-Full Data'!#REF!,"     ",'Inverter-Full Data'!#REF!,",",'Inverter-Full Data'!#REF!,",",'Inverter-Full Data'!#REF!,",",'Inverter-Full Data'!#REF!,"'")</f>
        <v>#REF!</v>
      </c>
    </row>
    <row r="2468" spans="1:1">
      <c r="A2468" s="2" t="e">
        <f>CONCATENATE("'",'Inverter-Full Data'!#REF!,"     ",'Inverter-Full Data'!#REF!,",",'Inverter-Full Data'!#REF!,",",'Inverter-Full Data'!#REF!,",",'Inverter-Full Data'!#REF!,"'")</f>
        <v>#REF!</v>
      </c>
    </row>
    <row r="2469" spans="1:1">
      <c r="A2469" s="2" t="e">
        <f>CONCATENATE("'",'Inverter-Full Data'!#REF!,"     ",'Inverter-Full Data'!#REF!,",",'Inverter-Full Data'!#REF!,",",'Inverter-Full Data'!#REF!,",",'Inverter-Full Data'!#REF!,"'")</f>
        <v>#REF!</v>
      </c>
    </row>
    <row r="2470" spans="1:1">
      <c r="A2470" s="2" t="e">
        <f>CONCATENATE("'",'Inverter-Full Data'!#REF!,"     ",'Inverter-Full Data'!#REF!,",",'Inverter-Full Data'!#REF!,",",'Inverter-Full Data'!#REF!,",",'Inverter-Full Data'!#REF!,"'")</f>
        <v>#REF!</v>
      </c>
    </row>
    <row r="2471" spans="1:1">
      <c r="A2471" s="2" t="e">
        <f>CONCATENATE("'",'Inverter-Full Data'!#REF!,"     ",'Inverter-Full Data'!#REF!,",",'Inverter-Full Data'!#REF!,",",'Inverter-Full Data'!#REF!,",",'Inverter-Full Data'!#REF!,"'")</f>
        <v>#REF!</v>
      </c>
    </row>
    <row r="2472" spans="1:1">
      <c r="A2472" s="2" t="e">
        <f>CONCATENATE("'",'Inverter-Full Data'!#REF!,"     ",'Inverter-Full Data'!#REF!,",",'Inverter-Full Data'!#REF!,",",'Inverter-Full Data'!#REF!,",",'Inverter-Full Data'!#REF!,"'")</f>
        <v>#REF!</v>
      </c>
    </row>
    <row r="2473" spans="1:1">
      <c r="A2473" s="2" t="e">
        <f>CONCATENATE("'",'Inverter-Full Data'!#REF!,"     ",'Inverter-Full Data'!#REF!,",",'Inverter-Full Data'!#REF!,",",'Inverter-Full Data'!#REF!,",",'Inverter-Full Data'!#REF!,"'")</f>
        <v>#REF!</v>
      </c>
    </row>
    <row r="2474" spans="1:1">
      <c r="A2474" s="2" t="e">
        <f>CONCATENATE("'",'Inverter-Full Data'!#REF!,"     ",'Inverter-Full Data'!#REF!,",",'Inverter-Full Data'!#REF!,",",'Inverter-Full Data'!#REF!,",",'Inverter-Full Data'!#REF!,"'")</f>
        <v>#REF!</v>
      </c>
    </row>
    <row r="2475" spans="1:1">
      <c r="A2475" s="2" t="e">
        <f>CONCATENATE("'",'Inverter-Full Data'!#REF!,"     ",'Inverter-Full Data'!#REF!,",",'Inverter-Full Data'!#REF!,",",'Inverter-Full Data'!#REF!,",",'Inverter-Full Data'!#REF!,"'")</f>
        <v>#REF!</v>
      </c>
    </row>
    <row r="2476" spans="1:1">
      <c r="A2476" s="2" t="e">
        <f>CONCATENATE("'",'Inverter-Full Data'!#REF!,"     ",'Inverter-Full Data'!#REF!,",",'Inverter-Full Data'!#REF!,",",'Inverter-Full Data'!#REF!,",",'Inverter-Full Data'!#REF!,"'")</f>
        <v>#REF!</v>
      </c>
    </row>
    <row r="2477" spans="1:1">
      <c r="A2477" s="2" t="e">
        <f>CONCATENATE("'",'Inverter-Full Data'!#REF!,"     ",'Inverter-Full Data'!#REF!,",",'Inverter-Full Data'!#REF!,",",'Inverter-Full Data'!#REF!,",",'Inverter-Full Data'!#REF!,"'")</f>
        <v>#REF!</v>
      </c>
    </row>
    <row r="2478" spans="1:1">
      <c r="A2478" s="2" t="e">
        <f>CONCATENATE("'",'Inverter-Full Data'!#REF!,"     ",'Inverter-Full Data'!#REF!,",",'Inverter-Full Data'!#REF!,",",'Inverter-Full Data'!#REF!,",",'Inverter-Full Data'!#REF!,"'")</f>
        <v>#REF!</v>
      </c>
    </row>
    <row r="2479" spans="1:1">
      <c r="A2479" s="2" t="e">
        <f>CONCATENATE("'",'Inverter-Full Data'!#REF!,"     ",'Inverter-Full Data'!#REF!,",",'Inverter-Full Data'!#REF!,",",'Inverter-Full Data'!#REF!,",",'Inverter-Full Data'!#REF!,"'")</f>
        <v>#REF!</v>
      </c>
    </row>
    <row r="2480" spans="1:1">
      <c r="A2480" s="2" t="e">
        <f>CONCATENATE("'",'Inverter-Full Data'!#REF!,"     ",'Inverter-Full Data'!#REF!,",",'Inverter-Full Data'!#REF!,",",'Inverter-Full Data'!#REF!,",",'Inverter-Full Data'!#REF!,"'")</f>
        <v>#REF!</v>
      </c>
    </row>
    <row r="2481" spans="1:1">
      <c r="A2481" s="2" t="e">
        <f>CONCATENATE("'",'Inverter-Full Data'!#REF!,"     ",'Inverter-Full Data'!#REF!,",",'Inverter-Full Data'!#REF!,",",'Inverter-Full Data'!#REF!,",",'Inverter-Full Data'!#REF!,"'")</f>
        <v>#REF!</v>
      </c>
    </row>
    <row r="2482" spans="1:1">
      <c r="A2482" s="2" t="e">
        <f>CONCATENATE("'",'Inverter-Full Data'!#REF!,"     ",'Inverter-Full Data'!#REF!,",",'Inverter-Full Data'!#REF!,",",'Inverter-Full Data'!#REF!,",",'Inverter-Full Data'!#REF!,"'")</f>
        <v>#REF!</v>
      </c>
    </row>
    <row r="2483" spans="1:1">
      <c r="A2483" s="2" t="e">
        <f>CONCATENATE("'",'Inverter-Full Data'!#REF!,"     ",'Inverter-Full Data'!#REF!,",",'Inverter-Full Data'!#REF!,",",'Inverter-Full Data'!#REF!,",",'Inverter-Full Data'!#REF!,"'")</f>
        <v>#REF!</v>
      </c>
    </row>
    <row r="2484" spans="1:1">
      <c r="A2484" s="2" t="e">
        <f>CONCATENATE("'",'Inverter-Full Data'!#REF!,"     ",'Inverter-Full Data'!#REF!,",",'Inverter-Full Data'!#REF!,",",'Inverter-Full Data'!#REF!,",",'Inverter-Full Data'!#REF!,"'")</f>
        <v>#REF!</v>
      </c>
    </row>
    <row r="2485" spans="1:1">
      <c r="A2485" s="2" t="e">
        <f>CONCATENATE("'",'Inverter-Full Data'!#REF!,"     ",'Inverter-Full Data'!#REF!,",",'Inverter-Full Data'!#REF!,",",'Inverter-Full Data'!#REF!,",",'Inverter-Full Data'!#REF!,"'")</f>
        <v>#REF!</v>
      </c>
    </row>
    <row r="2486" spans="1:1">
      <c r="A2486" s="2" t="e">
        <f>CONCATENATE("'",'Inverter-Full Data'!#REF!,"     ",'Inverter-Full Data'!#REF!,",",'Inverter-Full Data'!#REF!,",",'Inverter-Full Data'!#REF!,",",'Inverter-Full Data'!#REF!,"'")</f>
        <v>#REF!</v>
      </c>
    </row>
    <row r="2487" spans="1:1">
      <c r="A2487" s="2" t="e">
        <f>CONCATENATE("'",'Inverter-Full Data'!#REF!,"     ",'Inverter-Full Data'!#REF!,",",'Inverter-Full Data'!#REF!,",",'Inverter-Full Data'!#REF!,",",'Inverter-Full Data'!#REF!,"'")</f>
        <v>#REF!</v>
      </c>
    </row>
    <row r="2488" spans="1:1">
      <c r="A2488" s="2" t="e">
        <f>CONCATENATE("'",'Inverter-Full Data'!#REF!,"     ",'Inverter-Full Data'!#REF!,",",'Inverter-Full Data'!#REF!,",",'Inverter-Full Data'!#REF!,",",'Inverter-Full Data'!#REF!,"'")</f>
        <v>#REF!</v>
      </c>
    </row>
    <row r="2489" spans="1:1">
      <c r="A2489" s="2" t="e">
        <f>CONCATENATE("'",'Inverter-Full Data'!#REF!,"     ",'Inverter-Full Data'!#REF!,",",'Inverter-Full Data'!#REF!,",",'Inverter-Full Data'!#REF!,",",'Inverter-Full Data'!#REF!,"'")</f>
        <v>#REF!</v>
      </c>
    </row>
    <row r="2490" spans="1:1">
      <c r="A2490" s="2" t="e">
        <f>CONCATENATE("'",'Inverter-Full Data'!#REF!,"     ",'Inverter-Full Data'!#REF!,",",'Inverter-Full Data'!#REF!,",",'Inverter-Full Data'!#REF!,",",'Inverter-Full Data'!#REF!,"'")</f>
        <v>#REF!</v>
      </c>
    </row>
    <row r="2491" spans="1:1">
      <c r="A2491" s="2" t="e">
        <f>CONCATENATE("'",'Inverter-Full Data'!#REF!,"     ",'Inverter-Full Data'!#REF!,",",'Inverter-Full Data'!#REF!,",",'Inverter-Full Data'!#REF!,",",'Inverter-Full Data'!#REF!,"'")</f>
        <v>#REF!</v>
      </c>
    </row>
    <row r="2492" spans="1:1">
      <c r="A2492" s="2" t="e">
        <f>CONCATENATE("'",'Inverter-Full Data'!#REF!,"     ",'Inverter-Full Data'!#REF!,",",'Inverter-Full Data'!#REF!,",",'Inverter-Full Data'!#REF!,",",'Inverter-Full Data'!#REF!,"'")</f>
        <v>#REF!</v>
      </c>
    </row>
    <row r="2493" spans="1:1">
      <c r="A2493" s="2" t="e">
        <f>CONCATENATE("'",'Inverter-Full Data'!#REF!,"     ",'Inverter-Full Data'!#REF!,",",'Inverter-Full Data'!#REF!,",",'Inverter-Full Data'!#REF!,",",'Inverter-Full Data'!#REF!,"'")</f>
        <v>#REF!</v>
      </c>
    </row>
    <row r="2494" spans="1:1">
      <c r="A2494" s="2" t="e">
        <f>CONCATENATE("'",'Inverter-Full Data'!#REF!,"     ",'Inverter-Full Data'!#REF!,",",'Inverter-Full Data'!#REF!,",",'Inverter-Full Data'!#REF!,",",'Inverter-Full Data'!#REF!,"'")</f>
        <v>#REF!</v>
      </c>
    </row>
    <row r="2495" spans="1:1">
      <c r="A2495" s="2" t="e">
        <f>CONCATENATE("'",'Inverter-Full Data'!#REF!,"     ",'Inverter-Full Data'!#REF!,",",'Inverter-Full Data'!#REF!,",",'Inverter-Full Data'!#REF!,",",'Inverter-Full Data'!#REF!,"'")</f>
        <v>#REF!</v>
      </c>
    </row>
    <row r="2496" spans="1:1">
      <c r="A2496" s="2" t="e">
        <f>CONCATENATE("'",'Inverter-Full Data'!#REF!,"     ",'Inverter-Full Data'!#REF!,",",'Inverter-Full Data'!#REF!,",",'Inverter-Full Data'!#REF!,",",'Inverter-Full Data'!#REF!,"'")</f>
        <v>#REF!</v>
      </c>
    </row>
    <row r="2497" spans="1:1">
      <c r="A2497" s="2" t="e">
        <f>CONCATENATE("'",'Inverter-Full Data'!#REF!,"     ",'Inverter-Full Data'!#REF!,",",'Inverter-Full Data'!#REF!,",",'Inverter-Full Data'!#REF!,",",'Inverter-Full Data'!#REF!,"'")</f>
        <v>#REF!</v>
      </c>
    </row>
    <row r="2498" spans="1:1">
      <c r="A2498" s="2" t="e">
        <f>CONCATENATE("'",'Inverter-Full Data'!#REF!,"     ",'Inverter-Full Data'!#REF!,",",'Inverter-Full Data'!#REF!,",",'Inverter-Full Data'!#REF!,",",'Inverter-Full Data'!#REF!,"'")</f>
        <v>#REF!</v>
      </c>
    </row>
    <row r="2499" spans="1:1">
      <c r="A2499" s="2" t="e">
        <f>CONCATENATE("'",'Inverter-Full Data'!#REF!,"     ",'Inverter-Full Data'!#REF!,",",'Inverter-Full Data'!#REF!,",",'Inverter-Full Data'!#REF!,",",'Inverter-Full Data'!#REF!,"'")</f>
        <v>#REF!</v>
      </c>
    </row>
    <row r="2500" spans="1:1">
      <c r="A2500" s="2" t="e">
        <f>CONCATENATE("'",'Inverter-Full Data'!#REF!,"     ",'Inverter-Full Data'!#REF!,",",'Inverter-Full Data'!#REF!,",",'Inverter-Full Data'!#REF!,",",'Inverter-Full Data'!#REF!,"'")</f>
        <v>#REF!</v>
      </c>
    </row>
    <row r="2501" spans="1:1">
      <c r="A2501" s="2" t="e">
        <f>CONCATENATE("'",'Inverter-Full Data'!#REF!,"     ",'Inverter-Full Data'!#REF!,",",'Inverter-Full Data'!#REF!,",",'Inverter-Full Data'!#REF!,",",'Inverter-Full Data'!#REF!,"'")</f>
        <v>#REF!</v>
      </c>
    </row>
    <row r="2502" spans="1:1">
      <c r="A2502" s="2" t="e">
        <f>CONCATENATE("'",'Inverter-Full Data'!#REF!,"     ",'Inverter-Full Data'!#REF!,",",'Inverter-Full Data'!#REF!,",",'Inverter-Full Data'!#REF!,",",'Inverter-Full Data'!#REF!,"'")</f>
        <v>#REF!</v>
      </c>
    </row>
    <row r="2503" spans="1:1">
      <c r="A2503" s="2" t="e">
        <f>CONCATENATE("'",'Inverter-Full Data'!#REF!,"     ",'Inverter-Full Data'!#REF!,",",'Inverter-Full Data'!#REF!,",",'Inverter-Full Data'!#REF!,",",'Inverter-Full Data'!#REF!,"'")</f>
        <v>#REF!</v>
      </c>
    </row>
    <row r="2504" spans="1:1">
      <c r="A2504" s="2" t="e">
        <f>CONCATENATE("'",'Inverter-Full Data'!#REF!,"     ",'Inverter-Full Data'!#REF!,",",'Inverter-Full Data'!#REF!,",",'Inverter-Full Data'!#REF!,",",'Inverter-Full Data'!#REF!,"'")</f>
        <v>#REF!</v>
      </c>
    </row>
    <row r="2505" spans="1:1">
      <c r="A2505" s="2" t="e">
        <f>CONCATENATE("'",'Inverter-Full Data'!#REF!,"     ",'Inverter-Full Data'!#REF!,",",'Inverter-Full Data'!#REF!,",",'Inverter-Full Data'!#REF!,",",'Inverter-Full Data'!#REF!,"'")</f>
        <v>#REF!</v>
      </c>
    </row>
    <row r="2506" spans="1:1">
      <c r="A2506" s="2" t="e">
        <f>CONCATENATE("'",'Inverter-Full Data'!#REF!,"     ",'Inverter-Full Data'!#REF!,",",'Inverter-Full Data'!#REF!,",",'Inverter-Full Data'!#REF!,",",'Inverter-Full Data'!#REF!,"'")</f>
        <v>#REF!</v>
      </c>
    </row>
    <row r="2507" spans="1:1">
      <c r="A2507" s="2" t="e">
        <f>CONCATENATE("'",'Inverter-Full Data'!#REF!,"     ",'Inverter-Full Data'!#REF!,",",'Inverter-Full Data'!#REF!,",",'Inverter-Full Data'!#REF!,",",'Inverter-Full Data'!#REF!,"'")</f>
        <v>#REF!</v>
      </c>
    </row>
    <row r="2508" spans="1:1">
      <c r="A2508" s="2" t="e">
        <f>CONCATENATE("'",'Inverter-Full Data'!#REF!,"     ",'Inverter-Full Data'!#REF!,",",'Inverter-Full Data'!#REF!,",",'Inverter-Full Data'!#REF!,",",'Inverter-Full Data'!#REF!,"'")</f>
        <v>#REF!</v>
      </c>
    </row>
    <row r="2509" spans="1:1">
      <c r="A2509" s="2" t="e">
        <f>CONCATENATE("'",'Inverter-Full Data'!#REF!,"     ",'Inverter-Full Data'!#REF!,",",'Inverter-Full Data'!#REF!,",",'Inverter-Full Data'!#REF!,",",'Inverter-Full Data'!#REF!,"'")</f>
        <v>#REF!</v>
      </c>
    </row>
    <row r="2510" spans="1:1">
      <c r="A2510" s="2" t="e">
        <f>CONCATENATE("'",'Inverter-Full Data'!#REF!,"     ",'Inverter-Full Data'!#REF!,",",'Inverter-Full Data'!#REF!,",",'Inverter-Full Data'!#REF!,",",'Inverter-Full Data'!#REF!,"'")</f>
        <v>#REF!</v>
      </c>
    </row>
    <row r="2511" spans="1:1">
      <c r="A2511" s="2" t="e">
        <f>CONCATENATE("'",'Inverter-Full Data'!#REF!,"     ",'Inverter-Full Data'!#REF!,",",'Inverter-Full Data'!#REF!,",",'Inverter-Full Data'!#REF!,",",'Inverter-Full Data'!#REF!,"'")</f>
        <v>#REF!</v>
      </c>
    </row>
    <row r="2512" spans="1:1">
      <c r="A2512" s="2" t="e">
        <f>CONCATENATE("'",'Inverter-Full Data'!#REF!,"     ",'Inverter-Full Data'!#REF!,",",'Inverter-Full Data'!#REF!,",",'Inverter-Full Data'!#REF!,",",'Inverter-Full Data'!#REF!,"'")</f>
        <v>#REF!</v>
      </c>
    </row>
    <row r="2513" spans="1:1">
      <c r="A2513" s="2" t="e">
        <f>CONCATENATE("'",'Inverter-Full Data'!#REF!,"     ",'Inverter-Full Data'!#REF!,",",'Inverter-Full Data'!#REF!,",",'Inverter-Full Data'!#REF!,",",'Inverter-Full Data'!#REF!,"'")</f>
        <v>#REF!</v>
      </c>
    </row>
    <row r="2514" spans="1:1">
      <c r="A2514" s="2" t="e">
        <f>CONCATENATE("'",'Inverter-Full Data'!#REF!,"     ",'Inverter-Full Data'!#REF!,",",'Inverter-Full Data'!#REF!,",",'Inverter-Full Data'!#REF!,",",'Inverter-Full Data'!#REF!,"'")</f>
        <v>#REF!</v>
      </c>
    </row>
    <row r="2515" spans="1:1">
      <c r="A2515" s="2" t="e">
        <f>CONCATENATE("'",'Inverter-Full Data'!#REF!,"     ",'Inverter-Full Data'!#REF!,",",'Inverter-Full Data'!#REF!,",",'Inverter-Full Data'!#REF!,",",'Inverter-Full Data'!#REF!,"'")</f>
        <v>#REF!</v>
      </c>
    </row>
    <row r="2516" spans="1:1">
      <c r="A2516" s="2" t="e">
        <f>CONCATENATE("'",'Inverter-Full Data'!#REF!,"     ",'Inverter-Full Data'!#REF!,",",'Inverter-Full Data'!#REF!,",",'Inverter-Full Data'!#REF!,",",'Inverter-Full Data'!#REF!,"'")</f>
        <v>#REF!</v>
      </c>
    </row>
    <row r="2517" spans="1:1">
      <c r="A2517" s="2" t="e">
        <f>CONCATENATE("'",'Inverter-Full Data'!#REF!,"     ",'Inverter-Full Data'!#REF!,",",'Inverter-Full Data'!#REF!,",",'Inverter-Full Data'!#REF!,",",'Inverter-Full Data'!#REF!,"'")</f>
        <v>#REF!</v>
      </c>
    </row>
    <row r="2518" spans="1:1">
      <c r="A2518" s="2" t="e">
        <f>CONCATENATE("'",'Inverter-Full Data'!#REF!,"     ",'Inverter-Full Data'!#REF!,",",'Inverter-Full Data'!#REF!,",",'Inverter-Full Data'!#REF!,",",'Inverter-Full Data'!#REF!,"'")</f>
        <v>#REF!</v>
      </c>
    </row>
    <row r="2519" spans="1:1">
      <c r="A2519" s="2" t="e">
        <f>CONCATENATE("'",'Inverter-Full Data'!#REF!,"     ",'Inverter-Full Data'!#REF!,",",'Inverter-Full Data'!#REF!,",",'Inverter-Full Data'!#REF!,",",'Inverter-Full Data'!#REF!,"'")</f>
        <v>#REF!</v>
      </c>
    </row>
    <row r="2520" spans="1:1">
      <c r="A2520" s="2" t="e">
        <f>CONCATENATE("'",'Inverter-Full Data'!#REF!,"     ",'Inverter-Full Data'!#REF!,",",'Inverter-Full Data'!#REF!,",",'Inverter-Full Data'!#REF!,",",'Inverter-Full Data'!#REF!,"'")</f>
        <v>#REF!</v>
      </c>
    </row>
    <row r="2521" spans="1:1">
      <c r="A2521" s="2" t="e">
        <f>CONCATENATE("'",'Inverter-Full Data'!#REF!,"     ",'Inverter-Full Data'!#REF!,",",'Inverter-Full Data'!#REF!,",",'Inverter-Full Data'!#REF!,",",'Inverter-Full Data'!#REF!,"'")</f>
        <v>#REF!</v>
      </c>
    </row>
    <row r="2522" spans="1:1">
      <c r="A2522" s="2" t="e">
        <f>CONCATENATE("'",'Inverter-Full Data'!#REF!,"     ",'Inverter-Full Data'!#REF!,",",'Inverter-Full Data'!#REF!,",",'Inverter-Full Data'!#REF!,",",'Inverter-Full Data'!#REF!,"'")</f>
        <v>#REF!</v>
      </c>
    </row>
    <row r="2523" spans="1:1">
      <c r="A2523" s="2" t="e">
        <f>CONCATENATE("'",'Inverter-Full Data'!#REF!,"     ",'Inverter-Full Data'!#REF!,",",'Inverter-Full Data'!#REF!,",",'Inverter-Full Data'!#REF!,",",'Inverter-Full Data'!#REF!,"'")</f>
        <v>#REF!</v>
      </c>
    </row>
    <row r="2524" spans="1:1">
      <c r="A2524" s="2" t="e">
        <f>CONCATENATE("'",'Inverter-Full Data'!#REF!,"     ",'Inverter-Full Data'!#REF!,",",'Inverter-Full Data'!#REF!,",",'Inverter-Full Data'!#REF!,",",'Inverter-Full Data'!#REF!,"'")</f>
        <v>#REF!</v>
      </c>
    </row>
    <row r="2525" spans="1:1">
      <c r="A2525" s="2" t="e">
        <f>CONCATENATE("'",'Inverter-Full Data'!#REF!,"     ",'Inverter-Full Data'!#REF!,",",'Inverter-Full Data'!#REF!,",",'Inverter-Full Data'!#REF!,",",'Inverter-Full Data'!#REF!,"'")</f>
        <v>#REF!</v>
      </c>
    </row>
    <row r="2526" spans="1:1">
      <c r="A2526" s="2" t="e">
        <f>CONCATENATE("'",'Inverter-Full Data'!#REF!,"     ",'Inverter-Full Data'!#REF!,",",'Inverter-Full Data'!#REF!,",",'Inverter-Full Data'!#REF!,",",'Inverter-Full Data'!#REF!,"'")</f>
        <v>#REF!</v>
      </c>
    </row>
    <row r="2527" spans="1:1">
      <c r="A2527" s="2" t="e">
        <f>CONCATENATE("'",'Inverter-Full Data'!#REF!,"     ",'Inverter-Full Data'!#REF!,",",'Inverter-Full Data'!#REF!,",",'Inverter-Full Data'!#REF!,",",'Inverter-Full Data'!#REF!,"'")</f>
        <v>#REF!</v>
      </c>
    </row>
    <row r="2528" spans="1:1">
      <c r="A2528" s="2" t="e">
        <f>CONCATENATE("'",'Inverter-Full Data'!#REF!,"     ",'Inverter-Full Data'!#REF!,",",'Inverter-Full Data'!#REF!,",",'Inverter-Full Data'!#REF!,",",'Inverter-Full Data'!#REF!,"'")</f>
        <v>#REF!</v>
      </c>
    </row>
    <row r="2529" spans="1:1">
      <c r="A2529" s="2" t="e">
        <f>CONCATENATE("'",'Inverter-Full Data'!#REF!,"     ",'Inverter-Full Data'!#REF!,",",'Inverter-Full Data'!#REF!,",",'Inverter-Full Data'!#REF!,",",'Inverter-Full Data'!#REF!,"'")</f>
        <v>#REF!</v>
      </c>
    </row>
    <row r="2530" spans="1:1">
      <c r="A2530" s="2" t="e">
        <f>CONCATENATE("'",'Inverter-Full Data'!#REF!,"     ",'Inverter-Full Data'!#REF!,",",'Inverter-Full Data'!#REF!,",",'Inverter-Full Data'!#REF!,",",'Inverter-Full Data'!#REF!,"'")</f>
        <v>#REF!</v>
      </c>
    </row>
    <row r="2531" spans="1:1">
      <c r="A2531" s="2" t="e">
        <f>CONCATENATE("'",'Inverter-Full Data'!#REF!,"     ",'Inverter-Full Data'!#REF!,",",'Inverter-Full Data'!#REF!,",",'Inverter-Full Data'!#REF!,",",'Inverter-Full Data'!#REF!,"'")</f>
        <v>#REF!</v>
      </c>
    </row>
    <row r="2532" spans="1:1">
      <c r="A2532" s="2" t="e">
        <f>CONCATENATE("'",'Inverter-Full Data'!#REF!,"     ",'Inverter-Full Data'!#REF!,",",'Inverter-Full Data'!#REF!,",",'Inverter-Full Data'!#REF!,",",'Inverter-Full Data'!#REF!,"'")</f>
        <v>#REF!</v>
      </c>
    </row>
    <row r="2533" spans="1:1">
      <c r="A2533" s="2" t="e">
        <f>CONCATENATE("'",'Inverter-Full Data'!#REF!,"     ",'Inverter-Full Data'!#REF!,",",'Inverter-Full Data'!#REF!,",",'Inverter-Full Data'!#REF!,",",'Inverter-Full Data'!#REF!,"'")</f>
        <v>#REF!</v>
      </c>
    </row>
    <row r="2534" spans="1:1">
      <c r="A2534" s="2" t="e">
        <f>CONCATENATE("'",'Inverter-Full Data'!#REF!,"     ",'Inverter-Full Data'!#REF!,",",'Inverter-Full Data'!#REF!,",",'Inverter-Full Data'!#REF!,",",'Inverter-Full Data'!#REF!,"'")</f>
        <v>#REF!</v>
      </c>
    </row>
    <row r="2535" spans="1:1">
      <c r="A2535" s="2" t="e">
        <f>CONCATENATE("'",'Inverter-Full Data'!#REF!,"     ",'Inverter-Full Data'!#REF!,",",'Inverter-Full Data'!#REF!,",",'Inverter-Full Data'!#REF!,",",'Inverter-Full Data'!#REF!,"'")</f>
        <v>#REF!</v>
      </c>
    </row>
    <row r="2536" spans="1:1">
      <c r="A2536" s="2" t="e">
        <f>CONCATENATE("'",'Inverter-Full Data'!#REF!,"     ",'Inverter-Full Data'!#REF!,",",'Inverter-Full Data'!#REF!,",",'Inverter-Full Data'!#REF!,",",'Inverter-Full Data'!#REF!,"'")</f>
        <v>#REF!</v>
      </c>
    </row>
    <row r="2537" spans="1:1">
      <c r="A2537" s="2" t="e">
        <f>CONCATENATE("'",'Inverter-Full Data'!#REF!,"     ",'Inverter-Full Data'!#REF!,",",'Inverter-Full Data'!#REF!,",",'Inverter-Full Data'!#REF!,",",'Inverter-Full Data'!#REF!,"'")</f>
        <v>#REF!</v>
      </c>
    </row>
    <row r="2538" spans="1:1">
      <c r="A2538" s="2" t="e">
        <f>CONCATENATE("'",'Inverter-Full Data'!#REF!,"     ",'Inverter-Full Data'!#REF!,",",'Inverter-Full Data'!#REF!,",",'Inverter-Full Data'!#REF!,",",'Inverter-Full Data'!#REF!,"'")</f>
        <v>#REF!</v>
      </c>
    </row>
    <row r="2539" spans="1:1">
      <c r="A2539" s="2" t="e">
        <f>CONCATENATE("'",'Inverter-Full Data'!#REF!,"     ",'Inverter-Full Data'!#REF!,",",'Inverter-Full Data'!#REF!,",",'Inverter-Full Data'!#REF!,",",'Inverter-Full Data'!#REF!,"'")</f>
        <v>#REF!</v>
      </c>
    </row>
    <row r="2540" spans="1:1">
      <c r="A2540" s="2" t="e">
        <f>CONCATENATE("'",'Inverter-Full Data'!#REF!,"     ",'Inverter-Full Data'!#REF!,",",'Inverter-Full Data'!#REF!,",",'Inverter-Full Data'!#REF!,",",'Inverter-Full Data'!#REF!,"'")</f>
        <v>#REF!</v>
      </c>
    </row>
    <row r="2541" spans="1:1">
      <c r="A2541" s="2" t="str">
        <f>CONCATENATE("'",'Inverter-Full Data'!A370,"     ",'Inverter-Full Data'!B370,",",'Inverter-Full Data'!S370,",",'Inverter-Full Data'!J370,",",'Inverter-Full Data'!T370,"'")</f>
        <v>'Rhombus Energy Solutions     BESI-50kW-480 [480V],N,94,N'</v>
      </c>
    </row>
    <row r="2542" spans="1:1">
      <c r="A2542" s="2" t="str">
        <f>CONCATENATE("'",'Inverter-Full Data'!A371,"     ",'Inverter-Full Data'!B371,",",'Inverter-Full Data'!S371,",",'Inverter-Full Data'!J371,",",'Inverter-Full Data'!T371,"'")</f>
        <v>'Rhombus Energy Solutions     BESS-50kW-480 [480V],N,94,N'</v>
      </c>
    </row>
    <row r="2543" spans="1:1">
      <c r="A2543" s="2" t="e">
        <f>CONCATENATE("'",'Inverter-Full Data'!#REF!,"     ",'Inverter-Full Data'!#REF!,",",'Inverter-Full Data'!#REF!,",",'Inverter-Full Data'!#REF!,",",'Inverter-Full Data'!#REF!,"'")</f>
        <v>#REF!</v>
      </c>
    </row>
    <row r="2544" spans="1:1">
      <c r="A2544" s="2" t="e">
        <f>CONCATENATE("'",'Inverter-Full Data'!#REF!,"     ",'Inverter-Full Data'!#REF!,",",'Inverter-Full Data'!#REF!,",",'Inverter-Full Data'!#REF!,",",'Inverter-Full Data'!#REF!,"'")</f>
        <v>#REF!</v>
      </c>
    </row>
    <row r="2545" spans="1:1">
      <c r="A2545" s="2" t="e">
        <f>CONCATENATE("'",'Inverter-Full Data'!#REF!,"     ",'Inverter-Full Data'!#REF!,",",'Inverter-Full Data'!#REF!,",",'Inverter-Full Data'!#REF!,",",'Inverter-Full Data'!#REF!,"'")</f>
        <v>#REF!</v>
      </c>
    </row>
    <row r="2546" spans="1:1">
      <c r="A2546" s="2" t="e">
        <f>CONCATENATE("'",'Inverter-Full Data'!#REF!,"     ",'Inverter-Full Data'!#REF!,",",'Inverter-Full Data'!#REF!,",",'Inverter-Full Data'!#REF!,",",'Inverter-Full Data'!#REF!,"'")</f>
        <v>#REF!</v>
      </c>
    </row>
    <row r="2547" spans="1:1">
      <c r="A2547" s="2" t="e">
        <f>CONCATENATE("'",'Inverter-Full Data'!#REF!,"     ",'Inverter-Full Data'!#REF!,",",'Inverter-Full Data'!#REF!,",",'Inverter-Full Data'!#REF!,",",'Inverter-Full Data'!#REF!,"'")</f>
        <v>#REF!</v>
      </c>
    </row>
    <row r="2548" spans="1:1">
      <c r="A2548" s="2" t="e">
        <f>CONCATENATE("'",'Inverter-Full Data'!#REF!,"     ",'Inverter-Full Data'!#REF!,",",'Inverter-Full Data'!#REF!,",",'Inverter-Full Data'!#REF!,",",'Inverter-Full Data'!#REF!,"'")</f>
        <v>#REF!</v>
      </c>
    </row>
    <row r="2549" spans="1:1">
      <c r="A2549" s="2" t="e">
        <f>CONCATENATE("'",'Inverter-Full Data'!#REF!,"     ",'Inverter-Full Data'!#REF!,",",'Inverter-Full Data'!#REF!,",",'Inverter-Full Data'!#REF!,",",'Inverter-Full Data'!#REF!,"'")</f>
        <v>#REF!</v>
      </c>
    </row>
    <row r="2550" spans="1:1">
      <c r="A2550" s="2" t="e">
        <f>CONCATENATE("'",'Inverter-Full Data'!#REF!,"     ",'Inverter-Full Data'!#REF!,",",'Inverter-Full Data'!#REF!,",",'Inverter-Full Data'!#REF!,",",'Inverter-Full Data'!#REF!,"'")</f>
        <v>#REF!</v>
      </c>
    </row>
    <row r="2551" spans="1:1">
      <c r="A2551" s="2" t="e">
        <f>CONCATENATE("'",'Inverter-Full Data'!#REF!,"     ",'Inverter-Full Data'!#REF!,",",'Inverter-Full Data'!#REF!,",",'Inverter-Full Data'!#REF!,",",'Inverter-Full Data'!#REF!,"'")</f>
        <v>#REF!</v>
      </c>
    </row>
    <row r="2552" spans="1:1">
      <c r="A2552" s="2" t="e">
        <f>CONCATENATE("'",'Inverter-Full Data'!#REF!,"     ",'Inverter-Full Data'!#REF!,",",'Inverter-Full Data'!#REF!,",",'Inverter-Full Data'!#REF!,",",'Inverter-Full Data'!#REF!,"'")</f>
        <v>#REF!</v>
      </c>
    </row>
    <row r="2553" spans="1:1">
      <c r="A2553" s="2" t="e">
        <f>CONCATENATE("'",'Inverter-Full Data'!#REF!,"     ",'Inverter-Full Data'!#REF!,",",'Inverter-Full Data'!#REF!,",",'Inverter-Full Data'!#REF!,",",'Inverter-Full Data'!#REF!,"'")</f>
        <v>#REF!</v>
      </c>
    </row>
    <row r="2554" spans="1:1">
      <c r="A2554" s="2" t="e">
        <f>CONCATENATE("'",'Inverter-Full Data'!#REF!,"     ",'Inverter-Full Data'!#REF!,",",'Inverter-Full Data'!#REF!,",",'Inverter-Full Data'!#REF!,",",'Inverter-Full Data'!#REF!,"'")</f>
        <v>#REF!</v>
      </c>
    </row>
    <row r="2555" spans="1:1">
      <c r="A2555" s="2" t="e">
        <f>CONCATENATE("'",'Inverter-Full Data'!#REF!,"     ",'Inverter-Full Data'!#REF!,",",'Inverter-Full Data'!#REF!,",",'Inverter-Full Data'!#REF!,",",'Inverter-Full Data'!#REF!,"'")</f>
        <v>#REF!</v>
      </c>
    </row>
    <row r="2556" spans="1:1">
      <c r="A2556" s="2" t="e">
        <f>CONCATENATE("'",'Inverter-Full Data'!#REF!,"     ",'Inverter-Full Data'!#REF!,",",'Inverter-Full Data'!#REF!,",",'Inverter-Full Data'!#REF!,",",'Inverter-Full Data'!#REF!,"'")</f>
        <v>#REF!</v>
      </c>
    </row>
    <row r="2557" spans="1:1">
      <c r="A2557" s="2" t="e">
        <f>CONCATENATE("'",'Inverter-Full Data'!#REF!,"     ",'Inverter-Full Data'!#REF!,",",'Inverter-Full Data'!#REF!,",",'Inverter-Full Data'!#REF!,",",'Inverter-Full Data'!#REF!,"'")</f>
        <v>#REF!</v>
      </c>
    </row>
    <row r="2558" spans="1:1">
      <c r="A2558" s="2" t="e">
        <f>CONCATENATE("'",'Inverter-Full Data'!#REF!,"     ",'Inverter-Full Data'!#REF!,",",'Inverter-Full Data'!#REF!,",",'Inverter-Full Data'!#REF!,",",'Inverter-Full Data'!#REF!,"'")</f>
        <v>#REF!</v>
      </c>
    </row>
    <row r="2559" spans="1:1">
      <c r="A2559" s="2" t="e">
        <f>CONCATENATE("'",'Inverter-Full Data'!#REF!,"     ",'Inverter-Full Data'!#REF!,",",'Inverter-Full Data'!#REF!,",",'Inverter-Full Data'!#REF!,",",'Inverter-Full Data'!#REF!,"'")</f>
        <v>#REF!</v>
      </c>
    </row>
    <row r="2560" spans="1:1">
      <c r="A2560" s="2" t="e">
        <f>CONCATENATE("'",'Inverter-Full Data'!#REF!,"     ",'Inverter-Full Data'!#REF!,",",'Inverter-Full Data'!#REF!,",",'Inverter-Full Data'!#REF!,",",'Inverter-Full Data'!#REF!,"'")</f>
        <v>#REF!</v>
      </c>
    </row>
    <row r="2561" spans="1:1">
      <c r="A2561" s="2" t="e">
        <f>CONCATENATE("'",'Inverter-Full Data'!#REF!,"     ",'Inverter-Full Data'!#REF!,",",'Inverter-Full Data'!#REF!,",",'Inverter-Full Data'!#REF!,",",'Inverter-Full Data'!#REF!,"'")</f>
        <v>#REF!</v>
      </c>
    </row>
    <row r="2562" spans="1:1">
      <c r="A2562" s="2" t="e">
        <f>CONCATENATE("'",'Inverter-Full Data'!#REF!,"     ",'Inverter-Full Data'!#REF!,",",'Inverter-Full Data'!#REF!,",",'Inverter-Full Data'!#REF!,",",'Inverter-Full Data'!#REF!,"'")</f>
        <v>#REF!</v>
      </c>
    </row>
    <row r="2563" spans="1:1">
      <c r="A2563" s="2" t="e">
        <f>CONCATENATE("'",'Inverter-Full Data'!#REF!,"     ",'Inverter-Full Data'!#REF!,",",'Inverter-Full Data'!#REF!,",",'Inverter-Full Data'!#REF!,",",'Inverter-Full Data'!#REF!,"'")</f>
        <v>#REF!</v>
      </c>
    </row>
    <row r="2564" spans="1:1">
      <c r="A2564" s="2" t="e">
        <f>CONCATENATE("'",'Inverter-Full Data'!#REF!,"     ",'Inverter-Full Data'!#REF!,",",'Inverter-Full Data'!#REF!,",",'Inverter-Full Data'!#REF!,",",'Inverter-Full Data'!#REF!,"'")</f>
        <v>#REF!</v>
      </c>
    </row>
    <row r="2565" spans="1:1">
      <c r="A2565" s="2" t="e">
        <f>CONCATENATE("'",'Inverter-Full Data'!#REF!,"     ",'Inverter-Full Data'!#REF!,",",'Inverter-Full Data'!#REF!,",",'Inverter-Full Data'!#REF!,",",'Inverter-Full Data'!#REF!,"'")</f>
        <v>#REF!</v>
      </c>
    </row>
    <row r="2566" spans="1:1">
      <c r="A2566" s="2" t="e">
        <f>CONCATENATE("'",'Inverter-Full Data'!#REF!,"     ",'Inverter-Full Data'!#REF!,",",'Inverter-Full Data'!#REF!,",",'Inverter-Full Data'!#REF!,",",'Inverter-Full Data'!#REF!,"'")</f>
        <v>#REF!</v>
      </c>
    </row>
    <row r="2567" spans="1:1">
      <c r="A2567" s="2" t="e">
        <f>CONCATENATE("'",'Inverter-Full Data'!#REF!,"     ",'Inverter-Full Data'!#REF!,",",'Inverter-Full Data'!#REF!,",",'Inverter-Full Data'!#REF!,",",'Inverter-Full Data'!#REF!,"'")</f>
        <v>#REF!</v>
      </c>
    </row>
    <row r="2568" spans="1:1">
      <c r="A2568" s="2" t="e">
        <f>CONCATENATE("'",'Inverter-Full Data'!#REF!,"     ",'Inverter-Full Data'!#REF!,",",'Inverter-Full Data'!#REF!,",",'Inverter-Full Data'!#REF!,",",'Inverter-Full Data'!#REF!,"'")</f>
        <v>#REF!</v>
      </c>
    </row>
    <row r="2569" spans="1:1">
      <c r="A2569" s="2" t="e">
        <f>CONCATENATE("'",'Inverter-Full Data'!#REF!,"     ",'Inverter-Full Data'!#REF!,",",'Inverter-Full Data'!#REF!,",",'Inverter-Full Data'!#REF!,",",'Inverter-Full Data'!#REF!,"'")</f>
        <v>#REF!</v>
      </c>
    </row>
    <row r="2570" spans="1:1">
      <c r="A2570" s="2" t="e">
        <f>CONCATENATE("'",'Inverter-Full Data'!#REF!,"     ",'Inverter-Full Data'!#REF!,",",'Inverter-Full Data'!#REF!,",",'Inverter-Full Data'!#REF!,",",'Inverter-Full Data'!#REF!,"'")</f>
        <v>#REF!</v>
      </c>
    </row>
    <row r="2571" spans="1:1">
      <c r="A2571" s="2" t="e">
        <f>CONCATENATE("'",'Inverter-Full Data'!#REF!,"     ",'Inverter-Full Data'!#REF!,",",'Inverter-Full Data'!#REF!,",",'Inverter-Full Data'!#REF!,",",'Inverter-Full Data'!#REF!,"'")</f>
        <v>#REF!</v>
      </c>
    </row>
    <row r="2572" spans="1:1">
      <c r="A2572" s="2" t="e">
        <f>CONCATENATE("'",'Inverter-Full Data'!#REF!,"     ",'Inverter-Full Data'!#REF!,",",'Inverter-Full Data'!#REF!,",",'Inverter-Full Data'!#REF!,",",'Inverter-Full Data'!#REF!,"'")</f>
        <v>#REF!</v>
      </c>
    </row>
    <row r="2573" spans="1:1">
      <c r="A2573" s="2" t="e">
        <f>CONCATENATE("'",'Inverter-Full Data'!#REF!,"     ",'Inverter-Full Data'!#REF!,",",'Inverter-Full Data'!#REF!,",",'Inverter-Full Data'!#REF!,",",'Inverter-Full Data'!#REF!,"'")</f>
        <v>#REF!</v>
      </c>
    </row>
    <row r="2574" spans="1:1">
      <c r="A2574" s="2" t="e">
        <f>CONCATENATE("'",'Inverter-Full Data'!#REF!,"     ",'Inverter-Full Data'!#REF!,",",'Inverter-Full Data'!#REF!,",",'Inverter-Full Data'!#REF!,",",'Inverter-Full Data'!#REF!,"'")</f>
        <v>#REF!</v>
      </c>
    </row>
    <row r="2575" spans="1:1">
      <c r="A2575" s="2" t="e">
        <f>CONCATENATE("'",'Inverter-Full Data'!#REF!,"     ",'Inverter-Full Data'!#REF!,",",'Inverter-Full Data'!#REF!,",",'Inverter-Full Data'!#REF!,",",'Inverter-Full Data'!#REF!,"'")</f>
        <v>#REF!</v>
      </c>
    </row>
    <row r="2576" spans="1:1">
      <c r="A2576" s="2" t="e">
        <f>CONCATENATE("'",'Inverter-Full Data'!#REF!,"     ",'Inverter-Full Data'!#REF!,",",'Inverter-Full Data'!#REF!,",",'Inverter-Full Data'!#REF!,",",'Inverter-Full Data'!#REF!,"'")</f>
        <v>#REF!</v>
      </c>
    </row>
    <row r="2577" spans="1:4">
      <c r="A2577" s="2" t="e">
        <f>CONCATENATE("'",'Inverter-Full Data'!#REF!,"     ",'Inverter-Full Data'!#REF!,",",'Inverter-Full Data'!#REF!,",",'Inverter-Full Data'!#REF!,",",'Inverter-Full Data'!#REF!,"'")</f>
        <v>#REF!</v>
      </c>
    </row>
    <row r="2578" spans="1:4">
      <c r="A2578" s="2" t="e">
        <f>CONCATENATE("'",'Inverter-Full Data'!#REF!,"     ",'Inverter-Full Data'!#REF!,",",'Inverter-Full Data'!#REF!,",",'Inverter-Full Data'!#REF!,",",'Inverter-Full Data'!#REF!,"'")</f>
        <v>#REF!</v>
      </c>
    </row>
    <row r="2579" spans="1:4">
      <c r="A2579" s="2" t="e">
        <f>CONCATENATE("'",'Inverter-Full Data'!#REF!,"     ",'Inverter-Full Data'!#REF!,",",'Inverter-Full Data'!#REF!,",",'Inverter-Full Data'!#REF!,",",'Inverter-Full Data'!#REF!,"'")</f>
        <v>#REF!</v>
      </c>
    </row>
    <row r="2580" spans="1:4">
      <c r="A2580" s="2" t="e">
        <f>CONCATENATE("'",'Inverter-Full Data'!#REF!,"     ",'Inverter-Full Data'!#REF!,",",'Inverter-Full Data'!#REF!,",",'Inverter-Full Data'!#REF!,",",'Inverter-Full Data'!#REF!,"'")</f>
        <v>#REF!</v>
      </c>
    </row>
    <row r="2581" spans="1:4">
      <c r="A2581" s="2" t="e">
        <f>CONCATENATE("'",'Inverter-Full Data'!#REF!,"     ",'Inverter-Full Data'!#REF!,",",'Inverter-Full Data'!#REF!,",",'Inverter-Full Data'!#REF!,",",'Inverter-Full Data'!#REF!,"'")</f>
        <v>#REF!</v>
      </c>
    </row>
    <row r="2582" spans="1:4">
      <c r="A2582" s="2" t="e">
        <f>CONCATENATE("'",'Inverter-Full Data'!#REF!,"     ",'Inverter-Full Data'!#REF!,",",'Inverter-Full Data'!#REF!,",",'Inverter-Full Data'!#REF!,",",'Inverter-Full Data'!#REF!,"'")</f>
        <v>#REF!</v>
      </c>
    </row>
    <row r="2583" spans="1:4">
      <c r="A2583" s="2" t="e">
        <f>CONCATENATE("'",'Inverter-Full Data'!#REF!,"     ",'Inverter-Full Data'!#REF!,",",'Inverter-Full Data'!#REF!,",",'Inverter-Full Data'!#REF!,",",'Inverter-Full Data'!#REF!,"'")</f>
        <v>#REF!</v>
      </c>
      <c r="D2583" s="1"/>
    </row>
    <row r="2584" spans="1:4">
      <c r="A2584" s="2" t="e">
        <f>CONCATENATE("'",'Inverter-Full Data'!#REF!,"     ",'Inverter-Full Data'!#REF!,",",'Inverter-Full Data'!#REF!,",",'Inverter-Full Data'!#REF!,",",'Inverter-Full Data'!#REF!,"'")</f>
        <v>#REF!</v>
      </c>
      <c r="D2584" s="1"/>
    </row>
    <row r="2585" spans="1:4">
      <c r="A2585" s="2" t="e">
        <f>CONCATENATE("'",'Inverter-Full Data'!#REF!,"     ",'Inverter-Full Data'!#REF!,",",'Inverter-Full Data'!#REF!,",",'Inverter-Full Data'!#REF!,",",'Inverter-Full Data'!#REF!,"'")</f>
        <v>#REF!</v>
      </c>
      <c r="D2585" s="1"/>
    </row>
    <row r="2586" spans="1:4">
      <c r="A2586" s="2" t="e">
        <f>CONCATENATE("'",'Inverter-Full Data'!#REF!,"     ",'Inverter-Full Data'!#REF!,",",'Inverter-Full Data'!#REF!,",",'Inverter-Full Data'!#REF!,",",'Inverter-Full Data'!#REF!,"'")</f>
        <v>#REF!</v>
      </c>
      <c r="D2586" s="1"/>
    </row>
    <row r="2587" spans="1:4">
      <c r="A2587" s="2" t="e">
        <f>CONCATENATE("'",'Inverter-Full Data'!#REF!,"     ",'Inverter-Full Data'!#REF!,",",'Inverter-Full Data'!#REF!,",",'Inverter-Full Data'!#REF!,",",'Inverter-Full Data'!#REF!,"'")</f>
        <v>#REF!</v>
      </c>
    </row>
    <row r="2588" spans="1:4">
      <c r="A2588" s="2" t="e">
        <f>CONCATENATE("'",'Inverter-Full Data'!#REF!,"     ",'Inverter-Full Data'!#REF!,",",'Inverter-Full Data'!#REF!,",",'Inverter-Full Data'!#REF!,",",'Inverter-Full Data'!#REF!,"'")</f>
        <v>#REF!</v>
      </c>
    </row>
    <row r="2589" spans="1:4">
      <c r="A2589" s="2" t="e">
        <f>CONCATENATE("'",'Inverter-Full Data'!#REF!,"     ",'Inverter-Full Data'!#REF!,",",'Inverter-Full Data'!#REF!,",",'Inverter-Full Data'!#REF!,",",'Inverter-Full Data'!#REF!,"'")</f>
        <v>#REF!</v>
      </c>
    </row>
    <row r="2590" spans="1:4">
      <c r="A2590" s="2" t="e">
        <f>CONCATENATE("'",'Inverter-Full Data'!#REF!,"     ",'Inverter-Full Data'!#REF!,",",'Inverter-Full Data'!#REF!,",",'Inverter-Full Data'!#REF!,",",'Inverter-Full Data'!#REF!,"'")</f>
        <v>#REF!</v>
      </c>
    </row>
    <row r="2591" spans="1:4">
      <c r="A2591" s="2" t="e">
        <f>CONCATENATE("'",'Inverter-Full Data'!#REF!,"     ",'Inverter-Full Data'!#REF!,",",'Inverter-Full Data'!#REF!,",",'Inverter-Full Data'!#REF!,",",'Inverter-Full Data'!#REF!,"'")</f>
        <v>#REF!</v>
      </c>
    </row>
    <row r="2592" spans="1:4">
      <c r="A2592" s="2" t="e">
        <f>CONCATENATE("'",'Inverter-Full Data'!#REF!,"     ",'Inverter-Full Data'!#REF!,",",'Inverter-Full Data'!#REF!,",",'Inverter-Full Data'!#REF!,",",'Inverter-Full Data'!#REF!,"'")</f>
        <v>#REF!</v>
      </c>
    </row>
    <row r="2593" spans="1:1">
      <c r="A2593" s="2" t="e">
        <f>CONCATENATE("'",'Inverter-Full Data'!#REF!,"     ",'Inverter-Full Data'!#REF!,",",'Inverter-Full Data'!#REF!,",",'Inverter-Full Data'!#REF!,",",'Inverter-Full Data'!#REF!,"'")</f>
        <v>#REF!</v>
      </c>
    </row>
    <row r="2594" spans="1:1">
      <c r="A2594" s="2" t="e">
        <f>CONCATENATE("'",'Inverter-Full Data'!#REF!,"     ",'Inverter-Full Data'!#REF!,",",'Inverter-Full Data'!#REF!,",",'Inverter-Full Data'!#REF!,",",'Inverter-Full Data'!#REF!,"'")</f>
        <v>#REF!</v>
      </c>
    </row>
    <row r="2595" spans="1:1">
      <c r="A2595" s="2" t="e">
        <f>CONCATENATE("'",'Inverter-Full Data'!#REF!,"     ",'Inverter-Full Data'!#REF!,",",'Inverter-Full Data'!#REF!,",",'Inverter-Full Data'!#REF!,",",'Inverter-Full Data'!#REF!,"'")</f>
        <v>#REF!</v>
      </c>
    </row>
    <row r="2596" spans="1:1">
      <c r="A2596" s="2" t="e">
        <f>CONCATENATE("'",'Inverter-Full Data'!#REF!,"     ",'Inverter-Full Data'!#REF!,",",'Inverter-Full Data'!#REF!,",",'Inverter-Full Data'!#REF!,",",'Inverter-Full Data'!#REF!,"'")</f>
        <v>#REF!</v>
      </c>
    </row>
    <row r="2597" spans="1:1">
      <c r="A2597" s="2" t="e">
        <f>CONCATENATE("'",'Inverter-Full Data'!#REF!,"     ",'Inverter-Full Data'!#REF!,",",'Inverter-Full Data'!#REF!,",",'Inverter-Full Data'!#REF!,",",'Inverter-Full Data'!#REF!,"'")</f>
        <v>#REF!</v>
      </c>
    </row>
    <row r="2598" spans="1:1">
      <c r="A2598" s="2" t="e">
        <f>CONCATENATE("'",'Inverter-Full Data'!#REF!,"     ",'Inverter-Full Data'!#REF!,",",'Inverter-Full Data'!#REF!,",",'Inverter-Full Data'!#REF!,",",'Inverter-Full Data'!#REF!,"'")</f>
        <v>#REF!</v>
      </c>
    </row>
    <row r="2599" spans="1:1">
      <c r="A2599" s="2" t="e">
        <f>CONCATENATE("'",'Inverter-Full Data'!#REF!,"     ",'Inverter-Full Data'!#REF!,",",'Inverter-Full Data'!#REF!,",",'Inverter-Full Data'!#REF!,",",'Inverter-Full Data'!#REF!,"'")</f>
        <v>#REF!</v>
      </c>
    </row>
    <row r="2600" spans="1:1">
      <c r="A2600" s="2" t="e">
        <f>CONCATENATE("'",'Inverter-Full Data'!#REF!,"     ",'Inverter-Full Data'!#REF!,",",'Inverter-Full Data'!#REF!,",",'Inverter-Full Data'!#REF!,",",'Inverter-Full Data'!#REF!,"'")</f>
        <v>#REF!</v>
      </c>
    </row>
    <row r="2601" spans="1:1">
      <c r="A2601" s="2" t="e">
        <f>CONCATENATE("'",'Inverter-Full Data'!#REF!,"     ",'Inverter-Full Data'!#REF!,",",'Inverter-Full Data'!#REF!,",",'Inverter-Full Data'!#REF!,",",'Inverter-Full Data'!#REF!,"'")</f>
        <v>#REF!</v>
      </c>
    </row>
    <row r="2602" spans="1:1">
      <c r="A2602" s="2" t="e">
        <f>CONCATENATE("'",'Inverter-Full Data'!#REF!,"     ",'Inverter-Full Data'!#REF!,",",'Inverter-Full Data'!#REF!,",",'Inverter-Full Data'!#REF!,",",'Inverter-Full Data'!#REF!,"'")</f>
        <v>#REF!</v>
      </c>
    </row>
    <row r="2603" spans="1:1">
      <c r="A2603" s="2" t="e">
        <f>CONCATENATE("'",'Inverter-Full Data'!#REF!,"     ",'Inverter-Full Data'!#REF!,",",'Inverter-Full Data'!#REF!,",",'Inverter-Full Data'!#REF!,",",'Inverter-Full Data'!#REF!,"'")</f>
        <v>#REF!</v>
      </c>
    </row>
    <row r="2604" spans="1:1">
      <c r="A2604" s="2" t="e">
        <f>CONCATENATE("'",'Inverter-Full Data'!#REF!,"     ",'Inverter-Full Data'!#REF!,",",'Inverter-Full Data'!#REF!,",",'Inverter-Full Data'!#REF!,",",'Inverter-Full Data'!#REF!,"'")</f>
        <v>#REF!</v>
      </c>
    </row>
    <row r="2605" spans="1:1">
      <c r="A2605" s="2" t="e">
        <f>CONCATENATE("'",'Inverter-Full Data'!#REF!,"     ",'Inverter-Full Data'!#REF!,",",'Inverter-Full Data'!#REF!,",",'Inverter-Full Data'!#REF!,",",'Inverter-Full Data'!#REF!,"'")</f>
        <v>#REF!</v>
      </c>
    </row>
    <row r="2606" spans="1:1">
      <c r="A2606" s="2" t="e">
        <f>CONCATENATE("'",'Inverter-Full Data'!#REF!,"     ",'Inverter-Full Data'!#REF!,",",'Inverter-Full Data'!#REF!,",",'Inverter-Full Data'!#REF!,",",'Inverter-Full Data'!#REF!,"'")</f>
        <v>#REF!</v>
      </c>
    </row>
    <row r="2607" spans="1:1">
      <c r="A2607" s="2" t="e">
        <f>CONCATENATE("'",'Inverter-Full Data'!#REF!,"     ",'Inverter-Full Data'!#REF!,",",'Inverter-Full Data'!#REF!,",",'Inverter-Full Data'!#REF!,",",'Inverter-Full Data'!#REF!,"'")</f>
        <v>#REF!</v>
      </c>
    </row>
    <row r="2608" spans="1:1">
      <c r="A2608" s="2" t="e">
        <f>CONCATENATE("'",'Inverter-Full Data'!#REF!,"     ",'Inverter-Full Data'!#REF!,",",'Inverter-Full Data'!#REF!,",",'Inverter-Full Data'!#REF!,",",'Inverter-Full Data'!#REF!,"'")</f>
        <v>#REF!</v>
      </c>
    </row>
    <row r="2609" spans="1:1">
      <c r="A2609" s="2" t="e">
        <f>CONCATENATE("'",'Inverter-Full Data'!#REF!,"     ",'Inverter-Full Data'!#REF!,",",'Inverter-Full Data'!#REF!,",",'Inverter-Full Data'!#REF!,",",'Inverter-Full Data'!#REF!,"'")</f>
        <v>#REF!</v>
      </c>
    </row>
    <row r="2610" spans="1:1">
      <c r="A2610" s="2" t="e">
        <f>CONCATENATE("'",'Inverter-Full Data'!#REF!,"     ",'Inverter-Full Data'!#REF!,",",'Inverter-Full Data'!#REF!,",",'Inverter-Full Data'!#REF!,",",'Inverter-Full Data'!#REF!,"'")</f>
        <v>#REF!</v>
      </c>
    </row>
    <row r="2611" spans="1:1">
      <c r="A2611" s="2" t="e">
        <f>CONCATENATE("'",'Inverter-Full Data'!#REF!,"     ",'Inverter-Full Data'!#REF!,",",'Inverter-Full Data'!#REF!,",",'Inverter-Full Data'!#REF!,",",'Inverter-Full Data'!#REF!,"'")</f>
        <v>#REF!</v>
      </c>
    </row>
    <row r="2612" spans="1:1">
      <c r="A2612" s="2" t="e">
        <f>CONCATENATE("'",'Inverter-Full Data'!#REF!,"     ",'Inverter-Full Data'!#REF!,",",'Inverter-Full Data'!#REF!,",",'Inverter-Full Data'!#REF!,",",'Inverter-Full Data'!#REF!,"'")</f>
        <v>#REF!</v>
      </c>
    </row>
    <row r="2613" spans="1:1">
      <c r="A2613" s="2" t="e">
        <f>CONCATENATE("'",'Inverter-Full Data'!#REF!,"     ",'Inverter-Full Data'!#REF!,",",'Inverter-Full Data'!#REF!,",",'Inverter-Full Data'!#REF!,",",'Inverter-Full Data'!#REF!,"'")</f>
        <v>#REF!</v>
      </c>
    </row>
    <row r="2614" spans="1:1">
      <c r="A2614" s="2" t="e">
        <f>CONCATENATE("'",'Inverter-Full Data'!#REF!,"     ",'Inverter-Full Data'!#REF!,",",'Inverter-Full Data'!#REF!,",",'Inverter-Full Data'!#REF!,",",'Inverter-Full Data'!#REF!,"'")</f>
        <v>#REF!</v>
      </c>
    </row>
    <row r="2615" spans="1:1">
      <c r="A2615" s="2" t="e">
        <f>CONCATENATE("'",'Inverter-Full Data'!#REF!,"     ",'Inverter-Full Data'!#REF!,",",'Inverter-Full Data'!#REF!,",",'Inverter-Full Data'!#REF!,",",'Inverter-Full Data'!#REF!,"'")</f>
        <v>#REF!</v>
      </c>
    </row>
    <row r="2616" spans="1:1">
      <c r="A2616" s="2" t="e">
        <f>CONCATENATE("'",'Inverter-Full Data'!#REF!,"     ",'Inverter-Full Data'!#REF!,",",'Inverter-Full Data'!#REF!,",",'Inverter-Full Data'!#REF!,",",'Inverter-Full Data'!#REF!,"'")</f>
        <v>#REF!</v>
      </c>
    </row>
    <row r="2617" spans="1:1">
      <c r="A2617" s="2" t="e">
        <f>CONCATENATE("'",'Inverter-Full Data'!#REF!,"     ",'Inverter-Full Data'!#REF!,",",'Inverter-Full Data'!#REF!,",",'Inverter-Full Data'!#REF!,",",'Inverter-Full Data'!#REF!,"'")</f>
        <v>#REF!</v>
      </c>
    </row>
    <row r="2618" spans="1:1">
      <c r="A2618" s="2" t="e">
        <f>CONCATENATE("'",'Inverter-Full Data'!#REF!,"     ",'Inverter-Full Data'!#REF!,",",'Inverter-Full Data'!#REF!,",",'Inverter-Full Data'!#REF!,",",'Inverter-Full Data'!#REF!,"'")</f>
        <v>#REF!</v>
      </c>
    </row>
    <row r="2619" spans="1:1">
      <c r="A2619" s="2" t="e">
        <f>CONCATENATE("'",'Inverter-Full Data'!#REF!,"     ",'Inverter-Full Data'!#REF!,",",'Inverter-Full Data'!#REF!,",",'Inverter-Full Data'!#REF!,",",'Inverter-Full Data'!#REF!,"'")</f>
        <v>#REF!</v>
      </c>
    </row>
    <row r="2620" spans="1:1">
      <c r="A2620" s="2" t="e">
        <f>CONCATENATE("'",'Inverter-Full Data'!#REF!,"     ",'Inverter-Full Data'!#REF!,",",'Inverter-Full Data'!#REF!,",",'Inverter-Full Data'!#REF!,",",'Inverter-Full Data'!#REF!,"'")</f>
        <v>#REF!</v>
      </c>
    </row>
    <row r="2621" spans="1:1">
      <c r="A2621" s="2" t="e">
        <f>CONCATENATE("'",'Inverter-Full Data'!#REF!,"     ",'Inverter-Full Data'!#REF!,",",'Inverter-Full Data'!#REF!,",",'Inverter-Full Data'!#REF!,",",'Inverter-Full Data'!#REF!,"'")</f>
        <v>#REF!</v>
      </c>
    </row>
    <row r="2622" spans="1:1">
      <c r="A2622" s="2" t="e">
        <f>CONCATENATE("'",'Inverter-Full Data'!#REF!,"     ",'Inverter-Full Data'!#REF!,",",'Inverter-Full Data'!#REF!,",",'Inverter-Full Data'!#REF!,",",'Inverter-Full Data'!#REF!,"'")</f>
        <v>#REF!</v>
      </c>
    </row>
    <row r="2623" spans="1:1">
      <c r="A2623" s="2" t="e">
        <f>CONCATENATE("'",'Inverter-Full Data'!#REF!,"     ",'Inverter-Full Data'!#REF!,",",'Inverter-Full Data'!#REF!,",",'Inverter-Full Data'!#REF!,",",'Inverter-Full Data'!#REF!,"'")</f>
        <v>#REF!</v>
      </c>
    </row>
    <row r="2624" spans="1:1">
      <c r="A2624" s="2" t="e">
        <f>CONCATENATE("'",'Inverter-Full Data'!#REF!,"     ",'Inverter-Full Data'!#REF!,",",'Inverter-Full Data'!#REF!,",",'Inverter-Full Data'!#REF!,",",'Inverter-Full Data'!#REF!,"'")</f>
        <v>#REF!</v>
      </c>
    </row>
    <row r="2625" spans="1:1">
      <c r="A2625" s="2" t="e">
        <f>CONCATENATE("'",'Inverter-Full Data'!#REF!,"     ",'Inverter-Full Data'!#REF!,",",'Inverter-Full Data'!#REF!,",",'Inverter-Full Data'!#REF!,",",'Inverter-Full Data'!#REF!,"'")</f>
        <v>#REF!</v>
      </c>
    </row>
    <row r="2626" spans="1:1">
      <c r="A2626" s="2" t="e">
        <f>CONCATENATE("'",'Inverter-Full Data'!#REF!,"     ",'Inverter-Full Data'!#REF!,",",'Inverter-Full Data'!#REF!,",",'Inverter-Full Data'!#REF!,",",'Inverter-Full Data'!#REF!,"'")</f>
        <v>#REF!</v>
      </c>
    </row>
    <row r="2627" spans="1:1">
      <c r="A2627" s="2" t="e">
        <f>CONCATENATE("'",'Inverter-Full Data'!#REF!,"     ",'Inverter-Full Data'!#REF!,",",'Inverter-Full Data'!#REF!,",",'Inverter-Full Data'!#REF!,",",'Inverter-Full Data'!#REF!,"'")</f>
        <v>#REF!</v>
      </c>
    </row>
    <row r="2628" spans="1:1">
      <c r="A2628" s="2" t="e">
        <f>CONCATENATE("'",'Inverter-Full Data'!#REF!,"     ",'Inverter-Full Data'!#REF!,",",'Inverter-Full Data'!#REF!,",",'Inverter-Full Data'!#REF!,",",'Inverter-Full Data'!#REF!,"'")</f>
        <v>#REF!</v>
      </c>
    </row>
    <row r="2629" spans="1:1">
      <c r="A2629" s="2" t="e">
        <f>CONCATENATE("'",'Inverter-Full Data'!#REF!,"     ",'Inverter-Full Data'!#REF!,",",'Inverter-Full Data'!#REF!,",",'Inverter-Full Data'!#REF!,",",'Inverter-Full Data'!#REF!,"'")</f>
        <v>#REF!</v>
      </c>
    </row>
    <row r="2630" spans="1:1">
      <c r="A2630" s="2" t="e">
        <f>CONCATENATE("'",'Inverter-Full Data'!#REF!,"     ",'Inverter-Full Data'!#REF!,",",'Inverter-Full Data'!#REF!,",",'Inverter-Full Data'!#REF!,",",'Inverter-Full Data'!#REF!,"'")</f>
        <v>#REF!</v>
      </c>
    </row>
    <row r="2631" spans="1:1">
      <c r="A2631" s="2" t="e">
        <f>CONCATENATE("'",'Inverter-Full Data'!#REF!,"     ",'Inverter-Full Data'!#REF!,",",'Inverter-Full Data'!#REF!,",",'Inverter-Full Data'!#REF!,",",'Inverter-Full Data'!#REF!,"'")</f>
        <v>#REF!</v>
      </c>
    </row>
    <row r="2632" spans="1:1">
      <c r="A2632" s="2" t="e">
        <f>CONCATENATE("'",'Inverter-Full Data'!#REF!,"     ",'Inverter-Full Data'!#REF!,",",'Inverter-Full Data'!#REF!,",",'Inverter-Full Data'!#REF!,",",'Inverter-Full Data'!#REF!,"'")</f>
        <v>#REF!</v>
      </c>
    </row>
    <row r="2633" spans="1:1">
      <c r="A2633" s="2" t="e">
        <f>CONCATENATE("'",'Inverter-Full Data'!#REF!,"     ",'Inverter-Full Data'!#REF!,",",'Inverter-Full Data'!#REF!,",",'Inverter-Full Data'!#REF!,",",'Inverter-Full Data'!#REF!,"'")</f>
        <v>#REF!</v>
      </c>
    </row>
    <row r="2634" spans="1:1">
      <c r="A2634" s="2" t="e">
        <f>CONCATENATE("'",'Inverter-Full Data'!#REF!,"     ",'Inverter-Full Data'!#REF!,",",'Inverter-Full Data'!#REF!,",",'Inverter-Full Data'!#REF!,",",'Inverter-Full Data'!#REF!,"'")</f>
        <v>#REF!</v>
      </c>
    </row>
    <row r="2635" spans="1:1">
      <c r="A2635" s="2" t="e">
        <f>CONCATENATE("'",'Inverter-Full Data'!#REF!,"     ",'Inverter-Full Data'!#REF!,",",'Inverter-Full Data'!#REF!,",",'Inverter-Full Data'!#REF!,",",'Inverter-Full Data'!#REF!,"'")</f>
        <v>#REF!</v>
      </c>
    </row>
    <row r="2636" spans="1:1">
      <c r="A2636" s="2" t="e">
        <f>CONCATENATE("'",'Inverter-Full Data'!#REF!,"     ",'Inverter-Full Data'!#REF!,",",'Inverter-Full Data'!#REF!,",",'Inverter-Full Data'!#REF!,",",'Inverter-Full Data'!#REF!,"'")</f>
        <v>#REF!</v>
      </c>
    </row>
    <row r="2637" spans="1:1">
      <c r="A2637" s="2" t="e">
        <f>CONCATENATE("'",'Inverter-Full Data'!#REF!,"     ",'Inverter-Full Data'!#REF!,",",'Inverter-Full Data'!#REF!,",",'Inverter-Full Data'!#REF!,",",'Inverter-Full Data'!#REF!,"'")</f>
        <v>#REF!</v>
      </c>
    </row>
    <row r="2638" spans="1:1">
      <c r="A2638" s="2" t="e">
        <f>CONCATENATE("'",'Inverter-Full Data'!#REF!,"     ",'Inverter-Full Data'!#REF!,",",'Inverter-Full Data'!#REF!,",",'Inverter-Full Data'!#REF!,",",'Inverter-Full Data'!#REF!,"'")</f>
        <v>#REF!</v>
      </c>
    </row>
    <row r="2639" spans="1:1">
      <c r="A2639" s="2" t="e">
        <f>CONCATENATE("'",'Inverter-Full Data'!#REF!,"     ",'Inverter-Full Data'!#REF!,",",'Inverter-Full Data'!#REF!,",",'Inverter-Full Data'!#REF!,",",'Inverter-Full Data'!#REF!,"'")</f>
        <v>#REF!</v>
      </c>
    </row>
    <row r="2640" spans="1:1">
      <c r="A2640" s="2" t="e">
        <f>CONCATENATE("'",'Inverter-Full Data'!#REF!,"     ",'Inverter-Full Data'!#REF!,",",'Inverter-Full Data'!#REF!,",",'Inverter-Full Data'!#REF!,",",'Inverter-Full Data'!#REF!,"'")</f>
        <v>#REF!</v>
      </c>
    </row>
    <row r="2641" spans="1:1">
      <c r="A2641" s="2" t="e">
        <f>CONCATENATE("'",'Inverter-Full Data'!#REF!,"     ",'Inverter-Full Data'!#REF!,",",'Inverter-Full Data'!#REF!,",",'Inverter-Full Data'!#REF!,",",'Inverter-Full Data'!#REF!,"'")</f>
        <v>#REF!</v>
      </c>
    </row>
    <row r="2642" spans="1:1">
      <c r="A2642" s="2" t="e">
        <f>CONCATENATE("'",'Inverter-Full Data'!#REF!,"     ",'Inverter-Full Data'!#REF!,",",'Inverter-Full Data'!#REF!,",",'Inverter-Full Data'!#REF!,",",'Inverter-Full Data'!#REF!,"'")</f>
        <v>#REF!</v>
      </c>
    </row>
    <row r="2643" spans="1:1">
      <c r="A2643" s="2" t="e">
        <f>CONCATENATE("'",'Inverter-Full Data'!#REF!,"     ",'Inverter-Full Data'!#REF!,",",'Inverter-Full Data'!#REF!,",",'Inverter-Full Data'!#REF!,",",'Inverter-Full Data'!#REF!,"'")</f>
        <v>#REF!</v>
      </c>
    </row>
    <row r="2644" spans="1:1">
      <c r="A2644" s="2" t="e">
        <f>CONCATENATE("'",'Inverter-Full Data'!#REF!,"     ",'Inverter-Full Data'!#REF!,",",'Inverter-Full Data'!#REF!,",",'Inverter-Full Data'!#REF!,",",'Inverter-Full Data'!#REF!,"'")</f>
        <v>#REF!</v>
      </c>
    </row>
    <row r="2645" spans="1:1">
      <c r="A2645" s="2" t="e">
        <f>CONCATENATE("'",'Inverter-Full Data'!#REF!,"     ",'Inverter-Full Data'!#REF!,",",'Inverter-Full Data'!#REF!,",",'Inverter-Full Data'!#REF!,",",'Inverter-Full Data'!#REF!,"'")</f>
        <v>#REF!</v>
      </c>
    </row>
    <row r="2646" spans="1:1">
      <c r="A2646" s="2" t="e">
        <f>CONCATENATE("'",'Inverter-Full Data'!#REF!,"     ",'Inverter-Full Data'!#REF!,",",'Inverter-Full Data'!#REF!,",",'Inverter-Full Data'!#REF!,",",'Inverter-Full Data'!#REF!,"'")</f>
        <v>#REF!</v>
      </c>
    </row>
    <row r="2647" spans="1:1">
      <c r="A2647" s="2" t="e">
        <f>CONCATENATE("'",'Inverter-Full Data'!#REF!,"     ",'Inverter-Full Data'!#REF!,",",'Inverter-Full Data'!#REF!,",",'Inverter-Full Data'!#REF!,",",'Inverter-Full Data'!#REF!,"'")</f>
        <v>#REF!</v>
      </c>
    </row>
    <row r="2648" spans="1:1">
      <c r="A2648" s="2" t="e">
        <f>CONCATENATE("'",'Inverter-Full Data'!#REF!,"     ",'Inverter-Full Data'!#REF!,",",'Inverter-Full Data'!#REF!,",",'Inverter-Full Data'!#REF!,",",'Inverter-Full Data'!#REF!,"'")</f>
        <v>#REF!</v>
      </c>
    </row>
    <row r="2649" spans="1:1">
      <c r="A2649" s="2" t="e">
        <f>CONCATENATE("'",'Inverter-Full Data'!#REF!,"     ",'Inverter-Full Data'!#REF!,",",'Inverter-Full Data'!#REF!,",",'Inverter-Full Data'!#REF!,",",'Inverter-Full Data'!#REF!,"'")</f>
        <v>#REF!</v>
      </c>
    </row>
    <row r="2650" spans="1:1">
      <c r="A2650" s="2" t="e">
        <f>CONCATENATE("'",'Inverter-Full Data'!#REF!,"     ",'Inverter-Full Data'!#REF!,",",'Inverter-Full Data'!#REF!,",",'Inverter-Full Data'!#REF!,",",'Inverter-Full Data'!#REF!,"'")</f>
        <v>#REF!</v>
      </c>
    </row>
    <row r="2651" spans="1:1">
      <c r="A2651" s="2" t="e">
        <f>CONCATENATE("'",'Inverter-Full Data'!#REF!,"     ",'Inverter-Full Data'!#REF!,",",'Inverter-Full Data'!#REF!,",",'Inverter-Full Data'!#REF!,",",'Inverter-Full Data'!#REF!,"'")</f>
        <v>#REF!</v>
      </c>
    </row>
    <row r="2652" spans="1:1">
      <c r="A2652" s="2" t="e">
        <f>CONCATENATE("'",'Inverter-Full Data'!#REF!,"     ",'Inverter-Full Data'!#REF!,",",'Inverter-Full Data'!#REF!,",",'Inverter-Full Data'!#REF!,",",'Inverter-Full Data'!#REF!,"'")</f>
        <v>#REF!</v>
      </c>
    </row>
    <row r="2653" spans="1:1">
      <c r="A2653" s="2" t="e">
        <f>CONCATENATE("'",'Inverter-Full Data'!#REF!,"     ",'Inverter-Full Data'!#REF!,",",'Inverter-Full Data'!#REF!,",",'Inverter-Full Data'!#REF!,",",'Inverter-Full Data'!#REF!,"'")</f>
        <v>#REF!</v>
      </c>
    </row>
    <row r="2654" spans="1:1">
      <c r="A2654" s="2" t="e">
        <f>CONCATENATE("'",'Inverter-Full Data'!#REF!,"     ",'Inverter-Full Data'!#REF!,",",'Inverter-Full Data'!#REF!,",",'Inverter-Full Data'!#REF!,",",'Inverter-Full Data'!#REF!,"'")</f>
        <v>#REF!</v>
      </c>
    </row>
    <row r="2655" spans="1:1">
      <c r="A2655" s="2" t="e">
        <f>CONCATENATE("'",'Inverter-Full Data'!#REF!,"     ",'Inverter-Full Data'!#REF!,",",'Inverter-Full Data'!#REF!,",",'Inverter-Full Data'!#REF!,",",'Inverter-Full Data'!#REF!,"'")</f>
        <v>#REF!</v>
      </c>
    </row>
    <row r="2656" spans="1:1">
      <c r="A2656" s="2" t="e">
        <f>CONCATENATE("'",'Inverter-Full Data'!#REF!,"     ",'Inverter-Full Data'!#REF!,",",'Inverter-Full Data'!#REF!,",",'Inverter-Full Data'!#REF!,",",'Inverter-Full Data'!#REF!,"'")</f>
        <v>#REF!</v>
      </c>
    </row>
    <row r="2657" spans="1:1">
      <c r="A2657" s="2" t="e">
        <f>CONCATENATE("'",'Inverter-Full Data'!#REF!,"     ",'Inverter-Full Data'!#REF!,",",'Inverter-Full Data'!#REF!,",",'Inverter-Full Data'!#REF!,",",'Inverter-Full Data'!#REF!,"'")</f>
        <v>#REF!</v>
      </c>
    </row>
    <row r="2658" spans="1:1">
      <c r="A2658" s="2" t="e">
        <f>CONCATENATE("'",'Inverter-Full Data'!#REF!,"     ",'Inverter-Full Data'!#REF!,",",'Inverter-Full Data'!#REF!,",",'Inverter-Full Data'!#REF!,",",'Inverter-Full Data'!#REF!,"'")</f>
        <v>#REF!</v>
      </c>
    </row>
    <row r="2659" spans="1:1">
      <c r="A2659" s="2" t="e">
        <f>CONCATENATE("'",'Inverter-Full Data'!#REF!,"     ",'Inverter-Full Data'!#REF!,",",'Inverter-Full Data'!#REF!,",",'Inverter-Full Data'!#REF!,",",'Inverter-Full Data'!#REF!,"'")</f>
        <v>#REF!</v>
      </c>
    </row>
    <row r="2660" spans="1:1">
      <c r="A2660" s="2" t="e">
        <f>CONCATENATE("'",'Inverter-Full Data'!#REF!,"     ",'Inverter-Full Data'!#REF!,",",'Inverter-Full Data'!#REF!,",",'Inverter-Full Data'!#REF!,",",'Inverter-Full Data'!#REF!,"'")</f>
        <v>#REF!</v>
      </c>
    </row>
    <row r="2661" spans="1:1">
      <c r="A2661" s="2" t="e">
        <f>CONCATENATE("'",'Inverter-Full Data'!#REF!,"     ",'Inverter-Full Data'!#REF!,",",'Inverter-Full Data'!#REF!,",",'Inverter-Full Data'!#REF!,",",'Inverter-Full Data'!#REF!,"'")</f>
        <v>#REF!</v>
      </c>
    </row>
    <row r="2662" spans="1:1">
      <c r="A2662" s="2" t="e">
        <f>CONCATENATE("'",'Inverter-Full Data'!#REF!,"     ",'Inverter-Full Data'!#REF!,",",'Inverter-Full Data'!#REF!,",",'Inverter-Full Data'!#REF!,",",'Inverter-Full Data'!#REF!,"'")</f>
        <v>#REF!</v>
      </c>
    </row>
    <row r="2663" spans="1:1">
      <c r="A2663" s="2" t="e">
        <f>CONCATENATE("'",'Inverter-Full Data'!#REF!,"     ",'Inverter-Full Data'!#REF!,",",'Inverter-Full Data'!#REF!,",",'Inverter-Full Data'!#REF!,",",'Inverter-Full Data'!#REF!,"'")</f>
        <v>#REF!</v>
      </c>
    </row>
    <row r="2664" spans="1:1">
      <c r="A2664" s="2" t="e">
        <f>CONCATENATE("'",'Inverter-Full Data'!#REF!,"     ",'Inverter-Full Data'!#REF!,",",'Inverter-Full Data'!#REF!,",",'Inverter-Full Data'!#REF!,",",'Inverter-Full Data'!#REF!,"'")</f>
        <v>#REF!</v>
      </c>
    </row>
    <row r="2665" spans="1:1">
      <c r="A2665" s="2" t="e">
        <f>CONCATENATE("'",'Inverter-Full Data'!#REF!,"     ",'Inverter-Full Data'!#REF!,",",'Inverter-Full Data'!#REF!,",",'Inverter-Full Data'!#REF!,",",'Inverter-Full Data'!#REF!,"'")</f>
        <v>#REF!</v>
      </c>
    </row>
    <row r="2666" spans="1:1">
      <c r="A2666" s="2" t="str">
        <f>CONCATENATE("'",'Inverter-Full Data'!A372,"     ",'Inverter-Full Data'!B372,",",'Inverter-Full Data'!S372,",",'Inverter-Full Data'!J372,",",'Inverter-Full Data'!T372,"'")</f>
        <v>'Schneider Electric Solar Inverters USA, Inc.     Conext CL125 [600V],N,98.5,N'</v>
      </c>
    </row>
    <row r="2667" spans="1:1">
      <c r="A2667" s="2" t="e">
        <f>CONCATENATE("'",'Inverter-Full Data'!#REF!,"     ",'Inverter-Full Data'!#REF!,",",'Inverter-Full Data'!#REF!,",",'Inverter-Full Data'!#REF!,",",'Inverter-Full Data'!#REF!,"'")</f>
        <v>#REF!</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e">
        <f>CONCATENATE("'",'Inverter-Full Data'!#REF!,"     ",'Inverter-Full Data'!#REF!,",",'Inverter-Full Data'!#REF!,",",'Inverter-Full Data'!#REF!,",",'Inverter-Full Data'!#REF!,"'")</f>
        <v>#REF!</v>
      </c>
    </row>
    <row r="2671" spans="1:1">
      <c r="A2671" s="2" t="e">
        <f>CONCATENATE("'",'Inverter-Full Data'!#REF!,"     ",'Inverter-Full Data'!#REF!,",",'Inverter-Full Data'!#REF!,",",'Inverter-Full Data'!#REF!,",",'Inverter-Full Data'!#REF!,"'")</f>
        <v>#REF!</v>
      </c>
    </row>
    <row r="2672" spans="1:1">
      <c r="A2672" s="2" t="e">
        <f>CONCATENATE("'",'Inverter-Full Data'!#REF!,"     ",'Inverter-Full Data'!#REF!,",",'Inverter-Full Data'!#REF!,",",'Inverter-Full Data'!#REF!,",",'Inverter-Full Data'!#REF!,"'")</f>
        <v>#REF!</v>
      </c>
    </row>
    <row r="2673" spans="1:1">
      <c r="A2673" s="2" t="e">
        <f>CONCATENATE("'",'Inverter-Full Data'!#REF!,"     ",'Inverter-Full Data'!#REF!,",",'Inverter-Full Data'!#REF!,",",'Inverter-Full Data'!#REF!,",",'Inverter-Full Data'!#REF!,"'")</f>
        <v>#REF!</v>
      </c>
    </row>
    <row r="2674" spans="1:1">
      <c r="A2674" s="2" t="e">
        <f>CONCATENATE("'",'Inverter-Full Data'!#REF!,"     ",'Inverter-Full Data'!#REF!,",",'Inverter-Full Data'!#REF!,",",'Inverter-Full Data'!#REF!,",",'Inverter-Full Data'!#REF!,"'")</f>
        <v>#REF!</v>
      </c>
    </row>
    <row r="2675" spans="1:1">
      <c r="A2675" s="2" t="e">
        <f>CONCATENATE("'",'Inverter-Full Data'!#REF!,"     ",'Inverter-Full Data'!#REF!,",",'Inverter-Full Data'!#REF!,",",'Inverter-Full Data'!#REF!,",",'Inverter-Full Data'!#REF!,"'")</f>
        <v>#REF!</v>
      </c>
    </row>
    <row r="2676" spans="1:1">
      <c r="A2676" s="2" t="e">
        <f>CONCATENATE("'",'Inverter-Full Data'!#REF!,"     ",'Inverter-Full Data'!#REF!,",",'Inverter-Full Data'!#REF!,",",'Inverter-Full Data'!#REF!,",",'Inverter-Full Data'!#REF!,"'")</f>
        <v>#REF!</v>
      </c>
    </row>
    <row r="2677" spans="1:1">
      <c r="A2677" s="2" t="e">
        <f>CONCATENATE("'",'Inverter-Full Data'!#REF!,"     ",'Inverter-Full Data'!#REF!,",",'Inverter-Full Data'!#REF!,",",'Inverter-Full Data'!#REF!,",",'Inverter-Full Data'!#REF!,"'")</f>
        <v>#REF!</v>
      </c>
    </row>
    <row r="2678" spans="1:1">
      <c r="A2678" s="2" t="e">
        <f>CONCATENATE("'",'Inverter-Full Data'!#REF!,"     ",'Inverter-Full Data'!#REF!,",",'Inverter-Full Data'!#REF!,",",'Inverter-Full Data'!#REF!,",",'Inverter-Full Data'!#REF!,"'")</f>
        <v>#REF!</v>
      </c>
    </row>
    <row r="2679" spans="1:1">
      <c r="A2679" s="2" t="e">
        <f>CONCATENATE("'",'Inverter-Full Data'!#REF!,"     ",'Inverter-Full Data'!#REF!,",",'Inverter-Full Data'!#REF!,",",'Inverter-Full Data'!#REF!,",",'Inverter-Full Data'!#REF!,"'")</f>
        <v>#REF!</v>
      </c>
    </row>
    <row r="2680" spans="1:1">
      <c r="A2680" s="2" t="str">
        <f>CONCATENATE("'",'Inverter-Full Data'!A373,"     ",'Inverter-Full Data'!B373,",",'Inverter-Full Data'!S373,",",'Inverter-Full Data'!J373,",",'Inverter-Full Data'!T373,"'")</f>
        <v>'Schneider Electric Solar Inverters USA, Inc.     CS1666-1-NA [575V],N,98,N'</v>
      </c>
    </row>
    <row r="2681" spans="1:1">
      <c r="A2681" s="2" t="str">
        <f>CONCATENATE("'",'Inverter-Full Data'!A374,"     ",'Inverter-Full Data'!B374,",",'Inverter-Full Data'!S374,",",'Inverter-Full Data'!J374,",",'Inverter-Full Data'!T374,"'")</f>
        <v>'Schneider Electric Solar Inverters USA, Inc.     CS1666-2-NA [575V],N,98,N'</v>
      </c>
    </row>
    <row r="2682" spans="1:1">
      <c r="A2682" s="2" t="str">
        <f>CONCATENATE("'",'Inverter-Full Data'!A375,"     ",'Inverter-Full Data'!B375,",",'Inverter-Full Data'!S375,",",'Inverter-Full Data'!J375,",",'Inverter-Full Data'!T375,"'")</f>
        <v>'Schneider Electric Solar Inverters USA, Inc.     CS1666-3-NA [575V],N,98,N'</v>
      </c>
    </row>
    <row r="2683" spans="1:1">
      <c r="A2683" s="2" t="str">
        <f>CONCATENATE("'",'Inverter-Full Data'!A376,"     ",'Inverter-Full Data'!B376,",",'Inverter-Full Data'!S376,",",'Inverter-Full Data'!J376,",",'Inverter-Full Data'!T376,"'")</f>
        <v>'Schneider Electric Solar Inverters USA, Inc.     CS1800-NA [575V],N,98,N'</v>
      </c>
    </row>
    <row r="2684" spans="1:1">
      <c r="A2684" s="2" t="str">
        <f>CONCATENATE("'",'Inverter-Full Data'!A377,"     ",'Inverter-Full Data'!B377,",",'Inverter-Full Data'!S377,",",'Inverter-Full Data'!J377,",",'Inverter-Full Data'!T377,"'")</f>
        <v>'Schneider Electric Solar Inverters USA, Inc.     CS2000-NA [575V],N,97.5,N'</v>
      </c>
    </row>
    <row r="2685" spans="1:1">
      <c r="A2685" s="2" t="str">
        <f>CONCATENATE("'",'Inverter-Full Data'!A378,"     ",'Inverter-Full Data'!B378,",",'Inverter-Full Data'!S378,",",'Inverter-Full Data'!J378,",",'Inverter-Full Data'!T378,"'")</f>
        <v>'Schneider Electric Solar Inverters USA, Inc.     CS2200-NA [600V],N,98,N'</v>
      </c>
    </row>
    <row r="2686" spans="1:1">
      <c r="A2686" s="2" t="e">
        <f>CONCATENATE("'",'Inverter-Full Data'!#REF!,"     ",'Inverter-Full Data'!#REF!,",",'Inverter-Full Data'!#REF!,",",'Inverter-Full Data'!#REF!,",",'Inverter-Full Data'!#REF!,"'")</f>
        <v>#REF!</v>
      </c>
    </row>
    <row r="2687" spans="1:1">
      <c r="A2687" s="2" t="e">
        <f>CONCATENATE("'",'Inverter-Full Data'!#REF!,"     ",'Inverter-Full Data'!#REF!,",",'Inverter-Full Data'!#REF!,",",'Inverter-Full Data'!#REF!,",",'Inverter-Full Data'!#REF!,"'")</f>
        <v>#REF!</v>
      </c>
    </row>
    <row r="2688" spans="1:1">
      <c r="A2688" s="2" t="e">
        <f>CONCATENATE("'",'Inverter-Full Data'!#REF!,"     ",'Inverter-Full Data'!#REF!,",",'Inverter-Full Data'!#REF!,",",'Inverter-Full Data'!#REF!,",",'Inverter-Full Data'!#REF!,"'")</f>
        <v>#REF!</v>
      </c>
    </row>
    <row r="2689" spans="1:1">
      <c r="A2689" s="2" t="e">
        <f>CONCATENATE("'",'Inverter-Full Data'!#REF!,"     ",'Inverter-Full Data'!#REF!,",",'Inverter-Full Data'!#REF!,",",'Inverter-Full Data'!#REF!,",",'Inverter-Full Data'!#REF!,"'")</f>
        <v>#REF!</v>
      </c>
    </row>
    <row r="2690" spans="1:1">
      <c r="A2690" s="2" t="e">
        <f>CONCATENATE("'",'Inverter-Full Data'!#REF!,"     ",'Inverter-Full Data'!#REF!,",",'Inverter-Full Data'!#REF!,",",'Inverter-Full Data'!#REF!,",",'Inverter-Full Data'!#REF!,"'")</f>
        <v>#REF!</v>
      </c>
    </row>
    <row r="2691" spans="1:1">
      <c r="A2691" s="2" t="e">
        <f>CONCATENATE("'",'Inverter-Full Data'!#REF!,"     ",'Inverter-Full Data'!#REF!,",",'Inverter-Full Data'!#REF!,",",'Inverter-Full Data'!#REF!,",",'Inverter-Full Data'!#REF!,"'")</f>
        <v>#REF!</v>
      </c>
    </row>
    <row r="2692" spans="1:1">
      <c r="A2692" s="2" t="e">
        <f>CONCATENATE("'",'Inverter-Full Data'!#REF!,"     ",'Inverter-Full Data'!#REF!,",",'Inverter-Full Data'!#REF!,",",'Inverter-Full Data'!#REF!,",",'Inverter-Full Data'!#REF!,"'")</f>
        <v>#REF!</v>
      </c>
    </row>
    <row r="2693" spans="1:1">
      <c r="A2693" s="2" t="e">
        <f>CONCATENATE("'",'Inverter-Full Data'!#REF!,"     ",'Inverter-Full Data'!#REF!,",",'Inverter-Full Data'!#REF!,",",'Inverter-Full Data'!#REF!,",",'Inverter-Full Data'!#REF!,"'")</f>
        <v>#REF!</v>
      </c>
    </row>
    <row r="2694" spans="1:1">
      <c r="A2694" s="2" t="e">
        <f>CONCATENATE("'",'Inverter-Full Data'!#REF!,"     ",'Inverter-Full Data'!#REF!,",",'Inverter-Full Data'!#REF!,",",'Inverter-Full Data'!#REF!,",",'Inverter-Full Data'!#REF!,"'")</f>
        <v>#REF!</v>
      </c>
    </row>
    <row r="2695" spans="1:1">
      <c r="A2695" s="2" t="e">
        <f>CONCATENATE("'",'Inverter-Full Data'!#REF!,"     ",'Inverter-Full Data'!#REF!,",",'Inverter-Full Data'!#REF!,",",'Inverter-Full Data'!#REF!,",",'Inverter-Full Data'!#REF!,"'")</f>
        <v>#REF!</v>
      </c>
    </row>
    <row r="2696" spans="1:1">
      <c r="A2696" s="2" t="e">
        <f>CONCATENATE("'",'Inverter-Full Data'!#REF!,"     ",'Inverter-Full Data'!#REF!,",",'Inverter-Full Data'!#REF!,",",'Inverter-Full Data'!#REF!,",",'Inverter-Full Data'!#REF!,"'")</f>
        <v>#REF!</v>
      </c>
    </row>
    <row r="2697" spans="1:1">
      <c r="A2697" s="2" t="e">
        <f>CONCATENATE("'",'Inverter-Full Data'!#REF!,"     ",'Inverter-Full Data'!#REF!,",",'Inverter-Full Data'!#REF!,",",'Inverter-Full Data'!#REF!,",",'Inverter-Full Data'!#REF!,"'")</f>
        <v>#REF!</v>
      </c>
    </row>
    <row r="2698" spans="1:1">
      <c r="A2698" s="2" t="e">
        <f>CONCATENATE("'",'Inverter-Full Data'!#REF!,"     ",'Inverter-Full Data'!#REF!,",",'Inverter-Full Data'!#REF!,",",'Inverter-Full Data'!#REF!,",",'Inverter-Full Data'!#REF!,"'")</f>
        <v>#REF!</v>
      </c>
    </row>
    <row r="2699" spans="1:1">
      <c r="A2699" s="2" t="e">
        <f>CONCATENATE("'",'Inverter-Full Data'!#REF!,"     ",'Inverter-Full Data'!#REF!,",",'Inverter-Full Data'!#REF!,",",'Inverter-Full Data'!#REF!,",",'Inverter-Full Data'!#REF!,"'")</f>
        <v>#REF!</v>
      </c>
    </row>
    <row r="2700" spans="1:1">
      <c r="A2700" s="2" t="e">
        <f>CONCATENATE("'",'Inverter-Full Data'!#REF!,"     ",'Inverter-Full Data'!#REF!,",",'Inverter-Full Data'!#REF!,",",'Inverter-Full Data'!#REF!,",",'Inverter-Full Data'!#REF!,"'")</f>
        <v>#REF!</v>
      </c>
    </row>
    <row r="2701" spans="1:1">
      <c r="A2701" s="2" t="e">
        <f>CONCATENATE("'",'Inverter-Full Data'!#REF!,"     ",'Inverter-Full Data'!#REF!,",",'Inverter-Full Data'!#REF!,",",'Inverter-Full Data'!#REF!,",",'Inverter-Full Data'!#REF!,"'")</f>
        <v>#REF!</v>
      </c>
    </row>
    <row r="2702" spans="1:1">
      <c r="A2702" s="2" t="e">
        <f>CONCATENATE("'",'Inverter-Full Data'!#REF!,"     ",'Inverter-Full Data'!#REF!,",",'Inverter-Full Data'!#REF!,",",'Inverter-Full Data'!#REF!,",",'Inverter-Full Data'!#REF!,"'")</f>
        <v>#REF!</v>
      </c>
    </row>
    <row r="2703" spans="1:1">
      <c r="A2703" s="2" t="e">
        <f>CONCATENATE("'",'Inverter-Full Data'!#REF!,"     ",'Inverter-Full Data'!#REF!,",",'Inverter-Full Data'!#REF!,",",'Inverter-Full Data'!#REF!,",",'Inverter-Full Data'!#REF!,"'")</f>
        <v>#REF!</v>
      </c>
    </row>
    <row r="2704" spans="1:1">
      <c r="A2704" s="2" t="e">
        <f>CONCATENATE("'",'Inverter-Full Data'!#REF!,"     ",'Inverter-Full Data'!#REF!,",",'Inverter-Full Data'!#REF!,",",'Inverter-Full Data'!#REF!,",",'Inverter-Full Data'!#REF!,"'")</f>
        <v>#REF!</v>
      </c>
    </row>
    <row r="2705" spans="1:1">
      <c r="A2705" s="2" t="e">
        <f>CONCATENATE("'",'Inverter-Full Data'!#REF!,"     ",'Inverter-Full Data'!#REF!,",",'Inverter-Full Data'!#REF!,",",'Inverter-Full Data'!#REF!,",",'Inverter-Full Data'!#REF!,"'")</f>
        <v>#REF!</v>
      </c>
    </row>
    <row r="2706" spans="1:1">
      <c r="A2706" s="2" t="e">
        <f>CONCATENATE("'",'Inverter-Full Data'!#REF!,"     ",'Inverter-Full Data'!#REF!,",",'Inverter-Full Data'!#REF!,",",'Inverter-Full Data'!#REF!,",",'Inverter-Full Data'!#REF!,"'")</f>
        <v>#REF!</v>
      </c>
    </row>
    <row r="2707" spans="1:1">
      <c r="A2707" s="2" t="e">
        <f>CONCATENATE("'",'Inverter-Full Data'!#REF!,"     ",'Inverter-Full Data'!#REF!,",",'Inverter-Full Data'!#REF!,",",'Inverter-Full Data'!#REF!,",",'Inverter-Full Data'!#REF!,"'")</f>
        <v>#REF!</v>
      </c>
    </row>
    <row r="2708" spans="1:1">
      <c r="A2708" s="2" t="e">
        <f>CONCATENATE("'",'Inverter-Full Data'!#REF!,"     ",'Inverter-Full Data'!#REF!,",",'Inverter-Full Data'!#REF!,",",'Inverter-Full Data'!#REF!,",",'Inverter-Full Data'!#REF!,"'")</f>
        <v>#REF!</v>
      </c>
    </row>
    <row r="2709" spans="1:1">
      <c r="A2709" s="2" t="e">
        <f>CONCATENATE("'",'Inverter-Full Data'!#REF!,"     ",'Inverter-Full Data'!#REF!,",",'Inverter-Full Data'!#REF!,",",'Inverter-Full Data'!#REF!,",",'Inverter-Full Data'!#REF!,"'")</f>
        <v>#REF!</v>
      </c>
    </row>
    <row r="2710" spans="1:1">
      <c r="A2710" s="2" t="e">
        <f>CONCATENATE("'",'Inverter-Full Data'!#REF!,"     ",'Inverter-Full Data'!#REF!,",",'Inverter-Full Data'!#REF!,",",'Inverter-Full Data'!#REF!,",",'Inverter-Full Data'!#REF!,"'")</f>
        <v>#REF!</v>
      </c>
    </row>
    <row r="2711" spans="1:1">
      <c r="A2711" s="2" t="e">
        <f>CONCATENATE("'",'Inverter-Full Data'!#REF!,"     ",'Inverter-Full Data'!#REF!,",",'Inverter-Full Data'!#REF!,",",'Inverter-Full Data'!#REF!,",",'Inverter-Full Data'!#REF!,"'")</f>
        <v>#REF!</v>
      </c>
    </row>
    <row r="2712" spans="1:1">
      <c r="A2712" s="2" t="e">
        <f>CONCATENATE("'",'Inverter-Full Data'!#REF!,"     ",'Inverter-Full Data'!#REF!,",",'Inverter-Full Data'!#REF!,",",'Inverter-Full Data'!#REF!,",",'Inverter-Full Data'!#REF!,"'")</f>
        <v>#REF!</v>
      </c>
    </row>
    <row r="2713" spans="1:1">
      <c r="A2713" s="2" t="e">
        <f>CONCATENATE("'",'Inverter-Full Data'!#REF!,"     ",'Inverter-Full Data'!#REF!,",",'Inverter-Full Data'!#REF!,",",'Inverter-Full Data'!#REF!,",",'Inverter-Full Data'!#REF!,"'")</f>
        <v>#REF!</v>
      </c>
    </row>
    <row r="2714" spans="1:1">
      <c r="A2714" s="2" t="e">
        <f>CONCATENATE("'",'Inverter-Full Data'!#REF!,"     ",'Inverter-Full Data'!#REF!,",",'Inverter-Full Data'!#REF!,",",'Inverter-Full Data'!#REF!,",",'Inverter-Full Data'!#REF!,"'")</f>
        <v>#REF!</v>
      </c>
    </row>
    <row r="2715" spans="1:1">
      <c r="A2715" s="2" t="e">
        <f>CONCATENATE("'",'Inverter-Full Data'!#REF!,"     ",'Inverter-Full Data'!#REF!,",",'Inverter-Full Data'!#REF!,",",'Inverter-Full Data'!#REF!,",",'Inverter-Full Data'!#REF!,"'")</f>
        <v>#REF!</v>
      </c>
    </row>
    <row r="2716" spans="1:1">
      <c r="A2716" s="2" t="e">
        <f>CONCATENATE("'",'Inverter-Full Data'!#REF!,"     ",'Inverter-Full Data'!#REF!,",",'Inverter-Full Data'!#REF!,",",'Inverter-Full Data'!#REF!,",",'Inverter-Full Data'!#REF!,"'")</f>
        <v>#REF!</v>
      </c>
    </row>
    <row r="2717" spans="1:1">
      <c r="A2717" s="2" t="e">
        <f>CONCATENATE("'",'Inverter-Full Data'!#REF!,"     ",'Inverter-Full Data'!#REF!,",",'Inverter-Full Data'!#REF!,",",'Inverter-Full Data'!#REF!,",",'Inverter-Full Data'!#REF!,"'")</f>
        <v>#REF!</v>
      </c>
    </row>
    <row r="2718" spans="1:1">
      <c r="A2718" s="2" t="e">
        <f>CONCATENATE("'",'Inverter-Full Data'!#REF!,"     ",'Inverter-Full Data'!#REF!,",",'Inverter-Full Data'!#REF!,",",'Inverter-Full Data'!#REF!,",",'Inverter-Full Data'!#REF!,"'")</f>
        <v>#REF!</v>
      </c>
    </row>
    <row r="2719" spans="1:1">
      <c r="A2719" s="2" t="e">
        <f>CONCATENATE("'",'Inverter-Full Data'!#REF!,"     ",'Inverter-Full Data'!#REF!,",",'Inverter-Full Data'!#REF!,",",'Inverter-Full Data'!#REF!,",",'Inverter-Full Data'!#REF!,"'")</f>
        <v>#REF!</v>
      </c>
    </row>
    <row r="2720" spans="1:1">
      <c r="A2720" s="2" t="e">
        <f>CONCATENATE("'",'Inverter-Full Data'!#REF!,"     ",'Inverter-Full Data'!#REF!,",",'Inverter-Full Data'!#REF!,",",'Inverter-Full Data'!#REF!,",",'Inverter-Full Data'!#REF!,"'")</f>
        <v>#REF!</v>
      </c>
    </row>
    <row r="2721" spans="1:1">
      <c r="A2721" s="2" t="e">
        <f>CONCATENATE("'",'Inverter-Full Data'!#REF!,"     ",'Inverter-Full Data'!#REF!,",",'Inverter-Full Data'!#REF!,",",'Inverter-Full Data'!#REF!,",",'Inverter-Full Data'!#REF!,"'")</f>
        <v>#REF!</v>
      </c>
    </row>
    <row r="2722" spans="1:1">
      <c r="A2722" s="2" t="e">
        <f>CONCATENATE("'",'Inverter-Full Data'!#REF!,"     ",'Inverter-Full Data'!#REF!,",",'Inverter-Full Data'!#REF!,",",'Inverter-Full Data'!#REF!,",",'Inverter-Full Data'!#REF!,"'")</f>
        <v>#REF!</v>
      </c>
    </row>
    <row r="2723" spans="1:1">
      <c r="A2723" s="2" t="e">
        <f>CONCATENATE("'",'Inverter-Full Data'!#REF!,"     ",'Inverter-Full Data'!#REF!,",",'Inverter-Full Data'!#REF!,",",'Inverter-Full Data'!#REF!,",",'Inverter-Full Data'!#REF!,"'")</f>
        <v>#REF!</v>
      </c>
    </row>
    <row r="2724" spans="1:1">
      <c r="A2724" s="2" t="e">
        <f>CONCATENATE("'",'Inverter-Full Data'!#REF!,"     ",'Inverter-Full Data'!#REF!,",",'Inverter-Full Data'!#REF!,",",'Inverter-Full Data'!#REF!,",",'Inverter-Full Data'!#REF!,"'")</f>
        <v>#REF!</v>
      </c>
    </row>
    <row r="2725" spans="1:1">
      <c r="A2725" s="2" t="e">
        <f>CONCATENATE("'",'Inverter-Full Data'!#REF!,"     ",'Inverter-Full Data'!#REF!,",",'Inverter-Full Data'!#REF!,",",'Inverter-Full Data'!#REF!,",",'Inverter-Full Data'!#REF!,"'")</f>
        <v>#REF!</v>
      </c>
    </row>
    <row r="2726" spans="1:1">
      <c r="A2726" s="2" t="e">
        <f>CONCATENATE("'",'Inverter-Full Data'!#REF!,"     ",'Inverter-Full Data'!#REF!,",",'Inverter-Full Data'!#REF!,",",'Inverter-Full Data'!#REF!,",",'Inverter-Full Data'!#REF!,"'")</f>
        <v>#REF!</v>
      </c>
    </row>
    <row r="2727" spans="1:1">
      <c r="A2727" s="2" t="e">
        <f>CONCATENATE("'",'Inverter-Full Data'!#REF!,"     ",'Inverter-Full Data'!#REF!,",",'Inverter-Full Data'!#REF!,",",'Inverter-Full Data'!#REF!,",",'Inverter-Full Data'!#REF!,"'")</f>
        <v>#REF!</v>
      </c>
    </row>
    <row r="2728" spans="1:1">
      <c r="A2728" s="2" t="e">
        <f>CONCATENATE("'",'Inverter-Full Data'!#REF!,"     ",'Inverter-Full Data'!#REF!,",",'Inverter-Full Data'!#REF!,",",'Inverter-Full Data'!#REF!,",",'Inverter-Full Data'!#REF!,"'")</f>
        <v>#REF!</v>
      </c>
    </row>
    <row r="2729" spans="1:1">
      <c r="A2729" s="2" t="e">
        <f>CONCATENATE("'",'Inverter-Full Data'!#REF!,"     ",'Inverter-Full Data'!#REF!,",",'Inverter-Full Data'!#REF!,",",'Inverter-Full Data'!#REF!,",",'Inverter-Full Data'!#REF!,"'")</f>
        <v>#REF!</v>
      </c>
    </row>
    <row r="2730" spans="1:1">
      <c r="A2730" s="2" t="e">
        <f>CONCATENATE("'",'Inverter-Full Data'!#REF!,"     ",'Inverter-Full Data'!#REF!,",",'Inverter-Full Data'!#REF!,",",'Inverter-Full Data'!#REF!,",",'Inverter-Full Data'!#REF!,"'")</f>
        <v>#REF!</v>
      </c>
    </row>
    <row r="2731" spans="1:1">
      <c r="A2731" s="2" t="e">
        <f>CONCATENATE("'",'Inverter-Full Data'!#REF!,"     ",'Inverter-Full Data'!#REF!,",",'Inverter-Full Data'!#REF!,",",'Inverter-Full Data'!#REF!,",",'Inverter-Full Data'!#REF!,"'")</f>
        <v>#REF!</v>
      </c>
    </row>
    <row r="2732" spans="1:1">
      <c r="A2732" s="2" t="e">
        <f>CONCATENATE("'",'Inverter-Full Data'!#REF!,"     ",'Inverter-Full Data'!#REF!,",",'Inverter-Full Data'!#REF!,",",'Inverter-Full Data'!#REF!,",",'Inverter-Full Data'!#REF!,"'")</f>
        <v>#REF!</v>
      </c>
    </row>
    <row r="2733" spans="1:1">
      <c r="A2733" s="2" t="e">
        <f>CONCATENATE("'",'Inverter-Full Data'!#REF!,"     ",'Inverter-Full Data'!#REF!,",",'Inverter-Full Data'!#REF!,",",'Inverter-Full Data'!#REF!,",",'Inverter-Full Data'!#REF!,"'")</f>
        <v>#REF!</v>
      </c>
    </row>
    <row r="2734" spans="1:1">
      <c r="A2734" s="2" t="e">
        <f>CONCATENATE("'",'Inverter-Full Data'!#REF!,"     ",'Inverter-Full Data'!#REF!,",",'Inverter-Full Data'!#REF!,",",'Inverter-Full Data'!#REF!,",",'Inverter-Full Data'!#REF!,"'")</f>
        <v>#REF!</v>
      </c>
    </row>
    <row r="2735" spans="1:1">
      <c r="A2735" s="2" t="e">
        <f>CONCATENATE("'",'Inverter-Full Data'!#REF!,"     ",'Inverter-Full Data'!#REF!,",",'Inverter-Full Data'!#REF!,",",'Inverter-Full Data'!#REF!,",",'Inverter-Full Data'!#REF!,"'")</f>
        <v>#REF!</v>
      </c>
    </row>
    <row r="2736" spans="1:1">
      <c r="A2736" s="2" t="e">
        <f>CONCATENATE("'",'Inverter-Full Data'!#REF!,"     ",'Inverter-Full Data'!#REF!,",",'Inverter-Full Data'!#REF!,",",'Inverter-Full Data'!#REF!,",",'Inverter-Full Data'!#REF!,"'")</f>
        <v>#REF!</v>
      </c>
    </row>
    <row r="2737" spans="1:1">
      <c r="A2737" s="2" t="e">
        <f>CONCATENATE("'",'Inverter-Full Data'!#REF!,"     ",'Inverter-Full Data'!#REF!,",",'Inverter-Full Data'!#REF!,",",'Inverter-Full Data'!#REF!,",",'Inverter-Full Data'!#REF!,"'")</f>
        <v>#REF!</v>
      </c>
    </row>
    <row r="2738" spans="1:1">
      <c r="A2738" s="2" t="e">
        <f>CONCATENATE("'",'Inverter-Full Data'!#REF!,"     ",'Inverter-Full Data'!#REF!,",",'Inverter-Full Data'!#REF!,",",'Inverter-Full Data'!#REF!,",",'Inverter-Full Data'!#REF!,"'")</f>
        <v>#REF!</v>
      </c>
    </row>
    <row r="2739" spans="1:1">
      <c r="A2739" s="2" t="e">
        <f>CONCATENATE("'",'Inverter-Full Data'!#REF!,"     ",'Inverter-Full Data'!#REF!,",",'Inverter-Full Data'!#REF!,",",'Inverter-Full Data'!#REF!,",",'Inverter-Full Data'!#REF!,"'")</f>
        <v>#REF!</v>
      </c>
    </row>
    <row r="2740" spans="1:1">
      <c r="A2740" s="2" t="e">
        <f>CONCATENATE("'",'Inverter-Full Data'!#REF!,"     ",'Inverter-Full Data'!#REF!,",",'Inverter-Full Data'!#REF!,",",'Inverter-Full Data'!#REF!,",",'Inverter-Full Data'!#REF!,"'")</f>
        <v>#REF!</v>
      </c>
    </row>
    <row r="2741" spans="1:1">
      <c r="A2741" s="2" t="e">
        <f>CONCATENATE("'",'Inverter-Full Data'!#REF!,"     ",'Inverter-Full Data'!#REF!,",",'Inverter-Full Data'!#REF!,",",'Inverter-Full Data'!#REF!,",",'Inverter-Full Data'!#REF!,"'")</f>
        <v>#REF!</v>
      </c>
    </row>
    <row r="2742" spans="1:1">
      <c r="A2742" s="2" t="e">
        <f>CONCATENATE("'",'Inverter-Full Data'!#REF!,"     ",'Inverter-Full Data'!#REF!,",",'Inverter-Full Data'!#REF!,",",'Inverter-Full Data'!#REF!,",",'Inverter-Full Data'!#REF!,"'")</f>
        <v>#REF!</v>
      </c>
    </row>
    <row r="2743" spans="1:1">
      <c r="A2743" s="2" t="e">
        <f>CONCATENATE("'",'Inverter-Full Data'!#REF!,"     ",'Inverter-Full Data'!#REF!,",",'Inverter-Full Data'!#REF!,",",'Inverter-Full Data'!#REF!,",",'Inverter-Full Data'!#REF!,"'")</f>
        <v>#REF!</v>
      </c>
    </row>
    <row r="2744" spans="1:1">
      <c r="A2744" s="2" t="e">
        <f>CONCATENATE("'",'Inverter-Full Data'!#REF!,"     ",'Inverter-Full Data'!#REF!,",",'Inverter-Full Data'!#REF!,",",'Inverter-Full Data'!#REF!,",",'Inverter-Full Data'!#REF!,"'")</f>
        <v>#REF!</v>
      </c>
    </row>
    <row r="2745" spans="1:1">
      <c r="A2745" s="2" t="e">
        <f>CONCATENATE("'",'Inverter-Full Data'!#REF!,"     ",'Inverter-Full Data'!#REF!,",",'Inverter-Full Data'!#REF!,",",'Inverter-Full Data'!#REF!,",",'Inverter-Full Data'!#REF!,"'")</f>
        <v>#REF!</v>
      </c>
    </row>
    <row r="2746" spans="1:1">
      <c r="A2746" s="2" t="e">
        <f>CONCATENATE("'",'Inverter-Full Data'!#REF!,"     ",'Inverter-Full Data'!#REF!,",",'Inverter-Full Data'!#REF!,",",'Inverter-Full Data'!#REF!,",",'Inverter-Full Data'!#REF!,"'")</f>
        <v>#REF!</v>
      </c>
    </row>
    <row r="2747" spans="1:1">
      <c r="A2747" s="2" t="e">
        <f>CONCATENATE("'",'Inverter-Full Data'!#REF!,"     ",'Inverter-Full Data'!#REF!,",",'Inverter-Full Data'!#REF!,",",'Inverter-Full Data'!#REF!,",",'Inverter-Full Data'!#REF!,"'")</f>
        <v>#REF!</v>
      </c>
    </row>
    <row r="2748" spans="1:1">
      <c r="A2748" s="2" t="e">
        <f>CONCATENATE("'",'Inverter-Full Data'!#REF!,"     ",'Inverter-Full Data'!#REF!,",",'Inverter-Full Data'!#REF!,",",'Inverter-Full Data'!#REF!,",",'Inverter-Full Data'!#REF!,"'")</f>
        <v>#REF!</v>
      </c>
    </row>
    <row r="2749" spans="1:1">
      <c r="A2749" s="2" t="e">
        <f>CONCATENATE("'",'Inverter-Full Data'!#REF!,"     ",'Inverter-Full Data'!#REF!,",",'Inverter-Full Data'!#REF!,",",'Inverter-Full Data'!#REF!,",",'Inverter-Full Data'!#REF!,"'")</f>
        <v>#REF!</v>
      </c>
    </row>
    <row r="2750" spans="1:1">
      <c r="A2750" s="2" t="str">
        <f>CONCATENATE("'",'Inverter-Full Data'!A379,"     ",'Inverter-Full Data'!B379,",",'Inverter-Full Data'!S379,",",'Inverter-Full Data'!J379,",",'Inverter-Full Data'!T379,"'")</f>
        <v>'Shenzhen Growatt New Energy Technology Co., Ltd     GROWATT 4000MTLP-US [208V],Y,95.5,N'</v>
      </c>
    </row>
    <row r="2751" spans="1:1">
      <c r="A2751" s="2" t="e">
        <f>CONCATENATE("'",'Inverter-Full Data'!#REF!,"     ",'Inverter-Full Data'!#REF!,",",'Inverter-Full Data'!#REF!,",",'Inverter-Full Data'!#REF!,",",'Inverter-Full Data'!#REF!,"'")</f>
        <v>#REF!</v>
      </c>
    </row>
    <row r="2752" spans="1:1">
      <c r="A2752" s="2" t="str">
        <f>CONCATENATE("'",'Inverter-Full Data'!A380,"     ",'Inverter-Full Data'!B380,",",'Inverter-Full Data'!S380,",",'Inverter-Full Data'!J380,",",'Inverter-Full Data'!T380,"'")</f>
        <v>'Shenzhen Growatt New Energy Technology Co., Ltd     GROWATT 4000MTLP-US [240V],Y,96,N'</v>
      </c>
    </row>
    <row r="2753" spans="1:1">
      <c r="A2753" s="2" t="str">
        <f>CONCATENATE("'",'Inverter-Full Data'!A381,"     ",'Inverter-Full Data'!B381,",",'Inverter-Full Data'!S381,",",'Inverter-Full Data'!J381,",",'Inverter-Full Data'!T381,"'")</f>
        <v>'Shenzhen Growatt New Energy Technology Co., Ltd     GROWATT 4000MTLP-US [277V],Y,96,N'</v>
      </c>
    </row>
    <row r="2754" spans="1:1">
      <c r="A2754" s="2" t="e">
        <f>CONCATENATE("'",'Inverter-Full Data'!#REF!,"     ",'Inverter-Full Data'!#REF!,",",'Inverter-Full Data'!#REF!,",",'Inverter-Full Data'!#REF!,",",'Inverter-Full Data'!#REF!,"'")</f>
        <v>#REF!</v>
      </c>
    </row>
    <row r="2755" spans="1:1">
      <c r="A2755" s="2" t="e">
        <f>CONCATENATE("'",'Inverter-Full Data'!#REF!,"     ",'Inverter-Full Data'!#REF!,",",'Inverter-Full Data'!#REF!,",",'Inverter-Full Data'!#REF!,",",'Inverter-Full Data'!#REF!,"'")</f>
        <v>#REF!</v>
      </c>
    </row>
    <row r="2756" spans="1:1">
      <c r="A2756" s="2" t="e">
        <f>CONCATENATE("'",'Inverter-Full Data'!#REF!,"     ",'Inverter-Full Data'!#REF!,",",'Inverter-Full Data'!#REF!,",",'Inverter-Full Data'!#REF!,",",'Inverter-Full Data'!#REF!,"'")</f>
        <v>#REF!</v>
      </c>
    </row>
    <row r="2757" spans="1:1">
      <c r="A2757" s="2" t="e">
        <f>CONCATENATE("'",'Inverter-Full Data'!#REF!,"     ",'Inverter-Full Data'!#REF!,",",'Inverter-Full Data'!#REF!,",",'Inverter-Full Data'!#REF!,",",'Inverter-Full Data'!#REF!,"'")</f>
        <v>#REF!</v>
      </c>
    </row>
    <row r="2758" spans="1:1">
      <c r="A2758" s="2" t="str">
        <f>CONCATENATE("'",'Inverter-Full Data'!A382,"     ",'Inverter-Full Data'!B382,",",'Inverter-Full Data'!S382,",",'Inverter-Full Data'!J382,",",'Inverter-Full Data'!T382,"'")</f>
        <v>'Shenzhen Growatt New Energy Technology Co., Ltd     GROWATT 5000MTLP-US [208V],Y,95.5,N'</v>
      </c>
    </row>
    <row r="2759" spans="1:1">
      <c r="A2759" s="2" t="e">
        <f>CONCATENATE("'",'Inverter-Full Data'!#REF!,"     ",'Inverter-Full Data'!#REF!,",",'Inverter-Full Data'!#REF!,",",'Inverter-Full Data'!#REF!,",",'Inverter-Full Data'!#REF!,"'")</f>
        <v>#REF!</v>
      </c>
    </row>
    <row r="2760" spans="1:1">
      <c r="A2760" s="2" t="e">
        <f>CONCATENATE("'",'Inverter-Full Data'!#REF!,"     ",'Inverter-Full Data'!#REF!,",",'Inverter-Full Data'!#REF!,",",'Inverter-Full Data'!#REF!,",",'Inverter-Full Data'!#REF!,"'")</f>
        <v>#REF!</v>
      </c>
    </row>
    <row r="2761" spans="1:1">
      <c r="A2761" s="2" t="e">
        <f>CONCATENATE("'",'Inverter-Full Data'!#REF!,"     ",'Inverter-Full Data'!#REF!,",",'Inverter-Full Data'!#REF!,",",'Inverter-Full Data'!#REF!,",",'Inverter-Full Data'!#REF!,"'")</f>
        <v>#REF!</v>
      </c>
    </row>
    <row r="2762" spans="1:1">
      <c r="A2762" s="2" t="e">
        <f>CONCATENATE("'",'Inverter-Full Data'!#REF!,"     ",'Inverter-Full Data'!#REF!,",",'Inverter-Full Data'!#REF!,",",'Inverter-Full Data'!#REF!,",",'Inverter-Full Data'!#REF!,"'")</f>
        <v>#REF!</v>
      </c>
    </row>
    <row r="2763" spans="1:1">
      <c r="A2763" s="2" t="e">
        <f>CONCATENATE("'",'Inverter-Full Data'!#REF!,"     ",'Inverter-Full Data'!#REF!,",",'Inverter-Full Data'!#REF!,",",'Inverter-Full Data'!#REF!,",",'Inverter-Full Data'!#REF!,"'")</f>
        <v>#REF!</v>
      </c>
    </row>
    <row r="2764" spans="1:1">
      <c r="A2764" s="2" t="str">
        <f>CONCATENATE("'",'Inverter-Full Data'!A383,"     ",'Inverter-Full Data'!B383,",",'Inverter-Full Data'!S383,",",'Inverter-Full Data'!J383,",",'Inverter-Full Data'!T383,"'")</f>
        <v>'Shenzhen Growatt New Energy Technology Co., Ltd     GROWATT 5000MTLP-US [277V],Y,96.5,N'</v>
      </c>
    </row>
    <row r="2765" spans="1:1">
      <c r="A2765" s="2" t="e">
        <f>CONCATENATE("'",'Inverter-Full Data'!#REF!,"     ",'Inverter-Full Data'!#REF!,",",'Inverter-Full Data'!#REF!,",",'Inverter-Full Data'!#REF!,",",'Inverter-Full Data'!#REF!,"'")</f>
        <v>#REF!</v>
      </c>
    </row>
    <row r="2766" spans="1:1">
      <c r="A2766" s="2" t="str">
        <f>CONCATENATE("'",'Inverter-Full Data'!A14,"     ",'Inverter-Full Data'!B14,",",'Inverter-Full Data'!S14,",",'Inverter-Full Data'!J14,",",'Inverter-Full Data'!T14,"'")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Mehrshahi, Abtin@Energy</cp:lastModifiedBy>
  <cp:lastPrinted>2018-02-23T18:39:03Z</cp:lastPrinted>
  <dcterms:created xsi:type="dcterms:W3CDTF">2015-11-25T18:50:47Z</dcterms:created>
  <dcterms:modified xsi:type="dcterms:W3CDTF">2019-01-15T17:09:29Z</dcterms:modified>
</cp:coreProperties>
</file>